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/>
  <bookViews>
    <workbookView xWindow="0" yWindow="0" windowWidth="28800" windowHeight="12135"/>
  </bookViews>
  <sheets>
    <sheet name="расчетОО " sheetId="8" r:id="rId1"/>
    <sheet name="коэффициенты" sheetId="6" r:id="rId2"/>
    <sheet name="ГОТОВ" sheetId="13" r:id="rId3"/>
    <sheet name="СТОПЛИСТ" sheetId="15" r:id="rId4"/>
    <sheet name="ПЕРЕСЧЕТ НЕ ТРЕБУЕТСЯ" sheetId="14" r:id="rId5"/>
    <sheet name="справочник ври" sheetId="16" r:id="rId6"/>
    <sheet name="модули" sheetId="3" r:id="rId7"/>
    <sheet name="количественные факторы" sheetId="9" r:id="rId8"/>
  </sheets>
  <definedNames>
    <definedName name="_xlnm._FilterDatabase" localSheetId="0" hidden="1">'расчетОО '!$A$3:$DZ$4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Z6" i="8" l="1"/>
  <c r="DY6" i="8"/>
  <c r="DX6" i="8"/>
  <c r="DW6" i="8"/>
  <c r="DU6" i="8"/>
  <c r="DT6" i="8"/>
  <c r="DS6" i="8"/>
  <c r="DR6" i="8"/>
  <c r="DQ6" i="8"/>
  <c r="DP6" i="8"/>
  <c r="DN6" i="8"/>
  <c r="DO6" i="8" s="1"/>
  <c r="DM6" i="8"/>
  <c r="DK6" i="8"/>
  <c r="DF6" i="8"/>
  <c r="DC6" i="8"/>
  <c r="CZ6" i="8"/>
  <c r="CV6" i="8"/>
  <c r="CW6" i="8" s="1"/>
  <c r="CS6" i="8"/>
  <c r="CT6" i="8" s="1"/>
  <c r="CR6" i="8"/>
  <c r="CQ6" i="8"/>
  <c r="CO6" i="8"/>
  <c r="CP6" i="8" s="1"/>
  <c r="CN6" i="8"/>
  <c r="CL6" i="8"/>
  <c r="CI6" i="8"/>
  <c r="CJ6" i="8" s="1"/>
  <c r="CD6" i="8"/>
  <c r="CC6" i="8"/>
  <c r="CB6" i="8"/>
  <c r="BY6" i="8"/>
  <c r="BV6" i="8"/>
  <c r="BT6" i="8"/>
  <c r="BU6" i="8" s="1"/>
  <c r="BR6" i="8"/>
  <c r="BS6" i="8" s="1"/>
  <c r="BP6" i="8"/>
  <c r="BQ6" i="8" s="1"/>
  <c r="BN6" i="8"/>
  <c r="BO6" i="8" s="1"/>
  <c r="BL6" i="8"/>
  <c r="BM6" i="8" s="1"/>
  <c r="BJ6" i="8"/>
  <c r="BK6" i="8" s="1"/>
  <c r="BH6" i="8"/>
  <c r="BI6" i="8" s="1"/>
  <c r="BF6" i="8"/>
  <c r="BG6" i="8" s="1"/>
  <c r="BD6" i="8"/>
  <c r="BE6" i="8" s="1"/>
  <c r="BB6" i="8"/>
  <c r="BC6" i="8" s="1"/>
  <c r="BA6" i="8"/>
  <c r="AZ6" i="8"/>
  <c r="DV6" i="8" s="1"/>
  <c r="DZ5" i="8"/>
  <c r="DY5" i="8"/>
  <c r="DX5" i="8"/>
  <c r="DW5" i="8"/>
  <c r="DU5" i="8"/>
  <c r="DT5" i="8"/>
  <c r="DS5" i="8"/>
  <c r="DR5" i="8"/>
  <c r="DQ5" i="8"/>
  <c r="DP5" i="8"/>
  <c r="DN5" i="8"/>
  <c r="DO5" i="8" s="1"/>
  <c r="DM5" i="8"/>
  <c r="DK5" i="8"/>
  <c r="DF5" i="8"/>
  <c r="DC5" i="8"/>
  <c r="CZ5" i="8"/>
  <c r="CV5" i="8"/>
  <c r="CW5" i="8" s="1"/>
  <c r="CS5" i="8"/>
  <c r="CT5" i="8" s="1"/>
  <c r="CQ5" i="8"/>
  <c r="CR5" i="8" s="1"/>
  <c r="CO5" i="8"/>
  <c r="CP5" i="8" s="1"/>
  <c r="CN5" i="8"/>
  <c r="CL5" i="8"/>
  <c r="CI5" i="8"/>
  <c r="CJ5" i="8" s="1"/>
  <c r="CD5" i="8"/>
  <c r="CC5" i="8"/>
  <c r="CB5" i="8"/>
  <c r="BY5" i="8"/>
  <c r="BV5" i="8"/>
  <c r="BT5" i="8"/>
  <c r="BU5" i="8" s="1"/>
  <c r="BR5" i="8"/>
  <c r="BS5" i="8" s="1"/>
  <c r="BP5" i="8"/>
  <c r="BQ5" i="8" s="1"/>
  <c r="BN5" i="8"/>
  <c r="BO5" i="8" s="1"/>
  <c r="BL5" i="8"/>
  <c r="BM5" i="8" s="1"/>
  <c r="BJ5" i="8"/>
  <c r="BK5" i="8" s="1"/>
  <c r="BH5" i="8"/>
  <c r="BI5" i="8" s="1"/>
  <c r="BF5" i="8"/>
  <c r="BG5" i="8" s="1"/>
  <c r="BD5" i="8"/>
  <c r="BE5" i="8" s="1"/>
  <c r="BB5" i="8"/>
  <c r="BC5" i="8" s="1"/>
  <c r="BA5" i="8"/>
  <c r="AZ5" i="8"/>
  <c r="DV5" i="8" s="1"/>
  <c r="CE6" i="8" l="1"/>
  <c r="CF6" i="8" s="1"/>
  <c r="CE5" i="8"/>
  <c r="CF5" i="8" s="1"/>
  <c r="CU5" i="8"/>
  <c r="CX5" i="8"/>
  <c r="CY5" i="8" s="1"/>
  <c r="BW5" i="8"/>
  <c r="BZ5" i="8" s="1"/>
  <c r="CA5" i="8" s="1"/>
  <c r="BW6" i="8"/>
  <c r="BZ6" i="8" s="1"/>
  <c r="CA6" i="8" s="1"/>
  <c r="CU6" i="8"/>
  <c r="CX6" i="8"/>
  <c r="CY6" i="8" s="1"/>
  <c r="CG5" i="8"/>
  <c r="CH5" i="8" s="1"/>
  <c r="DI5" i="8"/>
  <c r="DL5" i="8" s="1"/>
  <c r="CG6" i="8"/>
  <c r="CH6" i="8" s="1"/>
  <c r="DA6" i="8" s="1"/>
  <c r="DD6" i="8" s="1"/>
  <c r="DE6" i="8" s="1"/>
  <c r="DH6" i="8" s="1"/>
  <c r="DI6" i="8"/>
  <c r="DL6" i="8" s="1"/>
  <c r="CC4" i="8"/>
  <c r="DA5" i="8" l="1"/>
  <c r="DD5" i="8" s="1"/>
  <c r="DE5" i="8" s="1"/>
  <c r="DH5" i="8" s="1"/>
  <c r="CI4" i="8"/>
  <c r="DM4" i="8" l="1"/>
  <c r="DK4" i="8" l="1"/>
  <c r="AZ4" i="8" l="1"/>
  <c r="DV4" i="8" l="1"/>
  <c r="DI4" i="8"/>
  <c r="DL4" i="8" s="1"/>
  <c r="CE4" i="8"/>
  <c r="CS4" i="8"/>
  <c r="CG4" i="8"/>
  <c r="DX4" i="8" l="1"/>
  <c r="DW4" i="8"/>
  <c r="DS4" i="8"/>
  <c r="DF4" i="8"/>
  <c r="CV4" i="8"/>
  <c r="CQ4" i="8"/>
  <c r="DZ4" i="8" s="1"/>
  <c r="CO4" i="8"/>
  <c r="DY4" i="8" s="1"/>
  <c r="DQ4" i="8"/>
  <c r="DR4" i="8" l="1"/>
  <c r="DU4" i="8" l="1"/>
  <c r="BT4" i="8" l="1"/>
  <c r="BR4" i="8"/>
  <c r="BP4" i="8"/>
  <c r="BN4" i="8"/>
  <c r="BL4" i="8"/>
  <c r="BJ4" i="8"/>
  <c r="BH4" i="8"/>
  <c r="BF4" i="8"/>
  <c r="BD4" i="8"/>
  <c r="BB4" i="8"/>
  <c r="BA4" i="8"/>
  <c r="K98" i="3" l="1"/>
  <c r="CD4" i="8" l="1"/>
  <c r="DC4" i="8" l="1"/>
  <c r="CW4" i="8"/>
  <c r="G43" i="3" l="1"/>
  <c r="I103" i="3" l="1"/>
  <c r="I100" i="3"/>
  <c r="J100" i="3" s="1"/>
  <c r="K100" i="3" s="1"/>
  <c r="L100" i="3" s="1"/>
  <c r="I99" i="3"/>
  <c r="B101" i="3"/>
  <c r="B100" i="3"/>
  <c r="E98" i="3"/>
  <c r="E97" i="3"/>
  <c r="J99" i="3" l="1"/>
  <c r="K99" i="3"/>
  <c r="L99" i="3" s="1"/>
  <c r="G34" i="6" l="1"/>
  <c r="G33" i="6"/>
  <c r="G32" i="6"/>
  <c r="G31" i="6"/>
  <c r="G30" i="6"/>
  <c r="G29" i="6"/>
  <c r="G28" i="6"/>
  <c r="G27" i="6"/>
  <c r="G26" i="6"/>
  <c r="G25" i="6"/>
  <c r="G24" i="6"/>
  <c r="P23" i="6"/>
  <c r="G23" i="6"/>
  <c r="P22" i="6"/>
  <c r="G22" i="6"/>
  <c r="P21" i="6"/>
  <c r="G21" i="6"/>
  <c r="P20" i="6"/>
  <c r="G20" i="6"/>
  <c r="P19" i="6"/>
  <c r="G19" i="6"/>
  <c r="P18" i="6"/>
  <c r="G18" i="6"/>
  <c r="P17" i="6"/>
  <c r="G17" i="6"/>
  <c r="P16" i="6"/>
  <c r="G16" i="6"/>
  <c r="P15" i="6"/>
  <c r="G15" i="6"/>
  <c r="P14" i="6"/>
  <c r="G14" i="6"/>
  <c r="P13" i="6"/>
  <c r="G13" i="6"/>
  <c r="P12" i="6"/>
  <c r="G12" i="6"/>
  <c r="P11" i="6"/>
  <c r="G11" i="6"/>
  <c r="P10" i="6"/>
  <c r="G10" i="6"/>
  <c r="P9" i="6"/>
  <c r="G9" i="6"/>
  <c r="F8" i="6"/>
  <c r="G8" i="6" s="1"/>
  <c r="P7" i="6"/>
  <c r="G7" i="6"/>
  <c r="P6" i="6"/>
  <c r="G6" i="6"/>
  <c r="P5" i="6"/>
  <c r="G5" i="6"/>
  <c r="P4" i="6"/>
  <c r="G4" i="6"/>
  <c r="P3" i="6"/>
  <c r="G3" i="6"/>
  <c r="G2" i="6"/>
  <c r="CZ4" i="8" l="1"/>
  <c r="G15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G40" i="9"/>
  <c r="B40" i="9"/>
  <c r="G39" i="9"/>
  <c r="B39" i="9"/>
  <c r="G38" i="9"/>
  <c r="B38" i="9"/>
  <c r="G37" i="9"/>
  <c r="B37" i="9"/>
  <c r="G36" i="9"/>
  <c r="B36" i="9"/>
  <c r="V35" i="9"/>
  <c r="B35" i="9"/>
  <c r="V34" i="9"/>
  <c r="B34" i="9"/>
  <c r="V33" i="9"/>
  <c r="B33" i="9"/>
  <c r="V32" i="9"/>
  <c r="G32" i="9"/>
  <c r="B32" i="9"/>
  <c r="V31" i="9"/>
  <c r="B31" i="9"/>
  <c r="V30" i="9"/>
  <c r="B30" i="9"/>
  <c r="V29" i="9"/>
  <c r="B29" i="9"/>
  <c r="V28" i="9"/>
  <c r="G28" i="9"/>
  <c r="B28" i="9"/>
  <c r="V27" i="9"/>
  <c r="G27" i="9"/>
  <c r="B27" i="9"/>
  <c r="V26" i="9"/>
  <c r="G26" i="9"/>
  <c r="B26" i="9"/>
  <c r="V25" i="9"/>
  <c r="G25" i="9"/>
  <c r="B25" i="9"/>
  <c r="V24" i="9"/>
  <c r="G24" i="9"/>
  <c r="B24" i="9"/>
  <c r="V23" i="9"/>
  <c r="G23" i="9"/>
  <c r="B23" i="9"/>
  <c r="V22" i="9"/>
  <c r="G22" i="9"/>
  <c r="B22" i="9"/>
  <c r="V21" i="9"/>
  <c r="G21" i="9"/>
  <c r="B21" i="9"/>
  <c r="V20" i="9"/>
  <c r="G20" i="9"/>
  <c r="B20" i="9"/>
  <c r="V19" i="9"/>
  <c r="G19" i="9"/>
  <c r="B19" i="9"/>
  <c r="V18" i="9"/>
  <c r="G18" i="9"/>
  <c r="B18" i="9"/>
  <c r="V17" i="9"/>
  <c r="G17" i="9"/>
  <c r="B17" i="9"/>
  <c r="V16" i="9"/>
  <c r="G16" i="9"/>
  <c r="B16" i="9"/>
  <c r="V15" i="9"/>
  <c r="B15" i="9"/>
  <c r="V14" i="9"/>
  <c r="G14" i="9"/>
  <c r="B14" i="9"/>
  <c r="V13" i="9"/>
  <c r="G13" i="9"/>
  <c r="B13" i="9"/>
  <c r="G12" i="9"/>
  <c r="B12" i="9"/>
  <c r="V11" i="9"/>
  <c r="G11" i="9"/>
  <c r="B11" i="9"/>
  <c r="G10" i="9"/>
  <c r="X9" i="9"/>
  <c r="G9" i="9"/>
  <c r="W7" i="9"/>
  <c r="V39" i="9" s="1"/>
  <c r="B7" i="9"/>
  <c r="B98" i="9" s="1"/>
  <c r="AH6" i="9"/>
  <c r="AG6" i="9"/>
  <c r="AF6" i="9"/>
  <c r="AE6" i="9"/>
  <c r="AD6" i="9"/>
  <c r="Y6" i="9"/>
  <c r="W31" i="9" s="1"/>
  <c r="W6" i="9"/>
  <c r="V9" i="9" s="1"/>
  <c r="D6" i="9"/>
  <c r="C98" i="9" s="1"/>
  <c r="B6" i="9"/>
  <c r="B9" i="9" s="1"/>
  <c r="W17" i="9" l="1"/>
  <c r="W25" i="9"/>
  <c r="W41" i="9"/>
  <c r="C34" i="9"/>
  <c r="W11" i="9"/>
  <c r="W15" i="9"/>
  <c r="W23" i="9"/>
  <c r="W30" i="9"/>
  <c r="C33" i="9"/>
  <c r="F15" i="9" s="1"/>
  <c r="V38" i="9"/>
  <c r="C40" i="9"/>
  <c r="W21" i="9"/>
  <c r="W29" i="9"/>
  <c r="C36" i="9"/>
  <c r="W37" i="9"/>
  <c r="W9" i="9"/>
  <c r="W13" i="9"/>
  <c r="W19" i="9"/>
  <c r="W27" i="9"/>
  <c r="W28" i="9"/>
  <c r="C35" i="9"/>
  <c r="C19" i="9"/>
  <c r="C23" i="9"/>
  <c r="F13" i="9" s="1"/>
  <c r="V10" i="9"/>
  <c r="V12" i="9"/>
  <c r="C28" i="9"/>
  <c r="F14" i="9" s="1"/>
  <c r="W32" i="9"/>
  <c r="W33" i="9"/>
  <c r="W34" i="9"/>
  <c r="W35" i="9"/>
  <c r="V36" i="9"/>
  <c r="C38" i="9"/>
  <c r="F16" i="9" s="1"/>
  <c r="W39" i="9"/>
  <c r="V40" i="9"/>
  <c r="V41" i="9"/>
  <c r="B89" i="9"/>
  <c r="B91" i="9"/>
  <c r="B93" i="9"/>
  <c r="B95" i="9"/>
  <c r="B97" i="9"/>
  <c r="C9" i="9"/>
  <c r="F9" i="9" s="1"/>
  <c r="C13" i="9"/>
  <c r="F11" i="9" s="1"/>
  <c r="C15" i="9"/>
  <c r="C25" i="9"/>
  <c r="B10" i="9"/>
  <c r="C10" i="9"/>
  <c r="F10" i="9" s="1"/>
  <c r="W10" i="9"/>
  <c r="C12" i="9"/>
  <c r="W12" i="9"/>
  <c r="C14" i="9"/>
  <c r="W14" i="9"/>
  <c r="C16" i="9"/>
  <c r="W16" i="9"/>
  <c r="C18" i="9"/>
  <c r="F12" i="9" s="1"/>
  <c r="W18" i="9"/>
  <c r="C20" i="9"/>
  <c r="W20" i="9"/>
  <c r="C22" i="9"/>
  <c r="W22" i="9"/>
  <c r="C24" i="9"/>
  <c r="W24" i="9"/>
  <c r="C26" i="9"/>
  <c r="W26" i="9"/>
  <c r="C29" i="9"/>
  <c r="C30" i="9"/>
  <c r="C31" i="9"/>
  <c r="C32" i="9"/>
  <c r="W36" i="9"/>
  <c r="V37" i="9"/>
  <c r="C39" i="9"/>
  <c r="W40" i="9"/>
  <c r="C43" i="9"/>
  <c r="F17" i="9" s="1"/>
  <c r="C45" i="9"/>
  <c r="C47" i="9"/>
  <c r="C49" i="9"/>
  <c r="C51" i="9"/>
  <c r="C53" i="9"/>
  <c r="F19" i="9" s="1"/>
  <c r="C55" i="9"/>
  <c r="C57" i="9"/>
  <c r="C59" i="9"/>
  <c r="C61" i="9"/>
  <c r="C63" i="9"/>
  <c r="F21" i="9" s="1"/>
  <c r="C65" i="9"/>
  <c r="C67" i="9"/>
  <c r="C69" i="9"/>
  <c r="C71" i="9"/>
  <c r="C73" i="9"/>
  <c r="F23" i="9" s="1"/>
  <c r="C75" i="9"/>
  <c r="C77" i="9"/>
  <c r="C79" i="9"/>
  <c r="C81" i="9"/>
  <c r="C83" i="9"/>
  <c r="F25" i="9" s="1"/>
  <c r="C85" i="9"/>
  <c r="C87" i="9"/>
  <c r="C89" i="9"/>
  <c r="C91" i="9"/>
  <c r="C93" i="9"/>
  <c r="C95" i="9"/>
  <c r="C97" i="9"/>
  <c r="B90" i="9"/>
  <c r="B92" i="9"/>
  <c r="B94" i="9"/>
  <c r="B96" i="9"/>
  <c r="C11" i="9"/>
  <c r="C17" i="9"/>
  <c r="C21" i="9"/>
  <c r="C27" i="9"/>
  <c r="C37" i="9"/>
  <c r="W38" i="9"/>
  <c r="C41" i="9"/>
  <c r="C42" i="9"/>
  <c r="C44" i="9"/>
  <c r="C46" i="9"/>
  <c r="C48" i="9"/>
  <c r="F18" i="9" s="1"/>
  <c r="C50" i="9"/>
  <c r="C52" i="9"/>
  <c r="C54" i="9"/>
  <c r="C56" i="9"/>
  <c r="C58" i="9"/>
  <c r="F20" i="9" s="1"/>
  <c r="C60" i="9"/>
  <c r="C62" i="9"/>
  <c r="C64" i="9"/>
  <c r="C66" i="9"/>
  <c r="C68" i="9"/>
  <c r="F22" i="9" s="1"/>
  <c r="C70" i="9"/>
  <c r="C72" i="9"/>
  <c r="C74" i="9"/>
  <c r="C76" i="9"/>
  <c r="C78" i="9"/>
  <c r="F24" i="9" s="1"/>
  <c r="C80" i="9"/>
  <c r="C82" i="9"/>
  <c r="C84" i="9"/>
  <c r="C86" i="9"/>
  <c r="C88" i="9"/>
  <c r="F26" i="9" s="1"/>
  <c r="C90" i="9"/>
  <c r="C92" i="9"/>
  <c r="C94" i="9"/>
  <c r="C96" i="9"/>
  <c r="BY4" i="8" l="1"/>
  <c r="BS4" i="8" l="1"/>
  <c r="BV4" i="8" l="1"/>
  <c r="A28" i="3" l="1"/>
  <c r="B28" i="3"/>
  <c r="C28" i="3" s="1"/>
  <c r="A29" i="3"/>
  <c r="B29" i="3"/>
  <c r="C29" i="3" s="1"/>
  <c r="A30" i="3"/>
  <c r="B30" i="3"/>
  <c r="C30" i="3" s="1"/>
  <c r="A31" i="3"/>
  <c r="B31" i="3"/>
  <c r="C31" i="3" s="1"/>
  <c r="A32" i="3"/>
  <c r="B32" i="3"/>
  <c r="C32" i="3" s="1"/>
  <c r="A33" i="3"/>
  <c r="B33" i="3"/>
  <c r="C33" i="3" s="1"/>
  <c r="A34" i="3"/>
  <c r="B34" i="3"/>
  <c r="C34" i="3" s="1"/>
  <c r="A35" i="3"/>
  <c r="B35" i="3"/>
  <c r="C35" i="3" s="1"/>
  <c r="A36" i="3"/>
  <c r="B36" i="3"/>
  <c r="C36" i="3" s="1"/>
  <c r="A37" i="3"/>
  <c r="B37" i="3"/>
  <c r="C37" i="3" s="1"/>
  <c r="A38" i="3"/>
  <c r="B38" i="3"/>
  <c r="C38" i="3" s="1"/>
  <c r="A39" i="3"/>
  <c r="B39" i="3"/>
  <c r="C39" i="3" s="1"/>
  <c r="A40" i="3"/>
  <c r="B40" i="3"/>
  <c r="C40" i="3" s="1"/>
  <c r="A41" i="3"/>
  <c r="B41" i="3"/>
  <c r="C41" i="3" s="1"/>
  <c r="B27" i="3"/>
  <c r="A27" i="3"/>
  <c r="B46" i="3" l="1"/>
  <c r="C46" i="3" s="1"/>
  <c r="CT4" i="8"/>
  <c r="BQ4" i="8"/>
  <c r="D40" i="3"/>
  <c r="D36" i="3"/>
  <c r="D32" i="3"/>
  <c r="D28" i="3"/>
  <c r="D27" i="3"/>
  <c r="D41" i="3"/>
  <c r="D37" i="3"/>
  <c r="D33" i="3"/>
  <c r="D29" i="3"/>
  <c r="D38" i="3"/>
  <c r="D34" i="3"/>
  <c r="D30" i="3"/>
  <c r="D39" i="3"/>
  <c r="D35" i="3"/>
  <c r="D31" i="3"/>
  <c r="C27" i="3"/>
  <c r="CX4" i="8" l="1"/>
  <c r="DP4" i="8"/>
  <c r="CU4" i="8"/>
  <c r="D46" i="3"/>
  <c r="V20" i="3"/>
  <c r="X18" i="3"/>
  <c r="X17" i="3"/>
  <c r="R20" i="3"/>
  <c r="S20" i="3" s="1"/>
  <c r="N20" i="3"/>
  <c r="X16" i="3"/>
  <c r="X15" i="3"/>
  <c r="X14" i="3"/>
  <c r="X13" i="3"/>
  <c r="X12" i="3"/>
  <c r="X11" i="3"/>
  <c r="X10" i="3"/>
  <c r="X9" i="3"/>
  <c r="X8" i="3"/>
  <c r="DT4" i="8" l="1"/>
  <c r="CY4" i="8"/>
  <c r="CR4" i="8"/>
  <c r="X20" i="3"/>
  <c r="W20" i="3"/>
  <c r="T16" i="3" l="1"/>
  <c r="T15" i="3"/>
  <c r="T14" i="3"/>
  <c r="T13" i="3"/>
  <c r="T12" i="3"/>
  <c r="T11" i="3"/>
  <c r="T10" i="3"/>
  <c r="T9" i="3"/>
  <c r="T8" i="3"/>
  <c r="P18" i="3"/>
  <c r="P17" i="3"/>
  <c r="P16" i="3"/>
  <c r="P15" i="3"/>
  <c r="P14" i="3"/>
  <c r="P13" i="3"/>
  <c r="P12" i="3"/>
  <c r="P11" i="3"/>
  <c r="P10" i="3"/>
  <c r="P9" i="3"/>
  <c r="P8" i="3"/>
  <c r="BK4" i="8"/>
  <c r="L17" i="3"/>
  <c r="L16" i="3"/>
  <c r="L18" i="3"/>
  <c r="L15" i="3"/>
  <c r="L14" i="3"/>
  <c r="L13" i="3"/>
  <c r="L12" i="3"/>
  <c r="L11" i="3"/>
  <c r="L10" i="3"/>
  <c r="L9" i="3"/>
  <c r="L8" i="3"/>
  <c r="H17" i="3"/>
  <c r="H16" i="3"/>
  <c r="H18" i="3"/>
  <c r="H15" i="3"/>
  <c r="H14" i="3"/>
  <c r="H13" i="3"/>
  <c r="H12" i="3"/>
  <c r="H11" i="3"/>
  <c r="H10" i="3"/>
  <c r="H9" i="3"/>
  <c r="H8" i="3"/>
  <c r="D17" i="3"/>
  <c r="D16" i="3"/>
  <c r="D18" i="3"/>
  <c r="D15" i="3"/>
  <c r="D14" i="3"/>
  <c r="D13" i="3"/>
  <c r="D12" i="3"/>
  <c r="D11" i="3"/>
  <c r="D10" i="3"/>
  <c r="D9" i="3"/>
  <c r="D8" i="3"/>
  <c r="CJ4" i="8" l="1"/>
  <c r="CH4" i="8"/>
  <c r="CP4" i="8"/>
  <c r="CL4" i="8"/>
  <c r="CN4" i="8"/>
  <c r="T20" i="3"/>
  <c r="BM4" i="8"/>
  <c r="M37" i="3"/>
  <c r="M40" i="3" s="1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J26" i="3"/>
  <c r="J24" i="3"/>
  <c r="A24" i="3"/>
  <c r="D26" i="3"/>
  <c r="B26" i="3"/>
  <c r="A26" i="3"/>
  <c r="BI4" i="8"/>
  <c r="L40" i="3" l="1"/>
  <c r="L39" i="3"/>
  <c r="M39" i="3" s="1"/>
  <c r="F20" i="3" l="1"/>
  <c r="H20" i="3" s="1"/>
  <c r="B20" i="3" l="1"/>
  <c r="D20" i="3" l="1"/>
  <c r="C20" i="3"/>
  <c r="CF4" i="8" l="1"/>
  <c r="BC4" i="8"/>
  <c r="BE4" i="8" l="1"/>
  <c r="BO4" i="8" l="1"/>
  <c r="DA4" i="8" l="1"/>
  <c r="DD4" i="8" s="1"/>
  <c r="BU4" i="8"/>
  <c r="BG4" i="8"/>
  <c r="DE4" i="8" l="1"/>
  <c r="DN4" i="8" s="1"/>
  <c r="DO4" i="8" s="1"/>
  <c r="BW4" i="8"/>
  <c r="G20" i="3"/>
  <c r="J20" i="3" l="1"/>
  <c r="L20" i="3" s="1"/>
  <c r="DH4" i="8" l="1"/>
  <c r="K20" i="3"/>
  <c r="P20" i="3"/>
  <c r="BZ4" i="8" l="1"/>
  <c r="CA4" i="8" s="1"/>
  <c r="CB4" i="8" s="1"/>
  <c r="O20" i="3"/>
</calcChain>
</file>

<file path=xl/sharedStrings.xml><?xml version="1.0" encoding="utf-8"?>
<sst xmlns="http://schemas.openxmlformats.org/spreadsheetml/2006/main" count="15330" uniqueCount="7927">
  <si>
    <t>gr1</t>
  </si>
  <si>
    <t>gr3</t>
  </si>
  <si>
    <t>gr4</t>
  </si>
  <si>
    <t>Газоснабжение</t>
  </si>
  <si>
    <t>Наличие газоснабжения</t>
  </si>
  <si>
    <t>YS</t>
  </si>
  <si>
    <t>VZ</t>
  </si>
  <si>
    <t>NO</t>
  </si>
  <si>
    <t>Электроснабжение</t>
  </si>
  <si>
    <t>Наличие электроснабжения</t>
  </si>
  <si>
    <t>Наличие водоснабжения</t>
  </si>
  <si>
    <t>Наличие</t>
  </si>
  <si>
    <t>Отсутствие</t>
  </si>
  <si>
    <t>Наличие водоотведения</t>
  </si>
  <si>
    <t>Отсутствие ЛЭП</t>
  </si>
  <si>
    <t>Зона влияния ИЖС</t>
  </si>
  <si>
    <t>Идентификатор</t>
  </si>
  <si>
    <t>Кадастровый номер</t>
  </si>
  <si>
    <t>Номер кадастрового квартала</t>
  </si>
  <si>
    <t>Площадь в квадратных метрах</t>
  </si>
  <si>
    <t>13:021</t>
  </si>
  <si>
    <t>отсутствие</t>
  </si>
  <si>
    <t>наличие</t>
  </si>
  <si>
    <t>Водоснабжение</t>
  </si>
  <si>
    <t>Отсутствие водоснабжения</t>
  </si>
  <si>
    <t>Водоотведение</t>
  </si>
  <si>
    <t>Отсутствие водоотведения</t>
  </si>
  <si>
    <t>ЛЭП над участком (ЦФ)</t>
  </si>
  <si>
    <t>loc_factor_825</t>
  </si>
  <si>
    <t>loc_factor_804</t>
  </si>
  <si>
    <t>loc_factor_826</t>
  </si>
  <si>
    <t>loc_factor_829</t>
  </si>
  <si>
    <t>пересечение</t>
  </si>
  <si>
    <t>есть</t>
  </si>
  <si>
    <t>Есть</t>
  </si>
  <si>
    <t>нет</t>
  </si>
  <si>
    <t>Нет</t>
  </si>
  <si>
    <t>семантика</t>
  </si>
  <si>
    <t>точное совпадение</t>
  </si>
  <si>
    <t>правило</t>
  </si>
  <si>
    <t>иное(возможность)</t>
  </si>
  <si>
    <t>Наличие ЛЭП</t>
  </si>
  <si>
    <t>13:031</t>
  </si>
  <si>
    <t>02:011</t>
  </si>
  <si>
    <t>Водоотведение (ЦФ)</t>
  </si>
  <si>
    <t>Газоснабжение (ЦФ)</t>
  </si>
  <si>
    <t>Отсутствие газоснабжения</t>
  </si>
  <si>
    <t>Электроснабжение (ЦФ)</t>
  </si>
  <si>
    <t>Водоснабжение (ЦФ)</t>
  </si>
  <si>
    <t>Отсутствие электроснабжения</t>
  </si>
  <si>
    <t>Индивидуальное жилищное строительство в целом</t>
  </si>
  <si>
    <t>02:010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</si>
  <si>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</t>
  </si>
  <si>
    <t>Размещение индивидуального жилого дома в организованных коттеджных поселках</t>
  </si>
  <si>
    <t>02:019</t>
  </si>
  <si>
    <t>Ведение личного подсобного хозяйства с правом застройки в целом</t>
  </si>
  <si>
    <t>02:020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</si>
  <si>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</t>
  </si>
  <si>
    <t>02:021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</si>
  <si>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</t>
  </si>
  <si>
    <t>02:023</t>
  </si>
  <si>
    <t>Ведение садоводства. Осуществление отдыха и (или) деятельности, связанной с выращиванием гражданами для собственных нужд сельскохозяйственных культур; размещение садовых домов, жилых домов, размещение для собственных нужд гаражей и иных хозяйственных пос</t>
  </si>
  <si>
    <t>Ведение огородничества.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</t>
  </si>
  <si>
    <t>13:011</t>
  </si>
  <si>
    <t>Ведение дачного хозяйства. Размещение жилого дачного дома, не предназначенного для раздела на квартиры, пригодного для отдыха и проживания, высотой не выше трех надземных этажей</t>
  </si>
  <si>
    <t>Блокированная жилая застройка в целом</t>
  </si>
  <si>
    <t>02:030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</si>
  <si>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</t>
  </si>
  <si>
    <t>02:031</t>
  </si>
  <si>
    <t>Вид разрешенного использования</t>
  </si>
  <si>
    <t>Зона влияния для ИЖС (ЦФ)</t>
  </si>
  <si>
    <t>Модуль</t>
  </si>
  <si>
    <t>контрольный образец</t>
  </si>
  <si>
    <t>Есть подъезд</t>
  </si>
  <si>
    <t>отсыпанная</t>
  </si>
  <si>
    <t>Наличие подъезда</t>
  </si>
  <si>
    <t>Отсутствие подъезда</t>
  </si>
  <si>
    <t>Наличие подъезда (ЦФ)</t>
  </si>
  <si>
    <t>ЛЭП над участком</t>
  </si>
  <si>
    <t>Подъезд к участку</t>
  </si>
  <si>
    <t>Садовые объединения</t>
  </si>
  <si>
    <t>Дачные и коттеджные объединения</t>
  </si>
  <si>
    <t>Индивидуальные поселения</t>
  </si>
  <si>
    <t>Подъезд к участку (ЦФ)</t>
  </si>
  <si>
    <t>расшифровка ВРИ</t>
  </si>
  <si>
    <t>код ВРИ</t>
  </si>
  <si>
    <t>ss</t>
  </si>
  <si>
    <t>Юг</t>
  </si>
  <si>
    <t>грунтовая</t>
  </si>
  <si>
    <t>асфальт</t>
  </si>
  <si>
    <t>loc_factor_840</t>
  </si>
  <si>
    <t>Ошибка определения</t>
  </si>
  <si>
    <t>Пересечение</t>
  </si>
  <si>
    <t>Возможность подключения газоснабжения</t>
  </si>
  <si>
    <t>текст</t>
  </si>
  <si>
    <t>Градации (код)</t>
  </si>
  <si>
    <t>Возможные градации (описание)</t>
  </si>
  <si>
    <t>!MST!</t>
  </si>
  <si>
    <t>возможность</t>
  </si>
  <si>
    <t>Возможность подключения электроснабжения</t>
  </si>
  <si>
    <t>иное</t>
  </si>
  <si>
    <t>рядом</t>
  </si>
  <si>
    <t>Номер модели</t>
  </si>
  <si>
    <t>Фактор</t>
  </si>
  <si>
    <t>Тип фактора</t>
  </si>
  <si>
    <t>Значение коэффициента регрессора в мультипликативной модели</t>
  </si>
  <si>
    <t>Значение градации</t>
  </si>
  <si>
    <t>Признак типовой зоны</t>
  </si>
  <si>
    <t>Коэффициент регрессора</t>
  </si>
  <si>
    <t>Минимальное значение числовой переменной</t>
  </si>
  <si>
    <t>Максимальное значение числовой переменной</t>
  </si>
  <si>
    <t>Максимальное значение фактора</t>
  </si>
  <si>
    <t>Миниимальное значение фактора</t>
  </si>
  <si>
    <t>№ Фактора в модели</t>
  </si>
  <si>
    <t>Не знаю что это такое</t>
  </si>
  <si>
    <t>Качественный</t>
  </si>
  <si>
    <t>V1</t>
  </si>
  <si>
    <t>V2</t>
  </si>
  <si>
    <t>V3</t>
  </si>
  <si>
    <t>V4</t>
  </si>
  <si>
    <t>V5</t>
  </si>
  <si>
    <t>V6</t>
  </si>
  <si>
    <t>V7</t>
  </si>
  <si>
    <t>V8</t>
  </si>
  <si>
    <t>Общая площадь</t>
  </si>
  <si>
    <t>количественный</t>
  </si>
  <si>
    <t>Это аппрокисимирующая функция, учитывет коэффициент регрессора</t>
  </si>
  <si>
    <t>V9</t>
  </si>
  <si>
    <t>V10</t>
  </si>
  <si>
    <t>Уторгование</t>
  </si>
  <si>
    <t>коэффициент вне модели</t>
  </si>
  <si>
    <t>Наличие уторгования</t>
  </si>
  <si>
    <t>V11</t>
  </si>
  <si>
    <t>Отсутствие  уторгования</t>
  </si>
  <si>
    <t>площадь</t>
  </si>
  <si>
    <t>расстояние</t>
  </si>
  <si>
    <t>Площадь (ЦФ)</t>
  </si>
  <si>
    <t>loc_factor_822</t>
  </si>
  <si>
    <t>loc_factor_828</t>
  </si>
  <si>
    <t>loc_factor_803</t>
  </si>
  <si>
    <t>loc_factor_807</t>
  </si>
  <si>
    <t>loc_factor_827</t>
  </si>
  <si>
    <t>Specific_CadastralCost</t>
  </si>
  <si>
    <t>CadastralCost</t>
  </si>
  <si>
    <t>id_group</t>
  </si>
  <si>
    <t>CadastralCostDesc</t>
  </si>
  <si>
    <t>константа</t>
  </si>
  <si>
    <t>итог</t>
  </si>
  <si>
    <t>Уторгование (ЦФ)</t>
  </si>
  <si>
    <t>коэффициент</t>
  </si>
  <si>
    <t>УПС</t>
  </si>
  <si>
    <t>Общая стоимость</t>
  </si>
  <si>
    <t>Формулы</t>
  </si>
  <si>
    <t>значение аппроксимирующей функции</t>
  </si>
  <si>
    <t>значение</t>
  </si>
  <si>
    <t xml:space="preserve"> LN</t>
  </si>
  <si>
    <t>(LN*cnst)</t>
  </si>
  <si>
    <t>EXP(LN*cnst)</t>
  </si>
  <si>
    <t>cnst</t>
  </si>
  <si>
    <t>верхняя граница</t>
  </si>
  <si>
    <t>нижняя граница</t>
  </si>
  <si>
    <t>контрольная функция из листа "количественные факторы"</t>
  </si>
  <si>
    <t>расчетные коэффициенты по модели</t>
  </si>
  <si>
    <t>коэффициент по расстоянию</t>
  </si>
  <si>
    <t>коэффициент по площади</t>
  </si>
  <si>
    <t>граничные значения</t>
  </si>
  <si>
    <t>площадь, кв.м.</t>
  </si>
  <si>
    <t>исходная функция (желтая)</t>
  </si>
  <si>
    <t>экспонированная функция (синяя)</t>
  </si>
  <si>
    <t>аппроксимирующая функция (серая)</t>
  </si>
  <si>
    <t>контроьные значения аппроксимирующей</t>
  </si>
  <si>
    <t xml:space="preserve"> график в отчет</t>
  </si>
  <si>
    <t>график в отчет</t>
  </si>
  <si>
    <t>среднезональные расстояния</t>
  </si>
  <si>
    <t>avg_dst_z0</t>
  </si>
  <si>
    <t>zona</t>
  </si>
  <si>
    <t>принятые решения</t>
  </si>
  <si>
    <t>(EXP(LN(ЕСЛИ(Расстояние до зон транспортного безразличия &lt;5;1;ЕСЛИ(Расстояние до зон транспортного безразличия &gt;27,5;0,6638;((0,00000009167685587011*( Расстояние до зон транспортного безразличия)^4+0,0000152896622956704*( Расстояние до зон транспортного безразличия)^3-0,00161875861673315*( Расстояние до зон транспортного безразличия)^2+0,0151997782316484*( Расстояние до зон транспортного безразличия)+0,962501568438211)))))*0,6392)</t>
  </si>
  <si>
    <t>loc_factor_8071</t>
  </si>
  <si>
    <t>ID</t>
  </si>
  <si>
    <t>CadastralNumber</t>
  </si>
  <si>
    <t>loc_VICode</t>
  </si>
  <si>
    <t>с коэфф утргования =</t>
  </si>
  <si>
    <r>
      <t>0.00000000000000311x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+ 0.00000000000610051x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- 0.00000019488839112x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+ 0.00038579560251740x + 0.79443935598877000</t>
    </r>
  </si>
  <si>
    <t>!!! Правильный лист с точностью до 20 знаков в файле 19_modul0.xlsx</t>
  </si>
  <si>
    <t>y=(EXP(LN(ЕСЛИ(x&lt;5;1;ЕСЛИ(x&gt;27,5;0,5237;((0,00000009*(x)^4+0,00001501*(x)^3-0,00158915*(x)^2+0,01492176*(x)+0,94489651)*1,0186317318901))))*0,6174))</t>
  </si>
  <si>
    <t>x4</t>
  </si>
  <si>
    <t>x3</t>
  </si>
  <si>
    <t>x2</t>
  </si>
  <si>
    <t>x</t>
  </si>
  <si>
    <t>inter</t>
  </si>
  <si>
    <t>ee</t>
  </si>
  <si>
    <t>Восток</t>
  </si>
  <si>
    <t>ne1</t>
  </si>
  <si>
    <t>Северо-Восток_1</t>
  </si>
  <si>
    <t>ne2</t>
  </si>
  <si>
    <t>Северо-Восток_2</t>
  </si>
  <si>
    <t>nw</t>
  </si>
  <si>
    <t>Северо-Запад</t>
  </si>
  <si>
    <t>nn</t>
  </si>
  <si>
    <t>Север</t>
  </si>
  <si>
    <t>se1</t>
  </si>
  <si>
    <t>Юго-Восток_1</t>
  </si>
  <si>
    <t>se2</t>
  </si>
  <si>
    <t>Юго-Восток_2</t>
  </si>
  <si>
    <t>sw1</t>
  </si>
  <si>
    <t>Юго-Запад_1</t>
  </si>
  <si>
    <t>sw2</t>
  </si>
  <si>
    <t>Юго-Запад_2</t>
  </si>
  <si>
    <t>sw3</t>
  </si>
  <si>
    <t>Юго-Запад_3</t>
  </si>
  <si>
    <t>sw4</t>
  </si>
  <si>
    <t>Юго-Запад_4</t>
  </si>
  <si>
    <t>ww1</t>
  </si>
  <si>
    <t>Запад_1</t>
  </si>
  <si>
    <t>ww2</t>
  </si>
  <si>
    <t>Запад_2</t>
  </si>
  <si>
    <t>cc</t>
  </si>
  <si>
    <t>Центр</t>
  </si>
  <si>
    <t>ЕСЛИ(Общая площадь&gt;4200;0,4000;(-0.0000000000000031307*Общая площадь^4 + 0.000000000063387082*Общая площадь^3- 0.0000001959542362702*Общая площадь^2 +0.000387905519741556*Общая площадь + 0.798784147038265000))</t>
  </si>
  <si>
    <t>нет ограничения</t>
  </si>
  <si>
    <t>Расстояние до зон транспортного безразличия</t>
  </si>
  <si>
    <t>с учетом повышающего коэффициента</t>
  </si>
  <si>
    <t>sysert_1</t>
  </si>
  <si>
    <t>Сысерть_1</t>
  </si>
  <si>
    <t>loc_factor_837</t>
  </si>
  <si>
    <t>Расстояние до зон транспотного безразличия (ЦФ)</t>
  </si>
  <si>
    <t>Расстояние до зон транспотного безразличия</t>
  </si>
  <si>
    <t xml:space="preserve">Расстояние до зон транспотного безразличия </t>
  </si>
  <si>
    <t>Группа для XML</t>
  </si>
  <si>
    <t>Код расчета вида использования</t>
  </si>
  <si>
    <t>Зона вляния для ИЖС</t>
  </si>
  <si>
    <t>Код Муниципального образования</t>
  </si>
  <si>
    <t>47</t>
  </si>
  <si>
    <t>66:41:0521033</t>
  </si>
  <si>
    <t>Вид разрешённого использования (ЦФ)</t>
  </si>
  <si>
    <t>Код МО (ЦФ)</t>
  </si>
  <si>
    <t>Удельный показатель кадастровой стоимости(руб/м2)</t>
  </si>
  <si>
    <t>Кадастровая стоимость (руб)</t>
  </si>
  <si>
    <t>Кадастровая стоимость описание вых</t>
  </si>
  <si>
    <t>Номер заявления</t>
  </si>
  <si>
    <t>Тип заявления</t>
  </si>
  <si>
    <t>Статус заявления</t>
  </si>
  <si>
    <t>флажок</t>
  </si>
  <si>
    <t>Дата пакета</t>
  </si>
  <si>
    <t>Статус расчета</t>
  </si>
  <si>
    <t>Дата комиссии</t>
  </si>
  <si>
    <t>Решение комиссии</t>
  </si>
  <si>
    <t>Флаг кода НП</t>
  </si>
  <si>
    <t>Флаг ВРИ по документу</t>
  </si>
  <si>
    <t>Флаг площади</t>
  </si>
  <si>
    <t>Флаг ВРИ старый спр</t>
  </si>
  <si>
    <t>Флаг ВРИ новый спр</t>
  </si>
  <si>
    <t>Флаг Категории ЗУ</t>
  </si>
  <si>
    <t>Правило</t>
  </si>
  <si>
    <t>Новоя модель</t>
  </si>
  <si>
    <t>Подъезд к участку(ЦФ)</t>
  </si>
  <si>
    <t>66:41:0610030</t>
  </si>
  <si>
    <t>66:41:0606081</t>
  </si>
  <si>
    <t>66:41:0518001</t>
  </si>
  <si>
    <t>66:41:0307030</t>
  </si>
  <si>
    <t>66:41:0310041</t>
  </si>
  <si>
    <t>66:41:0704007</t>
  </si>
  <si>
    <t>66:41:0510008</t>
  </si>
  <si>
    <t>66:41:0521024</t>
  </si>
  <si>
    <t>66:41:0507038</t>
  </si>
  <si>
    <t>66:41:0310044</t>
  </si>
  <si>
    <t>66:41:0521050</t>
  </si>
  <si>
    <t>66:41:0711072</t>
  </si>
  <si>
    <t>66:41:0519010</t>
  </si>
  <si>
    <t>66:41:0514003</t>
  </si>
  <si>
    <t>66:41:0606047</t>
  </si>
  <si>
    <t>66:41:0519048</t>
  </si>
  <si>
    <t>66:41:0109032</t>
  </si>
  <si>
    <t>66:41:0310019</t>
  </si>
  <si>
    <t>66:41:0310010</t>
  </si>
  <si>
    <t>66:41:0521011</t>
  </si>
  <si>
    <t>66:41:0310051</t>
  </si>
  <si>
    <t>66:41:0513045</t>
  </si>
  <si>
    <t>66:41:0309078</t>
  </si>
  <si>
    <t>66:41:0614055</t>
  </si>
  <si>
    <t>66:41:0510071</t>
  </si>
  <si>
    <t>66:41:0310063</t>
  </si>
  <si>
    <t>66:41:0210058</t>
  </si>
  <si>
    <t>66:41:0513040</t>
  </si>
  <si>
    <t>66:41:0707009</t>
  </si>
  <si>
    <t>66:41:0614057</t>
  </si>
  <si>
    <t>66:41:0310035</t>
  </si>
  <si>
    <t>66:41:0513032</t>
  </si>
  <si>
    <t>66:41:0514011</t>
  </si>
  <si>
    <t>66:41:0309098</t>
  </si>
  <si>
    <t>66:41:0306071</t>
  </si>
  <si>
    <t>66:41:0514047</t>
  </si>
  <si>
    <t>66:41:0513033</t>
  </si>
  <si>
    <t>66:41:0507026</t>
  </si>
  <si>
    <t>66:41:0101014</t>
  </si>
  <si>
    <t>66:41:0313021</t>
  </si>
  <si>
    <t>66:41:0303053</t>
  </si>
  <si>
    <t>66:41:0606082</t>
  </si>
  <si>
    <t>66:41:0511023</t>
  </si>
  <si>
    <t>66:41:0309049</t>
  </si>
  <si>
    <t>66:41:0310001</t>
  </si>
  <si>
    <t>66:41:0309012</t>
  </si>
  <si>
    <t>66:41:0309071</t>
  </si>
  <si>
    <t>66:41:0521030</t>
  </si>
  <si>
    <t>66:41:0610027</t>
  </si>
  <si>
    <t>66:41:0711067</t>
  </si>
  <si>
    <t>66:41:0511025</t>
  </si>
  <si>
    <t>66:41:0511007</t>
  </si>
  <si>
    <t>66:41:0712028</t>
  </si>
  <si>
    <t>66:41:0508003</t>
  </si>
  <si>
    <t>66:41:0313023</t>
  </si>
  <si>
    <t>66:41:0614054</t>
  </si>
  <si>
    <t>66:41:0310017</t>
  </si>
  <si>
    <t>66:41:0513044</t>
  </si>
  <si>
    <t>66:41:0203035</t>
  </si>
  <si>
    <t>66:41:0614077</t>
  </si>
  <si>
    <t>66:41:0307029</t>
  </si>
  <si>
    <t>66:41:0614017</t>
  </si>
  <si>
    <t>66:41:0403068</t>
  </si>
  <si>
    <t>66:41:0508010</t>
  </si>
  <si>
    <t>66:41:0310009</t>
  </si>
  <si>
    <t>66:41:0510052</t>
  </si>
  <si>
    <t>66:41:0513098</t>
  </si>
  <si>
    <t>66:41:0527001</t>
  </si>
  <si>
    <t>66:41:0513125</t>
  </si>
  <si>
    <t>66:41:0702027</t>
  </si>
  <si>
    <t>66:41:0511022</t>
  </si>
  <si>
    <t>66:41:0513037</t>
  </si>
  <si>
    <t>66:41:0521010</t>
  </si>
  <si>
    <t>66:41:0519018</t>
  </si>
  <si>
    <t>66:41:0209073</t>
  </si>
  <si>
    <t>66:41:0209074</t>
  </si>
  <si>
    <t>66:41:0614015</t>
  </si>
  <si>
    <t>66:41:0513041</t>
  </si>
  <si>
    <t>66:41:0511011</t>
  </si>
  <si>
    <t>66:41:0510058</t>
  </si>
  <si>
    <t>66:41:0203074</t>
  </si>
  <si>
    <t>66:41:0516017</t>
  </si>
  <si>
    <t>66:41:0502095</t>
  </si>
  <si>
    <t>66:41:0309057</t>
  </si>
  <si>
    <t>66:41:0403022</t>
  </si>
  <si>
    <t>66:41:0310014</t>
  </si>
  <si>
    <t>66:41:0712046</t>
  </si>
  <si>
    <t>66:41:0513005</t>
  </si>
  <si>
    <t>66:41:0101008</t>
  </si>
  <si>
    <t>66:41:0310042</t>
  </si>
  <si>
    <t>66:41:0310002</t>
  </si>
  <si>
    <t>66:41:0310034</t>
  </si>
  <si>
    <t>66:41:0514043</t>
  </si>
  <si>
    <t>66:41:0521042</t>
  </si>
  <si>
    <t>66:41:0309025</t>
  </si>
  <si>
    <t>66:41:0712048</t>
  </si>
  <si>
    <t>66:41:0513128</t>
  </si>
  <si>
    <t>66:41:0512001</t>
  </si>
  <si>
    <t>66:41:0303098</t>
  </si>
  <si>
    <t>66:41:0307026</t>
  </si>
  <si>
    <t>66:41:0308002</t>
  </si>
  <si>
    <t>66:41:0309099</t>
  </si>
  <si>
    <t>66:41:0606079</t>
  </si>
  <si>
    <t>66:41:0521001</t>
  </si>
  <si>
    <t>66:41:0303024</t>
  </si>
  <si>
    <t>66:41:0309061</t>
  </si>
  <si>
    <t>66:41:0309063</t>
  </si>
  <si>
    <t>66:41:0508013</t>
  </si>
  <si>
    <t>66:41:0307086</t>
  </si>
  <si>
    <t>66:41:0309100</t>
  </si>
  <si>
    <t>66:41:0515020</t>
  </si>
  <si>
    <t>66:41:0605010</t>
  </si>
  <si>
    <t>66:41:0307072</t>
  </si>
  <si>
    <t>66:41:0605015</t>
  </si>
  <si>
    <t>66:41:0305018</t>
  </si>
  <si>
    <t>66:41:0508072</t>
  </si>
  <si>
    <t>66:41:0309027</t>
  </si>
  <si>
    <t>66:41:0307074</t>
  </si>
  <si>
    <t>66:41:0606077</t>
  </si>
  <si>
    <t>66:41:0205046</t>
  </si>
  <si>
    <t>66:41:0521039</t>
  </si>
  <si>
    <t>66:41:0207016</t>
  </si>
  <si>
    <t>66:41:0513054</t>
  </si>
  <si>
    <t>66:41:0521040</t>
  </si>
  <si>
    <t>66:41:0606078</t>
  </si>
  <si>
    <t>66:41:0521031</t>
  </si>
  <si>
    <t>66:41:0210040</t>
  </si>
  <si>
    <t>66:41:0109025</t>
  </si>
  <si>
    <t>66:41:0510070</t>
  </si>
  <si>
    <t>66:41:0513115</t>
  </si>
  <si>
    <t>66:41:0511034</t>
  </si>
  <si>
    <t>66:41:0507024</t>
  </si>
  <si>
    <t>66:41:0106049</t>
  </si>
  <si>
    <t>66:41:0306048</t>
  </si>
  <si>
    <t>66:41:0511006</t>
  </si>
  <si>
    <t>66:41:0109017</t>
  </si>
  <si>
    <t>66:41:0310074</t>
  </si>
  <si>
    <t>66:41:0209036</t>
  </si>
  <si>
    <t>66:41:0310068</t>
  </si>
  <si>
    <t>66:41:0309093</t>
  </si>
  <si>
    <t>66:41:0614066</t>
  </si>
  <si>
    <t>66:41:0610006</t>
  </si>
  <si>
    <t>66:41:0307040</t>
  </si>
  <si>
    <t>66:41:0307041</t>
  </si>
  <si>
    <t>66:41:0513127</t>
  </si>
  <si>
    <t>66:41:0607003</t>
  </si>
  <si>
    <t>66:41:0310012</t>
  </si>
  <si>
    <t>66:41:0309044</t>
  </si>
  <si>
    <t>66:41:0307045</t>
  </si>
  <si>
    <t>66:41:0315006</t>
  </si>
  <si>
    <t>66:41:0306027</t>
  </si>
  <si>
    <t>66:41:0108020</t>
  </si>
  <si>
    <t>66:41:0511010</t>
  </si>
  <si>
    <t>66:41:0526016</t>
  </si>
  <si>
    <t>66:41:0513038</t>
  </si>
  <si>
    <t>66:41:0208007</t>
  </si>
  <si>
    <t>66:41:0614006</t>
  </si>
  <si>
    <t>66:41:0311014</t>
  </si>
  <si>
    <t>66:41:0702045</t>
  </si>
  <si>
    <t>66:41:0203077</t>
  </si>
  <si>
    <t>66:41:0109010</t>
  </si>
  <si>
    <t>66:41:0310038</t>
  </si>
  <si>
    <t>66:41:0307017</t>
  </si>
  <si>
    <t>66:41:0504032</t>
  </si>
  <si>
    <t>66:41:0504089</t>
  </si>
  <si>
    <t>66:41:0521027</t>
  </si>
  <si>
    <t>66:41:0306120</t>
  </si>
  <si>
    <t>66:41:0710032</t>
  </si>
  <si>
    <t>66:41:0504015</t>
  </si>
  <si>
    <t>66:41:0522005</t>
  </si>
  <si>
    <t>66:41:0310078</t>
  </si>
  <si>
    <t>66:41:0203009</t>
  </si>
  <si>
    <t>66:41:0108021</t>
  </si>
  <si>
    <t>66:41:0508097</t>
  </si>
  <si>
    <t>66:41:0510039</t>
  </si>
  <si>
    <t>66:41:0614022</t>
  </si>
  <si>
    <t>66:41:0508006</t>
  </si>
  <si>
    <t>66:41:0309028</t>
  </si>
  <si>
    <t>66:41:0511029</t>
  </si>
  <si>
    <t>66:41:0521013</t>
  </si>
  <si>
    <t>66:41:0502018</t>
  </si>
  <si>
    <t>66:41:0702028</t>
  </si>
  <si>
    <t>66:41:0109029</t>
  </si>
  <si>
    <t>66:41:0710009</t>
  </si>
  <si>
    <t>66:41:0507019</t>
  </si>
  <si>
    <t>66:41:0521017</t>
  </si>
  <si>
    <t>66:41:0504078</t>
  </si>
  <si>
    <t>66:41:0305017</t>
  </si>
  <si>
    <t>66:41:0310102</t>
  </si>
  <si>
    <t>66:41:0702040</t>
  </si>
  <si>
    <t>66:41:0513105</t>
  </si>
  <si>
    <t>66:41:0306090</t>
  </si>
  <si>
    <t>66:41:0609047</t>
  </si>
  <si>
    <t>66:41:0310030</t>
  </si>
  <si>
    <t>66:41:0307099</t>
  </si>
  <si>
    <t>66:41:0510009</t>
  </si>
  <si>
    <t>66:41:0306093</t>
  </si>
  <si>
    <t>66:41:0310007</t>
  </si>
  <si>
    <t>66:41:0109024</t>
  </si>
  <si>
    <t>66:41:0511021</t>
  </si>
  <si>
    <t>66:41:0313091</t>
  </si>
  <si>
    <t>66:41:0610021</t>
  </si>
  <si>
    <t>66:41:0711033</t>
  </si>
  <si>
    <t>66:41:0711062</t>
  </si>
  <si>
    <t>66:41:0310115</t>
  </si>
  <si>
    <t>66:41:0108022</t>
  </si>
  <si>
    <t>66:41:0614004</t>
  </si>
  <si>
    <t>66:41:0502035</t>
  </si>
  <si>
    <t>66:41:0614052</t>
  </si>
  <si>
    <t>66:41:0609007</t>
  </si>
  <si>
    <t>66:41:0109068</t>
  </si>
  <si>
    <t>66:41:0612013</t>
  </si>
  <si>
    <t>66:41:0306094</t>
  </si>
  <si>
    <t>66:41:0310026</t>
  </si>
  <si>
    <t>66:41:0207022</t>
  </si>
  <si>
    <t>66:41:0711014</t>
  </si>
  <si>
    <t>66:41:0507008</t>
  </si>
  <si>
    <t>66:41:0209038</t>
  </si>
  <si>
    <t>66:41:0209042</t>
  </si>
  <si>
    <t>66:41:0203003</t>
  </si>
  <si>
    <t>66:41:0521053</t>
  </si>
  <si>
    <t>66:41:0503008</t>
  </si>
  <si>
    <t>66:41:0513048</t>
  </si>
  <si>
    <t>66:41:0614020</t>
  </si>
  <si>
    <t>66:41:0607031</t>
  </si>
  <si>
    <t>66:41:0309092</t>
  </si>
  <si>
    <t>66:41:0309091</t>
  </si>
  <si>
    <t>66:41:0403037</t>
  </si>
  <si>
    <t>66:41:0507010</t>
  </si>
  <si>
    <t>66:41:0507077</t>
  </si>
  <si>
    <t>66:41:0508028</t>
  </si>
  <si>
    <t>66:41:0310093</t>
  </si>
  <si>
    <t>66:41:0102029</t>
  </si>
  <si>
    <t>66:41:0509051</t>
  </si>
  <si>
    <t>66:41:0203079</t>
  </si>
  <si>
    <t>66:41:0310011</t>
  </si>
  <si>
    <t>66:41:0506016</t>
  </si>
  <si>
    <t>66:41:0306079</t>
  </si>
  <si>
    <t>66:41:0614005</t>
  </si>
  <si>
    <t>66:41:0508043</t>
  </si>
  <si>
    <t>66:41:0507115</t>
  </si>
  <si>
    <t>66:41:0104010</t>
  </si>
  <si>
    <t>66:41:0307018</t>
  </si>
  <si>
    <t>66:41:0513121</t>
  </si>
  <si>
    <t>66:41:0707004</t>
  </si>
  <si>
    <t>66:41:0307034</t>
  </si>
  <si>
    <t>66:41:0309058</t>
  </si>
  <si>
    <t>66:41:0514016</t>
  </si>
  <si>
    <t>66:41:0610036</t>
  </si>
  <si>
    <t>66:41:0210059</t>
  </si>
  <si>
    <t>66:41:0505023</t>
  </si>
  <si>
    <t>66:41:0303151</t>
  </si>
  <si>
    <t>66:41:0521022</t>
  </si>
  <si>
    <t>66:41:0312002</t>
  </si>
  <si>
    <t>66:41:0614044</t>
  </si>
  <si>
    <t>66:41:0614042</t>
  </si>
  <si>
    <t>66:41:0307031</t>
  </si>
  <si>
    <t>66:41:0513047</t>
  </si>
  <si>
    <t>66:41:0106046</t>
  </si>
  <si>
    <t>66:41:0309068</t>
  </si>
  <si>
    <t>66:41:0710017</t>
  </si>
  <si>
    <t>66:41:0504072</t>
  </si>
  <si>
    <t>66:41:0504073</t>
  </si>
  <si>
    <t>66:41:0307022</t>
  </si>
  <si>
    <t>66:41:0310013</t>
  </si>
  <si>
    <t>66:41:0308006</t>
  </si>
  <si>
    <t>66:41:0307007</t>
  </si>
  <si>
    <t>66:41:0301003</t>
  </si>
  <si>
    <t>66:41:0313025</t>
  </si>
  <si>
    <t>66:41:0711009</t>
  </si>
  <si>
    <t>66:41:0307092</t>
  </si>
  <si>
    <t>66:41:0310073</t>
  </si>
  <si>
    <t>66:41:0502037</t>
  </si>
  <si>
    <t>66:41:0521008</t>
  </si>
  <si>
    <t>66:41:0209033</t>
  </si>
  <si>
    <t>66:41:0512004</t>
  </si>
  <si>
    <t>66:41:0513078</t>
  </si>
  <si>
    <t>66:41:0521051</t>
  </si>
  <si>
    <t>66:41:0607010</t>
  </si>
  <si>
    <t>66:41:0508034</t>
  </si>
  <si>
    <t>66:41:0303128</t>
  </si>
  <si>
    <t>66:41:0307020</t>
  </si>
  <si>
    <t>66:41:0506011</t>
  </si>
  <si>
    <t>66:41:0307076</t>
  </si>
  <si>
    <t>66:41:0508096</t>
  </si>
  <si>
    <t>66:41:0109040</t>
  </si>
  <si>
    <t>66:41:0506031</t>
  </si>
  <si>
    <t>66:41:0403006</t>
  </si>
  <si>
    <t>66:41:0515037</t>
  </si>
  <si>
    <t>66:41:0513039</t>
  </si>
  <si>
    <t>66:41:0210054</t>
  </si>
  <si>
    <t>66:41:0612025</t>
  </si>
  <si>
    <t>66:41:0521016</t>
  </si>
  <si>
    <t>66:41:0509014</t>
  </si>
  <si>
    <t>66:41:0519029</t>
  </si>
  <si>
    <t>66:41:0306059</t>
  </si>
  <si>
    <t>66:41:0607029</t>
  </si>
  <si>
    <t>66:41:0106153</t>
  </si>
  <si>
    <t>66:41:0306091</t>
  </si>
  <si>
    <t>66:41:0507017</t>
  </si>
  <si>
    <t>66:41:0506023</t>
  </si>
  <si>
    <t>66:41:0303146</t>
  </si>
  <si>
    <t>66:41:0307019</t>
  </si>
  <si>
    <t>66:41:0502025</t>
  </si>
  <si>
    <t>66:41:0309005</t>
  </si>
  <si>
    <t>66:41:0510016</t>
  </si>
  <si>
    <t>66:41:0108003</t>
  </si>
  <si>
    <t>66:41:0521014</t>
  </si>
  <si>
    <t>66:41:0403004</t>
  </si>
  <si>
    <t>66:41:0515032</t>
  </si>
  <si>
    <t>66:41:0313031</t>
  </si>
  <si>
    <t>66:41:0614041</t>
  </si>
  <si>
    <t>66:41:0521028</t>
  </si>
  <si>
    <t>66:41:0712001</t>
  </si>
  <si>
    <t>66:41:0508012</t>
  </si>
  <si>
    <t>66:41:0310029</t>
  </si>
  <si>
    <t>66:41:0403071</t>
  </si>
  <si>
    <t>66:41:0403018</t>
  </si>
  <si>
    <t>66:41:0513073</t>
  </si>
  <si>
    <t>66:41:0514042</t>
  </si>
  <si>
    <t>66:41:0310096</t>
  </si>
  <si>
    <t>66:41:0310053</t>
  </si>
  <si>
    <t>66:41:0505025</t>
  </si>
  <si>
    <t>66:41:0310120</t>
  </si>
  <si>
    <t>66:41:0508005</t>
  </si>
  <si>
    <t>66:41:0303101</t>
  </si>
  <si>
    <t>66:41:0307028</t>
  </si>
  <si>
    <t>66:41:0313001</t>
  </si>
  <si>
    <t>66:41:0521026</t>
  </si>
  <si>
    <t>66:41:0509901</t>
  </si>
  <si>
    <t>66:41:0108036</t>
  </si>
  <si>
    <t>66:41:0309097</t>
  </si>
  <si>
    <t>66:41:0102015</t>
  </si>
  <si>
    <t>66:41:0315016</t>
  </si>
  <si>
    <t>66:41:0607005</t>
  </si>
  <si>
    <t>66:41:0708005</t>
  </si>
  <si>
    <t>66:41:0315002</t>
  </si>
  <si>
    <t>66:41:0310064</t>
  </si>
  <si>
    <t>66:41:0607017</t>
  </si>
  <si>
    <t>66:41:0310040</t>
  </si>
  <si>
    <t>66:41:0508011</t>
  </si>
  <si>
    <t>66:41:0607032</t>
  </si>
  <si>
    <t>66:41:0310004</t>
  </si>
  <si>
    <t>66:41:0106161</t>
  </si>
  <si>
    <t>66:41:0614012</t>
  </si>
  <si>
    <t>66:41:0404006</t>
  </si>
  <si>
    <t>66:41:0503015</t>
  </si>
  <si>
    <t>66:41:0502038</t>
  </si>
  <si>
    <t>66:41:0710005</t>
  </si>
  <si>
    <t>66:41:0508035</t>
  </si>
  <si>
    <t>66:41:0310101</t>
  </si>
  <si>
    <t>66:41:0307043</t>
  </si>
  <si>
    <t>66:41:0708026</t>
  </si>
  <si>
    <t>66:41:0305006</t>
  </si>
  <si>
    <t>66:41:0106166</t>
  </si>
  <si>
    <t>66:41:0502007</t>
  </si>
  <si>
    <t>66:41:0606037</t>
  </si>
  <si>
    <t>66:41:0502020</t>
  </si>
  <si>
    <t>66:41:0521025</t>
  </si>
  <si>
    <t>66:41:0502004</t>
  </si>
  <si>
    <t>66:41:0519112</t>
  </si>
  <si>
    <t>66:41:0519120</t>
  </si>
  <si>
    <t>66:41:0508026</t>
  </si>
  <si>
    <t>66:41:0207028</t>
  </si>
  <si>
    <t>66:41:0307091</t>
  </si>
  <si>
    <t>66:41:0606009</t>
  </si>
  <si>
    <t>66:41:0203055</t>
  </si>
  <si>
    <t>66:41:0209035</t>
  </si>
  <si>
    <t>66:41:0502101</t>
  </si>
  <si>
    <t>66:41:0504059</t>
  </si>
  <si>
    <t>66:41:0702002</t>
  </si>
  <si>
    <t>66:41:0711017</t>
  </si>
  <si>
    <t>66:41:0106050</t>
  </si>
  <si>
    <t>66:41:0310015</t>
  </si>
  <si>
    <t>66:41:0504083</t>
  </si>
  <si>
    <t>66:41:0503020</t>
  </si>
  <si>
    <t>66:41:0310050</t>
  </si>
  <si>
    <t>66:41:0307068</t>
  </si>
  <si>
    <t>66:41:0108080</t>
  </si>
  <si>
    <t>66:41:0503004</t>
  </si>
  <si>
    <t>66:41:0310076</t>
  </si>
  <si>
    <t>66:41:0614021</t>
  </si>
  <si>
    <t>66:41:0519003</t>
  </si>
  <si>
    <t>66:41:0606080</t>
  </si>
  <si>
    <t>66:41:0712003</t>
  </si>
  <si>
    <t>66:41:0310058</t>
  </si>
  <si>
    <t>66:41:0203015</t>
  </si>
  <si>
    <t>66:41:0310003</t>
  </si>
  <si>
    <t>66:41:0610022</t>
  </si>
  <si>
    <t>66:41:0306131</t>
  </si>
  <si>
    <t>66:41:0607027</t>
  </si>
  <si>
    <t>66:41:0309072</t>
  </si>
  <si>
    <t>66:41:0711061</t>
  </si>
  <si>
    <t>66:41:0610025</t>
  </si>
  <si>
    <t>66:41:0305014</t>
  </si>
  <si>
    <t>66:41:0310062</t>
  </si>
  <si>
    <t>66:41:0612902</t>
  </si>
  <si>
    <t>66:41:0525003</t>
  </si>
  <si>
    <t>66:41:0614064</t>
  </si>
  <si>
    <t>66:41:0506012</t>
  </si>
  <si>
    <t>66:41:0310092</t>
  </si>
  <si>
    <t>66:41:0306034</t>
  </si>
  <si>
    <t>66:41:0613002</t>
  </si>
  <si>
    <t>66:41:0610016</t>
  </si>
  <si>
    <t>66:41:0307032</t>
  </si>
  <si>
    <t>66:41:0310095</t>
  </si>
  <si>
    <t>66:41:0403008</t>
  </si>
  <si>
    <t>66:41:0310005</t>
  </si>
  <si>
    <t>66:41:0506041</t>
  </si>
  <si>
    <t>66:41:0710012</t>
  </si>
  <si>
    <t>66:41:0507042</t>
  </si>
  <si>
    <t>66:41:0310056</t>
  </si>
  <si>
    <t>66:41:0306117</t>
  </si>
  <si>
    <t>66:41:0510055</t>
  </si>
  <si>
    <t>66:41:0507075</t>
  </si>
  <si>
    <t>66:41:0209034</t>
  </si>
  <si>
    <t>66:41:0309051</t>
  </si>
  <si>
    <t>66:41:0521007</t>
  </si>
  <si>
    <t>66:41:0313029</t>
  </si>
  <si>
    <t>66:41:0310039</t>
  </si>
  <si>
    <t>66:41:0106047</t>
  </si>
  <si>
    <t>66:41:0513507</t>
  </si>
  <si>
    <t>66:41:0605009</t>
  </si>
  <si>
    <t>66:41:0307008</t>
  </si>
  <si>
    <t>66:41:0612019</t>
  </si>
  <si>
    <t>66:41:0303158</t>
  </si>
  <si>
    <t>66:41:0310049</t>
  </si>
  <si>
    <t>66:41:0102018</t>
  </si>
  <si>
    <t>66:41:0306025</t>
  </si>
  <si>
    <t>66:41:0203019</t>
  </si>
  <si>
    <t>66:41:0514004</t>
  </si>
  <si>
    <t>66:41:0711053</t>
  </si>
  <si>
    <t>66:41:0210026</t>
  </si>
  <si>
    <t>66:41:0610017</t>
  </si>
  <si>
    <t>66:41:0513101</t>
  </si>
  <si>
    <t>66:41:0403066</t>
  </si>
  <si>
    <t>66:41:0307093</t>
  </si>
  <si>
    <t>66:41:0310097</t>
  </si>
  <si>
    <t>66:41:0306050</t>
  </si>
  <si>
    <t>66:41:0204014</t>
  </si>
  <si>
    <t>66:41:0313022</t>
  </si>
  <si>
    <t>66:41:0504088</t>
  </si>
  <si>
    <t>66:41:0202005</t>
  </si>
  <si>
    <t>66:41:0513035</t>
  </si>
  <si>
    <t>66:41:0310006</t>
  </si>
  <si>
    <t>66:41:0403032</t>
  </si>
  <si>
    <t>66:41:0209032</t>
  </si>
  <si>
    <t>66:41:0703005</t>
  </si>
  <si>
    <t>66:41:0201012</t>
  </si>
  <si>
    <t>66:41:0106162</t>
  </si>
  <si>
    <t>66:41:0307011</t>
  </si>
  <si>
    <t>66:41:0306024</t>
  </si>
  <si>
    <t>66:41:0310055</t>
  </si>
  <si>
    <t>66:41:0302004</t>
  </si>
  <si>
    <t>66:41:0310018</t>
  </si>
  <si>
    <t>66:41:0307035</t>
  </si>
  <si>
    <t>66:41:0504060</t>
  </si>
  <si>
    <t>66:41:0106174</t>
  </si>
  <si>
    <t>66:41:0508047</t>
  </si>
  <si>
    <t>66:41:0507070</t>
  </si>
  <si>
    <t>66:41:0514023</t>
  </si>
  <si>
    <t>66:41:0306002</t>
  </si>
  <si>
    <t>66:41:0210036</t>
  </si>
  <si>
    <t>66:41:0614063</t>
  </si>
  <si>
    <t>66:41:0510029</t>
  </si>
  <si>
    <t>66:41:0613001</t>
  </si>
  <si>
    <t>66:41:0507011</t>
  </si>
  <si>
    <t>66:41:0515029</t>
  </si>
  <si>
    <t>66:41:0502046</t>
  </si>
  <si>
    <t>66:41:0310070</t>
  </si>
  <si>
    <t>66:41:0518024</t>
  </si>
  <si>
    <t>66:41:0520005</t>
  </si>
  <si>
    <t>66:41:0108025</t>
  </si>
  <si>
    <t>66:41:0528041</t>
  </si>
  <si>
    <t>66:41:0310065</t>
  </si>
  <si>
    <t>66:41:0201017</t>
  </si>
  <si>
    <t>66:41:0109027</t>
  </si>
  <si>
    <t>66:41:0311010</t>
  </si>
  <si>
    <t>66:41:0313024</t>
  </si>
  <si>
    <t>66:41:0315012</t>
  </si>
  <si>
    <t>66:41:0519020</t>
  </si>
  <si>
    <t>66:41:0519116</t>
  </si>
  <si>
    <t>66:41:0106150</t>
  </si>
  <si>
    <t>66:41:0310036</t>
  </si>
  <si>
    <t>66:41:0503016</t>
  </si>
  <si>
    <t>66:41:0508019</t>
  </si>
  <si>
    <t>66:41:0313084</t>
  </si>
  <si>
    <t>66:41:0510006</t>
  </si>
  <si>
    <t>66:41:0502075</t>
  </si>
  <si>
    <t>66:41:0614065</t>
  </si>
  <si>
    <t>66:41:0511024</t>
  </si>
  <si>
    <t>66:41:0511026</t>
  </si>
  <si>
    <t>66:41:0516004</t>
  </si>
  <si>
    <t>66:41:0309011</t>
  </si>
  <si>
    <t>66:41:0306070</t>
  </si>
  <si>
    <t>66:41:0712027</t>
  </si>
  <si>
    <t>66:41:0404010</t>
  </si>
  <si>
    <t>66:41:0303116</t>
  </si>
  <si>
    <t>66:41:0303105</t>
  </si>
  <si>
    <t>66:41:0106017</t>
  </si>
  <si>
    <t>66:41:0612065</t>
  </si>
  <si>
    <t>66:41:0109043</t>
  </si>
  <si>
    <t>66:41:0309064</t>
  </si>
  <si>
    <t>66:41:0518018</t>
  </si>
  <si>
    <t>66:41:0303127</t>
  </si>
  <si>
    <t>66:41:0519124</t>
  </si>
  <si>
    <t>66:41:0310112</t>
  </si>
  <si>
    <t>66:41:0106004</t>
  </si>
  <si>
    <t>66:41:0303131</t>
  </si>
  <si>
    <t>66:41:0519074</t>
  </si>
  <si>
    <t>66:41:0515035</t>
  </si>
  <si>
    <t>66:41:0513058</t>
  </si>
  <si>
    <t>66:41:0102028</t>
  </si>
  <si>
    <t>66:41:0519083</t>
  </si>
  <si>
    <t>66:41:0112003</t>
  </si>
  <si>
    <t>66:41:0109033</t>
  </si>
  <si>
    <t>66:41:0209114</t>
  </si>
  <si>
    <t>66:41:0310081</t>
  </si>
  <si>
    <t>66:41:0508067</t>
  </si>
  <si>
    <t>66:41:0521009</t>
  </si>
  <si>
    <t>66:41:0608033</t>
  </si>
  <si>
    <t>66:41:0315005</t>
  </si>
  <si>
    <t>66:41:0513072</t>
  </si>
  <si>
    <t>66:41:0518030</t>
  </si>
  <si>
    <t>66:41:0711056</t>
  </si>
  <si>
    <t>66:41:0207006</t>
  </si>
  <si>
    <t>66:41:0306122</t>
  </si>
  <si>
    <t>66:41:0403052</t>
  </si>
  <si>
    <t>66:41:0510035</t>
  </si>
  <si>
    <t>66:41:0313009</t>
  </si>
  <si>
    <t>66:41:0313032</t>
  </si>
  <si>
    <t>66:41:0502014</t>
  </si>
  <si>
    <t>66:41:0516016</t>
  </si>
  <si>
    <t>66:41:0510010</t>
  </si>
  <si>
    <t>66:41:0109039</t>
  </si>
  <si>
    <t>66:41:0207005</t>
  </si>
  <si>
    <t>66:41:0306901</t>
  </si>
  <si>
    <t>66:41:0201003</t>
  </si>
  <si>
    <t>66:41:0109013</t>
  </si>
  <si>
    <t>66:41:0507012</t>
  </si>
  <si>
    <t>66:41:0515019</t>
  </si>
  <si>
    <t>66:41:0203005</t>
  </si>
  <si>
    <t>66:41:0510026</t>
  </si>
  <si>
    <t>66:41:0210022</t>
  </si>
  <si>
    <t>66:41:0513036</t>
  </si>
  <si>
    <t>66:41:0109034</t>
  </si>
  <si>
    <t>66:41:0201002</t>
  </si>
  <si>
    <t>66:41:0508081</t>
  </si>
  <si>
    <t>66:41:0110129</t>
  </si>
  <si>
    <t>66:41:0203037</t>
  </si>
  <si>
    <t>66:41:0315004</t>
  </si>
  <si>
    <t>66:41:0526012</t>
  </si>
  <si>
    <t>66:41:0307025</t>
  </si>
  <si>
    <t>66:41:0307097</t>
  </si>
  <si>
    <t>66:41:0702006</t>
  </si>
  <si>
    <t>66:41:0106061</t>
  </si>
  <si>
    <t>66:41:0210047</t>
  </si>
  <si>
    <t>66:41:0309084</t>
  </si>
  <si>
    <t>66:41:0310119</t>
  </si>
  <si>
    <t>66:41:0526049</t>
  </si>
  <si>
    <t>66:41:0403019</t>
  </si>
  <si>
    <t>66:41:0109902</t>
  </si>
  <si>
    <t>66:41:0209037</t>
  </si>
  <si>
    <t>66:41:0519071</t>
  </si>
  <si>
    <t>66:41:0101007</t>
  </si>
  <si>
    <t>66:41:0109045</t>
  </si>
  <si>
    <t>66:41:0210034</t>
  </si>
  <si>
    <t>66:41:0306030</t>
  </si>
  <si>
    <t>66:41:0502032</t>
  </si>
  <si>
    <t>66:41:0203017</t>
  </si>
  <si>
    <t>66:41:0511014</t>
  </si>
  <si>
    <t>66:41:0210106</t>
  </si>
  <si>
    <t>66:41:0514005</t>
  </si>
  <si>
    <t>66:41:0109007</t>
  </si>
  <si>
    <t>66:41:0303122</t>
  </si>
  <si>
    <t>66:41:0711032</t>
  </si>
  <si>
    <t>66:41:0506009</t>
  </si>
  <si>
    <t>66:41:0508084</t>
  </si>
  <si>
    <t>66:41:0610032</t>
  </si>
  <si>
    <t>66:41:0513055</t>
  </si>
  <si>
    <t>66:41:0509064</t>
  </si>
  <si>
    <t>66:41:0603021</t>
  </si>
  <si>
    <t>66:41:0711054</t>
  </si>
  <si>
    <t>66:41:0306074</t>
  </si>
  <si>
    <t>66:41:0306086</t>
  </si>
  <si>
    <t>66:41:0307075</t>
  </si>
  <si>
    <t>66:41:0308003</t>
  </si>
  <si>
    <t>66:41:0308022</t>
  </si>
  <si>
    <t>66:41:0308023</t>
  </si>
  <si>
    <t>66:41:0309006</t>
  </si>
  <si>
    <t>66:41:0309019</t>
  </si>
  <si>
    <t>66:41:0309032</t>
  </si>
  <si>
    <t>66:41:0309066</t>
  </si>
  <si>
    <t>66:41:0310059</t>
  </si>
  <si>
    <t>66:41:0310085</t>
  </si>
  <si>
    <t>66:41:0310103</t>
  </si>
  <si>
    <t>66:41:0310114</t>
  </si>
  <si>
    <t>66:41:0513075</t>
  </si>
  <si>
    <t>66:41:0514012</t>
  </si>
  <si>
    <t>66:41:0514029</t>
  </si>
  <si>
    <t>66:41:0514044</t>
  </si>
  <si>
    <t>66:41:0516006</t>
  </si>
  <si>
    <t>66:41:0516007</t>
  </si>
  <si>
    <t>66:41:0517003</t>
  </si>
  <si>
    <t>66:41:0517007</t>
  </si>
  <si>
    <t>66:41:0519064</t>
  </si>
  <si>
    <t>66:41:0519103</t>
  </si>
  <si>
    <t>66:41:0519110</t>
  </si>
  <si>
    <t>66:41:0526011</t>
  </si>
  <si>
    <t>66:41:0607001</t>
  </si>
  <si>
    <t>66:41:0607015</t>
  </si>
  <si>
    <t>66:41:0607030</t>
  </si>
  <si>
    <t>66:41:0607041</t>
  </si>
  <si>
    <t>66:41:0608010</t>
  </si>
  <si>
    <t>66:41:0612026</t>
  </si>
  <si>
    <t>66:41:0612039</t>
  </si>
  <si>
    <t>66:41:0612042</t>
  </si>
  <si>
    <t>66:41:0614030</t>
  </si>
  <si>
    <t>66:41:0614072</t>
  </si>
  <si>
    <t>66:41:0303145</t>
  </si>
  <si>
    <t>66:41:0309050</t>
  </si>
  <si>
    <t>66:41:0314014</t>
  </si>
  <si>
    <t>66:41:0403048</t>
  </si>
  <si>
    <t>66:41:0521020</t>
  </si>
  <si>
    <t>66:41:0612035</t>
  </si>
  <si>
    <t>66:41:0518003</t>
  </si>
  <si>
    <t>66:41:0504071</t>
  </si>
  <si>
    <t>66:41:0303129</t>
  </si>
  <si>
    <t>66:41:0403054</t>
  </si>
  <si>
    <t>66:41:0102027</t>
  </si>
  <si>
    <t>66:41:0102901</t>
  </si>
  <si>
    <t>66:41:0103008</t>
  </si>
  <si>
    <t>66:41:0105020</t>
  </si>
  <si>
    <t>66:41:0106083</t>
  </si>
  <si>
    <t>66:41:0403033</t>
  </si>
  <si>
    <t>66:41:0502098</t>
  </si>
  <si>
    <t>66:41:0508085</t>
  </si>
  <si>
    <t>66:41:0510022</t>
  </si>
  <si>
    <t>66:41:0511017</t>
  </si>
  <si>
    <t>66:41:0511020</t>
  </si>
  <si>
    <t>66:41:0708001</t>
  </si>
  <si>
    <t>66:41:0709014</t>
  </si>
  <si>
    <t>66:41:0710022</t>
  </si>
  <si>
    <t>66:41:0711019</t>
  </si>
  <si>
    <t>66:41:0711064</t>
  </si>
  <si>
    <t>66:41:0515006</t>
  </si>
  <si>
    <t>66:41:0510036</t>
  </si>
  <si>
    <t>66:41:0306081</t>
  </si>
  <si>
    <t>66:41:0310061</t>
  </si>
  <si>
    <t>66:41:0609046</t>
  </si>
  <si>
    <t>66:41:0102005</t>
  </si>
  <si>
    <t>66:41:0519113</t>
  </si>
  <si>
    <t>66:41:0711065</t>
  </si>
  <si>
    <t>66:41:0106070</t>
  </si>
  <si>
    <t>66:41:0106178</t>
  </si>
  <si>
    <t>66:41:0203008</t>
  </si>
  <si>
    <t>66:41:0507023</t>
  </si>
  <si>
    <t>66:41:0507030</t>
  </si>
  <si>
    <t>66:41:0508025</t>
  </si>
  <si>
    <t>66:41:0515052</t>
  </si>
  <si>
    <t>66:41:0515054</t>
  </si>
  <si>
    <t>66:41:0517001</t>
  </si>
  <si>
    <t>66:41:0518901</t>
  </si>
  <si>
    <t>66:41:0519901</t>
  </si>
  <si>
    <t>66:41:0520001</t>
  </si>
  <si>
    <t>66:41:0521029</t>
  </si>
  <si>
    <t>66:41:0603019</t>
  </si>
  <si>
    <t>66:41:0207012</t>
  </si>
  <si>
    <t>66:41:0108006</t>
  </si>
  <si>
    <t>66:41:0203028</t>
  </si>
  <si>
    <t>66:41:0403051</t>
  </si>
  <si>
    <t>66:41:0502063</t>
  </si>
  <si>
    <t>66:41:0502106</t>
  </si>
  <si>
    <t>66:41:0504093</t>
  </si>
  <si>
    <t>66:41:0515003</t>
  </si>
  <si>
    <t>66:41:0515008</t>
  </si>
  <si>
    <t>66:41:0516005</t>
  </si>
  <si>
    <t>66:41:0519063</t>
  </si>
  <si>
    <t>66:41:0313007</t>
  </si>
  <si>
    <t>66:41:0514048</t>
  </si>
  <si>
    <t>66:41:0519043</t>
  </si>
  <si>
    <t>66:41:0203004</t>
  </si>
  <si>
    <t>66:41:0508063</t>
  </si>
  <si>
    <t>66:41:0513091</t>
  </si>
  <si>
    <t>66:41:0104002</t>
  </si>
  <si>
    <t>66:41:0306121</t>
  </si>
  <si>
    <t>66:41:0306064</t>
  </si>
  <si>
    <t>66:41:0106074</t>
  </si>
  <si>
    <t>66:41:0109004</t>
  </si>
  <si>
    <t>66:41:0508066</t>
  </si>
  <si>
    <t>66:41:0711022</t>
  </si>
  <si>
    <t>66:41:0106076</t>
  </si>
  <si>
    <t>66:41:0510028</t>
  </si>
  <si>
    <t>66:41:0102046</t>
  </si>
  <si>
    <t>66:41:0201006</t>
  </si>
  <si>
    <t>66:41:0403015</t>
  </si>
  <si>
    <t>66:41:0508088</t>
  </si>
  <si>
    <t>66:41:0201015</t>
  </si>
  <si>
    <t>66:41:0312003</t>
  </si>
  <si>
    <t>66:41:0516001</t>
  </si>
  <si>
    <t>66:41:0517006</t>
  </si>
  <si>
    <t>66:41:0106064</t>
  </si>
  <si>
    <t>66:41:0306012</t>
  </si>
  <si>
    <t>66:41:0711055</t>
  </si>
  <si>
    <t>66:41:0712017</t>
  </si>
  <si>
    <t>66:41:0201014</t>
  </si>
  <si>
    <t>66:41:0202007</t>
  </si>
  <si>
    <t>66:41:0203051</t>
  </si>
  <si>
    <t>66:41:0315014</t>
  </si>
  <si>
    <t>66:41:0403055</t>
  </si>
  <si>
    <t>66:41:0508073</t>
  </si>
  <si>
    <t>66:41:0203018</t>
  </si>
  <si>
    <t>66:41:0210071</t>
  </si>
  <si>
    <t>66:41:0503010</t>
  </si>
  <si>
    <t>66:41:0519034</t>
  </si>
  <si>
    <t>66:41:0519019</t>
  </si>
  <si>
    <t>66:41:0612049</t>
  </si>
  <si>
    <t>66:41:0403003</t>
  </si>
  <si>
    <t>66:41:0106058</t>
  </si>
  <si>
    <t>66:41:0109071</t>
  </si>
  <si>
    <t>66:41:0308009</t>
  </si>
  <si>
    <t>66:41:0403058</t>
  </si>
  <si>
    <t>66:41:0610003</t>
  </si>
  <si>
    <t>66:41:0516015</t>
  </si>
  <si>
    <t>66:41:0702011</t>
  </si>
  <si>
    <t>66:41:0208008</t>
  </si>
  <si>
    <t>66:41:0310116</t>
  </si>
  <si>
    <t>66:41:0607009</t>
  </si>
  <si>
    <t>66:41:0702080</t>
  </si>
  <si>
    <t>66:41:0520003</t>
  </si>
  <si>
    <t>66:41:0306065</t>
  </si>
  <si>
    <t>66:41:0519115</t>
  </si>
  <si>
    <t>66:41:0313028</t>
  </si>
  <si>
    <t>66:41:0102031</t>
  </si>
  <si>
    <t>66:41:0508030</t>
  </si>
  <si>
    <t>66:41:0203025</t>
  </si>
  <si>
    <t>66:41:0210044</t>
  </si>
  <si>
    <t>66:41:0310091</t>
  </si>
  <si>
    <t>66:41:0207004</t>
  </si>
  <si>
    <t>66:41:0207032</t>
  </si>
  <si>
    <t>66:41:0702029</t>
  </si>
  <si>
    <t>66:41:0711025</t>
  </si>
  <si>
    <t>Обязательная проверка</t>
  </si>
  <si>
    <t>Идентификатор стоимости</t>
  </si>
  <si>
    <t>Status_kc</t>
  </si>
  <si>
    <t>Segment</t>
  </si>
  <si>
    <t>ВРИ</t>
  </si>
  <si>
    <t>Сегмент</t>
  </si>
  <si>
    <t>Площадь</t>
  </si>
  <si>
    <t>13. СЕГМЕНТ "Садоводство и огородничество, малоэтажная жилая застройка"</t>
  </si>
  <si>
    <t>Зона для ИЖС</t>
  </si>
  <si>
    <t>КН</t>
  </si>
  <si>
    <t>Зона</t>
  </si>
  <si>
    <t>66:06:1401001</t>
  </si>
  <si>
    <t>Belo_9</t>
  </si>
  <si>
    <t>66:06:4502001</t>
  </si>
  <si>
    <t>66:06:4503005</t>
  </si>
  <si>
    <t>Belo_10</t>
  </si>
  <si>
    <t>66:06:4503008</t>
  </si>
  <si>
    <t>66:06:2001002</t>
  </si>
  <si>
    <t>66:06:2001001</t>
  </si>
  <si>
    <t>66:06:2001003</t>
  </si>
  <si>
    <t>66:06:2001004</t>
  </si>
  <si>
    <t>66:06:2001005</t>
  </si>
  <si>
    <t>66:06:4503004</t>
  </si>
  <si>
    <t>66:06:4503006</t>
  </si>
  <si>
    <t>66:06:4503007</t>
  </si>
  <si>
    <t>66:06:1801001</t>
  </si>
  <si>
    <t>66:06:1901001</t>
  </si>
  <si>
    <t>66:06:1901002</t>
  </si>
  <si>
    <t>66:06:1901003</t>
  </si>
  <si>
    <t>66:06:1901004</t>
  </si>
  <si>
    <t>66:06:1901005</t>
  </si>
  <si>
    <t>66:06:1901006</t>
  </si>
  <si>
    <t>66:06:1901007</t>
  </si>
  <si>
    <t>66:06:1901008</t>
  </si>
  <si>
    <t>66:06:1901009</t>
  </si>
  <si>
    <t>66:06:4503001</t>
  </si>
  <si>
    <t>66:06:2301006</t>
  </si>
  <si>
    <t>66:06:2301001</t>
  </si>
  <si>
    <t>66:06:2301002</t>
  </si>
  <si>
    <t>66:06:2301003</t>
  </si>
  <si>
    <t>66:06:2301004</t>
  </si>
  <si>
    <t>66:06:2301005</t>
  </si>
  <si>
    <t>66:06:2301007</t>
  </si>
  <si>
    <t>66:06:2301008</t>
  </si>
  <si>
    <t>66:06:2301009</t>
  </si>
  <si>
    <t>66:06:4503009</t>
  </si>
  <si>
    <t>66:06:2701006</t>
  </si>
  <si>
    <t>Belo_11</t>
  </si>
  <si>
    <t>66:06:2201002</t>
  </si>
  <si>
    <t>66:06:2701001</t>
  </si>
  <si>
    <t>66:06:2701002</t>
  </si>
  <si>
    <t>66:06:2701003</t>
  </si>
  <si>
    <t>66:06:2701004</t>
  </si>
  <si>
    <t>66:06:2701005</t>
  </si>
  <si>
    <t>66:06:2701007</t>
  </si>
  <si>
    <t>66:06:3501001</t>
  </si>
  <si>
    <t>66:06:3501002</t>
  </si>
  <si>
    <t>66:06:3801001</t>
  </si>
  <si>
    <t>Belo_8</t>
  </si>
  <si>
    <t>66:06:3801002</t>
  </si>
  <si>
    <t>66:06:4503013</t>
  </si>
  <si>
    <t>66:06:4502005</t>
  </si>
  <si>
    <t>66:06:1301001</t>
  </si>
  <si>
    <t>66:06:1301002</t>
  </si>
  <si>
    <t>66:06:4502002</t>
  </si>
  <si>
    <t>66:06:4502003</t>
  </si>
  <si>
    <t>66:06:4502004</t>
  </si>
  <si>
    <t>66:06:1701029</t>
  </si>
  <si>
    <t>Belo_6</t>
  </si>
  <si>
    <t>66:06:1701020</t>
  </si>
  <si>
    <t>66:06:1701021</t>
  </si>
  <si>
    <t>66:06:1701022</t>
  </si>
  <si>
    <t>66:06:1701023</t>
  </si>
  <si>
    <t>66:06:1701024</t>
  </si>
  <si>
    <t>66:06:1701025</t>
  </si>
  <si>
    <t>66:06:1701026</t>
  </si>
  <si>
    <t>66:06:1701027</t>
  </si>
  <si>
    <t>66:06:1701028</t>
  </si>
  <si>
    <t>66:06:1701037</t>
  </si>
  <si>
    <t>66:06:1701038</t>
  </si>
  <si>
    <t>66:06:1701039</t>
  </si>
  <si>
    <t>66:06:1701040</t>
  </si>
  <si>
    <t>66:06:1701068</t>
  </si>
  <si>
    <t>66:42:0101001</t>
  </si>
  <si>
    <t>zare_1</t>
  </si>
  <si>
    <t>66:42:0101002</t>
  </si>
  <si>
    <t>66:42:0101003</t>
  </si>
  <si>
    <t>66:42:0101004</t>
  </si>
  <si>
    <t>66:42:0101005</t>
  </si>
  <si>
    <t>66:42:0101006</t>
  </si>
  <si>
    <t>66:42:0101007</t>
  </si>
  <si>
    <t>66:42:0101008</t>
  </si>
  <si>
    <t>66:42:0101009</t>
  </si>
  <si>
    <t>66:42:0101010</t>
  </si>
  <si>
    <t>66:42:0101015</t>
  </si>
  <si>
    <t>66:42:0102001</t>
  </si>
  <si>
    <t>66:42:0102002</t>
  </si>
  <si>
    <t>66:42:0102003</t>
  </si>
  <si>
    <t>66:42:0301001</t>
  </si>
  <si>
    <t>66:06:1501001</t>
  </si>
  <si>
    <t>66:06:1501002</t>
  </si>
  <si>
    <t>66:06:1501003</t>
  </si>
  <si>
    <t>66:06:1501004</t>
  </si>
  <si>
    <t>66:06:1701009</t>
  </si>
  <si>
    <t>66:42:0101034</t>
  </si>
  <si>
    <t>66:42:0102007</t>
  </si>
  <si>
    <t>66:42:0102008</t>
  </si>
  <si>
    <t>66:42:0102009</t>
  </si>
  <si>
    <t>66:06:1701008</t>
  </si>
  <si>
    <t>66:06:1701010</t>
  </si>
  <si>
    <t>66:06:1701011</t>
  </si>
  <si>
    <t>66:06:1701013</t>
  </si>
  <si>
    <t>66:06:1701069</t>
  </si>
  <si>
    <t>66:06:1701070</t>
  </si>
  <si>
    <t>66:42:0101017</t>
  </si>
  <si>
    <t>66:42:0101014</t>
  </si>
  <si>
    <t>66:42:0101020</t>
  </si>
  <si>
    <t>66:42:0101021</t>
  </si>
  <si>
    <t>66:42:0101022</t>
  </si>
  <si>
    <t>66:42:0101023</t>
  </si>
  <si>
    <t>66:42:0101024</t>
  </si>
  <si>
    <t>66:42:0101025</t>
  </si>
  <si>
    <t>66:42:0101029</t>
  </si>
  <si>
    <t>66:42:0101030</t>
  </si>
  <si>
    <t>66:42:0101037</t>
  </si>
  <si>
    <t>66:42:0102004</t>
  </si>
  <si>
    <t>66:42:0102005</t>
  </si>
  <si>
    <t>66:42:0102006</t>
  </si>
  <si>
    <t>66:42:0102011</t>
  </si>
  <si>
    <t>66:42:0201002</t>
  </si>
  <si>
    <t>66:06:1601001</t>
  </si>
  <si>
    <t>66:06:1601002</t>
  </si>
  <si>
    <t>66:06:1601003</t>
  </si>
  <si>
    <t>66:42:0101031</t>
  </si>
  <si>
    <t>66:42:0101019</t>
  </si>
  <si>
    <t>66:42:0101011</t>
  </si>
  <si>
    <t>66:42:0101012</t>
  </si>
  <si>
    <t>66:42:0101013</t>
  </si>
  <si>
    <t>66:42:0101016</t>
  </si>
  <si>
    <t>66:42:0101018</t>
  </si>
  <si>
    <t>66:42:0101026</t>
  </si>
  <si>
    <t>66:42:0101027</t>
  </si>
  <si>
    <t>66:42:0101028</t>
  </si>
  <si>
    <t>66:42:0101032</t>
  </si>
  <si>
    <t>66:42:0101033</t>
  </si>
  <si>
    <t>66:42:0101035</t>
  </si>
  <si>
    <t>66:42:0101036</t>
  </si>
  <si>
    <t>66:42:0201005</t>
  </si>
  <si>
    <t>66:42:0102010</t>
  </si>
  <si>
    <t>66:42:0401001</t>
  </si>
  <si>
    <t>66:42:0401002</t>
  </si>
  <si>
    <t>66:42:0401003</t>
  </si>
  <si>
    <t>66:42:0401004</t>
  </si>
  <si>
    <t>66:42:0401005</t>
  </si>
  <si>
    <t>66:42:0401006</t>
  </si>
  <si>
    <t>66:42:0401007</t>
  </si>
  <si>
    <t>66:42:0401008</t>
  </si>
  <si>
    <t>66:35:0218013</t>
  </si>
  <si>
    <t>bezr_2</t>
  </si>
  <si>
    <t>66:35:0218012</t>
  </si>
  <si>
    <t>66:35:0201002</t>
  </si>
  <si>
    <t>66:35:0201003</t>
  </si>
  <si>
    <t>66:35:0202006</t>
  </si>
  <si>
    <t>66:35:0202007</t>
  </si>
  <si>
    <t>66:35:0202008</t>
  </si>
  <si>
    <t>66:35:0202009</t>
  </si>
  <si>
    <t>66:35:0202010</t>
  </si>
  <si>
    <t>66:35:0202011</t>
  </si>
  <si>
    <t>66:35:0218001</t>
  </si>
  <si>
    <t>66:35:0218002</t>
  </si>
  <si>
    <t>66:35:0218003</t>
  </si>
  <si>
    <t>66:35:0218004</t>
  </si>
  <si>
    <t>66:35:0218005</t>
  </si>
  <si>
    <t>66:35:0218006</t>
  </si>
  <si>
    <t>66:35:0218007</t>
  </si>
  <si>
    <t>66:66:0201002</t>
  </si>
  <si>
    <t>vdbr_1</t>
  </si>
  <si>
    <t>66:66:0201001</t>
  </si>
  <si>
    <t>66:42:0201001</t>
  </si>
  <si>
    <t>66:35:0221008</t>
  </si>
  <si>
    <t>berz_1</t>
  </si>
  <si>
    <t>66:35:0221009</t>
  </si>
  <si>
    <t>66:35:0224002</t>
  </si>
  <si>
    <t>66:35:0224003</t>
  </si>
  <si>
    <t>66:35:0224004</t>
  </si>
  <si>
    <t>66:35:0202003</t>
  </si>
  <si>
    <t>66:35:0202001</t>
  </si>
  <si>
    <t>66:35:0202002</t>
  </si>
  <si>
    <t>66:35:0202004</t>
  </si>
  <si>
    <t>66:35:0202005</t>
  </si>
  <si>
    <t>66:35:0219001</t>
  </si>
  <si>
    <t>66:35:0219002</t>
  </si>
  <si>
    <t>66:35:0219003</t>
  </si>
  <si>
    <t>66:35:0219004</t>
  </si>
  <si>
    <t>66:35:0219005</t>
  </si>
  <si>
    <t>66:35:0219006</t>
  </si>
  <si>
    <t>66:35:0219007</t>
  </si>
  <si>
    <t>66:35:0219013</t>
  </si>
  <si>
    <t>66:35:0219014</t>
  </si>
  <si>
    <t>66:35:0219015</t>
  </si>
  <si>
    <t>66:35:0219016</t>
  </si>
  <si>
    <t>66:35:0207001</t>
  </si>
  <si>
    <t>66:35:0201007</t>
  </si>
  <si>
    <t>66:35:0205001</t>
  </si>
  <si>
    <t>66:35:0205002</t>
  </si>
  <si>
    <t>66:35:0205003</t>
  </si>
  <si>
    <t>66:35:0207002</t>
  </si>
  <si>
    <t>66:35:0207016</t>
  </si>
  <si>
    <t>66:35:0207011</t>
  </si>
  <si>
    <t>66:35:0207003</t>
  </si>
  <si>
    <t>66:35:0207004</t>
  </si>
  <si>
    <t>66:35:0207005</t>
  </si>
  <si>
    <t>66:35:0207006</t>
  </si>
  <si>
    <t>66:35:0207007</t>
  </si>
  <si>
    <t>66:35:0207009</t>
  </si>
  <si>
    <t>66:35:0207010</t>
  </si>
  <si>
    <t>66:35:0207012</t>
  </si>
  <si>
    <t>66:35:0207013</t>
  </si>
  <si>
    <t>66:35:0207014</t>
  </si>
  <si>
    <t>66:35:0207015</t>
  </si>
  <si>
    <t>66:35:0201001</t>
  </si>
  <si>
    <t>66:35:0201006</t>
  </si>
  <si>
    <t>66:35:0206001</t>
  </si>
  <si>
    <t>66:35:0206002</t>
  </si>
  <si>
    <t>66:35:0206003</t>
  </si>
  <si>
    <t>66:36:0601001</t>
  </si>
  <si>
    <t>vpsh_2</t>
  </si>
  <si>
    <t>66:36:2901001</t>
  </si>
  <si>
    <t>66:36:2901007</t>
  </si>
  <si>
    <t>66:35:0219010</t>
  </si>
  <si>
    <t>66:35:0201004</t>
  </si>
  <si>
    <t>66:35:0201005</t>
  </si>
  <si>
    <t>66:35:0203001</t>
  </si>
  <si>
    <t>66:35:0203002</t>
  </si>
  <si>
    <t>66:35:0203003</t>
  </si>
  <si>
    <t>66:35:0203004</t>
  </si>
  <si>
    <t>66:35:0204001</t>
  </si>
  <si>
    <t>66:35:0204002</t>
  </si>
  <si>
    <t>66:35:0204003</t>
  </si>
  <si>
    <t>66:35:0204004</t>
  </si>
  <si>
    <t>66:35:0219008</t>
  </si>
  <si>
    <t>66:35:0219009</t>
  </si>
  <si>
    <t>66:35:0219011</t>
  </si>
  <si>
    <t>66:35:0219012</t>
  </si>
  <si>
    <t>66:35:0207017</t>
  </si>
  <si>
    <t>66:35:0207018</t>
  </si>
  <si>
    <t>66:35:0207019</t>
  </si>
  <si>
    <t>66:35:0207020</t>
  </si>
  <si>
    <t>66:35:0213001</t>
  </si>
  <si>
    <t>66:35:0213002</t>
  </si>
  <si>
    <t>66:35:0218008</t>
  </si>
  <si>
    <t>66:35:0218009</t>
  </si>
  <si>
    <t>66:35:0218010</t>
  </si>
  <si>
    <t>66:35:0218011</t>
  </si>
  <si>
    <t>66:35:0220001</t>
  </si>
  <si>
    <t>66:35:0220002</t>
  </si>
  <si>
    <t>66:35:0212012</t>
  </si>
  <si>
    <t>66:36:3201007</t>
  </si>
  <si>
    <t>vpsh_1</t>
  </si>
  <si>
    <t>66:36:3201013</t>
  </si>
  <si>
    <t>66:35:0201011</t>
  </si>
  <si>
    <t>66:35:0201023</t>
  </si>
  <si>
    <t>66:35:0212001</t>
  </si>
  <si>
    <t>66:35:0212009</t>
  </si>
  <si>
    <t>66:35:0212010</t>
  </si>
  <si>
    <t>66:35:0212011</t>
  </si>
  <si>
    <t>66:35:0212013</t>
  </si>
  <si>
    <t>66:35:0212014</t>
  </si>
  <si>
    <t>66:35:0212015</t>
  </si>
  <si>
    <t>66:35:0212016</t>
  </si>
  <si>
    <t>66:35:0212018</t>
  </si>
  <si>
    <t>66:35:0214001</t>
  </si>
  <si>
    <t>66:35:0214002</t>
  </si>
  <si>
    <t>66:35:0221003</t>
  </si>
  <si>
    <t>66:35:0212006</t>
  </si>
  <si>
    <t>66:36:3201010</t>
  </si>
  <si>
    <t>66:36:3201011</t>
  </si>
  <si>
    <t>66:36:3201012</t>
  </si>
  <si>
    <t>66:35:0212002</t>
  </si>
  <si>
    <t>66:35:0212003</t>
  </si>
  <si>
    <t>66:35:0212004</t>
  </si>
  <si>
    <t>66:35:0212005</t>
  </si>
  <si>
    <t>66:35:0212007</t>
  </si>
  <si>
    <t>66:35:0212008</t>
  </si>
  <si>
    <t>66:35:0212017</t>
  </si>
  <si>
    <t>66:35:0215001</t>
  </si>
  <si>
    <t>66:35:0215002</t>
  </si>
  <si>
    <t>66:35:0215003</t>
  </si>
  <si>
    <t>66:35:0215004</t>
  </si>
  <si>
    <t>66:35:0215005</t>
  </si>
  <si>
    <t>66:35:0215006</t>
  </si>
  <si>
    <t>66:35:0215007</t>
  </si>
  <si>
    <t>66:35:0221002</t>
  </si>
  <si>
    <t>66:36:0103012</t>
  </si>
  <si>
    <t>66:35:0209002</t>
  </si>
  <si>
    <t>66:36:1301009</t>
  </si>
  <si>
    <t>vpsh_4</t>
  </si>
  <si>
    <t>66:36:1301001</t>
  </si>
  <si>
    <t>66:36:1301005</t>
  </si>
  <si>
    <t>66:36:1301008</t>
  </si>
  <si>
    <t>66:36:1301010</t>
  </si>
  <si>
    <t>66:36:1301013</t>
  </si>
  <si>
    <t>66:36:1301014</t>
  </si>
  <si>
    <t>66:36:3201004</t>
  </si>
  <si>
    <t>66:35:0201008</t>
  </si>
  <si>
    <t>66:35:0208001</t>
  </si>
  <si>
    <t>66:35:0208002</t>
  </si>
  <si>
    <t>66:35:0208003</t>
  </si>
  <si>
    <t>66:35:0208004</t>
  </si>
  <si>
    <t>66:35:0209001</t>
  </si>
  <si>
    <t>66:35:0210001</t>
  </si>
  <si>
    <t>66:35:0210002</t>
  </si>
  <si>
    <t>66:35:0210003</t>
  </si>
  <si>
    <t>66:36:3202002</t>
  </si>
  <si>
    <t>66:36:3201002</t>
  </si>
  <si>
    <t>66:36:3201009</t>
  </si>
  <si>
    <t>66:36:3202003</t>
  </si>
  <si>
    <t>66:35:0211002</t>
  </si>
  <si>
    <t>66:35:0211003</t>
  </si>
  <si>
    <t>66:36:1401002</t>
  </si>
  <si>
    <t>66:36:1301015</t>
  </si>
  <si>
    <t>66:36:1301002</t>
  </si>
  <si>
    <t>66:36:1301003</t>
  </si>
  <si>
    <t>66:36:1301004</t>
  </si>
  <si>
    <t>66:36:1301006</t>
  </si>
  <si>
    <t>66:36:1301007</t>
  </si>
  <si>
    <t>66:36:1301011</t>
  </si>
  <si>
    <t>66:36:1301012</t>
  </si>
  <si>
    <t>66:36:1301016</t>
  </si>
  <si>
    <t>66:36:1301017</t>
  </si>
  <si>
    <t>66:36:1401001</t>
  </si>
  <si>
    <t>66:36:2201001</t>
  </si>
  <si>
    <t>66:36:2201002</t>
  </si>
  <si>
    <t>66:36:3201001</t>
  </si>
  <si>
    <t>66:36:3201003</t>
  </si>
  <si>
    <t>66:35:0201009</t>
  </si>
  <si>
    <t>66:35:0201010</t>
  </si>
  <si>
    <t>66:35:0211001</t>
  </si>
  <si>
    <t>66:36:1001001</t>
  </si>
  <si>
    <t>66:36:1001002</t>
  </si>
  <si>
    <t>66:36:1001003</t>
  </si>
  <si>
    <t>66:36:1101001</t>
  </si>
  <si>
    <t>66:36:2903008</t>
  </si>
  <si>
    <t>66:36:2903012</t>
  </si>
  <si>
    <t>66:36:2906001</t>
  </si>
  <si>
    <t>66:36:2906002</t>
  </si>
  <si>
    <t>66:36:2906003</t>
  </si>
  <si>
    <t>66:36:2906004</t>
  </si>
  <si>
    <t>66:36:2906005</t>
  </si>
  <si>
    <t>66:36:2001020</t>
  </si>
  <si>
    <t>66:36:2001013</t>
  </si>
  <si>
    <t>66:36:2001002</t>
  </si>
  <si>
    <t>66:36:2001006</t>
  </si>
  <si>
    <t>66:36:2001007</t>
  </si>
  <si>
    <t>66:36:2001009</t>
  </si>
  <si>
    <t>66:36:2001010</t>
  </si>
  <si>
    <t>66:36:2001017</t>
  </si>
  <si>
    <t>66:36:2001018</t>
  </si>
  <si>
    <t>66:36:2001019</t>
  </si>
  <si>
    <t>66:36:3201008</t>
  </si>
  <si>
    <t>66:36:3202001</t>
  </si>
  <si>
    <t>66:36:0107006</t>
  </si>
  <si>
    <t>66:36:0107001</t>
  </si>
  <si>
    <t>66:36:0107002</t>
  </si>
  <si>
    <t>66:36:0107003</t>
  </si>
  <si>
    <t>66:36:0107004</t>
  </si>
  <si>
    <t>66:36:0107005</t>
  </si>
  <si>
    <t>66:36:2101001</t>
  </si>
  <si>
    <t>66:36:2101002</t>
  </si>
  <si>
    <t>66:36:2101006</t>
  </si>
  <si>
    <t>66:36:2301001</t>
  </si>
  <si>
    <t>66:36:2301002</t>
  </si>
  <si>
    <t>66:36:2301003</t>
  </si>
  <si>
    <t>66:36:2301004</t>
  </si>
  <si>
    <t>66:36:3201014</t>
  </si>
  <si>
    <t>66:36:3201015</t>
  </si>
  <si>
    <t>66:36:3202004</t>
  </si>
  <si>
    <t>66:36:2001001</t>
  </si>
  <si>
    <t>66:36:2001003</t>
  </si>
  <si>
    <t>66:36:2001004</t>
  </si>
  <si>
    <t>66:36:2001005</t>
  </si>
  <si>
    <t>66:36:2001008</t>
  </si>
  <si>
    <t>66:36:2001011</t>
  </si>
  <si>
    <t>66:36:2001012</t>
  </si>
  <si>
    <t>66:36:2001014</t>
  </si>
  <si>
    <t>66:36:2001015</t>
  </si>
  <si>
    <t>66:36:2001016</t>
  </si>
  <si>
    <t>66:36:0102041</t>
  </si>
  <si>
    <t>66:36:0102018</t>
  </si>
  <si>
    <t>66:36:0102011</t>
  </si>
  <si>
    <t>66:36:0102024</t>
  </si>
  <si>
    <t>66:36:0102040</t>
  </si>
  <si>
    <t>66:36:0102049</t>
  </si>
  <si>
    <t>66:36:0102050</t>
  </si>
  <si>
    <t>66:36:0102051</t>
  </si>
  <si>
    <t>66:36:0102057</t>
  </si>
  <si>
    <t>66:36:0102058</t>
  </si>
  <si>
    <t>66:36:0102059</t>
  </si>
  <si>
    <t>66:36:0102065</t>
  </si>
  <si>
    <t>66:36:0102066</t>
  </si>
  <si>
    <t>66:36:0102072</t>
  </si>
  <si>
    <t>66:36:0901003</t>
  </si>
  <si>
    <t>66:36:0701006</t>
  </si>
  <si>
    <t>66:36:0701010</t>
  </si>
  <si>
    <t>66:36:0701019</t>
  </si>
  <si>
    <t>66:36:0901001</t>
  </si>
  <si>
    <t>66:36:0901002</t>
  </si>
  <si>
    <t>66:36:0901004</t>
  </si>
  <si>
    <t>66:36:0901005</t>
  </si>
  <si>
    <t>66:36:0901006</t>
  </si>
  <si>
    <t>66:36:1201001</t>
  </si>
  <si>
    <t>66:36:1201002</t>
  </si>
  <si>
    <t>66:36:1201003</t>
  </si>
  <si>
    <t>66:36:1201004</t>
  </si>
  <si>
    <t>66:36:0102055</t>
  </si>
  <si>
    <t>66:36:0102027</t>
  </si>
  <si>
    <t>66:36:0102025</t>
  </si>
  <si>
    <t>66:36:0102026</t>
  </si>
  <si>
    <t>66:36:0102033</t>
  </si>
  <si>
    <t>66:36:0102034</t>
  </si>
  <si>
    <t>66:36:0102035</t>
  </si>
  <si>
    <t>66:36:0102037</t>
  </si>
  <si>
    <t>66:36:0102038</t>
  </si>
  <si>
    <t>66:36:0102039</t>
  </si>
  <si>
    <t>66:36:0102046</t>
  </si>
  <si>
    <t>66:36:0102047</t>
  </si>
  <si>
    <t>66:36:0102048</t>
  </si>
  <si>
    <t>66:36:0102054</t>
  </si>
  <si>
    <t>66:36:0102056</t>
  </si>
  <si>
    <t>66:36:0102063</t>
  </si>
  <si>
    <t>66:36:0102064</t>
  </si>
  <si>
    <t>66:36:0105001</t>
  </si>
  <si>
    <t>66:36:0105002</t>
  </si>
  <si>
    <t>66:36:0105003</t>
  </si>
  <si>
    <t>66:36:0102003</t>
  </si>
  <si>
    <t>66:36:0102007</t>
  </si>
  <si>
    <t>66:36:0102014</t>
  </si>
  <si>
    <t>66:36:0102015</t>
  </si>
  <si>
    <t>66:36:0102020</t>
  </si>
  <si>
    <t>66:36:0102021</t>
  </si>
  <si>
    <t>66:36:0102030</t>
  </si>
  <si>
    <t>66:36:0102032</t>
  </si>
  <si>
    <t>66:36:0102005</t>
  </si>
  <si>
    <t>66:36:0101001</t>
  </si>
  <si>
    <t>66:36:0102001</t>
  </si>
  <si>
    <t>66:36:0102002</t>
  </si>
  <si>
    <t>66:36:0102006</t>
  </si>
  <si>
    <t>66:36:0102012</t>
  </si>
  <si>
    <t>66:36:0102013</t>
  </si>
  <si>
    <t>66:36:0102019</t>
  </si>
  <si>
    <t>66:36:0102028</t>
  </si>
  <si>
    <t>66:36:0102029</t>
  </si>
  <si>
    <t>66:36:0102042</t>
  </si>
  <si>
    <t>66:36:0102043</t>
  </si>
  <si>
    <t>66:36:0103004</t>
  </si>
  <si>
    <t>66:36:0102070</t>
  </si>
  <si>
    <t>66:36:0102031</t>
  </si>
  <si>
    <t>66:36:0102036</t>
  </si>
  <si>
    <t>66:36:0102044</t>
  </si>
  <si>
    <t>66:36:0102045</t>
  </si>
  <si>
    <t>66:36:0102052</t>
  </si>
  <si>
    <t>66:36:0102053</t>
  </si>
  <si>
    <t>66:36:0102060</t>
  </si>
  <si>
    <t>66:36:0102061</t>
  </si>
  <si>
    <t>66:36:0102062</t>
  </si>
  <si>
    <t>66:36:0102067</t>
  </si>
  <si>
    <t>66:36:0102069</t>
  </si>
  <si>
    <t>66:36:0102071</t>
  </si>
  <si>
    <t>66:36:0103005</t>
  </si>
  <si>
    <t>66:36:0103006</t>
  </si>
  <si>
    <t>66:36:0103007</t>
  </si>
  <si>
    <t>66:36:0103008</t>
  </si>
  <si>
    <t>66:36:0103009</t>
  </si>
  <si>
    <t>66:36:0102004</t>
  </si>
  <si>
    <t>66:36:0102008</t>
  </si>
  <si>
    <t>66:36:0102009</t>
  </si>
  <si>
    <t>66:36:0102010</t>
  </si>
  <si>
    <t>66:36:0102016</t>
  </si>
  <si>
    <t>66:36:0102017</t>
  </si>
  <si>
    <t>66:36:0102022</t>
  </si>
  <si>
    <t>66:36:0102023</t>
  </si>
  <si>
    <t>66:36:0103001</t>
  </si>
  <si>
    <t>66:36:0103002</t>
  </si>
  <si>
    <t>66:36:0103003</t>
  </si>
  <si>
    <t>66:36:1801006</t>
  </si>
  <si>
    <t>66:36:1801001</t>
  </si>
  <si>
    <t>66:36:1801002</t>
  </si>
  <si>
    <t>66:36:1801003</t>
  </si>
  <si>
    <t>66:36:1801004</t>
  </si>
  <si>
    <t>66:36:1801005</t>
  </si>
  <si>
    <t>66:36:1801007</t>
  </si>
  <si>
    <t>66:36:1801008</t>
  </si>
  <si>
    <t>66:36:1801009</t>
  </si>
  <si>
    <t>66:36:1801010</t>
  </si>
  <si>
    <t>66:36:1801011</t>
  </si>
  <si>
    <t>66:36:1801012</t>
  </si>
  <si>
    <t>66:36:1801013</t>
  </si>
  <si>
    <t>66:36:1901001</t>
  </si>
  <si>
    <t>66:36:1901002</t>
  </si>
  <si>
    <t>66:36:2902008</t>
  </si>
  <si>
    <t>66:36:0501001</t>
  </si>
  <si>
    <t>66:36:0501002</t>
  </si>
  <si>
    <t>66:36:0501003</t>
  </si>
  <si>
    <t>66:36:2901002</t>
  </si>
  <si>
    <t>66:36:2901003</t>
  </si>
  <si>
    <t>66:36:2901004</t>
  </si>
  <si>
    <t>66:36:2901005</t>
  </si>
  <si>
    <t>66:36:2901006</t>
  </si>
  <si>
    <t>66:36:2902001</t>
  </si>
  <si>
    <t>66:36:2902002</t>
  </si>
  <si>
    <t>66:36:2902003</t>
  </si>
  <si>
    <t>66:36:2902004</t>
  </si>
  <si>
    <t>66:36:2902005</t>
  </si>
  <si>
    <t>66:36:2902006</t>
  </si>
  <si>
    <t>66:36:2902007</t>
  </si>
  <si>
    <t>66:36:2905001</t>
  </si>
  <si>
    <t>66:36:2903005</t>
  </si>
  <si>
    <t>66:36:2903006</t>
  </si>
  <si>
    <t>66:36:2903007</t>
  </si>
  <si>
    <t>66:36:0201001</t>
  </si>
  <si>
    <t>66:36:0201002</t>
  </si>
  <si>
    <t>66:36:0201003</t>
  </si>
  <si>
    <t>66:36:0201004</t>
  </si>
  <si>
    <t>66:36:0201005</t>
  </si>
  <si>
    <t>66:36:0301001</t>
  </si>
  <si>
    <t>66:36:0401001</t>
  </si>
  <si>
    <t>66:36:2801002</t>
  </si>
  <si>
    <t>66:36:2801003</t>
  </si>
  <si>
    <t>66:36:2801004</t>
  </si>
  <si>
    <t>66:36:2801005</t>
  </si>
  <si>
    <t>66:36:2904001</t>
  </si>
  <si>
    <t>66:36:2801006</t>
  </si>
  <si>
    <t>66:36:0801003</t>
  </si>
  <si>
    <t>66:36:0801001</t>
  </si>
  <si>
    <t>66:36:0801002</t>
  </si>
  <si>
    <t>66:36:2903001</t>
  </si>
  <si>
    <t>66:36:2903002</t>
  </si>
  <si>
    <t>66:36:2903003</t>
  </si>
  <si>
    <t>66:36:2903004</t>
  </si>
  <si>
    <t>66:36:2904002</t>
  </si>
  <si>
    <t>66:36:2904003</t>
  </si>
  <si>
    <t>66:36:2904004</t>
  </si>
  <si>
    <t>66:36:2904005</t>
  </si>
  <si>
    <t>66:36:2904006</t>
  </si>
  <si>
    <t>66:36:0801005</t>
  </si>
  <si>
    <t>66:36:0801004</t>
  </si>
  <si>
    <t>66:36:0801006</t>
  </si>
  <si>
    <t>66:36:0801007</t>
  </si>
  <si>
    <t>66:36:0801008</t>
  </si>
  <si>
    <t>66:36:0801009</t>
  </si>
  <si>
    <t>66:36:0701008</t>
  </si>
  <si>
    <t>66:36:0701001</t>
  </si>
  <si>
    <t>66:36:0701002</t>
  </si>
  <si>
    <t>66:36:0701003</t>
  </si>
  <si>
    <t>66:36:0701004</t>
  </si>
  <si>
    <t>66:36:0701005</t>
  </si>
  <si>
    <t>66:36:0701007</t>
  </si>
  <si>
    <t>66:36:0701009</t>
  </si>
  <si>
    <t>66:36:0701011</t>
  </si>
  <si>
    <t>66:36:0701012</t>
  </si>
  <si>
    <t>66:36:0701013</t>
  </si>
  <si>
    <t>66:36:0701014</t>
  </si>
  <si>
    <t>66:36:0701015</t>
  </si>
  <si>
    <t>66:36:0701016</t>
  </si>
  <si>
    <t>66:36:0701017</t>
  </si>
  <si>
    <t>66:36:0701018</t>
  </si>
  <si>
    <t>66:36:0701020</t>
  </si>
  <si>
    <t>66:36:2001021</t>
  </si>
  <si>
    <t>66:36:2001022</t>
  </si>
  <si>
    <t>66:36:2401001</t>
  </si>
  <si>
    <t>66:36:2903016</t>
  </si>
  <si>
    <t>66:36:3001017</t>
  </si>
  <si>
    <t>66:36:3001019</t>
  </si>
  <si>
    <t>66:36:3001020</t>
  </si>
  <si>
    <t>66:36:3001021</t>
  </si>
  <si>
    <t>66:36:3201005</t>
  </si>
  <si>
    <t>66:36:3201006</t>
  </si>
  <si>
    <t>66:36:2903011</t>
  </si>
  <si>
    <t>66:36:2601001</t>
  </si>
  <si>
    <t>66:36:2601002</t>
  </si>
  <si>
    <t>66:36:2903013</t>
  </si>
  <si>
    <t>66:36:2903014</t>
  </si>
  <si>
    <t>66:36:2903015</t>
  </si>
  <si>
    <t>66:36:3001004</t>
  </si>
  <si>
    <t>66:36:3001008</t>
  </si>
  <si>
    <t>66:36:3001011</t>
  </si>
  <si>
    <t>66:36:3001012</t>
  </si>
  <si>
    <t>66:36:3001013</t>
  </si>
  <si>
    <t>66:36:2802002</t>
  </si>
  <si>
    <t>66:36:2801001</t>
  </si>
  <si>
    <t>66:36:2801007</t>
  </si>
  <si>
    <t>66:36:2801008</t>
  </si>
  <si>
    <t>66:36:2802001</t>
  </si>
  <si>
    <t>66:36:2802003</t>
  </si>
  <si>
    <t>66:36:2802004</t>
  </si>
  <si>
    <t>66:36:2802005</t>
  </si>
  <si>
    <t>66:36:2802006</t>
  </si>
  <si>
    <t>66:36:2802007</t>
  </si>
  <si>
    <t>66:36:2903009</t>
  </si>
  <si>
    <t>66:36:2903010</t>
  </si>
  <si>
    <t>66:36:3001014</t>
  </si>
  <si>
    <t>66:36:3001009</t>
  </si>
  <si>
    <t>66:36:2501001</t>
  </si>
  <si>
    <t>66:36:3001003</t>
  </si>
  <si>
    <t>66:36:3001005</t>
  </si>
  <si>
    <t>66:36:3001006</t>
  </si>
  <si>
    <t>66:36:3001007</t>
  </si>
  <si>
    <t>66:36:3001010</t>
  </si>
  <si>
    <t>66:36:3001015</t>
  </si>
  <si>
    <t>66:36:3001016</t>
  </si>
  <si>
    <t>66:36:3003001</t>
  </si>
  <si>
    <t>66:36:3001002</t>
  </si>
  <si>
    <t>66:36:3001018</t>
  </si>
  <si>
    <t>66:36:3002001</t>
  </si>
  <si>
    <t>66:36:3002002</t>
  </si>
  <si>
    <t>66:36:3002003</t>
  </si>
  <si>
    <t>66:36:3002004</t>
  </si>
  <si>
    <t>66:36:3002005</t>
  </si>
  <si>
    <t>66:36:3002006</t>
  </si>
  <si>
    <t>66:36:3002007</t>
  </si>
  <si>
    <t>66:36:3002008</t>
  </si>
  <si>
    <t>66:36:3003002</t>
  </si>
  <si>
    <t>66:36:3003003</t>
  </si>
  <si>
    <t>66:36:3003004</t>
  </si>
  <si>
    <t>66:36:3003005</t>
  </si>
  <si>
    <t>66:36:3003006</t>
  </si>
  <si>
    <t>66:36:3003007</t>
  </si>
  <si>
    <t>66:36:3301001</t>
  </si>
  <si>
    <t>surl_1</t>
  </si>
  <si>
    <t>66:62:0101001</t>
  </si>
  <si>
    <t>66:62:0101002</t>
  </si>
  <si>
    <t>66:62:0106007</t>
  </si>
  <si>
    <t>66:62:0106008</t>
  </si>
  <si>
    <t>66:12:3908004</t>
  </si>
  <si>
    <t>зона влияния ЕКБ на КУ</t>
  </si>
  <si>
    <t>66:12:3908005</t>
  </si>
  <si>
    <t>66:12:7701001</t>
  </si>
  <si>
    <t>66:06:4401001</t>
  </si>
  <si>
    <t>66:06:4301001</t>
  </si>
  <si>
    <t>66:06:4301002</t>
  </si>
  <si>
    <t>66:06:4301007</t>
  </si>
  <si>
    <t>66:06:4301008</t>
  </si>
  <si>
    <t>66:06:4301009</t>
  </si>
  <si>
    <t>66:06:4301010</t>
  </si>
  <si>
    <t>66:06:4504028</t>
  </si>
  <si>
    <t>66:06:4504029</t>
  </si>
  <si>
    <t>66:06:4504030</t>
  </si>
  <si>
    <t>66:06:3901001</t>
  </si>
  <si>
    <t>66:06:3901002</t>
  </si>
  <si>
    <t>66:06:3901003</t>
  </si>
  <si>
    <t>66:06:3901004</t>
  </si>
  <si>
    <t>66:06:3901005</t>
  </si>
  <si>
    <t>66:06:4001001</t>
  </si>
  <si>
    <t>66:06:4504026</t>
  </si>
  <si>
    <t>66:06:4504027</t>
  </si>
  <si>
    <t>66:06:1701052</t>
  </si>
  <si>
    <t>66:06:1701035</t>
  </si>
  <si>
    <t>66:06:1701036</t>
  </si>
  <si>
    <t>66:06:1701041</t>
  </si>
  <si>
    <t>66:06:1701042</t>
  </si>
  <si>
    <t>66:06:1701043</t>
  </si>
  <si>
    <t>66:06:1701059</t>
  </si>
  <si>
    <t>66:06:1701034</t>
  </si>
  <si>
    <t>66:06:1701047</t>
  </si>
  <si>
    <t>66:06:1701048</t>
  </si>
  <si>
    <t>66:06:1701049</t>
  </si>
  <si>
    <t>66:06:1701050</t>
  </si>
  <si>
    <t>66:06:1701051</t>
  </si>
  <si>
    <t>66:06:1701056</t>
  </si>
  <si>
    <t>66:06:1701057</t>
  </si>
  <si>
    <t>66:06:1701060</t>
  </si>
  <si>
    <t>66:06:1701061</t>
  </si>
  <si>
    <t>66:06:1701062</t>
  </si>
  <si>
    <t>66:06:1701063</t>
  </si>
  <si>
    <t>66:06:1701065</t>
  </si>
  <si>
    <t>66:06:1701066</t>
  </si>
  <si>
    <t>66:06:1701067</t>
  </si>
  <si>
    <t>66:06:1201003</t>
  </si>
  <si>
    <t>66:06:1101001</t>
  </si>
  <si>
    <t>Belo_5</t>
  </si>
  <si>
    <t>66:06:1101002</t>
  </si>
  <si>
    <t>66:06:1101003</t>
  </si>
  <si>
    <t>66:06:1201001</t>
  </si>
  <si>
    <t>66:06:1201002</t>
  </si>
  <si>
    <t>66:06:1201004</t>
  </si>
  <si>
    <t>66:06:1201005</t>
  </si>
  <si>
    <t>66:06:2201001</t>
  </si>
  <si>
    <t>66:06:4501069</t>
  </si>
  <si>
    <t>Belo_7</t>
  </si>
  <si>
    <t>66:06:4503002</t>
  </si>
  <si>
    <t>66:06:4503011</t>
  </si>
  <si>
    <t>66:06:4503012</t>
  </si>
  <si>
    <t>66:06:2601020</t>
  </si>
  <si>
    <t>66:06:2601001</t>
  </si>
  <si>
    <t>66:06:2601002</t>
  </si>
  <si>
    <t>66:06:2601003</t>
  </si>
  <si>
    <t>66:06:2601015</t>
  </si>
  <si>
    <t>66:06:2601016</t>
  </si>
  <si>
    <t>66:06:2601017</t>
  </si>
  <si>
    <t>66:06:2601018</t>
  </si>
  <si>
    <t>66:06:2601019</t>
  </si>
  <si>
    <t>66:06:2601021</t>
  </si>
  <si>
    <t>66:06:2601022</t>
  </si>
  <si>
    <t>66:06:2601023</t>
  </si>
  <si>
    <t>66:06:2601024</t>
  </si>
  <si>
    <t>66:06:4503010</t>
  </si>
  <si>
    <t>66:06:1701019</t>
  </si>
  <si>
    <t>66:06:1701030</t>
  </si>
  <si>
    <t>66:06:1701031</t>
  </si>
  <si>
    <t>66:06:1701032</t>
  </si>
  <si>
    <t>66:06:1701033</t>
  </si>
  <si>
    <t>66:06:1701044</t>
  </si>
  <si>
    <t>66:06:1701046</t>
  </si>
  <si>
    <t>66:06:1701053</t>
  </si>
  <si>
    <t>66:06:1701054</t>
  </si>
  <si>
    <t>66:06:1701055</t>
  </si>
  <si>
    <t>66:06:1701058</t>
  </si>
  <si>
    <t>66:06:1701064</t>
  </si>
  <si>
    <t>66:06:1701071</t>
  </si>
  <si>
    <t>66:06:4503003</t>
  </si>
  <si>
    <t>66:06:4301003</t>
  </si>
  <si>
    <t>66:06:3701006</t>
  </si>
  <si>
    <t>66:06:3701001</t>
  </si>
  <si>
    <t>66:06:3701002</t>
  </si>
  <si>
    <t>66:06:3701003</t>
  </si>
  <si>
    <t>66:06:3701004</t>
  </si>
  <si>
    <t>66:06:3701005</t>
  </si>
  <si>
    <t>66:06:3701008</t>
  </si>
  <si>
    <t>66:06:3701009</t>
  </si>
  <si>
    <t>66:06:4301004</t>
  </si>
  <si>
    <t>66:06:4301005</t>
  </si>
  <si>
    <t>66:06:4301006</t>
  </si>
  <si>
    <t>66:06:4301012</t>
  </si>
  <si>
    <t>66:06:4504020</t>
  </si>
  <si>
    <t>66:06:4101001</t>
  </si>
  <si>
    <t>66:06:4201001</t>
  </si>
  <si>
    <t>66:06:4201002</t>
  </si>
  <si>
    <t>66:06:4201003</t>
  </si>
  <si>
    <t>66:06:4301011</t>
  </si>
  <si>
    <t>66:06:4504021</t>
  </si>
  <si>
    <t>66:06:4504022</t>
  </si>
  <si>
    <t>66:06:4504024</t>
  </si>
  <si>
    <t>66:06:4504025</t>
  </si>
  <si>
    <t>66:06:4506001</t>
  </si>
  <si>
    <t>66:06:4506002</t>
  </si>
  <si>
    <t>66:06:4506003</t>
  </si>
  <si>
    <t>66:06:4506004</t>
  </si>
  <si>
    <t>66:06:4506005</t>
  </si>
  <si>
    <t>66:06:4505005</t>
  </si>
  <si>
    <t>66:06:3201008</t>
  </si>
  <si>
    <t>66:06:2601011</t>
  </si>
  <si>
    <t>66:06:3201001</t>
  </si>
  <si>
    <t>66:06:3201002</t>
  </si>
  <si>
    <t>66:06:3201003</t>
  </si>
  <si>
    <t>66:06:3201004</t>
  </si>
  <si>
    <t>66:06:3201005</t>
  </si>
  <si>
    <t>66:06:3201006</t>
  </si>
  <si>
    <t>66:06:3201007</t>
  </si>
  <si>
    <t>66:06:3301001</t>
  </si>
  <si>
    <t>66:06:3401001</t>
  </si>
  <si>
    <t>66:06:3701007</t>
  </si>
  <si>
    <t>66:06:4504005</t>
  </si>
  <si>
    <t>66:06:4504016</t>
  </si>
  <si>
    <t>66:06:4504017</t>
  </si>
  <si>
    <t>66:06:4504018</t>
  </si>
  <si>
    <t>66:06:4504019</t>
  </si>
  <si>
    <t>66:06:2601006</t>
  </si>
  <si>
    <t>66:06:2601004</t>
  </si>
  <si>
    <t>66:06:2601005</t>
  </si>
  <si>
    <t>66:06:2601007</t>
  </si>
  <si>
    <t>66:06:2601008</t>
  </si>
  <si>
    <t>66:06:2601009</t>
  </si>
  <si>
    <t>66:06:2601010</t>
  </si>
  <si>
    <t>66:06:2601012</t>
  </si>
  <si>
    <t>66:06:2601013</t>
  </si>
  <si>
    <t>66:06:2601014</t>
  </si>
  <si>
    <t>66:06:4501071</t>
  </si>
  <si>
    <t>66:06:4504006</t>
  </si>
  <si>
    <t>66:06:4505001</t>
  </si>
  <si>
    <t>66:06:4505002</t>
  </si>
  <si>
    <t>66:06:4505003</t>
  </si>
  <si>
    <t>66:06:4505004</t>
  </si>
  <si>
    <t>66:06:1001001</t>
  </si>
  <si>
    <t>66:06:1001002</t>
  </si>
  <si>
    <t>66:06:2101001</t>
  </si>
  <si>
    <t>66:06:3101002</t>
  </si>
  <si>
    <t>66:06:3001001</t>
  </si>
  <si>
    <t>66:06:3001002</t>
  </si>
  <si>
    <t>66:06:3001003</t>
  </si>
  <si>
    <t>66:06:3001004</t>
  </si>
  <si>
    <t>66:06:3101001</t>
  </si>
  <si>
    <t>66:06:3101003</t>
  </si>
  <si>
    <t>66:06:3101004</t>
  </si>
  <si>
    <t>66:06:3101005</t>
  </si>
  <si>
    <t>66:06:3101008</t>
  </si>
  <si>
    <t>66:06:3101009</t>
  </si>
  <si>
    <t>66:06:4501070</t>
  </si>
  <si>
    <t>66:06:4504012</t>
  </si>
  <si>
    <t>66:06:4504013</t>
  </si>
  <si>
    <t>66:06:4504014</t>
  </si>
  <si>
    <t>66:06:4504015</t>
  </si>
  <si>
    <t>66:06:3601007</t>
  </si>
  <si>
    <t>66:06:3101006</t>
  </si>
  <si>
    <t>66:06:3101007</t>
  </si>
  <si>
    <t>66:06:3601001</t>
  </si>
  <si>
    <t>66:06:3601002</t>
  </si>
  <si>
    <t>66:06:3601003</t>
  </si>
  <si>
    <t>66:06:3601004</t>
  </si>
  <si>
    <t>66:06:3601005</t>
  </si>
  <si>
    <t>66:06:3601006</t>
  </si>
  <si>
    <t>66:06:3601008</t>
  </si>
  <si>
    <t>66:06:3601009</t>
  </si>
  <si>
    <t>66:06:3601010</t>
  </si>
  <si>
    <t>66:06:3601011</t>
  </si>
  <si>
    <t>66:06:2501023</t>
  </si>
  <si>
    <t>66:06:2501013</t>
  </si>
  <si>
    <t>66:06:2501009</t>
  </si>
  <si>
    <t>66:06:2501010</t>
  </si>
  <si>
    <t>66:06:2501012</t>
  </si>
  <si>
    <t>66:06:2501014</t>
  </si>
  <si>
    <t>66:06:2501015</t>
  </si>
  <si>
    <t>66:06:2501017</t>
  </si>
  <si>
    <t>66:06:2501018</t>
  </si>
  <si>
    <t>66:06:2501021</t>
  </si>
  <si>
    <t>66:06:2501022</t>
  </si>
  <si>
    <t>66:06:2501024</t>
  </si>
  <si>
    <t>66:06:2501025</t>
  </si>
  <si>
    <t>66:06:2501026</t>
  </si>
  <si>
    <t>66:06:2501008</t>
  </si>
  <si>
    <t>66:06:2501005</t>
  </si>
  <si>
    <t>66:06:2501001</t>
  </si>
  <si>
    <t>66:06:2501002</t>
  </si>
  <si>
    <t>66:06:2501003</t>
  </si>
  <si>
    <t>66:06:2501004</t>
  </si>
  <si>
    <t>66:06:2501006</t>
  </si>
  <si>
    <t>66:06:2501007</t>
  </si>
  <si>
    <t>66:06:2501016</t>
  </si>
  <si>
    <t>66:06:2101009</t>
  </si>
  <si>
    <t>66:06:2101002</t>
  </si>
  <si>
    <t>66:06:2101003</t>
  </si>
  <si>
    <t>66:06:2101004</t>
  </si>
  <si>
    <t>66:06:2101005</t>
  </si>
  <si>
    <t>66:06:2101006</t>
  </si>
  <si>
    <t>66:06:2101007</t>
  </si>
  <si>
    <t>66:06:2101008</t>
  </si>
  <si>
    <t>66:06:4501066</t>
  </si>
  <si>
    <t>Belo_12</t>
  </si>
  <si>
    <t>66:06:4501067</t>
  </si>
  <si>
    <t>66:06:4504009</t>
  </si>
  <si>
    <t>66:06:2501011</t>
  </si>
  <si>
    <t>66:06:2901001</t>
  </si>
  <si>
    <t>66:06:2901002</t>
  </si>
  <si>
    <t>66:06:4501068</t>
  </si>
  <si>
    <t>66:06:4504002</t>
  </si>
  <si>
    <t>66:06:4504003</t>
  </si>
  <si>
    <t>66:06:4504004</t>
  </si>
  <si>
    <t>66:06:4504008</t>
  </si>
  <si>
    <t>66:06:4504010</t>
  </si>
  <si>
    <t>66:06:4504011</t>
  </si>
  <si>
    <t>66:06:4504023</t>
  </si>
  <si>
    <t>66:06:2401001</t>
  </si>
  <si>
    <t>66:06:2401002</t>
  </si>
  <si>
    <t>66:06:2401003</t>
  </si>
  <si>
    <t>66:06:2801002</t>
  </si>
  <si>
    <t>66:06:2801003</t>
  </si>
  <si>
    <t>66:06:2801004</t>
  </si>
  <si>
    <t>66:06:2801005</t>
  </si>
  <si>
    <t>66:06:2801006</t>
  </si>
  <si>
    <t>66:06:4504001</t>
  </si>
  <si>
    <t>66:06:4504007</t>
  </si>
  <si>
    <t>66:06:0701003</t>
  </si>
  <si>
    <t>Belo_3</t>
  </si>
  <si>
    <t>66:06:0701001</t>
  </si>
  <si>
    <t>66:06:0701002</t>
  </si>
  <si>
    <t>66:06:0701004</t>
  </si>
  <si>
    <t>66:06:0701005</t>
  </si>
  <si>
    <t>66:06:0701006</t>
  </si>
  <si>
    <t>66:06:0801001</t>
  </si>
  <si>
    <t>Belo_4</t>
  </si>
  <si>
    <t>66:06:0801002</t>
  </si>
  <si>
    <t>66:06:0801003</t>
  </si>
  <si>
    <t>66:06:0801004</t>
  </si>
  <si>
    <t>66:06:0801005</t>
  </si>
  <si>
    <t>66:06:0801006</t>
  </si>
  <si>
    <t>66:06:0801007</t>
  </si>
  <si>
    <t>66:06:4501017</t>
  </si>
  <si>
    <t>66:06:4501026</t>
  </si>
  <si>
    <t>66:25:4314001</t>
  </si>
  <si>
    <t>sysr_26</t>
  </si>
  <si>
    <t>66:25:3618001</t>
  </si>
  <si>
    <t>66:25:4308001</t>
  </si>
  <si>
    <t>66:25:4308002</t>
  </si>
  <si>
    <t>66:25:4308003</t>
  </si>
  <si>
    <t>66:25:4309001</t>
  </si>
  <si>
    <t>66:25:4310002</t>
  </si>
  <si>
    <t>66:25:4311001</t>
  </si>
  <si>
    <t>66:25:4312001</t>
  </si>
  <si>
    <t>66:25:4313001</t>
  </si>
  <si>
    <t>66:25:4315001</t>
  </si>
  <si>
    <t>66:25:4316001</t>
  </si>
  <si>
    <t>66:25:4317001</t>
  </si>
  <si>
    <t>66:25:4601001</t>
  </si>
  <si>
    <t>66:25:4601002</t>
  </si>
  <si>
    <t>66:25:4601003</t>
  </si>
  <si>
    <t>66:25:4601004</t>
  </si>
  <si>
    <t>66:25:3901003</t>
  </si>
  <si>
    <t>sysr_22</t>
  </si>
  <si>
    <t>66:25:3602001</t>
  </si>
  <si>
    <t>66:25:3602004</t>
  </si>
  <si>
    <t>66:25:3604001</t>
  </si>
  <si>
    <t>66:25:3605001</t>
  </si>
  <si>
    <t>66:25:3606001</t>
  </si>
  <si>
    <t>66:25:3607001</t>
  </si>
  <si>
    <t>66:25:3608001</t>
  </si>
  <si>
    <t>66:25:3608002</t>
  </si>
  <si>
    <t>66:25:3615001</t>
  </si>
  <si>
    <t>66:25:3615003</t>
  </si>
  <si>
    <t>66:25:3901001</t>
  </si>
  <si>
    <t>66:25:3901002</t>
  </si>
  <si>
    <t>66:25:3615005</t>
  </si>
  <si>
    <t>66:25:3615004</t>
  </si>
  <si>
    <t>66:25:3616001</t>
  </si>
  <si>
    <t>66:25:3619001</t>
  </si>
  <si>
    <t>66:25:3620001</t>
  </si>
  <si>
    <t>66:25:4101001</t>
  </si>
  <si>
    <t>66:25:4101002</t>
  </si>
  <si>
    <t>66:25:4101003</t>
  </si>
  <si>
    <t>66:25:4201003</t>
  </si>
  <si>
    <t>66:25:4310001</t>
  </si>
  <si>
    <t>66:25:4501001</t>
  </si>
  <si>
    <t>66:25:4501002</t>
  </si>
  <si>
    <t>66:25:4401003</t>
  </si>
  <si>
    <t>66:25:4304003</t>
  </si>
  <si>
    <t>66:25:3614007</t>
  </si>
  <si>
    <t>66:25:4201004</t>
  </si>
  <si>
    <t>66:25:4201005</t>
  </si>
  <si>
    <t>66:25:4201006</t>
  </si>
  <si>
    <t>66:25:4303001</t>
  </si>
  <si>
    <t>66:25:4303002</t>
  </si>
  <si>
    <t>66:25:4303003</t>
  </si>
  <si>
    <t>66:25:4304001</t>
  </si>
  <si>
    <t>66:25:4304002</t>
  </si>
  <si>
    <t>66:25:4401001</t>
  </si>
  <si>
    <t>66:25:4401002</t>
  </si>
  <si>
    <t>66:25:4401004</t>
  </si>
  <si>
    <t>66:25:4401005</t>
  </si>
  <si>
    <t>66:25:4305001</t>
  </si>
  <si>
    <t>66:25:4306001</t>
  </si>
  <si>
    <t>66:25:4306002</t>
  </si>
  <si>
    <t>66:25:4306003</t>
  </si>
  <si>
    <t>66:25:4306004</t>
  </si>
  <si>
    <t>66:25:4307001</t>
  </si>
  <si>
    <t>66:25:4701001</t>
  </si>
  <si>
    <t>66:25:3617001</t>
  </si>
  <si>
    <t>66:25:3612001</t>
  </si>
  <si>
    <t>sysr_24</t>
  </si>
  <si>
    <t>66:25:3614001</t>
  </si>
  <si>
    <t>66:25:3614002</t>
  </si>
  <si>
    <t>66:25:3614003</t>
  </si>
  <si>
    <t>66:25:3614004</t>
  </si>
  <si>
    <t>66:25:3617002</t>
  </si>
  <si>
    <t>66:25:4201001</t>
  </si>
  <si>
    <t>66:25:4201002</t>
  </si>
  <si>
    <t>66:25:3614005</t>
  </si>
  <si>
    <t>66:25:3610001</t>
  </si>
  <si>
    <t>66:25:3613001</t>
  </si>
  <si>
    <t>66:25:4303004</t>
  </si>
  <si>
    <t>66:06:0901001</t>
  </si>
  <si>
    <t>66:06:0901002</t>
  </si>
  <si>
    <t>66:06:0901003</t>
  </si>
  <si>
    <t>66:06:0901004</t>
  </si>
  <si>
    <t>66:06:4501021</t>
  </si>
  <si>
    <t>66:06:4501058</t>
  </si>
  <si>
    <t>66:06:4501059</t>
  </si>
  <si>
    <t>66:06:4501060</t>
  </si>
  <si>
    <t>66:06:4501061</t>
  </si>
  <si>
    <t>66:06:4501062</t>
  </si>
  <si>
    <t>66:06:4501063</t>
  </si>
  <si>
    <t>66:06:4501064</t>
  </si>
  <si>
    <t>66:06:4501065</t>
  </si>
  <si>
    <t>66:06:4501037</t>
  </si>
  <si>
    <t>Belo_2</t>
  </si>
  <si>
    <t>66:06:4501022</t>
  </si>
  <si>
    <t>66:06:4501023</t>
  </si>
  <si>
    <t>66:06:4501024</t>
  </si>
  <si>
    <t>66:06:4501025</t>
  </si>
  <si>
    <t>66:06:4501035</t>
  </si>
  <si>
    <t>66:06:4501036</t>
  </si>
  <si>
    <t>66:06:4501038</t>
  </si>
  <si>
    <t>66:06:4501039</t>
  </si>
  <si>
    <t>66:06:4501040</t>
  </si>
  <si>
    <t>66:06:4501041</t>
  </si>
  <si>
    <t>66:06:4501042</t>
  </si>
  <si>
    <t>66:06:4501043</t>
  </si>
  <si>
    <t>66:06:4501044</t>
  </si>
  <si>
    <t>66:25:3602003</t>
  </si>
  <si>
    <t>66:25:1333001</t>
  </si>
  <si>
    <t>sysr_19</t>
  </si>
  <si>
    <t>66:25:1333002</t>
  </si>
  <si>
    <t>66:25:1336001</t>
  </si>
  <si>
    <t>66:25:3601001</t>
  </si>
  <si>
    <t>66:25:3602002</t>
  </si>
  <si>
    <t>66:25:3603001</t>
  </si>
  <si>
    <t>66:06:4504031</t>
  </si>
  <si>
    <t>66:25:1330001</t>
  </si>
  <si>
    <t>sysr_11</t>
  </si>
  <si>
    <t>66:25:1321003</t>
  </si>
  <si>
    <t>66:25:1322001</t>
  </si>
  <si>
    <t>sysr_9</t>
  </si>
  <si>
    <t>66:25:1322003</t>
  </si>
  <si>
    <t>sysr_20</t>
  </si>
  <si>
    <t>66:25:1323001</t>
  </si>
  <si>
    <t>66:25:1327001</t>
  </si>
  <si>
    <t>66:25:1331001</t>
  </si>
  <si>
    <t>66:25:1332001</t>
  </si>
  <si>
    <t>66:25:1334001</t>
  </si>
  <si>
    <t>66:25:1335001</t>
  </si>
  <si>
    <t>66:25:2703001</t>
  </si>
  <si>
    <t>66:25:2721003</t>
  </si>
  <si>
    <t>66:06:2801001</t>
  </si>
  <si>
    <t>66:06:4501053</t>
  </si>
  <si>
    <t>66:06:4501047</t>
  </si>
  <si>
    <t>66:06:0601001</t>
  </si>
  <si>
    <t>66:06:0601002</t>
  </si>
  <si>
    <t>66:06:0601003</t>
  </si>
  <si>
    <t>66:06:0601004</t>
  </si>
  <si>
    <t>66:06:4501020</t>
  </si>
  <si>
    <t>66:06:4501048</t>
  </si>
  <si>
    <t>66:06:4501049</t>
  </si>
  <si>
    <t>66:06:4501050</t>
  </si>
  <si>
    <t>66:06:4501051</t>
  </si>
  <si>
    <t>66:06:4501054</t>
  </si>
  <si>
    <t>66:06:4501055</t>
  </si>
  <si>
    <t>66:06:4501056</t>
  </si>
  <si>
    <t>66:06:4501057</t>
  </si>
  <si>
    <t>66:06:0501003</t>
  </si>
  <si>
    <t>Belo_1</t>
  </si>
  <si>
    <t>66:06:0501001</t>
  </si>
  <si>
    <t>66:06:0501002</t>
  </si>
  <si>
    <t>66:06:4501032</t>
  </si>
  <si>
    <t>66:06:4501033</t>
  </si>
  <si>
    <t>66:06:4501034</t>
  </si>
  <si>
    <t>66:06:4501045</t>
  </si>
  <si>
    <t>66:06:4501046</t>
  </si>
  <si>
    <t>66:06:4501015</t>
  </si>
  <si>
    <t>66:06:0401001</t>
  </si>
  <si>
    <t>66:06:0401002</t>
  </si>
  <si>
    <t>66:06:0401004</t>
  </si>
  <si>
    <t>66:06:0401005</t>
  </si>
  <si>
    <t>66:06:0401006</t>
  </si>
  <si>
    <t>66:06:0401007</t>
  </si>
  <si>
    <t>66:06:0401010</t>
  </si>
  <si>
    <t>66:06:0401011</t>
  </si>
  <si>
    <t>66:06:0401012</t>
  </si>
  <si>
    <t>66:06:4501013</t>
  </si>
  <si>
    <t>66:06:4501014</t>
  </si>
  <si>
    <t>66:06:4501016</t>
  </si>
  <si>
    <t>66:25:2724004</t>
  </si>
  <si>
    <t>66:25:2703002</t>
  </si>
  <si>
    <t>66:25:2724001</t>
  </si>
  <si>
    <t>66:25:2724002</t>
  </si>
  <si>
    <t>66:25:2724003</t>
  </si>
  <si>
    <t>66:25:2724005</t>
  </si>
  <si>
    <t>66:25:2724006</t>
  </si>
  <si>
    <t>66:25:2725001</t>
  </si>
  <si>
    <t>66:25:2726001</t>
  </si>
  <si>
    <t>66:25:2731001</t>
  </si>
  <si>
    <t>66:25:3101001</t>
  </si>
  <si>
    <t>66:25:3501001</t>
  </si>
  <si>
    <t>66:25:3701001</t>
  </si>
  <si>
    <t>66:25:3701002</t>
  </si>
  <si>
    <t>66:25:3801001</t>
  </si>
  <si>
    <t>66:06:0301003</t>
  </si>
  <si>
    <t>66:06:0301001</t>
  </si>
  <si>
    <t>66:06:0301002</t>
  </si>
  <si>
    <t>66:06:0301004</t>
  </si>
  <si>
    <t>66:06:0401003</t>
  </si>
  <si>
    <t>66:06:0401008</t>
  </si>
  <si>
    <t>66:06:0401009</t>
  </si>
  <si>
    <t>66:06:4501018</t>
  </si>
  <si>
    <t>66:06:4501019</t>
  </si>
  <si>
    <t>66:06:4501027</t>
  </si>
  <si>
    <t>66:06:4501028</t>
  </si>
  <si>
    <t>66:06:4501029</t>
  </si>
  <si>
    <t>66:06:4501030</t>
  </si>
  <si>
    <t>66:06:4501031</t>
  </si>
  <si>
    <t>66:25:2601010</t>
  </si>
  <si>
    <t>sysr_21</t>
  </si>
  <si>
    <t>66:25:2601001</t>
  </si>
  <si>
    <t>66:25:2601002</t>
  </si>
  <si>
    <t>66:25:2601003</t>
  </si>
  <si>
    <t>66:25:2601004</t>
  </si>
  <si>
    <t>66:25:2601005</t>
  </si>
  <si>
    <t>66:25:2601006</t>
  </si>
  <si>
    <t>66:25:2601007</t>
  </si>
  <si>
    <t>66:25:2601008</t>
  </si>
  <si>
    <t>66:25:2601011</t>
  </si>
  <si>
    <t>66:25:2601013</t>
  </si>
  <si>
    <t>66:25:2721001</t>
  </si>
  <si>
    <t>66:25:2721002</t>
  </si>
  <si>
    <t>66:25:1325015</t>
  </si>
  <si>
    <t>sysr_14</t>
  </si>
  <si>
    <t>66:25:1325007</t>
  </si>
  <si>
    <t>sysr_13</t>
  </si>
  <si>
    <t>66:25:1325008</t>
  </si>
  <si>
    <t>66:25:1325009</t>
  </si>
  <si>
    <t>66:25:1325011</t>
  </si>
  <si>
    <t>66:25:1325014</t>
  </si>
  <si>
    <t>66:25:1325016</t>
  </si>
  <si>
    <t>66:25:1325017</t>
  </si>
  <si>
    <t>sysr_16</t>
  </si>
  <si>
    <t>66:25:1325018</t>
  </si>
  <si>
    <t>66:25:1325019</t>
  </si>
  <si>
    <t>66:25:1328001</t>
  </si>
  <si>
    <t>66:25:1412001</t>
  </si>
  <si>
    <t>66:25:1414003</t>
  </si>
  <si>
    <t>66:25:2501002</t>
  </si>
  <si>
    <t>66:25:2501003</t>
  </si>
  <si>
    <t>66:25:2501004</t>
  </si>
  <si>
    <t>66:25:2601033</t>
  </si>
  <si>
    <t>66:25:2601020</t>
  </si>
  <si>
    <t>66:25:2601018</t>
  </si>
  <si>
    <t>66:25:2601019</t>
  </si>
  <si>
    <t>66:25:2601021</t>
  </si>
  <si>
    <t>66:25:2601025</t>
  </si>
  <si>
    <t>66:25:2601026</t>
  </si>
  <si>
    <t>66:25:2601027</t>
  </si>
  <si>
    <t>66:25:2601032</t>
  </si>
  <si>
    <t>66:25:2601035</t>
  </si>
  <si>
    <t>66:25:2601036</t>
  </si>
  <si>
    <t>66:25:2601038</t>
  </si>
  <si>
    <t>66:25:2601039</t>
  </si>
  <si>
    <t>66:25:2601040</t>
  </si>
  <si>
    <t>66:25:2601041</t>
  </si>
  <si>
    <t>66:25:3001001</t>
  </si>
  <si>
    <t>66:25:2601022</t>
  </si>
  <si>
    <t>66:25:1416019</t>
  </si>
  <si>
    <t>66:25:1416020</t>
  </si>
  <si>
    <t>66:25:1416022</t>
  </si>
  <si>
    <t>66:25:1417001</t>
  </si>
  <si>
    <t>66:25:2601014</t>
  </si>
  <si>
    <t>66:25:2601015</t>
  </si>
  <si>
    <t>66:25:2601016</t>
  </si>
  <si>
    <t>66:25:2601017</t>
  </si>
  <si>
    <t>66:25:2601023</t>
  </si>
  <si>
    <t>66:25:2601024</t>
  </si>
  <si>
    <t>66:25:2601028</t>
  </si>
  <si>
    <t>66:25:2601029</t>
  </si>
  <si>
    <t>66:25:2601030</t>
  </si>
  <si>
    <t>66:25:2601031</t>
  </si>
  <si>
    <t>66:25:2601034</t>
  </si>
  <si>
    <t>66:25:2601037</t>
  </si>
  <si>
    <t>66:25:2901014</t>
  </si>
  <si>
    <t>66:25:1414001</t>
  </si>
  <si>
    <t>66:25:1405003</t>
  </si>
  <si>
    <t>66:25:1405002</t>
  </si>
  <si>
    <t>66:25:1405004</t>
  </si>
  <si>
    <t>66:25:1414002</t>
  </si>
  <si>
    <t>66:25:1415001</t>
  </si>
  <si>
    <t>66:25:1415002</t>
  </si>
  <si>
    <t>66:25:1415003</t>
  </si>
  <si>
    <t>66:25:1415004</t>
  </si>
  <si>
    <t>66:25:2601009</t>
  </si>
  <si>
    <t>66:25:2601012</t>
  </si>
  <si>
    <t>66:25:2728002</t>
  </si>
  <si>
    <t>66:25:2723001</t>
  </si>
  <si>
    <t>66:25:2728001</t>
  </si>
  <si>
    <t>66:25:2728003</t>
  </si>
  <si>
    <t>66:25:2729001</t>
  </si>
  <si>
    <t>66:25:3611001</t>
  </si>
  <si>
    <t>66:25:3614006</t>
  </si>
  <si>
    <t>66:25:4001001</t>
  </si>
  <si>
    <t>66:25:4001002</t>
  </si>
  <si>
    <t>66:25:2901013</t>
  </si>
  <si>
    <t>66:25:2719001</t>
  </si>
  <si>
    <t>66:25:2901002</t>
  </si>
  <si>
    <t>66:25:2901003</t>
  </si>
  <si>
    <t>66:25:2901005</t>
  </si>
  <si>
    <t>66:25:2901006</t>
  </si>
  <si>
    <t>66:25:2901011</t>
  </si>
  <si>
    <t>66:25:2901012</t>
  </si>
  <si>
    <t>66:25:2901018</t>
  </si>
  <si>
    <t>66:25:2901019</t>
  </si>
  <si>
    <t>66:25:2901020</t>
  </si>
  <si>
    <t>66:25:2901021</t>
  </si>
  <si>
    <t>66:25:2901025</t>
  </si>
  <si>
    <t>66:25:2901026</t>
  </si>
  <si>
    <t>66:25:2901029</t>
  </si>
  <si>
    <t>66:25:2901030</t>
  </si>
  <si>
    <t>66:25:2901031</t>
  </si>
  <si>
    <t>66:25:2901032</t>
  </si>
  <si>
    <t>66:25:1416010</t>
  </si>
  <si>
    <t>66:25:1416001</t>
  </si>
  <si>
    <t>66:25:1416009</t>
  </si>
  <si>
    <t>66:25:1416011</t>
  </si>
  <si>
    <t>66:25:1416012</t>
  </si>
  <si>
    <t>66:25:1416014</t>
  </si>
  <si>
    <t>66:25:1416015</t>
  </si>
  <si>
    <t>66:25:1416016</t>
  </si>
  <si>
    <t>66:25:1416017</t>
  </si>
  <si>
    <t>66:25:1416018</t>
  </si>
  <si>
    <t>66:25:1416021</t>
  </si>
  <si>
    <t>66:25:2711001</t>
  </si>
  <si>
    <t>66:25:2711002</t>
  </si>
  <si>
    <t>66:25:2712001</t>
  </si>
  <si>
    <t>66:25:1416007</t>
  </si>
  <si>
    <t>66:25:1416002</t>
  </si>
  <si>
    <t>66:25:1416003</t>
  </si>
  <si>
    <t>66:25:1416004</t>
  </si>
  <si>
    <t>66:25:1416005</t>
  </si>
  <si>
    <t>66:25:1416006</t>
  </si>
  <si>
    <t>66:25:1416008</t>
  </si>
  <si>
    <t>66:25:1416013</t>
  </si>
  <si>
    <t>66:25:1416023</t>
  </si>
  <si>
    <t>66:25:2710001</t>
  </si>
  <si>
    <t>66:25:2713001</t>
  </si>
  <si>
    <t>66:25:2901001</t>
  </si>
  <si>
    <t>66:25:2710002</t>
  </si>
  <si>
    <t>66:25:2714001</t>
  </si>
  <si>
    <t>66:25:2715001</t>
  </si>
  <si>
    <t>66:25:2716001</t>
  </si>
  <si>
    <t>66:25:2717001</t>
  </si>
  <si>
    <t>66:25:2718001</t>
  </si>
  <si>
    <t>66:25:2901004</t>
  </si>
  <si>
    <t>66:25:2901007</t>
  </si>
  <si>
    <t>66:25:2901009</t>
  </si>
  <si>
    <t>66:25:2901028</t>
  </si>
  <si>
    <t>66:25:2901008</t>
  </si>
  <si>
    <t>66:25:2901010</t>
  </si>
  <si>
    <t>66:25:2901015</t>
  </si>
  <si>
    <t>66:25:2901016</t>
  </si>
  <si>
    <t>66:25:2901017</t>
  </si>
  <si>
    <t>66:25:2901022</t>
  </si>
  <si>
    <t>66:25:2901023</t>
  </si>
  <si>
    <t>66:25:2901024</t>
  </si>
  <si>
    <t>66:25:2901027</t>
  </si>
  <si>
    <t>66:25:3301001</t>
  </si>
  <si>
    <t>66:25:3609001</t>
  </si>
  <si>
    <t>66:25:5001001</t>
  </si>
  <si>
    <t>66:25:2704001</t>
  </si>
  <si>
    <t>66:25:2727001</t>
  </si>
  <si>
    <t>66:25:2730001</t>
  </si>
  <si>
    <t>sysr_23</t>
  </si>
  <si>
    <t>66:25:2706001</t>
  </si>
  <si>
    <t>66:25:4301001</t>
  </si>
  <si>
    <t>66:25:4302001</t>
  </si>
  <si>
    <t>66:25:4302002</t>
  </si>
  <si>
    <t>66:25:3401020</t>
  </si>
  <si>
    <t>66:25:3401003</t>
  </si>
  <si>
    <t>66:25:3401004</t>
  </si>
  <si>
    <t>66:25:3401005</t>
  </si>
  <si>
    <t>66:25:3401008</t>
  </si>
  <si>
    <t>66:25:3401009</t>
  </si>
  <si>
    <t>66:25:3401012</t>
  </si>
  <si>
    <t>66:25:3401013</t>
  </si>
  <si>
    <t>66:25:3401017</t>
  </si>
  <si>
    <t>66:25:3401021</t>
  </si>
  <si>
    <t>66:25:3401022</t>
  </si>
  <si>
    <t>66:25:3401010</t>
  </si>
  <si>
    <t>66:25:3401002</t>
  </si>
  <si>
    <t>66:25:3401006</t>
  </si>
  <si>
    <t>66:25:3401007</t>
  </si>
  <si>
    <t>66:25:3401011</t>
  </si>
  <si>
    <t>66:25:3401014</t>
  </si>
  <si>
    <t>66:25:3401015</t>
  </si>
  <si>
    <t>66:25:3401016</t>
  </si>
  <si>
    <t>66:25:3401018</t>
  </si>
  <si>
    <t>66:25:3401019</t>
  </si>
  <si>
    <t>66:25:2707001</t>
  </si>
  <si>
    <t>66:25:2801003</t>
  </si>
  <si>
    <t>66:25:2801002</t>
  </si>
  <si>
    <t>66:25:2708001</t>
  </si>
  <si>
    <t>66:25:2708002</t>
  </si>
  <si>
    <t>66:25:2708003</t>
  </si>
  <si>
    <t>66:25:2708004</t>
  </si>
  <si>
    <t>66:25:2708005</t>
  </si>
  <si>
    <t>66:25:2709001</t>
  </si>
  <si>
    <t>66:25:2709002</t>
  </si>
  <si>
    <t>66:25:2801004</t>
  </si>
  <si>
    <t>66:25:2801010</t>
  </si>
  <si>
    <t>66:25:2720001</t>
  </si>
  <si>
    <t>66:25:2720002</t>
  </si>
  <si>
    <t>66:25:2801001</t>
  </si>
  <si>
    <t>66:25:2801005</t>
  </si>
  <si>
    <t>66:25:2801006</t>
  </si>
  <si>
    <t>66:25:2801007</t>
  </si>
  <si>
    <t>66:25:2801008</t>
  </si>
  <si>
    <t>66:25:2801009</t>
  </si>
  <si>
    <t>66:25:2801011</t>
  </si>
  <si>
    <t>66:25:0310016</t>
  </si>
  <si>
    <t>66:25:0316001</t>
  </si>
  <si>
    <t>sysr_17</t>
  </si>
  <si>
    <t>66:25:0318001</t>
  </si>
  <si>
    <t>66:25:0324001</t>
  </si>
  <si>
    <t>66:25:0325001</t>
  </si>
  <si>
    <t>66:25:1407001</t>
  </si>
  <si>
    <t>66:25:1407002</t>
  </si>
  <si>
    <t>66:41:0507022</t>
  </si>
  <si>
    <t>66:41:0507027</t>
  </si>
  <si>
    <t>66:41:0507049</t>
  </si>
  <si>
    <t>66:41:0507067</t>
  </si>
  <si>
    <t>66:41:0507068</t>
  </si>
  <si>
    <t>66:41:0507088</t>
  </si>
  <si>
    <t>66:41:0507098</t>
  </si>
  <si>
    <t>66:41:0507103</t>
  </si>
  <si>
    <t>66:41:0507104</t>
  </si>
  <si>
    <t>66:41:0507110</t>
  </si>
  <si>
    <t>66:41:0507111</t>
  </si>
  <si>
    <t>66:41:0507114</t>
  </si>
  <si>
    <t>66:25:0304004</t>
  </si>
  <si>
    <t>sysr_18</t>
  </si>
  <si>
    <t>66:25:0304005</t>
  </si>
  <si>
    <t>sysr_2</t>
  </si>
  <si>
    <t>66:41:0515015</t>
  </si>
  <si>
    <t>66:41:0515022</t>
  </si>
  <si>
    <t>66:41:0515023</t>
  </si>
  <si>
    <t>66:41:0515024</t>
  </si>
  <si>
    <t>66:41:0515025</t>
  </si>
  <si>
    <t>66:41:0515033</t>
  </si>
  <si>
    <t>66:41:0515036</t>
  </si>
  <si>
    <t>66:41:0515038</t>
  </si>
  <si>
    <t>66:41:0515039</t>
  </si>
  <si>
    <t>66:41:0515040</t>
  </si>
  <si>
    <t>66:25:0310006</t>
  </si>
  <si>
    <t>66:25:0310007</t>
  </si>
  <si>
    <t>66:25:0310010</t>
  </si>
  <si>
    <t>66:41:0505015</t>
  </si>
  <si>
    <t>66:41:0505020</t>
  </si>
  <si>
    <t>66:41:0506033</t>
  </si>
  <si>
    <t>66:41:0507004</t>
  </si>
  <si>
    <t>66:41:0507006</t>
  </si>
  <si>
    <t>66:41:0507009</t>
  </si>
  <si>
    <t>66:41:0507013</t>
  </si>
  <si>
    <t>66:41:0507014</t>
  </si>
  <si>
    <t>66:41:0507021</t>
  </si>
  <si>
    <t>66:41:0507034</t>
  </si>
  <si>
    <t>66:41:0529007</t>
  </si>
  <si>
    <t>66:25:0310009</t>
  </si>
  <si>
    <t>66:25:0310013</t>
  </si>
  <si>
    <t>66:25:0310014</t>
  </si>
  <si>
    <t>66:25:0310015</t>
  </si>
  <si>
    <t>66:25:0323001</t>
  </si>
  <si>
    <t>66:25:2701001</t>
  </si>
  <si>
    <t>66:25:2702001</t>
  </si>
  <si>
    <t>66:41:0507065</t>
  </si>
  <si>
    <t>66:41:0507066</t>
  </si>
  <si>
    <t>66:41:0507089</t>
  </si>
  <si>
    <t>66:41:0507090</t>
  </si>
  <si>
    <t>66:41:0525901</t>
  </si>
  <si>
    <t>66:41:0507033</t>
  </si>
  <si>
    <t>66:41:0507048</t>
  </si>
  <si>
    <t>66:41:0525001</t>
  </si>
  <si>
    <t>66:41:0525002</t>
  </si>
  <si>
    <t>66:41:0525004</t>
  </si>
  <si>
    <t>66:41:0525005</t>
  </si>
  <si>
    <t>66:41:0525006</t>
  </si>
  <si>
    <t>66:41:0525007</t>
  </si>
  <si>
    <t>66:41:0525008</t>
  </si>
  <si>
    <t>66:41:0525009</t>
  </si>
  <si>
    <t>66:41:0525010</t>
  </si>
  <si>
    <t>66:41:0525011</t>
  </si>
  <si>
    <t>66:41:0525012</t>
  </si>
  <si>
    <t>66:41:0525013</t>
  </si>
  <si>
    <t>66:25:0317003</t>
  </si>
  <si>
    <t>66:25:0317001</t>
  </si>
  <si>
    <t>66:41:0528005</t>
  </si>
  <si>
    <t>66:41:0514035</t>
  </si>
  <si>
    <t>66:41:0528001</t>
  </si>
  <si>
    <t>66:41:0528002</t>
  </si>
  <si>
    <t>66:41:0528003</t>
  </si>
  <si>
    <t>66:41:0528004</t>
  </si>
  <si>
    <t>66:41:0528006</t>
  </si>
  <si>
    <t>66:41:0528901</t>
  </si>
  <si>
    <t>66:25:0310004</t>
  </si>
  <si>
    <t>66:25:0310005</t>
  </si>
  <si>
    <t>66:25:0310008</t>
  </si>
  <si>
    <t>66:25:0317002</t>
  </si>
  <si>
    <t>66:25:0317004</t>
  </si>
  <si>
    <t>66:25:0317005</t>
  </si>
  <si>
    <t>66:25:0317006</t>
  </si>
  <si>
    <t>66:41:0507079</t>
  </si>
  <si>
    <t>66:41:0507035</t>
  </si>
  <si>
    <t>66:41:0507064</t>
  </si>
  <si>
    <t>66:41:0507082</t>
  </si>
  <si>
    <t>66:41:0507083</t>
  </si>
  <si>
    <t>66:41:0507085</t>
  </si>
  <si>
    <t>66:41:0507086</t>
  </si>
  <si>
    <t>66:41:0507087</t>
  </si>
  <si>
    <t>66:41:0507113</t>
  </si>
  <si>
    <t>66:41:0506004</t>
  </si>
  <si>
    <t>66:41:0506001</t>
  </si>
  <si>
    <t>66:41:0506002</t>
  </si>
  <si>
    <t>66:41:0506003</t>
  </si>
  <si>
    <t>66:41:0506007</t>
  </si>
  <si>
    <t>66:41:0506010</t>
  </si>
  <si>
    <t>66:41:0506017</t>
  </si>
  <si>
    <t>66:41:0506018</t>
  </si>
  <si>
    <t>66:41:0507015</t>
  </si>
  <si>
    <t>66:41:0507016</t>
  </si>
  <si>
    <t>66:41:0507031</t>
  </si>
  <si>
    <t>66:41:0507032</t>
  </si>
  <si>
    <t>66:41:0507047</t>
  </si>
  <si>
    <t>66:41:0506032</t>
  </si>
  <si>
    <t>66:41:0506034</t>
  </si>
  <si>
    <t>66:41:0506038</t>
  </si>
  <si>
    <t>66:41:0507003</t>
  </si>
  <si>
    <t>66:41:0507025</t>
  </si>
  <si>
    <t>66:41:0507043</t>
  </si>
  <si>
    <t>66:41:0507044</t>
  </si>
  <si>
    <t>66:41:0507046</t>
  </si>
  <si>
    <t>66:41:0507062</t>
  </si>
  <si>
    <t>66:41:0507084</t>
  </si>
  <si>
    <t>66:41:0507091</t>
  </si>
  <si>
    <t>66:41:0506005</t>
  </si>
  <si>
    <t>66:41:0506006</t>
  </si>
  <si>
    <t>66:41:0506014</t>
  </si>
  <si>
    <t>66:41:0506015</t>
  </si>
  <si>
    <t>66:41:0506019</t>
  </si>
  <si>
    <t>66:41:0506020</t>
  </si>
  <si>
    <t>66:41:0506022</t>
  </si>
  <si>
    <t>66:41:0506025</t>
  </si>
  <si>
    <t>66:41:0506030</t>
  </si>
  <si>
    <t>66:41:0506901</t>
  </si>
  <si>
    <t>66:41:0505028</t>
  </si>
  <si>
    <t>66:41:0505024</t>
  </si>
  <si>
    <t>66:41:0505027</t>
  </si>
  <si>
    <t>66:41:0505029</t>
  </si>
  <si>
    <t>66:41:0505031</t>
  </si>
  <si>
    <t>66:41:0505033</t>
  </si>
  <si>
    <t>66:41:0505034</t>
  </si>
  <si>
    <t>66:41:0505041</t>
  </si>
  <si>
    <t>66:41:0505044</t>
  </si>
  <si>
    <t>66:41:0506039</t>
  </si>
  <si>
    <t>66:41:0506040</t>
  </si>
  <si>
    <t>66:41:0511027</t>
  </si>
  <si>
    <t>66:41:0526901</t>
  </si>
  <si>
    <t>66:41:0526006</t>
  </si>
  <si>
    <t>66:41:0526007</t>
  </si>
  <si>
    <t>66:41:0526008</t>
  </si>
  <si>
    <t>66:41:0526009</t>
  </si>
  <si>
    <t>66:41:0526013</t>
  </si>
  <si>
    <t>66:41:0526014</t>
  </si>
  <si>
    <t>66:41:0526015</t>
  </si>
  <si>
    <t>66:41:0526026</t>
  </si>
  <si>
    <t>66:41:0526050</t>
  </si>
  <si>
    <t>66:41:0526001</t>
  </si>
  <si>
    <t>66:41:0526002</t>
  </si>
  <si>
    <t>66:41:0526003</t>
  </si>
  <si>
    <t>66:41:0526004</t>
  </si>
  <si>
    <t>66:41:0526005</t>
  </si>
  <si>
    <t>66:41:0526010</t>
  </si>
  <si>
    <t>66:41:0515027</t>
  </si>
  <si>
    <t>66:41:0514030</t>
  </si>
  <si>
    <t>66:41:0515009</t>
  </si>
  <si>
    <t>66:41:0515010</t>
  </si>
  <si>
    <t>66:41:0515011</t>
  </si>
  <si>
    <t>66:41:0515012</t>
  </si>
  <si>
    <t>66:41:0515013</t>
  </si>
  <si>
    <t>66:41:0515014</t>
  </si>
  <si>
    <t>66:41:0515026</t>
  </si>
  <si>
    <t>66:41:0515028</t>
  </si>
  <si>
    <t>66:41:0515047</t>
  </si>
  <si>
    <t>66:41:0515051</t>
  </si>
  <si>
    <t>66:41:0515053</t>
  </si>
  <si>
    <t>66:41:0515055</t>
  </si>
  <si>
    <t>66:41:0520007</t>
  </si>
  <si>
    <t>66:41:0520002</t>
  </si>
  <si>
    <t>66:41:0520004</t>
  </si>
  <si>
    <t>66:41:0520006</t>
  </si>
  <si>
    <t>66:41:0520008</t>
  </si>
  <si>
    <t>66:41:0520010</t>
  </si>
  <si>
    <t>66:41:0520013</t>
  </si>
  <si>
    <t>66:41:0520014</t>
  </si>
  <si>
    <t>66:41:0520015</t>
  </si>
  <si>
    <t>66:41:0520016</t>
  </si>
  <si>
    <t>66:41:0520019</t>
  </si>
  <si>
    <t>66:41:0520901</t>
  </si>
  <si>
    <t>66:41:0514022</t>
  </si>
  <si>
    <t>66:41:0515021</t>
  </si>
  <si>
    <t>66:41:0515041</t>
  </si>
  <si>
    <t>66:41:0515042</t>
  </si>
  <si>
    <t>66:41:0515045</t>
  </si>
  <si>
    <t>66:41:0515046</t>
  </si>
  <si>
    <t>66:41:0515048</t>
  </si>
  <si>
    <t>66:41:0515902</t>
  </si>
  <si>
    <t>66:25:0310012</t>
  </si>
  <si>
    <t>66:25:0320001</t>
  </si>
  <si>
    <t>66:25:0321001</t>
  </si>
  <si>
    <t>66:25:0322001</t>
  </si>
  <si>
    <t>66:41:0515044</t>
  </si>
  <si>
    <t>66:41:0515007</t>
  </si>
  <si>
    <t>66:41:0515016</t>
  </si>
  <si>
    <t>66:41:0515030</t>
  </si>
  <si>
    <t>66:41:0515031</t>
  </si>
  <si>
    <t>66:41:0515034</t>
  </si>
  <si>
    <t>66:41:0515901</t>
  </si>
  <si>
    <t>66:41:0518005</t>
  </si>
  <si>
    <t>66:25:2705001</t>
  </si>
  <si>
    <t>66:41:0514031</t>
  </si>
  <si>
    <t>66:41:0515001</t>
  </si>
  <si>
    <t>66:41:0515002</t>
  </si>
  <si>
    <t>66:41:0515004</t>
  </si>
  <si>
    <t>66:41:0515005</t>
  </si>
  <si>
    <t>66:41:0515017</t>
  </si>
  <si>
    <t>66:41:0515018</t>
  </si>
  <si>
    <t>66:41:0515061</t>
  </si>
  <si>
    <t>66:25:2722001</t>
  </si>
  <si>
    <t>sysr_25</t>
  </si>
  <si>
    <t>66:25:3201001</t>
  </si>
  <si>
    <t>66:25:3201002</t>
  </si>
  <si>
    <t>66:25:3201003</t>
  </si>
  <si>
    <t>66:25:3201004</t>
  </si>
  <si>
    <t>66:25:3201005</t>
  </si>
  <si>
    <t>66:25:3201006</t>
  </si>
  <si>
    <t>66:06:1701017</t>
  </si>
  <si>
    <t>66:06:1701003</t>
  </si>
  <si>
    <t>66:06:1701001</t>
  </si>
  <si>
    <t>66:42:0701001</t>
  </si>
  <si>
    <t>66:42:0701002</t>
  </si>
  <si>
    <t>66:06:1701002</t>
  </si>
  <si>
    <t>66:06:1701004</t>
  </si>
  <si>
    <t>66:06:1701005</t>
  </si>
  <si>
    <t>66:06:1701006</t>
  </si>
  <si>
    <t>66:06:1701007</t>
  </si>
  <si>
    <t>66:06:1701012</t>
  </si>
  <si>
    <t>66:06:1701014</t>
  </si>
  <si>
    <t>66:06:1701015</t>
  </si>
  <si>
    <t>66:06:1701016</t>
  </si>
  <si>
    <t>66:06:1701018</t>
  </si>
  <si>
    <t>66:06:1701045</t>
  </si>
  <si>
    <t>66:42:0201011</t>
  </si>
  <si>
    <t>66:42:0201012</t>
  </si>
  <si>
    <t>66:42:0701003</t>
  </si>
  <si>
    <t>66:42:0701004</t>
  </si>
  <si>
    <t>66:42:0701005</t>
  </si>
  <si>
    <t>66:42:0201003</t>
  </si>
  <si>
    <t>66:42:0201006</t>
  </si>
  <si>
    <t>66:42:0201007</t>
  </si>
  <si>
    <t>66:42:0201008</t>
  </si>
  <si>
    <t>66:42:0201009</t>
  </si>
  <si>
    <t>66:42:0201010</t>
  </si>
  <si>
    <t>66:42:0201013</t>
  </si>
  <si>
    <t>66:42:0501001</t>
  </si>
  <si>
    <t>66:42:0601001</t>
  </si>
  <si>
    <t>66:42:0601002</t>
  </si>
  <si>
    <t>66:42:0201004</t>
  </si>
  <si>
    <t>66:25:1312002</t>
  </si>
  <si>
    <t>sysr_6</t>
  </si>
  <si>
    <t>66:25:1311003</t>
  </si>
  <si>
    <t>sysr_7</t>
  </si>
  <si>
    <t>66:73:0101002</t>
  </si>
  <si>
    <t>urls_1</t>
  </si>
  <si>
    <t>66:73:0101008</t>
  </si>
  <si>
    <t>66:73:0101009</t>
  </si>
  <si>
    <t>66:73:0101010</t>
  </si>
  <si>
    <t>66:73:0101011</t>
  </si>
  <si>
    <t>66:25:1312001</t>
  </si>
  <si>
    <t>66:25:1313001</t>
  </si>
  <si>
    <t>66:25:1322002</t>
  </si>
  <si>
    <t>66:66:0101036</t>
  </si>
  <si>
    <t>66:06:4501052</t>
  </si>
  <si>
    <t>66:66:0101002</t>
  </si>
  <si>
    <t>66:66:0101003</t>
  </si>
  <si>
    <t>66:66:0101004</t>
  </si>
  <si>
    <t>66:66:0101005</t>
  </si>
  <si>
    <t>66:66:0101009</t>
  </si>
  <si>
    <t>66:66:0101010</t>
  </si>
  <si>
    <t>66:66:0101011</t>
  </si>
  <si>
    <t>66:66:0101021</t>
  </si>
  <si>
    <t>66:66:0101023</t>
  </si>
  <si>
    <t>66:66:0101024</t>
  </si>
  <si>
    <t>66:66:0101025</t>
  </si>
  <si>
    <t>66:66:0101028</t>
  </si>
  <si>
    <t>66:66:0101029</t>
  </si>
  <si>
    <t>66:66:0101031</t>
  </si>
  <si>
    <t>66:66:0101032</t>
  </si>
  <si>
    <t>66:66:0101033</t>
  </si>
  <si>
    <t>66:66:0101034</t>
  </si>
  <si>
    <t>66:73:0101001</t>
  </si>
  <si>
    <t>66:73:0101003</t>
  </si>
  <si>
    <t>66:73:0101004</t>
  </si>
  <si>
    <t>66:73:0101005</t>
  </si>
  <si>
    <t>66:73:0101006</t>
  </si>
  <si>
    <t>66:73:0101007</t>
  </si>
  <si>
    <t>66:25:1308001</t>
  </si>
  <si>
    <t>sysr_4</t>
  </si>
  <si>
    <t>66:25:1308002</t>
  </si>
  <si>
    <t>66:25:1308003</t>
  </si>
  <si>
    <t>66:25:1308005</t>
  </si>
  <si>
    <t>66:25:1308006</t>
  </si>
  <si>
    <t>sysr_5</t>
  </si>
  <si>
    <t>66:25:1311002</t>
  </si>
  <si>
    <t>66:66:0101019</t>
  </si>
  <si>
    <t>66:66:0101008</t>
  </si>
  <si>
    <t>66:66:0101006</t>
  </si>
  <si>
    <t>66:66:0101001</t>
  </si>
  <si>
    <t>66:66:0101007</t>
  </si>
  <si>
    <t>66:66:0101012</t>
  </si>
  <si>
    <t>66:66:0101013</t>
  </si>
  <si>
    <t>66:66:0101014</t>
  </si>
  <si>
    <t>66:66:0101015</t>
  </si>
  <si>
    <t>66:66:0101016</t>
  </si>
  <si>
    <t>66:66:0101017</t>
  </si>
  <si>
    <t>66:66:0101018</t>
  </si>
  <si>
    <t>66:66:0101020</t>
  </si>
  <si>
    <t>66:66:0101022</t>
  </si>
  <si>
    <t>66:66:0101026</t>
  </si>
  <si>
    <t>66:66:0101027</t>
  </si>
  <si>
    <t>66:66:0101030</t>
  </si>
  <si>
    <t>66:66:0101035</t>
  </si>
  <si>
    <t>66:35:0221001</t>
  </si>
  <si>
    <t>66:35:0222003</t>
  </si>
  <si>
    <t>66:35:0222007</t>
  </si>
  <si>
    <t>66:35:0222008</t>
  </si>
  <si>
    <t>66:06:4601001</t>
  </si>
  <si>
    <t>66:35:0222005</t>
  </si>
  <si>
    <t>66:35:0222004</t>
  </si>
  <si>
    <t>66:35:0221005</t>
  </si>
  <si>
    <t>66:35:0222001</t>
  </si>
  <si>
    <t>66:35:0222002</t>
  </si>
  <si>
    <t>66:35:0222006</t>
  </si>
  <si>
    <t>66:35:0101011</t>
  </si>
  <si>
    <t>66:35:0101020</t>
  </si>
  <si>
    <t>66:35:0101021</t>
  </si>
  <si>
    <t>66:35:0101022</t>
  </si>
  <si>
    <t>66:35:0101023</t>
  </si>
  <si>
    <t>66:35:0101024</t>
  </si>
  <si>
    <t>66:35:0101025</t>
  </si>
  <si>
    <t>66:35:0101026</t>
  </si>
  <si>
    <t>66:35:0101027</t>
  </si>
  <si>
    <t>66:35:0101028</t>
  </si>
  <si>
    <t>66:35:0101029</t>
  </si>
  <si>
    <t>66:35:0106003</t>
  </si>
  <si>
    <t>66:35:0106004</t>
  </si>
  <si>
    <t>66:35:0106005</t>
  </si>
  <si>
    <t>66:35:0104006</t>
  </si>
  <si>
    <t>66:35:0101016</t>
  </si>
  <si>
    <t>66:35:0101008</t>
  </si>
  <si>
    <t>66:35:0101015</t>
  </si>
  <si>
    <t>66:35:0101017</t>
  </si>
  <si>
    <t>66:35:0101018</t>
  </si>
  <si>
    <t>66:35:0101019</t>
  </si>
  <si>
    <t>66:35:0104001</t>
  </si>
  <si>
    <t>66:35:0104007</t>
  </si>
  <si>
    <t>66:35:0105001</t>
  </si>
  <si>
    <t>66:35:0106001</t>
  </si>
  <si>
    <t>66:35:0106002</t>
  </si>
  <si>
    <t>66:35:0104010</t>
  </si>
  <si>
    <t>66:35:0104002</t>
  </si>
  <si>
    <t>66:35:0104003</t>
  </si>
  <si>
    <t>66:35:0104005</t>
  </si>
  <si>
    <t>66:35:0104008</t>
  </si>
  <si>
    <t>66:35:0104009</t>
  </si>
  <si>
    <t>66:35:0104012</t>
  </si>
  <si>
    <t>66:35:0104013</t>
  </si>
  <si>
    <t>66:35:0101005</t>
  </si>
  <si>
    <t>66:35:0101001</t>
  </si>
  <si>
    <t>66:35:0101002</t>
  </si>
  <si>
    <t>66:35:0101003</t>
  </si>
  <si>
    <t>66:35:0101004</t>
  </si>
  <si>
    <t>66:35:0101006</t>
  </si>
  <si>
    <t>66:35:0101007</t>
  </si>
  <si>
    <t>66:35:0101009</t>
  </si>
  <si>
    <t>66:35:0101010</t>
  </si>
  <si>
    <t>66:35:0101012</t>
  </si>
  <si>
    <t>66:35:0101013</t>
  </si>
  <si>
    <t>66:35:0101014</t>
  </si>
  <si>
    <t>66:35:0102001</t>
  </si>
  <si>
    <t>66:35:0102003</t>
  </si>
  <si>
    <t>66:35:0201013</t>
  </si>
  <si>
    <t>66:35:0221004</t>
  </si>
  <si>
    <t>66:35:0102005</t>
  </si>
  <si>
    <t>66:35:0102004</t>
  </si>
  <si>
    <t>66:35:0103001</t>
  </si>
  <si>
    <t>66:35:0103002</t>
  </si>
  <si>
    <t>66:35:0104004</t>
  </si>
  <si>
    <t>66:35:0104014</t>
  </si>
  <si>
    <t>66:35:0216002</t>
  </si>
  <si>
    <t>66:41:0101001</t>
  </si>
  <si>
    <t>66:41:0101012</t>
  </si>
  <si>
    <t>66:35:0102002</t>
  </si>
  <si>
    <t>66:35:0201012</t>
  </si>
  <si>
    <t>66:35:0201014</t>
  </si>
  <si>
    <t>66:35:0201015</t>
  </si>
  <si>
    <t>66:35:0201016</t>
  </si>
  <si>
    <t>66:35:0201017</t>
  </si>
  <si>
    <t>66:35:0201018</t>
  </si>
  <si>
    <t>66:35:0201019</t>
  </si>
  <si>
    <t>66:35:0201020</t>
  </si>
  <si>
    <t>66:41:0101006</t>
  </si>
  <si>
    <t>66:41:0101005</t>
  </si>
  <si>
    <t>66:41:0103005</t>
  </si>
  <si>
    <t>66:41:0103006</t>
  </si>
  <si>
    <t>66:41:0103007</t>
  </si>
  <si>
    <t>66:41:0103009</t>
  </si>
  <si>
    <t>66:41:0103011</t>
  </si>
  <si>
    <t>66:41:0103012</t>
  </si>
  <si>
    <t>66:41:0103901</t>
  </si>
  <si>
    <t>66:35:0201021</t>
  </si>
  <si>
    <t>66:35:0201022</t>
  </si>
  <si>
    <t>66:35:0216001</t>
  </si>
  <si>
    <t>66:35:0216003</t>
  </si>
  <si>
    <t>66:35:0216004</t>
  </si>
  <si>
    <t>66:41:0101003</t>
  </si>
  <si>
    <t>66:41:0101015</t>
  </si>
  <si>
    <t>66:41:0104011</t>
  </si>
  <si>
    <t>66:41:0104012</t>
  </si>
  <si>
    <t>66:41:0107095</t>
  </si>
  <si>
    <t>66:41:0107105</t>
  </si>
  <si>
    <t>66:41:0101004</t>
  </si>
  <si>
    <t>66:41:0102001</t>
  </si>
  <si>
    <t>66:41:0102008</t>
  </si>
  <si>
    <t>66:41:0102009</t>
  </si>
  <si>
    <t>66:41:0112001</t>
  </si>
  <si>
    <t>66:41:0112002</t>
  </si>
  <si>
    <t>66:41:0112901</t>
  </si>
  <si>
    <t>66:36:3203003</t>
  </si>
  <si>
    <t>66:41:0102032</t>
  </si>
  <si>
    <t>66:41:0102022</t>
  </si>
  <si>
    <t>66:41:0102010</t>
  </si>
  <si>
    <t>66:41:0102011</t>
  </si>
  <si>
    <t>66:41:0102012</t>
  </si>
  <si>
    <t>66:41:0102016</t>
  </si>
  <si>
    <t>66:41:0102017</t>
  </si>
  <si>
    <t>66:41:0102021</t>
  </si>
  <si>
    <t>66:41:0102023</t>
  </si>
  <si>
    <t>66:41:0102024</t>
  </si>
  <si>
    <t>66:41:0102034</t>
  </si>
  <si>
    <t>66:41:0102035</t>
  </si>
  <si>
    <t>66:41:0102037</t>
  </si>
  <si>
    <t>66:41:0102039</t>
  </si>
  <si>
    <t>66:41:0102045</t>
  </si>
  <si>
    <t>66:41:0107039</t>
  </si>
  <si>
    <t>66:41:0102014</t>
  </si>
  <si>
    <t>66:41:0102006</t>
  </si>
  <si>
    <t>66:41:0102026</t>
  </si>
  <si>
    <t>66:41:0102030</t>
  </si>
  <si>
    <t>66:41:0102033</t>
  </si>
  <si>
    <t>66:41:0102038</t>
  </si>
  <si>
    <t>66:41:0102041</t>
  </si>
  <si>
    <t>66:41:0104004</t>
  </si>
  <si>
    <t>66:41:0113001</t>
  </si>
  <si>
    <t>66:36:3203006</t>
  </si>
  <si>
    <t>66:36:3203007</t>
  </si>
  <si>
    <t>66:41:0113004</t>
  </si>
  <si>
    <t>66:41:0101104</t>
  </si>
  <si>
    <t>66:41:0104001</t>
  </si>
  <si>
    <t>66:41:0104003</t>
  </si>
  <si>
    <t>66:41:0104005</t>
  </si>
  <si>
    <t>66:41:0104006</t>
  </si>
  <si>
    <t>66:41:0104007</t>
  </si>
  <si>
    <t>66:41:0104008</t>
  </si>
  <si>
    <t>66:41:0104009</t>
  </si>
  <si>
    <t>66:41:0104013</t>
  </si>
  <si>
    <t>66:41:0113002</t>
  </si>
  <si>
    <t>66:41:0113003</t>
  </si>
  <si>
    <t>66:41:0113078</t>
  </si>
  <si>
    <t>66:41:0113079</t>
  </si>
  <si>
    <t>66:36:3203008</t>
  </si>
  <si>
    <t>66:36:0112010</t>
  </si>
  <si>
    <t>66:36:0112007</t>
  </si>
  <si>
    <t>66:36:0112009</t>
  </si>
  <si>
    <t>66:36:0113001</t>
  </si>
  <si>
    <t>66:36:2101003</t>
  </si>
  <si>
    <t>66:36:2101004</t>
  </si>
  <si>
    <t>66:36:2101005</t>
  </si>
  <si>
    <t>66:36:2101007</t>
  </si>
  <si>
    <t>66:36:2101008</t>
  </si>
  <si>
    <t>66:36:2101009</t>
  </si>
  <si>
    <t>66:36:3203001</t>
  </si>
  <si>
    <t>66:36:3203002</t>
  </si>
  <si>
    <t>66:36:3203004</t>
  </si>
  <si>
    <t>66:36:3203005</t>
  </si>
  <si>
    <t>66:41:0109050</t>
  </si>
  <si>
    <t>66:41:0109052</t>
  </si>
  <si>
    <t>66:41:0109061</t>
  </si>
  <si>
    <t>66:41:0109062</t>
  </si>
  <si>
    <t>66:41:0109063</t>
  </si>
  <si>
    <t>66:41:0109064</t>
  </si>
  <si>
    <t>66:41:0109065</t>
  </si>
  <si>
    <t>66:41:0109066</t>
  </si>
  <si>
    <t>66:41:0113077</t>
  </si>
  <si>
    <t>66:41:0109041</t>
  </si>
  <si>
    <t>66:41:0109030</t>
  </si>
  <si>
    <t>66:41:0109035</t>
  </si>
  <si>
    <t>66:41:0109042</t>
  </si>
  <si>
    <t>66:41:0109044</t>
  </si>
  <si>
    <t>66:41:0109046</t>
  </si>
  <si>
    <t>66:41:0109047</t>
  </si>
  <si>
    <t>66:41:0109048</t>
  </si>
  <si>
    <t>66:41:0109049</t>
  </si>
  <si>
    <t>66:41:0109058</t>
  </si>
  <si>
    <t>66:41:0109059</t>
  </si>
  <si>
    <t>66:41:0109060</t>
  </si>
  <si>
    <t>66:41:0109901</t>
  </si>
  <si>
    <t>66:25:2201012</t>
  </si>
  <si>
    <t>66:25:2201001</t>
  </si>
  <si>
    <t>66:25:1901001</t>
  </si>
  <si>
    <t>66:25:2201002</t>
  </si>
  <si>
    <t>66:25:2201003</t>
  </si>
  <si>
    <t>66:25:2201004</t>
  </si>
  <si>
    <t>66:25:2201005</t>
  </si>
  <si>
    <t>66:25:2201006</t>
  </si>
  <si>
    <t>66:25:2201007</t>
  </si>
  <si>
    <t>66:25:2201008</t>
  </si>
  <si>
    <t>66:25:2201009</t>
  </si>
  <si>
    <t>66:25:2201010</t>
  </si>
  <si>
    <t>66:25:2201011</t>
  </si>
  <si>
    <t>66:25:2201013</t>
  </si>
  <si>
    <t>66:25:2201014</t>
  </si>
  <si>
    <t>66:25:2201015</t>
  </si>
  <si>
    <t>66:25:2201016</t>
  </si>
  <si>
    <t>66:25:1311004</t>
  </si>
  <si>
    <t>66:25:1311005</t>
  </si>
  <si>
    <t>66:25:1314001</t>
  </si>
  <si>
    <t>sysr_8</t>
  </si>
  <si>
    <t>66:25:1315001</t>
  </si>
  <si>
    <t>66:25:1901002</t>
  </si>
  <si>
    <t>66:25:1901003</t>
  </si>
  <si>
    <t>66:25:4901001</t>
  </si>
  <si>
    <t>66:25:1311001</t>
  </si>
  <si>
    <t>66:25:1307008</t>
  </si>
  <si>
    <t>66:25:1310001</t>
  </si>
  <si>
    <t>66:25:1318001</t>
  </si>
  <si>
    <t>sysr_10</t>
  </si>
  <si>
    <t>66:25:1319001</t>
  </si>
  <si>
    <t>66:25:1320001</t>
  </si>
  <si>
    <t>66:25:1321001</t>
  </si>
  <si>
    <t>66:25:1321002</t>
  </si>
  <si>
    <t>66:25:1326001</t>
  </si>
  <si>
    <t>66:25:2001001</t>
  </si>
  <si>
    <t>66:25:2101001</t>
  </si>
  <si>
    <t>66:25:2101002</t>
  </si>
  <si>
    <t>66:25:1201020</t>
  </si>
  <si>
    <t>66:25:1201012</t>
  </si>
  <si>
    <t>66:25:1201004</t>
  </si>
  <si>
    <t>66:25:1201005</t>
  </si>
  <si>
    <t>66:25:1201006</t>
  </si>
  <si>
    <t>66:25:1201010</t>
  </si>
  <si>
    <t>66:25:1201011</t>
  </si>
  <si>
    <t>66:25:1201013</t>
  </si>
  <si>
    <t>66:25:1201014</t>
  </si>
  <si>
    <t>66:25:1201015</t>
  </si>
  <si>
    <t>66:25:1201016</t>
  </si>
  <si>
    <t>66:25:1201017</t>
  </si>
  <si>
    <t>66:25:1201018</t>
  </si>
  <si>
    <t>66:25:1307003</t>
  </si>
  <si>
    <t>66:25:1307004</t>
  </si>
  <si>
    <t>66:25:1308004</t>
  </si>
  <si>
    <t>66:25:1308007</t>
  </si>
  <si>
    <t>66:25:1201026</t>
  </si>
  <si>
    <t>66:25:1201019</t>
  </si>
  <si>
    <t>66:25:1201021</t>
  </si>
  <si>
    <t>66:25:1201022</t>
  </si>
  <si>
    <t>66:25:1201023</t>
  </si>
  <si>
    <t>66:25:1201024</t>
  </si>
  <si>
    <t>66:25:1201025</t>
  </si>
  <si>
    <t>66:25:1201027</t>
  </si>
  <si>
    <t>66:25:1201028</t>
  </si>
  <si>
    <t>66:25:1302001</t>
  </si>
  <si>
    <t>66:25:1307011</t>
  </si>
  <si>
    <t>66:25:1307012</t>
  </si>
  <si>
    <t>66:25:1307013</t>
  </si>
  <si>
    <t>66:25:1307014</t>
  </si>
  <si>
    <t>66:25:1307015</t>
  </si>
  <si>
    <t>66:25:1307016</t>
  </si>
  <si>
    <t>66:25:1317001</t>
  </si>
  <si>
    <t>66:33:0401004</t>
  </si>
  <si>
    <t>aram_2</t>
  </si>
  <si>
    <t>66:25:1101001</t>
  </si>
  <si>
    <t>66:25:1201007</t>
  </si>
  <si>
    <t>66:25:1201008</t>
  </si>
  <si>
    <t>66:25:1201009</t>
  </si>
  <si>
    <t>66:25:5101001</t>
  </si>
  <si>
    <t>66:33:0401001</t>
  </si>
  <si>
    <t>66:33:0401002</t>
  </si>
  <si>
    <t>66:33:0401003</t>
  </si>
  <si>
    <t>66:25:1002001</t>
  </si>
  <si>
    <t>66:25:1002002</t>
  </si>
  <si>
    <t>66:25:1002003</t>
  </si>
  <si>
    <t>66:25:1201001</t>
  </si>
  <si>
    <t>66:25:1201002</t>
  </si>
  <si>
    <t>66:25:1201003</t>
  </si>
  <si>
    <t>66:25:1301001</t>
  </si>
  <si>
    <t>66:25:1301002</t>
  </si>
  <si>
    <t>66:25:1301003</t>
  </si>
  <si>
    <t>66:25:1303001</t>
  </si>
  <si>
    <t>66:25:1304001</t>
  </si>
  <si>
    <t>66:25:4801001</t>
  </si>
  <si>
    <t>66:25:1307007</t>
  </si>
  <si>
    <t>66:25:1305001</t>
  </si>
  <si>
    <t>66:25:1307001</t>
  </si>
  <si>
    <t>66:25:1307002</t>
  </si>
  <si>
    <t>66:25:1307006</t>
  </si>
  <si>
    <t>66:25:1309001</t>
  </si>
  <si>
    <t>66:25:2401002</t>
  </si>
  <si>
    <t>66:25:1316001</t>
  </si>
  <si>
    <t>sysr_12</t>
  </si>
  <si>
    <t>66:25:1316002</t>
  </si>
  <si>
    <t>66:25:1324001</t>
  </si>
  <si>
    <t>66:25:1324002</t>
  </si>
  <si>
    <t>66:25:1325002</t>
  </si>
  <si>
    <t>66:25:1325003</t>
  </si>
  <si>
    <t>66:25:1325004</t>
  </si>
  <si>
    <t>66:25:1325005</t>
  </si>
  <si>
    <t>66:25:1325012</t>
  </si>
  <si>
    <t>66:25:1325013</t>
  </si>
  <si>
    <t>66:25:1329001</t>
  </si>
  <si>
    <t>66:25:2301001</t>
  </si>
  <si>
    <t>66:25:2401001</t>
  </si>
  <si>
    <t>66:25:2401003</t>
  </si>
  <si>
    <t>66:25:2401004</t>
  </si>
  <si>
    <t>66:25:2401005</t>
  </si>
  <si>
    <t>66:25:2401006</t>
  </si>
  <si>
    <t>66:25:2501001</t>
  </si>
  <si>
    <t>66:25:1001001</t>
  </si>
  <si>
    <t>aram_1</t>
  </si>
  <si>
    <t>66:33:0101011</t>
  </si>
  <si>
    <t>66:33:0501001</t>
  </si>
  <si>
    <t>66:25:1001002</t>
  </si>
  <si>
    <t>66:25:1001003</t>
  </si>
  <si>
    <t>66:25:1001004</t>
  </si>
  <si>
    <t>66:25:1001005</t>
  </si>
  <si>
    <t>66:25:1306001</t>
  </si>
  <si>
    <t>66:25:1307005</t>
  </si>
  <si>
    <t>66:25:1307009</t>
  </si>
  <si>
    <t>sysr_3</t>
  </si>
  <si>
    <t>66:33:0201001</t>
  </si>
  <si>
    <t>66:33:0301001</t>
  </si>
  <si>
    <t>66:25:1307010</t>
  </si>
  <si>
    <t>66:25:1325006</t>
  </si>
  <si>
    <t>66:25:1401001</t>
  </si>
  <si>
    <t>66:25:1401002</t>
  </si>
  <si>
    <t>66:25:1601001</t>
  </si>
  <si>
    <t>66:25:1325010</t>
  </si>
  <si>
    <t>66:25:1401003</t>
  </si>
  <si>
    <t>66:25:1413001</t>
  </si>
  <si>
    <t>66:25:1801001</t>
  </si>
  <si>
    <t>66:33:0101002</t>
  </si>
  <si>
    <t>66:41:0614023</t>
  </si>
  <si>
    <t>66:33:0101001</t>
  </si>
  <si>
    <t>66:33:0101004</t>
  </si>
  <si>
    <t>66:33:0101005</t>
  </si>
  <si>
    <t>66:33:0101006</t>
  </si>
  <si>
    <t>66:33:0101007</t>
  </si>
  <si>
    <t>66:33:0101008</t>
  </si>
  <si>
    <t>66:33:0101009</t>
  </si>
  <si>
    <t>66:33:0101010</t>
  </si>
  <si>
    <t>66:33:0101012</t>
  </si>
  <si>
    <t>66:25:0501022</t>
  </si>
  <si>
    <t>66:25:0307005</t>
  </si>
  <si>
    <t>66:25:0307007</t>
  </si>
  <si>
    <t>66:25:0309001</t>
  </si>
  <si>
    <t>66:25:0901001</t>
  </si>
  <si>
    <t>66:25:1402001</t>
  </si>
  <si>
    <t>sysr_15</t>
  </si>
  <si>
    <t>66:25:1402002</t>
  </si>
  <si>
    <t>66:25:1404001</t>
  </si>
  <si>
    <t>66:25:1404002</t>
  </si>
  <si>
    <t>66:25:1408001</t>
  </si>
  <si>
    <t>66:25:1409001</t>
  </si>
  <si>
    <t>66:25:1501004</t>
  </si>
  <si>
    <t>66:25:1501005</t>
  </si>
  <si>
    <t>66:25:1501006</t>
  </si>
  <si>
    <t>66:25:1501007</t>
  </si>
  <si>
    <t>66:25:0307003</t>
  </si>
  <si>
    <t>66:25:0308001</t>
  </si>
  <si>
    <t>66:25:0501002</t>
  </si>
  <si>
    <t>66:25:0501003</t>
  </si>
  <si>
    <t>66:25:0501004</t>
  </si>
  <si>
    <t>66:25:0501005</t>
  </si>
  <si>
    <t>66:25:0501006</t>
  </si>
  <si>
    <t>66:25:0501008</t>
  </si>
  <si>
    <t>66:25:0501009</t>
  </si>
  <si>
    <t>66:25:0501017</t>
  </si>
  <si>
    <t>66:25:0501020</t>
  </si>
  <si>
    <t>66:25:0501021</t>
  </si>
  <si>
    <t>66:25:0601001</t>
  </si>
  <si>
    <t>66:25:0307004</t>
  </si>
  <si>
    <t>66:25:0307006</t>
  </si>
  <si>
    <t>66:25:0310002</t>
  </si>
  <si>
    <t>66:25:0310003</t>
  </si>
  <si>
    <t>66:25:0310011</t>
  </si>
  <si>
    <t>66:25:0311001</t>
  </si>
  <si>
    <t>66:25:0312001</t>
  </si>
  <si>
    <t>66:25:0313001</t>
  </si>
  <si>
    <t>66:25:0601002</t>
  </si>
  <si>
    <t>66:25:1403001</t>
  </si>
  <si>
    <t>66:25:1501001</t>
  </si>
  <si>
    <t>66:25:1501002</t>
  </si>
  <si>
    <t>66:25:1501003</t>
  </si>
  <si>
    <t>66:25:1701003</t>
  </si>
  <si>
    <t>66:25:1405001</t>
  </si>
  <si>
    <t>66:25:1406001</t>
  </si>
  <si>
    <t>66:25:1410001</t>
  </si>
  <si>
    <t>66:25:1411001</t>
  </si>
  <si>
    <t>66:25:1701001</t>
  </si>
  <si>
    <t>66:25:1701002</t>
  </si>
  <si>
    <t>66:25:2702002</t>
  </si>
  <si>
    <t>66:41:0606043</t>
  </si>
  <si>
    <t>66:41:0606016</t>
  </si>
  <si>
    <t>66:41:0606042</t>
  </si>
  <si>
    <t>66:41:0606084</t>
  </si>
  <si>
    <t>66:06:4501001</t>
  </si>
  <si>
    <t>66:06:4501002</t>
  </si>
  <si>
    <t>66:06:4501003</t>
  </si>
  <si>
    <t>66:06:4501011</t>
  </si>
  <si>
    <t>66:06:0101001</t>
  </si>
  <si>
    <t>66:06:0101002</t>
  </si>
  <si>
    <t>66:06:0201001</t>
  </si>
  <si>
    <t>66:06:4501004</t>
  </si>
  <si>
    <t>66:06:4501005</t>
  </si>
  <si>
    <t>66:06:4501006</t>
  </si>
  <si>
    <t>66:06:4501007</t>
  </si>
  <si>
    <t>66:06:4501008</t>
  </si>
  <si>
    <t>66:06:4501009</t>
  </si>
  <si>
    <t>66:06:4501010</t>
  </si>
  <si>
    <t>66:06:4501012</t>
  </si>
  <si>
    <t>66:41:0712022</t>
  </si>
  <si>
    <t>66:41:0606020</t>
  </si>
  <si>
    <t>66:41:0606023</t>
  </si>
  <si>
    <t>66:41:0606024</t>
  </si>
  <si>
    <t>66:41:0606029</t>
  </si>
  <si>
    <t>66:41:0606030</t>
  </si>
  <si>
    <t>66:41:0606039</t>
  </si>
  <si>
    <t>66:41:0712024</t>
  </si>
  <si>
    <t>66:41:0712025</t>
  </si>
  <si>
    <t>66:41:0607028</t>
  </si>
  <si>
    <t>66:41:0611001</t>
  </si>
  <si>
    <t>66:41:0611002</t>
  </si>
  <si>
    <t>66:41:0614001</t>
  </si>
  <si>
    <t>66:41:0614036</t>
  </si>
  <si>
    <t>66:41:0607007</t>
  </si>
  <si>
    <t>66:41:0607013</t>
  </si>
  <si>
    <t>66:41:0607014</t>
  </si>
  <si>
    <t>66:41:0607016</t>
  </si>
  <si>
    <t>66:41:0614034</t>
  </si>
  <si>
    <t>66:41:0614035</t>
  </si>
  <si>
    <t>66:41:0614073</t>
  </si>
  <si>
    <t>66:41:0606003</t>
  </si>
  <si>
    <t>66:41:0606004</t>
  </si>
  <si>
    <t>66:41:0606011</t>
  </si>
  <si>
    <t>66:41:0606038</t>
  </si>
  <si>
    <t>66:41:0606040</t>
  </si>
  <si>
    <t>66:41:0606068</t>
  </si>
  <si>
    <t>66:41:0607901</t>
  </si>
  <si>
    <t>66:41:0607021</t>
  </si>
  <si>
    <t>66:41:0607002</t>
  </si>
  <si>
    <t>66:41:0607008</t>
  </si>
  <si>
    <t>66:41:0607019</t>
  </si>
  <si>
    <t>66:41:0607025</t>
  </si>
  <si>
    <t>66:41:0607026</t>
  </si>
  <si>
    <t>66:41:0607033</t>
  </si>
  <si>
    <t>66:41:0607040</t>
  </si>
  <si>
    <t>66:41:0606018</t>
  </si>
  <si>
    <t>66:41:0606019</t>
  </si>
  <si>
    <t>66:41:0606026</t>
  </si>
  <si>
    <t>66:41:0606027</t>
  </si>
  <si>
    <t>66:41:0606028</t>
  </si>
  <si>
    <t>66:41:0606036</t>
  </si>
  <si>
    <t>66:41:0712023</t>
  </si>
  <si>
    <t>66:41:0712037</t>
  </si>
  <si>
    <t>66:41:0607011</t>
  </si>
  <si>
    <t>66:41:0607006</t>
  </si>
  <si>
    <t>66:41:0606069</t>
  </si>
  <si>
    <t>66:41:0607004</t>
  </si>
  <si>
    <t>66:41:0607037</t>
  </si>
  <si>
    <t>66:41:0607038</t>
  </si>
  <si>
    <t>66:41:0712036</t>
  </si>
  <si>
    <t>66:41:0606035</t>
  </si>
  <si>
    <t>66:41:0606015</t>
  </si>
  <si>
    <t>66:41:0606025</t>
  </si>
  <si>
    <t>66:41:0606083</t>
  </si>
  <si>
    <t>66:41:0712020</t>
  </si>
  <si>
    <t>66:41:0712021</t>
  </si>
  <si>
    <t>66:41:0712034</t>
  </si>
  <si>
    <t>66:41:0712035</t>
  </si>
  <si>
    <t>66:41:0612002</t>
  </si>
  <si>
    <t>66:41:0612015</t>
  </si>
  <si>
    <t>66:41:0612022</t>
  </si>
  <si>
    <t>66:41:0612023</t>
  </si>
  <si>
    <t>66:41:0612024</t>
  </si>
  <si>
    <t>66:41:0612040</t>
  </si>
  <si>
    <t>66:41:0612041</t>
  </si>
  <si>
    <t>66:41:0612046</t>
  </si>
  <si>
    <t>66:41:0612047</t>
  </si>
  <si>
    <t>66:41:0612048</t>
  </si>
  <si>
    <t>66:41:0606033</t>
  </si>
  <si>
    <t>66:41:0606034</t>
  </si>
  <si>
    <t>66:41:0606059</t>
  </si>
  <si>
    <t>66:41:0606060</t>
  </si>
  <si>
    <t>66:41:0614003</t>
  </si>
  <si>
    <t>66:41:0614062</t>
  </si>
  <si>
    <t>66:41:0614067</t>
  </si>
  <si>
    <t>66:41:0612043</t>
  </si>
  <si>
    <t>66:41:0612020</t>
  </si>
  <si>
    <t>66:41:0612014</t>
  </si>
  <si>
    <t>66:41:0612016</t>
  </si>
  <si>
    <t>66:41:0612021</t>
  </si>
  <si>
    <t>66:41:0612032</t>
  </si>
  <si>
    <t>66:41:0612036</t>
  </si>
  <si>
    <t>66:41:0612037</t>
  </si>
  <si>
    <t>66:41:0612038</t>
  </si>
  <si>
    <t>66:41:0612044</t>
  </si>
  <si>
    <t>66:41:0612062</t>
  </si>
  <si>
    <t>66:41:0612064</t>
  </si>
  <si>
    <t>66:41:0612031</t>
  </si>
  <si>
    <t>66:41:0612011</t>
  </si>
  <si>
    <t>66:41:0612012</t>
  </si>
  <si>
    <t>66:41:0612017</t>
  </si>
  <si>
    <t>66:41:0612018</t>
  </si>
  <si>
    <t>66:41:0612028</t>
  </si>
  <si>
    <t>66:41:0612029</t>
  </si>
  <si>
    <t>66:41:0612030</t>
  </si>
  <si>
    <t>66:41:0612057</t>
  </si>
  <si>
    <t>66:41:0612058</t>
  </si>
  <si>
    <t>66:41:0612093</t>
  </si>
  <si>
    <t>66:41:0612903</t>
  </si>
  <si>
    <t>66:41:0606010</t>
  </si>
  <si>
    <t>66:41:0606012</t>
  </si>
  <si>
    <t>66:41:0606013</t>
  </si>
  <si>
    <t>66:41:0606014</t>
  </si>
  <si>
    <t>66:41:0606032</t>
  </si>
  <si>
    <t>66:41:0712008</t>
  </si>
  <si>
    <t>66:41:0712026</t>
  </si>
  <si>
    <t>66:41:0712031</t>
  </si>
  <si>
    <t>66:41:0712042</t>
  </si>
  <si>
    <t>66:41:0712044</t>
  </si>
  <si>
    <t>66:35:0223002</t>
  </si>
  <si>
    <t>66:35:0221006</t>
  </si>
  <si>
    <t>66:35:0223001</t>
  </si>
  <si>
    <t>66:41:0702005</t>
  </si>
  <si>
    <t>66:41:0702007</t>
  </si>
  <si>
    <t>66:41:0702012</t>
  </si>
  <si>
    <t>66:41:0702013</t>
  </si>
  <si>
    <t>66:41:0702014</t>
  </si>
  <si>
    <t>66:41:0702026</t>
  </si>
  <si>
    <t>66:41:0711066</t>
  </si>
  <si>
    <t>66:41:0711070</t>
  </si>
  <si>
    <t>66:41:0711071</t>
  </si>
  <si>
    <t>66:41:0711073</t>
  </si>
  <si>
    <t>66:41:0711901</t>
  </si>
  <si>
    <t>66:35:0224001</t>
  </si>
  <si>
    <t>66:35:0106014</t>
  </si>
  <si>
    <t>66:35:0105008</t>
  </si>
  <si>
    <t>66:35:0105009</t>
  </si>
  <si>
    <t>66:35:0106006</t>
  </si>
  <si>
    <t>66:35:0106007</t>
  </si>
  <si>
    <t>66:35:0106008</t>
  </si>
  <si>
    <t>66:35:0106009</t>
  </si>
  <si>
    <t>66:35:0106010</t>
  </si>
  <si>
    <t>66:35:0106011</t>
  </si>
  <si>
    <t>66:35:0106012</t>
  </si>
  <si>
    <t>66:35:0106013</t>
  </si>
  <si>
    <t>66:35:0107001</t>
  </si>
  <si>
    <t>66:35:0107002</t>
  </si>
  <si>
    <t>66:35:0107003</t>
  </si>
  <si>
    <t>66:35:0107004</t>
  </si>
  <si>
    <t>66:35:0107005</t>
  </si>
  <si>
    <t>66:35:0107006</t>
  </si>
  <si>
    <t>66:35:0105020</t>
  </si>
  <si>
    <t>66:35:0105011</t>
  </si>
  <si>
    <t>66:35:0105013</t>
  </si>
  <si>
    <t>66:35:0105014</t>
  </si>
  <si>
    <t>66:35:0105015</t>
  </si>
  <si>
    <t>66:35:0105016</t>
  </si>
  <si>
    <t>66:35:0105017</t>
  </si>
  <si>
    <t>66:35:0105018</t>
  </si>
  <si>
    <t>66:35:0105019</t>
  </si>
  <si>
    <t>66:35:0105021</t>
  </si>
  <si>
    <t>66:35:0108001</t>
  </si>
  <si>
    <t>66:35:0108002</t>
  </si>
  <si>
    <t>66:35:0108003</t>
  </si>
  <si>
    <t>66:35:0108004</t>
  </si>
  <si>
    <t>66:35:0109011</t>
  </si>
  <si>
    <t>66:35:0109012</t>
  </si>
  <si>
    <t>66:35:0110002</t>
  </si>
  <si>
    <t>66:35:0221007</t>
  </si>
  <si>
    <t>66:35:0221010</t>
  </si>
  <si>
    <t>66:35:0221014</t>
  </si>
  <si>
    <t>66:41:0712012</t>
  </si>
  <si>
    <t>66:41:0712014</t>
  </si>
  <si>
    <t>66:41:0712015</t>
  </si>
  <si>
    <t>66:41:0712018</t>
  </si>
  <si>
    <t>66:41:0712019</t>
  </si>
  <si>
    <t>66:41:0712033</t>
  </si>
  <si>
    <t>66:35:0221011</t>
  </si>
  <si>
    <t>66:35:0221012</t>
  </si>
  <si>
    <t>66:35:0221013</t>
  </si>
  <si>
    <t>66:35:0221015</t>
  </si>
  <si>
    <t>66:35:0221016</t>
  </si>
  <si>
    <t>66:35:0105010</t>
  </si>
  <si>
    <t>66:35:0104011</t>
  </si>
  <si>
    <t>66:35:0105002</t>
  </si>
  <si>
    <t>66:35:0105003</t>
  </si>
  <si>
    <t>66:35:0105004</t>
  </si>
  <si>
    <t>66:35:0105005</t>
  </si>
  <si>
    <t>66:35:0105006</t>
  </si>
  <si>
    <t>66:35:0105007</t>
  </si>
  <si>
    <t>66:35:0105012</t>
  </si>
  <si>
    <t>66:35:0109003</t>
  </si>
  <si>
    <t>66:35:0109009</t>
  </si>
  <si>
    <t>66:35:0109010</t>
  </si>
  <si>
    <t>66:41:0712011</t>
  </si>
  <si>
    <t>66:41:0712007</t>
  </si>
  <si>
    <t>66:41:0712009</t>
  </si>
  <si>
    <t>66:41:0712013</t>
  </si>
  <si>
    <t>66:41:0712029</t>
  </si>
  <si>
    <t>66:41:0712030</t>
  </si>
  <si>
    <t>66:41:0712032</t>
  </si>
  <si>
    <t>66:35:0221017</t>
  </si>
  <si>
    <t>66:35:0221018</t>
  </si>
  <si>
    <t>66:35:0221019</t>
  </si>
  <si>
    <t>66:35:0103003</t>
  </si>
  <si>
    <t>66:35:0103004</t>
  </si>
  <si>
    <t>66:35:0103005</t>
  </si>
  <si>
    <t>66:35:0103006</t>
  </si>
  <si>
    <t>66:35:0103007</t>
  </si>
  <si>
    <t>66:35:0104015</t>
  </si>
  <si>
    <t>66:35:0104016</t>
  </si>
  <si>
    <t>66:35:0104017</t>
  </si>
  <si>
    <t>66:35:0109001</t>
  </si>
  <si>
    <t>66:35:0109004</t>
  </si>
  <si>
    <t>66:35:0109005</t>
  </si>
  <si>
    <t>66:35:0109008</t>
  </si>
  <si>
    <t>66:35:0103008</t>
  </si>
  <si>
    <t>66:35:0109006</t>
  </si>
  <si>
    <t>66:35:0109007</t>
  </si>
  <si>
    <t>66:35:0110001</t>
  </si>
  <si>
    <t>66:41:0710024</t>
  </si>
  <si>
    <t>66:41:0710011</t>
  </si>
  <si>
    <t>66:41:0710013</t>
  </si>
  <si>
    <t>66:41:0710016</t>
  </si>
  <si>
    <t>66:41:0710018</t>
  </si>
  <si>
    <t>66:41:0710019</t>
  </si>
  <si>
    <t>66:41:0710026</t>
  </si>
  <si>
    <t>66:41:0710027</t>
  </si>
  <si>
    <t>66:41:0710030</t>
  </si>
  <si>
    <t>66:41:0710031</t>
  </si>
  <si>
    <t>66:41:0710036</t>
  </si>
  <si>
    <t>66:41:0710901</t>
  </si>
  <si>
    <t>66:41:0712006</t>
  </si>
  <si>
    <t>66:41:0712047</t>
  </si>
  <si>
    <t>66:41:0710007</t>
  </si>
  <si>
    <t>66:41:0710001</t>
  </si>
  <si>
    <t>66:41:0710002</t>
  </si>
  <si>
    <t>66:41:0710003</t>
  </si>
  <si>
    <t>66:41:0710004</t>
  </si>
  <si>
    <t>66:41:0710006</t>
  </si>
  <si>
    <t>66:41:0710008</t>
  </si>
  <si>
    <t>66:41:0710014</t>
  </si>
  <si>
    <t>66:41:0710015</t>
  </si>
  <si>
    <t>66:41:0710033</t>
  </si>
  <si>
    <t>66:41:0710037</t>
  </si>
  <si>
    <t>66:35:0111005</t>
  </si>
  <si>
    <t>66:35:0111006</t>
  </si>
  <si>
    <t>66:35:0111008</t>
  </si>
  <si>
    <t>66:41:0708017</t>
  </si>
  <si>
    <t>66:41:0708018</t>
  </si>
  <si>
    <t>66:35:0109002</t>
  </si>
  <si>
    <t>66:35:0111002</t>
  </si>
  <si>
    <t>66:41:0708023</t>
  </si>
  <si>
    <t>66:41:0708006</t>
  </si>
  <si>
    <t>66:41:0708007</t>
  </si>
  <si>
    <t>66:41:0708008</t>
  </si>
  <si>
    <t>66:41:0708013</t>
  </si>
  <si>
    <t>66:41:0708014</t>
  </si>
  <si>
    <t>66:41:0708015</t>
  </si>
  <si>
    <t>66:41:0708020</t>
  </si>
  <si>
    <t>66:41:0708024</t>
  </si>
  <si>
    <t>66:41:0708901</t>
  </si>
  <si>
    <t>66:35:0111003</t>
  </si>
  <si>
    <t>66:35:0111007</t>
  </si>
  <si>
    <t>66:35:0217001</t>
  </si>
  <si>
    <t>66:35:0217002</t>
  </si>
  <si>
    <t>66:35:0217003</t>
  </si>
  <si>
    <t>66:35:0217004</t>
  </si>
  <si>
    <t>66:41:0710034</t>
  </si>
  <si>
    <t>66:41:0711013</t>
  </si>
  <si>
    <t>66:41:0711015</t>
  </si>
  <si>
    <t>66:41:0711016</t>
  </si>
  <si>
    <t>66:41:0711021</t>
  </si>
  <si>
    <t>66:41:0711029</t>
  </si>
  <si>
    <t>66:41:0711031</t>
  </si>
  <si>
    <t>66:41:0711075</t>
  </si>
  <si>
    <t>66:41:0711077</t>
  </si>
  <si>
    <t>66:41:0711078</t>
  </si>
  <si>
    <t>66:35:0111004</t>
  </si>
  <si>
    <t>66:41:0708002</t>
  </si>
  <si>
    <t>66:41:0708003</t>
  </si>
  <si>
    <t>66:41:0708004</t>
  </si>
  <si>
    <t>66:41:0708009</t>
  </si>
  <si>
    <t>66:41:0708011</t>
  </si>
  <si>
    <t>66:41:0708016</t>
  </si>
  <si>
    <t>66:41:0708019</t>
  </si>
  <si>
    <t>66:41:0711034</t>
  </si>
  <si>
    <t>66:41:0710035</t>
  </si>
  <si>
    <t>66:41:0710042</t>
  </si>
  <si>
    <t>66:41:0711028</t>
  </si>
  <si>
    <t>66:41:0711030</t>
  </si>
  <si>
    <t>66:41:0711036</t>
  </si>
  <si>
    <t>66:41:0711037</t>
  </si>
  <si>
    <t>66:41:0711038</t>
  </si>
  <si>
    <t>66:41:0711041</t>
  </si>
  <si>
    <t>66:41:0711074</t>
  </si>
  <si>
    <t>66:41:0708021</t>
  </si>
  <si>
    <t>66:41:0708022</t>
  </si>
  <si>
    <t>66:41:0708025</t>
  </si>
  <si>
    <t>66:41:0711007</t>
  </si>
  <si>
    <t>66:41:0711008</t>
  </si>
  <si>
    <t>66:41:0711010</t>
  </si>
  <si>
    <t>66:41:0711011</t>
  </si>
  <si>
    <t>66:41:0711012</t>
  </si>
  <si>
    <t>66:41:0711018</t>
  </si>
  <si>
    <t>66:41:0711020</t>
  </si>
  <si>
    <t>66:41:0711023</t>
  </si>
  <si>
    <t>66:41:0711024</t>
  </si>
  <si>
    <t>66:41:0711026</t>
  </si>
  <si>
    <t>66:41:0711027</t>
  </si>
  <si>
    <t>66:41:0711040</t>
  </si>
  <si>
    <t>66:41:0708010</t>
  </si>
  <si>
    <t>66:41:0711003</t>
  </si>
  <si>
    <t>66:41:0711004</t>
  </si>
  <si>
    <t>66:41:0711005</t>
  </si>
  <si>
    <t>66:41:0711006</t>
  </si>
  <si>
    <t>66:41:0711044</t>
  </si>
  <si>
    <t>66:41:0711045</t>
  </si>
  <si>
    <t>66:41:0711046</t>
  </si>
  <si>
    <t>66:41:0711047</t>
  </si>
  <si>
    <t>66:41:0711048</t>
  </si>
  <si>
    <t>66:41:0711050</t>
  </si>
  <si>
    <t>66:41:0711051</t>
  </si>
  <si>
    <t>66:41:0711052</t>
  </si>
  <si>
    <t>66:41:0711057</t>
  </si>
  <si>
    <t>66:41:0711058</t>
  </si>
  <si>
    <t>66:41:0711049</t>
  </si>
  <si>
    <t>66:41:0110011</t>
  </si>
  <si>
    <t>66:41:0110177</t>
  </si>
  <si>
    <t>66:41:0711002</t>
  </si>
  <si>
    <t>66:41:0711059</t>
  </si>
  <si>
    <t>66:41:0711060</t>
  </si>
  <si>
    <t>66:41:0711063</t>
  </si>
  <si>
    <t>66:41:0711068</t>
  </si>
  <si>
    <t>66:41:0711069</t>
  </si>
  <si>
    <t>66:41:0707006</t>
  </si>
  <si>
    <t>66:41:0703008</t>
  </si>
  <si>
    <t>66:41:0707005</t>
  </si>
  <si>
    <t>66:41:0707007</t>
  </si>
  <si>
    <t>66:41:0707008</t>
  </si>
  <si>
    <t>66:41:0614002</t>
  </si>
  <si>
    <t>66:41:0612006</t>
  </si>
  <si>
    <t>66:41:0612067</t>
  </si>
  <si>
    <t>66:41:0612090</t>
  </si>
  <si>
    <t>66:41:0612082</t>
  </si>
  <si>
    <t>66:41:0610005</t>
  </si>
  <si>
    <t>66:41:0610072</t>
  </si>
  <si>
    <t>66:41:0612050</t>
  </si>
  <si>
    <t>66:41:0612077</t>
  </si>
  <si>
    <t>66:41:0612078</t>
  </si>
  <si>
    <t>66:41:0612079</t>
  </si>
  <si>
    <t>66:41:0612084</t>
  </si>
  <si>
    <t>66:41:0612085</t>
  </si>
  <si>
    <t>66:41:0612086</t>
  </si>
  <si>
    <t>66:41:0612087</t>
  </si>
  <si>
    <t>66:41:0612088</t>
  </si>
  <si>
    <t>66:41:0612089</t>
  </si>
  <si>
    <t>66:41:0612091</t>
  </si>
  <si>
    <t>66:41:0612901</t>
  </si>
  <si>
    <t>66:41:0614078</t>
  </si>
  <si>
    <t>66:41:0614079</t>
  </si>
  <si>
    <t>66:41:0002002</t>
  </si>
  <si>
    <t>66:41:0503018</t>
  </si>
  <si>
    <t>66:41:0503030</t>
  </si>
  <si>
    <t>66:41:0503017</t>
  </si>
  <si>
    <t>66:41:0503012</t>
  </si>
  <si>
    <t>66:41:0503019</t>
  </si>
  <si>
    <t>66:41:0503021</t>
  </si>
  <si>
    <t>66:41:0503024</t>
  </si>
  <si>
    <t>66:41:0503025</t>
  </si>
  <si>
    <t>66:41:0503028</t>
  </si>
  <si>
    <t>66:41:0509008</t>
  </si>
  <si>
    <t>66:41:0509015</t>
  </si>
  <si>
    <t>66:41:0509020</t>
  </si>
  <si>
    <t>66:41:0509036</t>
  </si>
  <si>
    <t>66:41:0509042</t>
  </si>
  <si>
    <t>66:41:0509001</t>
  </si>
  <si>
    <t>66:41:0509004</t>
  </si>
  <si>
    <t>66:41:0509005</t>
  </si>
  <si>
    <t>66:41:0509006</t>
  </si>
  <si>
    <t>66:41:0509007</t>
  </si>
  <si>
    <t>66:41:0509009</t>
  </si>
  <si>
    <t>66:41:0509010</t>
  </si>
  <si>
    <t>66:41:0509011</t>
  </si>
  <si>
    <t>66:41:0509019</t>
  </si>
  <si>
    <t>66:41:0509065</t>
  </si>
  <si>
    <t>66:41:0509067</t>
  </si>
  <si>
    <t>66:41:0503009</t>
  </si>
  <si>
    <t>66:41:0503011</t>
  </si>
  <si>
    <t>66:41:0503014</t>
  </si>
  <si>
    <t>66:41:0503023</t>
  </si>
  <si>
    <t>66:41:0503026</t>
  </si>
  <si>
    <t>66:41:0503027</t>
  </si>
  <si>
    <t>66:41:0619901</t>
  </si>
  <si>
    <t>66:41:0509013</t>
  </si>
  <si>
    <t>66:41:0503013</t>
  </si>
  <si>
    <t>66:41:0509012</t>
  </si>
  <si>
    <t>66:41:0509016</t>
  </si>
  <si>
    <t>66:41:0509017</t>
  </si>
  <si>
    <t>66:41:0509003</t>
  </si>
  <si>
    <t>66:41:0509018</t>
  </si>
  <si>
    <t>66:41:0509033</t>
  </si>
  <si>
    <t>66:41:0509038</t>
  </si>
  <si>
    <t>66:41:0509039</t>
  </si>
  <si>
    <t>66:41:0509048</t>
  </si>
  <si>
    <t>66:41:0509049</t>
  </si>
  <si>
    <t>66:41:0509050</t>
  </si>
  <si>
    <t>66:41:0509052</t>
  </si>
  <si>
    <t>66:41:0509055</t>
  </si>
  <si>
    <t>66:41:0509059</t>
  </si>
  <si>
    <t>66:41:0509060</t>
  </si>
  <si>
    <t>66:41:0509062</t>
  </si>
  <si>
    <t>66:41:0605023</t>
  </si>
  <si>
    <t>66:41:0605012</t>
  </si>
  <si>
    <t>66:41:0605013</t>
  </si>
  <si>
    <t>66:41:0605016</t>
  </si>
  <si>
    <t>66:41:0605017</t>
  </si>
  <si>
    <t>66:41:0605018</t>
  </si>
  <si>
    <t>66:41:0605021</t>
  </si>
  <si>
    <t>66:41:0605022</t>
  </si>
  <si>
    <t>66:41:0605024</t>
  </si>
  <si>
    <t>66:41:0509032</t>
  </si>
  <si>
    <t>66:41:0509024</t>
  </si>
  <si>
    <t>66:41:0509021</t>
  </si>
  <si>
    <t>66:41:0509022</t>
  </si>
  <si>
    <t>66:41:0509023</t>
  </si>
  <si>
    <t>66:41:0509026</t>
  </si>
  <si>
    <t>66:41:0509027</t>
  </si>
  <si>
    <t>66:41:0509028</t>
  </si>
  <si>
    <t>66:41:0509029</t>
  </si>
  <si>
    <t>66:41:0509030</t>
  </si>
  <si>
    <t>66:41:0509031</t>
  </si>
  <si>
    <t>66:41:0509046</t>
  </si>
  <si>
    <t>66:41:0509034</t>
  </si>
  <si>
    <t>66:41:0508056</t>
  </si>
  <si>
    <t>66:41:0508061</t>
  </si>
  <si>
    <t>66:41:0508062</t>
  </si>
  <si>
    <t>66:41:0508064</t>
  </si>
  <si>
    <t>66:41:0509002</t>
  </si>
  <si>
    <t>66:41:0509035</t>
  </si>
  <si>
    <t>66:41:0509037</t>
  </si>
  <si>
    <t>66:41:0509043</t>
  </si>
  <si>
    <t>66:41:0509047</t>
  </si>
  <si>
    <t>66:41:0503003</t>
  </si>
  <si>
    <t>66:41:0503022</t>
  </si>
  <si>
    <t>66:41:0605002</t>
  </si>
  <si>
    <t>66:41:0605007</t>
  </si>
  <si>
    <t>66:41:0605008</t>
  </si>
  <si>
    <t>66:41:0605011</t>
  </si>
  <si>
    <t>66:41:0605014</t>
  </si>
  <si>
    <t>66:41:0605019</t>
  </si>
  <si>
    <t>66:41:0605026</t>
  </si>
  <si>
    <t>66:41:0502099</t>
  </si>
  <si>
    <t>66:41:0502058</t>
  </si>
  <si>
    <t>66:41:0503005</t>
  </si>
  <si>
    <t>66:41:0503006</t>
  </si>
  <si>
    <t>66:41:0503007</t>
  </si>
  <si>
    <t>66:41:0508040</t>
  </si>
  <si>
    <t>66:41:0508021</t>
  </si>
  <si>
    <t>66:41:0508022</t>
  </si>
  <si>
    <t>66:41:0508023</t>
  </si>
  <si>
    <t>66:41:0508037</t>
  </si>
  <si>
    <t>66:41:0508038</t>
  </si>
  <si>
    <t>66:41:0508039</t>
  </si>
  <si>
    <t>66:41:0508048</t>
  </si>
  <si>
    <t>66:41:0508049</t>
  </si>
  <si>
    <t>66:41:0509025</t>
  </si>
  <si>
    <t>66:41:0502041</t>
  </si>
  <si>
    <t>66:41:0502036</t>
  </si>
  <si>
    <t>66:41:0502039</t>
  </si>
  <si>
    <t>66:41:0502040</t>
  </si>
  <si>
    <t>66:41:0502047</t>
  </si>
  <si>
    <t>66:41:0502048</t>
  </si>
  <si>
    <t>66:41:0502049</t>
  </si>
  <si>
    <t>66:41:0502055</t>
  </si>
  <si>
    <t>66:41:0502117</t>
  </si>
  <si>
    <t>66:41:0612008</t>
  </si>
  <si>
    <t>66:41:0612009</t>
  </si>
  <si>
    <t>66:41:0612010</t>
  </si>
  <si>
    <t>66:41:0612027</t>
  </si>
  <si>
    <t>66:41:0612051</t>
  </si>
  <si>
    <t>66:41:0612052</t>
  </si>
  <si>
    <t>66:41:0612054</t>
  </si>
  <si>
    <t>66:41:0612073</t>
  </si>
  <si>
    <t>66:41:0612076</t>
  </si>
  <si>
    <t>66:41:0614009</t>
  </si>
  <si>
    <t>66:41:0614007</t>
  </si>
  <si>
    <t>66:41:0614024</t>
  </si>
  <si>
    <t>66:41:0614027</t>
  </si>
  <si>
    <t>66:41:0614028</t>
  </si>
  <si>
    <t>66:41:0614075</t>
  </si>
  <si>
    <t>66:41:0606051</t>
  </si>
  <si>
    <t>66:41:0609008</t>
  </si>
  <si>
    <t>66:41:0609039</t>
  </si>
  <si>
    <t>66:41:0613901</t>
  </si>
  <si>
    <t>66:41:0612007</t>
  </si>
  <si>
    <t>66:41:0612003</t>
  </si>
  <si>
    <t>66:41:0609036</t>
  </si>
  <si>
    <t>66:41:0609035</t>
  </si>
  <si>
    <t>66:41:0610012</t>
  </si>
  <si>
    <t>66:41:0612001</t>
  </si>
  <si>
    <t>66:41:0612004</t>
  </si>
  <si>
    <t>66:41:0612005</t>
  </si>
  <si>
    <t>66:41:0612033</t>
  </si>
  <si>
    <t>66:41:0612045</t>
  </si>
  <si>
    <t>66:41:0610031</t>
  </si>
  <si>
    <t>66:41:0610033</t>
  </si>
  <si>
    <t>66:41:0612034</t>
  </si>
  <si>
    <t>66:41:0612074</t>
  </si>
  <si>
    <t>66:41:0609015</t>
  </si>
  <si>
    <t>66:41:0609025</t>
  </si>
  <si>
    <t>66:41:0609029</t>
  </si>
  <si>
    <t>66:41:0609042</t>
  </si>
  <si>
    <t>66:41:0609043</t>
  </si>
  <si>
    <t>66:41:0609044</t>
  </si>
  <si>
    <t>66:41:0609045</t>
  </si>
  <si>
    <t>66:41:0609049</t>
  </si>
  <si>
    <t>66:41:0609050</t>
  </si>
  <si>
    <t>66:41:0609052</t>
  </si>
  <si>
    <t>66:41:0609902</t>
  </si>
  <si>
    <t>66:41:0614076</t>
  </si>
  <si>
    <t>66:41:0609018</t>
  </si>
  <si>
    <t>66:41:0609022</t>
  </si>
  <si>
    <t>66:41:0609023</t>
  </si>
  <si>
    <t>66:41:0609024</t>
  </si>
  <si>
    <t>66:41:0609026</t>
  </si>
  <si>
    <t>66:41:0609027</t>
  </si>
  <si>
    <t>66:41:0609028</t>
  </si>
  <si>
    <t>66:41:0609032</t>
  </si>
  <si>
    <t>66:41:0609033</t>
  </si>
  <si>
    <t>66:41:0609034</t>
  </si>
  <si>
    <t>66:41:0609901</t>
  </si>
  <si>
    <t>66:41:0610020</t>
  </si>
  <si>
    <t>66:41:0606005</t>
  </si>
  <si>
    <t>66:41:0606006</t>
  </si>
  <si>
    <t>66:41:0606007</t>
  </si>
  <si>
    <t>66:41:0606008</t>
  </si>
  <si>
    <t>66:41:0606031</t>
  </si>
  <si>
    <t>66:41:0606048</t>
  </si>
  <si>
    <t>66:41:0606049</t>
  </si>
  <si>
    <t>66:41:0609001</t>
  </si>
  <si>
    <t>66:41:0712040</t>
  </si>
  <si>
    <t>66:41:0712041</t>
  </si>
  <si>
    <t>66:41:0712045</t>
  </si>
  <si>
    <t>66:41:0712049</t>
  </si>
  <si>
    <t>66:41:0609017</t>
  </si>
  <si>
    <t>66:41:0609011</t>
  </si>
  <si>
    <t>66:41:0609014</t>
  </si>
  <si>
    <t>66:41:0609030</t>
  </si>
  <si>
    <t>66:41:0609031</t>
  </si>
  <si>
    <t>66:41:0610011</t>
  </si>
  <si>
    <t>66:41:0610015</t>
  </si>
  <si>
    <t>66:41:0610019</t>
  </si>
  <si>
    <t>66:41:0610024</t>
  </si>
  <si>
    <t>66:41:0610029</t>
  </si>
  <si>
    <t>66:41:0610043</t>
  </si>
  <si>
    <t>66:41:0610001</t>
  </si>
  <si>
    <t>66:41:0610002</t>
  </si>
  <si>
    <t>66:41:0610004</t>
  </si>
  <si>
    <t>66:41:0610009</t>
  </si>
  <si>
    <t>66:41:0610014</t>
  </si>
  <si>
    <t>66:41:0610026</t>
  </si>
  <si>
    <t>66:41:0610035</t>
  </si>
  <si>
    <t>66:41:0610038</t>
  </si>
  <si>
    <t>66:41:0610039</t>
  </si>
  <si>
    <t>66:41:0610040</t>
  </si>
  <si>
    <t>66:41:0610041</t>
  </si>
  <si>
    <t>66:41:0610042</t>
  </si>
  <si>
    <t>66:41:0610044</t>
  </si>
  <si>
    <t>66:41:0608006</t>
  </si>
  <si>
    <t>66:41:0606001</t>
  </si>
  <si>
    <t>66:41:0606002</t>
  </si>
  <si>
    <t>66:41:0608005</t>
  </si>
  <si>
    <t>66:41:0609003</t>
  </si>
  <si>
    <t>66:41:0706006</t>
  </si>
  <si>
    <t>66:41:0706007</t>
  </si>
  <si>
    <t>66:41:0608001</t>
  </si>
  <si>
    <t>66:41:0608003</t>
  </si>
  <si>
    <t>66:41:0608014</t>
  </si>
  <si>
    <t>66:41:0608016</t>
  </si>
  <si>
    <t>66:41:0608019</t>
  </si>
  <si>
    <t>66:41:0608022</t>
  </si>
  <si>
    <t>66:41:0609005</t>
  </si>
  <si>
    <t>66:41:0608036</t>
  </si>
  <si>
    <t>66:41:0608021</t>
  </si>
  <si>
    <t>66:41:0608020</t>
  </si>
  <si>
    <t>66:41:0608023</t>
  </si>
  <si>
    <t>66:41:0608024</t>
  </si>
  <si>
    <t>66:41:0608025</t>
  </si>
  <si>
    <t>66:41:0608026</t>
  </si>
  <si>
    <t>66:41:0608027</t>
  </si>
  <si>
    <t>66:41:0608028</t>
  </si>
  <si>
    <t>66:41:0608029</t>
  </si>
  <si>
    <t>66:41:0608031</t>
  </si>
  <si>
    <t>66:41:0608032</t>
  </si>
  <si>
    <t>66:41:0608035</t>
  </si>
  <si>
    <t>66:41:0608038</t>
  </si>
  <si>
    <t>66:41:0608901</t>
  </si>
  <si>
    <t>66:41:0609009</t>
  </si>
  <si>
    <t>66:41:0608017</t>
  </si>
  <si>
    <t>66:41:0603025</t>
  </si>
  <si>
    <t>66:41:0603026</t>
  </si>
  <si>
    <t>66:41:0603027</t>
  </si>
  <si>
    <t>66:41:0603028</t>
  </si>
  <si>
    <t>66:41:0603030</t>
  </si>
  <si>
    <t>66:41:0603032</t>
  </si>
  <si>
    <t>66:41:0608007</t>
  </si>
  <si>
    <t>66:41:0608008</t>
  </si>
  <si>
    <t>66:41:0608009</t>
  </si>
  <si>
    <t>66:41:0608013</t>
  </si>
  <si>
    <t>66:41:0706002</t>
  </si>
  <si>
    <t>66:25:0501012</t>
  </si>
  <si>
    <t>66:25:0501001</t>
  </si>
  <si>
    <t>66:41:0521052</t>
  </si>
  <si>
    <t>66:33:0101003</t>
  </si>
  <si>
    <t>66:25:0202003</t>
  </si>
  <si>
    <t>sysr_1</t>
  </si>
  <si>
    <t>66:25:0307001</t>
  </si>
  <si>
    <t>66:25:0307002</t>
  </si>
  <si>
    <t>66:25:0501007</t>
  </si>
  <si>
    <t>66:25:0501010</t>
  </si>
  <si>
    <t>66:25:0501011</t>
  </si>
  <si>
    <t>66:25:0501013</t>
  </si>
  <si>
    <t>66:25:0501014</t>
  </si>
  <si>
    <t>66:25:0501015</t>
  </si>
  <si>
    <t>66:25:0501016</t>
  </si>
  <si>
    <t>66:25:0501018</t>
  </si>
  <si>
    <t>66:25:0501019</t>
  </si>
  <si>
    <t>66:25:0101007</t>
  </si>
  <si>
    <t>66:25:0101001</t>
  </si>
  <si>
    <t>66:25:0101002</t>
  </si>
  <si>
    <t>66:25:0101003</t>
  </si>
  <si>
    <t>66:25:0101004</t>
  </si>
  <si>
    <t>66:25:0101005</t>
  </si>
  <si>
    <t>66:25:0101006</t>
  </si>
  <si>
    <t>66:25:0101008</t>
  </si>
  <si>
    <t>66:25:0101009</t>
  </si>
  <si>
    <t>66:25:0101010</t>
  </si>
  <si>
    <t>66:25:0101011</t>
  </si>
  <si>
    <t>66:25:0105001</t>
  </si>
  <si>
    <t>66:25:0106002</t>
  </si>
  <si>
    <t>66:25:0202001</t>
  </si>
  <si>
    <t>66:25:0202002</t>
  </si>
  <si>
    <t>66:25:0201011</t>
  </si>
  <si>
    <t>66:25:0201009</t>
  </si>
  <si>
    <t>66:25:0201010</t>
  </si>
  <si>
    <t>66:25:0201012</t>
  </si>
  <si>
    <t>66:25:0201013</t>
  </si>
  <si>
    <t>66:25:0201014</t>
  </si>
  <si>
    <t>66:25:0201015</t>
  </si>
  <si>
    <t>66:25:0201016</t>
  </si>
  <si>
    <t>66:25:0201017</t>
  </si>
  <si>
    <t>66:25:0201018</t>
  </si>
  <si>
    <t>66:25:0201019</t>
  </si>
  <si>
    <t>66:25:0310001</t>
  </si>
  <si>
    <t>66:41:0521004</t>
  </si>
  <si>
    <t>66:41:0521035</t>
  </si>
  <si>
    <t>66:41:0521037</t>
  </si>
  <si>
    <t>66:41:0521038</t>
  </si>
  <si>
    <t>66:41:0521043</t>
  </si>
  <si>
    <t>66:41:0521044</t>
  </si>
  <si>
    <t>66:41:0521045</t>
  </si>
  <si>
    <t>66:41:0521046</t>
  </si>
  <si>
    <t>66:41:0521047</t>
  </si>
  <si>
    <t>66:41:0521048</t>
  </si>
  <si>
    <t>66:41:0521902</t>
  </si>
  <si>
    <t>66:25:0301001</t>
  </si>
  <si>
    <t>66:25:0301002</t>
  </si>
  <si>
    <t>66:25:0102001</t>
  </si>
  <si>
    <t>66:41:0509053</t>
  </si>
  <si>
    <t>66:41:0509061</t>
  </si>
  <si>
    <t>66:25:0104001</t>
  </si>
  <si>
    <t>66:41:0521002</t>
  </si>
  <si>
    <t>66:41:0521006</t>
  </si>
  <si>
    <t>66:41:0521012</t>
  </si>
  <si>
    <t>66:41:0521054</t>
  </si>
  <si>
    <t>66:25:0103001</t>
  </si>
  <si>
    <t>66:25:0103002</t>
  </si>
  <si>
    <t>66:25:0103003</t>
  </si>
  <si>
    <t>66:25:0103005</t>
  </si>
  <si>
    <t>66:25:0104002</t>
  </si>
  <si>
    <t>66:25:0306002</t>
  </si>
  <si>
    <t>66:25:0304002</t>
  </si>
  <si>
    <t>66:25:0305001</t>
  </si>
  <si>
    <t>66:25:0306001</t>
  </si>
  <si>
    <t>66:25:0306003</t>
  </si>
  <si>
    <t>66:25:0801001</t>
  </si>
  <si>
    <t>66:25:0801002</t>
  </si>
  <si>
    <t>66:25:0801003</t>
  </si>
  <si>
    <t>66:25:0801004</t>
  </si>
  <si>
    <t>66:25:0801005</t>
  </si>
  <si>
    <t>66:25:0801006</t>
  </si>
  <si>
    <t>66:41:0521023</t>
  </si>
  <si>
    <t>66:41:0507097</t>
  </si>
  <si>
    <t>66:41:0521018</t>
  </si>
  <si>
    <t>66:41:0521019</t>
  </si>
  <si>
    <t>66:41:0521032</t>
  </si>
  <si>
    <t>66:41:0521034</t>
  </si>
  <si>
    <t>66:41:0521036</t>
  </si>
  <si>
    <t>66:25:0103006</t>
  </si>
  <si>
    <t>66:41:0507094</t>
  </si>
  <si>
    <t>66:41:0507096</t>
  </si>
  <si>
    <t>66:41:0521005</t>
  </si>
  <si>
    <t>66:41:0521015</t>
  </si>
  <si>
    <t>66:41:0521901</t>
  </si>
  <si>
    <t>66:25:0103004</t>
  </si>
  <si>
    <t>66:25:0106001</t>
  </si>
  <si>
    <t>66:25:0201001</t>
  </si>
  <si>
    <t>66:25:0201002</t>
  </si>
  <si>
    <t>66:25:0201003</t>
  </si>
  <si>
    <t>66:25:0201004</t>
  </si>
  <si>
    <t>66:25:0201005</t>
  </si>
  <si>
    <t>66:25:0201006</t>
  </si>
  <si>
    <t>66:25:0201007</t>
  </si>
  <si>
    <t>66:25:0201008</t>
  </si>
  <si>
    <t>66:41:0507101</t>
  </si>
  <si>
    <t>66:41:0507102</t>
  </si>
  <si>
    <t>66:41:0507106</t>
  </si>
  <si>
    <t>66:41:0507118</t>
  </si>
  <si>
    <t>66:25:0302001</t>
  </si>
  <si>
    <t>66:25:0302002</t>
  </si>
  <si>
    <t>66:25:0303001</t>
  </si>
  <si>
    <t>66:25:0304001</t>
  </si>
  <si>
    <t>66:25:0304003</t>
  </si>
  <si>
    <t>66:25:0401001</t>
  </si>
  <si>
    <t>66:41:0508002</t>
  </si>
  <si>
    <t>66:41:0508068</t>
  </si>
  <si>
    <t>66:41:0508069</t>
  </si>
  <si>
    <t>66:41:0508076</t>
  </si>
  <si>
    <t>66:41:0508080</t>
  </si>
  <si>
    <t>66:41:0508082</t>
  </si>
  <si>
    <t>66:41:0508083</t>
  </si>
  <si>
    <t>66:41:0508086</t>
  </si>
  <si>
    <t>66:41:0508087</t>
  </si>
  <si>
    <t>66:41:0508089</t>
  </si>
  <si>
    <t>66:41:0508092</t>
  </si>
  <si>
    <t>66:41:0508095</t>
  </si>
  <si>
    <t>66:41:0508014</t>
  </si>
  <si>
    <t>66:41:0508065</t>
  </si>
  <si>
    <t>66:41:0508077</t>
  </si>
  <si>
    <t>66:41:0508078</t>
  </si>
  <si>
    <t>66:41:0508079</t>
  </si>
  <si>
    <t>66:41:0508090</t>
  </si>
  <si>
    <t>66:41:0508091</t>
  </si>
  <si>
    <t>66:25:0701001</t>
  </si>
  <si>
    <t>66:25:0701002</t>
  </si>
  <si>
    <t>66:25:0701003</t>
  </si>
  <si>
    <t>66:25:0701004</t>
  </si>
  <si>
    <t>66:25:0701005</t>
  </si>
  <si>
    <t>66:25:0701006</t>
  </si>
  <si>
    <t>66:25:0701007</t>
  </si>
  <si>
    <t>66:25:0701008</t>
  </si>
  <si>
    <t>66:41:0507041</t>
  </si>
  <si>
    <t>66:41:0508050</t>
  </si>
  <si>
    <t>66:41:0508051</t>
  </si>
  <si>
    <t>66:41:0508052</t>
  </si>
  <si>
    <t>66:41:0508053</t>
  </si>
  <si>
    <t>66:41:0508057</t>
  </si>
  <si>
    <t>66:41:0508058</t>
  </si>
  <si>
    <t>66:41:0508059</t>
  </si>
  <si>
    <t>66:41:0508070</t>
  </si>
  <si>
    <t>66:41:0508071</t>
  </si>
  <si>
    <t>66:41:0508074</t>
  </si>
  <si>
    <t>66:41:0508901</t>
  </si>
  <si>
    <t>66:41:0507069</t>
  </si>
  <si>
    <t>66:41:0507072</t>
  </si>
  <si>
    <t>66:41:0507076</t>
  </si>
  <si>
    <t>66:41:0507080</t>
  </si>
  <si>
    <t>66:41:0507095</t>
  </si>
  <si>
    <t>66:41:0507100</t>
  </si>
  <si>
    <t>66:41:0507105</t>
  </si>
  <si>
    <t>66:41:0507112</t>
  </si>
  <si>
    <t>66:41:0507117</t>
  </si>
  <si>
    <t>66:41:0507099</t>
  </si>
  <si>
    <t>66:41:0507036</t>
  </si>
  <si>
    <t>66:41:0507018</t>
  </si>
  <si>
    <t>66:41:0507039</t>
  </si>
  <si>
    <t>66:41:0507040</t>
  </si>
  <si>
    <t>66:41:0507051</t>
  </si>
  <si>
    <t>66:41:0507052</t>
  </si>
  <si>
    <t>66:41:0507107</t>
  </si>
  <si>
    <t>66:41:0507108</t>
  </si>
  <si>
    <t>66:41:0507109</t>
  </si>
  <si>
    <t>66:41:0507116</t>
  </si>
  <si>
    <t>66:41:0507092</t>
  </si>
  <si>
    <t>66:25:0314001</t>
  </si>
  <si>
    <t>66:25:0315001</t>
  </si>
  <si>
    <t>66:41:0707010</t>
  </si>
  <si>
    <t>66:41:0703010</t>
  </si>
  <si>
    <t>66:41:0704019</t>
  </si>
  <si>
    <t>66:41:0704020</t>
  </si>
  <si>
    <t>66:41:0704021</t>
  </si>
  <si>
    <t>66:41:0704023</t>
  </si>
  <si>
    <t>66:41:0704025</t>
  </si>
  <si>
    <t>66:41:0704026</t>
  </si>
  <si>
    <t>66:41:0704035</t>
  </si>
  <si>
    <t>66:41:0707011</t>
  </si>
  <si>
    <t>66:41:0707012</t>
  </si>
  <si>
    <t>66:41:0707013</t>
  </si>
  <si>
    <t>66:41:0707014</t>
  </si>
  <si>
    <t>66:41:0707017</t>
  </si>
  <si>
    <t>66:41:0707018</t>
  </si>
  <si>
    <t>66:41:0707019</t>
  </si>
  <si>
    <t>66:41:0707020</t>
  </si>
  <si>
    <t>66:41:0707022</t>
  </si>
  <si>
    <t>66:41:0707023</t>
  </si>
  <si>
    <t>66:41:0709016</t>
  </si>
  <si>
    <t>66:41:0602006</t>
  </si>
  <si>
    <t>66:41:0602009</t>
  </si>
  <si>
    <t>66:41:0705006</t>
  </si>
  <si>
    <t>66:41:0705009</t>
  </si>
  <si>
    <t>66:41:0706001</t>
  </si>
  <si>
    <t>66:41:0706008</t>
  </si>
  <si>
    <t>66:41:0709013</t>
  </si>
  <si>
    <t>66:41:0603020</t>
  </si>
  <si>
    <t>66:41:0603024</t>
  </si>
  <si>
    <t>66:41:0603029</t>
  </si>
  <si>
    <t>66:41:0603031</t>
  </si>
  <si>
    <t>66:41:0603033</t>
  </si>
  <si>
    <t>66:41:0603034</t>
  </si>
  <si>
    <t>66:41:0605004</t>
  </si>
  <si>
    <t>66:41:0605025</t>
  </si>
  <si>
    <t>66:41:0709015</t>
  </si>
  <si>
    <t>66:41:0709017</t>
  </si>
  <si>
    <t>66:41:0709018</t>
  </si>
  <si>
    <t>66:41:0709019</t>
  </si>
  <si>
    <t>66:41:0709020</t>
  </si>
  <si>
    <t>66:41:0709021</t>
  </si>
  <si>
    <t>66:41:0709022</t>
  </si>
  <si>
    <t>66:41:0709901</t>
  </si>
  <si>
    <t>66:41:0704045</t>
  </si>
  <si>
    <t>66:41:0704028</t>
  </si>
  <si>
    <t>66:41:0704032</t>
  </si>
  <si>
    <t>66:41:0704034</t>
  </si>
  <si>
    <t>66:41:0704036</t>
  </si>
  <si>
    <t>66:41:0704037</t>
  </si>
  <si>
    <t>66:41:0704038</t>
  </si>
  <si>
    <t>66:41:0704039</t>
  </si>
  <si>
    <t>66:41:0705001</t>
  </si>
  <si>
    <t>66:41:0705003</t>
  </si>
  <si>
    <t>66:41:0705005</t>
  </si>
  <si>
    <t>66:41:0705901</t>
  </si>
  <si>
    <t>66:41:0706016</t>
  </si>
  <si>
    <t>66:41:0602001</t>
  </si>
  <si>
    <t>66:41:0602002</t>
  </si>
  <si>
    <t>66:41:0602005</t>
  </si>
  <si>
    <t>66:41:0602007</t>
  </si>
  <si>
    <t>66:41:0602008</t>
  </si>
  <si>
    <t>66:41:0602011</t>
  </si>
  <si>
    <t>66:41:0602901</t>
  </si>
  <si>
    <t>66:41:0603006</t>
  </si>
  <si>
    <t>66:41:0603007</t>
  </si>
  <si>
    <t>66:41:0603008</t>
  </si>
  <si>
    <t>66:41:0603013</t>
  </si>
  <si>
    <t>66:41:0603015</t>
  </si>
  <si>
    <t>66:41:0603016</t>
  </si>
  <si>
    <t>66:41:0603017</t>
  </si>
  <si>
    <t>66:41:0603018</t>
  </si>
  <si>
    <t>66:41:0603901</t>
  </si>
  <si>
    <t>66:41:0605001</t>
  </si>
  <si>
    <t>66:41:0605003</t>
  </si>
  <si>
    <t>66:41:0603005</t>
  </si>
  <si>
    <t>66:41:0601020</t>
  </si>
  <si>
    <t>66:41:0601016</t>
  </si>
  <si>
    <t>66:41:0601017</t>
  </si>
  <si>
    <t>66:41:0601018</t>
  </si>
  <si>
    <t>66:41:0601019</t>
  </si>
  <si>
    <t>66:41:0601025</t>
  </si>
  <si>
    <t>66:41:0601031</t>
  </si>
  <si>
    <t>66:41:0603001</t>
  </si>
  <si>
    <t>66:41:0603002</t>
  </si>
  <si>
    <t>66:41:0603004</t>
  </si>
  <si>
    <t>66:41:0704040</t>
  </si>
  <si>
    <t>66:41:0704041</t>
  </si>
  <si>
    <t>66:41:0704044</t>
  </si>
  <si>
    <t>66:41:0705004</t>
  </si>
  <si>
    <t>66:41:0601054</t>
  </si>
  <si>
    <t>66:41:0401050</t>
  </si>
  <si>
    <t>66:41:0601037</t>
  </si>
  <si>
    <t>66:41:0601042</t>
  </si>
  <si>
    <t>66:41:0601044</t>
  </si>
  <si>
    <t>66:41:0601045</t>
  </si>
  <si>
    <t>66:41:0601050</t>
  </si>
  <si>
    <t>66:41:0601051</t>
  </si>
  <si>
    <t>66:41:0601053</t>
  </si>
  <si>
    <t>66:41:0601056</t>
  </si>
  <si>
    <t>66:41:0603009</t>
  </si>
  <si>
    <t>66:41:0603010</t>
  </si>
  <si>
    <t>66:41:0603011</t>
  </si>
  <si>
    <t>66:41:0603012</t>
  </si>
  <si>
    <t>66:41:0701028</t>
  </si>
  <si>
    <t>66:41:0701015</t>
  </si>
  <si>
    <t>66:41:0701016</t>
  </si>
  <si>
    <t>66:41:0701024</t>
  </si>
  <si>
    <t>66:41:0701025</t>
  </si>
  <si>
    <t>66:41:0701026</t>
  </si>
  <si>
    <t>66:41:0701027</t>
  </si>
  <si>
    <t>66:41:0704003</t>
  </si>
  <si>
    <t>66:41:0704004</t>
  </si>
  <si>
    <t>66:41:0704005</t>
  </si>
  <si>
    <t>66:41:0601001</t>
  </si>
  <si>
    <t>66:41:0601002</t>
  </si>
  <si>
    <t>66:41:0601003</t>
  </si>
  <si>
    <t>66:41:0601004</t>
  </si>
  <si>
    <t>66:41:0601005</t>
  </si>
  <si>
    <t>66:41:0601006</t>
  </si>
  <si>
    <t>66:41:0601007</t>
  </si>
  <si>
    <t>66:41:0601009</t>
  </si>
  <si>
    <t>66:41:0601010</t>
  </si>
  <si>
    <t>66:41:0601011</t>
  </si>
  <si>
    <t>66:41:0601013</t>
  </si>
  <si>
    <t>66:41:0704006</t>
  </si>
  <si>
    <t>66:41:0704027</t>
  </si>
  <si>
    <t>66:41:0601034</t>
  </si>
  <si>
    <t>66:41:0402008</t>
  </si>
  <si>
    <t>66:41:0402009</t>
  </si>
  <si>
    <t>66:41:0402018</t>
  </si>
  <si>
    <t>66:41:0601035</t>
  </si>
  <si>
    <t>66:41:0601036</t>
  </si>
  <si>
    <t>66:41:0601039</t>
  </si>
  <si>
    <t>66:41:0601043</t>
  </si>
  <si>
    <t>66:41:0601047</t>
  </si>
  <si>
    <t>66:41:0601048</t>
  </si>
  <si>
    <t>66:41:0601052</t>
  </si>
  <si>
    <t>66:41:0402030</t>
  </si>
  <si>
    <t>66:41:0402014</t>
  </si>
  <si>
    <t>66:41:0402015</t>
  </si>
  <si>
    <t>66:41:0402016</t>
  </si>
  <si>
    <t>66:41:0402017</t>
  </si>
  <si>
    <t>66:41:0402026</t>
  </si>
  <si>
    <t>66:41:0402027</t>
  </si>
  <si>
    <t>66:41:0402028</t>
  </si>
  <si>
    <t>66:41:0402029</t>
  </si>
  <si>
    <t>66:41:0601028</t>
  </si>
  <si>
    <t>66:41:0601008</t>
  </si>
  <si>
    <t>66:41:0601014</t>
  </si>
  <si>
    <t>66:41:0601015</t>
  </si>
  <si>
    <t>66:41:0601021</t>
  </si>
  <si>
    <t>66:41:0601022</t>
  </si>
  <si>
    <t>66:41:0601023</t>
  </si>
  <si>
    <t>66:41:0601024</t>
  </si>
  <si>
    <t>66:41:0601030</t>
  </si>
  <si>
    <t>66:41:0401052</t>
  </si>
  <si>
    <t>66:41:0401046</t>
  </si>
  <si>
    <t>66:41:0401051</t>
  </si>
  <si>
    <t>66:41:0401053</t>
  </si>
  <si>
    <t>66:41:0401054</t>
  </si>
  <si>
    <t>66:41:0401055</t>
  </si>
  <si>
    <t>66:41:0401056</t>
  </si>
  <si>
    <t>66:41:0401057</t>
  </si>
  <si>
    <t>66:41:0402005</t>
  </si>
  <si>
    <t>66:41:0402006</t>
  </si>
  <si>
    <t>66:41:0402007</t>
  </si>
  <si>
    <t>66:41:0601026</t>
  </si>
  <si>
    <t>66:41:0601027</t>
  </si>
  <si>
    <t>66:41:0601032</t>
  </si>
  <si>
    <t>66:41:0601033</t>
  </si>
  <si>
    <t>66:41:0601038</t>
  </si>
  <si>
    <t>66:41:0601046</t>
  </si>
  <si>
    <t>66:41:0701012</t>
  </si>
  <si>
    <t>66:41:0701001</t>
  </si>
  <si>
    <t>66:41:0701002</t>
  </si>
  <si>
    <t>66:41:0701003</t>
  </si>
  <si>
    <t>66:41:0701009</t>
  </si>
  <si>
    <t>66:41:0701010</t>
  </si>
  <si>
    <t>66:41:0701011</t>
  </si>
  <si>
    <t>66:41:0701013</t>
  </si>
  <si>
    <t>66:41:0701014</t>
  </si>
  <si>
    <t>66:41:0701018</t>
  </si>
  <si>
    <t>66:41:0701020</t>
  </si>
  <si>
    <t>66:41:0701021</t>
  </si>
  <si>
    <t>66:41:0701022</t>
  </si>
  <si>
    <t>66:41:0701023</t>
  </si>
  <si>
    <t>66:41:0701901</t>
  </si>
  <si>
    <t>66:41:0401025</t>
  </si>
  <si>
    <t>66:41:0401023</t>
  </si>
  <si>
    <t>66:41:0401026</t>
  </si>
  <si>
    <t>66:41:0401027</t>
  </si>
  <si>
    <t>66:41:0401028</t>
  </si>
  <si>
    <t>66:41:0401029</t>
  </si>
  <si>
    <t>66:41:0401030</t>
  </si>
  <si>
    <t>66:41:0401036</t>
  </si>
  <si>
    <t>66:41:0401037</t>
  </si>
  <si>
    <t>66:41:0401038</t>
  </si>
  <si>
    <t>66:41:0401039</t>
  </si>
  <si>
    <t>66:41:0401040</t>
  </si>
  <si>
    <t>66:41:0401902</t>
  </si>
  <si>
    <t>66:41:0601901</t>
  </si>
  <si>
    <t>66:41:0701019</t>
  </si>
  <si>
    <t>66:41:0401009</t>
  </si>
  <si>
    <t>66:41:0401010</t>
  </si>
  <si>
    <t>66:41:0401011</t>
  </si>
  <si>
    <t>66:41:0401012</t>
  </si>
  <si>
    <t>66:41:0401013</t>
  </si>
  <si>
    <t>66:41:0401015</t>
  </si>
  <si>
    <t>66:41:0401058</t>
  </si>
  <si>
    <t>66:41:0402023</t>
  </si>
  <si>
    <t>66:41:0401004</t>
  </si>
  <si>
    <t>66:41:0401008</t>
  </si>
  <si>
    <t>66:41:0401019</t>
  </si>
  <si>
    <t>66:41:0401020</t>
  </si>
  <si>
    <t>66:41:0401021</t>
  </si>
  <si>
    <t>66:41:0402019</t>
  </si>
  <si>
    <t>66:41:0401033</t>
  </si>
  <si>
    <t>66:41:0401016</t>
  </si>
  <si>
    <t>66:41:0401017</t>
  </si>
  <si>
    <t>66:41:0401031</t>
  </si>
  <si>
    <t>66:41:0401032</t>
  </si>
  <si>
    <t>66:41:0401034</t>
  </si>
  <si>
    <t>66:41:0401035</t>
  </si>
  <si>
    <t>66:41:0401041</t>
  </si>
  <si>
    <t>66:41:0401042</t>
  </si>
  <si>
    <t>66:41:0401043</t>
  </si>
  <si>
    <t>66:41:0401044</t>
  </si>
  <si>
    <t>66:41:0401045</t>
  </si>
  <si>
    <t>66:41:0401049</t>
  </si>
  <si>
    <t>66:41:0401901</t>
  </si>
  <si>
    <t>66:41:0402003</t>
  </si>
  <si>
    <t>66:41:0304026</t>
  </si>
  <si>
    <t>66:41:0401047</t>
  </si>
  <si>
    <t>66:41:0401048</t>
  </si>
  <si>
    <t>66:41:0402001</t>
  </si>
  <si>
    <t>66:41:0402002</t>
  </si>
  <si>
    <t>66:41:0402004</t>
  </si>
  <si>
    <t>66:41:0402012</t>
  </si>
  <si>
    <t>66:41:0402013</t>
  </si>
  <si>
    <t>66:41:0402021</t>
  </si>
  <si>
    <t>66:41:0402022</t>
  </si>
  <si>
    <t>66:41:0403001</t>
  </si>
  <si>
    <t>66:41:0403002</t>
  </si>
  <si>
    <t>66:41:0403007</t>
  </si>
  <si>
    <t>66:41:0401018</t>
  </si>
  <si>
    <t>66:41:0301013</t>
  </si>
  <si>
    <t>66:41:0301011</t>
  </si>
  <si>
    <t>66:41:0301012</t>
  </si>
  <si>
    <t>66:41:0301014</t>
  </si>
  <si>
    <t>66:41:0304001</t>
  </si>
  <si>
    <t>66:41:0304002</t>
  </si>
  <si>
    <t>66:41:0304003</t>
  </si>
  <si>
    <t>66:41:0401001</t>
  </si>
  <si>
    <t>66:41:0401003</t>
  </si>
  <si>
    <t>66:41:0401005</t>
  </si>
  <si>
    <t>66:41:0401006</t>
  </si>
  <si>
    <t>66:41:0401007</t>
  </si>
  <si>
    <t>66:41:0401022</t>
  </si>
  <si>
    <t>66:41:0304012</t>
  </si>
  <si>
    <t>66:41:0301901</t>
  </si>
  <si>
    <t>66:41:0303075</t>
  </si>
  <si>
    <t>66:41:0303076</t>
  </si>
  <si>
    <t>66:41:0303081</t>
  </si>
  <si>
    <t>66:41:0303082</t>
  </si>
  <si>
    <t>66:41:0303083</t>
  </si>
  <si>
    <t>66:41:0303085</t>
  </si>
  <si>
    <t>66:41:0303096</t>
  </si>
  <si>
    <t>66:41:0304005</t>
  </si>
  <si>
    <t>66:41:0304006</t>
  </si>
  <si>
    <t>66:41:0304009</t>
  </si>
  <si>
    <t>66:41:0304011</t>
  </si>
  <si>
    <t>66:41:0304027</t>
  </si>
  <si>
    <t>66:41:0301017</t>
  </si>
  <si>
    <t>66:41:0303007</t>
  </si>
  <si>
    <t>66:41:0303022</t>
  </si>
  <si>
    <t>66:41:0303042</t>
  </si>
  <si>
    <t>66:41:0303043</t>
  </si>
  <si>
    <t>66:41:0303073</t>
  </si>
  <si>
    <t>66:41:0303074</t>
  </si>
  <si>
    <t>66:41:0304028</t>
  </si>
  <si>
    <t>66:41:0304004</t>
  </si>
  <si>
    <t>66:41:0304008</t>
  </si>
  <si>
    <t>66:41:0304010</t>
  </si>
  <si>
    <t>66:41:0304025</t>
  </si>
  <si>
    <t>66:41:0304029</t>
  </si>
  <si>
    <t>66:41:0303080</t>
  </si>
  <si>
    <t>66:41:0303035</t>
  </si>
  <si>
    <t>66:41:0303036</t>
  </si>
  <si>
    <t>66:41:0303037</t>
  </si>
  <si>
    <t>66:41:0303038</t>
  </si>
  <si>
    <t>66:41:0303039</t>
  </si>
  <si>
    <t>66:41:0303040</t>
  </si>
  <si>
    <t>66:41:0303066</t>
  </si>
  <si>
    <t>66:41:0303067</t>
  </si>
  <si>
    <t>66:41:0303068</t>
  </si>
  <si>
    <t>66:41:0303072</t>
  </si>
  <si>
    <t>66:41:0303077</t>
  </si>
  <si>
    <t>66:41:0303079</t>
  </si>
  <si>
    <t>66:41:0303094</t>
  </si>
  <si>
    <t>66:41:0303095</t>
  </si>
  <si>
    <t>66:41:0110014</t>
  </si>
  <si>
    <t>66:41:0111003</t>
  </si>
  <si>
    <t>66:41:0111004</t>
  </si>
  <si>
    <t>66:41:0702015</t>
  </si>
  <si>
    <t>66:41:0702016</t>
  </si>
  <si>
    <t>66:41:0703001</t>
  </si>
  <si>
    <t>66:41:0703002</t>
  </si>
  <si>
    <t>66:41:0702024</t>
  </si>
  <si>
    <t>66:41:0702023</t>
  </si>
  <si>
    <t>66:41:0702025</t>
  </si>
  <si>
    <t>66:41:0702039</t>
  </si>
  <si>
    <t>66:41:0702041</t>
  </si>
  <si>
    <t>66:41:0702042</t>
  </si>
  <si>
    <t>66:41:0702043</t>
  </si>
  <si>
    <t>66:41:0702044</t>
  </si>
  <si>
    <t>66:41:0703006</t>
  </si>
  <si>
    <t>66:41:0703007</t>
  </si>
  <si>
    <t>66:41:0703011</t>
  </si>
  <si>
    <t>66:41:0704010</t>
  </si>
  <si>
    <t>66:41:0704011</t>
  </si>
  <si>
    <t>66:41:0704012</t>
  </si>
  <si>
    <t>66:41:0107081</t>
  </si>
  <si>
    <t>66:41:0107106</t>
  </si>
  <si>
    <t>66:41:0110004</t>
  </si>
  <si>
    <t>66:41:0110005</t>
  </si>
  <si>
    <t>66:41:0110008</t>
  </si>
  <si>
    <t>66:41:0110901</t>
  </si>
  <si>
    <t>66:41:0702901</t>
  </si>
  <si>
    <t>66:41:0702047</t>
  </si>
  <si>
    <t>66:41:0702048</t>
  </si>
  <si>
    <t>66:41:0702049</t>
  </si>
  <si>
    <t>66:41:0702056</t>
  </si>
  <si>
    <t>66:41:0702057</t>
  </si>
  <si>
    <t>66:41:0707001</t>
  </si>
  <si>
    <t>66:41:0702001</t>
  </si>
  <si>
    <t>66:41:0702003</t>
  </si>
  <si>
    <t>66:41:0702004</t>
  </si>
  <si>
    <t>66:41:0702010</t>
  </si>
  <si>
    <t>66:41:0702022</t>
  </si>
  <si>
    <t>66:41:0702034</t>
  </si>
  <si>
    <t>66:41:0702035</t>
  </si>
  <si>
    <t>66:41:0702038</t>
  </si>
  <si>
    <t>66:41:0702058</t>
  </si>
  <si>
    <t>66:41:0702060</t>
  </si>
  <si>
    <t>66:41:0702061</t>
  </si>
  <si>
    <t>66:41:0702069</t>
  </si>
  <si>
    <t>66:41:0704009</t>
  </si>
  <si>
    <t>66:41:0108090</t>
  </si>
  <si>
    <t>66:41:0108059</t>
  </si>
  <si>
    <t>66:41:0108062</t>
  </si>
  <si>
    <t>66:41:0108070</t>
  </si>
  <si>
    <t>66:41:0108071</t>
  </si>
  <si>
    <t>66:41:0108072</t>
  </si>
  <si>
    <t>66:41:0108091</t>
  </si>
  <si>
    <t>66:41:0108092</t>
  </si>
  <si>
    <t>66:41:0108095</t>
  </si>
  <si>
    <t>66:41:0108105</t>
  </si>
  <si>
    <t>66:41:0108109</t>
  </si>
  <si>
    <t>66:41:0108060</t>
  </si>
  <si>
    <t>66:41:0108032</t>
  </si>
  <si>
    <t>66:41:0108004</t>
  </si>
  <si>
    <t>66:41:0108005</t>
  </si>
  <si>
    <t>66:41:0108010</t>
  </si>
  <si>
    <t>66:41:0108024</t>
  </si>
  <si>
    <t>66:41:0108026</t>
  </si>
  <si>
    <t>66:41:0108034</t>
  </si>
  <si>
    <t>66:41:0108035</t>
  </si>
  <si>
    <t>66:41:0108061</t>
  </si>
  <si>
    <t>66:41:0108073</t>
  </si>
  <si>
    <t>66:41:0107098</t>
  </si>
  <si>
    <t>66:41:0108002</t>
  </si>
  <si>
    <t>66:41:0108014</t>
  </si>
  <si>
    <t>66:41:0108029</t>
  </si>
  <si>
    <t>66:41:0109051</t>
  </si>
  <si>
    <t>66:41:0110003</t>
  </si>
  <si>
    <t>66:41:0108117</t>
  </si>
  <si>
    <t>66:41:0108084</t>
  </si>
  <si>
    <t>66:41:0108101</t>
  </si>
  <si>
    <t>66:41:0108102</t>
  </si>
  <si>
    <t>66:41:0108103</t>
  </si>
  <si>
    <t>66:41:0108104</t>
  </si>
  <si>
    <t>66:41:0108115</t>
  </si>
  <si>
    <t>66:41:0108118</t>
  </si>
  <si>
    <t>66:41:0108119</t>
  </si>
  <si>
    <t>66:41:0108901</t>
  </si>
  <si>
    <t>66:41:0108058</t>
  </si>
  <si>
    <t>66:41:0108047</t>
  </si>
  <si>
    <t>66:41:0108053</t>
  </si>
  <si>
    <t>66:41:0108054</t>
  </si>
  <si>
    <t>66:41:0108057</t>
  </si>
  <si>
    <t>66:41:0108068</t>
  </si>
  <si>
    <t>66:41:0108069</t>
  </si>
  <si>
    <t>66:41:0108077</t>
  </si>
  <si>
    <t>66:41:0108086</t>
  </si>
  <si>
    <t>66:41:0108089</t>
  </si>
  <si>
    <t>66:41:0110023</t>
  </si>
  <si>
    <t>66:41:0108007</t>
  </si>
  <si>
    <t>66:41:0108114</t>
  </si>
  <si>
    <t>66:41:0108122</t>
  </si>
  <si>
    <t>66:41:0108124</t>
  </si>
  <si>
    <t>66:41:0108126</t>
  </si>
  <si>
    <t>66:41:0110002</t>
  </si>
  <si>
    <t>66:41:0110015</t>
  </si>
  <si>
    <t>66:41:0110021</t>
  </si>
  <si>
    <t>66:41:0110022</t>
  </si>
  <si>
    <t>66:41:0110024</t>
  </si>
  <si>
    <t>66:41:0702009</t>
  </si>
  <si>
    <t>66:41:0108052</t>
  </si>
  <si>
    <t>66:41:0108011</t>
  </si>
  <si>
    <t>66:41:0108046</t>
  </si>
  <si>
    <t>66:41:0108048</t>
  </si>
  <si>
    <t>66:41:0108051</t>
  </si>
  <si>
    <t>66:41:0108055</t>
  </si>
  <si>
    <t>66:41:0108056</t>
  </si>
  <si>
    <t>66:41:0108066</t>
  </si>
  <si>
    <t>66:41:0108067</t>
  </si>
  <si>
    <t>66:41:0108076</t>
  </si>
  <si>
    <t>66:41:0108100</t>
  </si>
  <si>
    <t>66:41:0108065</t>
  </si>
  <si>
    <t>66:41:0108074</t>
  </si>
  <si>
    <t>66:41:0108075</t>
  </si>
  <si>
    <t>66:41:0108079</t>
  </si>
  <si>
    <t>66:41:0108081</t>
  </si>
  <si>
    <t>66:41:0108082</t>
  </si>
  <si>
    <t>66:41:0108083</t>
  </si>
  <si>
    <t>66:41:0108099</t>
  </si>
  <si>
    <t>66:41:0106075</t>
  </si>
  <si>
    <t>66:41:0106082</t>
  </si>
  <si>
    <t>66:41:0108009</t>
  </si>
  <si>
    <t>66:41:0108012</t>
  </si>
  <si>
    <t>66:41:0108027</t>
  </si>
  <si>
    <t>66:41:0106104</t>
  </si>
  <si>
    <t>66:41:0106105</t>
  </si>
  <si>
    <t>66:41:0106114</t>
  </si>
  <si>
    <t>66:41:0108096</t>
  </si>
  <si>
    <t>66:41:0108097</t>
  </si>
  <si>
    <t>66:41:0108098</t>
  </si>
  <si>
    <t>66:41:0108111</t>
  </si>
  <si>
    <t>66:41:0110012</t>
  </si>
  <si>
    <t>66:41:0106045</t>
  </si>
  <si>
    <t>66:41:0106035</t>
  </si>
  <si>
    <t>66:41:0106041</t>
  </si>
  <si>
    <t>66:41:0106096</t>
  </si>
  <si>
    <t>66:41:0108008</t>
  </si>
  <si>
    <t>66:41:0108038</t>
  </si>
  <si>
    <t>66:41:0108042</t>
  </si>
  <si>
    <t>66:41:0108043</t>
  </si>
  <si>
    <t>66:41:0108050</t>
  </si>
  <si>
    <t>66:41:0503002</t>
  </si>
  <si>
    <t>66:41:0502021</t>
  </si>
  <si>
    <t>66:41:0502023</t>
  </si>
  <si>
    <t>66:41:0502033</t>
  </si>
  <si>
    <t>66:41:0502034</t>
  </si>
  <si>
    <t>66:41:0502001</t>
  </si>
  <si>
    <t>66:41:0502016</t>
  </si>
  <si>
    <t>66:41:0502024</t>
  </si>
  <si>
    <t>66:41:0502028</t>
  </si>
  <si>
    <t>66:41:0502029</t>
  </si>
  <si>
    <t>66:41:0502031</t>
  </si>
  <si>
    <t>66:41:0502042</t>
  </si>
  <si>
    <t>66:41:0502043</t>
  </si>
  <si>
    <t>66:41:0502044</t>
  </si>
  <si>
    <t>66:41:0502045</t>
  </si>
  <si>
    <t>66:41:0502051</t>
  </si>
  <si>
    <t>66:41:0502054</t>
  </si>
  <si>
    <t>66:41:0502102</t>
  </si>
  <si>
    <t>66:41:0502902</t>
  </si>
  <si>
    <t>66:41:0522001</t>
  </si>
  <si>
    <t>66:41:0522002</t>
  </si>
  <si>
    <t>66:41:0522003</t>
  </si>
  <si>
    <t>66:41:0522004</t>
  </si>
  <si>
    <t>66:41:0507028</t>
  </si>
  <si>
    <t>66:41:0502110</t>
  </si>
  <si>
    <t>66:41:0502005</t>
  </si>
  <si>
    <t>66:41:0502053</t>
  </si>
  <si>
    <t>66:41:0502056</t>
  </si>
  <si>
    <t>66:41:0502103</t>
  </si>
  <si>
    <t>66:41:0502105</t>
  </si>
  <si>
    <t>66:41:0502111</t>
  </si>
  <si>
    <t>66:41:0502112</t>
  </si>
  <si>
    <t>66:41:0502113</t>
  </si>
  <si>
    <t>66:41:0502114</t>
  </si>
  <si>
    <t>66:41:0502115</t>
  </si>
  <si>
    <t>66:41:0502507</t>
  </si>
  <si>
    <t>66:41:0502508</t>
  </si>
  <si>
    <t>66:41:0507002</t>
  </si>
  <si>
    <t>66:41:0502003</t>
  </si>
  <si>
    <t>66:41:0502006</t>
  </si>
  <si>
    <t>66:41:0502010</t>
  </si>
  <si>
    <t>66:41:0502060</t>
  </si>
  <si>
    <t>66:41:0502066</t>
  </si>
  <si>
    <t>66:41:0502087</t>
  </si>
  <si>
    <t>66:41:0503001</t>
  </si>
  <si>
    <t>66:41:0503029</t>
  </si>
  <si>
    <t>66:41:0601055</t>
  </si>
  <si>
    <t>66:41:0601057</t>
  </si>
  <si>
    <t>66:41:0604028</t>
  </si>
  <si>
    <t>66:41:0604030</t>
  </si>
  <si>
    <t>66:41:0605005</t>
  </si>
  <si>
    <t>66:41:0605006</t>
  </si>
  <si>
    <t>66:41:0502097</t>
  </si>
  <si>
    <t>66:41:0502017</t>
  </si>
  <si>
    <t>66:41:0502067</t>
  </si>
  <si>
    <t>66:41:0502068</t>
  </si>
  <si>
    <t>66:41:0502070</t>
  </si>
  <si>
    <t>66:41:0502071</t>
  </si>
  <si>
    <t>66:41:0502091</t>
  </si>
  <si>
    <t>66:41:0502092</t>
  </si>
  <si>
    <t>66:41:0502093</t>
  </si>
  <si>
    <t>66:41:0502094</t>
  </si>
  <si>
    <t>66:41:0502096</t>
  </si>
  <si>
    <t>66:41:0502104</t>
  </si>
  <si>
    <t>66:41:0505012</t>
  </si>
  <si>
    <t>66:41:0502002</t>
  </si>
  <si>
    <t>66:41:0502086</t>
  </si>
  <si>
    <t>66:41:0502088</t>
  </si>
  <si>
    <t>66:41:0502124</t>
  </si>
  <si>
    <t>66:41:0502126</t>
  </si>
  <si>
    <t>66:41:0502901</t>
  </si>
  <si>
    <t>66:41:0505011</t>
  </si>
  <si>
    <t>66:41:0505042</t>
  </si>
  <si>
    <t>66:41:0507001</t>
  </si>
  <si>
    <t>66:41:0502083</t>
  </si>
  <si>
    <t>66:41:0502069</t>
  </si>
  <si>
    <t>66:41:0502076</t>
  </si>
  <si>
    <t>66:41:0502077</t>
  </si>
  <si>
    <t>66:41:0502078</t>
  </si>
  <si>
    <t>66:41:0502079</t>
  </si>
  <si>
    <t>66:41:0502080</t>
  </si>
  <si>
    <t>66:41:0502084</t>
  </si>
  <si>
    <t>66:41:0502085</t>
  </si>
  <si>
    <t>66:41:0502100</t>
  </si>
  <si>
    <t>66:41:0506029</t>
  </si>
  <si>
    <t>66:41:0501065</t>
  </si>
  <si>
    <t>66:41:0001001</t>
  </si>
  <si>
    <t>66:41:0501004</t>
  </si>
  <si>
    <t>66:41:0501066</t>
  </si>
  <si>
    <t>66:41:0501072</t>
  </si>
  <si>
    <t>66:41:0502061</t>
  </si>
  <si>
    <t>66:41:0502062</t>
  </si>
  <si>
    <t>66:41:0502064</t>
  </si>
  <si>
    <t>66:41:0502073</t>
  </si>
  <si>
    <t>66:41:0502074</t>
  </si>
  <si>
    <t>66:41:0604031</t>
  </si>
  <si>
    <t>66:41:0604009</t>
  </si>
  <si>
    <t>66:41:0604001</t>
  </si>
  <si>
    <t>66:41:0604003</t>
  </si>
  <si>
    <t>66:41:0604004</t>
  </si>
  <si>
    <t>66:41:0604005</t>
  </si>
  <si>
    <t>66:41:0604006</t>
  </si>
  <si>
    <t>66:41:0604007</t>
  </si>
  <si>
    <t>66:41:0604008</t>
  </si>
  <si>
    <t>66:41:0604010</t>
  </si>
  <si>
    <t>66:41:0604016</t>
  </si>
  <si>
    <t>66:41:0604017</t>
  </si>
  <si>
    <t>66:41:0604018</t>
  </si>
  <si>
    <t>66:41:0604019</t>
  </si>
  <si>
    <t>66:41:0604020</t>
  </si>
  <si>
    <t>66:41:0604021</t>
  </si>
  <si>
    <t>66:41:0604022</t>
  </si>
  <si>
    <t>66:41:0604023</t>
  </si>
  <si>
    <t>66:41:0604026</t>
  </si>
  <si>
    <t>66:41:0604029</t>
  </si>
  <si>
    <t>66:41:0604901</t>
  </si>
  <si>
    <t>66:41:0501055</t>
  </si>
  <si>
    <t>66:41:0501007</t>
  </si>
  <si>
    <t>66:41:0501008</t>
  </si>
  <si>
    <t>66:41:0501010</t>
  </si>
  <si>
    <t>66:41:0501031</t>
  </si>
  <si>
    <t>66:41:0501032</t>
  </si>
  <si>
    <t>66:41:0501033</t>
  </si>
  <si>
    <t>66:41:0501035</t>
  </si>
  <si>
    <t>66:41:0501054</t>
  </si>
  <si>
    <t>66:41:0501056</t>
  </si>
  <si>
    <t>66:41:0501057</t>
  </si>
  <si>
    <t>66:41:0501062</t>
  </si>
  <si>
    <t>66:41:0505004</t>
  </si>
  <si>
    <t>66:41:0504010</t>
  </si>
  <si>
    <t>66:41:0504012</t>
  </si>
  <si>
    <t>66:41:0504023</t>
  </si>
  <si>
    <t>66:41:0504024</t>
  </si>
  <si>
    <t>66:41:0504025</t>
  </si>
  <si>
    <t>66:41:0504036</t>
  </si>
  <si>
    <t>66:41:0504037</t>
  </si>
  <si>
    <t>66:41:0505009</t>
  </si>
  <si>
    <t>66:41:0505010</t>
  </si>
  <si>
    <t>66:41:0505040</t>
  </si>
  <si>
    <t>66:41:0505901</t>
  </si>
  <si>
    <t>66:41:0504005</t>
  </si>
  <si>
    <t>66:41:0504002</t>
  </si>
  <si>
    <t>66:41:0504003</t>
  </si>
  <si>
    <t>66:41:0504006</t>
  </si>
  <si>
    <t>66:41:0504007</t>
  </si>
  <si>
    <t>66:41:0504011</t>
  </si>
  <si>
    <t>66:41:0505002</t>
  </si>
  <si>
    <t>66:41:0505003</t>
  </si>
  <si>
    <t>66:41:0505005</t>
  </si>
  <si>
    <t>66:41:0501005</t>
  </si>
  <si>
    <t>66:41:0402025</t>
  </si>
  <si>
    <t>66:41:0501003</t>
  </si>
  <si>
    <t>66:41:0501013</t>
  </si>
  <si>
    <t>66:41:0501024</t>
  </si>
  <si>
    <t>66:41:0501025</t>
  </si>
  <si>
    <t>66:41:0501026</t>
  </si>
  <si>
    <t>66:41:0501042</t>
  </si>
  <si>
    <t>66:41:0501045</t>
  </si>
  <si>
    <t>66:41:0501046</t>
  </si>
  <si>
    <t>66:41:0501049</t>
  </si>
  <si>
    <t>66:41:0404005</t>
  </si>
  <si>
    <t>66:41:0501001</t>
  </si>
  <si>
    <t>66:41:0501058</t>
  </si>
  <si>
    <t>66:41:0501060</t>
  </si>
  <si>
    <t>66:41:0501061</t>
  </si>
  <si>
    <t>66:41:0501063</t>
  </si>
  <si>
    <t>66:41:0501064</t>
  </si>
  <si>
    <t>66:41:0501070</t>
  </si>
  <si>
    <t>66:41:0501073</t>
  </si>
  <si>
    <t>66:41:0501075</t>
  </si>
  <si>
    <t>66:41:0505001</t>
  </si>
  <si>
    <t>66:41:0501044</t>
  </si>
  <si>
    <t>66:41:0402044</t>
  </si>
  <si>
    <t>66:41:0402035</t>
  </si>
  <si>
    <t>66:41:0402037</t>
  </si>
  <si>
    <t>66:41:0402038</t>
  </si>
  <si>
    <t>66:41:0402039</t>
  </si>
  <si>
    <t>66:41:0402040</t>
  </si>
  <si>
    <t>66:41:0402041</t>
  </si>
  <si>
    <t>66:41:0402042</t>
  </si>
  <si>
    <t>66:41:0402043</t>
  </si>
  <si>
    <t>66:41:0501021</t>
  </si>
  <si>
    <t>66:41:0501022</t>
  </si>
  <si>
    <t>66:41:0501043</t>
  </si>
  <si>
    <t>66:41:0501047</t>
  </si>
  <si>
    <t>66:41:0501048</t>
  </si>
  <si>
    <t>66:41:0501059</t>
  </si>
  <si>
    <t>66:41:0501901</t>
  </si>
  <si>
    <t>66:41:0504056</t>
  </si>
  <si>
    <t>66:41:0504033</t>
  </si>
  <si>
    <t>66:41:0504031</t>
  </si>
  <si>
    <t>66:41:0504047</t>
  </si>
  <si>
    <t>66:41:0504048</t>
  </si>
  <si>
    <t>66:41:0504049</t>
  </si>
  <si>
    <t>66:41:0504050</t>
  </si>
  <si>
    <t>66:41:0504054</t>
  </si>
  <si>
    <t>66:41:0504055</t>
  </si>
  <si>
    <t>66:41:0504058</t>
  </si>
  <si>
    <t>66:41:0402010</t>
  </si>
  <si>
    <t>66:41:0402020</t>
  </si>
  <si>
    <t>66:41:0402024</t>
  </si>
  <si>
    <t>66:41:0402032</t>
  </si>
  <si>
    <t>66:41:0402033</t>
  </si>
  <si>
    <t>66:41:0501002</t>
  </si>
  <si>
    <t>66:41:0501009</t>
  </si>
  <si>
    <t>66:41:0504008</t>
  </si>
  <si>
    <t>66:41:0504009</t>
  </si>
  <si>
    <t>66:41:0504022</t>
  </si>
  <si>
    <t>66:41:0504027</t>
  </si>
  <si>
    <t>66:41:0504028</t>
  </si>
  <si>
    <t>66:41:0504901</t>
  </si>
  <si>
    <t>66:41:0504030</t>
  </si>
  <si>
    <t>66:41:0504043</t>
  </si>
  <si>
    <t>66:41:0504044</t>
  </si>
  <si>
    <t>66:41:0504045</t>
  </si>
  <si>
    <t>66:41:0504046</t>
  </si>
  <si>
    <t>66:41:0504062</t>
  </si>
  <si>
    <t>66:41:0507050</t>
  </si>
  <si>
    <t>66:25:0304006</t>
  </si>
  <si>
    <t>66:25:0306004</t>
  </si>
  <si>
    <t>66:41:0508041</t>
  </si>
  <si>
    <t>66:41:0508042</t>
  </si>
  <si>
    <t>66:41:0508044</t>
  </si>
  <si>
    <t>66:41:0508054</t>
  </si>
  <si>
    <t>66:41:0508055</t>
  </si>
  <si>
    <t>66:41:0508008</t>
  </si>
  <si>
    <t>66:41:0508007</t>
  </si>
  <si>
    <t>66:41:0508016</t>
  </si>
  <si>
    <t>66:41:0508020</t>
  </si>
  <si>
    <t>66:41:0508029</t>
  </si>
  <si>
    <t>66:41:0508031</t>
  </si>
  <si>
    <t>66:41:0508036</t>
  </si>
  <si>
    <t>66:41:0508075</t>
  </si>
  <si>
    <t>66:41:0508009</t>
  </si>
  <si>
    <t>66:41:0508015</t>
  </si>
  <si>
    <t>66:41:0508017</t>
  </si>
  <si>
    <t>66:41:0508018</t>
  </si>
  <si>
    <t>66:41:0508024</t>
  </si>
  <si>
    <t>66:41:0508027</t>
  </si>
  <si>
    <t>66:41:0508032</t>
  </si>
  <si>
    <t>66:41:0508033</t>
  </si>
  <si>
    <t>66:41:0508045</t>
  </si>
  <si>
    <t>66:41:0508046</t>
  </si>
  <si>
    <t>66:41:0507005</t>
  </si>
  <si>
    <t>66:41:0507007</t>
  </si>
  <si>
    <t>66:41:0508001</t>
  </si>
  <si>
    <t>66:41:0508004</t>
  </si>
  <si>
    <t>66:41:0508094</t>
  </si>
  <si>
    <t>66:41:0529001</t>
  </si>
  <si>
    <t>66:41:0529002</t>
  </si>
  <si>
    <t>66:41:0529003</t>
  </si>
  <si>
    <t>66:41:0529004</t>
  </si>
  <si>
    <t>66:41:0529005</t>
  </si>
  <si>
    <t>66:41:0529008</t>
  </si>
  <si>
    <t>66:41:0529009</t>
  </si>
  <si>
    <t>66:41:0529901</t>
  </si>
  <si>
    <t>66:41:0514021</t>
  </si>
  <si>
    <t>66:41:0514006</t>
  </si>
  <si>
    <t>66:41:0514010</t>
  </si>
  <si>
    <t>66:41:0514013</t>
  </si>
  <si>
    <t>66:41:0514014</t>
  </si>
  <si>
    <t>66:41:0514017</t>
  </si>
  <si>
    <t>66:41:0514018</t>
  </si>
  <si>
    <t>66:41:0514019</t>
  </si>
  <si>
    <t>66:41:0514020</t>
  </si>
  <si>
    <t>66:41:0514025</t>
  </si>
  <si>
    <t>66:41:0514027</t>
  </si>
  <si>
    <t>66:41:0514028</t>
  </si>
  <si>
    <t>66:41:0514037</t>
  </si>
  <si>
    <t>66:41:0514053</t>
  </si>
  <si>
    <t>66:41:0514001</t>
  </si>
  <si>
    <t>66:41:0507029</t>
  </si>
  <si>
    <t>66:41:0507045</t>
  </si>
  <si>
    <t>66:41:0507053</t>
  </si>
  <si>
    <t>66:41:0507119</t>
  </si>
  <si>
    <t>66:41:0514002</t>
  </si>
  <si>
    <t>66:41:0504040</t>
  </si>
  <si>
    <t>66:41:0504034</t>
  </si>
  <si>
    <t>66:41:0504035</t>
  </si>
  <si>
    <t>66:41:0504039</t>
  </si>
  <si>
    <t>66:41:0504041</t>
  </si>
  <si>
    <t>66:41:0504051</t>
  </si>
  <si>
    <t>66:41:0504052</t>
  </si>
  <si>
    <t>66:41:0504074</t>
  </si>
  <si>
    <t>66:41:0504075</t>
  </si>
  <si>
    <t>66:41:0504084</t>
  </si>
  <si>
    <t>66:41:0504085</t>
  </si>
  <si>
    <t>66:41:0504086</t>
  </si>
  <si>
    <t>66:41:0505018</t>
  </si>
  <si>
    <t>66:41:0505019</t>
  </si>
  <si>
    <t>66:41:0504068</t>
  </si>
  <si>
    <t>66:41:0504069</t>
  </si>
  <si>
    <t>66:41:0504070</t>
  </si>
  <si>
    <t>66:41:0504081</t>
  </si>
  <si>
    <t>66:41:0504082</t>
  </si>
  <si>
    <t>66:41:0504090</t>
  </si>
  <si>
    <t>66:41:0504091</t>
  </si>
  <si>
    <t>66:41:0504092</t>
  </si>
  <si>
    <t>66:41:0504094</t>
  </si>
  <si>
    <t>66:41:0504095</t>
  </si>
  <si>
    <t>66:41:0514007</t>
  </si>
  <si>
    <t>66:41:0514008</t>
  </si>
  <si>
    <t>66:41:0514009</t>
  </si>
  <si>
    <t>66:41:0514024</t>
  </si>
  <si>
    <t>66:41:0514051</t>
  </si>
  <si>
    <t>66:41:0514054</t>
  </si>
  <si>
    <t>66:41:0504096</t>
  </si>
  <si>
    <t>66:41:0504063</t>
  </si>
  <si>
    <t>66:41:0504061</t>
  </si>
  <si>
    <t>66:41:0504064</t>
  </si>
  <si>
    <t>66:41:0504065</t>
  </si>
  <si>
    <t>66:41:0504066</t>
  </si>
  <si>
    <t>66:41:0504067</t>
  </si>
  <si>
    <t>66:41:0504076</t>
  </si>
  <si>
    <t>66:41:0504077</t>
  </si>
  <si>
    <t>66:41:0504079</t>
  </si>
  <si>
    <t>66:41:0504080</t>
  </si>
  <si>
    <t>66:41:0504087</t>
  </si>
  <si>
    <t>66:41:0504097</t>
  </si>
  <si>
    <t>66:41:0504098</t>
  </si>
  <si>
    <t>66:41:0504099</t>
  </si>
  <si>
    <t>66:41:0518017</t>
  </si>
  <si>
    <t>66:41:0518012</t>
  </si>
  <si>
    <t>66:41:0518006</t>
  </si>
  <si>
    <t>66:41:0518007</t>
  </si>
  <si>
    <t>66:41:0518010</t>
  </si>
  <si>
    <t>66:41:0518011</t>
  </si>
  <si>
    <t>66:41:0518013</t>
  </si>
  <si>
    <t>66:41:0518014</t>
  </si>
  <si>
    <t>66:41:0513132</t>
  </si>
  <si>
    <t>66:41:0513049</t>
  </si>
  <si>
    <t>66:41:0511028</t>
  </si>
  <si>
    <t>66:41:0511030</t>
  </si>
  <si>
    <t>66:41:0518002</t>
  </si>
  <si>
    <t>66:41:0518004</t>
  </si>
  <si>
    <t>66:41:0518008</t>
  </si>
  <si>
    <t>66:41:0518009</t>
  </si>
  <si>
    <t>66:41:0518015</t>
  </si>
  <si>
    <t>66:41:0518016</t>
  </si>
  <si>
    <t>66:41:0518019</t>
  </si>
  <si>
    <t>66:41:0518020</t>
  </si>
  <si>
    <t>66:41:0518023</t>
  </si>
  <si>
    <t>66:41:0518025</t>
  </si>
  <si>
    <t>66:41:0518027</t>
  </si>
  <si>
    <t>66:41:0518028</t>
  </si>
  <si>
    <t>66:41:0518034</t>
  </si>
  <si>
    <t>66:41:0518510</t>
  </si>
  <si>
    <t>66:41:0513042</t>
  </si>
  <si>
    <t>66:41:0704015</t>
  </si>
  <si>
    <t>66:41:0702066</t>
  </si>
  <si>
    <t>66:41:0702073</t>
  </si>
  <si>
    <t>66:41:0702074</t>
  </si>
  <si>
    <t>66:41:0702077</t>
  </si>
  <si>
    <t>66:41:0702078</t>
  </si>
  <si>
    <t>66:41:0702079</t>
  </si>
  <si>
    <t>66:41:0704002</t>
  </si>
  <si>
    <t>66:41:0704008</t>
  </si>
  <si>
    <t>66:41:0704013</t>
  </si>
  <si>
    <t>66:41:0704014</t>
  </si>
  <si>
    <t>66:41:0704016</t>
  </si>
  <si>
    <t>66:41:0704017</t>
  </si>
  <si>
    <t>66:41:0704018</t>
  </si>
  <si>
    <t>66:41:0704022</t>
  </si>
  <si>
    <t>66:41:0704024</t>
  </si>
  <si>
    <t>66:41:0704901</t>
  </si>
  <si>
    <t>66:41:0702071</t>
  </si>
  <si>
    <t>66:41:0701008</t>
  </si>
  <si>
    <t>66:41:0702062</t>
  </si>
  <si>
    <t>66:41:0702063</t>
  </si>
  <si>
    <t>66:41:0702064</t>
  </si>
  <si>
    <t>66:41:0702065</t>
  </si>
  <si>
    <t>66:41:0702072</t>
  </si>
  <si>
    <t>66:41:0702076</t>
  </si>
  <si>
    <t>66:41:0110016</t>
  </si>
  <si>
    <t>66:41:0110025</t>
  </si>
  <si>
    <t>66:41:0205011</t>
  </si>
  <si>
    <t>66:41:0205018</t>
  </si>
  <si>
    <t>66:41:0205019</t>
  </si>
  <si>
    <t>66:41:0206011</t>
  </si>
  <si>
    <t>66:41:0206013</t>
  </si>
  <si>
    <t>66:41:0702008</t>
  </si>
  <si>
    <t>66:41:0702017</t>
  </si>
  <si>
    <t>66:41:0702030</t>
  </si>
  <si>
    <t>66:41:0702031</t>
  </si>
  <si>
    <t>66:41:0702032</t>
  </si>
  <si>
    <t>66:41:0702033</t>
  </si>
  <si>
    <t>66:41:0702050</t>
  </si>
  <si>
    <t>66:41:0702052</t>
  </si>
  <si>
    <t>66:41:0702053</t>
  </si>
  <si>
    <t>66:41:0702054</t>
  </si>
  <si>
    <t>66:41:0702055</t>
  </si>
  <si>
    <t>66:41:0206010</t>
  </si>
  <si>
    <t>66:41:0206005</t>
  </si>
  <si>
    <t>66:41:0206006</t>
  </si>
  <si>
    <t>66:41:0206008</t>
  </si>
  <si>
    <t>66:41:0206009</t>
  </si>
  <si>
    <t>66:41:0206012</t>
  </si>
  <si>
    <t>66:41:0206014</t>
  </si>
  <si>
    <t>66:41:0206032</t>
  </si>
  <si>
    <t>66:41:0701004</t>
  </si>
  <si>
    <t>66:41:0701005</t>
  </si>
  <si>
    <t>66:41:0701006</t>
  </si>
  <si>
    <t>66:41:0701007</t>
  </si>
  <si>
    <t>66:41:0702051</t>
  </si>
  <si>
    <t>66:41:0206016</t>
  </si>
  <si>
    <t>66:41:0206018</t>
  </si>
  <si>
    <t>66:41:0206020</t>
  </si>
  <si>
    <t>66:41:0206021</t>
  </si>
  <si>
    <t>66:41:0206022</t>
  </si>
  <si>
    <t>66:41:0206023</t>
  </si>
  <si>
    <t>66:41:0206025</t>
  </si>
  <si>
    <t>66:41:0301006</t>
  </si>
  <si>
    <t>66:41:0301007</t>
  </si>
  <si>
    <t>66:41:0301008</t>
  </si>
  <si>
    <t>66:41:0301015</t>
  </si>
  <si>
    <t>66:41:0205007</t>
  </si>
  <si>
    <t>66:41:0205006</t>
  </si>
  <si>
    <t>66:41:0205008</t>
  </si>
  <si>
    <t>66:41:0205009</t>
  </si>
  <si>
    <t>66:41:0205010</t>
  </si>
  <si>
    <t>66:41:0205015</t>
  </si>
  <si>
    <t>66:41:0206026</t>
  </si>
  <si>
    <t>66:41:0206001</t>
  </si>
  <si>
    <t>66:41:0206003</t>
  </si>
  <si>
    <t>66:41:0206004</t>
  </si>
  <si>
    <t>66:41:0206007</t>
  </si>
  <si>
    <t>66:41:0206015</t>
  </si>
  <si>
    <t>66:41:0206017</t>
  </si>
  <si>
    <t>66:41:0206029</t>
  </si>
  <si>
    <t>66:41:0206030</t>
  </si>
  <si>
    <t>66:41:0206031</t>
  </si>
  <si>
    <t>66:41:0206901</t>
  </si>
  <si>
    <t>66:41:0301002</t>
  </si>
  <si>
    <t>66:41:0301001</t>
  </si>
  <si>
    <t>66:41:0301004</t>
  </si>
  <si>
    <t>66:41:0301005</t>
  </si>
  <si>
    <t>66:41:0301009</t>
  </si>
  <si>
    <t>66:41:0301010</t>
  </si>
  <si>
    <t>66:41:0301016</t>
  </si>
  <si>
    <t>66:41:0303004</t>
  </si>
  <si>
    <t>66:41:0303009</t>
  </si>
  <si>
    <t>66:41:0302033</t>
  </si>
  <si>
    <t>66:41:0206002</t>
  </si>
  <si>
    <t>66:41:0205002</t>
  </si>
  <si>
    <t>66:41:0205003</t>
  </si>
  <si>
    <t>66:41:0205004</t>
  </si>
  <si>
    <t>66:41:0205005</t>
  </si>
  <si>
    <t>66:41:0205013</t>
  </si>
  <si>
    <t>66:41:0205014</t>
  </si>
  <si>
    <t>66:41:0205016</t>
  </si>
  <si>
    <t>66:41:0205017</t>
  </si>
  <si>
    <t>66:41:0205020</t>
  </si>
  <si>
    <t>66:41:0205021</t>
  </si>
  <si>
    <t>66:41:0205022</t>
  </si>
  <si>
    <t>66:41:0205901</t>
  </si>
  <si>
    <t>66:41:0206019</t>
  </si>
  <si>
    <t>66:41:0206024</t>
  </si>
  <si>
    <t>66:41:0206027</t>
  </si>
  <si>
    <t>66:41:0206028</t>
  </si>
  <si>
    <t>66:41:0302034</t>
  </si>
  <si>
    <t>66:41:0302048</t>
  </si>
  <si>
    <t>66:41:0302002</t>
  </si>
  <si>
    <t>66:41:0302040</t>
  </si>
  <si>
    <t>66:41:0302041</t>
  </si>
  <si>
    <t>66:41:0302042</t>
  </si>
  <si>
    <t>66:41:0302044</t>
  </si>
  <si>
    <t>66:41:0302045</t>
  </si>
  <si>
    <t>66:41:0302046</t>
  </si>
  <si>
    <t>66:41:0303001</t>
  </si>
  <si>
    <t>66:41:0303002</t>
  </si>
  <si>
    <t>66:41:0303003</t>
  </si>
  <si>
    <t>66:41:0303005</t>
  </si>
  <si>
    <t>66:41:0303006</t>
  </si>
  <si>
    <t>66:41:0204036</t>
  </si>
  <si>
    <t>66:41:0204037</t>
  </si>
  <si>
    <t>66:41:0204038</t>
  </si>
  <si>
    <t>66:41:0204039</t>
  </si>
  <si>
    <t>66:41:0204040</t>
  </si>
  <si>
    <t>66:41:0204049</t>
  </si>
  <si>
    <t>66:41:0204051</t>
  </si>
  <si>
    <t>66:41:0204061</t>
  </si>
  <si>
    <t>66:41:0204062</t>
  </si>
  <si>
    <t>66:41:0205012</t>
  </si>
  <si>
    <t>66:41:0303017</t>
  </si>
  <si>
    <t>66:41:0302027</t>
  </si>
  <si>
    <t>66:41:0302030</t>
  </si>
  <si>
    <t>66:41:0302035</t>
  </si>
  <si>
    <t>66:41:0302036</t>
  </si>
  <si>
    <t>66:41:0303016</t>
  </si>
  <si>
    <t>66:41:0303018</t>
  </si>
  <si>
    <t>66:41:0302023</t>
  </si>
  <si>
    <t>66:41:0204048</t>
  </si>
  <si>
    <t>66:41:0204017</t>
  </si>
  <si>
    <t>66:41:0204047</t>
  </si>
  <si>
    <t>66:41:0204050</t>
  </si>
  <si>
    <t>66:41:0302014</t>
  </si>
  <si>
    <t>66:41:0302015</t>
  </si>
  <si>
    <t>66:41:0302016</t>
  </si>
  <si>
    <t>66:41:0302019</t>
  </si>
  <si>
    <t>66:41:0302024</t>
  </si>
  <si>
    <t>66:41:0302031</t>
  </si>
  <si>
    <t>66:41:0302032</t>
  </si>
  <si>
    <t>66:41:0302901</t>
  </si>
  <si>
    <t>66:41:0302902</t>
  </si>
  <si>
    <t>66:41:0109036</t>
  </si>
  <si>
    <t>66:41:0109037</t>
  </si>
  <si>
    <t>66:41:0109038</t>
  </si>
  <si>
    <t>66:41:0109053</t>
  </si>
  <si>
    <t>66:41:0109054</t>
  </si>
  <si>
    <t>66:41:0109055</t>
  </si>
  <si>
    <t>66:41:0109056</t>
  </si>
  <si>
    <t>66:41:0109057</t>
  </si>
  <si>
    <t>66:36:0111022</t>
  </si>
  <si>
    <t>66:36:0111011</t>
  </si>
  <si>
    <t>66:36:0111012</t>
  </si>
  <si>
    <t>66:36:0111015</t>
  </si>
  <si>
    <t>66:36:0111016</t>
  </si>
  <si>
    <t>66:36:0111021</t>
  </si>
  <si>
    <t>66:36:0111024</t>
  </si>
  <si>
    <t>66:36:0111025</t>
  </si>
  <si>
    <t>66:36:0111028</t>
  </si>
  <si>
    <t>66:36:0112001</t>
  </si>
  <si>
    <t>66:36:0112002</t>
  </si>
  <si>
    <t>66:36:0112003</t>
  </si>
  <si>
    <t>66:36:0112004</t>
  </si>
  <si>
    <t>66:36:0112005</t>
  </si>
  <si>
    <t>66:36:0112006</t>
  </si>
  <si>
    <t>66:36:0112008</t>
  </si>
  <si>
    <t>66:36:0112011</t>
  </si>
  <si>
    <t>66:36:0112014</t>
  </si>
  <si>
    <t>66:36:0111046</t>
  </si>
  <si>
    <t>66:36:0111048</t>
  </si>
  <si>
    <t>66:36:0111057</t>
  </si>
  <si>
    <t>66:36:0111058</t>
  </si>
  <si>
    <t>66:36:0111059</t>
  </si>
  <si>
    <t>66:36:0111060</t>
  </si>
  <si>
    <t>66:36:0111061</t>
  </si>
  <si>
    <t>66:36:0112012</t>
  </si>
  <si>
    <t>66:36:0112013</t>
  </si>
  <si>
    <t>66:36:0111029</t>
  </si>
  <si>
    <t>66:36:0111031</t>
  </si>
  <si>
    <t>66:36:0111032</t>
  </si>
  <si>
    <t>66:36:0111033</t>
  </si>
  <si>
    <t>66:36:0111034</t>
  </si>
  <si>
    <t>66:36:0111035</t>
  </si>
  <si>
    <t>66:36:0111041</t>
  </si>
  <si>
    <t>66:36:0111042</t>
  </si>
  <si>
    <t>66:36:0111043</t>
  </si>
  <si>
    <t>66:36:0111044</t>
  </si>
  <si>
    <t>66:36:0111045</t>
  </si>
  <si>
    <t>66:36:0111047</t>
  </si>
  <si>
    <t>66:36:0111084</t>
  </si>
  <si>
    <t>66:36:0111054</t>
  </si>
  <si>
    <t>66:36:0111055</t>
  </si>
  <si>
    <t>66:36:0111074</t>
  </si>
  <si>
    <t>66:36:0111076</t>
  </si>
  <si>
    <t>66:36:0111077</t>
  </si>
  <si>
    <t>66:36:0111078</t>
  </si>
  <si>
    <t>66:36:0111079</t>
  </si>
  <si>
    <t>66:36:0111080</t>
  </si>
  <si>
    <t>66:36:0111081</t>
  </si>
  <si>
    <t>66:36:0111083</t>
  </si>
  <si>
    <t>66:36:0111085</t>
  </si>
  <si>
    <t>66:36:0111086</t>
  </si>
  <si>
    <t>66:36:0111087</t>
  </si>
  <si>
    <t>66:36:0111088</t>
  </si>
  <si>
    <t>66:36:0111089</t>
  </si>
  <si>
    <t>66:36:0111052</t>
  </si>
  <si>
    <t>66:36:0111026</t>
  </si>
  <si>
    <t>66:36:0111027</t>
  </si>
  <si>
    <t>66:36:0111030</t>
  </si>
  <si>
    <t>66:36:0111038</t>
  </si>
  <si>
    <t>66:36:0111039</t>
  </si>
  <si>
    <t>66:36:0111040</t>
  </si>
  <si>
    <t>66:36:0111051</t>
  </si>
  <si>
    <t>66:36:0111053</t>
  </si>
  <si>
    <t>66:36:0111056</t>
  </si>
  <si>
    <t>66:36:0111008</t>
  </si>
  <si>
    <t>66:36:0111009</t>
  </si>
  <si>
    <t>66:36:0111010</t>
  </si>
  <si>
    <t>66:36:0111013</t>
  </si>
  <si>
    <t>66:36:0111014</t>
  </si>
  <si>
    <t>66:36:0111018</t>
  </si>
  <si>
    <t>66:36:0111019</t>
  </si>
  <si>
    <t>66:36:0111020</t>
  </si>
  <si>
    <t>66:36:0111023</t>
  </si>
  <si>
    <t>66:36:0109002</t>
  </si>
  <si>
    <t>66:36:0109007</t>
  </si>
  <si>
    <t>66:36:0111002</t>
  </si>
  <si>
    <t>66:36:0111004</t>
  </si>
  <si>
    <t>66:36:0111005</t>
  </si>
  <si>
    <t>66:36:0111006</t>
  </si>
  <si>
    <t>66:36:0111067</t>
  </si>
  <si>
    <t>66:36:0111036</t>
  </si>
  <si>
    <t>66:36:0111037</t>
  </si>
  <si>
    <t>66:36:0111049</t>
  </si>
  <si>
    <t>66:36:0111050</t>
  </si>
  <si>
    <t>66:36:0111062</t>
  </si>
  <si>
    <t>66:36:0111064</t>
  </si>
  <si>
    <t>66:36:0111065</t>
  </si>
  <si>
    <t>66:36:0111066</t>
  </si>
  <si>
    <t>66:36:0111068</t>
  </si>
  <si>
    <t>66:36:0111069</t>
  </si>
  <si>
    <t>66:36:0111070</t>
  </si>
  <si>
    <t>66:36:0111071</t>
  </si>
  <si>
    <t>66:36:0111072</t>
  </si>
  <si>
    <t>66:36:0111073</t>
  </si>
  <si>
    <t>66:36:0111075</t>
  </si>
  <si>
    <t>66:41:0109014</t>
  </si>
  <si>
    <t>66:41:0109008</t>
  </si>
  <si>
    <t>66:41:0109009</t>
  </si>
  <si>
    <t>66:41:0109011</t>
  </si>
  <si>
    <t>66:41:0109015</t>
  </si>
  <si>
    <t>66:41:0109016</t>
  </si>
  <si>
    <t>66:41:0109018</t>
  </si>
  <si>
    <t>66:41:0109019</t>
  </si>
  <si>
    <t>66:41:0109020</t>
  </si>
  <si>
    <t>66:41:0109021</t>
  </si>
  <si>
    <t>66:41:0109022</t>
  </si>
  <si>
    <t>66:41:0109023</t>
  </si>
  <si>
    <t>66:36:0109008</t>
  </si>
  <si>
    <t>66:36:0109006</t>
  </si>
  <si>
    <t>66:36:0102073</t>
  </si>
  <si>
    <t>66:36:0102077</t>
  </si>
  <si>
    <t>66:36:0102078</t>
  </si>
  <si>
    <t>66:36:0102081</t>
  </si>
  <si>
    <t>66:36:0109001</t>
  </si>
  <si>
    <t>66:36:0109003</t>
  </si>
  <si>
    <t>66:36:0109004</t>
  </si>
  <si>
    <t>66:36:0109005</t>
  </si>
  <si>
    <t>66:36:0109009</t>
  </si>
  <si>
    <t>66:36:0109010</t>
  </si>
  <si>
    <t>66:36:0111003</t>
  </si>
  <si>
    <t>66:36:0111007</t>
  </si>
  <si>
    <t>66:36:0111017</t>
  </si>
  <si>
    <t>66:36:0108002</t>
  </si>
  <si>
    <t>66:36:0108004</t>
  </si>
  <si>
    <t>66:36:0110002</t>
  </si>
  <si>
    <t>66:36:0111063</t>
  </si>
  <si>
    <t>66:36:0102076</t>
  </si>
  <si>
    <t>66:36:0102079</t>
  </si>
  <si>
    <t>66:36:0102080</t>
  </si>
  <si>
    <t>66:36:0102082</t>
  </si>
  <si>
    <t>66:36:0102083</t>
  </si>
  <si>
    <t>66:36:0102084</t>
  </si>
  <si>
    <t>66:36:0102085</t>
  </si>
  <si>
    <t>66:36:0105004</t>
  </si>
  <si>
    <t>66:36:0110001</t>
  </si>
  <si>
    <t>66:41:0105005</t>
  </si>
  <si>
    <t>66:41:0109006</t>
  </si>
  <si>
    <t>66:36:0103017</t>
  </si>
  <si>
    <t>66:36:0103014</t>
  </si>
  <si>
    <t>66:36:0102068</t>
  </si>
  <si>
    <t>66:36:0102074</t>
  </si>
  <si>
    <t>66:36:0102075</t>
  </si>
  <si>
    <t>66:36:0103015</t>
  </si>
  <si>
    <t>66:36:0103016</t>
  </si>
  <si>
    <t>66:36:0108001</t>
  </si>
  <si>
    <t>66:36:0108003</t>
  </si>
  <si>
    <t>66:36:0106037</t>
  </si>
  <si>
    <t>66:36:0103013</t>
  </si>
  <si>
    <t>66:36:0106004</t>
  </si>
  <si>
    <t>66:36:0106005</t>
  </si>
  <si>
    <t>66:36:0106015</t>
  </si>
  <si>
    <t>66:36:0106016</t>
  </si>
  <si>
    <t>66:36:0106017</t>
  </si>
  <si>
    <t>66:36:0106024</t>
  </si>
  <si>
    <t>66:36:0106025</t>
  </si>
  <si>
    <t>66:36:0106026</t>
  </si>
  <si>
    <t>66:36:0106027</t>
  </si>
  <si>
    <t>66:36:0106028</t>
  </si>
  <si>
    <t>66:36:0106035</t>
  </si>
  <si>
    <t>66:36:0106036</t>
  </si>
  <si>
    <t>66:41:0105002</t>
  </si>
  <si>
    <t>66:41:0105024</t>
  </si>
  <si>
    <t>66:41:0109001</t>
  </si>
  <si>
    <t>66:41:0109002</t>
  </si>
  <si>
    <t>66:41:0109003</t>
  </si>
  <si>
    <t>66:41:0109005</t>
  </si>
  <si>
    <t>66:41:0109012</t>
  </si>
  <si>
    <t>66:41:0109031</t>
  </si>
  <si>
    <t>66:36:3002011</t>
  </si>
  <si>
    <t>66:36:3002012</t>
  </si>
  <si>
    <t>66:41:0105001</t>
  </si>
  <si>
    <t>66:41:0105004</t>
  </si>
  <si>
    <t>66:41:0105025</t>
  </si>
  <si>
    <t>66:36:0103010</t>
  </si>
  <si>
    <t>66:36:0103011</t>
  </si>
  <si>
    <t>66:36:0106013</t>
  </si>
  <si>
    <t>66:36:0106014</t>
  </si>
  <si>
    <t>66:36:0106020</t>
  </si>
  <si>
    <t>66:36:0106021</t>
  </si>
  <si>
    <t>66:36:0106023</t>
  </si>
  <si>
    <t>66:36:0106029</t>
  </si>
  <si>
    <t>66:36:0106030</t>
  </si>
  <si>
    <t>66:36:0106031</t>
  </si>
  <si>
    <t>66:36:0106032</t>
  </si>
  <si>
    <t>66:36:0106033</t>
  </si>
  <si>
    <t>66:36:0106034</t>
  </si>
  <si>
    <t>66:36:0106012</t>
  </si>
  <si>
    <t>66:36:0104001</t>
  </si>
  <si>
    <t>66:36:0106001</t>
  </si>
  <si>
    <t>66:36:0106002</t>
  </si>
  <si>
    <t>66:36:0106003</t>
  </si>
  <si>
    <t>66:36:0106007</t>
  </si>
  <si>
    <t>66:36:0106008</t>
  </si>
  <si>
    <t>66:36:0106009</t>
  </si>
  <si>
    <t>66:36:0106010</t>
  </si>
  <si>
    <t>66:36:0106011</t>
  </si>
  <si>
    <t>66:36:0106018</t>
  </si>
  <si>
    <t>66:36:0106019</t>
  </si>
  <si>
    <t>66:36:0106022</t>
  </si>
  <si>
    <t>66:36:3002009</t>
  </si>
  <si>
    <t>66:36:3002010</t>
  </si>
  <si>
    <t>66:36:3002013</t>
  </si>
  <si>
    <t>66:62:0102002</t>
  </si>
  <si>
    <t>66:62:0102005</t>
  </si>
  <si>
    <t>66:62:0102006</t>
  </si>
  <si>
    <t>66:62:0102007</t>
  </si>
  <si>
    <t>66:62:0102008</t>
  </si>
  <si>
    <t>66:62:0102009</t>
  </si>
  <si>
    <t>66:62:0105002</t>
  </si>
  <si>
    <t>66:62:0105003</t>
  </si>
  <si>
    <t>66:62:0107004</t>
  </si>
  <si>
    <t>66:62:0107009</t>
  </si>
  <si>
    <t>66:62:0107013</t>
  </si>
  <si>
    <t>66:62:0502003</t>
  </si>
  <si>
    <t>66:62:0502004</t>
  </si>
  <si>
    <t>66:62:0502005</t>
  </si>
  <si>
    <t>66:62:0502006</t>
  </si>
  <si>
    <t>66:62:0502007</t>
  </si>
  <si>
    <t>66:62:0502008</t>
  </si>
  <si>
    <t>66:62:0503001</t>
  </si>
  <si>
    <t>66:41:0207003</t>
  </si>
  <si>
    <t>66:41:0207008</t>
  </si>
  <si>
    <t>66:41:0207015</t>
  </si>
  <si>
    <t>66:41:0207029</t>
  </si>
  <si>
    <t>66:41:0207030</t>
  </si>
  <si>
    <t>66:41:0207031</t>
  </si>
  <si>
    <t>66:41:0207902</t>
  </si>
  <si>
    <t>66:62:0107007</t>
  </si>
  <si>
    <t>66:62:0102001</t>
  </si>
  <si>
    <t>66:62:0102003</t>
  </si>
  <si>
    <t>66:62:0102004</t>
  </si>
  <si>
    <t>66:62:0104002</t>
  </si>
  <si>
    <t>66:62:0104004</t>
  </si>
  <si>
    <t>66:62:0105001</t>
  </si>
  <si>
    <t>66:62:0107002</t>
  </si>
  <si>
    <t>66:62:0107003</t>
  </si>
  <si>
    <t>66:62:0107005</t>
  </si>
  <si>
    <t>66:62:0107006</t>
  </si>
  <si>
    <t>66:62:0107008</t>
  </si>
  <si>
    <t>66:62:0107010</t>
  </si>
  <si>
    <t>66:62:0502001</t>
  </si>
  <si>
    <t>66:62:0502002</t>
  </si>
  <si>
    <t>66:62:0503002</t>
  </si>
  <si>
    <t>66:41:0207024</t>
  </si>
  <si>
    <t>66:41:0207001</t>
  </si>
  <si>
    <t>66:41:0207002</t>
  </si>
  <si>
    <t>66:41:0207007</t>
  </si>
  <si>
    <t>66:41:0207009</t>
  </si>
  <si>
    <t>66:41:0207010</t>
  </si>
  <si>
    <t>66:41:0207013</t>
  </si>
  <si>
    <t>66:41:0207014</t>
  </si>
  <si>
    <t>66:41:0207017</t>
  </si>
  <si>
    <t>66:41:0207018</t>
  </si>
  <si>
    <t>66:41:0207019</t>
  </si>
  <si>
    <t>66:41:0207023</t>
  </si>
  <si>
    <t>66:41:0207901</t>
  </si>
  <si>
    <t>66:62:0104013</t>
  </si>
  <si>
    <t>66:62:0104011</t>
  </si>
  <si>
    <t>66:62:0101003</t>
  </si>
  <si>
    <t>66:62:0104001</t>
  </si>
  <si>
    <t>66:62:0104003</t>
  </si>
  <si>
    <t>66:62:0104005</t>
  </si>
  <si>
    <t>66:62:0104006</t>
  </si>
  <si>
    <t>66:62:0104007</t>
  </si>
  <si>
    <t>66:62:0104009</t>
  </si>
  <si>
    <t>66:62:0104010</t>
  </si>
  <si>
    <t>66:62:0104012</t>
  </si>
  <si>
    <t>66:62:0106004</t>
  </si>
  <si>
    <t>66:62:0106005</t>
  </si>
  <si>
    <t>66:62:0106006</t>
  </si>
  <si>
    <t>66:62:0107001</t>
  </si>
  <si>
    <t>66:41:0108001</t>
  </si>
  <si>
    <t>66:41:0106027</t>
  </si>
  <si>
    <t>66:41:0106019</t>
  </si>
  <si>
    <t>66:41:0106009</t>
  </si>
  <si>
    <t>66:41:0106011</t>
  </si>
  <si>
    <t>66:41:0106012</t>
  </si>
  <si>
    <t>66:41:0106013</t>
  </si>
  <si>
    <t>66:41:0106014</t>
  </si>
  <si>
    <t>66:41:0106016</t>
  </si>
  <si>
    <t>66:41:0106018</t>
  </si>
  <si>
    <t>66:41:0106025</t>
  </si>
  <si>
    <t>66:41:0106026</t>
  </si>
  <si>
    <t>66:41:0106028</t>
  </si>
  <si>
    <t>66:41:0106029</t>
  </si>
  <si>
    <t>66:41:0106030</t>
  </si>
  <si>
    <t>66:41:0106031</t>
  </si>
  <si>
    <t>66:41:0106032</t>
  </si>
  <si>
    <t>66:41:0106002</t>
  </si>
  <si>
    <t>66:41:0106022</t>
  </si>
  <si>
    <t>66:41:0106023</t>
  </si>
  <si>
    <t>66:41:0106034</t>
  </si>
  <si>
    <t>66:41:0106039</t>
  </si>
  <si>
    <t>66:41:0106040</t>
  </si>
  <si>
    <t>66:41:0106094</t>
  </si>
  <si>
    <t>66:41:0106095</t>
  </si>
  <si>
    <t>66:41:0106102</t>
  </si>
  <si>
    <t>66:41:0106103</t>
  </si>
  <si>
    <t>66:41:0106112</t>
  </si>
  <si>
    <t>66:41:0106113</t>
  </si>
  <si>
    <t>66:41:0106123</t>
  </si>
  <si>
    <t>66:41:0110020</t>
  </si>
  <si>
    <t>66:41:0106020</t>
  </si>
  <si>
    <t>66:41:0106001</t>
  </si>
  <si>
    <t>66:41:0106005</t>
  </si>
  <si>
    <t>66:41:0106006</t>
  </si>
  <si>
    <t>66:41:0106007</t>
  </si>
  <si>
    <t>66:41:0106008</t>
  </si>
  <si>
    <t>66:41:0106021</t>
  </si>
  <si>
    <t>66:41:0106033</t>
  </si>
  <si>
    <t>66:41:0106054</t>
  </si>
  <si>
    <t>66:41:0106055</t>
  </si>
  <si>
    <t>66:41:0106057</t>
  </si>
  <si>
    <t>66:41:0109026</t>
  </si>
  <si>
    <t>66:41:0106124</t>
  </si>
  <si>
    <t>66:41:0106101</t>
  </si>
  <si>
    <t>66:41:0106108</t>
  </si>
  <si>
    <t>66:41:0106109</t>
  </si>
  <si>
    <t>66:41:0106110</t>
  </si>
  <si>
    <t>66:41:0106111</t>
  </si>
  <si>
    <t>66:41:0106118</t>
  </si>
  <si>
    <t>66:41:0106119</t>
  </si>
  <si>
    <t>66:41:0106120</t>
  </si>
  <si>
    <t>66:41:0106121</t>
  </si>
  <si>
    <t>66:41:0106122</t>
  </si>
  <si>
    <t>66:41:0106126</t>
  </si>
  <si>
    <t>66:41:0106127</t>
  </si>
  <si>
    <t>66:41:0106128</t>
  </si>
  <si>
    <t>66:41:0106129</t>
  </si>
  <si>
    <t>66:41:0106134</t>
  </si>
  <si>
    <t>66:41:0106052</t>
  </si>
  <si>
    <t>66:41:0106053</t>
  </si>
  <si>
    <t>66:41:0106056</t>
  </si>
  <si>
    <t>66:41:0106059</t>
  </si>
  <si>
    <t>66:41:0106060</t>
  </si>
  <si>
    <t>66:41:0106062</t>
  </si>
  <si>
    <t>66:41:0106063</t>
  </si>
  <si>
    <t>66:41:0106065</t>
  </si>
  <si>
    <t>66:41:0106177</t>
  </si>
  <si>
    <t>66:41:0106115</t>
  </si>
  <si>
    <t>66:41:0106117</t>
  </si>
  <si>
    <t>66:41:0106131</t>
  </si>
  <si>
    <t>66:41:0106132</t>
  </si>
  <si>
    <t>66:41:0106133</t>
  </si>
  <si>
    <t>66:41:0106137</t>
  </si>
  <si>
    <t>66:41:0110019</t>
  </si>
  <si>
    <t>66:41:0110143</t>
  </si>
  <si>
    <t>66:41:0105029</t>
  </si>
  <si>
    <t>66:41:0105009</t>
  </si>
  <si>
    <t>66:41:0105022</t>
  </si>
  <si>
    <t>66:41:0105030</t>
  </si>
  <si>
    <t>66:41:0106901</t>
  </si>
  <si>
    <t>66:41:0106087</t>
  </si>
  <si>
    <t>66:41:0106066</t>
  </si>
  <si>
    <t>66:41:0106068</t>
  </si>
  <si>
    <t>66:41:0106069</t>
  </si>
  <si>
    <t>66:41:0106072</t>
  </si>
  <si>
    <t>66:41:0106073</t>
  </si>
  <si>
    <t>66:41:0106078</t>
  </si>
  <si>
    <t>66:41:0106079</t>
  </si>
  <si>
    <t>66:41:0106080</t>
  </si>
  <si>
    <t>66:41:0106097</t>
  </si>
  <si>
    <t>66:41:0106106</t>
  </si>
  <si>
    <t>66:41:0106107</t>
  </si>
  <si>
    <t>66:41:0106071</t>
  </si>
  <si>
    <t>66:41:0106051</t>
  </si>
  <si>
    <t>66:41:0106067</t>
  </si>
  <si>
    <t>66:41:0106077</t>
  </si>
  <si>
    <t>66:41:0106081</t>
  </si>
  <si>
    <t>66:41:0106084</t>
  </si>
  <si>
    <t>66:41:0106085</t>
  </si>
  <si>
    <t>66:41:0106086</t>
  </si>
  <si>
    <t>66:41:0106088</t>
  </si>
  <si>
    <t>66:41:0106138</t>
  </si>
  <si>
    <t>66:41:0106089</t>
  </si>
  <si>
    <t>66:41:0106130</t>
  </si>
  <si>
    <t>66:41:0106135</t>
  </si>
  <si>
    <t>66:41:0106136</t>
  </si>
  <si>
    <t>66:41:0106139</t>
  </si>
  <si>
    <t>66:41:0106140</t>
  </si>
  <si>
    <t>66:41:0106146</t>
  </si>
  <si>
    <t>66:41:0106148</t>
  </si>
  <si>
    <t>66:41:0106155</t>
  </si>
  <si>
    <t>66:41:0110141</t>
  </si>
  <si>
    <t>66:41:0105013</t>
  </si>
  <si>
    <t>66:41:0105017</t>
  </si>
  <si>
    <t>66:41:0105007</t>
  </si>
  <si>
    <t>66:41:0105008</t>
  </si>
  <si>
    <t>66:41:0105026</t>
  </si>
  <si>
    <t>66:41:0105027</t>
  </si>
  <si>
    <t>66:41:0105028</t>
  </si>
  <si>
    <t>66:41:0105031</t>
  </si>
  <si>
    <t>66:41:0105032</t>
  </si>
  <si>
    <t>66:41:0105033</t>
  </si>
  <si>
    <t>66:41:0105018</t>
  </si>
  <si>
    <t>66:41:0105021</t>
  </si>
  <si>
    <t>66:41:0106145</t>
  </si>
  <si>
    <t>66:41:0106152</t>
  </si>
  <si>
    <t>66:41:0106157</t>
  </si>
  <si>
    <t>66:41:0106169</t>
  </si>
  <si>
    <t>66:41:0106154</t>
  </si>
  <si>
    <t>66:41:0106156</t>
  </si>
  <si>
    <t>66:41:0106159</t>
  </si>
  <si>
    <t>66:41:0106160</t>
  </si>
  <si>
    <t>66:41:0106163</t>
  </si>
  <si>
    <t>66:41:0106164</t>
  </si>
  <si>
    <t>66:41:0106168</t>
  </si>
  <si>
    <t>66:41:0106170</t>
  </si>
  <si>
    <t>66:41:0110176</t>
  </si>
  <si>
    <t>66:41:0106167</t>
  </si>
  <si>
    <t>66:41:0105019</t>
  </si>
  <si>
    <t>66:41:0106171</t>
  </si>
  <si>
    <t>66:41:0106172</t>
  </si>
  <si>
    <t>66:41:0106173</t>
  </si>
  <si>
    <t>66:41:0106175</t>
  </si>
  <si>
    <t>66:41:0110018</t>
  </si>
  <si>
    <t>66:41:0204008</t>
  </si>
  <si>
    <t>66:41:0106036</t>
  </si>
  <si>
    <t>66:41:0106037</t>
  </si>
  <si>
    <t>66:41:0106042</t>
  </si>
  <si>
    <t>66:41:0106043</t>
  </si>
  <si>
    <t>66:41:0106091</t>
  </si>
  <si>
    <t>66:41:0106092</t>
  </si>
  <si>
    <t>66:41:0106093</t>
  </si>
  <si>
    <t>66:41:0106098</t>
  </si>
  <si>
    <t>66:41:0106099</t>
  </si>
  <si>
    <t>66:41:0202001</t>
  </si>
  <si>
    <t>66:41:0202002</t>
  </si>
  <si>
    <t>66:41:0202003</t>
  </si>
  <si>
    <t>66:41:0202004</t>
  </si>
  <si>
    <t>66:41:0202008</t>
  </si>
  <si>
    <t>66:41:0204001</t>
  </si>
  <si>
    <t>66:41:0204016</t>
  </si>
  <si>
    <t>66:41:0204004</t>
  </si>
  <si>
    <t>66:41:0204006</t>
  </si>
  <si>
    <t>66:41:0204007</t>
  </si>
  <si>
    <t>66:41:0204011</t>
  </si>
  <si>
    <t>66:41:0204060</t>
  </si>
  <si>
    <t>66:41:0204005</t>
  </si>
  <si>
    <t>66:41:0204009</t>
  </si>
  <si>
    <t>66:41:0204010</t>
  </si>
  <si>
    <t>66:41:0204012</t>
  </si>
  <si>
    <t>66:41:0204015</t>
  </si>
  <si>
    <t>66:41:0204045</t>
  </si>
  <si>
    <t>66:41:0204058</t>
  </si>
  <si>
    <t>66:41:0204059</t>
  </si>
  <si>
    <t>66:41:0203029</t>
  </si>
  <si>
    <t>66:41:0203026</t>
  </si>
  <si>
    <t>66:41:0203027</t>
  </si>
  <si>
    <t>66:41:0203036</t>
  </si>
  <si>
    <t>66:41:0203038</t>
  </si>
  <si>
    <t>66:41:0203039</t>
  </si>
  <si>
    <t>66:41:0203050</t>
  </si>
  <si>
    <t>66:41:0204013</t>
  </si>
  <si>
    <t>66:41:0204901</t>
  </si>
  <si>
    <t>66:41:0208010</t>
  </si>
  <si>
    <t>66:41:0207027</t>
  </si>
  <si>
    <t>66:41:0207011</t>
  </si>
  <si>
    <t>66:41:0207020</t>
  </si>
  <si>
    <t>66:41:0207021</t>
  </si>
  <si>
    <t>66:41:0207025</t>
  </si>
  <si>
    <t>66:41:0207026</t>
  </si>
  <si>
    <t>66:41:0303008</t>
  </si>
  <si>
    <t>66:41:0303010</t>
  </si>
  <si>
    <t>66:41:0303019</t>
  </si>
  <si>
    <t>66:41:0303093</t>
  </si>
  <si>
    <t>66:41:0303133</t>
  </si>
  <si>
    <t>66:41:0303135</t>
  </si>
  <si>
    <t>66:41:0303136</t>
  </si>
  <si>
    <t>66:41:0304007</t>
  </si>
  <si>
    <t>66:41:0304013</t>
  </si>
  <si>
    <t>66:41:0304014</t>
  </si>
  <si>
    <t>66:41:0304018</t>
  </si>
  <si>
    <t>66:41:0304019</t>
  </si>
  <si>
    <t>66:41:0304020</t>
  </si>
  <si>
    <t>66:41:0304031</t>
  </si>
  <si>
    <t>66:41:0303052</t>
  </si>
  <si>
    <t>66:41:0303013</t>
  </si>
  <si>
    <t>66:41:0303014</t>
  </si>
  <si>
    <t>66:41:0303015</t>
  </si>
  <si>
    <t>66:41:0303025</t>
  </si>
  <si>
    <t>66:41:0303026</t>
  </si>
  <si>
    <t>66:41:0303027</t>
  </si>
  <si>
    <t>66:41:0303031</t>
  </si>
  <si>
    <t>66:41:0303032</t>
  </si>
  <si>
    <t>66:41:0303033</t>
  </si>
  <si>
    <t>66:41:0303034</t>
  </si>
  <si>
    <t>66:41:0303051</t>
  </si>
  <si>
    <t>66:41:0303148</t>
  </si>
  <si>
    <t>66:41:0303120</t>
  </si>
  <si>
    <t>66:41:0303143</t>
  </si>
  <si>
    <t>66:41:0303144</t>
  </si>
  <si>
    <t>66:41:0304015</t>
  </si>
  <si>
    <t>66:41:0304016</t>
  </si>
  <si>
    <t>66:41:0304017</t>
  </si>
  <si>
    <t>66:41:0304021</t>
  </si>
  <si>
    <t>66:41:0304022</t>
  </si>
  <si>
    <t>66:41:0304023</t>
  </si>
  <si>
    <t>66:41:0304024</t>
  </si>
  <si>
    <t>66:41:0304032</t>
  </si>
  <si>
    <t>66:41:0304034</t>
  </si>
  <si>
    <t>66:41:0303126</t>
  </si>
  <si>
    <t>66:41:0303099</t>
  </si>
  <si>
    <t>66:41:0303100</t>
  </si>
  <si>
    <t>66:41:0303102</t>
  </si>
  <si>
    <t>66:41:0303121</t>
  </si>
  <si>
    <t>66:41:0303124</t>
  </si>
  <si>
    <t>66:41:0303125</t>
  </si>
  <si>
    <t>66:41:0303130</t>
  </si>
  <si>
    <t>66:41:0303132</t>
  </si>
  <si>
    <t>66:41:0303149</t>
  </si>
  <si>
    <t>66:41:0303150</t>
  </si>
  <si>
    <t>66:41:0303152</t>
  </si>
  <si>
    <t>66:41:0303154</t>
  </si>
  <si>
    <t>66:41:0204027</t>
  </si>
  <si>
    <t>66:41:0204031</t>
  </si>
  <si>
    <t>66:41:0204033</t>
  </si>
  <si>
    <t>66:41:0204034</t>
  </si>
  <si>
    <t>66:41:0204044</t>
  </si>
  <si>
    <t>66:41:0302007</t>
  </si>
  <si>
    <t>66:41:0302012</t>
  </si>
  <si>
    <t>66:41:0204043</t>
  </si>
  <si>
    <t>66:41:0204042</t>
  </si>
  <si>
    <t>66:41:0204020</t>
  </si>
  <si>
    <t>66:41:0204021</t>
  </si>
  <si>
    <t>66:41:0204022</t>
  </si>
  <si>
    <t>66:41:0204023</t>
  </si>
  <si>
    <t>66:41:0204024</t>
  </si>
  <si>
    <t>66:41:0204025</t>
  </si>
  <si>
    <t>66:41:0204026</t>
  </si>
  <si>
    <t>66:41:0204028</t>
  </si>
  <si>
    <t>66:41:0204029</t>
  </si>
  <si>
    <t>66:41:0204035</t>
  </si>
  <si>
    <t>66:41:0204055</t>
  </si>
  <si>
    <t>66:41:0204057</t>
  </si>
  <si>
    <t>66:41:0303047</t>
  </si>
  <si>
    <t>66:41:0303028</t>
  </si>
  <si>
    <t>66:41:0303023</t>
  </si>
  <si>
    <t>66:41:0303029</t>
  </si>
  <si>
    <t>66:41:0303030</t>
  </si>
  <si>
    <t>66:41:0303048</t>
  </si>
  <si>
    <t>66:41:0303049</t>
  </si>
  <si>
    <t>66:41:0303050</t>
  </si>
  <si>
    <t>66:41:0303055</t>
  </si>
  <si>
    <t>66:41:0303056</t>
  </si>
  <si>
    <t>66:41:0303057</t>
  </si>
  <si>
    <t>66:41:0305005</t>
  </si>
  <si>
    <t>66:41:0305007</t>
  </si>
  <si>
    <t>66:41:0306085</t>
  </si>
  <si>
    <t>66:41:0303114</t>
  </si>
  <si>
    <t>66:41:0303110</t>
  </si>
  <si>
    <t>66:41:0303112</t>
  </si>
  <si>
    <t>66:41:0303113</t>
  </si>
  <si>
    <t>66:41:0303115</t>
  </si>
  <si>
    <t>66:41:0303117</t>
  </si>
  <si>
    <t>66:41:0303118</t>
  </si>
  <si>
    <t>66:41:0303119</t>
  </si>
  <si>
    <t>66:41:0303157</t>
  </si>
  <si>
    <t>66:41:0303137</t>
  </si>
  <si>
    <t>66:41:0303138</t>
  </si>
  <si>
    <t>66:41:0303140</t>
  </si>
  <si>
    <t>66:41:0303142</t>
  </si>
  <si>
    <t>66:41:0304030</t>
  </si>
  <si>
    <t>66:41:0306009</t>
  </si>
  <si>
    <t>66:41:0306013</t>
  </si>
  <si>
    <t>66:62:0504008</t>
  </si>
  <si>
    <t>66:41:0105003</t>
  </si>
  <si>
    <t>66:41:0105006</t>
  </si>
  <si>
    <t>66:41:0105010</t>
  </si>
  <si>
    <t>66:41:0105011</t>
  </si>
  <si>
    <t>66:41:0105014</t>
  </si>
  <si>
    <t>66:41:0105015</t>
  </si>
  <si>
    <t>66:41:0105016</t>
  </si>
  <si>
    <t>66:41:0105023</t>
  </si>
  <si>
    <t>66:41:0110017</t>
  </si>
  <si>
    <t>66:41:0303092</t>
  </si>
  <si>
    <t>66:41:0303058</t>
  </si>
  <si>
    <t>66:41:0303059</t>
  </si>
  <si>
    <t>66:41:0303060</t>
  </si>
  <si>
    <t>66:41:0303061</t>
  </si>
  <si>
    <t>66:41:0303062</t>
  </si>
  <si>
    <t>66:41:0303064</t>
  </si>
  <si>
    <t>66:41:0303087</t>
  </si>
  <si>
    <t>66:41:0303088</t>
  </si>
  <si>
    <t>66:41:0303089</t>
  </si>
  <si>
    <t>66:41:0303161</t>
  </si>
  <si>
    <t>66:41:0303901</t>
  </si>
  <si>
    <t>66:41:0305019</t>
  </si>
  <si>
    <t>66:41:0307078</t>
  </si>
  <si>
    <t>66:41:0306053</t>
  </si>
  <si>
    <t>66:41:0002001</t>
  </si>
  <si>
    <t>66:41:0303902</t>
  </si>
  <si>
    <t>66:41:0305011</t>
  </si>
  <si>
    <t>66:41:0305012</t>
  </si>
  <si>
    <t>66:41:0305023</t>
  </si>
  <si>
    <t>66:41:0305156</t>
  </si>
  <si>
    <t>66:41:0306003</t>
  </si>
  <si>
    <t>66:41:0306004</t>
  </si>
  <si>
    <t>66:41:0306005</t>
  </si>
  <si>
    <t>66:41:0306006</t>
  </si>
  <si>
    <t>66:41:0306007</t>
  </si>
  <si>
    <t>66:41:0306028</t>
  </si>
  <si>
    <t>66:41:0306029</t>
  </si>
  <si>
    <t>66:41:0204041</t>
  </si>
  <si>
    <t>66:41:0204054</t>
  </si>
  <si>
    <t>66:41:0204018</t>
  </si>
  <si>
    <t>66:41:0204019</t>
  </si>
  <si>
    <t>66:41:0204032</t>
  </si>
  <si>
    <t>66:41:0204052</t>
  </si>
  <si>
    <t>66:41:0204053</t>
  </si>
  <si>
    <t>66:41:0204056</t>
  </si>
  <si>
    <t>66:41:0305001</t>
  </si>
  <si>
    <t>66:41:0305021</t>
  </si>
  <si>
    <t>66:41:0305009</t>
  </si>
  <si>
    <t>66:41:0305010</t>
  </si>
  <si>
    <t>66:41:0305013</t>
  </si>
  <si>
    <t>66:41:0305015</t>
  </si>
  <si>
    <t>66:41:0305016</t>
  </si>
  <si>
    <t>66:41:0305020</t>
  </si>
  <si>
    <t>66:41:0305901</t>
  </si>
  <si>
    <t>66:41:0306023</t>
  </si>
  <si>
    <t>66:41:0306001</t>
  </si>
  <si>
    <t>66:41:0306010</t>
  </si>
  <si>
    <t>66:41:0306015</t>
  </si>
  <si>
    <t>66:41:0306016</t>
  </si>
  <si>
    <t>66:41:0306017</t>
  </si>
  <si>
    <t>66:41:0306018</t>
  </si>
  <si>
    <t>66:41:0306019</t>
  </si>
  <si>
    <t>66:41:0306020</t>
  </si>
  <si>
    <t>66:41:0306021</t>
  </si>
  <si>
    <t>66:41:0306026</t>
  </si>
  <si>
    <t>66:41:0306036</t>
  </si>
  <si>
    <t>66:41:0306052</t>
  </si>
  <si>
    <t>66:41:0306108</t>
  </si>
  <si>
    <t>66:41:0306902</t>
  </si>
  <si>
    <t>66:41:0504021</t>
  </si>
  <si>
    <t>66:41:0504001</t>
  </si>
  <si>
    <t>66:41:0504013</t>
  </si>
  <si>
    <t>66:41:0504014</t>
  </si>
  <si>
    <t>66:41:0504016</t>
  </si>
  <si>
    <t>66:41:0504017</t>
  </si>
  <si>
    <t>66:41:0504018</t>
  </si>
  <si>
    <t>66:41:0504019</t>
  </si>
  <si>
    <t>66:41:0504020</t>
  </si>
  <si>
    <t>66:41:0504026</t>
  </si>
  <si>
    <t>66:41:0511003</t>
  </si>
  <si>
    <t>66:41:0402031</t>
  </si>
  <si>
    <t>66:41:0402901</t>
  </si>
  <si>
    <t>66:41:0403010</t>
  </si>
  <si>
    <t>66:41:0403011</t>
  </si>
  <si>
    <t>66:41:0403012</t>
  </si>
  <si>
    <t>66:41:0403013</t>
  </si>
  <si>
    <t>66:41:0403014</t>
  </si>
  <si>
    <t>66:41:0403043</t>
  </si>
  <si>
    <t>66:41:0403044</t>
  </si>
  <si>
    <t>66:41:0403050</t>
  </si>
  <si>
    <t>66:41:0403059</t>
  </si>
  <si>
    <t>66:41:0402034</t>
  </si>
  <si>
    <t>66:41:0403045</t>
  </si>
  <si>
    <t>66:41:0403053</t>
  </si>
  <si>
    <t>66:41:0403056</t>
  </si>
  <si>
    <t>66:41:0403057</t>
  </si>
  <si>
    <t>66:41:0403060</t>
  </si>
  <si>
    <t>66:41:0403061</t>
  </si>
  <si>
    <t>66:41:0403062</t>
  </si>
  <si>
    <t>66:41:0403074</t>
  </si>
  <si>
    <t>66:41:0403041</t>
  </si>
  <si>
    <t>66:41:0403009</t>
  </si>
  <si>
    <t>66:41:0403029</t>
  </si>
  <si>
    <t>66:41:0403034</t>
  </si>
  <si>
    <t>66:41:0403036</t>
  </si>
  <si>
    <t>66:41:0403038</t>
  </si>
  <si>
    <t>66:41:0403039</t>
  </si>
  <si>
    <t>66:41:0403040</t>
  </si>
  <si>
    <t>66:41:0403042</t>
  </si>
  <si>
    <t>66:41:0403046</t>
  </si>
  <si>
    <t>66:41:0403047</t>
  </si>
  <si>
    <t>66:41:0403049</t>
  </si>
  <si>
    <t>66:41:0504004</t>
  </si>
  <si>
    <t>66:41:0511032</t>
  </si>
  <si>
    <t>66:41:0403026</t>
  </si>
  <si>
    <t>66:41:0403025</t>
  </si>
  <si>
    <t>66:41:0403021</t>
  </si>
  <si>
    <t>66:41:0403023</t>
  </si>
  <si>
    <t>66:41:0403024</t>
  </si>
  <si>
    <t>66:41:0403027</t>
  </si>
  <si>
    <t>66:41:0403028</t>
  </si>
  <si>
    <t>66:41:0403030</t>
  </si>
  <si>
    <t>66:41:0403031</t>
  </si>
  <si>
    <t>66:41:0403035</t>
  </si>
  <si>
    <t>66:41:0403073</t>
  </si>
  <si>
    <t>66:41:0403077</t>
  </si>
  <si>
    <t>66:41:0403079</t>
  </si>
  <si>
    <t>66:41:0403083</t>
  </si>
  <si>
    <t>66:41:0313006</t>
  </si>
  <si>
    <t>66:41:0403017</t>
  </si>
  <si>
    <t>66:41:0403081</t>
  </si>
  <si>
    <t>66:41:0403082</t>
  </si>
  <si>
    <t>66:41:0404004</t>
  </si>
  <si>
    <t>66:41:0404007</t>
  </si>
  <si>
    <t>66:41:0404008</t>
  </si>
  <si>
    <t>66:41:0404009</t>
  </si>
  <si>
    <t>66:41:0510060</t>
  </si>
  <si>
    <t>66:41:0510001</t>
  </si>
  <si>
    <t>66:41:0510002</t>
  </si>
  <si>
    <t>66:41:0510003</t>
  </si>
  <si>
    <t>66:41:0510004</t>
  </si>
  <si>
    <t>66:41:0510027</t>
  </si>
  <si>
    <t>66:41:0510057</t>
  </si>
  <si>
    <t>66:41:0510059</t>
  </si>
  <si>
    <t>66:41:0510061</t>
  </si>
  <si>
    <t>66:41:0510062</t>
  </si>
  <si>
    <t>66:41:0510063</t>
  </si>
  <si>
    <t>66:41:0510064</t>
  </si>
  <si>
    <t>66:41:0510065</t>
  </si>
  <si>
    <t>66:41:0510069</t>
  </si>
  <si>
    <t>66:41:0403072</t>
  </si>
  <si>
    <t>66:41:0403020</t>
  </si>
  <si>
    <t>66:41:0403064</t>
  </si>
  <si>
    <t>66:41:0403067</t>
  </si>
  <si>
    <t>66:41:0403069</t>
  </si>
  <si>
    <t>66:41:0403070</t>
  </si>
  <si>
    <t>66:41:0403075</t>
  </si>
  <si>
    <t>66:41:0403076</t>
  </si>
  <si>
    <t>66:41:0403901</t>
  </si>
  <si>
    <t>66:41:0404001</t>
  </si>
  <si>
    <t>66:41:0404002</t>
  </si>
  <si>
    <t>66:41:0404003</t>
  </si>
  <si>
    <t>66:41:0510050</t>
  </si>
  <si>
    <t>66:41:0510042</t>
  </si>
  <si>
    <t>66:41:0510043</t>
  </si>
  <si>
    <t>66:41:0510044</t>
  </si>
  <si>
    <t>66:41:0510046</t>
  </si>
  <si>
    <t>66:41:0510047</t>
  </si>
  <si>
    <t>66:41:0510048</t>
  </si>
  <si>
    <t>66:41:0510049</t>
  </si>
  <si>
    <t>66:41:0510051</t>
  </si>
  <si>
    <t>66:41:0510053</t>
  </si>
  <si>
    <t>66:41:0510054</t>
  </si>
  <si>
    <t>66:41:0510056</t>
  </si>
  <si>
    <t>66:41:0510020</t>
  </si>
  <si>
    <t>66:41:0510023</t>
  </si>
  <si>
    <t>66:41:0510030</t>
  </si>
  <si>
    <t>66:41:0510032</t>
  </si>
  <si>
    <t>66:41:0510033</t>
  </si>
  <si>
    <t>66:41:0510034</t>
  </si>
  <si>
    <t>66:41:0510037</t>
  </si>
  <si>
    <t>66:41:0510038</t>
  </si>
  <si>
    <t>66:41:0510040</t>
  </si>
  <si>
    <t>66:41:0510041</t>
  </si>
  <si>
    <t>66:41:0510045</t>
  </si>
  <si>
    <t>66:41:0510066</t>
  </si>
  <si>
    <t>66:41:0510067</t>
  </si>
  <si>
    <t>66:41:0510902</t>
  </si>
  <si>
    <t>66:41:0404019</t>
  </si>
  <si>
    <t>66:41:0404012</t>
  </si>
  <si>
    <t>66:41:0404011</t>
  </si>
  <si>
    <t>66:41:0404014</t>
  </si>
  <si>
    <t>66:41:0404015</t>
  </si>
  <si>
    <t>66:41:0404017</t>
  </si>
  <si>
    <t>66:41:0404018</t>
  </si>
  <si>
    <t>66:41:0404901</t>
  </si>
  <si>
    <t>66:41:0510024</t>
  </si>
  <si>
    <t>66:41:0510019</t>
  </si>
  <si>
    <t>66:41:0510021</t>
  </si>
  <si>
    <t>66:41:0510025</t>
  </si>
  <si>
    <t>66:41:0510031</t>
  </si>
  <si>
    <t>66:41:0510018</t>
  </si>
  <si>
    <t>66:41:0510005</t>
  </si>
  <si>
    <t>66:41:0510007</t>
  </si>
  <si>
    <t>66:41:0510011</t>
  </si>
  <si>
    <t>66:41:0510012</t>
  </si>
  <si>
    <t>66:41:0510013</t>
  </si>
  <si>
    <t>66:41:0510014</t>
  </si>
  <si>
    <t>66:41:0510015</t>
  </si>
  <si>
    <t>66:41:0510017</t>
  </si>
  <si>
    <t>66:41:0510901</t>
  </si>
  <si>
    <t>66:41:0313112</t>
  </si>
  <si>
    <t>66:41:0313113</t>
  </si>
  <si>
    <t>66:41:0313114</t>
  </si>
  <si>
    <t>66:41:0313115</t>
  </si>
  <si>
    <t>66:41:0313116</t>
  </si>
  <si>
    <t>66:41:0313117</t>
  </si>
  <si>
    <t>66:41:0313118</t>
  </si>
  <si>
    <t>66:41:0313119</t>
  </si>
  <si>
    <t>66:41:0313122</t>
  </si>
  <si>
    <t>66:41:0404016</t>
  </si>
  <si>
    <t>66:41:0404021</t>
  </si>
  <si>
    <t>66:41:0313033</t>
  </si>
  <si>
    <t>66:41:0313013</t>
  </si>
  <si>
    <t>66:41:0313030</t>
  </si>
  <si>
    <t>66:41:0306075</t>
  </si>
  <si>
    <t>66:41:0306011</t>
  </si>
  <si>
    <t>66:41:0306055</t>
  </si>
  <si>
    <t>66:41:0306060</t>
  </si>
  <si>
    <t>66:41:0306073</t>
  </si>
  <si>
    <t>66:41:0306076</t>
  </si>
  <si>
    <t>66:41:0306077</t>
  </si>
  <si>
    <t>66:41:0306078</t>
  </si>
  <si>
    <t>66:41:0306080</t>
  </si>
  <si>
    <t>66:41:0306102</t>
  </si>
  <si>
    <t>66:41:0313002</t>
  </si>
  <si>
    <t>66:41:0313003</t>
  </si>
  <si>
    <t>66:41:0304033</t>
  </si>
  <si>
    <t>66:41:0309074</t>
  </si>
  <si>
    <t>66:41:0309075</t>
  </si>
  <si>
    <t>66:41:0309086</t>
  </si>
  <si>
    <t>66:41:0309087</t>
  </si>
  <si>
    <t>66:41:0306125</t>
  </si>
  <si>
    <t>66:41:0306095</t>
  </si>
  <si>
    <t>66:41:0306097</t>
  </si>
  <si>
    <t>66:41:0306103</t>
  </si>
  <si>
    <t>66:41:0306104</t>
  </si>
  <si>
    <t>66:41:0306107</t>
  </si>
  <si>
    <t>66:41:0306109</t>
  </si>
  <si>
    <t>66:41:0306115</t>
  </si>
  <si>
    <t>66:41:0306119</t>
  </si>
  <si>
    <t>66:41:0313004</t>
  </si>
  <si>
    <t>66:41:0313005</t>
  </si>
  <si>
    <t>66:41:0313121</t>
  </si>
  <si>
    <t>66:41:0313020</t>
  </si>
  <si>
    <t>66:41:0313010</t>
  </si>
  <si>
    <t>66:41:0306045</t>
  </si>
  <si>
    <t>66:41:0306041</t>
  </si>
  <si>
    <t>66:41:0306043</t>
  </si>
  <si>
    <t>66:41:0306056</t>
  </si>
  <si>
    <t>66:41:0306058</t>
  </si>
  <si>
    <t>66:41:0306061</t>
  </si>
  <si>
    <t>66:41:0306062</t>
  </si>
  <si>
    <t>66:41:0306067</t>
  </si>
  <si>
    <t>66:41:0306068</t>
  </si>
  <si>
    <t>66:41:0306069</t>
  </si>
  <si>
    <t>66:41:0306083</t>
  </si>
  <si>
    <t>66:41:0306084</t>
  </si>
  <si>
    <t>66:41:0306088</t>
  </si>
  <si>
    <t>66:41:0306126</t>
  </si>
  <si>
    <t>66:41:0306037</t>
  </si>
  <si>
    <t>66:41:0306038</t>
  </si>
  <si>
    <t>66:41:0306039</t>
  </si>
  <si>
    <t>66:41:0306040</t>
  </si>
  <si>
    <t>66:41:0306042</t>
  </si>
  <si>
    <t>66:41:0306051</t>
  </si>
  <si>
    <t>66:41:0306054</t>
  </si>
  <si>
    <t>66:41:0306072</t>
  </si>
  <si>
    <t>66:41:0306082</t>
  </si>
  <si>
    <t>66:41:0306123</t>
  </si>
  <si>
    <t>66:41:0306129</t>
  </si>
  <si>
    <t>66:41:0306057</t>
  </si>
  <si>
    <t>66:41:0306047</t>
  </si>
  <si>
    <t>66:41:0306044</t>
  </si>
  <si>
    <t>66:41:0306008</t>
  </si>
  <si>
    <t>66:41:0306014</t>
  </si>
  <si>
    <t>66:41:0306022</t>
  </si>
  <si>
    <t>66:41:0306031</t>
  </si>
  <si>
    <t>66:41:0306032</t>
  </si>
  <si>
    <t>66:41:0306033</t>
  </si>
  <si>
    <t>66:41:0306035</t>
  </si>
  <si>
    <t>66:41:0306049</t>
  </si>
  <si>
    <t>66:41:0306063</t>
  </si>
  <si>
    <t>66:41:0306066</t>
  </si>
  <si>
    <t>66:41:0306124</t>
  </si>
  <si>
    <t>66:41:0306128</t>
  </si>
  <si>
    <t>66:41:0306096</t>
  </si>
  <si>
    <t>66:41:0306092</t>
  </si>
  <si>
    <t>66:41:0306099</t>
  </si>
  <si>
    <t>66:41:0306100</t>
  </si>
  <si>
    <t>66:41:0306101</t>
  </si>
  <si>
    <t>66:41:0306106</t>
  </si>
  <si>
    <t>66:41:0310117</t>
  </si>
  <si>
    <t>66:41:0313026</t>
  </si>
  <si>
    <t>66:41:0313015</t>
  </si>
  <si>
    <t>66:41:0313017</t>
  </si>
  <si>
    <t>66:41:0313018</t>
  </si>
  <si>
    <t>66:41:0313019</t>
  </si>
  <si>
    <t>66:41:0313027</t>
  </si>
  <si>
    <t>66:41:0313093</t>
  </si>
  <si>
    <t>66:41:0313094</t>
  </si>
  <si>
    <t>66:41:0313095</t>
  </si>
  <si>
    <t>66:41:0313098</t>
  </si>
  <si>
    <t>66:41:0306087</t>
  </si>
  <si>
    <t>66:41:0306105</t>
  </si>
  <si>
    <t>66:41:0306113</t>
  </si>
  <si>
    <t>66:41:0306114</t>
  </si>
  <si>
    <t>66:41:0306116</t>
  </si>
  <si>
    <t>66:41:0306118</t>
  </si>
  <si>
    <t>66:41:0306130</t>
  </si>
  <si>
    <t>66:41:0310016</t>
  </si>
  <si>
    <t>66:41:0310024</t>
  </si>
  <si>
    <t>66:41:0306089</t>
  </si>
  <si>
    <t>66:41:0306903</t>
  </si>
  <si>
    <t>66:41:0518026</t>
  </si>
  <si>
    <t>66:25:0319001</t>
  </si>
  <si>
    <t>66:41:0513081</t>
  </si>
  <si>
    <t>66:41:0513077</t>
  </si>
  <si>
    <t>66:41:0513071</t>
  </si>
  <si>
    <t>66:41:0513074</t>
  </si>
  <si>
    <t>66:41:0513082</t>
  </si>
  <si>
    <t>66:41:0513088</t>
  </si>
  <si>
    <t>66:41:0513089</t>
  </si>
  <si>
    <t>66:41:0513090</t>
  </si>
  <si>
    <t>66:41:0513097</t>
  </si>
  <si>
    <t>66:41:0519056</t>
  </si>
  <si>
    <t>66:41:0519053</t>
  </si>
  <si>
    <t>66:41:0519031</t>
  </si>
  <si>
    <t>66:41:0519032</t>
  </si>
  <si>
    <t>66:41:0519033</t>
  </si>
  <si>
    <t>66:41:0519035</t>
  </si>
  <si>
    <t>66:41:0519037</t>
  </si>
  <si>
    <t>66:41:0519038</t>
  </si>
  <si>
    <t>66:41:0519039</t>
  </si>
  <si>
    <t>66:41:0519040</t>
  </si>
  <si>
    <t>66:41:0519047</t>
  </si>
  <si>
    <t>66:41:0519051</t>
  </si>
  <si>
    <t>66:41:0519052</t>
  </si>
  <si>
    <t>66:41:0519054</t>
  </si>
  <si>
    <t>66:41:0519055</t>
  </si>
  <si>
    <t>66:41:0519072</t>
  </si>
  <si>
    <t>66:41:0519122</t>
  </si>
  <si>
    <t>66:41:0519095</t>
  </si>
  <si>
    <t>66:41:0519099</t>
  </si>
  <si>
    <t>66:41:0519100</t>
  </si>
  <si>
    <t>66:41:0519104</t>
  </si>
  <si>
    <t>66:41:0519105</t>
  </si>
  <si>
    <t>66:41:0519123</t>
  </si>
  <si>
    <t>66:41:0513043</t>
  </si>
  <si>
    <t>66:41:0519017</t>
  </si>
  <si>
    <t>66:41:0519050</t>
  </si>
  <si>
    <t>66:41:0519070</t>
  </si>
  <si>
    <t>66:41:0519082</t>
  </si>
  <si>
    <t>66:41:0519121</t>
  </si>
  <si>
    <t>66:41:0519125</t>
  </si>
  <si>
    <t>66:41:0519126</t>
  </si>
  <si>
    <t>66:41:0519079</t>
  </si>
  <si>
    <t>66:41:0519044</t>
  </si>
  <si>
    <t>66:41:0519057</t>
  </si>
  <si>
    <t>66:41:0519062</t>
  </si>
  <si>
    <t>66:41:0519068</t>
  </si>
  <si>
    <t>66:41:0519069</t>
  </si>
  <si>
    <t>66:41:0519080</t>
  </si>
  <si>
    <t>66:41:0519081</t>
  </si>
  <si>
    <t>66:41:0519094</t>
  </si>
  <si>
    <t>66:41:0519096</t>
  </si>
  <si>
    <t>66:41:0519114</t>
  </si>
  <si>
    <t>66:41:0519119</t>
  </si>
  <si>
    <t>66:41:0519021</t>
  </si>
  <si>
    <t>66:41:0519014</t>
  </si>
  <si>
    <t>66:41:0519005</t>
  </si>
  <si>
    <t>66:41:0519006</t>
  </si>
  <si>
    <t>66:41:0519007</t>
  </si>
  <si>
    <t>66:41:0519013</t>
  </si>
  <si>
    <t>66:41:0519015</t>
  </si>
  <si>
    <t>66:41:0519022</t>
  </si>
  <si>
    <t>66:41:0519023</t>
  </si>
  <si>
    <t>66:41:0519027</t>
  </si>
  <si>
    <t>66:41:0519028</t>
  </si>
  <si>
    <t>66:41:0519045</t>
  </si>
  <si>
    <t>66:41:0519046</t>
  </si>
  <si>
    <t>66:41:0519091</t>
  </si>
  <si>
    <t>66:41:0513003</t>
  </si>
  <si>
    <t>66:41:0513099</t>
  </si>
  <si>
    <t>66:41:0513102</t>
  </si>
  <si>
    <t>66:41:0514015</t>
  </si>
  <si>
    <t>66:41:0514032</t>
  </si>
  <si>
    <t>66:41:0514033</t>
  </si>
  <si>
    <t>66:41:0514045</t>
  </si>
  <si>
    <t>66:41:0514046</t>
  </si>
  <si>
    <t>66:41:0527002</t>
  </si>
  <si>
    <t>66:41:0519092</t>
  </si>
  <si>
    <t>66:41:0519004</t>
  </si>
  <si>
    <t>66:41:0519011</t>
  </si>
  <si>
    <t>66:41:0519030</t>
  </si>
  <si>
    <t>66:41:0519036</t>
  </si>
  <si>
    <t>66:41:0519049</t>
  </si>
  <si>
    <t>66:41:0519077</t>
  </si>
  <si>
    <t>66:41:0519078</t>
  </si>
  <si>
    <t>66:41:0519087</t>
  </si>
  <si>
    <t>66:41:0519093</t>
  </si>
  <si>
    <t>66:41:0519111</t>
  </si>
  <si>
    <t>66:41:0519117</t>
  </si>
  <si>
    <t>66:41:0519118</t>
  </si>
  <si>
    <t>66:41:0519127</t>
  </si>
  <si>
    <t>66:41:0519001</t>
  </si>
  <si>
    <t>66:41:0519002</t>
  </si>
  <si>
    <t>66:41:0519009</t>
  </si>
  <si>
    <t>66:41:0519012</t>
  </si>
  <si>
    <t>66:41:0519016</t>
  </si>
  <si>
    <t>66:41:0519026</t>
  </si>
  <si>
    <t>66:41:0519130</t>
  </si>
  <si>
    <t>66:41:0519065</t>
  </si>
  <si>
    <t>66:41:0519024</t>
  </si>
  <si>
    <t>66:41:0519025</t>
  </si>
  <si>
    <t>66:41:0519041</t>
  </si>
  <si>
    <t>66:41:0519042</t>
  </si>
  <si>
    <t>66:41:0519058</t>
  </si>
  <si>
    <t>66:41:0519059</t>
  </si>
  <si>
    <t>66:41:0519060</t>
  </si>
  <si>
    <t>66:41:0519061</t>
  </si>
  <si>
    <t>66:41:0519066</t>
  </si>
  <si>
    <t>66:41:0519067</t>
  </si>
  <si>
    <t>66:41:0519131</t>
  </si>
  <si>
    <t>66:41:0519132</t>
  </si>
  <si>
    <t>66:41:0519133</t>
  </si>
  <si>
    <t>66:41:0519073</t>
  </si>
  <si>
    <t>66:41:0519075</t>
  </si>
  <si>
    <t>66:41:0519076</t>
  </si>
  <si>
    <t>66:41:0519084</t>
  </si>
  <si>
    <t>66:41:0519085</t>
  </si>
  <si>
    <t>66:41:0519086</t>
  </si>
  <si>
    <t>66:41:0519088</t>
  </si>
  <si>
    <t>66:41:0519089</t>
  </si>
  <si>
    <t>66:41:0519090</t>
  </si>
  <si>
    <t>66:41:0523006</t>
  </si>
  <si>
    <t>66:41:0523001</t>
  </si>
  <si>
    <t>66:41:0523002</t>
  </si>
  <si>
    <t>66:41:0523003</t>
  </si>
  <si>
    <t>66:41:0523004</t>
  </si>
  <si>
    <t>66:41:0523005</t>
  </si>
  <si>
    <t>66:41:0523007</t>
  </si>
  <si>
    <t>66:41:0523008</t>
  </si>
  <si>
    <t>66:41:0523009</t>
  </si>
  <si>
    <t>66:41:0523901</t>
  </si>
  <si>
    <t>66:41:0524001</t>
  </si>
  <si>
    <t>66:41:0524002</t>
  </si>
  <si>
    <t>66:41:0524003</t>
  </si>
  <si>
    <t>66:41:0524004</t>
  </si>
  <si>
    <t>66:41:0524005</t>
  </si>
  <si>
    <t>66:41:0524006</t>
  </si>
  <si>
    <t>66:41:0524901</t>
  </si>
  <si>
    <t>66:41:0513511</t>
  </si>
  <si>
    <t>66:41:0519008</t>
  </si>
  <si>
    <t>66:41:0513006</t>
  </si>
  <si>
    <t>66:41:0513059</t>
  </si>
  <si>
    <t>66:41:0513066</t>
  </si>
  <si>
    <t>66:41:0513067</t>
  </si>
  <si>
    <t>66:41:0513070</t>
  </si>
  <si>
    <t>66:41:0513079</t>
  </si>
  <si>
    <t>66:41:0513080</t>
  </si>
  <si>
    <t>66:41:0513086</t>
  </si>
  <si>
    <t>66:41:0513087</t>
  </si>
  <si>
    <t>66:41:0513094</t>
  </si>
  <si>
    <t>66:41:0513096</t>
  </si>
  <si>
    <t>66:41:0513001</t>
  </si>
  <si>
    <t>66:41:0513002</t>
  </si>
  <si>
    <t>66:41:0513104</t>
  </si>
  <si>
    <t>66:41:0513110</t>
  </si>
  <si>
    <t>66:41:0513111</t>
  </si>
  <si>
    <t>66:41:0513508</t>
  </si>
  <si>
    <t>66:41:0513509</t>
  </si>
  <si>
    <t>66:41:0513126</t>
  </si>
  <si>
    <t>66:41:0513120</t>
  </si>
  <si>
    <t>66:41:0513113</t>
  </si>
  <si>
    <t>66:41:0513114</t>
  </si>
  <si>
    <t>66:41:0513116</t>
  </si>
  <si>
    <t>66:41:0513117</t>
  </si>
  <si>
    <t>66:41:0513118</t>
  </si>
  <si>
    <t>66:41:0513119</t>
  </si>
  <si>
    <t>66:41:0513122</t>
  </si>
  <si>
    <t>66:41:0513123</t>
  </si>
  <si>
    <t>66:41:0513124</t>
  </si>
  <si>
    <t>66:41:0513129</t>
  </si>
  <si>
    <t>66:41:0513062</t>
  </si>
  <si>
    <t>66:41:0513060</t>
  </si>
  <si>
    <t>66:41:0513061</t>
  </si>
  <si>
    <t>66:41:0513063</t>
  </si>
  <si>
    <t>66:41:0513064</t>
  </si>
  <si>
    <t>66:41:0513083</t>
  </si>
  <si>
    <t>66:41:0513092</t>
  </si>
  <si>
    <t>66:41:0513093</t>
  </si>
  <si>
    <t>66:41:0513027</t>
  </si>
  <si>
    <t>66:41:0513026</t>
  </si>
  <si>
    <t>66:41:0513130</t>
  </si>
  <si>
    <t>66:41:0517002</t>
  </si>
  <si>
    <t>66:41:0517004</t>
  </si>
  <si>
    <t>66:41:0517005</t>
  </si>
  <si>
    <t>66:41:0513011</t>
  </si>
  <si>
    <t>66:41:0513012</t>
  </si>
  <si>
    <t>66:41:0513015</t>
  </si>
  <si>
    <t>66:41:0513016</t>
  </si>
  <si>
    <t>66:41:0513020</t>
  </si>
  <si>
    <t>66:41:0513021</t>
  </si>
  <si>
    <t>66:41:0513022</t>
  </si>
  <si>
    <t>66:41:0513025</t>
  </si>
  <si>
    <t>66:41:0513053</t>
  </si>
  <si>
    <t>66:41:0513024</t>
  </si>
  <si>
    <t>66:41:0512028</t>
  </si>
  <si>
    <t>66:41:0512022</t>
  </si>
  <si>
    <t>66:41:0512023</t>
  </si>
  <si>
    <t>66:41:0512029</t>
  </si>
  <si>
    <t>66:41:0512035</t>
  </si>
  <si>
    <t>66:41:0512036</t>
  </si>
  <si>
    <t>66:41:0512037</t>
  </si>
  <si>
    <t>66:41:0512042</t>
  </si>
  <si>
    <t>66:41:0513018</t>
  </si>
  <si>
    <t>66:41:0513019</t>
  </si>
  <si>
    <t>66:41:0513029</t>
  </si>
  <si>
    <t>66:41:0513030</t>
  </si>
  <si>
    <t>66:41:0513131</t>
  </si>
  <si>
    <t>66:41:0001002</t>
  </si>
  <si>
    <t>66:41:0313120</t>
  </si>
  <si>
    <t>66:41:0512012</t>
  </si>
  <si>
    <t>66:41:0513004</t>
  </si>
  <si>
    <t>66:41:0513010</t>
  </si>
  <si>
    <t>66:41:0513013</t>
  </si>
  <si>
    <t>66:41:0513014</t>
  </si>
  <si>
    <t>66:41:0513017</t>
  </si>
  <si>
    <t>66:41:0203056</t>
  </si>
  <si>
    <t>66:41:0203030</t>
  </si>
  <si>
    <t>66:41:0203031</t>
  </si>
  <si>
    <t>66:41:0203040</t>
  </si>
  <si>
    <t>66:41:0203041</t>
  </si>
  <si>
    <t>66:41:0203042</t>
  </si>
  <si>
    <t>66:41:0203043</t>
  </si>
  <si>
    <t>66:41:0203044</t>
  </si>
  <si>
    <t>66:41:0203052</t>
  </si>
  <si>
    <t>66:41:0203053</t>
  </si>
  <si>
    <t>66:41:0203054</t>
  </si>
  <si>
    <t>66:41:0203057</t>
  </si>
  <si>
    <t>66:41:0203058</t>
  </si>
  <si>
    <t>66:41:0203061</t>
  </si>
  <si>
    <t>66:41:0203062</t>
  </si>
  <si>
    <t>66:41:0203075</t>
  </si>
  <si>
    <t>66:41:0203059</t>
  </si>
  <si>
    <t>66:41:0203060</t>
  </si>
  <si>
    <t>66:41:0203066</t>
  </si>
  <si>
    <t>66:41:0203067</t>
  </si>
  <si>
    <t>66:41:0203068</t>
  </si>
  <si>
    <t>66:41:0203069</t>
  </si>
  <si>
    <t>66:41:0203070</t>
  </si>
  <si>
    <t>66:41:0203071</t>
  </si>
  <si>
    <t>66:41:0203072</t>
  </si>
  <si>
    <t>66:41:0203073</t>
  </si>
  <si>
    <t>66:41:0203065</t>
  </si>
  <si>
    <t>66:41:0203022</t>
  </si>
  <si>
    <t>66:41:0203023</t>
  </si>
  <si>
    <t>66:41:0203024</t>
  </si>
  <si>
    <t>66:41:0203032</t>
  </si>
  <si>
    <t>66:41:0203033</t>
  </si>
  <si>
    <t>66:41:0203034</t>
  </si>
  <si>
    <t>66:41:0203046</t>
  </si>
  <si>
    <t>66:41:0203047</t>
  </si>
  <si>
    <t>66:41:0203048</t>
  </si>
  <si>
    <t>66:41:0203049</t>
  </si>
  <si>
    <t>66:41:0203063</t>
  </si>
  <si>
    <t>66:41:0203064</t>
  </si>
  <si>
    <t>66:41:0203901</t>
  </si>
  <si>
    <t>66:41:0208006</t>
  </si>
  <si>
    <t>66:41:0307071</t>
  </si>
  <si>
    <t>66:41:0307044</t>
  </si>
  <si>
    <t>66:41:0307061</t>
  </si>
  <si>
    <t>66:41:0307070</t>
  </si>
  <si>
    <t>66:41:0307073</t>
  </si>
  <si>
    <t>66:41:0307077</t>
  </si>
  <si>
    <t>66:41:0307084</t>
  </si>
  <si>
    <t>66:41:0309081</t>
  </si>
  <si>
    <t>66:41:0309082</t>
  </si>
  <si>
    <t>66:41:0309083</t>
  </si>
  <si>
    <t>66:41:0203020</t>
  </si>
  <si>
    <t>66:41:0203021</t>
  </si>
  <si>
    <t>66:41:0203045</t>
  </si>
  <si>
    <t>66:41:0203076</t>
  </si>
  <si>
    <t>66:41:0203078</t>
  </si>
  <si>
    <t>66:41:0203001</t>
  </si>
  <si>
    <t>66:41:0203006</t>
  </si>
  <si>
    <t>66:41:0203007</t>
  </si>
  <si>
    <t>66:41:0203010</t>
  </si>
  <si>
    <t>66:41:0203011</t>
  </si>
  <si>
    <t>66:41:0203012</t>
  </si>
  <si>
    <t>66:41:0203013</t>
  </si>
  <si>
    <t>66:41:0203014</t>
  </si>
  <si>
    <t>66:41:0203016</t>
  </si>
  <si>
    <t>66:41:0204002</t>
  </si>
  <si>
    <t>66:41:0204003</t>
  </si>
  <si>
    <t>66:41:0209055</t>
  </si>
  <si>
    <t>66:41:0209056</t>
  </si>
  <si>
    <t>66:41:0209057</t>
  </si>
  <si>
    <t>66:41:0202006</t>
  </si>
  <si>
    <t>66:41:0209021</t>
  </si>
  <si>
    <t>66:41:0209022</t>
  </si>
  <si>
    <t>66:41:0209031</t>
  </si>
  <si>
    <t>66:41:0309080</t>
  </si>
  <si>
    <t>66:41:0309073</t>
  </si>
  <si>
    <t>66:41:0307082</t>
  </si>
  <si>
    <t>66:41:0307083</t>
  </si>
  <si>
    <t>66:41:0309053</t>
  </si>
  <si>
    <t>66:41:0309054</t>
  </si>
  <si>
    <t>66:41:0309056</t>
  </si>
  <si>
    <t>66:41:0309077</t>
  </si>
  <si>
    <t>66:41:0309079</t>
  </si>
  <si>
    <t>66:41:0309085</t>
  </si>
  <si>
    <t>66:41:0208002</t>
  </si>
  <si>
    <t>66:41:0208005</t>
  </si>
  <si>
    <t>66:41:0208009</t>
  </si>
  <si>
    <t>66:41:0307060</t>
  </si>
  <si>
    <t>66:41:0307066</t>
  </si>
  <si>
    <t>66:41:0307067</t>
  </si>
  <si>
    <t>66:41:0307080</t>
  </si>
  <si>
    <t>66:41:0307081</t>
  </si>
  <si>
    <t>66:41:0209039</t>
  </si>
  <si>
    <t>66:41:0209018</t>
  </si>
  <si>
    <t>66:41:0209019</t>
  </si>
  <si>
    <t>66:41:0209020</t>
  </si>
  <si>
    <t>66:41:0209028</t>
  </si>
  <si>
    <t>66:41:0209029</t>
  </si>
  <si>
    <t>66:41:0209030</t>
  </si>
  <si>
    <t>66:41:0209040</t>
  </si>
  <si>
    <t>66:41:0209041</t>
  </si>
  <si>
    <t>66:41:0209063</t>
  </si>
  <si>
    <t>66:41:0209104</t>
  </si>
  <si>
    <t>66:41:0201007</t>
  </si>
  <si>
    <t>66:41:0201008</t>
  </si>
  <si>
    <t>66:41:0208001</t>
  </si>
  <si>
    <t>66:41:0208003</t>
  </si>
  <si>
    <t>66:41:0208011</t>
  </si>
  <si>
    <t>66:41:0209072</t>
  </si>
  <si>
    <t>66:41:0307059</t>
  </si>
  <si>
    <t>66:41:0307064</t>
  </si>
  <si>
    <t>66:41:0307065</t>
  </si>
  <si>
    <t>66:41:0314018</t>
  </si>
  <si>
    <t>66:41:0314003</t>
  </si>
  <si>
    <t>66:41:0309007</t>
  </si>
  <si>
    <t>66:41:0309015</t>
  </si>
  <si>
    <t>66:41:0309024</t>
  </si>
  <si>
    <t>66:41:0309052</t>
  </si>
  <si>
    <t>66:41:0309055</t>
  </si>
  <si>
    <t>66:41:0309059</t>
  </si>
  <si>
    <t>66:41:0314001</t>
  </si>
  <si>
    <t>66:41:0314002</t>
  </si>
  <si>
    <t>66:41:0314004</t>
  </si>
  <si>
    <t>66:41:0314005</t>
  </si>
  <si>
    <t>66:41:0314015</t>
  </si>
  <si>
    <t>66:41:0314016</t>
  </si>
  <si>
    <t>66:41:0314017</t>
  </si>
  <si>
    <t>66:41:0314901</t>
  </si>
  <si>
    <t>66:41:0209078</t>
  </si>
  <si>
    <t>66:41:0201019</t>
  </si>
  <si>
    <t>66:41:0201004</t>
  </si>
  <si>
    <t>66:41:0201005</t>
  </si>
  <si>
    <t>66:41:0201902</t>
  </si>
  <si>
    <t>66:41:0209071</t>
  </si>
  <si>
    <t>66:41:0209075</t>
  </si>
  <si>
    <t>66:41:0209076</t>
  </si>
  <si>
    <t>66:41:0201011</t>
  </si>
  <si>
    <t>66:41:0201009</t>
  </si>
  <si>
    <t>66:41:0201010</t>
  </si>
  <si>
    <t>66:41:0201013</t>
  </si>
  <si>
    <t>66:41:0201016</t>
  </si>
  <si>
    <t>66:41:0201018</t>
  </si>
  <si>
    <t>66:41:0201901</t>
  </si>
  <si>
    <t>66:41:0208004</t>
  </si>
  <si>
    <t>66:41:0307057</t>
  </si>
  <si>
    <t>66:41:0307054</t>
  </si>
  <si>
    <t>66:41:0307013</t>
  </si>
  <si>
    <t>66:41:0307014</t>
  </si>
  <si>
    <t>66:41:0307050</t>
  </si>
  <si>
    <t>66:41:0307052</t>
  </si>
  <si>
    <t>66:41:0307053</t>
  </si>
  <si>
    <t>66:41:0307055</t>
  </si>
  <si>
    <t>66:41:0307056</t>
  </si>
  <si>
    <t>66:41:0307058</t>
  </si>
  <si>
    <t>66:41:0307079</t>
  </si>
  <si>
    <t>66:41:0308010</t>
  </si>
  <si>
    <t>66:41:0309008</t>
  </si>
  <si>
    <t>66:41:0309009</t>
  </si>
  <si>
    <t>66:41:0309010</t>
  </si>
  <si>
    <t>66:41:0309021</t>
  </si>
  <si>
    <t>66:41:0309022</t>
  </si>
  <si>
    <t>66:41:0308021</t>
  </si>
  <si>
    <t>66:41:0308004</t>
  </si>
  <si>
    <t>66:41:0308005</t>
  </si>
  <si>
    <t>66:41:0308007</t>
  </si>
  <si>
    <t>66:41:0308008</t>
  </si>
  <si>
    <t>66:41:0308011</t>
  </si>
  <si>
    <t>66:41:0308012</t>
  </si>
  <si>
    <t>66:41:0308013</t>
  </si>
  <si>
    <t>66:41:0308014</t>
  </si>
  <si>
    <t>66:41:0308015</t>
  </si>
  <si>
    <t>66:41:0308016</t>
  </si>
  <si>
    <t>66:41:0308017</t>
  </si>
  <si>
    <t>66:41:0308018</t>
  </si>
  <si>
    <t>66:41:0308019</t>
  </si>
  <si>
    <t>66:41:0308020</t>
  </si>
  <si>
    <t>66:41:0308901</t>
  </si>
  <si>
    <t>66:41:0209007</t>
  </si>
  <si>
    <t>66:41:0209010</t>
  </si>
  <si>
    <t>66:41:0209011</t>
  </si>
  <si>
    <t>66:41:0209012</t>
  </si>
  <si>
    <t>66:41:0209016</t>
  </si>
  <si>
    <t>66:41:0209017</t>
  </si>
  <si>
    <t>66:41:0209026</t>
  </si>
  <si>
    <t>66:41:0209027</t>
  </si>
  <si>
    <t>66:41:0209052</t>
  </si>
  <si>
    <t>66:41:0209053</t>
  </si>
  <si>
    <t>66:41:0209054</t>
  </si>
  <si>
    <t>66:41:0209069</t>
  </si>
  <si>
    <t>66:41:0209070</t>
  </si>
  <si>
    <t>66:41:0307021</t>
  </si>
  <si>
    <t>66:41:0307023</t>
  </si>
  <si>
    <t>66:41:0307024</t>
  </si>
  <si>
    <t>66:41:0307036</t>
  </si>
  <si>
    <t>66:41:0307038</t>
  </si>
  <si>
    <t>66:41:0308001</t>
  </si>
  <si>
    <t>66:41:0307048</t>
  </si>
  <si>
    <t>66:41:0307088</t>
  </si>
  <si>
    <t>66:41:0307090</t>
  </si>
  <si>
    <t>66:41:0307095</t>
  </si>
  <si>
    <t>66:41:0309003</t>
  </si>
  <si>
    <t>66:41:0309004</t>
  </si>
  <si>
    <t>66:41:0309020</t>
  </si>
  <si>
    <t>66:41:0201001</t>
  </si>
  <si>
    <t>66:41:0209089</t>
  </si>
  <si>
    <t>66:41:0209090</t>
  </si>
  <si>
    <t>66:41:0209100</t>
  </si>
  <si>
    <t>66:41:0209101</t>
  </si>
  <si>
    <t>66:41:0209113</t>
  </si>
  <si>
    <t>66:41:0307049</t>
  </si>
  <si>
    <t>66:41:0307042</t>
  </si>
  <si>
    <t>66:41:0307015</t>
  </si>
  <si>
    <t>66:41:0307089</t>
  </si>
  <si>
    <t>66:41:0307094</t>
  </si>
  <si>
    <t>66:41:0307096</t>
  </si>
  <si>
    <t>66:41:0307098</t>
  </si>
  <si>
    <t>66:41:0511004</t>
  </si>
  <si>
    <t>66:41:0313103</t>
  </si>
  <si>
    <t>66:41:0511001</t>
  </si>
  <si>
    <t>66:41:0511005</t>
  </si>
  <si>
    <t>66:41:0511008</t>
  </si>
  <si>
    <t>66:41:0511009</t>
  </si>
  <si>
    <t>66:41:0511015</t>
  </si>
  <si>
    <t>66:41:0511016</t>
  </si>
  <si>
    <t>66:41:0511018</t>
  </si>
  <si>
    <t>66:41:0511031</t>
  </si>
  <si>
    <t>66:41:0511033</t>
  </si>
  <si>
    <t>66:41:0513009</t>
  </si>
  <si>
    <t>66:41:0310008</t>
  </si>
  <si>
    <t>66:41:0310020</t>
  </si>
  <si>
    <t>66:41:0310021</t>
  </si>
  <si>
    <t>66:41:0310023</t>
  </si>
  <si>
    <t>66:41:0313014</t>
  </si>
  <si>
    <t>66:41:0313092</t>
  </si>
  <si>
    <t>66:41:0310031</t>
  </si>
  <si>
    <t>66:41:0310022</t>
  </si>
  <si>
    <t>66:41:0310025</t>
  </si>
  <si>
    <t>66:41:0310027</t>
  </si>
  <si>
    <t>66:41:0310028</t>
  </si>
  <si>
    <t>66:41:0310104</t>
  </si>
  <si>
    <t>66:41:0315001</t>
  </si>
  <si>
    <t>66:41:0315008</t>
  </si>
  <si>
    <t>66:41:0315015</t>
  </si>
  <si>
    <t>66:41:0315017</t>
  </si>
  <si>
    <t>66:41:0315013</t>
  </si>
  <si>
    <t>66:41:0309067</t>
  </si>
  <si>
    <t>66:41:0309089</t>
  </si>
  <si>
    <t>66:41:0315003</t>
  </si>
  <si>
    <t>66:41:0315007</t>
  </si>
  <si>
    <t>66:41:0315009</t>
  </si>
  <si>
    <t>66:41:0315010</t>
  </si>
  <si>
    <t>66:41:0315011</t>
  </si>
  <si>
    <t>66:41:0315901</t>
  </si>
  <si>
    <t>66:41:0310046</t>
  </si>
  <si>
    <t>66:41:0310037</t>
  </si>
  <si>
    <t>66:41:0310045</t>
  </si>
  <si>
    <t>66:41:0310047</t>
  </si>
  <si>
    <t>66:41:0310048</t>
  </si>
  <si>
    <t>66:41:0309046</t>
  </si>
  <si>
    <t>66:41:0309090</t>
  </si>
  <si>
    <t>66:41:0310032</t>
  </si>
  <si>
    <t>66:41:0310033</t>
  </si>
  <si>
    <t>66:41:0310118</t>
  </si>
  <si>
    <t>66:41:0310043</t>
  </si>
  <si>
    <t>66:41:0309048</t>
  </si>
  <si>
    <t>66:41:0310100</t>
  </si>
  <si>
    <t>66:41:0310121</t>
  </si>
  <si>
    <t>66:41:0310060</t>
  </si>
  <si>
    <t>66:41:0313008</t>
  </si>
  <si>
    <t>66:41:0313085</t>
  </si>
  <si>
    <t>66:41:0313100</t>
  </si>
  <si>
    <t>66:41:0313102</t>
  </si>
  <si>
    <t>66:41:0313108</t>
  </si>
  <si>
    <t>66:41:0309070</t>
  </si>
  <si>
    <t>66:41:0309013</t>
  </si>
  <si>
    <t>66:41:0309062</t>
  </si>
  <si>
    <t>66:41:0309065</t>
  </si>
  <si>
    <t>66:41:0309069</t>
  </si>
  <si>
    <t>66:41:0310108</t>
  </si>
  <si>
    <t>66:41:0309043</t>
  </si>
  <si>
    <t>66:41:0309045</t>
  </si>
  <si>
    <t>66:41:0309047</t>
  </si>
  <si>
    <t>66:41:0310057</t>
  </si>
  <si>
    <t>66:41:0310105</t>
  </si>
  <si>
    <t>66:41:0310106</t>
  </si>
  <si>
    <t>66:41:0310107</t>
  </si>
  <si>
    <t>66:41:0310109</t>
  </si>
  <si>
    <t>66:41:0310110</t>
  </si>
  <si>
    <t>66:41:0310111</t>
  </si>
  <si>
    <t>66:41:0310113</t>
  </si>
  <si>
    <t>66:41:0310901</t>
  </si>
  <si>
    <t>66:41:0511013</t>
  </si>
  <si>
    <t>66:41:0313104</t>
  </si>
  <si>
    <t>66:41:0313105</t>
  </si>
  <si>
    <t>66:41:0313106</t>
  </si>
  <si>
    <t>66:41:0511012</t>
  </si>
  <si>
    <t>66:41:0511035</t>
  </si>
  <si>
    <t>66:41:0513007</t>
  </si>
  <si>
    <t>66:41:0513008</t>
  </si>
  <si>
    <t>66:41:0311013</t>
  </si>
  <si>
    <t>66:41:0311003</t>
  </si>
  <si>
    <t>66:41:0311006</t>
  </si>
  <si>
    <t>66:41:0311007</t>
  </si>
  <si>
    <t>66:41:0311008</t>
  </si>
  <si>
    <t>66:41:0311011</t>
  </si>
  <si>
    <t>66:41:0311012</t>
  </si>
  <si>
    <t>66:41:0311016</t>
  </si>
  <si>
    <t>66:41:0311017</t>
  </si>
  <si>
    <t>66:41:0313086</t>
  </si>
  <si>
    <t>66:41:0313087</t>
  </si>
  <si>
    <t>66:41:0313088</t>
  </si>
  <si>
    <t>66:41:0313097</t>
  </si>
  <si>
    <t>66:41:0313110</t>
  </si>
  <si>
    <t>66:41:0309094</t>
  </si>
  <si>
    <t>66:41:0309029</t>
  </si>
  <si>
    <t>66:41:0309035</t>
  </si>
  <si>
    <t>66:41:0309036</t>
  </si>
  <si>
    <t>66:41:0309042</t>
  </si>
  <si>
    <t>66:41:0309095</t>
  </si>
  <si>
    <t>66:41:0309096</t>
  </si>
  <si>
    <t>66:41:0311901</t>
  </si>
  <si>
    <t>66:41:0310090</t>
  </si>
  <si>
    <t>66:41:0311001</t>
  </si>
  <si>
    <t>66:41:0311004</t>
  </si>
  <si>
    <t>66:41:0311005</t>
  </si>
  <si>
    <t>66:41:0311015</t>
  </si>
  <si>
    <t>66:41:0311018</t>
  </si>
  <si>
    <t>66:41:0311019</t>
  </si>
  <si>
    <t>66:41:0311020</t>
  </si>
  <si>
    <t>66:41:0309039</t>
  </si>
  <si>
    <t>66:41:0310052</t>
  </si>
  <si>
    <t>66:41:0310054</t>
  </si>
  <si>
    <t>66:41:0309041</t>
  </si>
  <si>
    <t>66:41:0310072</t>
  </si>
  <si>
    <t>66:41:0310077</t>
  </si>
  <si>
    <t>66:41:0310089</t>
  </si>
  <si>
    <t>66:41:0310098</t>
  </si>
  <si>
    <t>66:41:0311002</t>
  </si>
  <si>
    <t>66:41:0311009</t>
  </si>
  <si>
    <t>66:41:0313011</t>
  </si>
  <si>
    <t>66:41:0313012</t>
  </si>
  <si>
    <t>66:41:0313043</t>
  </si>
  <si>
    <t>66:41:0313107</t>
  </si>
  <si>
    <t>66:19:1909002</t>
  </si>
  <si>
    <t>Влияние Нижнего Тагила</t>
  </si>
  <si>
    <t>66:19:1907004</t>
  </si>
  <si>
    <t>66:19:1907005</t>
  </si>
  <si>
    <t>66:19:2901001</t>
  </si>
  <si>
    <t>66:19:1906002</t>
  </si>
  <si>
    <t>66:19:1906003</t>
  </si>
  <si>
    <t>66:19:1906004</t>
  </si>
  <si>
    <t>66:19:1906005</t>
  </si>
  <si>
    <t>66:19:1906006</t>
  </si>
  <si>
    <t>66:19:1906007</t>
  </si>
  <si>
    <t>66:19:1906008</t>
  </si>
  <si>
    <t>66:19:1906009</t>
  </si>
  <si>
    <t>66:19:1906010</t>
  </si>
  <si>
    <t>66:19:1906011</t>
  </si>
  <si>
    <t>66:19:1907001</t>
  </si>
  <si>
    <t>66:19:1907002</t>
  </si>
  <si>
    <t>66:19:1907003</t>
  </si>
  <si>
    <t>66:19:3101002</t>
  </si>
  <si>
    <t>66:19:1906001</t>
  </si>
  <si>
    <t>66:19:1906012</t>
  </si>
  <si>
    <t>66:19:3001001</t>
  </si>
  <si>
    <t>66:19:3101001</t>
  </si>
  <si>
    <t>66:19:3101003</t>
  </si>
  <si>
    <t>66:19:3101004</t>
  </si>
  <si>
    <t>66:19:3101005</t>
  </si>
  <si>
    <t>66:19:3101006</t>
  </si>
  <si>
    <t>66:19:3101007</t>
  </si>
  <si>
    <t>66:19:1905011</t>
  </si>
  <si>
    <t>66:19:1908002</t>
  </si>
  <si>
    <t>66:19:1905008</t>
  </si>
  <si>
    <t>66:19:1905010</t>
  </si>
  <si>
    <t>66:19:1905009</t>
  </si>
  <si>
    <t>66:19:1101005</t>
  </si>
  <si>
    <t>66:19:1101001</t>
  </si>
  <si>
    <t>66:19:1101002</t>
  </si>
  <si>
    <t>66:19:1101003</t>
  </si>
  <si>
    <t>66:19:1101004</t>
  </si>
  <si>
    <t>66:19:1101006</t>
  </si>
  <si>
    <t>66:62:0107015</t>
  </si>
  <si>
    <t>66:62:0106009</t>
  </si>
  <si>
    <t>66:62:0107011</t>
  </si>
  <si>
    <t>66:62:0107012</t>
  </si>
  <si>
    <t>66:62:0107014</t>
  </si>
  <si>
    <t>66:62:0504006</t>
  </si>
  <si>
    <t>surl_2</t>
  </si>
  <si>
    <t>66:62:0504007</t>
  </si>
  <si>
    <t>66:36:3501001</t>
  </si>
  <si>
    <t>66:62:0201001</t>
  </si>
  <si>
    <t>66:62:0201002</t>
  </si>
  <si>
    <t>66:62:0201003</t>
  </si>
  <si>
    <t>66:62:0201004</t>
  </si>
  <si>
    <t>66:62:0601001</t>
  </si>
  <si>
    <t>66:36:2701001</t>
  </si>
  <si>
    <t>vpsh_3</t>
  </si>
  <si>
    <t>66:36:3001001</t>
  </si>
  <si>
    <t>66:36:3101002</t>
  </si>
  <si>
    <t>66:36:1501012</t>
  </si>
  <si>
    <t>66:62:0103007</t>
  </si>
  <si>
    <t>66:62:0103001</t>
  </si>
  <si>
    <t>66:62:0103002</t>
  </si>
  <si>
    <t>66:62:0103003</t>
  </si>
  <si>
    <t>66:62:0103004</t>
  </si>
  <si>
    <t>66:62:0103005</t>
  </si>
  <si>
    <t>66:62:0103006</t>
  </si>
  <si>
    <t>66:62:0103008</t>
  </si>
  <si>
    <t>66:62:0104008</t>
  </si>
  <si>
    <t>66:62:0106001</t>
  </si>
  <si>
    <t>66:62:0106002</t>
  </si>
  <si>
    <t>66:62:0106003</t>
  </si>
  <si>
    <t>66:62:0501001</t>
  </si>
  <si>
    <t>66:36:3101015</t>
  </si>
  <si>
    <t>66:36:3401001</t>
  </si>
  <si>
    <t>66:36:3103001</t>
  </si>
  <si>
    <t>66:62:0301001</t>
  </si>
  <si>
    <t>66:62:0301002</t>
  </si>
  <si>
    <t>66:62:0301003</t>
  </si>
  <si>
    <t>66:62:0401001</t>
  </si>
  <si>
    <t>66:62:0504001</t>
  </si>
  <si>
    <t>66:62:0504002</t>
  </si>
  <si>
    <t>66:62:0504003</t>
  </si>
  <si>
    <t>66:62:0504004</t>
  </si>
  <si>
    <t>66:62:0504005</t>
  </si>
  <si>
    <t>66:36:1601001</t>
  </si>
  <si>
    <t>66:36:1601002</t>
  </si>
  <si>
    <t>66:36:3103003</t>
  </si>
  <si>
    <t>66:36:3103004</t>
  </si>
  <si>
    <t>66:36:3103005</t>
  </si>
  <si>
    <t>66:36:3103006</t>
  </si>
  <si>
    <t>66:36:3103007</t>
  </si>
  <si>
    <t>66:36:1501025</t>
  </si>
  <si>
    <t>66:36:1501020</t>
  </si>
  <si>
    <t>66:36:1501010</t>
  </si>
  <si>
    <t>66:36:1501013</t>
  </si>
  <si>
    <t>66:36:1501014</t>
  </si>
  <si>
    <t>66:36:1501015</t>
  </si>
  <si>
    <t>66:36:1501017</t>
  </si>
  <si>
    <t>66:36:1501021</t>
  </si>
  <si>
    <t>66:36:1501022</t>
  </si>
  <si>
    <t>66:36:1501023</t>
  </si>
  <si>
    <t>66:36:1501024</t>
  </si>
  <si>
    <t>66:36:1501026</t>
  </si>
  <si>
    <t>66:36:1501027</t>
  </si>
  <si>
    <t>66:36:3103002</t>
  </si>
  <si>
    <t>66:36:1501011</t>
  </si>
  <si>
    <t>66:36:1501001</t>
  </si>
  <si>
    <t>66:36:1501002</t>
  </si>
  <si>
    <t>66:36:1501003</t>
  </si>
  <si>
    <t>66:36:1501004</t>
  </si>
  <si>
    <t>66:36:1501005</t>
  </si>
  <si>
    <t>66:36:1501006</t>
  </si>
  <si>
    <t>66:36:1501007</t>
  </si>
  <si>
    <t>66:36:1501009</t>
  </si>
  <si>
    <t>66:36:3101001</t>
  </si>
  <si>
    <t>66:36:3101012</t>
  </si>
  <si>
    <t>66:36:3101013</t>
  </si>
  <si>
    <t>66:36:3101014</t>
  </si>
  <si>
    <t>66:41:0209099</t>
  </si>
  <si>
    <t>66:41:0209111</t>
  </si>
  <si>
    <t>66:41:0209112</t>
  </si>
  <si>
    <t>66:41:0209118</t>
  </si>
  <si>
    <t>66:41:0307004</t>
  </si>
  <si>
    <t>66:41:0307006</t>
  </si>
  <si>
    <t>66:41:0307009</t>
  </si>
  <si>
    <t>66:41:0307046</t>
  </si>
  <si>
    <t>66:41:0209001</t>
  </si>
  <si>
    <t>66:36:1501008</t>
  </si>
  <si>
    <t>66:36:1501016</t>
  </si>
  <si>
    <t>66:36:1501018</t>
  </si>
  <si>
    <t>66:36:1501019</t>
  </si>
  <si>
    <t>66:36:3101008</t>
  </si>
  <si>
    <t>66:36:3101009</t>
  </si>
  <si>
    <t>66:36:3101010</t>
  </si>
  <si>
    <t>66:36:3101011</t>
  </si>
  <si>
    <t>66:41:0209013</t>
  </si>
  <si>
    <t>66:41:0209014</t>
  </si>
  <si>
    <t>66:41:0209015</t>
  </si>
  <si>
    <t>66:41:0209023</t>
  </si>
  <si>
    <t>66:41:0209024</t>
  </si>
  <si>
    <t>66:41:0209025</t>
  </si>
  <si>
    <t>66:41:0209048</t>
  </si>
  <si>
    <t>66:41:0209049</t>
  </si>
  <si>
    <t>66:41:0209050</t>
  </si>
  <si>
    <t>66:41:0209051</t>
  </si>
  <si>
    <t>66:41:0209096</t>
  </si>
  <si>
    <t>66:41:0209064</t>
  </si>
  <si>
    <t>66:41:0209065</t>
  </si>
  <si>
    <t>66:41:0209066</t>
  </si>
  <si>
    <t>66:41:0209067</t>
  </si>
  <si>
    <t>66:41:0209068</t>
  </si>
  <si>
    <t>66:41:0209085</t>
  </si>
  <si>
    <t>66:41:0209086</t>
  </si>
  <si>
    <t>66:41:0209087</t>
  </si>
  <si>
    <t>66:41:0209088</t>
  </si>
  <si>
    <t>66:41:0209097</t>
  </si>
  <si>
    <t>66:41:0209098</t>
  </si>
  <si>
    <t>66:41:0209003</t>
  </si>
  <si>
    <t>66:41:0209002</t>
  </si>
  <si>
    <t>66:41:0209004</t>
  </si>
  <si>
    <t>66:41:0209005</t>
  </si>
  <si>
    <t>66:41:0209006</t>
  </si>
  <si>
    <t>66:41:0209008</t>
  </si>
  <si>
    <t>66:41:0209009</t>
  </si>
  <si>
    <t>66:58:2902050</t>
  </si>
  <si>
    <t>purl_2</t>
  </si>
  <si>
    <t>66:58:2201001</t>
  </si>
  <si>
    <t>66:58:2201002</t>
  </si>
  <si>
    <t>66:58:2902028</t>
  </si>
  <si>
    <t>66:58:2902030</t>
  </si>
  <si>
    <t>66:58:2902037</t>
  </si>
  <si>
    <t>66:41:0512002</t>
  </si>
  <si>
    <t>66:41:0512003</t>
  </si>
  <si>
    <t>66:41:0512018</t>
  </si>
  <si>
    <t>66:41:0512044</t>
  </si>
  <si>
    <t>66:41:0517008</t>
  </si>
  <si>
    <t>66:41:0517009</t>
  </si>
  <si>
    <t>66:41:0517010</t>
  </si>
  <si>
    <t>66:41:0517011</t>
  </si>
  <si>
    <t>66:41:0517901</t>
  </si>
  <si>
    <t>66:21:1101001</t>
  </si>
  <si>
    <t>degt_1</t>
  </si>
  <si>
    <t>66:21:1401003</t>
  </si>
  <si>
    <t>66:41:0313046</t>
  </si>
  <si>
    <t>66:41:0313071</t>
  </si>
  <si>
    <t>66:41:0313074</t>
  </si>
  <si>
    <t>66:41:0313083</t>
  </si>
  <si>
    <t>66:41:0313096</t>
  </si>
  <si>
    <t>66:41:0512008</t>
  </si>
  <si>
    <t>66:41:0512011</t>
  </si>
  <si>
    <t>66:41:0512015</t>
  </si>
  <si>
    <t>66:41:0512020</t>
  </si>
  <si>
    <t>66:41:0512027</t>
  </si>
  <si>
    <t>66:41:0512039</t>
  </si>
  <si>
    <t>66:41:0512040</t>
  </si>
  <si>
    <t>66:41:0310084</t>
  </si>
  <si>
    <t>66:41:0310066</t>
  </si>
  <si>
    <t>66:41:0310075</t>
  </si>
  <si>
    <t>66:41:0310082</t>
  </si>
  <si>
    <t>66:41:0310083</t>
  </si>
  <si>
    <t>66:41:0310094</t>
  </si>
  <si>
    <t>66:41:0313045</t>
  </si>
  <si>
    <t>66:41:0309038</t>
  </si>
  <si>
    <t>66:41:0309026</t>
  </si>
  <si>
    <t>66:41:0309030</t>
  </si>
  <si>
    <t>66:41:0309031</t>
  </si>
  <si>
    <t>66:41:0309033</t>
  </si>
  <si>
    <t>66:41:0309034</t>
  </si>
  <si>
    <t>66:41:0309037</t>
  </si>
  <si>
    <t>66:41:0309040</t>
  </si>
  <si>
    <t>66:41:0310067</t>
  </si>
  <si>
    <t>66:41:0310069</t>
  </si>
  <si>
    <t>66:41:0313034</t>
  </si>
  <si>
    <t>66:41:0313035</t>
  </si>
  <si>
    <t>66:41:0313036</t>
  </si>
  <si>
    <t>66:41:0313066</t>
  </si>
  <si>
    <t>66:41:0310071</t>
  </si>
  <si>
    <t>66:41:0310079</t>
  </si>
  <si>
    <t>66:41:0310080</t>
  </si>
  <si>
    <t>66:41:0310087</t>
  </si>
  <si>
    <t>66:41:0310088</t>
  </si>
  <si>
    <t>66:41:0310099</t>
  </si>
  <si>
    <t>66:41:0312008</t>
  </si>
  <si>
    <t>66:41:0313016</t>
  </si>
  <si>
    <t>66:41:0313054</t>
  </si>
  <si>
    <t>66:41:0313070</t>
  </si>
  <si>
    <t>66:41:0313089</t>
  </si>
  <si>
    <t>66:41:0313090</t>
  </si>
  <si>
    <t>66:41:0313111</t>
  </si>
  <si>
    <t>66:41:0512010</t>
  </si>
  <si>
    <t>66:41:0313073</t>
  </si>
  <si>
    <t>66:41:0512005</t>
  </si>
  <si>
    <t>66:41:0512006</t>
  </si>
  <si>
    <t>66:41:0512014</t>
  </si>
  <si>
    <t>66:41:0512019</t>
  </si>
  <si>
    <t>66:41:0512024</t>
  </si>
  <si>
    <t>66:41:0512033</t>
  </si>
  <si>
    <t>66:41:0307027</t>
  </si>
  <si>
    <t>66:58:2902061</t>
  </si>
  <si>
    <t>66:41:0307005</t>
  </si>
  <si>
    <t>66:41:0307010</t>
  </si>
  <si>
    <t>66:41:0307012</t>
  </si>
  <si>
    <t>66:41:0307016</t>
  </si>
  <si>
    <t>66:41:0309001</t>
  </si>
  <si>
    <t>66:41:0309002</t>
  </si>
  <si>
    <t>66:41:0309016</t>
  </si>
  <si>
    <t>66:41:0313061</t>
  </si>
  <si>
    <t>66:41:0312010</t>
  </si>
  <si>
    <t>66:41:0310086</t>
  </si>
  <si>
    <t>66:41:0312001</t>
  </si>
  <si>
    <t>66:41:0312004</t>
  </si>
  <si>
    <t>66:41:0312005</t>
  </si>
  <si>
    <t>66:41:0312007</t>
  </si>
  <si>
    <t>66:41:0312009</t>
  </si>
  <si>
    <t>66:41:0312011</t>
  </si>
  <si>
    <t>66:41:0312901</t>
  </si>
  <si>
    <t>66:41:0313052</t>
  </si>
  <si>
    <t>66:41:0313053</t>
  </si>
  <si>
    <t>66:41:0313069</t>
  </si>
  <si>
    <t>66:41:0313067</t>
  </si>
  <si>
    <t>66:41:0313068</t>
  </si>
  <si>
    <t>66:41:0313072</t>
  </si>
  <si>
    <t>66:41:0313081</t>
  </si>
  <si>
    <t>66:41:0516018</t>
  </si>
  <si>
    <t>66:41:0516014</t>
  </si>
  <si>
    <t>66:41:0313082</t>
  </si>
  <si>
    <t>66:41:0516009</t>
  </si>
  <si>
    <t>66:41:0516012</t>
  </si>
  <si>
    <t>66:41:0516013</t>
  </si>
  <si>
    <t>66:41:0516008</t>
  </si>
  <si>
    <t>66:41:0516002</t>
  </si>
  <si>
    <t>66:41:0516003</t>
  </si>
  <si>
    <t>66:41:0516010</t>
  </si>
  <si>
    <t>66:41:0516011</t>
  </si>
  <si>
    <t>66:41:0516019</t>
  </si>
  <si>
    <t>66:41:0516020</t>
  </si>
  <si>
    <t>66:41:0516901</t>
  </si>
  <si>
    <t>66:41:0313049</t>
  </si>
  <si>
    <t>66:41:0313050</t>
  </si>
  <si>
    <t>66:41:0313051</t>
  </si>
  <si>
    <t>66:41:0313058</t>
  </si>
  <si>
    <t>66:41:0313059</t>
  </si>
  <si>
    <t>66:41:0313060</t>
  </si>
  <si>
    <t>66:41:0313064</t>
  </si>
  <si>
    <t>66:41:0313065</t>
  </si>
  <si>
    <t>66:41:0313076</t>
  </si>
  <si>
    <t>66:41:0313077</t>
  </si>
  <si>
    <t>66:41:0313078</t>
  </si>
  <si>
    <t>66:41:0313079</t>
  </si>
  <si>
    <t>66:41:0313080</t>
  </si>
  <si>
    <t>66:41:0313101</t>
  </si>
  <si>
    <t>66:58:2902036</t>
  </si>
  <si>
    <t>66:58:2301003</t>
  </si>
  <si>
    <t>66:58:2301001</t>
  </si>
  <si>
    <t>66:58:2301002</t>
  </si>
  <si>
    <t>66:58:2301004</t>
  </si>
  <si>
    <t>66:58:2301005</t>
  </si>
  <si>
    <t>66:58:2902032</t>
  </si>
  <si>
    <t>66:58:2902033</t>
  </si>
  <si>
    <t>66:58:2902034</t>
  </si>
  <si>
    <t>66:58:2902035</t>
  </si>
  <si>
    <t>66:58:2902057</t>
  </si>
  <si>
    <t>66:58:2902044</t>
  </si>
  <si>
    <t>66:58:2902045</t>
  </si>
  <si>
    <t>66:58:2902046</t>
  </si>
  <si>
    <t>66:58:2902047</t>
  </si>
  <si>
    <t>66:58:2902048</t>
  </si>
  <si>
    <t>66:58:2902049</t>
  </si>
  <si>
    <t>66:58:2902053</t>
  </si>
  <si>
    <t>66:58:2902054</t>
  </si>
  <si>
    <t>66:58:2902055</t>
  </si>
  <si>
    <t>66:58:2902056</t>
  </si>
  <si>
    <t>66:58:2902058</t>
  </si>
  <si>
    <t>66:58:2902059</t>
  </si>
  <si>
    <t>66:58:2902040</t>
  </si>
  <si>
    <t>66:58:2902031</t>
  </si>
  <si>
    <t>66:58:2902038</t>
  </si>
  <si>
    <t>66:58:2902039</t>
  </si>
  <si>
    <t>66:58:2902041</t>
  </si>
  <si>
    <t>66:58:2902042</t>
  </si>
  <si>
    <t>66:58:2902043</t>
  </si>
  <si>
    <t>66:58:2902051</t>
  </si>
  <si>
    <t>66:58:2902052</t>
  </si>
  <si>
    <t>66:41:0313047</t>
  </si>
  <si>
    <t>66:41:0313048</t>
  </si>
  <si>
    <t>66:41:0313055</t>
  </si>
  <si>
    <t>66:41:0313056</t>
  </si>
  <si>
    <t>66:41:0313057</t>
  </si>
  <si>
    <t>66:41:0313062</t>
  </si>
  <si>
    <t>66:41:0313063</t>
  </si>
  <si>
    <t>66:41:0313075</t>
  </si>
  <si>
    <t>66:41:0512043</t>
  </si>
  <si>
    <t>66:40:0101036</t>
  </si>
  <si>
    <t>66:40:0101019</t>
  </si>
  <si>
    <t>66:40:0101023</t>
  </si>
  <si>
    <t>66:40:0101027</t>
  </si>
  <si>
    <t>66:40:0101028</t>
  </si>
  <si>
    <t>66:40:0101029</t>
  </si>
  <si>
    <t>66:40:0101030</t>
  </si>
  <si>
    <t>66:40:0101031</t>
  </si>
  <si>
    <t>66:40:0101032</t>
  </si>
  <si>
    <t>66:40:0101033</t>
  </si>
  <si>
    <t>66:40:0101034</t>
  </si>
  <si>
    <t>66:40:0101035</t>
  </si>
  <si>
    <t>66:21:1001001</t>
  </si>
  <si>
    <t>66:21:1401002</t>
  </si>
  <si>
    <t>revd_2</t>
  </si>
  <si>
    <t>66:40:0101005</t>
  </si>
  <si>
    <t>66:40:0101014</t>
  </si>
  <si>
    <t>66:40:0101015</t>
  </si>
  <si>
    <t>66:40:0101016</t>
  </si>
  <si>
    <t>66:40:0101020</t>
  </si>
  <si>
    <t>66:40:0101021</t>
  </si>
  <si>
    <t>66:40:0101022</t>
  </si>
  <si>
    <t>66:40:0101026</t>
  </si>
  <si>
    <t>66:40:0101037</t>
  </si>
  <si>
    <t>66:40:0101038</t>
  </si>
  <si>
    <t>66:40:0101039</t>
  </si>
  <si>
    <t>66:21:1301013</t>
  </si>
  <si>
    <t>66:40:0101008</t>
  </si>
  <si>
    <t>66:40:0101001</t>
  </si>
  <si>
    <t>66:40:0101002</t>
  </si>
  <si>
    <t>66:40:0101006</t>
  </si>
  <si>
    <t>66:40:0101007</t>
  </si>
  <si>
    <t>66:40:0101009</t>
  </si>
  <si>
    <t>66:40:0101010</t>
  </si>
  <si>
    <t>66:40:0101011</t>
  </si>
  <si>
    <t>66:40:0101012</t>
  </si>
  <si>
    <t>66:40:0101013</t>
  </si>
  <si>
    <t>66:40:0101017</t>
  </si>
  <si>
    <t>66:40:0101018</t>
  </si>
  <si>
    <t>66:40:0101024</t>
  </si>
  <si>
    <t>66:40:0101025</t>
  </si>
  <si>
    <t>66:40:0101040</t>
  </si>
  <si>
    <t>66:21:1301016</t>
  </si>
  <si>
    <t>66:40:0101003</t>
  </si>
  <si>
    <t>66:40:0101004</t>
  </si>
  <si>
    <t>66:21:0701001</t>
  </si>
  <si>
    <t>revd_3</t>
  </si>
  <si>
    <t>66:21:0801001</t>
  </si>
  <si>
    <t>66:36:3102009</t>
  </si>
  <si>
    <t>66:36:3102001</t>
  </si>
  <si>
    <t>66:36:3102003</t>
  </si>
  <si>
    <t>66:36:3102004</t>
  </si>
  <si>
    <t>66:36:3102006</t>
  </si>
  <si>
    <t>66:36:3102007</t>
  </si>
  <si>
    <t>66:36:3102008</t>
  </si>
  <si>
    <t>66:36:3102010</t>
  </si>
  <si>
    <t>66:36:3101007</t>
  </si>
  <si>
    <t>66:36:1701001</t>
  </si>
  <si>
    <t>66:36:1701002</t>
  </si>
  <si>
    <t>66:36:1701003</t>
  </si>
  <si>
    <t>66:36:1701004</t>
  </si>
  <si>
    <t>66:36:1701005</t>
  </si>
  <si>
    <t>66:36:1701006</t>
  </si>
  <si>
    <t>66:36:3101003</t>
  </si>
  <si>
    <t>66:36:3101004</t>
  </si>
  <si>
    <t>66:36:3101005</t>
  </si>
  <si>
    <t>66:36:3101006</t>
  </si>
  <si>
    <t>66:36:3101016</t>
  </si>
  <si>
    <t>66:36:3102002</t>
  </si>
  <si>
    <t>66:58:0102001</t>
  </si>
  <si>
    <t>purl_6</t>
  </si>
  <si>
    <t>66:58:0101001</t>
  </si>
  <si>
    <t>66:58:0101002</t>
  </si>
  <si>
    <t>66:58:0101003</t>
  </si>
  <si>
    <t>66:58:0101004</t>
  </si>
  <si>
    <t>purl_1</t>
  </si>
  <si>
    <t>66:58:0101005</t>
  </si>
  <si>
    <t>66:58:0101006</t>
  </si>
  <si>
    <t>66:58:0101007</t>
  </si>
  <si>
    <t>66:41:0209077</t>
  </si>
  <si>
    <t>66:41:0209110</t>
  </si>
  <si>
    <t>66:41:0209115</t>
  </si>
  <si>
    <t>66:41:0209209</t>
  </si>
  <si>
    <t>66:41:0210053</t>
  </si>
  <si>
    <t>66:41:0210088</t>
  </si>
  <si>
    <t>66:41:0210091</t>
  </si>
  <si>
    <t>66:41:0307002</t>
  </si>
  <si>
    <t>66:41:0307003</t>
  </si>
  <si>
    <t>66:41:0312006</t>
  </si>
  <si>
    <t>66:41:0210003</t>
  </si>
  <si>
    <t>66:41:0209083</t>
  </si>
  <si>
    <t>66:41:0209084</t>
  </si>
  <si>
    <t>66:41:0209094</t>
  </si>
  <si>
    <t>66:41:0210002</t>
  </si>
  <si>
    <t>66:41:0210013</t>
  </si>
  <si>
    <t>66:41:0210014</t>
  </si>
  <si>
    <t>66:41:0210016</t>
  </si>
  <si>
    <t>66:41:0210020</t>
  </si>
  <si>
    <t>66:41:0210029</t>
  </si>
  <si>
    <t>66:41:0210085</t>
  </si>
  <si>
    <t>66:41:0210062</t>
  </si>
  <si>
    <t>66:41:0210021</t>
  </si>
  <si>
    <t>66:41:0210051</t>
  </si>
  <si>
    <t>66:41:0210052</t>
  </si>
  <si>
    <t>66:41:0210063</t>
  </si>
  <si>
    <t>66:41:0210064</t>
  </si>
  <si>
    <t>66:41:0210065</t>
  </si>
  <si>
    <t>66:41:0210066</t>
  </si>
  <si>
    <t>66:41:0210084</t>
  </si>
  <si>
    <t>66:41:0210086</t>
  </si>
  <si>
    <t>66:41:0210902</t>
  </si>
  <si>
    <t>66:41:0209095</t>
  </si>
  <si>
    <t>66:41:0210030</t>
  </si>
  <si>
    <t>66:41:0210039</t>
  </si>
  <si>
    <t>66:41:0210041</t>
  </si>
  <si>
    <t>66:41:0210042</t>
  </si>
  <si>
    <t>66:41:0210043</t>
  </si>
  <si>
    <t>66:41:0210048</t>
  </si>
  <si>
    <t>66:41:0210049</t>
  </si>
  <si>
    <t>66:41:0210050</t>
  </si>
  <si>
    <t>66:41:0209059</t>
  </si>
  <si>
    <t>66:41:0209043</t>
  </si>
  <si>
    <t>66:41:0209044</t>
  </si>
  <si>
    <t>66:41:0209045</t>
  </si>
  <si>
    <t>66:41:0209046</t>
  </si>
  <si>
    <t>66:41:0209047</t>
  </si>
  <si>
    <t>66:41:0209058</t>
  </si>
  <si>
    <t>66:41:0209060</t>
  </si>
  <si>
    <t>66:41:0209061</t>
  </si>
  <si>
    <t>66:41:0209062</t>
  </si>
  <si>
    <t>66:41:0209079</t>
  </si>
  <si>
    <t>66:41:0209080</t>
  </si>
  <si>
    <t>66:41:0209081</t>
  </si>
  <si>
    <t>66:41:0209082</t>
  </si>
  <si>
    <t>66:41:0209105</t>
  </si>
  <si>
    <t>66:41:0210023</t>
  </si>
  <si>
    <t>66:41:0209093</t>
  </si>
  <si>
    <t>66:41:0210001</t>
  </si>
  <si>
    <t>66:41:0210005</t>
  </si>
  <si>
    <t>66:41:0210006</t>
  </si>
  <si>
    <t>66:41:0210007</t>
  </si>
  <si>
    <t>66:41:0210009</t>
  </si>
  <si>
    <t>66:41:0210010</t>
  </si>
  <si>
    <t>66:41:0210011</t>
  </si>
  <si>
    <t>66:41:0210012</t>
  </si>
  <si>
    <t>66:41:0210038</t>
  </si>
  <si>
    <t>66:41:0210015</t>
  </si>
  <si>
    <t>66:41:0209103</t>
  </si>
  <si>
    <t>66:41:0210008</t>
  </si>
  <si>
    <t>66:41:0210017</t>
  </si>
  <si>
    <t>66:41:0210019</t>
  </si>
  <si>
    <t>66:41:0210035</t>
  </si>
  <si>
    <t>66:41:0210037</t>
  </si>
  <si>
    <t>66:41:0210045</t>
  </si>
  <si>
    <t>66:41:0210104</t>
  </si>
  <si>
    <t>66:41:0210901</t>
  </si>
  <si>
    <t>66:41:0210004</t>
  </si>
  <si>
    <t>66:41:0210046</t>
  </si>
  <si>
    <t>66:41:0210060</t>
  </si>
  <si>
    <t>66:41:0210061</t>
  </si>
  <si>
    <t>66:41:0210067</t>
  </si>
  <si>
    <t>66:41:0210068</t>
  </si>
  <si>
    <t>66:41:0210092</t>
  </si>
  <si>
    <t>66:41:0210087</t>
  </si>
  <si>
    <t>66:41:0210077</t>
  </si>
  <si>
    <t>66:41:0209208</t>
  </si>
  <si>
    <t>66:41:0210070</t>
  </si>
  <si>
    <t>66:41:0210072</t>
  </si>
  <si>
    <t>66:41:0210073</t>
  </si>
  <si>
    <t>66:41:0210074</t>
  </si>
  <si>
    <t>66:41:0210079</t>
  </si>
  <si>
    <t>66:41:0210082</t>
  </si>
  <si>
    <t>66:41:0210903</t>
  </si>
  <si>
    <t>66:41:0307001</t>
  </si>
  <si>
    <t>66:41:0209092</t>
  </si>
  <si>
    <t>66:41:0209091</t>
  </si>
  <si>
    <t>66:41:0209102</t>
  </si>
  <si>
    <t>66:41:0210018</t>
  </si>
  <si>
    <t>66:41:0210105</t>
  </si>
  <si>
    <t>66:41:0209207</t>
  </si>
  <si>
    <t>66:58:2902067</t>
  </si>
  <si>
    <t>66:58:2902060</t>
  </si>
  <si>
    <t>66:58:2902074</t>
  </si>
  <si>
    <t>66:58:2902075</t>
  </si>
  <si>
    <t>66:58:2902076</t>
  </si>
  <si>
    <t>66:58:2902077</t>
  </si>
  <si>
    <t>66:58:2902078</t>
  </si>
  <si>
    <t>66:58:2902079</t>
  </si>
  <si>
    <t>66:58:2902080</t>
  </si>
  <si>
    <t>66:58:2902081</t>
  </si>
  <si>
    <t>66:58:2902082</t>
  </si>
  <si>
    <t>66:41:0313037</t>
  </si>
  <si>
    <t>66:41:0313038</t>
  </si>
  <si>
    <t>66:41:0313039</t>
  </si>
  <si>
    <t>66:41:0313040</t>
  </si>
  <si>
    <t>66:41:0313041</t>
  </si>
  <si>
    <t>66:41:0313042</t>
  </si>
  <si>
    <t>66:41:0313044</t>
  </si>
  <si>
    <t>66:58:2101001</t>
  </si>
  <si>
    <t>66:58:2101002</t>
  </si>
  <si>
    <t>66:58:2101003</t>
  </si>
  <si>
    <t>66:58:2101004</t>
  </si>
  <si>
    <t>66:58:2101005</t>
  </si>
  <si>
    <t>66:58:2601001</t>
  </si>
  <si>
    <t>66:58:2902062</t>
  </si>
  <si>
    <t>66:58:2902066</t>
  </si>
  <si>
    <t>66:58:2902073</t>
  </si>
  <si>
    <t>66:21:1401001</t>
  </si>
  <si>
    <t>66:58:2501001</t>
  </si>
  <si>
    <t>66:58:2902063</t>
  </si>
  <si>
    <t>66:58:2902064</t>
  </si>
  <si>
    <t>66:58:2902065</t>
  </si>
  <si>
    <t>66:58:2902068</t>
  </si>
  <si>
    <t>66:58:2902072</t>
  </si>
  <si>
    <t>66:21:0301001</t>
  </si>
  <si>
    <t>revd_1</t>
  </si>
  <si>
    <t>66:21:0101094</t>
  </si>
  <si>
    <t>66:21:0101041</t>
  </si>
  <si>
    <t>66:21:0101042</t>
  </si>
  <si>
    <t>66:21:0101053</t>
  </si>
  <si>
    <t>66:21:0101065</t>
  </si>
  <si>
    <t>66:21:0101072</t>
  </si>
  <si>
    <t>66:21:0101077</t>
  </si>
  <si>
    <t>66:21:0101092</t>
  </si>
  <si>
    <t>66:21:0101093</t>
  </si>
  <si>
    <t>66:21:1301001</t>
  </si>
  <si>
    <t>66:21:1301006</t>
  </si>
  <si>
    <t>66:21:1301007</t>
  </si>
  <si>
    <t>66:21:1301008</t>
  </si>
  <si>
    <t>66:58:2902069</t>
  </si>
  <si>
    <t>66:58:2902070</t>
  </si>
  <si>
    <t>66:58:2902071</t>
  </si>
  <si>
    <t>66:21:0101006</t>
  </si>
  <si>
    <t>66:21:0101009</t>
  </si>
  <si>
    <t>66:21:0101018</t>
  </si>
  <si>
    <t>66:21:0101025</t>
  </si>
  <si>
    <t>66:21:0101026</t>
  </si>
  <si>
    <t>66:21:0101027</t>
  </si>
  <si>
    <t>66:21:0101036</t>
  </si>
  <si>
    <t>66:21:1301009</t>
  </si>
  <si>
    <t>66:21:0101063</t>
  </si>
  <si>
    <t>66:21:0101071</t>
  </si>
  <si>
    <t>66:21:1301010</t>
  </si>
  <si>
    <t>66:21:1301011</t>
  </si>
  <si>
    <t>66:21:1301012</t>
  </si>
  <si>
    <t>66:21:0101035</t>
  </si>
  <si>
    <t>66:21:0101024</t>
  </si>
  <si>
    <t>66:21:0101010</t>
  </si>
  <si>
    <t>66:21:0101016</t>
  </si>
  <si>
    <t>66:21:0101017</t>
  </si>
  <si>
    <t>66:21:0101033</t>
  </si>
  <si>
    <t>66:21:0101034</t>
  </si>
  <si>
    <t>66:21:0101038</t>
  </si>
  <si>
    <t>66:21:0101039</t>
  </si>
  <si>
    <t>66:21:0101040</t>
  </si>
  <si>
    <t>66:21:0101050</t>
  </si>
  <si>
    <t>66:21:0101051</t>
  </si>
  <si>
    <t>66:21:0101052</t>
  </si>
  <si>
    <t>66:21:0101061</t>
  </si>
  <si>
    <t>66:21:0101062</t>
  </si>
  <si>
    <t>66:21:0101064</t>
  </si>
  <si>
    <t>66:21:0101003</t>
  </si>
  <si>
    <t>66:21:0101002</t>
  </si>
  <si>
    <t>66:21:0101004</t>
  </si>
  <si>
    <t>66:21:0101005</t>
  </si>
  <si>
    <t>66:21:0101043</t>
  </si>
  <si>
    <t>66:21:0101015</t>
  </si>
  <si>
    <t>66:21:0101008</t>
  </si>
  <si>
    <t>66:21:0101014</t>
  </si>
  <si>
    <t>66:21:0101022</t>
  </si>
  <si>
    <t>66:21:0101023</t>
  </si>
  <si>
    <t>66:21:0101030</t>
  </si>
  <si>
    <t>66:21:0101031</t>
  </si>
  <si>
    <t>66:21:0101032</t>
  </si>
  <si>
    <t>66:21:0101037</t>
  </si>
  <si>
    <t>66:21:0101044</t>
  </si>
  <si>
    <t>66:21:0101045</t>
  </si>
  <si>
    <t>66:21:0101046</t>
  </si>
  <si>
    <t>66:21:0101048</t>
  </si>
  <si>
    <t>66:21:0101049</t>
  </si>
  <si>
    <t>66:21:0101056</t>
  </si>
  <si>
    <t>66:21:0101057</t>
  </si>
  <si>
    <t>66:21:0101058</t>
  </si>
  <si>
    <t>66:21:0101060</t>
  </si>
  <si>
    <t>66:21:0101059</t>
  </si>
  <si>
    <t>66:21:0101067</t>
  </si>
  <si>
    <t>66:21:0101068</t>
  </si>
  <si>
    <t>66:21:0101069</t>
  </si>
  <si>
    <t>66:21:0101070</t>
  </si>
  <si>
    <t>66:21:0101075</t>
  </si>
  <si>
    <t>66:21:0101076</t>
  </si>
  <si>
    <t>66:21:0101082</t>
  </si>
  <si>
    <t>66:59:0201002</t>
  </si>
  <si>
    <t>pole_2</t>
  </si>
  <si>
    <t>66:59:0201001</t>
  </si>
  <si>
    <t>66:59:0201003</t>
  </si>
  <si>
    <t>66:59:0201004</t>
  </si>
  <si>
    <t>66:59:0202001</t>
  </si>
  <si>
    <t>66:59:0206001</t>
  </si>
  <si>
    <t>pole_1</t>
  </si>
  <si>
    <t>66:59:0206002</t>
  </si>
  <si>
    <t>66:59:0206003</t>
  </si>
  <si>
    <t>66:59:0216001</t>
  </si>
  <si>
    <t>66:59:0217003</t>
  </si>
  <si>
    <t>66:59:0203002</t>
  </si>
  <si>
    <t>66:59:0203001</t>
  </si>
  <si>
    <t>66:59:0203003</t>
  </si>
  <si>
    <t>66:59:0205001</t>
  </si>
  <si>
    <t>66:59:0211002</t>
  </si>
  <si>
    <t>66:59:0216002</t>
  </si>
  <si>
    <t>66:59:0217012</t>
  </si>
  <si>
    <t>66:59:0217015</t>
  </si>
  <si>
    <t>66:59:0217016</t>
  </si>
  <si>
    <t>66:21:1401004</t>
  </si>
  <si>
    <t>66:21:1401005</t>
  </si>
  <si>
    <t>66:59:0204002</t>
  </si>
  <si>
    <t>66:59:0101019</t>
  </si>
  <si>
    <t>66:59:0101005</t>
  </si>
  <si>
    <t>66:59:0101006</t>
  </si>
  <si>
    <t>66:59:0101014</t>
  </si>
  <si>
    <t>66:59:0101016</t>
  </si>
  <si>
    <t>66:59:0101017</t>
  </si>
  <si>
    <t>66:59:0101018</t>
  </si>
  <si>
    <t>66:59:0101020</t>
  </si>
  <si>
    <t>66:59:0204001</t>
  </si>
  <si>
    <t>66:59:0209001</t>
  </si>
  <si>
    <t>66:59:0209002</t>
  </si>
  <si>
    <t>66:59:0209003</t>
  </si>
  <si>
    <t>66:59:0217011</t>
  </si>
  <si>
    <t>66:59:0217013</t>
  </si>
  <si>
    <t>66:59:0217014</t>
  </si>
  <si>
    <t>66:59:0101010</t>
  </si>
  <si>
    <t>66:59:0101013</t>
  </si>
  <si>
    <t>66:59:0101015</t>
  </si>
  <si>
    <t>66:59:0101021</t>
  </si>
  <si>
    <t>66:59:0101022</t>
  </si>
  <si>
    <t>66:59:0101023</t>
  </si>
  <si>
    <t>66:59:0101025</t>
  </si>
  <si>
    <t>66:59:0101026</t>
  </si>
  <si>
    <t>66:59:0101029</t>
  </si>
  <si>
    <t>66:59:0210001</t>
  </si>
  <si>
    <t>66:59:0210002</t>
  </si>
  <si>
    <t>66:59:0210003</t>
  </si>
  <si>
    <t>66:21:1302003</t>
  </si>
  <si>
    <t>66:59:0217001</t>
  </si>
  <si>
    <t>66:59:0217004</t>
  </si>
  <si>
    <t>66:21:1301014</t>
  </si>
  <si>
    <t>66:21:1301015</t>
  </si>
  <si>
    <t>66:21:1302001</t>
  </si>
  <si>
    <t>66:21:1302002</t>
  </si>
  <si>
    <t>66:21:1302004</t>
  </si>
  <si>
    <t>66:21:1402001</t>
  </si>
  <si>
    <t>66:21:1402002</t>
  </si>
  <si>
    <t>66:21:1402003</t>
  </si>
  <si>
    <t>66:21:1701001</t>
  </si>
  <si>
    <t>66:21:1701002</t>
  </si>
  <si>
    <t>66:59:0101027</t>
  </si>
  <si>
    <t>66:59:0102006</t>
  </si>
  <si>
    <t>66:59:0102008</t>
  </si>
  <si>
    <t>66:59:0102009</t>
  </si>
  <si>
    <t>66:59:0102013</t>
  </si>
  <si>
    <t>66:59:0102014</t>
  </si>
  <si>
    <t>66:59:0102015</t>
  </si>
  <si>
    <t>66:59:0102023</t>
  </si>
  <si>
    <t>66:59:0211001</t>
  </si>
  <si>
    <t>66:59:0211003</t>
  </si>
  <si>
    <t>66:59:0212001</t>
  </si>
  <si>
    <t>66:59:0212002</t>
  </si>
  <si>
    <t>66:59:0217017</t>
  </si>
  <si>
    <t>66:59:0101001</t>
  </si>
  <si>
    <t>66:59:0101002</t>
  </si>
  <si>
    <t>66:59:0101003</t>
  </si>
  <si>
    <t>66:59:0101004</t>
  </si>
  <si>
    <t>66:59:0101007</t>
  </si>
  <si>
    <t>66:59:0101008</t>
  </si>
  <si>
    <t>66:59:0101009</t>
  </si>
  <si>
    <t>66:59:0101011</t>
  </si>
  <si>
    <t>66:59:0101012</t>
  </si>
  <si>
    <t>66:59:0101024</t>
  </si>
  <si>
    <t>66:59:0101028</t>
  </si>
  <si>
    <t>66:59:0102001</t>
  </si>
  <si>
    <t>66:59:0215001</t>
  </si>
  <si>
    <t>66:59:0215002</t>
  </si>
  <si>
    <t>66:59:0217007</t>
  </si>
  <si>
    <t>66:21:1301003</t>
  </si>
  <si>
    <t>66:59:0214009</t>
  </si>
  <si>
    <t>pole_3</t>
  </si>
  <si>
    <t>66:59:0214001</t>
  </si>
  <si>
    <t>66:59:0214002</t>
  </si>
  <si>
    <t>66:59:0214003</t>
  </si>
  <si>
    <t>66:59:0214004</t>
  </si>
  <si>
    <t>66:59:0214006</t>
  </si>
  <si>
    <t>66:59:0214007</t>
  </si>
  <si>
    <t>66:59:0214008</t>
  </si>
  <si>
    <t>66:59:0214011</t>
  </si>
  <si>
    <t>66:59:0214012</t>
  </si>
  <si>
    <t>66:59:0217005</t>
  </si>
  <si>
    <t>66:21:1601001</t>
  </si>
  <si>
    <t>66:21:1601002</t>
  </si>
  <si>
    <t>66:21:1601003</t>
  </si>
  <si>
    <t>66:59:0103003</t>
  </si>
  <si>
    <t>66:59:0102019</t>
  </si>
  <si>
    <t>66:59:0102005</t>
  </si>
  <si>
    <t>66:59:0102010</t>
  </si>
  <si>
    <t>66:59:0102011</t>
  </si>
  <si>
    <t>66:59:0102012</t>
  </si>
  <si>
    <t>66:59:0102016</t>
  </si>
  <si>
    <t>66:59:0102017</t>
  </si>
  <si>
    <t>66:59:0102020</t>
  </si>
  <si>
    <t>66:59:0102030</t>
  </si>
  <si>
    <t>66:59:0103001</t>
  </si>
  <si>
    <t>66:59:0103002</t>
  </si>
  <si>
    <t>66:59:0103004</t>
  </si>
  <si>
    <t>66:59:0103005</t>
  </si>
  <si>
    <t>66:59:0208001</t>
  </si>
  <si>
    <t>66:59:0102027</t>
  </si>
  <si>
    <t>66:59:0102007</t>
  </si>
  <si>
    <t>66:59:0102002</t>
  </si>
  <si>
    <t>66:59:0102003</t>
  </si>
  <si>
    <t>66:59:0102004</t>
  </si>
  <si>
    <t>66:59:0102018</t>
  </si>
  <si>
    <t>66:59:0102028</t>
  </si>
  <si>
    <t>66:59:0102029</t>
  </si>
  <si>
    <t>66:59:0207001</t>
  </si>
  <si>
    <t>66:59:0207002</t>
  </si>
  <si>
    <t>66:59:0207003</t>
  </si>
  <si>
    <t>66:59:0217006</t>
  </si>
  <si>
    <t>66:59:0217008</t>
  </si>
  <si>
    <t>66:59:0217009</t>
  </si>
  <si>
    <t>66:59:0217010</t>
  </si>
  <si>
    <t>66:21:1205002</t>
  </si>
  <si>
    <t>66:21:1301005</t>
  </si>
  <si>
    <t>66:59:0102021</t>
  </si>
  <si>
    <t>66:59:0102022</t>
  </si>
  <si>
    <t>66:59:0102024</t>
  </si>
  <si>
    <t>66:59:0102025</t>
  </si>
  <si>
    <t>66:59:0102026</t>
  </si>
  <si>
    <t>66:59:0213001</t>
  </si>
  <si>
    <t>66:59:0217002</t>
  </si>
  <si>
    <t>66:21:1205003</t>
  </si>
  <si>
    <t>66:59:0214005</t>
  </si>
  <si>
    <t>66:59:0214010</t>
  </si>
  <si>
    <t>66:21:1204003</t>
  </si>
  <si>
    <t>66:21:1205001</t>
  </si>
  <si>
    <t>66:21:1301002</t>
  </si>
  <si>
    <t>66:21:1301004</t>
  </si>
  <si>
    <t>66:21:1501001</t>
  </si>
  <si>
    <t>66:21:1501002</t>
  </si>
  <si>
    <t>66:21:1501003</t>
  </si>
  <si>
    <t>66:21:1801001</t>
  </si>
  <si>
    <t>66:21:1801002</t>
  </si>
  <si>
    <t>66:58:2902010</t>
  </si>
  <si>
    <t>66:58:0110001</t>
  </si>
  <si>
    <t>66:58:0110002</t>
  </si>
  <si>
    <t>66:58:2902011</t>
  </si>
  <si>
    <t>66:58:2902012</t>
  </si>
  <si>
    <t>66:58:2902013</t>
  </si>
  <si>
    <t>66:58:2902014</t>
  </si>
  <si>
    <t>66:58:2902015</t>
  </si>
  <si>
    <t>66:58:2902016</t>
  </si>
  <si>
    <t>66:58:2902017</t>
  </si>
  <si>
    <t>66:58:2902018</t>
  </si>
  <si>
    <t>66:58:2902020</t>
  </si>
  <si>
    <t>66:58:2902021</t>
  </si>
  <si>
    <t>66:58:2902022</t>
  </si>
  <si>
    <t>66:58:2902023</t>
  </si>
  <si>
    <t>66:58:2904001</t>
  </si>
  <si>
    <t>66:58:2902019</t>
  </si>
  <si>
    <t>66:58:2902024</t>
  </si>
  <si>
    <t>66:58:2902027</t>
  </si>
  <si>
    <t>66:58:2902029</t>
  </si>
  <si>
    <t>66:58:0110008</t>
  </si>
  <si>
    <t>66:58:2902001</t>
  </si>
  <si>
    <t>66:58:2902009</t>
  </si>
  <si>
    <t>66:58:2903001</t>
  </si>
  <si>
    <t>66:58:2902007</t>
  </si>
  <si>
    <t>66:58:0110004</t>
  </si>
  <si>
    <t>66:58:0109003</t>
  </si>
  <si>
    <t>66:58:0110003</t>
  </si>
  <si>
    <t>66:58:0110005</t>
  </si>
  <si>
    <t>66:58:0110006</t>
  </si>
  <si>
    <t>66:58:0110007</t>
  </si>
  <si>
    <t>66:58:0116001</t>
  </si>
  <si>
    <t>66:58:0117001</t>
  </si>
  <si>
    <t>66:58:0117002</t>
  </si>
  <si>
    <t>66:58:0117003</t>
  </si>
  <si>
    <t>66:58:0117004</t>
  </si>
  <si>
    <t>66:58:2902004</t>
  </si>
  <si>
    <t>66:58:2902005</t>
  </si>
  <si>
    <t>66:58:2902006</t>
  </si>
  <si>
    <t>66:58:2902008</t>
  </si>
  <si>
    <t>66:58:0113011</t>
  </si>
  <si>
    <t>66:58:0116002</t>
  </si>
  <si>
    <t>66:58:0116003</t>
  </si>
  <si>
    <t>66:58:0116004</t>
  </si>
  <si>
    <t>66:58:0118006</t>
  </si>
  <si>
    <t>66:58:0118010</t>
  </si>
  <si>
    <t>66:58:0119004</t>
  </si>
  <si>
    <t>66:58:0119005</t>
  </si>
  <si>
    <t>66:58:0119009</t>
  </si>
  <si>
    <t>66:58:0120001</t>
  </si>
  <si>
    <t>66:58:0120002</t>
  </si>
  <si>
    <t>66:58:0120003</t>
  </si>
  <si>
    <t>66:58:0120004</t>
  </si>
  <si>
    <t>66:58:0120005</t>
  </si>
  <si>
    <t>66:58:0120006</t>
  </si>
  <si>
    <t>66:58:0120007</t>
  </si>
  <si>
    <t>66:58:0120008</t>
  </si>
  <si>
    <t>66:58:0120009</t>
  </si>
  <si>
    <t>66:58:0120010</t>
  </si>
  <si>
    <t>66:58:0108003</t>
  </si>
  <si>
    <t>66:58:0103001</t>
  </si>
  <si>
    <t>66:58:0103003</t>
  </si>
  <si>
    <t>66:58:0107001</t>
  </si>
  <si>
    <t>66:58:0107002</t>
  </si>
  <si>
    <t>66:58:0107003</t>
  </si>
  <si>
    <t>66:58:0107004</t>
  </si>
  <si>
    <t>66:58:0108001</t>
  </si>
  <si>
    <t>66:58:0108002</t>
  </si>
  <si>
    <t>66:58:0108004</t>
  </si>
  <si>
    <t>66:58:0108005</t>
  </si>
  <si>
    <t>66:58:0108006</t>
  </si>
  <si>
    <t>66:58:0109001</t>
  </si>
  <si>
    <t>66:58:0109002</t>
  </si>
  <si>
    <t>66:58:0118008</t>
  </si>
  <si>
    <t>66:58:0111013</t>
  </si>
  <si>
    <t>66:58:0111014</t>
  </si>
  <si>
    <t>66:58:0119001</t>
  </si>
  <si>
    <t>66:58:0119002</t>
  </si>
  <si>
    <t>66:58:0119003</t>
  </si>
  <si>
    <t>66:58:0119006</t>
  </si>
  <si>
    <t>66:58:0119007</t>
  </si>
  <si>
    <t>66:58:0119008</t>
  </si>
  <si>
    <t>66:58:0120011</t>
  </si>
  <si>
    <t>66:58:0120012</t>
  </si>
  <si>
    <t>66:58:0120013</t>
  </si>
  <si>
    <t>66:58:0120014</t>
  </si>
  <si>
    <t>66:58:0120015</t>
  </si>
  <si>
    <t>66:58:0120016</t>
  </si>
  <si>
    <t>66:58:2902025</t>
  </si>
  <si>
    <t>66:58:2902026</t>
  </si>
  <si>
    <t>66:21:0101001</t>
  </si>
  <si>
    <t>66:58:0105003</t>
  </si>
  <si>
    <t>66:58:0102003</t>
  </si>
  <si>
    <t>66:58:0102002</t>
  </si>
  <si>
    <t>66:58:0102004</t>
  </si>
  <si>
    <t>66:58:0102005</t>
  </si>
  <si>
    <t>66:58:0103002</t>
  </si>
  <si>
    <t>66:58:0104006</t>
  </si>
  <si>
    <t>66:58:0105001</t>
  </si>
  <si>
    <t>66:58:0105002</t>
  </si>
  <si>
    <t>66:58:0105004</t>
  </si>
  <si>
    <t>66:58:0106001</t>
  </si>
  <si>
    <t>66:58:0114001</t>
  </si>
  <si>
    <t>66:58:0115001</t>
  </si>
  <si>
    <t>66:58:2902002</t>
  </si>
  <si>
    <t>purl_3</t>
  </si>
  <si>
    <t>66:58:2902003</t>
  </si>
  <si>
    <t>66:58:0118003</t>
  </si>
  <si>
    <t>66:58:0113006</t>
  </si>
  <si>
    <t>66:58:0111006</t>
  </si>
  <si>
    <t>66:58:0112003</t>
  </si>
  <si>
    <t>66:58:0112004</t>
  </si>
  <si>
    <t>66:58:0113001</t>
  </si>
  <si>
    <t>66:58:0113005</t>
  </si>
  <si>
    <t>66:58:0113007</t>
  </si>
  <si>
    <t>66:58:0113008</t>
  </si>
  <si>
    <t>66:58:0113009</t>
  </si>
  <si>
    <t>66:58:0113010</t>
  </si>
  <si>
    <t>66:58:0118001</t>
  </si>
  <si>
    <t>66:58:0118002</t>
  </si>
  <si>
    <t>66:58:0118004</t>
  </si>
  <si>
    <t>66:58:0118005</t>
  </si>
  <si>
    <t>66:58:0118007</t>
  </si>
  <si>
    <t>66:58:0118009</t>
  </si>
  <si>
    <t>66:58:0104001</t>
  </si>
  <si>
    <t>66:58:0104002</t>
  </si>
  <si>
    <t>66:58:0104003</t>
  </si>
  <si>
    <t>66:58:0104004</t>
  </si>
  <si>
    <t>66:58:0104005</t>
  </si>
  <si>
    <t>66:58:0104007</t>
  </si>
  <si>
    <t>66:58:0104008</t>
  </si>
  <si>
    <t>66:58:0104009</t>
  </si>
  <si>
    <t>66:58:0111001</t>
  </si>
  <si>
    <t>66:58:0112001</t>
  </si>
  <si>
    <t>66:58:0113002</t>
  </si>
  <si>
    <t>66:58:0113003</t>
  </si>
  <si>
    <t>66:58:0113004</t>
  </si>
  <si>
    <t>66:58:2901012</t>
  </si>
  <si>
    <t>66:58:0111012</t>
  </si>
  <si>
    <t>66:58:0111002</t>
  </si>
  <si>
    <t>66:58:0111003</t>
  </si>
  <si>
    <t>66:58:0111004</t>
  </si>
  <si>
    <t>66:58:0111005</t>
  </si>
  <si>
    <t>66:58:0111007</t>
  </si>
  <si>
    <t>66:58:0111008</t>
  </si>
  <si>
    <t>66:58:0111009</t>
  </si>
  <si>
    <t>66:58:0111010</t>
  </si>
  <si>
    <t>66:58:0111011</t>
  </si>
  <si>
    <t>66:58:0112002</t>
  </si>
  <si>
    <t>66:58:2901010</t>
  </si>
  <si>
    <t>66:58:2901011</t>
  </si>
  <si>
    <t>66:58:2901013</t>
  </si>
  <si>
    <t>66:58:2901014</t>
  </si>
  <si>
    <t>66:58:2901006</t>
  </si>
  <si>
    <t>66:58:2901007</t>
  </si>
  <si>
    <t>66:58:2901008</t>
  </si>
  <si>
    <t>66:58:2901009</t>
  </si>
  <si>
    <t>66:58:0201001</t>
  </si>
  <si>
    <t>purl_5</t>
  </si>
  <si>
    <t>66:21:0101083</t>
  </si>
  <si>
    <t>66:21:0101007</t>
  </si>
  <si>
    <t>66:21:0101011</t>
  </si>
  <si>
    <t>66:21:0101012</t>
  </si>
  <si>
    <t>66:21:0101013</t>
  </si>
  <si>
    <t>66:21:0101019</t>
  </si>
  <si>
    <t>66:21:0101020</t>
  </si>
  <si>
    <t>66:21:0101021</t>
  </si>
  <si>
    <t>66:21:0101028</t>
  </si>
  <si>
    <t>66:21:0101029</t>
  </si>
  <si>
    <t>66:21:0101047</t>
  </si>
  <si>
    <t>66:21:0101084</t>
  </si>
  <si>
    <t>66:21:0101085</t>
  </si>
  <si>
    <t>66:21:0101086</t>
  </si>
  <si>
    <t>66:21:1204007</t>
  </si>
  <si>
    <t>66:21:0101054</t>
  </si>
  <si>
    <t>66:21:0101055</t>
  </si>
  <si>
    <t>66:21:0101066</t>
  </si>
  <si>
    <t>66:21:0101073</t>
  </si>
  <si>
    <t>66:21:0101074</t>
  </si>
  <si>
    <t>66:21:0101079</t>
  </si>
  <si>
    <t>66:21:0101080</t>
  </si>
  <si>
    <t>66:21:0101081</t>
  </si>
  <si>
    <t>66:21:0101087</t>
  </si>
  <si>
    <t>66:21:0101088</t>
  </si>
  <si>
    <t>66:21:0101089</t>
  </si>
  <si>
    <t>66:21:0101090</t>
  </si>
  <si>
    <t>66:21:0101091</t>
  </si>
  <si>
    <t>66:21:0601001</t>
  </si>
  <si>
    <t>66:21:1203001</t>
  </si>
  <si>
    <t>66:21:1203002</t>
  </si>
  <si>
    <t>66:21:1204005</t>
  </si>
  <si>
    <t>66:21:1204006</t>
  </si>
  <si>
    <t>66:21:0901001</t>
  </si>
  <si>
    <t>66:58:2901005</t>
  </si>
  <si>
    <t>66:58:1301001</t>
  </si>
  <si>
    <t>66:58:1301002</t>
  </si>
  <si>
    <t>66:58:1301003</t>
  </si>
  <si>
    <t>66:58:1301005</t>
  </si>
  <si>
    <t>66:58:2901003</t>
  </si>
  <si>
    <t>66:58:2901004</t>
  </si>
  <si>
    <t>66:58:1501001</t>
  </si>
  <si>
    <t>66:58:1301004</t>
  </si>
  <si>
    <t>66:58:1301006</t>
  </si>
  <si>
    <t>66:58:1301007</t>
  </si>
  <si>
    <t>66:58:1301008</t>
  </si>
  <si>
    <t>66:58:1301009</t>
  </si>
  <si>
    <t>66:58:1601001</t>
  </si>
  <si>
    <t>66:58:1601002</t>
  </si>
  <si>
    <t>66:58:1601003</t>
  </si>
  <si>
    <t>66:58:1801001</t>
  </si>
  <si>
    <t>66:58:2401001</t>
  </si>
  <si>
    <t>purl_4</t>
  </si>
  <si>
    <t>66:58:2803002</t>
  </si>
  <si>
    <t>66:58:2803005</t>
  </si>
  <si>
    <t>66:21:1204004</t>
  </si>
  <si>
    <t>66:21:0201001</t>
  </si>
  <si>
    <t>66:58:2803010</t>
  </si>
  <si>
    <t>66:58:2803011</t>
  </si>
  <si>
    <t>66:21:0401001</t>
  </si>
  <si>
    <t>66:21:0501001</t>
  </si>
  <si>
    <t>66:21:1202001</t>
  </si>
  <si>
    <t>66:21:1202002</t>
  </si>
  <si>
    <t>66:21:1202003</t>
  </si>
  <si>
    <t>66:21:1202004</t>
  </si>
  <si>
    <t>66:21:1202005</t>
  </si>
  <si>
    <t>66:21:1204001</t>
  </si>
  <si>
    <t>66:21:1204008</t>
  </si>
  <si>
    <t>66:21:1204009</t>
  </si>
  <si>
    <t>66:58:2803003</t>
  </si>
  <si>
    <t>66:58:2803004</t>
  </si>
  <si>
    <t>66:58:2901002</t>
  </si>
  <si>
    <t>66:58:2803001</t>
  </si>
  <si>
    <t>66:58:1201005</t>
  </si>
  <si>
    <t>66:58:1201002</t>
  </si>
  <si>
    <t>66:58:1201003</t>
  </si>
  <si>
    <t>66:58:1201006</t>
  </si>
  <si>
    <t>66:58:1401001</t>
  </si>
  <si>
    <t>66:58:1401002</t>
  </si>
  <si>
    <t>66:58:1401003</t>
  </si>
  <si>
    <t>66:58:1501002</t>
  </si>
  <si>
    <t>66:58:1501003</t>
  </si>
  <si>
    <t>66:58:1501004</t>
  </si>
  <si>
    <t>66:58:1501005</t>
  </si>
  <si>
    <t>66:58:1701001</t>
  </si>
  <si>
    <t>66:58:1701002</t>
  </si>
  <si>
    <t>66:58:1701003</t>
  </si>
  <si>
    <t>66:58:2803022</t>
  </si>
  <si>
    <t>66:58:2803007</t>
  </si>
  <si>
    <t>66:58:2803006</t>
  </si>
  <si>
    <t>66:58:2803008</t>
  </si>
  <si>
    <t>66:58:2803009</t>
  </si>
  <si>
    <t>66:58:2803012</t>
  </si>
  <si>
    <t>66:58:2803013</t>
  </si>
  <si>
    <t>66:58:2803014</t>
  </si>
  <si>
    <t>66:58:2803015</t>
  </si>
  <si>
    <t>66:58:2803016</t>
  </si>
  <si>
    <t>66:58:2803017</t>
  </si>
  <si>
    <t>66:58:2803018</t>
  </si>
  <si>
    <t>66:58:2803019</t>
  </si>
  <si>
    <t>66:58:2803020</t>
  </si>
  <si>
    <t>66:58:2803021</t>
  </si>
  <si>
    <t>66:58:3101001</t>
  </si>
  <si>
    <t>66:58:2803025</t>
  </si>
  <si>
    <t>66:58:1201001</t>
  </si>
  <si>
    <t>66:58:1201004</t>
  </si>
  <si>
    <t>66:58:2001001</t>
  </si>
  <si>
    <t>66:58:2802005</t>
  </si>
  <si>
    <t>66:21:1201004</t>
  </si>
  <si>
    <t>66:21:1201003</t>
  </si>
  <si>
    <t>66:21:1201001</t>
  </si>
  <si>
    <t>66:21:1201002</t>
  </si>
  <si>
    <t>66:21:1201005</t>
  </si>
  <si>
    <t>66:21:1201006</t>
  </si>
  <si>
    <t>66:21:1201007</t>
  </si>
  <si>
    <t>66:21:1201008</t>
  </si>
  <si>
    <t>66:21:1204002</t>
  </si>
  <si>
    <t>66:58:2803024</t>
  </si>
  <si>
    <t>66:58:2803023</t>
  </si>
  <si>
    <t>66:58:2803026</t>
  </si>
  <si>
    <t>66:58:2803027</t>
  </si>
  <si>
    <t>66:58:2803028</t>
  </si>
  <si>
    <t>66:58:2803029</t>
  </si>
  <si>
    <t>66:58:2803030</t>
  </si>
  <si>
    <t>66:58:2803031</t>
  </si>
  <si>
    <t>66:58:2803032</t>
  </si>
  <si>
    <t>66:58:2803033</t>
  </si>
  <si>
    <t>66:58:2803034</t>
  </si>
  <si>
    <t>66:58:2803035</t>
  </si>
  <si>
    <t>66:58:2803036</t>
  </si>
  <si>
    <t>66:58:2803037</t>
  </si>
  <si>
    <t>66:58:2803038</t>
  </si>
  <si>
    <t>66:58:0801001</t>
  </si>
  <si>
    <t>66:58:0801002</t>
  </si>
  <si>
    <t>66:58:0801003</t>
  </si>
  <si>
    <t>66:58:0901001</t>
  </si>
  <si>
    <t>66:58:0901002</t>
  </si>
  <si>
    <t>66:58:0901003</t>
  </si>
  <si>
    <t>66:58:0901004</t>
  </si>
  <si>
    <t>66:58:1001001</t>
  </si>
  <si>
    <t>66:58:2802002</t>
  </si>
  <si>
    <t>66:58:2802003</t>
  </si>
  <si>
    <t>66:58:2802004</t>
  </si>
  <si>
    <t>66:58:1101009</t>
  </si>
  <si>
    <t>66:58:1101002</t>
  </si>
  <si>
    <t>66:58:1101001</t>
  </si>
  <si>
    <t>66:58:0901005</t>
  </si>
  <si>
    <t>66:58:1001002</t>
  </si>
  <si>
    <t>66:58:1101003</t>
  </si>
  <si>
    <t>66:58:1101004</t>
  </si>
  <si>
    <t>66:58:1101005</t>
  </si>
  <si>
    <t>66:58:1101006</t>
  </si>
  <si>
    <t>66:58:1101007</t>
  </si>
  <si>
    <t>66:58:1101008</t>
  </si>
  <si>
    <t>66:58:1101010</t>
  </si>
  <si>
    <t>66:58:1101011</t>
  </si>
  <si>
    <t>66:58:1101012</t>
  </si>
  <si>
    <t>66:58:2701001</t>
  </si>
  <si>
    <t>66:58:0701002</t>
  </si>
  <si>
    <t>66:58:0701003</t>
  </si>
  <si>
    <t>66:58:0701004</t>
  </si>
  <si>
    <t>66:58:0701005</t>
  </si>
  <si>
    <t>66:58:0701006</t>
  </si>
  <si>
    <t>66:58:0701008</t>
  </si>
  <si>
    <t>66:58:0701009</t>
  </si>
  <si>
    <t>66:58:2802001</t>
  </si>
  <si>
    <t>66:58:2901001</t>
  </si>
  <si>
    <t>66:58:1901001</t>
  </si>
  <si>
    <t>66:58:2802006</t>
  </si>
  <si>
    <t>66:58:0701007</t>
  </si>
  <si>
    <t>66:58:2801001</t>
  </si>
  <si>
    <t>66:58:3001001</t>
  </si>
  <si>
    <t>66:58:0701001</t>
  </si>
  <si>
    <t>66:58:0301001</t>
  </si>
  <si>
    <t>66:58:0401001</t>
  </si>
  <si>
    <t>66:58:0501001</t>
  </si>
  <si>
    <t>66:58:0501002</t>
  </si>
  <si>
    <t>66:58:0601001</t>
  </si>
  <si>
    <t>66:58:0601002</t>
  </si>
  <si>
    <t>Справочник квартал-зона, при отсутствии КК в списке зона назначается по МО</t>
  </si>
  <si>
    <t>MO</t>
  </si>
  <si>
    <t>ZonaIGS</t>
  </si>
  <si>
    <t>08</t>
  </si>
  <si>
    <t>32</t>
  </si>
  <si>
    <t>67</t>
  </si>
  <si>
    <t>17</t>
  </si>
  <si>
    <t>07</t>
  </si>
  <si>
    <t>60</t>
  </si>
  <si>
    <t>48</t>
  </si>
  <si>
    <t>01</t>
  </si>
  <si>
    <t>23</t>
  </si>
  <si>
    <t>20</t>
  </si>
  <si>
    <t>35</t>
  </si>
  <si>
    <t>24</t>
  </si>
  <si>
    <t>33</t>
  </si>
  <si>
    <t>Особый контроль</t>
  </si>
  <si>
    <t>Зона влияния для ИЖС (Вспомогательный столбец)</t>
  </si>
  <si>
    <t>Тип ИЖС</t>
  </si>
  <si>
    <t>Наименование кот поселка/ сад тов</t>
  </si>
  <si>
    <t>Код сегмента</t>
  </si>
  <si>
    <t>loc_SgCode</t>
  </si>
  <si>
    <t>01:998</t>
  </si>
  <si>
    <t>01:050</t>
  </si>
  <si>
    <t>14:000</t>
  </si>
  <si>
    <t>ControlSP</t>
  </si>
  <si>
    <t>loc_GroupName</t>
  </si>
  <si>
    <t>Расшифровка расчетной подгруппы</t>
  </si>
  <si>
    <t>Наименование вида использования</t>
  </si>
  <si>
    <t>01:010</t>
  </si>
  <si>
    <t>Растениеводство в целом. Включает коды расчета вида использования 01.020-01.060</t>
  </si>
  <si>
    <t>01:020</t>
  </si>
  <si>
    <t>Выращивание зерновых, бобовых, кормовых, технических, масличных, эфиромасличных и иных сельскохозяйственных культур</t>
  </si>
  <si>
    <t>01:030</t>
  </si>
  <si>
    <t>Овощеводство в целом, связанное с производством картофеля, листовых, плодовых, луковичных и бахчевых сельскохозяйственных культур, в том числе с использованием теплиц</t>
  </si>
  <si>
    <t>01:031</t>
  </si>
  <si>
    <t>Овощеводство в открытом грунте</t>
  </si>
  <si>
    <t>01:032</t>
  </si>
  <si>
    <t>Овощеводство тепличное</t>
  </si>
  <si>
    <t>01:040</t>
  </si>
  <si>
    <t>Выращивание тонизирующих, лекарственных, цветочных культур в целом</t>
  </si>
  <si>
    <t>01:041</t>
  </si>
  <si>
    <t>Выращивание тонизирующих, лекарственных, цветочных культур. Травы</t>
  </si>
  <si>
    <t>01:042</t>
  </si>
  <si>
    <t>Выращивание тонизирующих, лекарственных, цветочных культур. Кустарники</t>
  </si>
  <si>
    <t>Садоводство в целом - выращивание многолетних плодовых и ягодных культур, винограда и иных многолетних культур</t>
  </si>
  <si>
    <t>01:051</t>
  </si>
  <si>
    <t>Садоводство плодовое</t>
  </si>
  <si>
    <t>01:052</t>
  </si>
  <si>
    <t>Садоводство ягодно-кустарниковое</t>
  </si>
  <si>
    <t>01:053</t>
  </si>
  <si>
    <t>Садоводство виноградники</t>
  </si>
  <si>
    <t>01:054</t>
  </si>
  <si>
    <t>Садоводство ягодники</t>
  </si>
  <si>
    <t>01:060</t>
  </si>
  <si>
    <t>Выращивание льна и конопли</t>
  </si>
  <si>
    <t>01:070</t>
  </si>
  <si>
    <t>Животноводство в целом. Связано с производством продукции животноводства, в том числе сенокошение, выпас сельскохозяйственных животных, разведение племенных животных, производство и использование племенной продукции (материала), размещение зданий, сооружений, используемых для содержания и разведения сельскохозяйственных животных, производства, хранения и первичной переработки сельскохозяйственной продукции. Включает коды расчета вида использования 01.080-01.086</t>
  </si>
  <si>
    <t>01:080</t>
  </si>
  <si>
    <t>Скотоводство. Хозяйственная деятельность, связанная с разведением сельскохозяйственных животных (крупного рогатого скота, овец, коз, лошадей, верблюдов, оленей)</t>
  </si>
  <si>
    <t>01:081</t>
  </si>
  <si>
    <t>Скотоводство. Сенокошение, выпас, производство кормов, за исключением кодов расчета вида использования 01.082-01.084</t>
  </si>
  <si>
    <t>01:082</t>
  </si>
  <si>
    <t>Скотоводство. Оленеводство</t>
  </si>
  <si>
    <t>01:083</t>
  </si>
  <si>
    <t>Скотоводство. Овцеводство</t>
  </si>
  <si>
    <t>01:084</t>
  </si>
  <si>
    <t>Скотоводство. Коневодство</t>
  </si>
  <si>
    <t>01:085</t>
  </si>
  <si>
    <t>Скотоводство молочное. Выращивание скота для получения молочной продукции</t>
  </si>
  <si>
    <t>01:086</t>
  </si>
  <si>
    <t>Скотоводство мясное, за исключением кодов расчета вида использования 01:082-01:084. Выращивание скота для получения мясной продукции</t>
  </si>
  <si>
    <t>01:120</t>
  </si>
  <si>
    <t>Пчеловодство в целом. Разведение, содержание и использование пчел и иных полезных насекомых</t>
  </si>
  <si>
    <t>01:121</t>
  </si>
  <si>
    <t>Пчеловодство. Размещение ульев, иных объектов и оборудования, необходимого для пчеловодства и разведения иных полезных насекомых, за исключением кода расчета вида использования 01:122</t>
  </si>
  <si>
    <t>01:130</t>
  </si>
  <si>
    <t>Рыбоводство в целом. Разведение и (или) содержание, выращивание объектов рыбоводства (аквакультуры), за исключением кода расчета вида использования 01:132</t>
  </si>
  <si>
    <t>01:131</t>
  </si>
  <si>
    <t>Рыбоводство. Водные объекты, предназначенные для рыбоводства</t>
  </si>
  <si>
    <t>01:140</t>
  </si>
  <si>
    <t>Научное обеспечение сельского хозяйства в целом</t>
  </si>
  <si>
    <t>01:141</t>
  </si>
  <si>
    <t>Научное обеспечение сельского хозяйства. Растениеводство. Выращивание опытных образцов</t>
  </si>
  <si>
    <t>01:142</t>
  </si>
  <si>
    <t>Научное обеспечение сельского хозяйства. Животноводство. Сенокошение, выпас, производство кормов</t>
  </si>
  <si>
    <t>01:160</t>
  </si>
  <si>
    <t>Ведение личного подсобного хозяйства на полевых земельных участках. Производство сельскохозяйственной продукции без права возведения ОКС (площадью от 5000 кв м на ЗСН и площадьб более 25000 кв. м на ЗНП)</t>
  </si>
  <si>
    <t>01:161</t>
  </si>
  <si>
    <t>Крестьянское фермерское хозяйство (площадью от 5000 кв м)</t>
  </si>
  <si>
    <t>01:170</t>
  </si>
  <si>
    <t>Питомники в целом</t>
  </si>
  <si>
    <t>01:171</t>
  </si>
  <si>
    <t>Питомники. Выращивание и реализация подроста деревьев и кустарников, используемых в сельском хозяйстве, а также иных сельскохозяйственных культур для получения рассады и семян</t>
  </si>
  <si>
    <t>02:012</t>
  </si>
  <si>
    <t>Выращивание плодовых, ягодных, овощных, бахчевых или иных декоративных или сельскохозяйственных культур</t>
  </si>
  <si>
    <t>02:015</t>
  </si>
  <si>
    <t>Разведение декоративных и плодовых, ягодных, овощных культур</t>
  </si>
  <si>
    <t>02:022</t>
  </si>
  <si>
    <t>Ведение личного подсобного хозяйства. Производство (выращивание) сельскохозяйственной продукции, кормов, выпаса скота</t>
  </si>
  <si>
    <t>02:033</t>
  </si>
  <si>
    <t>Блокированная жилая застройка. Разведение декоративных и плодовых, ягодных, овощных культур</t>
  </si>
  <si>
    <t>13:010</t>
  </si>
  <si>
    <t>Ведение огородничества. Осуществление деятельности, связанной с выращиванием ягодных, овощных, бахчевых или иных сельскохозяйственных культур и картофеля пПлощадью от 5000 кв м)</t>
  </si>
  <si>
    <t>01:997</t>
  </si>
  <si>
    <t>Для размещения ферм, МТФ, свинарников, коровников, конных дворов, тепличных хозяйств</t>
  </si>
  <si>
    <t>Сельскохозяйственное производство</t>
  </si>
  <si>
    <t>01:999</t>
  </si>
  <si>
    <t>Иной вид использования в сегменте "Сельскохозяйственное использование"</t>
  </si>
  <si>
    <t>02:000</t>
  </si>
  <si>
    <t>Жилая застройка (среднеэтажная и многоэтажная без уточнения этажности)</t>
  </si>
  <si>
    <t>02:050</t>
  </si>
  <si>
    <t>Среднеэтажная жилая застройка в целом</t>
  </si>
  <si>
    <t>02:051</t>
  </si>
  <si>
    <t>Среднеэтажная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</si>
  <si>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02:060</t>
  </si>
  <si>
    <t>Многоэтажная жилая застройка (высотная застройка) в целом</t>
  </si>
  <si>
    <t>02:061</t>
  </si>
  <si>
    <t>Многоэтажная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</si>
  <si>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02:999</t>
  </si>
  <si>
    <t>Иной вид использования в сегменте "Жилая застройка (среднеэтажная и многоэтажная)"</t>
  </si>
  <si>
    <t>01:143</t>
  </si>
  <si>
    <t>Научное обеспечение сельского хозяйства. Размещение зданий, сооружений, оборудования, необходимых для осуществления научного обеспечения сельского хозяйства, включая размещение коллекций генетических ресурсов растений</t>
  </si>
  <si>
    <t>03:010</t>
  </si>
  <si>
    <t>Коммунальное обслуживание в целом</t>
  </si>
  <si>
    <t>03:013</t>
  </si>
  <si>
    <t>Коммунальное обслуживание. Размещение ОКС в целях обеспечения физических и юридических лиц коммунальными услугами, в частности: зданий или помещений, предназначенных для приема физических и юридических лиц в связи с предоставлением им коммунальных услуг</t>
  </si>
  <si>
    <t>03:020</t>
  </si>
  <si>
    <t>Социальное обслуживание в целом</t>
  </si>
  <si>
    <t>03:021</t>
  </si>
  <si>
    <t>Социальное обслуживание. Размещение ОКС, предназначенных для оказания гражданам социальной помощи (службы занятости населения, дома престарелых, дома ребенка, детские дома, пункты питания малоимущих граждан, пункты ночлега для бездомных граждан, службы психологической и бесплатной юридической помощи, социальные, пенсионные и иные службы, в которых осуществляется прием граждан по вопросам оказания социальной помощи и назначения социальных или пенсионных выплат)</t>
  </si>
  <si>
    <t>03:022</t>
  </si>
  <si>
    <t>Социальное обслуживание. Размещение ОКС для размещения отделений почты и телеграфа</t>
  </si>
  <si>
    <t>03:023</t>
  </si>
  <si>
    <t>Социальное обслуживание. Размещение ОКС для размещения общественных некоммерческих организаций: благотворительных организаций, клубов по интересам</t>
  </si>
  <si>
    <t>03:030</t>
  </si>
  <si>
    <t>Бытовое обслуживание в целом</t>
  </si>
  <si>
    <t>03:031</t>
  </si>
  <si>
    <t>Бытовое обслуживание. Размещение ОКС, предназначенных для оказания населению или организациям бытовых услуг. Мастерские мелкого ремонта, ателье</t>
  </si>
  <si>
    <t>03:032</t>
  </si>
  <si>
    <t>Бытовое обслуживание. Размещение ОКС, предназначенных для оказания населению или организациям бытовых услуг. Бани</t>
  </si>
  <si>
    <t>03:033</t>
  </si>
  <si>
    <t>Бытовое обслуживание. Размещение ОКС, предназначенных для оказания населению или организациям бытовых услуг. Прачечные, химчистки</t>
  </si>
  <si>
    <t>03:034</t>
  </si>
  <si>
    <t>Бытовое обслуживание. Размещение ОКС, предназначенных для оказания населению или организациям бытовых услуг. Парикмахерские</t>
  </si>
  <si>
    <t>03:035</t>
  </si>
  <si>
    <t>Бытовое обслуживание. Размещение ОКС, предназначенных для оказания населению или организациям бытовых услуг. Похоронные бюро</t>
  </si>
  <si>
    <t>03:040</t>
  </si>
  <si>
    <t>Здравоохранение в целом. Размещение ОКС, предназначенных для оказания гражданам медицинской помощи. Включает коды расчета вида использования 03:041-03:042</t>
  </si>
  <si>
    <t>03:041</t>
  </si>
  <si>
    <t>Амбулаторно-поликлиническое обслуживание. Размещение ОКС, предназначенных для оказания гражданам амбулаторно-поликлинической медицинской помощи (поликлиники, фельдшерские пункты, пункты здравоохранения, центры матери и ребенка, диагностические центры, молочные кухни, станции донорства крови, клинические лаборатории)</t>
  </si>
  <si>
    <t>03:042</t>
  </si>
  <si>
    <t>Стационарное медицинское обслуживание. Размещение ОКС, предназначенных для оказания гражданам медицинской помощи в стационарах (больницы, родильные дома, научно-медицинские учреждения и прочие объекты, обеспечивающие оказание услуги по лечению в стационаре), размещение станций скорой помощи</t>
  </si>
  <si>
    <t>03:050</t>
  </si>
  <si>
    <t>Образование и просвещение в целом. Размещение ОКС, предназначенных для воспитания, образования и просвещения (детские ясли, детские сады, школы, лицеи, гимназии, профессиональные технические училища, колледжи, художественные, музыкальные школы и училища, образовательные кружки,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воспитанию, образованию и просвещению). Включает коды расчета вида использования 03.051-03.052</t>
  </si>
  <si>
    <t>03:051</t>
  </si>
  <si>
    <t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t>
  </si>
  <si>
    <t>03:052</t>
  </si>
  <si>
    <t>Среднее и высшее профессиональное образование. Размещение ОКС, предназначенных для профессионального образования и просвещения (профессиональные технические училища, колледжи, художественные, музыкальные училища,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образованию и просвещению), размещение зданий военных училищ, военных институтов, военных университетов, военных академий</t>
  </si>
  <si>
    <t>03:060</t>
  </si>
  <si>
    <t>Культурное развитие в целом</t>
  </si>
  <si>
    <t>03:061</t>
  </si>
  <si>
    <t>Культурное развитие. Размещение ОКС, предназначенных для размещения в них музеев, выставочных залов, художественных галерей, библиотек, планетариев</t>
  </si>
  <si>
    <t>03:062</t>
  </si>
  <si>
    <t>Культурное развитие. Размещение ОКС, предназначенных для размещения в них домов культуры, театров, филармоний, цирков</t>
  </si>
  <si>
    <t>03:065</t>
  </si>
  <si>
    <t>Культурное развитие. Размещение зданий и сооружений для размещения зверинцев, зоопарков, океанариумов</t>
  </si>
  <si>
    <t>03:070</t>
  </si>
  <si>
    <t>Религиозное использование в целом</t>
  </si>
  <si>
    <t>03:071</t>
  </si>
  <si>
    <t>Религиозное использование. Размещение ОКС, предназначенных для отправления религиозных обрядов (церкви, соборы, храмы, часовни, монастыри, скиты, мечети, синагоги, молельные дома)</t>
  </si>
  <si>
    <t>03:072</t>
  </si>
  <si>
    <t>Религиозное использование. Размещение ОКС, предназначенных для постоянного местонахождения духовных лиц, паломников и послушников в связи с осуществлением ими религиозной службы</t>
  </si>
  <si>
    <t>03:073</t>
  </si>
  <si>
    <t>Религиозное использование. Размещение ОКС, предназначенных для осуществления благотворительной и религиозной образовательной деятельности (воскресные школы, семинарии, духовные училища)</t>
  </si>
  <si>
    <t>03:080</t>
  </si>
  <si>
    <t>Общественное управление в целом</t>
  </si>
  <si>
    <t>03:081</t>
  </si>
  <si>
    <t>Общественное управление. Размещение ОКС, предназначенных для размещения органов государственной власти, органов местного самоуправления, судов, а также организаций, непосредственно обеспечивающих их деятельность</t>
  </si>
  <si>
    <t>03:082</t>
  </si>
  <si>
    <t>Общественное управление. Размещение ОКС, предназначенных для размещения органов управления политических партий, профессиональных и отраслевых союзов, творческих союзов и иных общественных объединений граждан по отраслевому или политическому признаку</t>
  </si>
  <si>
    <t>03:083</t>
  </si>
  <si>
    <t>Общественное управление. Размещение ОКС для дипломатических представительств иностранных государств и консульских учреждений в Российской Федерации</t>
  </si>
  <si>
    <t>03:090</t>
  </si>
  <si>
    <t>Обеспечение научной деятельности в целом</t>
  </si>
  <si>
    <t>03:091</t>
  </si>
  <si>
    <t>Обеспечение научной деятельности. Размещение ОКС для проведения научных исследований и изысканий, испытаний опытных промышленных образцов, проведения научной и селекционной работы, ведения сельского и лесного хозяйства для получения ценных с научной точки зрения образцов растительного и животного мира - производственных, лабораторных и иных подобных зданий, необходимых для обеспечения научной деятельности</t>
  </si>
  <si>
    <t>03:092</t>
  </si>
  <si>
    <t>Обеспечение научной деятельности. Размещение ОКС для размещения организаций, осуществляющих научные изыскания, исследования и разработки (научно-исследовательские институты, проектные институты, научные центры, опытно-конструкторские центры, государственные академии наук, в том числе отраслевые) - административных зданий научно-исследовательских организаций</t>
  </si>
  <si>
    <t>03:100</t>
  </si>
  <si>
    <t>Ветеринарное обслуживание в целом. Размещение ОКС, предназначенных для оказания ветеринарных услуг, содержания или разведения животных, не являющихся сельскохозяйственными, под надзором человека. Включает коды расчет вида использования 03:101-03:104</t>
  </si>
  <si>
    <t>03:101</t>
  </si>
  <si>
    <t>Амбулаторное ветеринарное обслуживание. Размещение ОКС, предназначенных для оказания ветеринарных услуг без содержания животных</t>
  </si>
  <si>
    <t>03:102</t>
  </si>
  <si>
    <t>Приюты для животных. Размещение ОКС, предназначенных для оказания ветеринарных услуг в стационаре</t>
  </si>
  <si>
    <t>03:103</t>
  </si>
  <si>
    <t>Приюты для животных. Размещение ОКС, предназначенных для содержания, разведения животных, не являющихся сельскохозяйственными, под надзором человека, оказания услуг по содержанию и лечению бездомных животных</t>
  </si>
  <si>
    <t>03:104</t>
  </si>
  <si>
    <t>Приюты для животных. Размещение ОКС, предназначенных для организации гостиниц для животных</t>
  </si>
  <si>
    <t>05:010</t>
  </si>
  <si>
    <t>Спорт в целом. Размещение ОКС в качестве спортивных клубов, спортивных залов, бассейнов,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в том числе водным спортом (причалы и сооружения, необходимые для водных видов спорта и хранения соответствующего инвентаря)</t>
  </si>
  <si>
    <t>05:011</t>
  </si>
  <si>
    <t>Спорт. Размещение ОКС в качестве спортивных клубов, спортивных залов, бассейнов</t>
  </si>
  <si>
    <t>05:012</t>
  </si>
  <si>
    <t>Спорт.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сооружения для хранения соответствующего инвентаря</t>
  </si>
  <si>
    <t>05:020</t>
  </si>
  <si>
    <t>Природно-познавательный туризм. Размещение баз и палаточных лагерей для проведения походов и экскурсий по ознакомлению с природой, пеших и конных прогулок</t>
  </si>
  <si>
    <t>05:021</t>
  </si>
  <si>
    <t>Природно-познавательный туризм. Устройство троп и дорожек, размещение щитов с познавательными сведениями об окружающей природной среде, осуществление необходимых природоохранных и природовосстановительных мероприятий</t>
  </si>
  <si>
    <t>05:051</t>
  </si>
  <si>
    <t>Поля для гольфа или конных прогулок. Размещение конноспортивных манежей, не предусматривающих устройство трибун</t>
  </si>
  <si>
    <t>07:021</t>
  </si>
  <si>
    <t>Автомобильный транспорт. Размещение зданий и сооружений, предназначенных для обслуживания пассажиров</t>
  </si>
  <si>
    <t>07:022</t>
  </si>
  <si>
    <t>Автомобильный транспорт. Размещение зданий и сооружений, обеспечивающих работу транспортных средств, размещение объектов, предназначенных для размещения постов органов внутренних дел, ответственных за безопасность дорожного движения</t>
  </si>
  <si>
    <t>08:022</t>
  </si>
  <si>
    <t>Обеспечение вооруженных сил, охрана Государственной границы Российской Федерации. Размещение зданий для размещения воинских, в том числе пограничных воинских, частей и органов управления ими</t>
  </si>
  <si>
    <t>08:030</t>
  </si>
  <si>
    <t>Обеспечение внутреннего правопорядка. Размещение ОКС, необходимых для подготовки и поддержания в готовности органов внутренних дел и спасательных служб, в которых существует военизированная служба</t>
  </si>
  <si>
    <t>08:041</t>
  </si>
  <si>
    <t>Обеспечение деятельности по исполнению наказаний. Размещение ОКС для создания мест лишения свободы (поселения)</t>
  </si>
  <si>
    <t>09:030</t>
  </si>
  <si>
    <t>Историко-культурная деятельность. Сохранение и изучение объектов культурного наследия народов Российской Федерации (памятников истории и культуры), в том числе: объектов археологического наследия, достопримечательных мест, мест бытования исторических промыслов, производств и ремесел, недействующих военных и гражданских захоронений, объектов культурного наследия, хозяйственная деятельность, являющаяся историческим промыслом или ремеслом</t>
  </si>
  <si>
    <t>03:999</t>
  </si>
  <si>
    <t>Иной вид использования в сегменте "Общественное использование"</t>
  </si>
  <si>
    <t>01:183</t>
  </si>
  <si>
    <t>Обеспечение сельскохозяйственного производства. Размещение административных, бытовых и хозяйственно-бытовых зданий и сооружений, объектов общественного питания</t>
  </si>
  <si>
    <t>02:017</t>
  </si>
  <si>
    <t>Размещение объектов обслуживания жилой застройки во встроенных, пристроенных и встроенно-пристроенных помещениях малоэтажного многоквартирного дома на территории малоэтажной многоквартирной жилой застройки</t>
  </si>
  <si>
    <t>02:053</t>
  </si>
  <si>
    <t>Среднеэтажная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</si>
  <si>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02:063</t>
  </si>
  <si>
    <t>Многоэтажная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</si>
  <si>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03:063</t>
  </si>
  <si>
    <t>Культурное развитие. Размещение ОКС, предназначенных для размещения в них кинотеатров и кинозалов</t>
  </si>
  <si>
    <t>03:064</t>
  </si>
  <si>
    <t>Культурное развитие. Устройство площадок для празднеств и гуляний</t>
  </si>
  <si>
    <t>04:010</t>
  </si>
  <si>
    <t>Деловое управление. Размещение ОКС с целью размещения объектов управленческой деятельности, не связанной с государственным или муниципальным управлением и оказанием услуг, а также с целью обеспечения совершения сделок, не требующих передачи товара в момент их совершения между организациями, в том числе биржевая деятельность (за исключением банковской и страховой деятельности)</t>
  </si>
  <si>
    <t>04:020</t>
  </si>
  <si>
    <t>Объекты торговли (торговые центры, торгово-развлекательные центры (комплексы). Размещение ОКС, общей площадью свыше 5000 кв.м с целью размещения одной или нескольких организаций, осуществляющих продажу товаров и (или) оказание услуг. Включает коды расчета вида использования 04.050-04.096</t>
  </si>
  <si>
    <t>04:030</t>
  </si>
  <si>
    <t>Рынки. Размещение ОКС, сооружений, предназначенных для организации постоянной или временной торговли (ярмарка, рынок, базар), с учетом того, что каждое из торговых мест не располагает торговой площадью более 200 кв.м</t>
  </si>
  <si>
    <t>04:040</t>
  </si>
  <si>
    <t>Магазины. Размещение ОКС, предназначенных для продажи товаров, торговая площадь которых составляет до 5 000 кв.м</t>
  </si>
  <si>
    <t>04:050</t>
  </si>
  <si>
    <t>Банковская и страховая деятельность. Размещение ОКС, предназначенных для размещения организаций, оказывающих банковские и страховые услуги</t>
  </si>
  <si>
    <t>04:060</t>
  </si>
  <si>
    <t>Общественное питание. Размещение ОКС в целях устройства мест общественного питания (рестораны, кафе, столовые, закусочные, бары)</t>
  </si>
  <si>
    <t>04:080</t>
  </si>
  <si>
    <t>Развлечения. Размещение ОКС, предназначенных для размещения дискотек и танцевальных площадок, ночных клубов</t>
  </si>
  <si>
    <t>04:081</t>
  </si>
  <si>
    <t>Развлечения. Размещение ОКС, предназначенных для размещения аквапарков</t>
  </si>
  <si>
    <t>04:082</t>
  </si>
  <si>
    <t>Развлечения. Размещение ОКС, предназначенных для размещения боулинга, аттракционов, игровых автоматов (кроме игрового оборудования, используемого для проведения азартных игр) и игровых площадок, за исключением площадок игорных зон</t>
  </si>
  <si>
    <t>04:083</t>
  </si>
  <si>
    <t>Развлечения. Размещение ОКС, предназначенных для размещения ипподромов</t>
  </si>
  <si>
    <t>04:084</t>
  </si>
  <si>
    <t>Развлечения. Размещение ОКС, предназначенных для размещения в игорных зонах игорных заведений, залов игровых автоматов, используемых для проведения азартных игр, и игровых столов, включая размещение гостиниц и заведений общественного питания для посетителей игорных зон, в случае расположения этих объектов на одном земельном участке</t>
  </si>
  <si>
    <t>04:096</t>
  </si>
  <si>
    <t>Объекты придорожного сервиса. Размещение магазинов сопутствующей торговли, зданий для организации общественного питания в качестве объектов придорожного сервиса</t>
  </si>
  <si>
    <t>04:100</t>
  </si>
  <si>
    <t>Выставочно-ярмарочная деятельность. Размещение ОКС, сооружений, предназначенных для осуществления выставочно-ярмарочной и конгрессной деятельности, включая деятельность, необходимую для обслуживания указанных мероприятий (застройка экспозиционной площади, организация питания участников мероприятий)</t>
  </si>
  <si>
    <t>05:013</t>
  </si>
  <si>
    <t>Спорт. Размещение ОКС водных видов спорта (причалы и сооружения, необходимые для водных видов спорта и хранения соответствующего инвентаря)</t>
  </si>
  <si>
    <t>05:050</t>
  </si>
  <si>
    <t>Поля для гольфа или конных прогулок. Обустройство мест для игры в гольф или осуществления конных прогулок, в том числе осуществление необходимых земляных работ и создание вспомогательных сооружений</t>
  </si>
  <si>
    <t>08:021</t>
  </si>
  <si>
    <t>Охрана Государственной границы Российской Федерации. Размещение зданий для размещения пунктов пропуска через Государственную границу Российской Федерации, размещение объектов, обеспечивающих осуществление таможенной деятельности</t>
  </si>
  <si>
    <t>04:996</t>
  </si>
  <si>
    <t>Ярмарки, торговые выставки на открытых площадках</t>
  </si>
  <si>
    <t>04:997</t>
  </si>
  <si>
    <t xml:space="preserve">Рекламные щиты/рекламные растяжки/рекламные конструкции </t>
  </si>
  <si>
    <t>04:998</t>
  </si>
  <si>
    <t>Киоски/Ларьки/Торговые павильоны/Прицепы и Трейлеры торговые</t>
  </si>
  <si>
    <t>04:999</t>
  </si>
  <si>
    <t>Иной вид использования в сегменте "Предпринимательство"</t>
  </si>
  <si>
    <t>02:040</t>
  </si>
  <si>
    <t>Передвижное жилье. Размещение сооружений, пригодных к использованию в качестве жилья (палаточные городки, кемпинги, жилые вагончики, жилые прицепы) с возможностью подключения названных сооружений к инженерным сетям, находящимся на земельном участке или на земельных участках, имеющих инженерные сооружения, предназначенные для общего пользования</t>
  </si>
  <si>
    <t>04:070</t>
  </si>
  <si>
    <t>Гостиничное обслуживание. Размещение гостиниц, а также иных зданий, используемых с целью извлечения предпринимательской выгоды из предоставления жилого помещения для временного проживания в них, за исключением кодов расчета видов использования 04:097, 05:020, 05:022, 05:030</t>
  </si>
  <si>
    <t>04:097</t>
  </si>
  <si>
    <t>Объекты придорожного сервиса. Предоставление гостиничных услуг в качестве придорожного сервиса</t>
  </si>
  <si>
    <t>05:014</t>
  </si>
  <si>
    <t>Спорт. Размещение спортивных баз и лагерей - ОКС для временного проживания, питания спортсменов, для бытовых нужд</t>
  </si>
  <si>
    <t>05:022</t>
  </si>
  <si>
    <t>Туристическое обслуживание. Размещение пансионатов, туристических гостиниц, кемпингов, домов отдыха, не оказывающих услуги по лечению, а также иных зданий, используемых с целью извлечения предпринимательской выгоды из предоставления жилого помещения для временного проживания в них, размещение детских лагерей</t>
  </si>
  <si>
    <t>05:030</t>
  </si>
  <si>
    <t>Охота и рыбалка. Размещение дома охотника или рыболова</t>
  </si>
  <si>
    <t>08:040</t>
  </si>
  <si>
    <t>Обеспечение деятельности по исполнению наказаний. Размещение ОКС для создания мест лишения свободы (следственные изоляторы, тюрьмы)</t>
  </si>
  <si>
    <t>09:021</t>
  </si>
  <si>
    <t>Санаторная деятельность. Размещение санаториев и профилакториев, обеспечивающих оказание услуги по лечению и оздоровлению населения</t>
  </si>
  <si>
    <t>09:023</t>
  </si>
  <si>
    <t>Санаторная деятельность. Размещение лечебно-оздоровительных лагерей</t>
  </si>
  <si>
    <t>05:999</t>
  </si>
  <si>
    <t>Иной вид использования в сегменте "Отдых (рекреация)"</t>
  </si>
  <si>
    <t>01:087</t>
  </si>
  <si>
    <t>Скотоводство. Размещение зданий, сооружений, используемых для содержания и разведения скота, хранения кормов</t>
  </si>
  <si>
    <t>01:088</t>
  </si>
  <si>
    <t>Скотоводство. Размещение зданий, сооружений, используемых для переработки продукции</t>
  </si>
  <si>
    <t>01:090</t>
  </si>
  <si>
    <t>Звероводство в целом. Разведение в неволе ценных пушных зверей.</t>
  </si>
  <si>
    <t>01:091</t>
  </si>
  <si>
    <t>Звероводство. Размещение зданий, сооружений, используемых для содержания и разведения животных, хранения кормов</t>
  </si>
  <si>
    <t>01:092</t>
  </si>
  <si>
    <t>Звероводство. Размещение зданий, сооружений, используемых для производства, хранения и первичной переработки продукции</t>
  </si>
  <si>
    <t>01:100</t>
  </si>
  <si>
    <t>Птицеводство в целом. Разведение домашних пород птиц, в том числе водоплавающих</t>
  </si>
  <si>
    <t>01:101</t>
  </si>
  <si>
    <t>Птицеводство. Размещение зданий, сооружений, используемых для содержания и разведения животных, хранения кормов</t>
  </si>
  <si>
    <t>01:102</t>
  </si>
  <si>
    <t>Птицеводство. Размещение зданий, сооружений, используемых для производства, хранения и первичной переработки продукции</t>
  </si>
  <si>
    <t>01:110</t>
  </si>
  <si>
    <t>Свиноводство в целом</t>
  </si>
  <si>
    <t>01:111</t>
  </si>
  <si>
    <t>Свиноводство. Размещение зданий, сооружений, используемых для содержания и разведения животных, хранения кормов</t>
  </si>
  <si>
    <t>01:112</t>
  </si>
  <si>
    <t>Свиноводство. Размещение зданий, сооружений, используемых для производства, хранения и первичной переработки продукции</t>
  </si>
  <si>
    <t>01:122</t>
  </si>
  <si>
    <t>Пчеловодство. Размещение сооружений, используемых для хранения и первичной переработки продукции пчеловодства</t>
  </si>
  <si>
    <t>01:132</t>
  </si>
  <si>
    <t>Рыбоводство. Размещение зданий, сооружений, оборудования, необходимых для осуществления рыбоводства (аквакультуры), зданий и сооружений, используемых для хранения и первичной переработки продукции рыбоводства</t>
  </si>
  <si>
    <t>01:150</t>
  </si>
  <si>
    <t>Хранение и переработка сельскохозяйственной продукции. Размещение зданий, сооружений, используемых для производства, хранения, первичной и глубокой переработки сельскохозяйственной продукции</t>
  </si>
  <si>
    <t>01:172</t>
  </si>
  <si>
    <t>Питомники. Размещение сооружений, необходимых для выращивания и реализации продукции, указанной в коде расчета вида использования 01:171</t>
  </si>
  <si>
    <t>01:180</t>
  </si>
  <si>
    <t>Обеспечение сельскохозяйственного производства в целом. Включает коды расчета вида использования 01:181, 01:182</t>
  </si>
  <si>
    <t>01:181</t>
  </si>
  <si>
    <t>Обеспечение сельскохозяйственного производства. Размещение машинно-транспортных и ремонтных станций, ангаров и гаражей для сельскохозяйственной техники</t>
  </si>
  <si>
    <t>01:182</t>
  </si>
  <si>
    <t>Обеспечение сельскохозяйственного производства. Размещение водонапорных башен, трансформаторных станций и иного технического оборудования, используемого для ведения сельского хозяйства</t>
  </si>
  <si>
    <t>03:011</t>
  </si>
  <si>
    <t>Коммунальное обслуживание. Размещение ОКС в целях обеспечения физических и юридических лиц коммунальными услугами, в частности: поставка воды, тепла, электричества, газа, предоставление услуг связи (отвод канализационных стоков, водопроводы, линии электропередач, газопроводы, линии связи и прочие линейные объекты)</t>
  </si>
  <si>
    <t>03:012</t>
  </si>
  <si>
    <t>Коммунальное обслуживание. Размещение ОКС в целях обеспечения физических и юридических лиц коммунальными услугами, в частности: котельные, водозаборы, очистные сооружения, насосные станции, трансформаторные подстанции, телефонные станции, стоянки, гаражи и мастерские для обслуживания уборочной и аварийной техники</t>
  </si>
  <si>
    <t>03:093</t>
  </si>
  <si>
    <t>Обеспечение деятельности в области гидрометеорологии и смежных с ней областях. Размещение ОКС, предназначенных для наблюдений за физическими и химическими процессами, происходящими в окружающей среде, определения ее гидрометеорологических, агрометеорологических и гелиогеофизических характеристик, уровня загрязнения атмосферного воздуха, почв, водных объектов, в том числе по гидробиологическим показателям, и околоземного - космического пространства, зданий и сооружений, используемых в области гидрометеорологии и смежных с ней областях (доплеровские метеорологические радиолокаторы, гидрологические посты и другие)</t>
  </si>
  <si>
    <t>04:095</t>
  </si>
  <si>
    <t>Объекты придорожного сервиса. Размещение автозаправочных станций (бензиновых, газовых)</t>
  </si>
  <si>
    <t>04:098</t>
  </si>
  <si>
    <t>Объекты придорожного сервиса. Размещение автомобильных моек и прачечных для автомобильных принадлежностей</t>
  </si>
  <si>
    <t>04:099</t>
  </si>
  <si>
    <t>Объекты придорожного сервиса. Размещение мастерских, предназначенных для ремонта и обслуживания автомобилей и прочих объектов придорожного сервиса</t>
  </si>
  <si>
    <t>05:040</t>
  </si>
  <si>
    <t>Причалы для маломерных судов. Размещение сооружений, предназначенных для причаливания, хранения и обслуживания яхт, катеров, лодок и других маломерных судов</t>
  </si>
  <si>
    <t>06:010</t>
  </si>
  <si>
    <t>Недропользование. Осуществление геологических изысканий, добыча недр открытым (карьеры, отвалы) способом</t>
  </si>
  <si>
    <t>06:011</t>
  </si>
  <si>
    <t>Недропользование. Осуществление геологических изысканий, добыча недр закрытым (шахты, скважины) способом</t>
  </si>
  <si>
    <t>06:012</t>
  </si>
  <si>
    <t>Недропользование. Размещение ОКС, в том числе подземных, в целях добычи недр</t>
  </si>
  <si>
    <t>06:013</t>
  </si>
  <si>
    <t>Недропользование. Размещение ОКС, необходимых для подготовки сырья к транспортировке и (или) промышленной переработке</t>
  </si>
  <si>
    <t>06:014</t>
  </si>
  <si>
    <t>Недропользование. Размещение ОКС, предназначенных для проживания в них сотрудников, осуществляющих обслуживание зданий и сооружений, необходимых для целей недропользования, если добыча недр происходит на межселенной территории</t>
  </si>
  <si>
    <t>06:020</t>
  </si>
  <si>
    <t>Тяжелая промышленность. Размещение ОКС горно-обогатительной и горно-перерабатывающей, металлургической, машиностроительной промышленности, а также изготовления и ремонта продукции судостроения, авиастроения, вагоностроения, машиностроения, станкостроения, а также других подобных промышленных предприятий, для эксплуатации которых предусматривается установление охранных или санитарно-защитных зон, за исключением случаев, когда объект промышленности отнесен к иному виду использования</t>
  </si>
  <si>
    <t>06:021</t>
  </si>
  <si>
    <t>Автомобилестроительная промышленность. Размещение ОКС, предназначенных для производства транспортных средств и оборудования, производства автомобилей, производства автомобильных кузовов, производства прицепов, полуприцепов и контейнеров, предназначенных для перевозки одним или несколькими видами транспорта, производства частей и принадлежностей автомобилей и их двигателей</t>
  </si>
  <si>
    <t>06:030</t>
  </si>
  <si>
    <t>Легкая промышленность. Размещение ОКС, предназначенных для текстильной, фарфорово-фаянсовой, электронной промышленности</t>
  </si>
  <si>
    <t>06:031</t>
  </si>
  <si>
    <t>Фармацевтическая промышленность. Размещение ОКС, предназначенных для фармацевтического производства, в том числе объектов, в отношении которых предусматривается установление охранных или санитарно-защитных зон</t>
  </si>
  <si>
    <t>06:040</t>
  </si>
  <si>
    <t>Пищевая промышленность. Размещение объектов пищевой промышленности, по переработке сельскохозяйственной продукции способом, приводящим к их переработке в иную продукцию (консервирование, копчение, хлебопечение), в том числе для производства напитков, алкогольных напитков и табачных изделий</t>
  </si>
  <si>
    <t>06:050</t>
  </si>
  <si>
    <t>Нефтехимическая промышленность. Размещение ОКС, предназначенных для переработки углеводородного сырья, изготовления удобрений, полимеров, химической продукции бытового назначения и подобной продукции, а также другие подобные промышленные предприятия</t>
  </si>
  <si>
    <t>06:060</t>
  </si>
  <si>
    <t>Строительная промышленность. Размещение ОКС, предназначенных для производства: строительных материалов (кирпичей, пиломатериалов, цемента, крепежных материалов), бытового и строительного газового и сантехнического оборудования, лифтов и подъемников, столярной продукции, сборных домов или их частей и тому подобной продукции</t>
  </si>
  <si>
    <t>06:070</t>
  </si>
  <si>
    <t>Энергетика. Размещение объектов гидроэнергетики, размещение обслуживающих и вспомогательных для электростанций сооружений (гидротехнических сооружений)</t>
  </si>
  <si>
    <t>06:071</t>
  </si>
  <si>
    <t>Энергетика. Размещение объектов тепловых станций и других электростанций, за исключением кода расчета вида использования 06:073, размещение обслуживающих и вспомогательных для электростанций сооружений (золоотвалов)</t>
  </si>
  <si>
    <t>06:072</t>
  </si>
  <si>
    <t>Энергетика. Размещение объектов электросетевого хозяйства, за исключением объектов энергетики, размещение которых предусмотрено кодом расчета вида использования 03:012</t>
  </si>
  <si>
    <t>06:073</t>
  </si>
  <si>
    <t>Атомная энергетика. Размещение объектов использования атомной энергии, в том числе атомных станций, ядерных установок (за исключением создаваемых в научных целях), пунктов хранения ядерных материалов и радиоактивных веществ, размещение обслуживающих и вспомогательных для электростанций сооружений</t>
  </si>
  <si>
    <t>06:074</t>
  </si>
  <si>
    <t>Атомная энергетика. Размещение объектов электросетевого хозяйства, обслуживающих атомные электростанции</t>
  </si>
  <si>
    <t>06:080</t>
  </si>
  <si>
    <t>06:090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</si>
  <si>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за исключением железнодорожных перевалочных складов</t>
  </si>
  <si>
    <t>06:091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</si>
  <si>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нефтехранилища и нефтеналивные станции, газовые хранилища и обслуживающие их газоконденсатные и газоперекачивающие станции</t>
  </si>
  <si>
    <t>06:092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</si>
  <si>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элеваторы и продовольственные склады, за исключением железнодорожных перевалочных складов</t>
  </si>
  <si>
    <t>06:093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</si>
  <si>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нефтехранилища и нефтеналивные станции, газовые хранилища и обслуживающие их газоконденсатные и газоперекачивающие станции, элеваторы и продовольственные склады, за исключением железнодорожных перевалочных складов</t>
  </si>
  <si>
    <t>06:100</t>
  </si>
  <si>
    <t>Обеспечение космической деятельности. Размещение космодромов, стартовых комплексов и пусковых установок, полигонов приземления космических объектов, объектов экспериментальной базы для отработки космической техники</t>
  </si>
  <si>
    <t>06:101</t>
  </si>
  <si>
    <t>Обеспечение космической деятельности. Размещение командно-измерительных комплексов, центров и пунктов управления полетами космических объектов, пунктов приема, хранения и переработки информации, баз хранения космической техники, центров и оборудования для подготовки космонавтов, других сооружений, используемых при осуществлении космической деятельности</t>
  </si>
  <si>
    <t>06:110</t>
  </si>
  <si>
    <t>Целлюлозно-бумажная промышленность. Размещение ОКС, предназначенных для целлюлозно-бумажного производства, производства целлюлозы, древесной массы, бумаги, картона и изделий из них</t>
  </si>
  <si>
    <t>06:111</t>
  </si>
  <si>
    <t>Целлюлозно-бумажная промышленность. Размещение ОКС, предназначенных для издательской и полиграфической деятельности, тиражирования записанных носителей информации</t>
  </si>
  <si>
    <t>07:010</t>
  </si>
  <si>
    <t>Железнодорожный транспорт. Размещение железнодорожных путей</t>
  </si>
  <si>
    <t>07:011</t>
  </si>
  <si>
    <t>Железнодорожный транспорт. Размещение зданий и сооружений, в том числе железнодорожных вокзалов и станций</t>
  </si>
  <si>
    <t>07:012</t>
  </si>
  <si>
    <t>Железнодорожный транспорт. Размещение зданий и сооружений, в том числе устройств и объектов, необходимых для эксплуатации, содержания, строительства, реконструкции, ремонта наземных и подземных зданий, сооружений, устройств и других объектов железнодорожного транспорта</t>
  </si>
  <si>
    <t>07:013</t>
  </si>
  <si>
    <t>Железнодорожный транспорт. Размещение погрузочно-разгрузочных площадок, прирельсовых складов (за исключением складов горюче-смазочных материалов и автозаправочных станций любых типов, а также складов, предназначенных для хранения опасных веществ и материалов, не предназначенных непосредственно для обеспечения железнодорожных перевозок) и иных объектов при условии соблюдения требований безопасности движения, установленных федеральными законами</t>
  </si>
  <si>
    <t>07:014</t>
  </si>
  <si>
    <t>Железнодорожный транспорт. Размещение наземных сооружений метрополитена, в том числе посадочных станций, вентиляционных шахт</t>
  </si>
  <si>
    <t>07:015</t>
  </si>
  <si>
    <t>Железнодорожный транспорт. Размещение наземных сооружений для трамвайного сообщения и иных специальных дорог (канатных, монорельсовых, фуникулеров)</t>
  </si>
  <si>
    <t>07:020</t>
  </si>
  <si>
    <t>Автомобильный транспорт. Размещение автомобильных дорог и технически связанных с ними сооружений</t>
  </si>
  <si>
    <t>07:030</t>
  </si>
  <si>
    <t>Водный транспорт. Размещение искусственно созданных для судоходства внутренних водных путей, размещение ОКС внутренних водных путей, навигационного оборудования и других объектов, необходимых для обеспечения судоходства и водных перевозок</t>
  </si>
  <si>
    <t>07:031</t>
  </si>
  <si>
    <t>Водный транспорт. Размещение ОКС морских портов и речных портов, причалов, пристаней, гидротехнических сооружений</t>
  </si>
  <si>
    <t>07:032</t>
  </si>
  <si>
    <t>Водный транспорт. Размещение ОКС гидротехнических сооружений, за исключением кодов расчета вида использования 07:030, 07:031</t>
  </si>
  <si>
    <t>07:040</t>
  </si>
  <si>
    <t>Воздушный транспорт. Размещение аэродромов, вертолетных площадок (вертодромов), обустройство мест для приводнения и причаливания гидросамолетов, размещение аэропортов (аэровокзалов) и иных объектов, необходимых для посадки и высадки пассажиров и их сопутствующего обслуживания и обеспечения их безопасности, а также размещение объектов, необходимых для погрузки, разгрузки и хранения грузов, перемещаемых воздушным путем</t>
  </si>
  <si>
    <t>07:041</t>
  </si>
  <si>
    <t>Воздушный транспорт. Размещение радиотехнического обеспечения полетов и прочих объектов, необходимых для взлета и приземления (приводнения) воздушных судов, размещение аэропортов (аэровокзалов)</t>
  </si>
  <si>
    <t>07:042</t>
  </si>
  <si>
    <t>Воздушный транспорт. Размещение объектов, предназначенных для технического обслуживания и ремонта воздушных судов</t>
  </si>
  <si>
    <t>07:050</t>
  </si>
  <si>
    <t>Трубопроводный транспорт. Размещение магистральных нефтепроводов, водопроводов, газопроводов и иных трубопроводов</t>
  </si>
  <si>
    <t>07:051</t>
  </si>
  <si>
    <t>Трубопроводный транспорт. Размещение зданий и сооружений, необходимых для эксплуатации трубопроводов, предусмотренных кодом расчета вида использования 07:050</t>
  </si>
  <si>
    <t>08:010</t>
  </si>
  <si>
    <t>Обеспечение вооруженных сил. Размещение ОКС, предназначенных для разработки, испытания, производства ремонта или уничтожения вооружения, техники военного назначения и боеприпасов</t>
  </si>
  <si>
    <t>08:012</t>
  </si>
  <si>
    <t>Обеспечение вооруженных сил. Размещение ОКС, необходимых для создания и хранения запасов материальных ценностей в государственном и мобилизационном резервах (хранилища, склады и другие объекты)</t>
  </si>
  <si>
    <t>08:013</t>
  </si>
  <si>
    <t>Обеспечение вооруженных сил. Размещение объектов, для обеспечения безопасности которых были созданы закрытые административно-территориальные образования</t>
  </si>
  <si>
    <t>08:031</t>
  </si>
  <si>
    <t>Обеспечение внутреннего правопорядка. Размещение объектов гражданской обороны, за исключением объектов гражданской обороны, являющихся частями производственных зданий</t>
  </si>
  <si>
    <t>10:011</t>
  </si>
  <si>
    <t>Заготовка древесины. Частичная переработка и хранение древесины, размещение сооружений, необходимых для обработки и хранения древесины (лесных складов, лесопилен)</t>
  </si>
  <si>
    <t>10:012</t>
  </si>
  <si>
    <t>Заготовка древесины. Создание лесных дорог</t>
  </si>
  <si>
    <t>11:030</t>
  </si>
  <si>
    <t>Гидротехнические сооружения. Размещение гидротехнических сооружений, необходимых для эксплуатации водохранилищ (плотин, водосбросов, водозаборных, водовыпускных и других гидротехнических сооружений, судопропускных сооружений, рыбозащитных и рыбопропускных сооружений, берегозащитных сооружений), за исключением кодов расчета вида использования 06:070, 07:030-07:032</t>
  </si>
  <si>
    <t>12:001</t>
  </si>
  <si>
    <t>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</si>
  <si>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06:998</t>
  </si>
  <si>
    <t>здания/нежилые здания/сооружения по документу с производственным использованием по классификатору</t>
  </si>
  <si>
    <t>06:999</t>
  </si>
  <si>
    <t>Иной вид использования в сегменте "Производственная деятельность"</t>
  </si>
  <si>
    <t>02:071</t>
  </si>
  <si>
    <t>Объекты гаражного назначения. Размещение отдельно стоящих и пристроенных одноэтажных гаражей надземных, предназначенных для хранения личного автотранспорта граждан (в том числе в квартальной жилой застройке)</t>
  </si>
  <si>
    <t>04:021</t>
  </si>
  <si>
    <t>Объекты торговли (торговые центры, торгово-развлекательные центры (комплексы). Размещение гаражей и (или) стоянок для автомобилей сотрудников и посетителей торгового центра</t>
  </si>
  <si>
    <t>04:031</t>
  </si>
  <si>
    <t>Рынки. Размещение гаражей и (или) стоянок для автомобилей сотрудников и посетителей рынка</t>
  </si>
  <si>
    <t>04:090</t>
  </si>
  <si>
    <t>Обслуживание автотранспорта в целом. Размещение постоянных или временных гаражей с несколькими стояночными местами, стоянок (парковок), гаражей, в том числе многоярусных, не указанных в кодах расчета вида использования 02:071, 03:012, 04:021, 04:031</t>
  </si>
  <si>
    <t>04:091</t>
  </si>
  <si>
    <t>Обслуживание автотранспорта. Размещение открытых площадок, предназначенных для хранения автотранспорта</t>
  </si>
  <si>
    <t>04:092</t>
  </si>
  <si>
    <t>Обслуживание автотранспорта. Размещение отдельно стоящих и сблокированных одноэтажных гаражей, предназначенных для хранения личного автотранспорта граждан, имеющих общую внутриплощадочную транспортную и инженерную инфраструктуру (дороги, электрификацию и пр.), с возможностью размещения автомобильных моек</t>
  </si>
  <si>
    <t>04:093</t>
  </si>
  <si>
    <t>Обслуживание автотранспорта. Размещение отдельно стоящих и пристроенных гаражей подземных,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</si>
  <si>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04:094</t>
  </si>
  <si>
    <t>Обслуживание автотранспорта. Размещение отдельно стоящих и пристроенных гаражей многоярусных,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</si>
  <si>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07:023</t>
  </si>
  <si>
    <t>Автомобильный транспорт. Под оборудование для открытых стоянок автомобильного транспорта</t>
  </si>
  <si>
    <t>07:024</t>
  </si>
  <si>
    <t>Автомобильный транспорт. Размещение депо (устройства мест стоянок) автомобильного транспорта, осуществляющего перевозки людей по установленному маршруту</t>
  </si>
  <si>
    <t>07:999</t>
  </si>
  <si>
    <t>Иной вид использования в сегменте "Транспорт"</t>
  </si>
  <si>
    <t>08:020</t>
  </si>
  <si>
    <t>Охрана Государственной границы Российской Федерации. Размещение инженерных сооружений и заграждений, пограничных знаков, коммуникаций и других объектов, необходимых для обеспечения защиты и охраны Государственной границы Российской Федерации, устройство пограничных просек и контрольных полос</t>
  </si>
  <si>
    <t>08:999</t>
  </si>
  <si>
    <t>Иной вид использования в сегменте "Обеспечение обороны и безопасности"</t>
  </si>
  <si>
    <t>02:016</t>
  </si>
  <si>
    <t>Обустройство спортивных и детских площадок, площадок отдыха на территории малоэтажной многоквартирной жилой застройки</t>
  </si>
  <si>
    <t>02:032</t>
  </si>
  <si>
    <t>Блокированная жилая застройка. Обустройство спортивных и детских площадок, площадок отдыха на территории блокированной жилой застройки</t>
  </si>
  <si>
    <t>02:052</t>
  </si>
  <si>
    <t>Среднеэтажная жилая застройка. Обустройство спортивных и детских площадок, площадок отдыха на территории квартальной застройки</t>
  </si>
  <si>
    <t>02:062</t>
  </si>
  <si>
    <t>Многоэтажная жилая застройка. Обустройство спортивных и детских площадок, площадок отдыха на территории квартальной застройки</t>
  </si>
  <si>
    <t>05:031</t>
  </si>
  <si>
    <t>Охота и рыбалка. Обустройство мест охоты и рыбалки, в том числе сооружений, необходимых для восстановления и поддержания поголовья зверей или количества рыбы</t>
  </si>
  <si>
    <t>09:010</t>
  </si>
  <si>
    <t>Охрана природных территорий. Сохранение и изучение растительного и животного мира путем создания особо охраняемых природных территорий, в границах которых хозяйственная деятельность, кроме деятельности, связанной с охраной и изучением природы, не допускается (государственные природные заповедники, национальные и природные парки, памятники природы, дендрологические парки, ботанические сады), сохранение отдельных естественных качеств окружающей природной среды путем ограничения хозяйственной деятельности, в частности: создание и уход за запретными полосами, создание и уход за защитными лесами, в том числе городскими лесами, лесами в лесопарках, и иная хозяйственная деятельность, разрешенная в защитных лесах, соблюдение режима использования природных ресурсов в заказниках, сохранение свойств земель, являющихся особо ценными</t>
  </si>
  <si>
    <t>09:020</t>
  </si>
  <si>
    <t>Курортная деятельность. Использование для лечения и оздоровления человека природных лечебных ресурсов (месторождения минеральных вод, лечебные грязи, рапой лиманов и озер, особый климат и иные природные факторы и условия, которые используются или могут использоваться для профилактики и лечения заболеваний человека), а также охрана лечебных ресурсов от истощения и уничтожения в границах зоны горно-санитарной или санитарной охраны лечебно-оздоровительных местностей и курорта</t>
  </si>
  <si>
    <t>09:022</t>
  </si>
  <si>
    <t>Санаторная деятельность. Обустройство лечебно-оздоровительных местностей (пляжи, бюветы, места добычи целебной грязи)</t>
  </si>
  <si>
    <t>12:002</t>
  </si>
  <si>
    <t>Размещение в границах населенных пунктов набережных, береговых полос водных объектов общего пользования</t>
  </si>
  <si>
    <t>12:003</t>
  </si>
  <si>
    <t>Размещение в границах населенных пунктов скверов, бульваров, малых архитектурных форм благоустройства</t>
  </si>
  <si>
    <t>09:999</t>
  </si>
  <si>
    <t>Иной вид использования в сегменте "Деятельность по особой охране и изучению природы"</t>
  </si>
  <si>
    <t>09:998</t>
  </si>
  <si>
    <t>Территории общего пользования - остановки и остановочные комплексы</t>
  </si>
  <si>
    <t>09:997</t>
  </si>
  <si>
    <t>Территории общего пользования - без указания уточняющей функции</t>
  </si>
  <si>
    <t>09:996</t>
  </si>
  <si>
    <t>Территории общего пользования - размещение автомобильных дорог и технически связанных с ними сооружений</t>
  </si>
  <si>
    <t>09:995</t>
  </si>
  <si>
    <t>Территории общего пользования - 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</si>
  <si>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10:010</t>
  </si>
  <si>
    <t>Заготовка древесины. Рубка лесных насаждений, выросших в природных условиях, а также выращенных трудом человека, в том числе гражданами для собственных нужд, охрана и восстановление лесов</t>
  </si>
  <si>
    <t>10:020</t>
  </si>
  <si>
    <t>Лесные плантации. Выращивание и рубка лесных насаждений</t>
  </si>
  <si>
    <t>10:030</t>
  </si>
  <si>
    <t>Заготовка лесных ресурсов. Заготовка живицы, сбор недревесных лесных ресурсов, в том числе гражданами для собственных нужд, заготовка пищевых лесных ресурсов и дикорастущих растений, хранение, неглубокая переработка и вывоз добытых лесных ресурсов, размещение временных сооружений, необходимых для хранения и неглубокой переработки лесных ресурсов (сушилки, грибоварни, склады), охрана лесов</t>
  </si>
  <si>
    <t>10:040</t>
  </si>
  <si>
    <t>Резервные леса. Деятельность, связанная с охраной лесов</t>
  </si>
  <si>
    <t>10:999</t>
  </si>
  <si>
    <t>Иной вид использования в сегменте "Использование лесов"</t>
  </si>
  <si>
    <t>11:010</t>
  </si>
  <si>
    <t>Общее пользование водными объектами. Использование земельных участков, примыкающих к водным объектам способами, необходимыми для осуществления общего водопользования (водопользования, осуществляемого гражданами для личных нужд, а также забор (изъятие) водных ресурсов для целей питьевого и хозяйственно-бытового водоснабжения, купание, использование маломерных судов, водных мотоциклов и других технических средств, предназначенных для отдыха на водных объектах, водопой, если соответствующие запреты не установлены)</t>
  </si>
  <si>
    <t>11:020</t>
  </si>
  <si>
    <t>Специальное пользование водными объектами. Использование земельных участков, примыкающих к водным объектам способами, необходимыми для специального водопользования (забор водных ресурсов из поверхностных водных объектов, сброс сточных вод и (или) дренажных вод, проведение дноуглубительных, взрывных, буровых и других работ, связанных с изменением дна и берегов водных объектов)</t>
  </si>
  <si>
    <t>11:999</t>
  </si>
  <si>
    <t>Иной вид использования в сегменте "Водные объекты"</t>
  </si>
  <si>
    <t>08:011</t>
  </si>
  <si>
    <t>Обеспечение вооруженных сил. Обустройство земельных участков в качестве испытательных полигонов, мест уничтожения вооружения и захоронения отходов, возникающих в связи с использованием, производством, ремонтом или уничтожением вооружений или боеприпасов</t>
  </si>
  <si>
    <t>12:010</t>
  </si>
  <si>
    <t>Ритуальная деятельность. Размещение кладбищ, крематориев и мест захоронения, культовых сооружений</t>
  </si>
  <si>
    <t>12:020</t>
  </si>
  <si>
    <t>Специальная деятельность. Размещение, хранение, захоронение, утилизация, накопление, обработка, обезвреживание отходов производства и потребления, медицинских отходов, биологических отходов, радиоактивных отходов, веществ, разрушающих озоновый слой, полигонов по захоронению бытового мусора и отходов</t>
  </si>
  <si>
    <t>12:021</t>
  </si>
  <si>
    <t>Специальная деятельность. Размещение объектов размещения отходов, захоронения, хранения, обезвреживания отходов (скотомогильников, мусоросжигательных и мусороперерабатывающих заводов), объектов по сортировке бытового мусора и отходов, мест сбора вещей для их вторичной переработки</t>
  </si>
  <si>
    <t>12:030</t>
  </si>
  <si>
    <t>Запас. Отсутствие хозяйственной деятельности</t>
  </si>
  <si>
    <t>12:999</t>
  </si>
  <si>
    <t>Иной вид использования в сегменте "Специальное, ритуальное использование, запас"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</si>
  <si>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 жилищного строительства (ИЖС)</t>
  </si>
  <si>
    <t>02:013</t>
  </si>
  <si>
    <t>Малоэтажная многоквартирная жилая застройка в целом</t>
  </si>
  <si>
    <t>02:014</t>
  </si>
  <si>
    <t>Размещение малоэтажного многоквартирного жилого дома (дом, пригодный для постоянного проживания, высотой до 4 этажей, включая мансардный), размещение индивидуальных гаражей и вспомогательных сооружений исходя из минимальных норм отвода участков для малоэтажных многоквартирных жилых домов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</si>
  <si>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</si>
  <si>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десяти, и каждый из которых предназначен для проживания одной семьи, имеет общую стену (общие стены) без проемов с соседним блоком или соседними блоками, расположен на отдельном земельном участке и имеет выход на территорию общего пользования (жилые дома блокированной застройки), размещение индивидуальных гаражей и иных вспомогательных сооружений</t>
  </si>
  <si>
    <t>Ведение огородничества и Палисадники.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хранения инвентаря и урожая сельскохозяйственных культур</t>
  </si>
  <si>
    <t>Ведение садоводства. Размещение садового дома, предназначенного для отдыха и не подлежащего разделу на квартиры</t>
  </si>
  <si>
    <t>13:999</t>
  </si>
  <si>
    <t>Иной вид использования в сегменте "Садоводство и огородничество, малоэтажная жилая застройка"</t>
  </si>
  <si>
    <t>Дачные, садовые и огородные участки в организованных коттеджных поселках.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</si>
  <si>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</si>
  <si>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13:000</t>
  </si>
  <si>
    <t>Малоэтажная жилая застройка без  уточнения этажности и характера использования земельного участка</t>
  </si>
  <si>
    <t>Иное использование</t>
  </si>
  <si>
    <t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диспетчерские</t>
  </si>
  <si>
    <t>Old_Utlbydoc</t>
  </si>
  <si>
    <t>ВРИ по документу старое(обновление поля)</t>
  </si>
  <si>
    <t>CadastralBlock</t>
  </si>
  <si>
    <t>loc_factor_830</t>
  </si>
  <si>
    <t>DistanceToZTB</t>
  </si>
  <si>
    <t>InfluenceZone_IGS</t>
  </si>
  <si>
    <t>Area</t>
  </si>
  <si>
    <t>PresenceGas</t>
  </si>
  <si>
    <t>PresencePower</t>
  </si>
  <si>
    <t>PresenceWaterDisposal</t>
  </si>
  <si>
    <t>PresenceWaterSupply</t>
  </si>
  <si>
    <t>Statement</t>
  </si>
  <si>
    <t>Type_Statement</t>
  </si>
  <si>
    <t>Status_Statement</t>
  </si>
  <si>
    <t>KodMO</t>
  </si>
  <si>
    <t>Sp_flag</t>
  </si>
  <si>
    <t>inputpacket_date</t>
  </si>
  <si>
    <t>Date_comm</t>
  </si>
  <si>
    <t>Sol_comm</t>
  </si>
  <si>
    <t>FlagLocalityCode</t>
  </si>
  <si>
    <t>Flag_VRI</t>
  </si>
  <si>
    <t>FlagParam</t>
  </si>
  <si>
    <t>Flag_VRIoldspr</t>
  </si>
  <si>
    <t>Flag_VRInewspr</t>
  </si>
  <si>
    <t>Flag_Category</t>
  </si>
  <si>
    <t>ID_Group</t>
  </si>
  <si>
    <t>UtilizationByDoc</t>
  </si>
  <si>
    <t>VRICode_NEW</t>
  </si>
  <si>
    <t>PraviloVRI</t>
  </si>
  <si>
    <t>New_id_group</t>
  </si>
  <si>
    <t>VRI_IGS</t>
  </si>
  <si>
    <t>Cot_name</t>
  </si>
  <si>
    <t>Parcels</t>
  </si>
  <si>
    <t>Суд</t>
  </si>
  <si>
    <t>Дата заседания</t>
  </si>
  <si>
    <t>Court</t>
  </si>
  <si>
    <t>Date_Court</t>
  </si>
  <si>
    <t>СТ16_Ф1_М19_18052021_Бунаков_Измененные</t>
  </si>
  <si>
    <t>Код расчета вида использования новый с учетом КП</t>
  </si>
  <si>
    <t>Итоговая группировка</t>
  </si>
  <si>
    <t>Участие объекта на комиссии, в заявлениях, в судах и прочее</t>
  </si>
  <si>
    <t>Вверно, если расходждение составляет 0,00 руб. Если расхождение составляет более 0,01 -ценовые факторы подобраны неверно.Требуется анализ</t>
  </si>
  <si>
    <t>Проверка отклонения УПКС от текущего диапазона и  контроль значительного изменения КС</t>
  </si>
  <si>
    <t>Текущий диапазон УПКС от 85 руб. до 8 560 руб.</t>
  </si>
  <si>
    <t>Возможно изменение кода расчета, но при этом ЦФ может не меняться, например: 02:010 стал 02:011- все ИЖС</t>
  </si>
  <si>
    <t>Изменение Кода расчета</t>
  </si>
  <si>
    <t>Ценовой фактор ВРИ в модели</t>
  </si>
  <si>
    <t>Сравнение с предыдущим расчетом</t>
  </si>
  <si>
    <r>
      <t xml:space="preserve">ВРИ по документу </t>
    </r>
    <r>
      <rPr>
        <b/>
        <i/>
        <sz val="10"/>
        <color theme="1"/>
        <rFont val="Calibri"/>
        <family val="2"/>
        <charset val="204"/>
        <scheme val="minor"/>
      </rPr>
      <t>старое</t>
    </r>
  </si>
  <si>
    <r>
      <t>Код расчета вида использования текущий (</t>
    </r>
    <r>
      <rPr>
        <b/>
        <i/>
        <sz val="10"/>
        <color theme="1"/>
        <rFont val="Calibri"/>
        <family val="2"/>
        <charset val="204"/>
        <scheme val="minor"/>
      </rPr>
      <t>старый</t>
    </r>
    <r>
      <rPr>
        <i/>
        <sz val="10"/>
        <color theme="1"/>
        <rFont val="Calibri"/>
        <family val="2"/>
        <charset val="204"/>
        <scheme val="minor"/>
      </rPr>
      <t>)</t>
    </r>
  </si>
  <si>
    <r>
      <t xml:space="preserve">ВРИ по документу </t>
    </r>
    <r>
      <rPr>
        <b/>
        <i/>
        <sz val="10"/>
        <color theme="1"/>
        <rFont val="Calibri"/>
        <family val="2"/>
        <charset val="204"/>
        <scheme val="minor"/>
      </rPr>
      <t>новое</t>
    </r>
  </si>
  <si>
    <r>
      <t xml:space="preserve">Код расчета вида использования </t>
    </r>
    <r>
      <rPr>
        <b/>
        <i/>
        <sz val="10"/>
        <color theme="1"/>
        <rFont val="Calibri"/>
        <family val="2"/>
        <charset val="204"/>
        <scheme val="minor"/>
      </rPr>
      <t>новый</t>
    </r>
  </si>
  <si>
    <t>Select ID,Source_ID,CadastralNumber,DateCreated,CadastralBlock,Name,ObjectType,Area,AreaUnit,AreaInaccuracy,LocationinBounds,LocationPlaced,ElaborationReferenceMark,ElaborationDistance,ElaborationDirection,AddressOrLocation,FIAS,OKATO,KLADR,OKTMO,PostalCode,AddressRF,Region,DistrictName,DistrictType,CityName,CityType,UrbanDistrictName,UrbanDistrictType,SovietVillageName,SovietVillageType,LocalityName,LocalityType,PlanningElementName,PlanningElementType,StreetName,StreetType,Level1Type,Level1Value,Level2Type,Level2Value,Level3Type,Level3Value,ApartmentType,ApartmentValue,AddressOther,AddressNote,ParcelCategory,Utilization,UtilizationByDoc,UtilizationLandUse,UtilizationТхт,CostValue,CostUnit,CostDateValuation,CostDateEntering,CostDateApproval,CostDocNumber,CostDocDate,CostApplicationDate,CostRevisalStatementDate,CostApplicationLastDate,CostDocName,FacilityKN,FacilityKNPurpose,SurveyProjectNum,DecisionCodeDocument,DecisionName,DecisionSeries,DecisionNumber,DecisionDate,DecisionIssueOrgan,DecisionDesc,HiredHouseUse,HouseActBuilding,HouseActDevelopment,BuildingContractName,DevelopContractName,OwnerDecision,SupportContractName,CodeDocument,DocHiredHouseName,DocHiredHouseSeries,DocHiredHouseNumber,DocHiredHouseDate,DocHiredHouseIssueOrgan,DocHiredHouseDesc,LimitedRightNumber,CREATEOPERATORNAME,CREATEDATE,OPERATORNAME,MODIFYDATE,MI_STYLE,Specific_CadastralCost,CadastralCost,CadastralCostDesc,MO_Name,ID_Group,LocalityCode,locTypeUse2,loc_VICode,loc_GroupName,loc_VRICode,Sourse_loc_VICode,locTypeUse,inputpacket_id,loc_SgCode,VIP_Sp,Quant_Kontur,Quant_Point,Sum_Square,Sum_Perim,Proc_Diff_Square,Pr_Diff,Source_Sum_Square,SourceLocalityCode,Upload_Scroll,Date_KC,Segment,FlagLocalityCode,DistanceToRoad,DistanceToCMO,СМО,PresenceGas,SourcePresenceGas,PresenceHeating,SourcePresenceHeating,PresencePower,SourcePresencePower,PresenceWaterDisposal,SourcePresenceWaterDisposal,PresenceWaterSupply,SourcePresenceWaterSupply,DistanceToEKB,DistanceToRoadEKB,CCoordX,CCoordY,DistanceToMetro,DistanceToStationEKB,CostZone,DistanceToRRStation,costzone2,Textloc_VICode,act_sign,MaxFloor,Enc_squre,Enc_proc,Adm_rn_EKB,forestry,InfluenceZone_IGS,loc_factor_801,loc_factor_802,loc_factor_803,loc_factor_804,loc_factor_806,loc_factor_807,loc_factor_8071,loc_factor_809,loc_factor_8091,loc_factor_810,loc_factor_8101,loc_factor_811,loc_factor_8111,loc_factor_812,loc_factor_8121,loc_factor_813,loc_factor_814,loc_factor_815,loc_factor_816,loc_factor_8161,loc_factor_817,loc_factor_818,loc_factor_819,loc_factor_820,loc_factor_8201,loc_factor_821,loc_factor_822,loc_factor_823,loc_factor_8231,loc_factor_824,loc_factor_825,loc_factor_826,loc_factor_827,loc_factor_828,loc_factor_829,loc_factor_830,loc_factor_831,loc_factor_832,loc_factor_833,loc_factor_8331,loc_factor_835,loc_factor_836,loc_factor_837,loc_factor_838,Statement,Type_Statement,Status_Statement,DistanceToVZC,VRI_IGS,Cot_name,DistanceToZTB,PowerLines,loc_factor_839,KodMO,loc_factor_840,loc_factor_841,presence_entrance,loc_factor_8371,ControlSP,Sp_flag,loc_VRICode540,Status_kc,Date_comm,Sol_comm,Flag_LocalityCode,Flag_VRI,Flag_Location,FlagParam,Flag_VRIoldspr,Flag_VRInewspr,Flag_Category,OldLocalityCode,Flag_VRI_All,VRICode_NEW,PraviloVRI,New_id_group,New_loc_SgCode,New_Segment,Old_Utlbydoc,VRICode_OLD,PraviloVRI_old,Court,Date_Court,Sol_Court,(select (case count(*) when 0 then 0 else 1 end) from GEO.docboxes b where b.obj_id=PARCELS.ID and b.table_id=265) Attachment,(select sign(Count(*)) from PARCELS g where (not GEOM_OBJ is null) and (PARCELS.ID = g.ID)) GeometryExists,((select DatePacket from inputpacket where id=Parcels.inputpacket_id) ) [inputpacket_date] From PARCELS where status_kc='НЕ ГОТОВ'  AND (CadastralCost is not Null) AND New_id_group=8019</t>
  </si>
  <si>
    <t>loc_factor_8371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</si>
</sst>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0000"/>
    <numFmt numFmtId="165" formatCode="0.0000"/>
    <numFmt numFmtId="166" formatCode="0.00000000000000000000"/>
    <numFmt numFmtId="167" formatCode="#,##0.000"/>
    <numFmt numFmtId="168" formatCode="0.0000000000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Calibri"/>
      <family val="2"/>
      <scheme val="minor"/>
    </font>
    <font>
      <i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Times New Roman"/>
      <family val="1"/>
      <charset val="204"/>
    </font>
    <font>
      <sz val="8"/>
      <color theme="1"/>
      <name val="Calibri"/>
      <family val="2"/>
      <scheme val="minor"/>
    </font>
    <font>
      <b/>
      <i/>
      <sz val="10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9"/>
      <color rgb="FF595959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i/>
      <sz val="8"/>
      <color rgb="FF000000"/>
      <name val="Calibri"/>
      <family val="2"/>
      <charset val="204"/>
      <scheme val="minor"/>
    </font>
    <font>
      <sz val="6"/>
      <color theme="1"/>
      <name val="Calibri"/>
      <family val="2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0"/>
      <color rgb="FF00206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4">
    <xf numFmtId="0" fontId="0" fillId="0" borderId="0"/>
    <xf numFmtId="0" fontId="17" fillId="0" borderId="0"/>
    <xf numFmtId="0" fontId="18" fillId="0" borderId="0"/>
    <xf numFmtId="0" fontId="16" fillId="0" borderId="0"/>
    <xf numFmtId="0" fontId="23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28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224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2" xfId="0" applyFill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22" fillId="4" borderId="0" xfId="0" applyFont="1" applyFill="1"/>
    <xf numFmtId="0" fontId="0" fillId="4" borderId="0" xfId="0" applyFill="1"/>
    <xf numFmtId="0" fontId="0" fillId="0" borderId="0" xfId="0" applyBorder="1" applyAlignment="1"/>
    <xf numFmtId="0" fontId="19" fillId="2" borderId="1" xfId="0" applyFont="1" applyFill="1" applyBorder="1" applyAlignment="1">
      <alignment horizontal="center"/>
    </xf>
    <xf numFmtId="0" fontId="0" fillId="0" borderId="8" xfId="0" applyBorder="1"/>
    <xf numFmtId="0" fontId="0" fillId="0" borderId="4" xfId="0" applyBorder="1"/>
    <xf numFmtId="0" fontId="0" fillId="3" borderId="4" xfId="0" applyFill="1" applyBorder="1" applyAlignment="1"/>
    <xf numFmtId="0" fontId="25" fillId="0" borderId="5" xfId="0" applyFont="1" applyBorder="1"/>
    <xf numFmtId="0" fontId="25" fillId="0" borderId="0" xfId="0" applyFont="1" applyBorder="1"/>
    <xf numFmtId="0" fontId="25" fillId="0" borderId="0" xfId="0" applyFont="1"/>
    <xf numFmtId="0" fontId="26" fillId="0" borderId="0" xfId="0" applyFont="1"/>
    <xf numFmtId="0" fontId="0" fillId="0" borderId="0" xfId="0"/>
    <xf numFmtId="0" fontId="0" fillId="0" borderId="0" xfId="0" applyBorder="1"/>
    <xf numFmtId="0" fontId="21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9" xfId="0" applyBorder="1"/>
    <xf numFmtId="0" fontId="0" fillId="3" borderId="10" xfId="0" applyFill="1" applyBorder="1" applyAlignment="1"/>
    <xf numFmtId="0" fontId="0" fillId="3" borderId="11" xfId="0" applyFill="1" applyBorder="1" applyAlignment="1"/>
    <xf numFmtId="0" fontId="25" fillId="0" borderId="6" xfId="0" applyFont="1" applyBorder="1"/>
    <xf numFmtId="0" fontId="0" fillId="0" borderId="13" xfId="0" applyBorder="1"/>
    <xf numFmtId="0" fontId="0" fillId="0" borderId="14" xfId="0" applyBorder="1"/>
    <xf numFmtId="0" fontId="25" fillId="2" borderId="12" xfId="0" applyFont="1" applyFill="1" applyBorder="1" applyAlignment="1">
      <alignment horizontal="center" wrapText="1"/>
    </xf>
    <xf numFmtId="0" fontId="0" fillId="0" borderId="0" xfId="0" applyFill="1" applyBorder="1"/>
    <xf numFmtId="0" fontId="0" fillId="3" borderId="0" xfId="0" applyFill="1" applyBorder="1" applyAlignment="1"/>
    <xf numFmtId="0" fontId="21" fillId="0" borderId="1" xfId="0" applyFont="1" applyFill="1" applyBorder="1" applyAlignment="1">
      <alignment horizontal="center" vertical="center" wrapText="1"/>
    </xf>
    <xf numFmtId="164" fontId="21" fillId="6" borderId="1" xfId="0" applyNumberFormat="1" applyFont="1" applyFill="1" applyBorder="1" applyAlignment="1">
      <alignment horizontal="center" vertical="center" wrapText="1"/>
    </xf>
    <xf numFmtId="165" fontId="21" fillId="6" borderId="7" xfId="0" applyNumberFormat="1" applyFont="1" applyFill="1" applyBorder="1" applyAlignment="1">
      <alignment horizontal="center" vertical="center" wrapText="1"/>
    </xf>
    <xf numFmtId="165" fontId="21" fillId="2" borderId="1" xfId="0" applyNumberFormat="1" applyFont="1" applyFill="1" applyBorder="1" applyAlignment="1">
      <alignment horizontal="center" vertical="center" wrapText="1"/>
    </xf>
    <xf numFmtId="165" fontId="21" fillId="0" borderId="3" xfId="0" applyNumberFormat="1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165" fontId="21" fillId="6" borderId="1" xfId="0" applyNumberFormat="1" applyFont="1" applyFill="1" applyBorder="1" applyAlignment="1">
      <alignment horizontal="center" vertical="center" wrapText="1"/>
    </xf>
    <xf numFmtId="0" fontId="24" fillId="0" borderId="0" xfId="0" applyFont="1"/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vertical="center"/>
    </xf>
    <xf numFmtId="165" fontId="24" fillId="6" borderId="19" xfId="0" applyNumberFormat="1" applyFont="1" applyFill="1" applyBorder="1" applyAlignment="1">
      <alignment vertical="center"/>
    </xf>
    <xf numFmtId="165" fontId="24" fillId="7" borderId="20" xfId="0" applyNumberFormat="1" applyFont="1" applyFill="1" applyBorder="1" applyAlignment="1">
      <alignment vertical="center"/>
    </xf>
    <xf numFmtId="165" fontId="24" fillId="0" borderId="21" xfId="0" applyNumberFormat="1" applyFont="1" applyFill="1" applyBorder="1" applyAlignment="1">
      <alignment vertical="center"/>
    </xf>
    <xf numFmtId="165" fontId="24" fillId="6" borderId="1" xfId="0" applyNumberFormat="1" applyFont="1" applyFill="1" applyBorder="1" applyAlignment="1">
      <alignment vertical="center"/>
    </xf>
    <xf numFmtId="0" fontId="24" fillId="0" borderId="20" xfId="0" applyFont="1" applyFill="1" applyBorder="1" applyAlignment="1">
      <alignment vertical="center"/>
    </xf>
    <xf numFmtId="0" fontId="24" fillId="0" borderId="20" xfId="0" applyFont="1" applyFill="1" applyBorder="1" applyAlignment="1">
      <alignment vertical="center" wrapText="1"/>
    </xf>
    <xf numFmtId="164" fontId="24" fillId="6" borderId="1" xfId="0" applyNumberFormat="1" applyFont="1" applyFill="1" applyBorder="1" applyAlignment="1">
      <alignment vertical="center"/>
    </xf>
    <xf numFmtId="0" fontId="24" fillId="0" borderId="0" xfId="0" applyFont="1" applyFill="1" applyAlignment="1">
      <alignment vertical="center"/>
    </xf>
    <xf numFmtId="0" fontId="24" fillId="0" borderId="22" xfId="0" applyFont="1" applyFill="1" applyBorder="1" applyAlignment="1">
      <alignment vertical="center" wrapText="1"/>
    </xf>
    <xf numFmtId="0" fontId="24" fillId="0" borderId="22" xfId="0" applyFont="1" applyFill="1" applyBorder="1" applyAlignment="1">
      <alignment vertical="center"/>
    </xf>
    <xf numFmtId="0" fontId="24" fillId="0" borderId="2" xfId="0" applyFont="1" applyFill="1" applyBorder="1" applyAlignment="1">
      <alignment vertical="center" wrapText="1"/>
    </xf>
    <xf numFmtId="0" fontId="24" fillId="0" borderId="2" xfId="0" applyFont="1" applyFill="1" applyBorder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164" fontId="24" fillId="6" borderId="20" xfId="0" applyNumberFormat="1" applyFont="1" applyFill="1" applyBorder="1" applyAlignment="1">
      <alignment vertical="center"/>
    </xf>
    <xf numFmtId="0" fontId="24" fillId="0" borderId="19" xfId="0" applyFont="1" applyFill="1" applyBorder="1" applyAlignment="1">
      <alignment vertical="center" wrapText="1"/>
    </xf>
    <xf numFmtId="0" fontId="24" fillId="0" borderId="0" xfId="0" applyFont="1" applyFill="1" applyBorder="1" applyAlignment="1">
      <alignment vertical="center"/>
    </xf>
    <xf numFmtId="165" fontId="24" fillId="6" borderId="3" xfId="0" applyNumberFormat="1" applyFont="1" applyFill="1" applyBorder="1" applyAlignment="1">
      <alignment vertical="center"/>
    </xf>
    <xf numFmtId="0" fontId="24" fillId="0" borderId="16" xfId="0" applyFont="1" applyFill="1" applyBorder="1" applyAlignment="1">
      <alignment vertical="center" wrapText="1"/>
    </xf>
    <xf numFmtId="165" fontId="24" fillId="7" borderId="22" xfId="0" applyNumberFormat="1" applyFont="1" applyFill="1" applyBorder="1" applyAlignment="1">
      <alignment vertical="center"/>
    </xf>
    <xf numFmtId="165" fontId="24" fillId="0" borderId="23" xfId="0" applyNumberFormat="1" applyFont="1" applyFill="1" applyBorder="1" applyAlignment="1">
      <alignment vertical="center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/>
    <xf numFmtId="0" fontId="24" fillId="0" borderId="0" xfId="0" applyFont="1" applyFill="1"/>
    <xf numFmtId="0" fontId="24" fillId="0" borderId="20" xfId="0" applyFont="1" applyFill="1" applyBorder="1" applyAlignment="1"/>
    <xf numFmtId="165" fontId="24" fillId="0" borderId="20" xfId="0" applyNumberFormat="1" applyFont="1" applyFill="1" applyBorder="1" applyAlignment="1"/>
    <xf numFmtId="165" fontId="29" fillId="8" borderId="1" xfId="0" applyNumberFormat="1" applyFont="1" applyFill="1" applyBorder="1" applyAlignment="1">
      <alignment horizontal="left" vertical="top" wrapText="1"/>
    </xf>
    <xf numFmtId="165" fontId="29" fillId="2" borderId="1" xfId="0" applyNumberFormat="1" applyFont="1" applyFill="1" applyBorder="1" applyAlignment="1">
      <alignment horizontal="center" vertical="top" wrapText="1"/>
    </xf>
    <xf numFmtId="0" fontId="30" fillId="7" borderId="22" xfId="0" applyFont="1" applyFill="1" applyBorder="1" applyAlignment="1">
      <alignment horizontal="center" vertical="center" wrapText="1"/>
    </xf>
    <xf numFmtId="0" fontId="24" fillId="0" borderId="20" xfId="0" applyFont="1" applyFill="1" applyBorder="1"/>
    <xf numFmtId="164" fontId="24" fillId="0" borderId="4" xfId="0" applyNumberFormat="1" applyFont="1" applyFill="1" applyBorder="1"/>
    <xf numFmtId="165" fontId="24" fillId="0" borderId="4" xfId="0" applyNumberFormat="1" applyFont="1" applyFill="1" applyBorder="1"/>
    <xf numFmtId="165" fontId="24" fillId="7" borderId="20" xfId="0" applyNumberFormat="1" applyFont="1" applyFill="1" applyBorder="1"/>
    <xf numFmtId="0" fontId="24" fillId="0" borderId="4" xfId="0" applyFont="1" applyFill="1" applyBorder="1"/>
    <xf numFmtId="165" fontId="24" fillId="0" borderId="20" xfId="0" applyNumberFormat="1" applyFont="1" applyFill="1" applyBorder="1"/>
    <xf numFmtId="165" fontId="24" fillId="0" borderId="21" xfId="0" applyNumberFormat="1" applyFont="1" applyFill="1" applyBorder="1"/>
    <xf numFmtId="164" fontId="24" fillId="0" borderId="17" xfId="0" applyNumberFormat="1" applyFont="1" applyFill="1" applyBorder="1"/>
    <xf numFmtId="165" fontId="24" fillId="0" borderId="17" xfId="0" applyNumberFormat="1" applyFont="1" applyFill="1" applyBorder="1"/>
    <xf numFmtId="165" fontId="24" fillId="7" borderId="2" xfId="0" applyNumberFormat="1" applyFont="1" applyFill="1" applyBorder="1"/>
    <xf numFmtId="0" fontId="24" fillId="0" borderId="17" xfId="0" applyFont="1" applyFill="1" applyBorder="1"/>
    <xf numFmtId="165" fontId="24" fillId="0" borderId="2" xfId="0" applyNumberFormat="1" applyFont="1" applyFill="1" applyBorder="1"/>
    <xf numFmtId="165" fontId="24" fillId="0" borderId="18" xfId="0" applyNumberFormat="1" applyFont="1" applyFill="1" applyBorder="1"/>
    <xf numFmtId="0" fontId="24" fillId="0" borderId="0" xfId="0" applyFont="1" applyAlignment="1">
      <alignment horizontal="center"/>
    </xf>
    <xf numFmtId="164" fontId="24" fillId="0" borderId="0" xfId="0" applyNumberFormat="1" applyFont="1"/>
    <xf numFmtId="165" fontId="24" fillId="0" borderId="0" xfId="0" applyNumberFormat="1" applyFont="1"/>
    <xf numFmtId="165" fontId="24" fillId="7" borderId="22" xfId="0" applyNumberFormat="1" applyFont="1" applyFill="1" applyBorder="1"/>
    <xf numFmtId="165" fontId="24" fillId="0" borderId="0" xfId="0" applyNumberFormat="1" applyFont="1" applyFill="1"/>
    <xf numFmtId="0" fontId="31" fillId="0" borderId="1" xfId="0" applyFont="1" applyBorder="1" applyAlignment="1">
      <alignment horizontal="center" vertical="center" wrapText="1"/>
    </xf>
    <xf numFmtId="0" fontId="21" fillId="0" borderId="1" xfId="1" applyFont="1" applyFill="1" applyBorder="1" applyAlignment="1">
      <alignment horizontal="left" vertical="center" wrapText="1"/>
    </xf>
    <xf numFmtId="0" fontId="0" fillId="0" borderId="0" xfId="0" applyFill="1"/>
    <xf numFmtId="0" fontId="13" fillId="4" borderId="0" xfId="0" applyFont="1" applyFill="1"/>
    <xf numFmtId="49" fontId="0" fillId="3" borderId="0" xfId="0" applyNumberFormat="1" applyFill="1" applyBorder="1" applyAlignment="1">
      <alignment wrapText="1"/>
    </xf>
    <xf numFmtId="0" fontId="19" fillId="2" borderId="0" xfId="0" applyFont="1" applyFill="1" applyBorder="1" applyAlignment="1">
      <alignment horizontal="center"/>
    </xf>
    <xf numFmtId="166" fontId="30" fillId="0" borderId="0" xfId="0" applyNumberFormat="1" applyFont="1"/>
    <xf numFmtId="0" fontId="19" fillId="2" borderId="4" xfId="0" applyFont="1" applyFill="1" applyBorder="1" applyAlignment="1">
      <alignment horizontal="center"/>
    </xf>
    <xf numFmtId="0" fontId="19" fillId="2" borderId="8" xfId="0" applyFont="1" applyFill="1" applyBorder="1" applyAlignment="1">
      <alignment horizontal="center"/>
    </xf>
    <xf numFmtId="0" fontId="22" fillId="0" borderId="0" xfId="0" applyFont="1"/>
    <xf numFmtId="165" fontId="33" fillId="0" borderId="0" xfId="0" applyNumberFormat="1" applyFont="1" applyFill="1"/>
    <xf numFmtId="165" fontId="0" fillId="0" borderId="0" xfId="0" applyNumberFormat="1"/>
    <xf numFmtId="0" fontId="30" fillId="0" borderId="0" xfId="0" applyFont="1" applyAlignment="1">
      <alignment wrapText="1"/>
    </xf>
    <xf numFmtId="0" fontId="34" fillId="0" borderId="0" xfId="0" applyFont="1" applyAlignment="1">
      <alignment horizontal="center" vertical="center" readingOrder="1"/>
    </xf>
    <xf numFmtId="0" fontId="24" fillId="0" borderId="4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0" fillId="0" borderId="16" xfId="0" applyFill="1" applyBorder="1"/>
    <xf numFmtId="0" fontId="25" fillId="0" borderId="0" xfId="0" applyFont="1" applyBorder="1" applyAlignment="1">
      <alignment horizontal="center"/>
    </xf>
    <xf numFmtId="0" fontId="0" fillId="0" borderId="17" xfId="0" applyFill="1" applyBorder="1"/>
    <xf numFmtId="0" fontId="0" fillId="3" borderId="0" xfId="0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/>
    <xf numFmtId="0" fontId="0" fillId="0" borderId="5" xfId="0" applyBorder="1" applyAlignment="1"/>
    <xf numFmtId="0" fontId="25" fillId="0" borderId="26" xfId="0" applyFont="1" applyBorder="1"/>
    <xf numFmtId="0" fontId="0" fillId="0" borderId="28" xfId="0" applyFill="1" applyBorder="1"/>
    <xf numFmtId="0" fontId="19" fillId="2" borderId="26" xfId="0" applyFont="1" applyFill="1" applyBorder="1" applyAlignment="1">
      <alignment horizontal="center"/>
    </xf>
    <xf numFmtId="0" fontId="0" fillId="0" borderId="29" xfId="0" applyFill="1" applyBorder="1"/>
    <xf numFmtId="0" fontId="0" fillId="0" borderId="30" xfId="0" applyBorder="1"/>
    <xf numFmtId="0" fontId="25" fillId="0" borderId="27" xfId="0" applyFont="1" applyBorder="1" applyAlignment="1">
      <alignment horizontal="center"/>
    </xf>
    <xf numFmtId="0" fontId="25" fillId="0" borderId="7" xfId="0" applyFont="1" applyBorder="1"/>
    <xf numFmtId="0" fontId="35" fillId="2" borderId="0" xfId="0" applyFont="1" applyFill="1"/>
    <xf numFmtId="4" fontId="21" fillId="0" borderId="1" xfId="1" applyNumberFormat="1" applyFont="1" applyFill="1" applyBorder="1" applyAlignment="1">
      <alignment horizontal="left" vertical="center" wrapText="1"/>
    </xf>
    <xf numFmtId="4" fontId="0" fillId="0" borderId="0" xfId="0" applyNumberFormat="1"/>
    <xf numFmtId="0" fontId="24" fillId="0" borderId="20" xfId="0" applyFont="1" applyFill="1" applyBorder="1" applyAlignment="1">
      <alignment horizontal="center" vertical="center"/>
    </xf>
    <xf numFmtId="0" fontId="24" fillId="0" borderId="20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/>
    </xf>
    <xf numFmtId="0" fontId="25" fillId="0" borderId="0" xfId="0" applyFont="1" applyAlignment="1">
      <alignment horizontal="center" vertical="center"/>
    </xf>
    <xf numFmtId="168" fontId="0" fillId="0" borderId="0" xfId="0" applyNumberFormat="1"/>
    <xf numFmtId="168" fontId="30" fillId="0" borderId="0" xfId="0" applyNumberFormat="1" applyFont="1"/>
    <xf numFmtId="166" fontId="37" fillId="0" borderId="0" xfId="0" applyNumberFormat="1" applyFont="1"/>
    <xf numFmtId="0" fontId="24" fillId="2" borderId="0" xfId="0" applyFont="1" applyFill="1"/>
    <xf numFmtId="0" fontId="24" fillId="2" borderId="0" xfId="0" applyFont="1" applyFill="1" applyAlignment="1">
      <alignment horizontal="center"/>
    </xf>
    <xf numFmtId="0" fontId="0" fillId="0" borderId="1" xfId="0" applyFill="1" applyBorder="1"/>
    <xf numFmtId="165" fontId="29" fillId="0" borderId="1" xfId="0" applyNumberFormat="1" applyFont="1" applyFill="1" applyBorder="1" applyAlignment="1">
      <alignment horizontal="center" vertical="top" wrapText="1"/>
    </xf>
    <xf numFmtId="0" fontId="30" fillId="0" borderId="20" xfId="0" applyFont="1" applyFill="1" applyBorder="1" applyAlignment="1">
      <alignment horizontal="center" vertical="center" wrapText="1"/>
    </xf>
    <xf numFmtId="165" fontId="24" fillId="0" borderId="21" xfId="0" applyNumberFormat="1" applyFont="1" applyFill="1" applyBorder="1" applyAlignment="1">
      <alignment vertical="center" wrapText="1"/>
    </xf>
    <xf numFmtId="165" fontId="24" fillId="2" borderId="21" xfId="0" applyNumberFormat="1" applyFont="1" applyFill="1" applyBorder="1" applyAlignment="1">
      <alignment horizontal="center" vertical="center"/>
    </xf>
    <xf numFmtId="0" fontId="24" fillId="2" borderId="20" xfId="0" applyFont="1" applyFill="1" applyBorder="1" applyAlignment="1"/>
    <xf numFmtId="166" fontId="24" fillId="0" borderId="0" xfId="0" applyNumberFormat="1" applyFont="1"/>
    <xf numFmtId="0" fontId="28" fillId="0" borderId="0" xfId="9"/>
    <xf numFmtId="0" fontId="19" fillId="2" borderId="7" xfId="0" applyFont="1" applyFill="1" applyBorder="1" applyAlignment="1"/>
    <xf numFmtId="0" fontId="25" fillId="0" borderId="3" xfId="0" applyFont="1" applyBorder="1" applyAlignment="1">
      <alignment horizontal="center"/>
    </xf>
    <xf numFmtId="0" fontId="0" fillId="0" borderId="18" xfId="0" applyFill="1" applyBorder="1"/>
    <xf numFmtId="0" fontId="0" fillId="0" borderId="0" xfId="0" applyFill="1" applyBorder="1" applyAlignment="1"/>
    <xf numFmtId="49" fontId="0" fillId="0" borderId="0" xfId="0" applyNumberFormat="1" applyFill="1" applyBorder="1" applyAlignment="1">
      <alignment wrapText="1"/>
    </xf>
    <xf numFmtId="0" fontId="13" fillId="0" borderId="0" xfId="0" applyFont="1" applyFill="1"/>
    <xf numFmtId="0" fontId="21" fillId="0" borderId="1" xfId="0" applyFont="1" applyBorder="1" applyAlignment="1">
      <alignment vertical="top" wrapText="1"/>
    </xf>
    <xf numFmtId="0" fontId="21" fillId="9" borderId="1" xfId="12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1" fontId="21" fillId="0" borderId="1" xfId="0" applyNumberFormat="1" applyFont="1" applyFill="1" applyBorder="1" applyAlignment="1">
      <alignment vertical="center" wrapText="1"/>
    </xf>
    <xf numFmtId="0" fontId="21" fillId="0" borderId="1" xfId="0" applyFont="1" applyFill="1" applyBorder="1" applyAlignment="1">
      <alignment vertical="center" wrapText="1"/>
    </xf>
    <xf numFmtId="1" fontId="27" fillId="0" borderId="1" xfId="0" applyNumberFormat="1" applyFont="1" applyFill="1" applyBorder="1"/>
    <xf numFmtId="0" fontId="36" fillId="9" borderId="1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 wrapText="1"/>
    </xf>
    <xf numFmtId="4" fontId="25" fillId="9" borderId="1" xfId="0" applyNumberFormat="1" applyFont="1" applyFill="1" applyBorder="1" applyAlignment="1">
      <alignment horizontal="center" vertical="center"/>
    </xf>
    <xf numFmtId="1" fontId="25" fillId="9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0" xfId="0" applyFont="1" applyAlignment="1">
      <alignment wrapText="1"/>
    </xf>
    <xf numFmtId="167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0" fontId="21" fillId="0" borderId="1" xfId="0" applyFont="1" applyBorder="1" applyAlignment="1">
      <alignment horizontal="center" vertical="center" wrapText="1"/>
    </xf>
    <xf numFmtId="4" fontId="40" fillId="0" borderId="0" xfId="0" applyNumberFormat="1" applyFont="1" applyAlignment="1">
      <alignment wrapText="1"/>
    </xf>
    <xf numFmtId="0" fontId="38" fillId="0" borderId="0" xfId="0" applyFont="1" applyFill="1" applyAlignment="1">
      <alignment vertical="top" wrapText="1"/>
    </xf>
    <xf numFmtId="0" fontId="41" fillId="10" borderId="0" xfId="0" applyFont="1" applyFill="1" applyAlignment="1">
      <alignment horizontal="center" vertical="center" wrapText="1"/>
    </xf>
    <xf numFmtId="0" fontId="41" fillId="11" borderId="0" xfId="0" applyFont="1" applyFill="1" applyBorder="1" applyAlignment="1">
      <alignment horizontal="center" vertical="center" wrapText="1"/>
    </xf>
    <xf numFmtId="0" fontId="41" fillId="11" borderId="0" xfId="0" applyFont="1" applyFill="1" applyAlignment="1">
      <alignment horizontal="center" vertical="center" wrapText="1"/>
    </xf>
    <xf numFmtId="0" fontId="39" fillId="12" borderId="0" xfId="0" applyFont="1" applyFill="1" applyAlignment="1">
      <alignment vertical="top" wrapText="1"/>
    </xf>
    <xf numFmtId="0" fontId="42" fillId="12" borderId="0" xfId="2" applyFont="1" applyFill="1" applyAlignment="1">
      <alignment horizontal="center" vertical="center" wrapText="1"/>
    </xf>
    <xf numFmtId="0" fontId="40" fillId="0" borderId="0" xfId="0" applyFont="1" applyAlignment="1">
      <alignment wrapText="1"/>
    </xf>
    <xf numFmtId="0" fontId="0" fillId="6" borderId="30" xfId="0" applyFill="1" applyBorder="1"/>
    <xf numFmtId="164" fontId="0" fillId="0" borderId="0" xfId="0" applyNumberFormat="1"/>
    <xf numFmtId="0" fontId="0" fillId="13" borderId="0" xfId="0" applyFill="1"/>
    <xf numFmtId="0" fontId="21" fillId="0" borderId="1" xfId="0" applyFont="1" applyBorder="1" applyAlignment="1">
      <alignment horizontal="center" vertical="center" wrapText="1"/>
    </xf>
    <xf numFmtId="0" fontId="0" fillId="9" borderId="0" xfId="0" applyFill="1"/>
    <xf numFmtId="0" fontId="38" fillId="0" borderId="0" xfId="0" applyFont="1" applyFill="1" applyAlignment="1">
      <alignment wrapText="1"/>
    </xf>
    <xf numFmtId="0" fontId="21" fillId="0" borderId="0" xfId="0" applyFont="1" applyAlignment="1">
      <alignment horizontal="left" vertical="center" wrapText="1"/>
    </xf>
    <xf numFmtId="0" fontId="20" fillId="0" borderId="0" xfId="0" applyFont="1" applyAlignment="1">
      <alignment vertical="top" wrapText="1"/>
    </xf>
    <xf numFmtId="0" fontId="21" fillId="0" borderId="0" xfId="16" applyFont="1" applyAlignment="1">
      <alignment horizontal="center" wrapText="1"/>
    </xf>
    <xf numFmtId="0" fontId="21" fillId="0" borderId="0" xfId="18" applyFont="1" applyAlignment="1">
      <alignment horizontal="left" vertical="center" wrapText="1"/>
    </xf>
    <xf numFmtId="0" fontId="21" fillId="3" borderId="0" xfId="18" applyFont="1" applyFill="1" applyAlignment="1">
      <alignment horizontal="left" vertical="center" wrapText="1"/>
    </xf>
    <xf numFmtId="0" fontId="21" fillId="0" borderId="0" xfId="18" applyFont="1" applyAlignment="1">
      <alignment horizontal="left" vertical="center" wrapText="1"/>
    </xf>
    <xf numFmtId="0" fontId="21" fillId="0" borderId="0" xfId="20" applyFont="1" applyAlignment="1">
      <alignment horizontal="left" vertical="center" wrapText="1"/>
    </xf>
    <xf numFmtId="0" fontId="38" fillId="14" borderId="0" xfId="0" applyFont="1" applyFill="1" applyAlignment="1">
      <alignment horizontal="center" vertical="top" wrapText="1"/>
    </xf>
    <xf numFmtId="0" fontId="0" fillId="15" borderId="0" xfId="0" applyFill="1"/>
    <xf numFmtId="4" fontId="0" fillId="15" borderId="0" xfId="0" applyNumberFormat="1" applyFill="1"/>
    <xf numFmtId="0" fontId="21" fillId="12" borderId="0" xfId="0" applyFont="1" applyFill="1" applyAlignment="1">
      <alignment horizontal="left" vertical="center" wrapText="1"/>
    </xf>
    <xf numFmtId="0" fontId="21" fillId="0" borderId="0" xfId="17" applyFont="1" applyAlignment="1">
      <alignment horizontal="left" vertical="center" wrapText="1"/>
    </xf>
    <xf numFmtId="0" fontId="21" fillId="6" borderId="0" xfId="22" applyFont="1" applyFill="1" applyAlignment="1">
      <alignment horizontal="left" vertical="center" wrapText="1"/>
    </xf>
    <xf numFmtId="0" fontId="21" fillId="6" borderId="0" xfId="23" applyFont="1" applyFill="1" applyAlignment="1">
      <alignment horizontal="left" vertical="center" wrapText="1"/>
    </xf>
    <xf numFmtId="0" fontId="39" fillId="6" borderId="0" xfId="0" applyFont="1" applyFill="1" applyAlignment="1">
      <alignment vertical="top" wrapText="1"/>
    </xf>
    <xf numFmtId="0" fontId="20" fillId="2" borderId="0" xfId="21" applyFont="1" applyFill="1" applyAlignment="1">
      <alignment vertical="top" wrapText="1"/>
    </xf>
    <xf numFmtId="0" fontId="20" fillId="2" borderId="0" xfId="21" quotePrefix="1" applyFont="1" applyFill="1" applyAlignment="1">
      <alignment vertical="top" wrapText="1"/>
    </xf>
    <xf numFmtId="0" fontId="2" fillId="2" borderId="0" xfId="21" applyFill="1"/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22" fillId="12" borderId="0" xfId="0" applyFont="1" applyFill="1" applyAlignment="1">
      <alignment horizontal="center"/>
    </xf>
    <xf numFmtId="0" fontId="38" fillId="0" borderId="0" xfId="0" applyFont="1" applyFill="1" applyAlignment="1">
      <alignment horizontal="center" vertical="top" wrapText="1"/>
    </xf>
    <xf numFmtId="0" fontId="38" fillId="6" borderId="0" xfId="0" applyFont="1" applyFill="1" applyAlignment="1">
      <alignment horizontal="center" vertical="top" wrapText="1"/>
    </xf>
    <xf numFmtId="0" fontId="24" fillId="0" borderId="4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20" xfId="0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/>
    </xf>
    <xf numFmtId="0" fontId="24" fillId="0" borderId="20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4" fillId="0" borderId="20" xfId="0" applyFont="1" applyFill="1" applyBorder="1" applyAlignment="1">
      <alignment horizontal="center" vertical="center"/>
    </xf>
    <xf numFmtId="0" fontId="24" fillId="0" borderId="22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/>
    </xf>
    <xf numFmtId="0" fontId="30" fillId="0" borderId="19" xfId="0" applyFont="1" applyFill="1" applyBorder="1" applyAlignment="1">
      <alignment horizontal="center" vertical="center" wrapText="1"/>
    </xf>
    <xf numFmtId="0" fontId="30" fillId="0" borderId="4" xfId="0" applyFont="1" applyFill="1" applyBorder="1" applyAlignment="1">
      <alignment horizontal="center" vertical="center" wrapText="1"/>
    </xf>
    <xf numFmtId="0" fontId="30" fillId="0" borderId="21" xfId="0" applyFont="1" applyFill="1" applyBorder="1" applyAlignment="1">
      <alignment horizontal="center" vertical="center" wrapText="1"/>
    </xf>
    <xf numFmtId="0" fontId="30" fillId="2" borderId="16" xfId="0" applyFont="1" applyFill="1" applyBorder="1" applyAlignment="1">
      <alignment horizontal="center" vertical="center" wrapText="1"/>
    </xf>
    <xf numFmtId="0" fontId="30" fillId="2" borderId="17" xfId="0" applyFont="1" applyFill="1" applyBorder="1" applyAlignment="1">
      <alignment horizontal="center" vertical="center" wrapText="1"/>
    </xf>
    <xf numFmtId="0" fontId="30" fillId="2" borderId="18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/>
    </xf>
    <xf numFmtId="0" fontId="19" fillId="2" borderId="15" xfId="0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31" xfId="0" applyFill="1" applyBorder="1" applyAlignment="1">
      <alignment horizontal="center"/>
    </xf>
  </cellXfs>
  <cellStyles count="24">
    <cellStyle name="Обычный" xfId="0" builtinId="0"/>
    <cellStyle name="Обычный 10" xfId="12"/>
    <cellStyle name="Обычный 11" xfId="13"/>
    <cellStyle name="Обычный 12" xfId="14"/>
    <cellStyle name="Обычный 13" xfId="15"/>
    <cellStyle name="Обычный 14" xfId="16"/>
    <cellStyle name="Обычный 14 2" xfId="22"/>
    <cellStyle name="Обычный 15" xfId="17"/>
    <cellStyle name="Обычный 16" xfId="18"/>
    <cellStyle name="Обычный 17" xfId="19"/>
    <cellStyle name="Обычный 18" xfId="20"/>
    <cellStyle name="Обычный 19" xfId="21"/>
    <cellStyle name="Обычный 2" xfId="2"/>
    <cellStyle name="Обычный 22" xfId="23"/>
    <cellStyle name="Обычный 3" xfId="1"/>
    <cellStyle name="Обычный 3 2" xfId="6"/>
    <cellStyle name="Обычный 4" xfId="3"/>
    <cellStyle name="Обычный 4 2" xfId="7"/>
    <cellStyle name="Обычный 5" xfId="4"/>
    <cellStyle name="Обычный 6" xfId="5"/>
    <cellStyle name="Обычный 6 2" xfId="8"/>
    <cellStyle name="Обычный 7" xfId="9"/>
    <cellStyle name="Обычный 8" xfId="11"/>
    <cellStyle name="Обычный 9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251182774127751E-2"/>
          <c:y val="0.11948278364102981"/>
          <c:w val="0.89360656669508665"/>
          <c:h val="0.7892939239421573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80"/>
              <c:pt idx="0">
                <c:v>50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250</c:v>
              </c:pt>
              <c:pt idx="5">
                <c:v>300</c:v>
              </c:pt>
              <c:pt idx="6">
                <c:v>350</c:v>
              </c:pt>
              <c:pt idx="7">
                <c:v>400</c:v>
              </c:pt>
              <c:pt idx="8">
                <c:v>450</c:v>
              </c:pt>
              <c:pt idx="9">
                <c:v>500</c:v>
              </c:pt>
              <c:pt idx="10">
                <c:v>550</c:v>
              </c:pt>
              <c:pt idx="11">
                <c:v>600</c:v>
              </c:pt>
              <c:pt idx="12">
                <c:v>650</c:v>
              </c:pt>
              <c:pt idx="13">
                <c:v>700</c:v>
              </c:pt>
              <c:pt idx="14">
                <c:v>750</c:v>
              </c:pt>
              <c:pt idx="15">
                <c:v>800</c:v>
              </c:pt>
              <c:pt idx="16">
                <c:v>850</c:v>
              </c:pt>
              <c:pt idx="17">
                <c:v>900</c:v>
              </c:pt>
              <c:pt idx="18">
                <c:v>950</c:v>
              </c:pt>
              <c:pt idx="19">
                <c:v>1000</c:v>
              </c:pt>
              <c:pt idx="20">
                <c:v>1050</c:v>
              </c:pt>
              <c:pt idx="21">
                <c:v>1100</c:v>
              </c:pt>
              <c:pt idx="22">
                <c:v>1150</c:v>
              </c:pt>
              <c:pt idx="23">
                <c:v>1200</c:v>
              </c:pt>
              <c:pt idx="24">
                <c:v>1250</c:v>
              </c:pt>
              <c:pt idx="25">
                <c:v>1300</c:v>
              </c:pt>
              <c:pt idx="26">
                <c:v>1350</c:v>
              </c:pt>
              <c:pt idx="27">
                <c:v>1400</c:v>
              </c:pt>
              <c:pt idx="28">
                <c:v>1450</c:v>
              </c:pt>
              <c:pt idx="29">
                <c:v>1500</c:v>
              </c:pt>
              <c:pt idx="30">
                <c:v>1550</c:v>
              </c:pt>
              <c:pt idx="31">
                <c:v>1600</c:v>
              </c:pt>
              <c:pt idx="32">
                <c:v>1650</c:v>
              </c:pt>
              <c:pt idx="33">
                <c:v>1700</c:v>
              </c:pt>
              <c:pt idx="34">
                <c:v>1750</c:v>
              </c:pt>
              <c:pt idx="35">
                <c:v>1800</c:v>
              </c:pt>
              <c:pt idx="36">
                <c:v>1850</c:v>
              </c:pt>
              <c:pt idx="37">
                <c:v>1900</c:v>
              </c:pt>
              <c:pt idx="38">
                <c:v>1950</c:v>
              </c:pt>
              <c:pt idx="39">
                <c:v>2000</c:v>
              </c:pt>
              <c:pt idx="40">
                <c:v>2050</c:v>
              </c:pt>
              <c:pt idx="41">
                <c:v>2100</c:v>
              </c:pt>
              <c:pt idx="42">
                <c:v>2150</c:v>
              </c:pt>
              <c:pt idx="43">
                <c:v>2200</c:v>
              </c:pt>
              <c:pt idx="44">
                <c:v>2250</c:v>
              </c:pt>
              <c:pt idx="45">
                <c:v>2300</c:v>
              </c:pt>
              <c:pt idx="46">
                <c:v>2350</c:v>
              </c:pt>
              <c:pt idx="47">
                <c:v>2400</c:v>
              </c:pt>
              <c:pt idx="48">
                <c:v>2450</c:v>
              </c:pt>
              <c:pt idx="49">
                <c:v>2500</c:v>
              </c:pt>
              <c:pt idx="50">
                <c:v>2550</c:v>
              </c:pt>
              <c:pt idx="51">
                <c:v>2600</c:v>
              </c:pt>
              <c:pt idx="52">
                <c:v>2650</c:v>
              </c:pt>
              <c:pt idx="53">
                <c:v>2700</c:v>
              </c:pt>
              <c:pt idx="54">
                <c:v>2750</c:v>
              </c:pt>
              <c:pt idx="55">
                <c:v>2800</c:v>
              </c:pt>
              <c:pt idx="56">
                <c:v>2850</c:v>
              </c:pt>
              <c:pt idx="57">
                <c:v>2900</c:v>
              </c:pt>
              <c:pt idx="58">
                <c:v>2950</c:v>
              </c:pt>
              <c:pt idx="59">
                <c:v>3000</c:v>
              </c:pt>
              <c:pt idx="60">
                <c:v>3050</c:v>
              </c:pt>
              <c:pt idx="61">
                <c:v>3100</c:v>
              </c:pt>
              <c:pt idx="62">
                <c:v>3150</c:v>
              </c:pt>
              <c:pt idx="63">
                <c:v>3200</c:v>
              </c:pt>
              <c:pt idx="64">
                <c:v>3250</c:v>
              </c:pt>
              <c:pt idx="65">
                <c:v>3300</c:v>
              </c:pt>
              <c:pt idx="66">
                <c:v>3350</c:v>
              </c:pt>
              <c:pt idx="67">
                <c:v>3400</c:v>
              </c:pt>
              <c:pt idx="68">
                <c:v>3450</c:v>
              </c:pt>
              <c:pt idx="69">
                <c:v>3500</c:v>
              </c:pt>
              <c:pt idx="70">
                <c:v>3550</c:v>
              </c:pt>
              <c:pt idx="71">
                <c:v>3600</c:v>
              </c:pt>
              <c:pt idx="72">
                <c:v>3650</c:v>
              </c:pt>
              <c:pt idx="73">
                <c:v>3700</c:v>
              </c:pt>
              <c:pt idx="74">
                <c:v>3750</c:v>
              </c:pt>
              <c:pt idx="75">
                <c:v>3800</c:v>
              </c:pt>
              <c:pt idx="76">
                <c:v>3850</c:v>
              </c:pt>
              <c:pt idx="77">
                <c:v>3900</c:v>
              </c:pt>
              <c:pt idx="78">
                <c:v>3950</c:v>
              </c:pt>
              <c:pt idx="79">
                <c:v>4000</c:v>
              </c:pt>
            </c:numLit>
          </c:xVal>
          <c:yVal>
            <c:numLit>
              <c:formatCode>General</c:formatCode>
              <c:ptCount val="80"/>
              <c:pt idx="0">
                <c:v>0.82686356788088511</c:v>
              </c:pt>
              <c:pt idx="1">
                <c:v>0.82686356788088511</c:v>
              </c:pt>
              <c:pt idx="2">
                <c:v>0.82686356788088511</c:v>
              </c:pt>
              <c:pt idx="3">
                <c:v>0.84636137940904366</c:v>
              </c:pt>
              <c:pt idx="4">
                <c:v>0.86455722216610953</c:v>
              </c:pt>
              <c:pt idx="5">
                <c:v>0.88147763061267714</c:v>
              </c:pt>
              <c:pt idx="6">
                <c:v>0.89714902178462119</c:v>
              </c:pt>
              <c:pt idx="7">
                <c:v>0.91159770801555684</c:v>
              </c:pt>
              <c:pt idx="8">
                <c:v>0.92484990792712529</c:v>
              </c:pt>
              <c:pt idx="9">
                <c:v>0.93693175598484968</c:v>
              </c:pt>
              <c:pt idx="10">
                <c:v>0.94786931085748116</c:v>
              </c:pt>
              <c:pt idx="11">
                <c:v>0.95768856277159675</c:v>
              </c:pt>
              <c:pt idx="12">
                <c:v>0.96641544001726154</c:v>
              </c:pt>
              <c:pt idx="13">
                <c:v>0.97407581473231486</c:v>
              </c:pt>
              <c:pt idx="14">
                <c:v>0.98069550807043493</c:v>
              </c:pt>
              <c:pt idx="15">
                <c:v>0.98630029484025283</c:v>
              </c:pt>
              <c:pt idx="16">
                <c:v>0.99091590768839022</c:v>
              </c:pt>
              <c:pt idx="17">
                <c:v>0.99456804088763118</c:v>
              </c:pt>
              <c:pt idx="18">
                <c:v>0.99728235378192798</c:v>
              </c:pt>
              <c:pt idx="19">
                <c:v>0.99908447393214439</c:v>
              </c:pt>
              <c:pt idx="20">
                <c:v>1.0000000000000024</c:v>
              </c:pt>
              <c:pt idx="21">
                <c:v>1.0000545044023592</c:v>
              </c:pt>
              <c:pt idx="22">
                <c:v>0.99927353576350086</c:v>
              </c:pt>
              <c:pt idx="23">
                <c:v>0.99768262118940243</c:v>
              </c:pt>
              <c:pt idx="24">
                <c:v>0.99530726838478312</c:v>
              </c:pt>
              <c:pt idx="25">
                <c:v>0.9921729676311245</c:v>
              </c:pt>
              <c:pt idx="26">
                <c:v>0.98830519364158476</c:v>
              </c:pt>
              <c:pt idx="27">
                <c:v>0.98372940730682135</c:v>
              </c:pt>
              <c:pt idx="28">
                <c:v>0.97847105734410289</c:v>
              </c:pt>
              <c:pt idx="29">
                <c:v>0.97255558186068713</c:v>
              </c:pt>
              <c:pt idx="30">
                <c:v>0.96600840984123615</c:v>
              </c:pt>
              <c:pt idx="31">
                <c:v>0.95885496256798919</c:v>
              </c:pt>
              <c:pt idx="32">
                <c:v>0.95112065498151932</c:v>
              </c:pt>
              <c:pt idx="33">
                <c:v>0.94283089698909639</c:v>
              </c:pt>
              <c:pt idx="34">
                <c:v>0.93401109472700083</c:v>
              </c:pt>
              <c:pt idx="35">
                <c:v>0.92468665178251885</c:v>
              </c:pt>
              <c:pt idx="36">
                <c:v>0.91488297038081223</c:v>
              </c:pt>
              <c:pt idx="37">
                <c:v>0.90462545254137761</c:v>
              </c:pt>
              <c:pt idx="38">
                <c:v>0.89393950120838206</c:v>
              </c:pt>
              <c:pt idx="39">
                <c:v>0.88285052135876341</c:v>
              </c:pt>
              <c:pt idx="40">
                <c:v>0.8713839210916281</c:v>
              </c:pt>
              <c:pt idx="41">
                <c:v>0.85956511270214231</c:v>
              </c:pt>
              <c:pt idx="42">
                <c:v>0.84741951374278701</c:v>
              </c:pt>
              <c:pt idx="43">
                <c:v>0.83497254807454191</c:v>
              </c:pt>
              <c:pt idx="44">
                <c:v>0.82224964691024582</c:v>
              </c:pt>
              <c:pt idx="45">
                <c:v>0.80927624985207736</c:v>
              </c:pt>
              <c:pt idx="46">
                <c:v>0.7960778059247664</c:v>
              </c:pt>
              <c:pt idx="47">
                <c:v>0.78267977460580207</c:v>
              </c:pt>
              <c:pt idx="48">
                <c:v>0.76910762685353562</c:v>
              </c:pt>
              <c:pt idx="49">
                <c:v>0.75538684613366325</c:v>
              </c:pt>
              <c:pt idx="50">
                <c:v>0.74154292944411804</c:v>
              </c:pt>
              <c:pt idx="51">
                <c:v>0.72760138833788957</c:v>
              </c:pt>
              <c:pt idx="52">
                <c:v>0.71358774994271634</c:v>
              </c:pt>
              <c:pt idx="53">
                <c:v>0.69952755797592614</c:v>
              </c:pt>
              <c:pt idx="54">
                <c:v>0.68544637375195838</c:v>
              </c:pt>
              <c:pt idx="55">
                <c:v>0.67136977717923163</c:v>
              </c:pt>
              <c:pt idx="56">
                <c:v>0.65732336774204991</c:v>
              </c:pt>
              <c:pt idx="57">
                <c:v>0.64333276546210805</c:v>
              </c:pt>
              <c:pt idx="58">
                <c:v>0.62942361183289053</c:v>
              </c:pt>
              <c:pt idx="59">
                <c:v>0.61562157071881085</c:v>
              </c:pt>
              <c:pt idx="60">
                <c:v>0.60195232920931152</c:v>
              </c:pt>
              <c:pt idx="61">
                <c:v>0.58844159841632626</c:v>
              </c:pt>
              <c:pt idx="62">
                <c:v>0.57511511420148398</c:v>
              </c:pt>
              <c:pt idx="63">
                <c:v>0.56199863781720738</c:v>
              </c:pt>
              <c:pt idx="64">
                <c:v>0.54911795644344352</c:v>
              </c:pt>
              <c:pt idx="65">
                <c:v>0.53649888359916664</c:v>
              </c:pt>
              <c:pt idx="66">
                <c:v>0.52416725940507469</c:v>
              </c:pt>
              <c:pt idx="67">
                <c:v>0.51214895067106647</c:v>
              </c:pt>
              <c:pt idx="68">
                <c:v>0.50046985077929007</c:v>
              </c:pt>
              <c:pt idx="69">
                <c:v>0.48915587933082894</c:v>
              </c:pt>
              <c:pt idx="70">
                <c:v>0.47823298152164595</c:v>
              </c:pt>
              <c:pt idx="71">
                <c:v>0.46772712721137305</c:v>
              </c:pt>
              <c:pt idx="72">
                <c:v>0.45766430964718857</c:v>
              </c:pt>
              <c:pt idx="73">
                <c:v>0.44807054380457423</c:v>
              </c:pt>
              <c:pt idx="74">
                <c:v>0.43897186430754914</c:v>
              </c:pt>
              <c:pt idx="75">
                <c:v>0.43039432289332424</c:v>
              </c:pt>
              <c:pt idx="76">
                <c:v>0.42236398539055031</c:v>
              </c:pt>
              <c:pt idx="77">
                <c:v>0.41490692818682556</c:v>
              </c:pt>
              <c:pt idx="78">
                <c:v>0.40804923417002414</c:v>
              </c:pt>
              <c:pt idx="79">
                <c:v>0.40181698813967376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DBB-4332-A823-8456F578AE7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80"/>
              <c:pt idx="0">
                <c:v>50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250</c:v>
              </c:pt>
              <c:pt idx="5">
                <c:v>300</c:v>
              </c:pt>
              <c:pt idx="6">
                <c:v>350</c:v>
              </c:pt>
              <c:pt idx="7">
                <c:v>400</c:v>
              </c:pt>
              <c:pt idx="8">
                <c:v>450</c:v>
              </c:pt>
              <c:pt idx="9">
                <c:v>500</c:v>
              </c:pt>
              <c:pt idx="10">
                <c:v>550</c:v>
              </c:pt>
              <c:pt idx="11">
                <c:v>600</c:v>
              </c:pt>
              <c:pt idx="12">
                <c:v>650</c:v>
              </c:pt>
              <c:pt idx="13">
                <c:v>700</c:v>
              </c:pt>
              <c:pt idx="14">
                <c:v>750</c:v>
              </c:pt>
              <c:pt idx="15">
                <c:v>800</c:v>
              </c:pt>
              <c:pt idx="16">
                <c:v>850</c:v>
              </c:pt>
              <c:pt idx="17">
                <c:v>900</c:v>
              </c:pt>
              <c:pt idx="18">
                <c:v>950</c:v>
              </c:pt>
              <c:pt idx="19">
                <c:v>1000</c:v>
              </c:pt>
              <c:pt idx="20">
                <c:v>1050</c:v>
              </c:pt>
              <c:pt idx="21">
                <c:v>1100</c:v>
              </c:pt>
              <c:pt idx="22">
                <c:v>1150</c:v>
              </c:pt>
              <c:pt idx="23">
                <c:v>1200</c:v>
              </c:pt>
              <c:pt idx="24">
                <c:v>1250</c:v>
              </c:pt>
              <c:pt idx="25">
                <c:v>1300</c:v>
              </c:pt>
              <c:pt idx="26">
                <c:v>1350</c:v>
              </c:pt>
              <c:pt idx="27">
                <c:v>1400</c:v>
              </c:pt>
              <c:pt idx="28">
                <c:v>1450</c:v>
              </c:pt>
              <c:pt idx="29">
                <c:v>1500</c:v>
              </c:pt>
              <c:pt idx="30">
                <c:v>1550</c:v>
              </c:pt>
              <c:pt idx="31">
                <c:v>1600</c:v>
              </c:pt>
              <c:pt idx="32">
                <c:v>1650</c:v>
              </c:pt>
              <c:pt idx="33">
                <c:v>1700</c:v>
              </c:pt>
              <c:pt idx="34">
                <c:v>1750</c:v>
              </c:pt>
              <c:pt idx="35">
                <c:v>1800</c:v>
              </c:pt>
              <c:pt idx="36">
                <c:v>1850</c:v>
              </c:pt>
              <c:pt idx="37">
                <c:v>1900</c:v>
              </c:pt>
              <c:pt idx="38">
                <c:v>1950</c:v>
              </c:pt>
              <c:pt idx="39">
                <c:v>2000</c:v>
              </c:pt>
              <c:pt idx="40">
                <c:v>2050</c:v>
              </c:pt>
              <c:pt idx="41">
                <c:v>2100</c:v>
              </c:pt>
              <c:pt idx="42">
                <c:v>2150</c:v>
              </c:pt>
              <c:pt idx="43">
                <c:v>2200</c:v>
              </c:pt>
              <c:pt idx="44">
                <c:v>2250</c:v>
              </c:pt>
              <c:pt idx="45">
                <c:v>2300</c:v>
              </c:pt>
              <c:pt idx="46">
                <c:v>2350</c:v>
              </c:pt>
              <c:pt idx="47">
                <c:v>2400</c:v>
              </c:pt>
              <c:pt idx="48">
                <c:v>2450</c:v>
              </c:pt>
              <c:pt idx="49">
                <c:v>2500</c:v>
              </c:pt>
              <c:pt idx="50">
                <c:v>2550</c:v>
              </c:pt>
              <c:pt idx="51">
                <c:v>2600</c:v>
              </c:pt>
              <c:pt idx="52">
                <c:v>2650</c:v>
              </c:pt>
              <c:pt idx="53">
                <c:v>2700</c:v>
              </c:pt>
              <c:pt idx="54">
                <c:v>2750</c:v>
              </c:pt>
              <c:pt idx="55">
                <c:v>2800</c:v>
              </c:pt>
              <c:pt idx="56">
                <c:v>2850</c:v>
              </c:pt>
              <c:pt idx="57">
                <c:v>2900</c:v>
              </c:pt>
              <c:pt idx="58">
                <c:v>2950</c:v>
              </c:pt>
              <c:pt idx="59">
                <c:v>3000</c:v>
              </c:pt>
              <c:pt idx="60">
                <c:v>3050</c:v>
              </c:pt>
              <c:pt idx="61">
                <c:v>3100</c:v>
              </c:pt>
              <c:pt idx="62">
                <c:v>3150</c:v>
              </c:pt>
              <c:pt idx="63">
                <c:v>3200</c:v>
              </c:pt>
              <c:pt idx="64">
                <c:v>3250</c:v>
              </c:pt>
              <c:pt idx="65">
                <c:v>3300</c:v>
              </c:pt>
              <c:pt idx="66">
                <c:v>3350</c:v>
              </c:pt>
              <c:pt idx="67">
                <c:v>3400</c:v>
              </c:pt>
              <c:pt idx="68">
                <c:v>3450</c:v>
              </c:pt>
              <c:pt idx="69">
                <c:v>3500</c:v>
              </c:pt>
              <c:pt idx="70">
                <c:v>3550</c:v>
              </c:pt>
              <c:pt idx="71">
                <c:v>3600</c:v>
              </c:pt>
              <c:pt idx="72">
                <c:v>3650</c:v>
              </c:pt>
              <c:pt idx="73">
                <c:v>3700</c:v>
              </c:pt>
              <c:pt idx="74">
                <c:v>3750</c:v>
              </c:pt>
              <c:pt idx="75">
                <c:v>3800</c:v>
              </c:pt>
              <c:pt idx="76">
                <c:v>3850</c:v>
              </c:pt>
              <c:pt idx="77">
                <c:v>3900</c:v>
              </c:pt>
              <c:pt idx="78">
                <c:v>3950</c:v>
              </c:pt>
              <c:pt idx="79">
                <c:v>4000</c:v>
              </c:pt>
            </c:numLit>
          </c:xVal>
          <c:yVal>
            <c:numLit>
              <c:formatCode>General</c:formatCode>
              <c:ptCount val="80"/>
              <c:pt idx="0">
                <c:v>0.82522277104920294</c:v>
              </c:pt>
              <c:pt idx="1">
                <c:v>0.82522277104920294</c:v>
              </c:pt>
              <c:pt idx="2">
                <c:v>0.82522277104920294</c:v>
              </c:pt>
              <c:pt idx="3">
                <c:v>0.84488760487426895</c:v>
              </c:pt>
              <c:pt idx="4">
                <c:v>0.86324358968992487</c:v>
              </c:pt>
              <c:pt idx="5">
                <c:v>0.88031653936692977</c:v>
              </c:pt>
              <c:pt idx="6">
                <c:v>0.89613226777604249</c:v>
              </c:pt>
              <c:pt idx="7">
                <c:v>0.9107165887880222</c:v>
              </c:pt>
              <c:pt idx="8">
                <c:v>0.92409531627362784</c:v>
              </c:pt>
              <c:pt idx="9">
                <c:v>0.93629426410361838</c:v>
              </c:pt>
              <c:pt idx="10">
                <c:v>0.94733924614875287</c:v>
              </c:pt>
              <c:pt idx="11">
                <c:v>0.95725607627979059</c:v>
              </c:pt>
              <c:pt idx="12">
                <c:v>0.96607056836749017</c:v>
              </c:pt>
              <c:pt idx="13">
                <c:v>0.97380853628261077</c:v>
              </c:pt>
              <c:pt idx="14">
                <c:v>0.98049579389591146</c:v>
              </c:pt>
              <c:pt idx="15">
                <c:v>0.9861581550781513</c:v>
              </c:pt>
              <c:pt idx="16">
                <c:v>0.99082143370008913</c:v>
              </c:pt>
              <c:pt idx="17">
                <c:v>0.99451144363248423</c:v>
              </c:pt>
              <c:pt idx="18">
                <c:v>0.99725399874609555</c:v>
              </c:pt>
              <c:pt idx="19">
                <c:v>0.99907491291168182</c:v>
              </c:pt>
              <c:pt idx="20">
                <c:v>1.0000000000000024</c:v>
              </c:pt>
              <c:pt idx="21">
                <c:v>1.0000550738818161</c:v>
              </c:pt>
              <c:pt idx="22">
                <c:v>0.99926594842788219</c:v>
              </c:pt>
              <c:pt idx="23">
                <c:v>0.99765843750895944</c:v>
              </c:pt>
              <c:pt idx="24">
                <c:v>0.99525835499580717</c:v>
              </c:pt>
              <c:pt idx="25">
                <c:v>0.99209151475918411</c:v>
              </c:pt>
              <c:pt idx="26">
                <c:v>0.98818373066984933</c:v>
              </c:pt>
              <c:pt idx="27">
                <c:v>0.98356081659856176</c:v>
              </c:pt>
              <c:pt idx="28">
                <c:v>0.9782485864160807</c:v>
              </c:pt>
              <c:pt idx="29">
                <c:v>0.97227285399316488</c:v>
              </c:pt>
              <c:pt idx="30">
                <c:v>0.96565943320057379</c:v>
              </c:pt>
              <c:pt idx="31">
                <c:v>0.95843413790906584</c:v>
              </c:pt>
              <c:pt idx="32">
                <c:v>0.95062278198940042</c:v>
              </c:pt>
              <c:pt idx="33">
                <c:v>0.94225117931233648</c:v>
              </c:pt>
              <c:pt idx="34">
                <c:v>0.93334514374863298</c:v>
              </c:pt>
              <c:pt idx="35">
                <c:v>0.92393048916904896</c:v>
              </c:pt>
              <c:pt idx="36">
                <c:v>0.91403302944434373</c:v>
              </c:pt>
              <c:pt idx="37">
                <c:v>0.90367857844527588</c:v>
              </c:pt>
              <c:pt idx="38">
                <c:v>0.89289295004260449</c:v>
              </c:pt>
              <c:pt idx="39">
                <c:v>0.88170195810708885</c:v>
              </c:pt>
              <c:pt idx="40">
                <c:v>0.87013141650948789</c:v>
              </c:pt>
              <c:pt idx="41">
                <c:v>0.85820713912056057</c:v>
              </c:pt>
              <c:pt idx="42">
                <c:v>0.84595493981106562</c:v>
              </c:pt>
              <c:pt idx="43">
                <c:v>0.83340063245176266</c:v>
              </c:pt>
              <c:pt idx="44">
                <c:v>0.82057003091341041</c:v>
              </c:pt>
              <c:pt idx="45">
                <c:v>0.8074889490667676</c:v>
              </c:pt>
              <c:pt idx="46">
                <c:v>0.79418320078259375</c:v>
              </c:pt>
              <c:pt idx="47">
                <c:v>0.78067859993164779</c:v>
              </c:pt>
              <c:pt idx="48">
                <c:v>0.76700096038468846</c:v>
              </c:pt>
              <c:pt idx="49">
                <c:v>0.75317609601247471</c:v>
              </c:pt>
              <c:pt idx="50">
                <c:v>0.73922982068576626</c:v>
              </c:pt>
              <c:pt idx="51">
                <c:v>0.7251879482753214</c:v>
              </c:pt>
              <c:pt idx="52">
                <c:v>0.71107629265189942</c:v>
              </c:pt>
              <c:pt idx="53">
                <c:v>0.69692066768625904</c:v>
              </c:pt>
              <c:pt idx="54">
                <c:v>0.68274688724915988</c:v>
              </c:pt>
              <c:pt idx="55">
                <c:v>0.66858076521136067</c:v>
              </c:pt>
              <c:pt idx="56">
                <c:v>0.65444811544362058</c:v>
              </c:pt>
              <c:pt idx="57">
                <c:v>0.64037475181669823</c:v>
              </c:pt>
              <c:pt idx="58">
                <c:v>0.6263864882013529</c:v>
              </c:pt>
              <c:pt idx="59">
                <c:v>0.61250913846834354</c:v>
              </c:pt>
              <c:pt idx="60">
                <c:v>0.59876851648842955</c:v>
              </c:pt>
              <c:pt idx="61">
                <c:v>0.58519043613236954</c:v>
              </c:pt>
              <c:pt idx="62">
                <c:v>0.57180071127092247</c:v>
              </c:pt>
              <c:pt idx="63">
                <c:v>0.55862515577484717</c:v>
              </c:pt>
              <c:pt idx="64">
                <c:v>0.5456895835149036</c:v>
              </c:pt>
              <c:pt idx="65">
                <c:v>0.53301980836184981</c:v>
              </c:pt>
              <c:pt idx="66">
                <c:v>0.52064164418644532</c:v>
              </c:pt>
              <c:pt idx="67">
                <c:v>0.50858090485944896</c:v>
              </c:pt>
              <c:pt idx="68">
                <c:v>0.49686340425162007</c:v>
              </c:pt>
              <c:pt idx="69">
                <c:v>0.48551495623371699</c:v>
              </c:pt>
              <c:pt idx="70">
                <c:v>0.47456137467649934</c:v>
              </c:pt>
              <c:pt idx="71">
                <c:v>0.46402847345072584</c:v>
              </c:pt>
              <c:pt idx="72">
                <c:v>0.45394206642715584</c:v>
              </c:pt>
              <c:pt idx="73">
                <c:v>0.4443279674765484</c:v>
              </c:pt>
              <c:pt idx="74">
                <c:v>0.43521199046966164</c:v>
              </c:pt>
              <c:pt idx="75">
                <c:v>0.42661994927725622</c:v>
              </c:pt>
              <c:pt idx="76">
                <c:v>0.41857765777008871</c:v>
              </c:pt>
              <c:pt idx="77">
                <c:v>0.41111092981892045</c:v>
              </c:pt>
              <c:pt idx="78">
                <c:v>0.40424557929450999</c:v>
              </c:pt>
              <c:pt idx="79">
                <c:v>0.39800742006761564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DBB-4332-A823-8456F578AE7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9.3546977956426771E-3"/>
                  <c:y val="0.15753997204988082"/>
                </c:manualLayout>
              </c:layout>
              <c:numFmt formatCode="#,##0.0000000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Lit>
              <c:formatCode>General</c:formatCode>
              <c:ptCount val="20"/>
              <c:pt idx="0">
                <c:v>50</c:v>
              </c:pt>
              <c:pt idx="1">
                <c:v>100</c:v>
              </c:pt>
              <c:pt idx="2">
                <c:v>250</c:v>
              </c:pt>
              <c:pt idx="3">
                <c:v>500</c:v>
              </c:pt>
              <c:pt idx="4">
                <c:v>750</c:v>
              </c:pt>
              <c:pt idx="5">
                <c:v>1000</c:v>
              </c:pt>
              <c:pt idx="6">
                <c:v>1250</c:v>
              </c:pt>
              <c:pt idx="7">
                <c:v>1500</c:v>
              </c:pt>
              <c:pt idx="8">
                <c:v>1750</c:v>
              </c:pt>
              <c:pt idx="9">
                <c:v>2000</c:v>
              </c:pt>
              <c:pt idx="10">
                <c:v>2250</c:v>
              </c:pt>
              <c:pt idx="11">
                <c:v>2500</c:v>
              </c:pt>
              <c:pt idx="12">
                <c:v>2750</c:v>
              </c:pt>
              <c:pt idx="13">
                <c:v>3000</c:v>
              </c:pt>
              <c:pt idx="14">
                <c:v>3250</c:v>
              </c:pt>
              <c:pt idx="15">
                <c:v>3500</c:v>
              </c:pt>
              <c:pt idx="16">
                <c:v>3750</c:v>
              </c:pt>
              <c:pt idx="17">
                <c:v>4000</c:v>
              </c:pt>
              <c:pt idx="18">
                <c:v>4100</c:v>
              </c:pt>
              <c:pt idx="19">
                <c:v>4200</c:v>
              </c:pt>
            </c:numLit>
          </c:xVal>
          <c:yVal>
            <c:numLit>
              <c:formatCode>General</c:formatCode>
              <c:ptCount val="20"/>
              <c:pt idx="0">
                <c:v>0.82686356788088511</c:v>
              </c:pt>
              <c:pt idx="1">
                <c:v>0.82686356788088511</c:v>
              </c:pt>
              <c:pt idx="2">
                <c:v>0.86455722216610953</c:v>
              </c:pt>
              <c:pt idx="3">
                <c:v>0.93693175598484968</c:v>
              </c:pt>
              <c:pt idx="4">
                <c:v>0.98069550807043493</c:v>
              </c:pt>
              <c:pt idx="5">
                <c:v>0.99908447393214439</c:v>
              </c:pt>
              <c:pt idx="6">
                <c:v>0.99530726838478312</c:v>
              </c:pt>
              <c:pt idx="7">
                <c:v>0.97255558186068713</c:v>
              </c:pt>
              <c:pt idx="8">
                <c:v>0.93401109472700083</c:v>
              </c:pt>
              <c:pt idx="9">
                <c:v>0.88285052135876341</c:v>
              </c:pt>
              <c:pt idx="10">
                <c:v>0.82224964691024582</c:v>
              </c:pt>
              <c:pt idx="11">
                <c:v>0.75538684613366325</c:v>
              </c:pt>
              <c:pt idx="12">
                <c:v>0.68544637375195838</c:v>
              </c:pt>
              <c:pt idx="13">
                <c:v>0.61562157071881085</c:v>
              </c:pt>
              <c:pt idx="14">
                <c:v>0.54911795644344352</c:v>
              </c:pt>
              <c:pt idx="15">
                <c:v>0.48915587933082894</c:v>
              </c:pt>
              <c:pt idx="16">
                <c:v>0.43897186430754914</c:v>
              </c:pt>
              <c:pt idx="17">
                <c:v>0.40181698813967376</c:v>
              </c:pt>
              <c:pt idx="18">
                <c:v>0.4</c:v>
              </c:pt>
              <c:pt idx="19">
                <c:v>0.4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DA6-4164-806E-3021D2F49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98784"/>
        <c:axId val="520398000"/>
      </c:scatterChart>
      <c:valAx>
        <c:axId val="52039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площадь, кв.м.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0398000"/>
        <c:crosses val="autoZero"/>
        <c:crossBetween val="midCat"/>
      </c:valAx>
      <c:valAx>
        <c:axId val="52039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039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расстояния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3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</c:numLit>
          </c:xVal>
          <c:yVal>
            <c:numLit>
              <c:formatCode>General</c:formatCode>
              <c:ptCount val="33"/>
              <c:pt idx="0">
                <c:v>1.0000000000000013</c:v>
              </c:pt>
              <c:pt idx="1">
                <c:v>1.0000000000000013</c:v>
              </c:pt>
              <c:pt idx="2">
                <c:v>1.0000000000000013</c:v>
              </c:pt>
              <c:pt idx="3">
                <c:v>1.0000000000000013</c:v>
              </c:pt>
              <c:pt idx="4">
                <c:v>1.0000000000000013</c:v>
              </c:pt>
              <c:pt idx="5">
                <c:v>0.99926238337024409</c:v>
              </c:pt>
              <c:pt idx="6">
                <c:v>0.996830028615042</c:v>
              </c:pt>
              <c:pt idx="7">
                <c:v>0.99276397719994847</c:v>
              </c:pt>
              <c:pt idx="8">
                <c:v>0.98712255036189944</c:v>
              </c:pt>
              <c:pt idx="9">
                <c:v>0.97996181658851922</c:v>
              </c:pt>
              <c:pt idx="10">
                <c:v>0.971336007874258</c:v>
              </c:pt>
              <c:pt idx="11">
                <c:v>0.96129789605902627</c:v>
              </c:pt>
              <c:pt idx="12">
                <c:v>0.94989913870195686</c:v>
              </c:pt>
              <c:pt idx="13">
                <c:v>0.93719060259655051</c:v>
              </c:pt>
              <c:pt idx="14">
                <c:v>0.92322267208715925</c:v>
              </c:pt>
              <c:pt idx="15">
                <c:v>0.90804554872816934</c:v>
              </c:pt>
              <c:pt idx="16">
                <c:v>0.89170954848955575</c:v>
              </c:pt>
              <c:pt idx="17">
                <c:v>0.87426540262893293</c:v>
              </c:pt>
              <c:pt idx="18">
                <c:v>0.85576456851071703</c:v>
              </c:pt>
              <c:pt idx="19">
                <c:v>0.83625955706231603</c:v>
              </c:pt>
              <c:pt idx="20">
                <c:v>0.81580428423446327</c:v>
              </c:pt>
              <c:pt idx="21">
                <c:v>0.79445445481158883</c:v>
              </c:pt>
              <c:pt idx="22">
                <c:v>0.77226798824795573</c:v>
              </c:pt>
              <c:pt idx="23">
                <c:v>0.74930549795279244</c:v>
              </c:pt>
              <c:pt idx="24">
                <c:v>0.72563083769809966</c:v>
              </c:pt>
              <c:pt idx="25">
                <c:v>0.70131173168050587</c:v>
              </c:pt>
              <c:pt idx="26">
                <c:v>0.67642050835434919</c:v>
              </c:pt>
              <c:pt idx="27">
                <c:v>0.66378442339632215</c:v>
              </c:pt>
              <c:pt idx="28">
                <c:v>0.66378442339632215</c:v>
              </c:pt>
              <c:pt idx="29">
                <c:v>0.66378442339632215</c:v>
              </c:pt>
              <c:pt idx="30">
                <c:v>0.66378442339632215</c:v>
              </c:pt>
              <c:pt idx="31">
                <c:v>0.66378442339632215</c:v>
              </c:pt>
              <c:pt idx="32">
                <c:v>0.66378442339632215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05B-412C-9B54-2BA238B3DDF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3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</c:numLit>
          </c:xVal>
          <c:yVal>
            <c:numLit>
              <c:formatCode>General</c:formatCode>
              <c:ptCount val="32"/>
              <c:pt idx="0">
                <c:v>1.000000000000002</c:v>
              </c:pt>
              <c:pt idx="1">
                <c:v>1.000000000000002</c:v>
              </c:pt>
              <c:pt idx="2">
                <c:v>1.000000000000002</c:v>
              </c:pt>
              <c:pt idx="3">
                <c:v>1.000000000000002</c:v>
              </c:pt>
              <c:pt idx="4">
                <c:v>0.99884630788678053</c:v>
              </c:pt>
              <c:pt idx="5">
                <c:v>0.99504531413818464</c:v>
              </c:pt>
              <c:pt idx="6">
                <c:v>0.98870305831750394</c:v>
              </c:pt>
              <c:pt idx="7">
                <c:v>0.97992778023256899</c:v>
              </c:pt>
              <c:pt idx="8">
                <c:v>0.96882991993575152</c:v>
              </c:pt>
              <c:pt idx="9">
                <c:v>0.95552211772396378</c:v>
              </c:pt>
              <c:pt idx="10">
                <c:v>0.94011921413865918</c:v>
              </c:pt>
              <c:pt idx="11">
                <c:v>0.92273824996583187</c:v>
              </c:pt>
              <c:pt idx="12">
                <c:v>0.90349846623601682</c:v>
              </c:pt>
              <c:pt idx="13">
                <c:v>0.88252130422428987</c:v>
              </c:pt>
              <c:pt idx="14">
                <c:v>0.85993040545026822</c:v>
              </c:pt>
              <c:pt idx="15">
                <c:v>0.83585161167810929</c:v>
              </c:pt>
              <c:pt idx="16">
                <c:v>0.8104129649165116</c:v>
              </c:pt>
              <c:pt idx="17">
                <c:v>0.78374470741871494</c:v>
              </c:pt>
              <c:pt idx="18">
                <c:v>0.75597928168249917</c:v>
              </c:pt>
              <c:pt idx="19">
                <c:v>0.72725133045018586</c:v>
              </c:pt>
              <c:pt idx="20">
                <c:v>0.69769769670863724</c:v>
              </c:pt>
              <c:pt idx="21">
                <c:v>0.66745742368925609</c:v>
              </c:pt>
              <c:pt idx="22">
                <c:v>0.63667175486798644</c:v>
              </c:pt>
              <c:pt idx="23">
                <c:v>0.60548413396531264</c:v>
              </c:pt>
              <c:pt idx="24">
                <c:v>0.57404020494626085</c:v>
              </c:pt>
              <c:pt idx="25">
                <c:v>0.54248781202039753</c:v>
              </c:pt>
              <c:pt idx="26">
                <c:v>0.52671774453726772</c:v>
              </c:pt>
              <c:pt idx="27">
                <c:v>0.52671774453726772</c:v>
              </c:pt>
              <c:pt idx="28">
                <c:v>0.52671774453726772</c:v>
              </c:pt>
              <c:pt idx="29">
                <c:v>0.52671774453726772</c:v>
              </c:pt>
              <c:pt idx="30">
                <c:v>0.52671774453726772</c:v>
              </c:pt>
              <c:pt idx="31">
                <c:v>0.52671774453726772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05B-412C-9B54-2BA238B3D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178728"/>
        <c:axId val="523178336"/>
      </c:scatterChart>
      <c:valAx>
        <c:axId val="523178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растояние, км.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3178336"/>
        <c:crosses val="autoZero"/>
        <c:crossBetween val="midCat"/>
      </c:valAx>
      <c:valAx>
        <c:axId val="52317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3178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расстояния</a:t>
            </a:r>
          </a:p>
          <a:p>
            <a:pPr>
              <a:defRPr/>
            </a:pPr>
            <a:endParaRPr lang="ru-RU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forward val="2"/>
            <c:dispRSqr val="0"/>
            <c:dispEq val="1"/>
            <c:trendlineLbl>
              <c:layout>
                <c:manualLayout>
                  <c:x val="-8.0345953193971975E-2"/>
                  <c:y val="9.140978562332804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y=(EXP(LN(</a:t>
                    </a:r>
                    <a:r>
                      <a:rPr lang="ru-RU"/>
                      <a:t>ЕСЛИ(</a:t>
                    </a:r>
                    <a:r>
                      <a:rPr lang="en-US"/>
                      <a:t>x&lt;5;1;</a:t>
                    </a:r>
                    <a:r>
                      <a:rPr lang="ru-RU"/>
                      <a:t>ЕСЛИ(</a:t>
                    </a:r>
                    <a:r>
                      <a:rPr lang="en-US"/>
                      <a:t>x&gt;27,5;0,5237;((0,00000009*(x)^4+0,00001501*(x)^3-0,00158915*(x)^2+0,01492176*(x)+0,94489651)*1,0186317318901))))*0,6</a:t>
                    </a:r>
                    <a:r>
                      <a:rPr lang="ru-RU"/>
                      <a:t>392</a:t>
                    </a:r>
                    <a:r>
                      <a:rPr lang="en-US"/>
                      <a:t>))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Lit>
              <c:formatCode>General</c:formatCode>
              <c:ptCount val="3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</c:numLit>
          </c:xVal>
          <c:yVal>
            <c:numLit>
              <c:formatCode>General</c:formatCode>
              <c:ptCount val="33"/>
              <c:pt idx="0">
                <c:v>1.0000000000000013</c:v>
              </c:pt>
              <c:pt idx="1">
                <c:v>1.0000000000000013</c:v>
              </c:pt>
              <c:pt idx="2">
                <c:v>1.0000000000000013</c:v>
              </c:pt>
              <c:pt idx="3">
                <c:v>1.0000000000000013</c:v>
              </c:pt>
              <c:pt idx="4">
                <c:v>1.0000000000000013</c:v>
              </c:pt>
              <c:pt idx="5">
                <c:v>0.99926238337024409</c:v>
              </c:pt>
              <c:pt idx="6">
                <c:v>0.996830028615042</c:v>
              </c:pt>
              <c:pt idx="7">
                <c:v>0.99276397719994847</c:v>
              </c:pt>
              <c:pt idx="8">
                <c:v>0.98712255036189944</c:v>
              </c:pt>
              <c:pt idx="9">
                <c:v>0.97996181658851922</c:v>
              </c:pt>
              <c:pt idx="10">
                <c:v>0.971336007874258</c:v>
              </c:pt>
              <c:pt idx="11">
                <c:v>0.96129789605902627</c:v>
              </c:pt>
              <c:pt idx="12">
                <c:v>0.94989913870195686</c:v>
              </c:pt>
              <c:pt idx="13">
                <c:v>0.93719060259655051</c:v>
              </c:pt>
              <c:pt idx="14">
                <c:v>0.92322267208715925</c:v>
              </c:pt>
              <c:pt idx="15">
                <c:v>0.90804554872816934</c:v>
              </c:pt>
              <c:pt idx="16">
                <c:v>0.89170954848955575</c:v>
              </c:pt>
              <c:pt idx="17">
                <c:v>0.87426540262893293</c:v>
              </c:pt>
              <c:pt idx="18">
                <c:v>0.85576456851071703</c:v>
              </c:pt>
              <c:pt idx="19">
                <c:v>0.83625955706231603</c:v>
              </c:pt>
              <c:pt idx="20">
                <c:v>0.81580428423446327</c:v>
              </c:pt>
              <c:pt idx="21">
                <c:v>0.79445445481158883</c:v>
              </c:pt>
              <c:pt idx="22">
                <c:v>0.77226798824795573</c:v>
              </c:pt>
              <c:pt idx="23">
                <c:v>0.74930549795279244</c:v>
              </c:pt>
              <c:pt idx="24">
                <c:v>0.72563083769809966</c:v>
              </c:pt>
              <c:pt idx="25">
                <c:v>0.70131173168050587</c:v>
              </c:pt>
              <c:pt idx="26">
                <c:v>0.67642050835434919</c:v>
              </c:pt>
              <c:pt idx="27">
                <c:v>0.66378442339632215</c:v>
              </c:pt>
              <c:pt idx="28">
                <c:v>0.66378442339632215</c:v>
              </c:pt>
              <c:pt idx="29">
                <c:v>0.66378442339632215</c:v>
              </c:pt>
              <c:pt idx="30">
                <c:v>0.66378442339632215</c:v>
              </c:pt>
              <c:pt idx="31">
                <c:v>0.66378442339632215</c:v>
              </c:pt>
              <c:pt idx="32">
                <c:v>0.66378442339632215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05B-412C-9B54-2BA238B3D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177944"/>
        <c:axId val="523179512"/>
      </c:scatterChart>
      <c:valAx>
        <c:axId val="523177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растояние, км.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3179512"/>
        <c:crosses val="autoZero"/>
        <c:crossBetween val="midCat"/>
      </c:valAx>
      <c:valAx>
        <c:axId val="523179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3177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площади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3251182774127751E-2"/>
          <c:y val="0.11948278364102981"/>
          <c:w val="0.89360656669508665"/>
          <c:h val="0.7892939239421573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80"/>
              <c:pt idx="0">
                <c:v>50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250</c:v>
              </c:pt>
              <c:pt idx="5">
                <c:v>300</c:v>
              </c:pt>
              <c:pt idx="6">
                <c:v>350</c:v>
              </c:pt>
              <c:pt idx="7">
                <c:v>400</c:v>
              </c:pt>
              <c:pt idx="8">
                <c:v>450</c:v>
              </c:pt>
              <c:pt idx="9">
                <c:v>500</c:v>
              </c:pt>
              <c:pt idx="10">
                <c:v>550</c:v>
              </c:pt>
              <c:pt idx="11">
                <c:v>600</c:v>
              </c:pt>
              <c:pt idx="12">
                <c:v>650</c:v>
              </c:pt>
              <c:pt idx="13">
                <c:v>700</c:v>
              </c:pt>
              <c:pt idx="14">
                <c:v>750</c:v>
              </c:pt>
              <c:pt idx="15">
                <c:v>800</c:v>
              </c:pt>
              <c:pt idx="16">
                <c:v>850</c:v>
              </c:pt>
              <c:pt idx="17">
                <c:v>900</c:v>
              </c:pt>
              <c:pt idx="18">
                <c:v>950</c:v>
              </c:pt>
              <c:pt idx="19">
                <c:v>1000</c:v>
              </c:pt>
              <c:pt idx="20">
                <c:v>1050</c:v>
              </c:pt>
              <c:pt idx="21">
                <c:v>1100</c:v>
              </c:pt>
              <c:pt idx="22">
                <c:v>1150</c:v>
              </c:pt>
              <c:pt idx="23">
                <c:v>1200</c:v>
              </c:pt>
              <c:pt idx="24">
                <c:v>1250</c:v>
              </c:pt>
              <c:pt idx="25">
                <c:v>1300</c:v>
              </c:pt>
              <c:pt idx="26">
                <c:v>1350</c:v>
              </c:pt>
              <c:pt idx="27">
                <c:v>1400</c:v>
              </c:pt>
              <c:pt idx="28">
                <c:v>1450</c:v>
              </c:pt>
              <c:pt idx="29">
                <c:v>1500</c:v>
              </c:pt>
              <c:pt idx="30">
                <c:v>1550</c:v>
              </c:pt>
              <c:pt idx="31">
                <c:v>1600</c:v>
              </c:pt>
              <c:pt idx="32">
                <c:v>1650</c:v>
              </c:pt>
              <c:pt idx="33">
                <c:v>1700</c:v>
              </c:pt>
              <c:pt idx="34">
                <c:v>1750</c:v>
              </c:pt>
              <c:pt idx="35">
                <c:v>1800</c:v>
              </c:pt>
              <c:pt idx="36">
                <c:v>1850</c:v>
              </c:pt>
              <c:pt idx="37">
                <c:v>1900</c:v>
              </c:pt>
              <c:pt idx="38">
                <c:v>1950</c:v>
              </c:pt>
              <c:pt idx="39">
                <c:v>2000</c:v>
              </c:pt>
              <c:pt idx="40">
                <c:v>2050</c:v>
              </c:pt>
              <c:pt idx="41">
                <c:v>2100</c:v>
              </c:pt>
              <c:pt idx="42">
                <c:v>2150</c:v>
              </c:pt>
              <c:pt idx="43">
                <c:v>2200</c:v>
              </c:pt>
              <c:pt idx="44">
                <c:v>2250</c:v>
              </c:pt>
              <c:pt idx="45">
                <c:v>2300</c:v>
              </c:pt>
              <c:pt idx="46">
                <c:v>2350</c:v>
              </c:pt>
              <c:pt idx="47">
                <c:v>2400</c:v>
              </c:pt>
              <c:pt idx="48">
                <c:v>2450</c:v>
              </c:pt>
              <c:pt idx="49">
                <c:v>2500</c:v>
              </c:pt>
              <c:pt idx="50">
                <c:v>2550</c:v>
              </c:pt>
              <c:pt idx="51">
                <c:v>2600</c:v>
              </c:pt>
              <c:pt idx="52">
                <c:v>2650</c:v>
              </c:pt>
              <c:pt idx="53">
                <c:v>2700</c:v>
              </c:pt>
              <c:pt idx="54">
                <c:v>2750</c:v>
              </c:pt>
              <c:pt idx="55">
                <c:v>2800</c:v>
              </c:pt>
              <c:pt idx="56">
                <c:v>2850</c:v>
              </c:pt>
              <c:pt idx="57">
                <c:v>2900</c:v>
              </c:pt>
              <c:pt idx="58">
                <c:v>2950</c:v>
              </c:pt>
              <c:pt idx="59">
                <c:v>3000</c:v>
              </c:pt>
              <c:pt idx="60">
                <c:v>3050</c:v>
              </c:pt>
              <c:pt idx="61">
                <c:v>3100</c:v>
              </c:pt>
              <c:pt idx="62">
                <c:v>3150</c:v>
              </c:pt>
              <c:pt idx="63">
                <c:v>3200</c:v>
              </c:pt>
              <c:pt idx="64">
                <c:v>3250</c:v>
              </c:pt>
              <c:pt idx="65">
                <c:v>3300</c:v>
              </c:pt>
              <c:pt idx="66">
                <c:v>3350</c:v>
              </c:pt>
              <c:pt idx="67">
                <c:v>3400</c:v>
              </c:pt>
              <c:pt idx="68">
                <c:v>3450</c:v>
              </c:pt>
              <c:pt idx="69">
                <c:v>3500</c:v>
              </c:pt>
              <c:pt idx="70">
                <c:v>3550</c:v>
              </c:pt>
              <c:pt idx="71">
                <c:v>3600</c:v>
              </c:pt>
              <c:pt idx="72">
                <c:v>3650</c:v>
              </c:pt>
              <c:pt idx="73">
                <c:v>3700</c:v>
              </c:pt>
              <c:pt idx="74">
                <c:v>3750</c:v>
              </c:pt>
              <c:pt idx="75">
                <c:v>3800</c:v>
              </c:pt>
              <c:pt idx="76">
                <c:v>3850</c:v>
              </c:pt>
              <c:pt idx="77">
                <c:v>3900</c:v>
              </c:pt>
              <c:pt idx="78">
                <c:v>3950</c:v>
              </c:pt>
              <c:pt idx="79">
                <c:v>4000</c:v>
              </c:pt>
            </c:numLit>
          </c:xVal>
          <c:yVal>
            <c:numLit>
              <c:formatCode>General</c:formatCode>
              <c:ptCount val="80"/>
              <c:pt idx="0">
                <c:v>0.82686356788088511</c:v>
              </c:pt>
              <c:pt idx="1">
                <c:v>0.82686356788088511</c:v>
              </c:pt>
              <c:pt idx="2">
                <c:v>0.82686356788088511</c:v>
              </c:pt>
              <c:pt idx="3">
                <c:v>0.84636137940904366</c:v>
              </c:pt>
              <c:pt idx="4">
                <c:v>0.86455722216610953</c:v>
              </c:pt>
              <c:pt idx="5">
                <c:v>0.88147763061267714</c:v>
              </c:pt>
              <c:pt idx="6">
                <c:v>0.89714902178462119</c:v>
              </c:pt>
              <c:pt idx="7">
                <c:v>0.91159770801555684</c:v>
              </c:pt>
              <c:pt idx="8">
                <c:v>0.92484990792712529</c:v>
              </c:pt>
              <c:pt idx="9">
                <c:v>0.93693175598484968</c:v>
              </c:pt>
              <c:pt idx="10">
                <c:v>0.94786931085748116</c:v>
              </c:pt>
              <c:pt idx="11">
                <c:v>0.95768856277159675</c:v>
              </c:pt>
              <c:pt idx="12">
                <c:v>0.96641544001726154</c:v>
              </c:pt>
              <c:pt idx="13">
                <c:v>0.97407581473231486</c:v>
              </c:pt>
              <c:pt idx="14">
                <c:v>0.98069550807043493</c:v>
              </c:pt>
              <c:pt idx="15">
                <c:v>0.98630029484025283</c:v>
              </c:pt>
              <c:pt idx="16">
                <c:v>0.99091590768839022</c:v>
              </c:pt>
              <c:pt idx="17">
                <c:v>0.99456804088763118</c:v>
              </c:pt>
              <c:pt idx="18">
                <c:v>0.99728235378192798</c:v>
              </c:pt>
              <c:pt idx="19">
                <c:v>0.99908447393214439</c:v>
              </c:pt>
              <c:pt idx="20">
                <c:v>1.0000000000000024</c:v>
              </c:pt>
              <c:pt idx="21">
                <c:v>1.0000545044023592</c:v>
              </c:pt>
              <c:pt idx="22">
                <c:v>0.99927353576350086</c:v>
              </c:pt>
              <c:pt idx="23">
                <c:v>0.99768262118940243</c:v>
              </c:pt>
              <c:pt idx="24">
                <c:v>0.99530726838478312</c:v>
              </c:pt>
              <c:pt idx="25">
                <c:v>0.9921729676311245</c:v>
              </c:pt>
              <c:pt idx="26">
                <c:v>0.98830519364158476</c:v>
              </c:pt>
              <c:pt idx="27">
                <c:v>0.98372940730682135</c:v>
              </c:pt>
              <c:pt idx="28">
                <c:v>0.97847105734410289</c:v>
              </c:pt>
              <c:pt idx="29">
                <c:v>0.97255558186068713</c:v>
              </c:pt>
              <c:pt idx="30">
                <c:v>0.96600840984123615</c:v>
              </c:pt>
              <c:pt idx="31">
                <c:v>0.95885496256798919</c:v>
              </c:pt>
              <c:pt idx="32">
                <c:v>0.95112065498151932</c:v>
              </c:pt>
              <c:pt idx="33">
                <c:v>0.94283089698909639</c:v>
              </c:pt>
              <c:pt idx="34">
                <c:v>0.93401109472700083</c:v>
              </c:pt>
              <c:pt idx="35">
                <c:v>0.92468665178251885</c:v>
              </c:pt>
              <c:pt idx="36">
                <c:v>0.91488297038081223</c:v>
              </c:pt>
              <c:pt idx="37">
                <c:v>0.90462545254137761</c:v>
              </c:pt>
              <c:pt idx="38">
                <c:v>0.89393950120838206</c:v>
              </c:pt>
              <c:pt idx="39">
                <c:v>0.88285052135876341</c:v>
              </c:pt>
              <c:pt idx="40">
                <c:v>0.8713839210916281</c:v>
              </c:pt>
              <c:pt idx="41">
                <c:v>0.85956511270214231</c:v>
              </c:pt>
              <c:pt idx="42">
                <c:v>0.84741951374278701</c:v>
              </c:pt>
              <c:pt idx="43">
                <c:v>0.83497254807454191</c:v>
              </c:pt>
              <c:pt idx="44">
                <c:v>0.82224964691024582</c:v>
              </c:pt>
              <c:pt idx="45">
                <c:v>0.80927624985207736</c:v>
              </c:pt>
              <c:pt idx="46">
                <c:v>0.7960778059247664</c:v>
              </c:pt>
              <c:pt idx="47">
                <c:v>0.78267977460580207</c:v>
              </c:pt>
              <c:pt idx="48">
                <c:v>0.76910762685353562</c:v>
              </c:pt>
              <c:pt idx="49">
                <c:v>0.75538684613366325</c:v>
              </c:pt>
              <c:pt idx="50">
                <c:v>0.74154292944411804</c:v>
              </c:pt>
              <c:pt idx="51">
                <c:v>0.72760138833788957</c:v>
              </c:pt>
              <c:pt idx="52">
                <c:v>0.71358774994271634</c:v>
              </c:pt>
              <c:pt idx="53">
                <c:v>0.69952755797592614</c:v>
              </c:pt>
              <c:pt idx="54">
                <c:v>0.68544637375195838</c:v>
              </c:pt>
              <c:pt idx="55">
                <c:v>0.67136977717923163</c:v>
              </c:pt>
              <c:pt idx="56">
                <c:v>0.65732336774204991</c:v>
              </c:pt>
              <c:pt idx="57">
                <c:v>0.64333276546210805</c:v>
              </c:pt>
              <c:pt idx="58">
                <c:v>0.62942361183289053</c:v>
              </c:pt>
              <c:pt idx="59">
                <c:v>0.61562157071881085</c:v>
              </c:pt>
              <c:pt idx="60">
                <c:v>0.60195232920931152</c:v>
              </c:pt>
              <c:pt idx="61">
                <c:v>0.58844159841632626</c:v>
              </c:pt>
              <c:pt idx="62">
                <c:v>0.57511511420148398</c:v>
              </c:pt>
              <c:pt idx="63">
                <c:v>0.56199863781720738</c:v>
              </c:pt>
              <c:pt idx="64">
                <c:v>0.54911795644344352</c:v>
              </c:pt>
              <c:pt idx="65">
                <c:v>0.53649888359916664</c:v>
              </c:pt>
              <c:pt idx="66">
                <c:v>0.52416725940507469</c:v>
              </c:pt>
              <c:pt idx="67">
                <c:v>0.51214895067106647</c:v>
              </c:pt>
              <c:pt idx="68">
                <c:v>0.50046985077929007</c:v>
              </c:pt>
              <c:pt idx="69">
                <c:v>0.48915587933082894</c:v>
              </c:pt>
              <c:pt idx="70">
                <c:v>0.47823298152164595</c:v>
              </c:pt>
              <c:pt idx="71">
                <c:v>0.46772712721137305</c:v>
              </c:pt>
              <c:pt idx="72">
                <c:v>0.45766430964718857</c:v>
              </c:pt>
              <c:pt idx="73">
                <c:v>0.44807054380457423</c:v>
              </c:pt>
              <c:pt idx="74">
                <c:v>0.43897186430754914</c:v>
              </c:pt>
              <c:pt idx="75">
                <c:v>0.43039432289332424</c:v>
              </c:pt>
              <c:pt idx="76">
                <c:v>0.42236398539055031</c:v>
              </c:pt>
              <c:pt idx="77">
                <c:v>0.41490692818682556</c:v>
              </c:pt>
              <c:pt idx="78">
                <c:v>0.40804923417002414</c:v>
              </c:pt>
              <c:pt idx="79">
                <c:v>0.40181698813967376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DBB-4332-A823-8456F578AE70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5.9616100434998071E-2"/>
                  <c:y val="0.1283252888941016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0.00000000000000313070x</a:t>
                    </a:r>
                    <a:r>
                      <a:rPr lang="en-US" baseline="30000"/>
                      <a:t>4</a:t>
                    </a:r>
                    <a:r>
                      <a:rPr lang="en-US" baseline="0"/>
                      <a:t> + 0.00000000000613387082x</a:t>
                    </a:r>
                    <a:r>
                      <a:rPr lang="en-US" baseline="30000"/>
                      <a:t>3</a:t>
                    </a:r>
                    <a:r>
                      <a:rPr lang="en-US" baseline="0"/>
                      <a:t> - 0.0000001959542362702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+ 0.000387905519741556x + 0.798784147038265</a:t>
                    </a:r>
                    <a:br>
                      <a:rPr lang="en-US" baseline="0"/>
                    </a:br>
                    <a:r>
                      <a:rPr lang="en-US" baseline="0"/>
                      <a:t>R² = 0.99943414793286600</a:t>
                    </a:r>
                    <a:endParaRPr lang="en-US"/>
                  </a:p>
                </c:rich>
              </c:tx>
              <c:numFmt formatCode="#,##0.0000000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Lit>
              <c:formatCode>General</c:formatCode>
              <c:ptCount val="20"/>
              <c:pt idx="0">
                <c:v>50</c:v>
              </c:pt>
              <c:pt idx="1">
                <c:v>100</c:v>
              </c:pt>
              <c:pt idx="2">
                <c:v>250</c:v>
              </c:pt>
              <c:pt idx="3">
                <c:v>500</c:v>
              </c:pt>
              <c:pt idx="4">
                <c:v>750</c:v>
              </c:pt>
              <c:pt idx="5">
                <c:v>1000</c:v>
              </c:pt>
              <c:pt idx="6">
                <c:v>1250</c:v>
              </c:pt>
              <c:pt idx="7">
                <c:v>1500</c:v>
              </c:pt>
              <c:pt idx="8">
                <c:v>1750</c:v>
              </c:pt>
              <c:pt idx="9">
                <c:v>2000</c:v>
              </c:pt>
              <c:pt idx="10">
                <c:v>2250</c:v>
              </c:pt>
              <c:pt idx="11">
                <c:v>2500</c:v>
              </c:pt>
              <c:pt idx="12">
                <c:v>2750</c:v>
              </c:pt>
              <c:pt idx="13">
                <c:v>3000</c:v>
              </c:pt>
              <c:pt idx="14">
                <c:v>3250</c:v>
              </c:pt>
              <c:pt idx="15">
                <c:v>3500</c:v>
              </c:pt>
              <c:pt idx="16">
                <c:v>3750</c:v>
              </c:pt>
              <c:pt idx="17">
                <c:v>4000</c:v>
              </c:pt>
              <c:pt idx="18">
                <c:v>4100</c:v>
              </c:pt>
              <c:pt idx="19">
                <c:v>4200</c:v>
              </c:pt>
            </c:numLit>
          </c:xVal>
          <c:yVal>
            <c:numLit>
              <c:formatCode>General</c:formatCode>
              <c:ptCount val="20"/>
              <c:pt idx="0">
                <c:v>0.82686356788088511</c:v>
              </c:pt>
              <c:pt idx="1">
                <c:v>0.82686356788088511</c:v>
              </c:pt>
              <c:pt idx="2">
                <c:v>0.86455722216610953</c:v>
              </c:pt>
              <c:pt idx="3">
                <c:v>0.93693175598484968</c:v>
              </c:pt>
              <c:pt idx="4">
                <c:v>0.98069550807043493</c:v>
              </c:pt>
              <c:pt idx="5">
                <c:v>0.99908447393214439</c:v>
              </c:pt>
              <c:pt idx="6">
                <c:v>0.99530726838478312</c:v>
              </c:pt>
              <c:pt idx="7">
                <c:v>0.97255558186068713</c:v>
              </c:pt>
              <c:pt idx="8">
                <c:v>0.93401109472700083</c:v>
              </c:pt>
              <c:pt idx="9">
                <c:v>0.88285052135876341</c:v>
              </c:pt>
              <c:pt idx="10">
                <c:v>0.82224964691024582</c:v>
              </c:pt>
              <c:pt idx="11">
                <c:v>0.75538684613366325</c:v>
              </c:pt>
              <c:pt idx="12">
                <c:v>0.68544637375195838</c:v>
              </c:pt>
              <c:pt idx="13">
                <c:v>0.61562157071881085</c:v>
              </c:pt>
              <c:pt idx="14">
                <c:v>0.54911795644344352</c:v>
              </c:pt>
              <c:pt idx="15">
                <c:v>0.48915587933082894</c:v>
              </c:pt>
              <c:pt idx="16">
                <c:v>0.43897186430754914</c:v>
              </c:pt>
              <c:pt idx="17">
                <c:v>0.40181698813967376</c:v>
              </c:pt>
              <c:pt idx="18">
                <c:v>0.4</c:v>
              </c:pt>
              <c:pt idx="19">
                <c:v>0.4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DE-4B33-A77E-91C8B7C9D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179904"/>
        <c:axId val="523180296"/>
      </c:scatterChart>
      <c:valAx>
        <c:axId val="52317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площадь, кв.м.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3180296"/>
        <c:crosses val="autoZero"/>
        <c:crossBetween val="midCat"/>
      </c:valAx>
      <c:valAx>
        <c:axId val="52318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3179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расстояния</a:t>
            </a:r>
          </a:p>
          <a:p>
            <a:pPr>
              <a:defRPr/>
            </a:pPr>
            <a:endParaRPr lang="ru-RU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forward val="2"/>
            <c:dispRSqr val="0"/>
            <c:dispEq val="1"/>
            <c:trendlineLbl>
              <c:layout>
                <c:manualLayout>
                  <c:x val="2.2132182456784739E-2"/>
                  <c:y val="0.2373514146237796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y=(EXP(LN(</a:t>
                    </a:r>
                    <a:r>
                      <a:rPr lang="ru-RU"/>
                      <a:t>ЕСЛИ(</a:t>
                    </a:r>
                    <a:r>
                      <a:rPr lang="en-US"/>
                      <a:t>x&lt;5;1;</a:t>
                    </a:r>
                    <a:r>
                      <a:rPr lang="ru-RU"/>
                      <a:t>ЕСЛИ(</a:t>
                    </a:r>
                    <a:r>
                      <a:rPr lang="en-US"/>
                      <a:t>x&gt;27,5;0,5237;((0,00000009</a:t>
                    </a:r>
                    <a:r>
                      <a:rPr lang="ru-RU"/>
                      <a:t>1677</a:t>
                    </a:r>
                    <a:r>
                      <a:rPr lang="en-US"/>
                      <a:t>*(x)^4+0,000015</a:t>
                    </a:r>
                    <a:r>
                      <a:rPr lang="ru-RU"/>
                      <a:t>28966</a:t>
                    </a:r>
                    <a:r>
                      <a:rPr lang="en-US"/>
                      <a:t>*(x)^3-0,00</a:t>
                    </a:r>
                    <a:r>
                      <a:rPr lang="ru-RU"/>
                      <a:t>00</a:t>
                    </a:r>
                    <a:r>
                      <a:rPr lang="en-US"/>
                      <a:t>1</a:t>
                    </a:r>
                    <a:r>
                      <a:rPr lang="ru-RU"/>
                      <a:t>6187586</a:t>
                    </a:r>
                    <a:r>
                      <a:rPr lang="en-US"/>
                      <a:t>*(x)^2+0,01</a:t>
                    </a:r>
                    <a:r>
                      <a:rPr lang="ru-RU"/>
                      <a:t>5199778232</a:t>
                    </a:r>
                    <a:r>
                      <a:rPr lang="en-US"/>
                      <a:t>*(x)+0,9</a:t>
                    </a:r>
                    <a:r>
                      <a:rPr lang="ru-RU"/>
                      <a:t>62501568438</a:t>
                    </a:r>
                    <a:r>
                      <a:rPr lang="en-US"/>
                      <a:t>)))))*0,6</a:t>
                    </a:r>
                    <a:r>
                      <a:rPr lang="ru-RU"/>
                      <a:t>392</a:t>
                    </a:r>
                    <a:r>
                      <a:rPr lang="en-US"/>
                      <a:t>))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Lit>
              <c:formatCode>General</c:formatCode>
              <c:ptCount val="3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</c:numLit>
          </c:xVal>
          <c:yVal>
            <c:numLit>
              <c:formatCode>General</c:formatCode>
              <c:ptCount val="33"/>
              <c:pt idx="0">
                <c:v>1.0000000000000013</c:v>
              </c:pt>
              <c:pt idx="1">
                <c:v>1.0000000000000013</c:v>
              </c:pt>
              <c:pt idx="2">
                <c:v>1.0000000000000013</c:v>
              </c:pt>
              <c:pt idx="3">
                <c:v>1.0000000000000013</c:v>
              </c:pt>
              <c:pt idx="4">
                <c:v>1.0000000000000013</c:v>
              </c:pt>
              <c:pt idx="5">
                <c:v>0.99926238337024409</c:v>
              </c:pt>
              <c:pt idx="6">
                <c:v>0.996830028615042</c:v>
              </c:pt>
              <c:pt idx="7">
                <c:v>0.99276397719994847</c:v>
              </c:pt>
              <c:pt idx="8">
                <c:v>0.98712255036189944</c:v>
              </c:pt>
              <c:pt idx="9">
                <c:v>0.97996181658851922</c:v>
              </c:pt>
              <c:pt idx="10">
                <c:v>0.971336007874258</c:v>
              </c:pt>
              <c:pt idx="11">
                <c:v>0.96129789605902627</c:v>
              </c:pt>
              <c:pt idx="12">
                <c:v>0.94989913870195686</c:v>
              </c:pt>
              <c:pt idx="13">
                <c:v>0.93719060259655051</c:v>
              </c:pt>
              <c:pt idx="14">
                <c:v>0.92322267208715925</c:v>
              </c:pt>
              <c:pt idx="15">
                <c:v>0.90804554872816934</c:v>
              </c:pt>
              <c:pt idx="16">
                <c:v>0.89170954848955575</c:v>
              </c:pt>
              <c:pt idx="17">
                <c:v>0.87426540262893293</c:v>
              </c:pt>
              <c:pt idx="18">
                <c:v>0.85576456851071703</c:v>
              </c:pt>
              <c:pt idx="19">
                <c:v>0.83625955706231603</c:v>
              </c:pt>
              <c:pt idx="20">
                <c:v>0.81580428423446327</c:v>
              </c:pt>
              <c:pt idx="21">
                <c:v>0.79445445481158883</c:v>
              </c:pt>
              <c:pt idx="22">
                <c:v>0.77226798824795573</c:v>
              </c:pt>
              <c:pt idx="23">
                <c:v>0.74930549795279244</c:v>
              </c:pt>
              <c:pt idx="24">
                <c:v>0.72563083769809966</c:v>
              </c:pt>
              <c:pt idx="25">
                <c:v>0.70131173168050587</c:v>
              </c:pt>
              <c:pt idx="26">
                <c:v>0.67642050835434919</c:v>
              </c:pt>
              <c:pt idx="27">
                <c:v>0.66378442339632215</c:v>
              </c:pt>
              <c:pt idx="28">
                <c:v>0.66378442339632215</c:v>
              </c:pt>
              <c:pt idx="29">
                <c:v>0.66378442339632215</c:v>
              </c:pt>
              <c:pt idx="30">
                <c:v>0.66378442339632215</c:v>
              </c:pt>
              <c:pt idx="31">
                <c:v>0.66378442339632215</c:v>
              </c:pt>
              <c:pt idx="32">
                <c:v>0.66378442339632215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05B-412C-9B54-2BA238B3D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558448"/>
        <c:axId val="403559624"/>
      </c:scatterChart>
      <c:valAx>
        <c:axId val="40355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растояние, км.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3559624"/>
        <c:crosses val="autoZero"/>
        <c:crossBetween val="midCat"/>
      </c:valAx>
      <c:valAx>
        <c:axId val="403559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3558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723900</xdr:colOff>
      <xdr:row>4</xdr:row>
      <xdr:rowOff>81396</xdr:rowOff>
    </xdr:from>
    <xdr:to>
      <xdr:col>23</xdr:col>
      <xdr:colOff>9525</xdr:colOff>
      <xdr:row>23</xdr:row>
      <xdr:rowOff>95683</xdr:rowOff>
    </xdr:to>
    <xdr:graphicFrame macro="">
      <xdr:nvGraphicFramePr>
        <xdr:cNvPr id="15" name="Диаграмма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19049</xdr:colOff>
      <xdr:row>7</xdr:row>
      <xdr:rowOff>309562</xdr:rowOff>
    </xdr:from>
    <xdr:to>
      <xdr:col>32</xdr:col>
      <xdr:colOff>542925</xdr:colOff>
      <xdr:row>25</xdr:row>
      <xdr:rowOff>28575</xdr:rowOff>
    </xdr:to>
    <xdr:graphicFrame macro="">
      <xdr:nvGraphicFramePr>
        <xdr:cNvPr id="16" name="Диаграмма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142875</xdr:colOff>
      <xdr:row>7</xdr:row>
      <xdr:rowOff>276225</xdr:rowOff>
    </xdr:from>
    <xdr:to>
      <xdr:col>48</xdr:col>
      <xdr:colOff>590551</xdr:colOff>
      <xdr:row>24</xdr:row>
      <xdr:rowOff>185738</xdr:rowOff>
    </xdr:to>
    <xdr:graphicFrame macro="">
      <xdr:nvGraphicFramePr>
        <xdr:cNvPr id="17" name="Диаграмма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66675</xdr:colOff>
      <xdr:row>24</xdr:row>
      <xdr:rowOff>7793</xdr:rowOff>
    </xdr:from>
    <xdr:to>
      <xdr:col>16</xdr:col>
      <xdr:colOff>294410</xdr:colOff>
      <xdr:row>45</xdr:row>
      <xdr:rowOff>31605</xdr:rowOff>
    </xdr:to>
    <xdr:graphicFrame macro="">
      <xdr:nvGraphicFramePr>
        <xdr:cNvPr id="18" name="Диаграмма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32</xdr:col>
      <xdr:colOff>542925</xdr:colOff>
      <xdr:row>46</xdr:row>
      <xdr:rowOff>109538</xdr:rowOff>
    </xdr:to>
    <xdr:graphicFrame macro="">
      <xdr:nvGraphicFramePr>
        <xdr:cNvPr id="19" name="Диаграмма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DZ6"/>
  <sheetViews>
    <sheetView tabSelected="1" zoomScale="84" zoomScaleNormal="84" workbookViewId="0">
      <selection activeCell="M13" sqref="M13"/>
    </sheetView>
  </sheetViews>
  <sheetFormatPr defaultColWidth="9.140625" defaultRowHeight="15" x14ac:dyDescent="0.25"/>
  <cols>
    <col min="1" max="1" width="10.85546875" style="17" bestFit="1" customWidth="1"/>
    <col min="2" max="2" width="11.140625" style="17" bestFit="1" customWidth="1"/>
    <col min="3" max="3" width="19.85546875" style="17" bestFit="1" customWidth="1"/>
    <col min="4" max="4" width="10.7109375" style="17" bestFit="1" customWidth="1"/>
    <col min="5" max="5" width="18.5703125" style="17" bestFit="1" customWidth="1"/>
    <col min="6" max="6" width="11" style="17" bestFit="1" customWidth="1"/>
    <col min="7" max="7" width="12" style="17" bestFit="1" customWidth="1"/>
    <col min="8" max="8" width="11.140625" style="17" bestFit="1" customWidth="1"/>
    <col min="9" max="9" width="11" style="17" bestFit="1" customWidth="1"/>
    <col min="10" max="10" width="10.7109375" style="17" bestFit="1" customWidth="1"/>
    <col min="11" max="11" width="14.140625" style="17" bestFit="1" customWidth="1"/>
    <col min="12" max="12" width="12.28515625" style="17" bestFit="1" customWidth="1"/>
    <col min="13" max="13" width="30.140625" style="17" bestFit="1" customWidth="1"/>
    <col min="14" max="14" width="26" style="17" bestFit="1" customWidth="1"/>
    <col min="15" max="15" width="12.7109375" style="17" bestFit="1" customWidth="1"/>
    <col min="16" max="16" width="11.7109375" style="17" bestFit="1" customWidth="1"/>
    <col min="17" max="17" width="31.140625" style="17" bestFit="1" customWidth="1"/>
    <col min="18" max="18" width="16.140625" style="17" bestFit="1" customWidth="1"/>
    <col min="19" max="19" width="23.5703125" style="17" bestFit="1" customWidth="1"/>
    <col min="20" max="20" width="19.42578125" style="17" bestFit="1" customWidth="1"/>
    <col min="21" max="21" width="15" style="17" bestFit="1" customWidth="1"/>
    <col min="22" max="22" width="18.5703125" style="17" bestFit="1" customWidth="1"/>
    <col min="23" max="23" width="15" style="17" bestFit="1" customWidth="1"/>
    <col min="24" max="24" width="15.140625" style="17" bestFit="1" customWidth="1"/>
    <col min="25" max="25" width="10.140625" style="17" bestFit="1" customWidth="1"/>
    <col min="26" max="26" width="10.28515625" style="17" bestFit="1" customWidth="1"/>
    <col min="27" max="27" width="10.85546875" style="17" bestFit="1" customWidth="1"/>
    <col min="28" max="28" width="19.85546875" style="17" bestFit="1" customWidth="1"/>
    <col min="29" max="29" width="10.140625" style="17" bestFit="1" customWidth="1"/>
    <col min="30" max="30" width="10.7109375" style="17" bestFit="1" customWidth="1"/>
    <col min="31" max="33" width="10.140625" style="17" bestFit="1" customWidth="1"/>
    <col min="34" max="34" width="10.7109375" style="17" bestFit="1" customWidth="1"/>
    <col min="35" max="35" width="12" style="17" bestFit="1" customWidth="1"/>
    <col min="36" max="36" width="10.5703125" style="17" bestFit="1" customWidth="1"/>
    <col min="37" max="37" width="11.7109375" style="17" bestFit="1" customWidth="1"/>
    <col min="38" max="38" width="10.5703125" style="17" bestFit="1" customWidth="1"/>
    <col min="39" max="39" width="13.42578125" style="17" bestFit="1" customWidth="1"/>
    <col min="40" max="40" width="10.85546875" style="17" bestFit="1" customWidth="1"/>
    <col min="41" max="41" width="17.140625" style="17" bestFit="1" customWidth="1"/>
    <col min="42" max="42" width="16.85546875" style="17" bestFit="1" customWidth="1"/>
    <col min="43" max="43" width="21" style="17" bestFit="1" customWidth="1"/>
    <col min="44" max="44" width="11.140625" style="17" bestFit="1" customWidth="1"/>
    <col min="45" max="45" width="10.140625" style="17" bestFit="1" customWidth="1"/>
    <col min="46" max="46" width="13.28515625" style="17" bestFit="1" customWidth="1"/>
    <col min="47" max="47" width="17" style="17" bestFit="1" customWidth="1"/>
    <col min="48" max="48" width="10.140625" style="17" bestFit="1" customWidth="1"/>
    <col min="49" max="49" width="17.85546875" style="17" bestFit="1" customWidth="1"/>
    <col min="50" max="51" width="17.85546875" style="17" customWidth="1"/>
    <col min="52" max="52" width="15.7109375" style="17" customWidth="1"/>
    <col min="53" max="53" width="19.140625" style="17" bestFit="1" customWidth="1"/>
    <col min="54" max="54" width="23.85546875" style="17" customWidth="1"/>
    <col min="55" max="55" width="9.42578125" style="17" bestFit="1" customWidth="1"/>
    <col min="56" max="56" width="23" style="17" bestFit="1" customWidth="1"/>
    <col min="57" max="57" width="9.42578125" style="17" bestFit="1" customWidth="1"/>
    <col min="58" max="58" width="26.5703125" style="17" bestFit="1" customWidth="1"/>
    <col min="59" max="59" width="9.42578125" style="17" bestFit="1" customWidth="1"/>
    <col min="60" max="60" width="23.28515625" style="17" bestFit="1" customWidth="1"/>
    <col min="61" max="61" width="9.42578125" style="17" bestFit="1" customWidth="1"/>
    <col min="62" max="62" width="23.28515625" style="17" bestFit="1" customWidth="1"/>
    <col min="63" max="63" width="9.42578125" style="17" bestFit="1" customWidth="1"/>
    <col min="64" max="64" width="25.5703125" style="17" bestFit="1" customWidth="1"/>
    <col min="65" max="65" width="9.42578125" style="17" bestFit="1" customWidth="1"/>
    <col min="66" max="66" width="26.7109375" style="17" bestFit="1" customWidth="1"/>
    <col min="67" max="67" width="9.42578125" style="17" bestFit="1" customWidth="1"/>
    <col min="68" max="68" width="28.7109375" style="17" bestFit="1" customWidth="1"/>
    <col min="69" max="69" width="9.42578125" style="17" bestFit="1" customWidth="1"/>
    <col min="70" max="70" width="18.85546875" style="17" bestFit="1" customWidth="1"/>
    <col min="71" max="71" width="9.42578125" style="17" bestFit="1" customWidth="1"/>
    <col min="72" max="72" width="25.28515625" style="17" customWidth="1"/>
    <col min="73" max="73" width="6.7109375" style="17" customWidth="1"/>
    <col min="74" max="74" width="10.7109375" style="17" bestFit="1" customWidth="1"/>
    <col min="75" max="75" width="11.85546875" style="17" bestFit="1" customWidth="1"/>
    <col min="76" max="76" width="18.28515625" style="17" customWidth="1"/>
    <col min="77" max="77" width="6.7109375" style="17" customWidth="1"/>
    <col min="78" max="78" width="13.7109375" style="17" customWidth="1"/>
    <col min="79" max="79" width="20.5703125" style="118" bestFit="1" customWidth="1"/>
    <col min="80" max="80" width="20.85546875" style="17" customWidth="1"/>
    <col min="81" max="81" width="16.85546875" style="17" customWidth="1"/>
    <col min="82" max="82" width="15" style="17" customWidth="1"/>
    <col min="83" max="83" width="23.85546875" style="17" customWidth="1"/>
    <col min="84" max="84" width="9.42578125" style="17" bestFit="1" customWidth="1"/>
    <col min="85" max="85" width="15" style="17" customWidth="1"/>
    <col min="86" max="86" width="9.42578125" style="17" bestFit="1" customWidth="1"/>
    <col min="87" max="87" width="18.28515625" style="17" customWidth="1"/>
    <col min="88" max="88" width="8.5703125" style="17" customWidth="1"/>
    <col min="89" max="89" width="17.140625" style="17" customWidth="1"/>
    <col min="90" max="90" width="5.7109375" style="17" customWidth="1"/>
    <col min="91" max="91" width="15" style="17" customWidth="1"/>
    <col min="92" max="92" width="5.85546875" style="17" customWidth="1"/>
    <col min="93" max="93" width="25.5703125" style="17" bestFit="1" customWidth="1"/>
    <col min="94" max="94" width="5.42578125" style="17" customWidth="1"/>
    <col min="95" max="95" width="15.5703125" style="17" customWidth="1"/>
    <col min="96" max="96" width="8.28515625" style="17" customWidth="1"/>
    <col min="97" max="97" width="15.28515625" style="17" customWidth="1"/>
    <col min="98" max="98" width="12.5703125" style="17" customWidth="1"/>
    <col min="99" max="99" width="9.42578125" style="17" bestFit="1" customWidth="1"/>
    <col min="100" max="100" width="10.140625" style="17" customWidth="1"/>
    <col min="101" max="101" width="8.140625" style="17" customWidth="1"/>
    <col min="102" max="102" width="20.28515625" style="17" customWidth="1"/>
    <col min="103" max="103" width="7.28515625" style="17" customWidth="1"/>
    <col min="104" max="104" width="10.7109375" style="17" bestFit="1" customWidth="1"/>
    <col min="105" max="105" width="7.5703125" style="17" customWidth="1"/>
    <col min="106" max="106" width="12.140625" style="17" customWidth="1"/>
    <col min="107" max="107" width="8.5703125" style="17" customWidth="1"/>
    <col min="108" max="108" width="16.7109375" style="17" bestFit="1" customWidth="1"/>
    <col min="109" max="109" width="20.5703125" style="17" bestFit="1" customWidth="1"/>
    <col min="110" max="110" width="9" style="17" bestFit="1" customWidth="1"/>
    <col min="111" max="111" width="30.7109375" style="17" bestFit="1" customWidth="1"/>
    <col min="112" max="112" width="23" style="17" bestFit="1" customWidth="1"/>
    <col min="113" max="113" width="11.42578125" style="17" bestFit="1" customWidth="1"/>
    <col min="114" max="114" width="11.5703125" style="17" customWidth="1"/>
    <col min="115" max="115" width="9.5703125" style="17" customWidth="1"/>
    <col min="116" max="116" width="13.85546875" style="17" customWidth="1"/>
    <col min="117" max="117" width="27.7109375" style="17" customWidth="1"/>
    <col min="118" max="118" width="26.7109375" style="17" customWidth="1"/>
    <col min="119" max="119" width="24.28515625" style="17" customWidth="1"/>
    <col min="120" max="120" width="12.28515625" style="17" customWidth="1"/>
    <col min="121" max="121" width="14.140625" style="17" customWidth="1"/>
    <col min="122" max="122" width="12.140625" style="17" customWidth="1"/>
    <col min="123" max="123" width="10.7109375" style="17" customWidth="1"/>
    <col min="124" max="124" width="16.28515625" style="17" customWidth="1"/>
    <col min="125" max="125" width="17.5703125" style="17" customWidth="1"/>
    <col min="126" max="126" width="16.28515625" style="17" customWidth="1"/>
    <col min="127" max="127" width="13.42578125" style="17" customWidth="1"/>
    <col min="128" max="128" width="12" style="17" customWidth="1"/>
    <col min="129" max="129" width="18" style="17" customWidth="1"/>
    <col min="130" max="130" width="14.42578125" style="17" customWidth="1"/>
    <col min="131" max="16384" width="9.140625" style="17"/>
  </cols>
  <sheetData>
    <row r="1" spans="1:130" ht="63" customHeight="1" x14ac:dyDescent="0.25">
      <c r="A1" s="179" t="s">
        <v>16</v>
      </c>
      <c r="B1" s="179" t="s">
        <v>17</v>
      </c>
      <c r="C1" s="179" t="s">
        <v>18</v>
      </c>
      <c r="D1" s="179" t="s">
        <v>136</v>
      </c>
      <c r="E1" s="179" t="s">
        <v>235</v>
      </c>
      <c r="F1" s="179" t="s">
        <v>45</v>
      </c>
      <c r="G1" s="179" t="s">
        <v>47</v>
      </c>
      <c r="H1" s="179" t="s">
        <v>44</v>
      </c>
      <c r="I1" s="179" t="s">
        <v>48</v>
      </c>
      <c r="J1" s="179" t="s">
        <v>236</v>
      </c>
      <c r="K1" s="179" t="s">
        <v>27</v>
      </c>
      <c r="L1" s="179" t="s">
        <v>256</v>
      </c>
      <c r="M1" s="179" t="s">
        <v>226</v>
      </c>
      <c r="N1" s="179" t="s">
        <v>227</v>
      </c>
      <c r="O1" s="179" t="s">
        <v>70</v>
      </c>
      <c r="P1" s="179" t="s">
        <v>231</v>
      </c>
      <c r="Q1" s="179" t="s">
        <v>237</v>
      </c>
      <c r="R1" s="179" t="s">
        <v>238</v>
      </c>
      <c r="S1" s="179" t="s">
        <v>239</v>
      </c>
      <c r="T1" s="179" t="s">
        <v>19</v>
      </c>
      <c r="U1" s="179" t="s">
        <v>4</v>
      </c>
      <c r="V1" s="179" t="s">
        <v>9</v>
      </c>
      <c r="W1" s="179" t="s">
        <v>13</v>
      </c>
      <c r="X1" s="179" t="s">
        <v>10</v>
      </c>
      <c r="Y1" s="179" t="s">
        <v>240</v>
      </c>
      <c r="Z1" s="179" t="s">
        <v>241</v>
      </c>
      <c r="AA1" s="179" t="s">
        <v>242</v>
      </c>
      <c r="AB1" s="179" t="s">
        <v>232</v>
      </c>
      <c r="AC1" s="179" t="s">
        <v>243</v>
      </c>
      <c r="AD1" s="179" t="s">
        <v>244</v>
      </c>
      <c r="AE1" s="179" t="s">
        <v>245</v>
      </c>
      <c r="AF1" s="179" t="s">
        <v>246</v>
      </c>
      <c r="AG1" s="179" t="s">
        <v>247</v>
      </c>
      <c r="AH1" s="179" t="s">
        <v>248</v>
      </c>
      <c r="AI1" s="179" t="s">
        <v>249</v>
      </c>
      <c r="AJ1" s="179" t="s">
        <v>250</v>
      </c>
      <c r="AK1" s="179" t="s">
        <v>251</v>
      </c>
      <c r="AL1" s="179" t="s">
        <v>252</v>
      </c>
      <c r="AM1" s="179" t="s">
        <v>253</v>
      </c>
      <c r="AN1" s="179" t="s">
        <v>229</v>
      </c>
      <c r="AO1" s="185" t="s">
        <v>7921</v>
      </c>
      <c r="AP1" s="186" t="s">
        <v>7922</v>
      </c>
      <c r="AQ1" s="183" t="s">
        <v>7923</v>
      </c>
      <c r="AR1" s="183" t="s">
        <v>7924</v>
      </c>
      <c r="AS1" s="179" t="s">
        <v>254</v>
      </c>
      <c r="AT1" s="179" t="s">
        <v>255</v>
      </c>
      <c r="AU1" s="179" t="s">
        <v>7340</v>
      </c>
      <c r="AV1" s="179" t="s">
        <v>7342</v>
      </c>
      <c r="AW1" s="179" t="s">
        <v>7343</v>
      </c>
      <c r="AX1" s="173" t="s">
        <v>7906</v>
      </c>
      <c r="AY1" s="173" t="s">
        <v>7907</v>
      </c>
      <c r="AZ1" s="183" t="s">
        <v>7911</v>
      </c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  <c r="BN1" s="181"/>
      <c r="BO1" s="181"/>
      <c r="BP1" s="181"/>
      <c r="BQ1" s="181"/>
      <c r="BR1" s="181"/>
      <c r="BS1" s="181"/>
      <c r="BT1" s="181"/>
      <c r="BU1" s="181"/>
      <c r="BV1" s="181"/>
      <c r="BW1" s="181"/>
      <c r="BX1" s="181"/>
      <c r="BY1" s="181"/>
      <c r="BZ1" s="181"/>
      <c r="CA1" s="182"/>
      <c r="CB1" s="193"/>
      <c r="CC1" s="193"/>
      <c r="CD1" s="143" t="s">
        <v>180</v>
      </c>
      <c r="CE1" s="148" t="s">
        <v>28</v>
      </c>
      <c r="CF1" s="149"/>
      <c r="CG1" s="150" t="s">
        <v>137</v>
      </c>
      <c r="CH1" s="149"/>
      <c r="CI1" s="150" t="s">
        <v>29</v>
      </c>
      <c r="CJ1" s="149"/>
      <c r="CK1" s="148" t="s">
        <v>138</v>
      </c>
      <c r="CL1" s="149"/>
      <c r="CM1" s="148" t="s">
        <v>139</v>
      </c>
      <c r="CN1" s="149"/>
      <c r="CO1" s="150" t="s">
        <v>31</v>
      </c>
      <c r="CP1" s="149"/>
      <c r="CQ1" s="150" t="s">
        <v>90</v>
      </c>
      <c r="CR1" s="149"/>
      <c r="CS1" s="171"/>
      <c r="CT1" s="150" t="s">
        <v>30</v>
      </c>
      <c r="CU1" s="150"/>
      <c r="CV1" s="150" t="s">
        <v>140</v>
      </c>
      <c r="CW1" s="150" t="s">
        <v>178</v>
      </c>
      <c r="CX1" s="150" t="s">
        <v>225</v>
      </c>
      <c r="CY1" s="149"/>
      <c r="CZ1" s="149"/>
      <c r="DA1" s="149"/>
      <c r="DB1" s="150" t="s">
        <v>141</v>
      </c>
      <c r="DC1" s="150"/>
      <c r="DD1" s="149" t="s">
        <v>142</v>
      </c>
      <c r="DE1" s="151" t="s">
        <v>143</v>
      </c>
      <c r="DF1" s="152" t="s">
        <v>144</v>
      </c>
      <c r="DG1" s="150" t="s">
        <v>145</v>
      </c>
      <c r="DH1" s="28" t="s">
        <v>1001</v>
      </c>
      <c r="DI1" s="28" t="s">
        <v>181</v>
      </c>
      <c r="DJ1" s="28" t="s">
        <v>1002</v>
      </c>
      <c r="DK1" s="175" t="s">
        <v>7345</v>
      </c>
      <c r="DL1" s="176" t="s">
        <v>7350</v>
      </c>
      <c r="DM1" s="173" t="s">
        <v>7873</v>
      </c>
      <c r="DN1" s="194"/>
      <c r="DO1" s="194"/>
      <c r="DP1" s="194"/>
      <c r="DQ1" s="194"/>
      <c r="DR1" s="194"/>
      <c r="DS1" s="194"/>
      <c r="DT1" s="194"/>
      <c r="DU1" s="194"/>
      <c r="DV1" s="194"/>
      <c r="DW1" s="194"/>
      <c r="DX1" s="194"/>
      <c r="DY1" s="194"/>
      <c r="DZ1" s="194"/>
    </row>
    <row r="2" spans="1:130" ht="38.25" customHeight="1" x14ac:dyDescent="0.25">
      <c r="A2" s="179" t="s">
        <v>179</v>
      </c>
      <c r="B2" s="179" t="s">
        <v>180</v>
      </c>
      <c r="C2" s="179" t="s">
        <v>7875</v>
      </c>
      <c r="D2" s="179" t="s">
        <v>140</v>
      </c>
      <c r="E2" s="179" t="s">
        <v>28</v>
      </c>
      <c r="F2" s="179" t="s">
        <v>137</v>
      </c>
      <c r="G2" s="179" t="s">
        <v>29</v>
      </c>
      <c r="H2" s="179" t="s">
        <v>139</v>
      </c>
      <c r="I2" s="179" t="s">
        <v>138</v>
      </c>
      <c r="J2" s="179" t="s">
        <v>7876</v>
      </c>
      <c r="K2" s="179" t="s">
        <v>31</v>
      </c>
      <c r="L2" s="179" t="s">
        <v>90</v>
      </c>
      <c r="M2" s="179" t="s">
        <v>225</v>
      </c>
      <c r="N2" s="179" t="s">
        <v>7877</v>
      </c>
      <c r="O2" s="179" t="s">
        <v>30</v>
      </c>
      <c r="P2" s="179" t="s">
        <v>7878</v>
      </c>
      <c r="Q2" s="179" t="s">
        <v>142</v>
      </c>
      <c r="R2" s="179" t="s">
        <v>143</v>
      </c>
      <c r="S2" s="179" t="s">
        <v>145</v>
      </c>
      <c r="T2" s="179" t="s">
        <v>7879</v>
      </c>
      <c r="U2" s="179" t="s">
        <v>7880</v>
      </c>
      <c r="V2" s="179" t="s">
        <v>7881</v>
      </c>
      <c r="W2" s="179" t="s">
        <v>7882</v>
      </c>
      <c r="X2" s="179" t="s">
        <v>7883</v>
      </c>
      <c r="Y2" s="179" t="s">
        <v>7884</v>
      </c>
      <c r="Z2" s="179" t="s">
        <v>7885</v>
      </c>
      <c r="AA2" s="179" t="s">
        <v>7886</v>
      </c>
      <c r="AB2" s="179" t="s">
        <v>7887</v>
      </c>
      <c r="AC2" s="179" t="s">
        <v>7888</v>
      </c>
      <c r="AD2" s="179" t="s">
        <v>7889</v>
      </c>
      <c r="AE2" s="179" t="s">
        <v>1001</v>
      </c>
      <c r="AF2" s="179" t="s">
        <v>7890</v>
      </c>
      <c r="AG2" s="179" t="s">
        <v>7891</v>
      </c>
      <c r="AH2" s="179" t="s">
        <v>7892</v>
      </c>
      <c r="AI2" s="179" t="s">
        <v>7893</v>
      </c>
      <c r="AJ2" s="179" t="s">
        <v>7894</v>
      </c>
      <c r="AK2" s="179" t="s">
        <v>7895</v>
      </c>
      <c r="AL2" s="179" t="s">
        <v>7896</v>
      </c>
      <c r="AM2" s="179" t="s">
        <v>7897</v>
      </c>
      <c r="AN2" s="179" t="s">
        <v>7898</v>
      </c>
      <c r="AO2" s="179" t="s">
        <v>7873</v>
      </c>
      <c r="AP2" s="179" t="s">
        <v>181</v>
      </c>
      <c r="AQ2" s="179" t="s">
        <v>7899</v>
      </c>
      <c r="AR2" s="179" t="s">
        <v>7900</v>
      </c>
      <c r="AS2" s="179" t="s">
        <v>7901</v>
      </c>
      <c r="AT2" s="179" t="s">
        <v>7902</v>
      </c>
      <c r="AU2" s="179" t="s">
        <v>7349</v>
      </c>
      <c r="AV2" s="179" t="s">
        <v>7903</v>
      </c>
      <c r="AW2" s="179" t="s">
        <v>7904</v>
      </c>
      <c r="AX2" s="173" t="s">
        <v>7908</v>
      </c>
      <c r="AY2" s="173" t="s">
        <v>7909</v>
      </c>
      <c r="AZ2" s="169"/>
      <c r="BA2" s="191" t="s">
        <v>17</v>
      </c>
      <c r="BB2" s="191"/>
      <c r="BC2" s="191"/>
      <c r="BD2" s="191"/>
      <c r="BE2" s="191"/>
      <c r="BF2" s="191"/>
      <c r="BG2" s="191"/>
      <c r="BH2" s="191"/>
      <c r="BI2" s="191"/>
      <c r="BJ2" s="191"/>
      <c r="BK2" s="191"/>
      <c r="BL2" s="191"/>
      <c r="BM2" s="191"/>
      <c r="BN2" s="191"/>
      <c r="BO2" s="191"/>
      <c r="BP2" s="191"/>
      <c r="BQ2" s="191"/>
      <c r="BR2" s="191" t="s">
        <v>124</v>
      </c>
      <c r="BS2" s="191"/>
      <c r="BT2" s="191"/>
      <c r="BU2" s="191"/>
      <c r="BV2" s="144" t="s">
        <v>146</v>
      </c>
      <c r="BW2" s="191" t="s">
        <v>147</v>
      </c>
      <c r="BX2" s="192" t="s">
        <v>182</v>
      </c>
      <c r="BY2" s="192"/>
      <c r="BZ2" s="19">
        <v>0.8</v>
      </c>
      <c r="CA2" s="146"/>
      <c r="CB2" s="196" t="s">
        <v>999</v>
      </c>
      <c r="CC2" s="196"/>
      <c r="CD2" s="191" t="s">
        <v>17</v>
      </c>
      <c r="CE2" s="191"/>
      <c r="CF2" s="191"/>
      <c r="CG2" s="191"/>
      <c r="CH2" s="191"/>
      <c r="CI2" s="191"/>
      <c r="CJ2" s="191"/>
      <c r="CK2" s="191"/>
      <c r="CL2" s="191"/>
      <c r="CM2" s="191"/>
      <c r="CN2" s="191"/>
      <c r="CO2" s="191"/>
      <c r="CP2" s="191"/>
      <c r="CQ2" s="191"/>
      <c r="CR2" s="191"/>
      <c r="CS2" s="191"/>
      <c r="CT2" s="191"/>
      <c r="CU2" s="191"/>
      <c r="CV2" s="191" t="s">
        <v>124</v>
      </c>
      <c r="CW2" s="191"/>
      <c r="CX2" s="191"/>
      <c r="CY2" s="191"/>
      <c r="CZ2" s="158" t="s">
        <v>146</v>
      </c>
      <c r="DA2" s="191" t="s">
        <v>147</v>
      </c>
      <c r="DB2" s="192" t="s">
        <v>182</v>
      </c>
      <c r="DC2" s="192"/>
      <c r="DD2" s="19">
        <v>0.8</v>
      </c>
      <c r="DE2" s="146"/>
      <c r="DF2" s="145" t="s">
        <v>144</v>
      </c>
      <c r="DG2" s="30" t="s">
        <v>1000</v>
      </c>
      <c r="DM2" s="173"/>
      <c r="DN2" s="160"/>
      <c r="DO2" s="180" t="s">
        <v>7916</v>
      </c>
      <c r="DP2" s="160"/>
      <c r="DQ2" s="160"/>
      <c r="DR2" s="160"/>
      <c r="DS2" s="160"/>
      <c r="DT2" s="160"/>
      <c r="DU2" s="195" t="s">
        <v>7917</v>
      </c>
      <c r="DV2" s="195"/>
      <c r="DW2" s="160"/>
      <c r="DX2" s="160"/>
      <c r="DY2" s="160"/>
    </row>
    <row r="3" spans="1:130" s="20" customFormat="1" ht="117.75" customHeight="1" x14ac:dyDescent="0.25">
      <c r="A3" s="173" t="s">
        <v>7905</v>
      </c>
      <c r="B3" s="173" t="s">
        <v>7905</v>
      </c>
      <c r="C3" s="173" t="s">
        <v>7905</v>
      </c>
      <c r="D3" s="173" t="s">
        <v>7905</v>
      </c>
      <c r="E3" s="173" t="s">
        <v>7905</v>
      </c>
      <c r="F3" s="173" t="s">
        <v>7905</v>
      </c>
      <c r="G3" s="173" t="s">
        <v>7905</v>
      </c>
      <c r="H3" s="173" t="s">
        <v>7905</v>
      </c>
      <c r="I3" s="173" t="s">
        <v>7905</v>
      </c>
      <c r="J3" s="173" t="s">
        <v>7905</v>
      </c>
      <c r="K3" s="173" t="s">
        <v>7905</v>
      </c>
      <c r="L3" s="173" t="s">
        <v>7905</v>
      </c>
      <c r="M3" s="173" t="s">
        <v>7905</v>
      </c>
      <c r="N3" s="173" t="s">
        <v>7905</v>
      </c>
      <c r="O3" s="173" t="s">
        <v>7905</v>
      </c>
      <c r="P3" s="173" t="s">
        <v>7905</v>
      </c>
      <c r="Q3" s="173" t="s">
        <v>7905</v>
      </c>
      <c r="R3" s="173" t="s">
        <v>7905</v>
      </c>
      <c r="S3" s="173" t="s">
        <v>7905</v>
      </c>
      <c r="T3" s="173" t="s">
        <v>7905</v>
      </c>
      <c r="U3" s="173" t="s">
        <v>7905</v>
      </c>
      <c r="V3" s="173" t="s">
        <v>7905</v>
      </c>
      <c r="W3" s="173" t="s">
        <v>7905</v>
      </c>
      <c r="X3" s="173" t="s">
        <v>7905</v>
      </c>
      <c r="Y3" s="173" t="s">
        <v>7905</v>
      </c>
      <c r="Z3" s="173" t="s">
        <v>7905</v>
      </c>
      <c r="AA3" s="173" t="s">
        <v>7905</v>
      </c>
      <c r="AB3" s="173" t="s">
        <v>7905</v>
      </c>
      <c r="AC3" s="173" t="s">
        <v>7905</v>
      </c>
      <c r="AD3" s="173" t="s">
        <v>7905</v>
      </c>
      <c r="AE3" s="173" t="s">
        <v>7905</v>
      </c>
      <c r="AF3" s="173" t="s">
        <v>7905</v>
      </c>
      <c r="AG3" s="173" t="s">
        <v>7905</v>
      </c>
      <c r="AH3" s="173" t="s">
        <v>7905</v>
      </c>
      <c r="AI3" s="173" t="s">
        <v>7905</v>
      </c>
      <c r="AJ3" s="173" t="s">
        <v>7905</v>
      </c>
      <c r="AK3" s="173" t="s">
        <v>7905</v>
      </c>
      <c r="AL3" s="173" t="s">
        <v>7905</v>
      </c>
      <c r="AM3" s="173" t="s">
        <v>7905</v>
      </c>
      <c r="AN3" s="173" t="s">
        <v>7905</v>
      </c>
      <c r="AO3" s="173" t="s">
        <v>7905</v>
      </c>
      <c r="AP3" s="173" t="s">
        <v>7905</v>
      </c>
      <c r="AQ3" s="173" t="s">
        <v>7905</v>
      </c>
      <c r="AR3" s="173" t="s">
        <v>7905</v>
      </c>
      <c r="AS3" s="173" t="s">
        <v>7905</v>
      </c>
      <c r="AT3" s="173" t="s">
        <v>7905</v>
      </c>
      <c r="AU3" s="173" t="s">
        <v>7905</v>
      </c>
      <c r="AV3" s="173" t="s">
        <v>7905</v>
      </c>
      <c r="AW3" s="173" t="s">
        <v>7905</v>
      </c>
      <c r="AX3" s="173" t="s">
        <v>7905</v>
      </c>
      <c r="AY3" s="173" t="s">
        <v>7905</v>
      </c>
      <c r="AZ3" s="184" t="s">
        <v>7912</v>
      </c>
      <c r="BA3" s="191"/>
      <c r="BB3" s="144" t="s">
        <v>69</v>
      </c>
      <c r="BC3" s="86" t="s">
        <v>116</v>
      </c>
      <c r="BD3" s="144" t="s">
        <v>45</v>
      </c>
      <c r="BE3" s="86" t="s">
        <v>117</v>
      </c>
      <c r="BF3" s="144" t="s">
        <v>47</v>
      </c>
      <c r="BG3" s="86" t="s">
        <v>118</v>
      </c>
      <c r="BH3" s="144" t="s">
        <v>48</v>
      </c>
      <c r="BI3" s="86" t="s">
        <v>119</v>
      </c>
      <c r="BJ3" s="144" t="s">
        <v>44</v>
      </c>
      <c r="BK3" s="86" t="s">
        <v>120</v>
      </c>
      <c r="BL3" s="144" t="s">
        <v>27</v>
      </c>
      <c r="BM3" s="86" t="s">
        <v>121</v>
      </c>
      <c r="BN3" s="144" t="s">
        <v>77</v>
      </c>
      <c r="BO3" s="86" t="s">
        <v>122</v>
      </c>
      <c r="BP3" s="144" t="s">
        <v>70</v>
      </c>
      <c r="BQ3" s="86" t="s">
        <v>123</v>
      </c>
      <c r="BR3" s="144" t="s">
        <v>136</v>
      </c>
      <c r="BS3" s="86" t="s">
        <v>127</v>
      </c>
      <c r="BT3" s="142" t="s">
        <v>226</v>
      </c>
      <c r="BU3" s="86" t="s">
        <v>128</v>
      </c>
      <c r="BV3" s="144"/>
      <c r="BW3" s="191"/>
      <c r="BX3" s="144" t="s">
        <v>148</v>
      </c>
      <c r="BY3" s="144" t="s">
        <v>149</v>
      </c>
      <c r="BZ3" s="87" t="s">
        <v>150</v>
      </c>
      <c r="CA3" s="117" t="s">
        <v>151</v>
      </c>
      <c r="CB3" s="187" t="s">
        <v>7914</v>
      </c>
      <c r="CC3" s="187" t="s">
        <v>7913</v>
      </c>
      <c r="CD3" s="191"/>
      <c r="CE3" s="158" t="s">
        <v>69</v>
      </c>
      <c r="CF3" s="86" t="s">
        <v>116</v>
      </c>
      <c r="CG3" s="158" t="s">
        <v>45</v>
      </c>
      <c r="CH3" s="86" t="s">
        <v>117</v>
      </c>
      <c r="CI3" s="158" t="s">
        <v>47</v>
      </c>
      <c r="CJ3" s="86" t="s">
        <v>118</v>
      </c>
      <c r="CK3" s="158" t="s">
        <v>48</v>
      </c>
      <c r="CL3" s="86" t="s">
        <v>119</v>
      </c>
      <c r="CM3" s="158" t="s">
        <v>44</v>
      </c>
      <c r="CN3" s="86" t="s">
        <v>120</v>
      </c>
      <c r="CO3" s="158" t="s">
        <v>27</v>
      </c>
      <c r="CP3" s="86" t="s">
        <v>121</v>
      </c>
      <c r="CQ3" s="158" t="s">
        <v>77</v>
      </c>
      <c r="CR3" s="86" t="s">
        <v>122</v>
      </c>
      <c r="CS3" s="158" t="s">
        <v>7341</v>
      </c>
      <c r="CT3" s="170" t="s">
        <v>70</v>
      </c>
      <c r="CU3" s="86" t="s">
        <v>123</v>
      </c>
      <c r="CV3" s="158" t="s">
        <v>136</v>
      </c>
      <c r="CW3" s="86" t="s">
        <v>127</v>
      </c>
      <c r="CX3" s="142" t="s">
        <v>226</v>
      </c>
      <c r="CY3" s="86" t="s">
        <v>128</v>
      </c>
      <c r="CZ3" s="158"/>
      <c r="DA3" s="191"/>
      <c r="DB3" s="158" t="s">
        <v>148</v>
      </c>
      <c r="DC3" s="158" t="s">
        <v>149</v>
      </c>
      <c r="DD3" s="87" t="s">
        <v>150</v>
      </c>
      <c r="DE3" s="117" t="s">
        <v>151</v>
      </c>
      <c r="DF3" s="147">
        <v>8019</v>
      </c>
      <c r="DG3" s="30" t="s">
        <v>1000</v>
      </c>
      <c r="DH3" s="161" t="s">
        <v>245</v>
      </c>
      <c r="DI3" s="162" t="s">
        <v>1003</v>
      </c>
      <c r="DJ3" s="163" t="s">
        <v>1004</v>
      </c>
      <c r="DK3" s="163" t="s">
        <v>7344</v>
      </c>
      <c r="DL3" s="177" t="s">
        <v>7351</v>
      </c>
      <c r="DM3" s="173" t="s">
        <v>7874</v>
      </c>
      <c r="DN3" s="164" t="s">
        <v>7920</v>
      </c>
      <c r="DO3" s="164" t="s">
        <v>7915</v>
      </c>
      <c r="DP3" s="165" t="s">
        <v>1007</v>
      </c>
      <c r="DQ3" s="165" t="s">
        <v>8</v>
      </c>
      <c r="DR3" s="165" t="s">
        <v>3</v>
      </c>
      <c r="DS3" s="165" t="s">
        <v>1005</v>
      </c>
      <c r="DT3" s="165" t="s">
        <v>228</v>
      </c>
      <c r="DU3" s="165" t="s">
        <v>7919</v>
      </c>
      <c r="DV3" s="165" t="s">
        <v>7918</v>
      </c>
      <c r="DW3" s="165" t="s">
        <v>23</v>
      </c>
      <c r="DX3" s="165" t="s">
        <v>25</v>
      </c>
      <c r="DY3" s="165" t="s">
        <v>78</v>
      </c>
      <c r="DZ3" s="165" t="s">
        <v>75</v>
      </c>
    </row>
    <row r="4" spans="1:130" s="122" customFormat="1" ht="64.5" customHeight="1" x14ac:dyDescent="0.25">
      <c r="A4" s="188"/>
      <c r="B4" s="189"/>
      <c r="C4" s="189"/>
      <c r="D4" s="188"/>
      <c r="E4" s="188"/>
      <c r="F4" s="188"/>
      <c r="G4" s="188"/>
      <c r="H4" s="188"/>
      <c r="I4" s="188"/>
      <c r="J4" s="189"/>
      <c r="K4" s="188"/>
      <c r="L4" s="188"/>
      <c r="M4" s="188"/>
      <c r="N4" s="188"/>
      <c r="O4" s="189"/>
      <c r="P4" s="188"/>
      <c r="Q4" s="188"/>
      <c r="R4" s="188"/>
      <c r="S4" s="188"/>
      <c r="T4" s="188"/>
      <c r="U4" s="188"/>
      <c r="V4" s="188"/>
      <c r="W4" s="188"/>
      <c r="X4" s="190"/>
      <c r="Y4" s="190"/>
      <c r="Z4" s="190"/>
      <c r="AA4" s="190"/>
      <c r="AB4" s="189"/>
      <c r="AC4" s="190"/>
      <c r="AD4" s="188"/>
      <c r="AE4" s="188"/>
      <c r="AF4" s="190"/>
      <c r="AG4" s="190"/>
      <c r="AH4" s="188"/>
      <c r="AI4" s="188"/>
      <c r="AJ4" s="188"/>
      <c r="AK4" s="188"/>
      <c r="AL4" s="188"/>
      <c r="AM4" s="188"/>
      <c r="AN4" s="188"/>
      <c r="AO4" s="188"/>
      <c r="AP4" s="189"/>
      <c r="AQ4" s="188"/>
      <c r="AR4" s="189"/>
      <c r="AS4" s="188"/>
      <c r="AT4" s="188"/>
      <c r="AU4" s="190"/>
      <c r="AV4" s="188"/>
      <c r="AW4" s="188"/>
      <c r="AX4" s="190"/>
      <c r="AY4" s="190"/>
      <c r="AZ4" s="174">
        <f>IF(OR(AR4="13:021",AR4="13:011"),IF(AV4="Коттеджные_поселки","13:031",AR4),IF(OR(AR4="02:010",AR4="02:011",AR4="02:020",AR4="02:021",AR4="02:023"),IF(AV4="Коттеджные_поселки","02:019",AR4),AR4))</f>
        <v>0</v>
      </c>
      <c r="BA4" s="153">
        <f>B4</f>
        <v>0</v>
      </c>
      <c r="BB4" s="153">
        <f>E4</f>
        <v>0</v>
      </c>
      <c r="BC4" s="153" t="e">
        <f>VLOOKUP(BB4,модули!$L$27:'модули'!$M$37,2,FALSE)</f>
        <v>#N/A</v>
      </c>
      <c r="BD4" s="153">
        <f>F4</f>
        <v>0</v>
      </c>
      <c r="BE4" s="153" t="e">
        <f>VLOOKUP(BD4,модули!$B$7:'модули'!$D$18,3,FALSE)</f>
        <v>#N/A</v>
      </c>
      <c r="BF4" s="153">
        <f>G4</f>
        <v>0</v>
      </c>
      <c r="BG4" s="153" t="e">
        <f>VLOOKUP(BF4,модули!$F$7:'модули'!$H$18,3,FALSE)</f>
        <v>#N/A</v>
      </c>
      <c r="BH4" s="153">
        <f>I4</f>
        <v>0</v>
      </c>
      <c r="BI4" s="153" t="e">
        <f>VLOOKUP(BH4,модули!$J$7:'модули'!$L$18,3,FALSE)</f>
        <v>#N/A</v>
      </c>
      <c r="BJ4" s="153">
        <f>H4</f>
        <v>0</v>
      </c>
      <c r="BK4" s="153" t="e">
        <f>VLOOKUP(BJ4,модули!$N$7:'модули'!$P$18,3,FALSE)</f>
        <v>#N/A</v>
      </c>
      <c r="BL4" s="153">
        <f>K4</f>
        <v>0</v>
      </c>
      <c r="BM4" s="153" t="e">
        <f>VLOOKUP(BL4,модули!$R$7:'модули'!$T$16,3,FALSE)</f>
        <v>#N/A</v>
      </c>
      <c r="BN4" s="153">
        <f>L4</f>
        <v>0</v>
      </c>
      <c r="BO4" s="153" t="e">
        <f>VLOOKUP(BN4,модули!$V$7:'модули'!$X$17,3,FALSE)</f>
        <v>#N/A</v>
      </c>
      <c r="BP4" s="153">
        <f>O4</f>
        <v>0</v>
      </c>
      <c r="BQ4" s="154" t="e">
        <f>VLOOKUP(BP4,модули!$B$27:$D$41,3,FALSE)</f>
        <v>#N/A</v>
      </c>
      <c r="BR4" s="153">
        <f>D4</f>
        <v>0</v>
      </c>
      <c r="BS4" s="155">
        <f>ROUND(IF(BR4&lt;модули!$A$97,модули!$E$97,IF(BR4&gt;модули!$A$98,модули!$E$98,( 3.13069866989796E-15*BR4^4 + 6.1338708204768E-12*BR4^3- 1.95954236270195E-07*BR4^2 +  0.000387905519741556*BR4 + 0.798784147038265))),4)</f>
        <v>0.79879999999999995</v>
      </c>
      <c r="BT4" s="153">
        <f>M4</f>
        <v>0</v>
      </c>
      <c r="BU4" s="155">
        <f>ROUND(EXP(LN(IF(BT4&lt;модули!$H$99,модули!$I$99,IF(BT4&gt;модули!$H$100,модули!$I$100,((9.167685587011E-08*(BT4)^4+0.000015289662956704*(BT4)^3-0.00161875861673315*(BT4)^2+0.0151997782316484*(BT4)+0.962501568438211)))))*модули!$K$98),4)</f>
        <v>1</v>
      </c>
      <c r="BV4" s="153">
        <f>коэффициенты!$G$2</f>
        <v>638.40319999999997</v>
      </c>
      <c r="BW4" s="153" t="e">
        <f>BG4*BE4*BI4*BK4*BM4*BO4*BC4*BQ4*BS4*BU4*BV4</f>
        <v>#N/A</v>
      </c>
      <c r="BX4" s="153" t="s">
        <v>131</v>
      </c>
      <c r="BY4" s="153">
        <f>$BZ$2</f>
        <v>0.8</v>
      </c>
      <c r="BZ4" s="156" t="e">
        <f>ROUND(BY4*BW4,2)</f>
        <v>#N/A</v>
      </c>
      <c r="CA4" s="156" t="e">
        <f>ROUND(BZ4*BR4,2)</f>
        <v>#N/A</v>
      </c>
      <c r="CB4" s="159" t="str">
        <f>IF(Q4="","Новый объект",IF(AN4=AT4,CA4-R4,"Объект пришел из другой модели"))</f>
        <v>Новый объект</v>
      </c>
      <c r="CC4" s="159" t="str">
        <f>IF(AU4="",IF(AF4&lt;&gt;"","ОСПАРИВАНИЕ",IF(AX4&lt;&gt;"","СУД",IF(Y4="","",Y4))),AU4)</f>
        <v/>
      </c>
      <c r="CD4" s="153">
        <f>B4</f>
        <v>0</v>
      </c>
      <c r="CE4" s="153">
        <f>IF(AI4="ГОТОВ",E4,IF(AP4=AZ4,E4,IF(OR(AP4="02:010",AP4="02:011",AP4="02:020",AP4="02:021",AP4="02:023",AP4="02:030",AP4="02:031",AP4="02:019"),IF(OR(AZ4="02:010",AZ4="02:011",AZ4="02:020",AZ4="02:021",AZ4="02:023",AZ4="02:030",AZ4="02:031",AZ4="02:019"),E4,VLOOKUP(AZ4,модули!$K$27:$L$37,2,0)),IF(OR(AP4="13:021",AP4="13:011"),IF(OR(AZ4="13:021",AZ4="13:011"),E4,VLOOKUP(AZ4,модули!$K$27:$L$37,2,0)),VLOOKUP('расчетОО '!AZ4,модули!$K$27:$L$37,2,0)))))</f>
        <v>0</v>
      </c>
      <c r="CF4" s="153" t="e">
        <f>VLOOKUP(CE4,модули!$L$27:'модули'!$M$37,2,FALSE)</f>
        <v>#N/A</v>
      </c>
      <c r="CG4" s="153" t="str">
        <f>IF(F4="",IF(AZ4="13:011","Отсутствие газоснабжения",IF(AZ4="13:021","Отсутствие газоснабжения",IF(U4="наличие","Наличие газоснабжения",IF(U4="пересечение","Возможность подключения газоснабжения","Отсутствие газоснабжения")))),F4)</f>
        <v>Отсутствие газоснабжения</v>
      </c>
      <c r="CH4" s="153">
        <f>VLOOKUP(CG4,модули!$B$7:'модули'!$D$18,3,FALSE)</f>
        <v>1</v>
      </c>
      <c r="CI4" s="153" t="str">
        <f>IF(G4="",IF(V4="отсутствие","Отсутствие электроснабжения","Наличие электроснабжения"),G4)</f>
        <v>Наличие электроснабжения</v>
      </c>
      <c r="CJ4" s="153">
        <f>VLOOKUP(CI4,модули!$F$7:'модули'!$H$18,3,FALSE)</f>
        <v>4.2359</v>
      </c>
      <c r="CK4" s="153" t="s">
        <v>24</v>
      </c>
      <c r="CL4" s="153">
        <f>VLOOKUP(CK4,модули!$J$7:'модули'!$L$18,3,FALSE)</f>
        <v>1</v>
      </c>
      <c r="CM4" s="153" t="s">
        <v>26</v>
      </c>
      <c r="CN4" s="153">
        <f>VLOOKUP(CM4,модули!$N$7:'модули'!$P$18,3,FALSE)</f>
        <v>1</v>
      </c>
      <c r="CO4" s="153" t="str">
        <f>IF(K4="Наличие ЛЭП","Наличие ЛЭП","Отсутствие ЛЭП")</f>
        <v>Отсутствие ЛЭП</v>
      </c>
      <c r="CP4" s="153">
        <f>VLOOKUP(CO4,модули!$R$7:'модули'!$T$16,3,FALSE)</f>
        <v>1</v>
      </c>
      <c r="CQ4" s="153" t="str">
        <f>IF(L4="Отсутствие подъезда","Отсутствие подъезда","Наличие подъезда")</f>
        <v>Наличие подъезда</v>
      </c>
      <c r="CR4" s="153">
        <f>VLOOKUP(CQ4,модули!$V$7:'модули'!$X$17,3,FALSE)</f>
        <v>1.1229</v>
      </c>
      <c r="CS4" s="153" t="e">
        <f>IFERROR(IF(O4="",IF(P4="",VLOOKUP(C4,модули!$F$48:$G$7038,2,0),P4),O4),VLOOKUP(AB4,модули!$I$48:$J$61,2,0))</f>
        <v>#N/A</v>
      </c>
      <c r="CT4" s="153" t="e">
        <f>IFERROR(VLOOKUP(CS4,модули!$A$27:$B$41,2,0),CS4)</f>
        <v>#N/A</v>
      </c>
      <c r="CU4" s="154" t="e">
        <f>VLOOKUP(CT4,модули!$B$27:$D$41,3,FALSE)</f>
        <v>#N/A</v>
      </c>
      <c r="CV4" s="153">
        <f>T4</f>
        <v>0</v>
      </c>
      <c r="CW4" s="155">
        <f>ROUND(IF(CV4&lt;модули!$A$97,модули!$E$97,IF(CV4&gt;модули!$A$98,модули!$E$98,( 3.13069866989796E-15*CV4^4 + 6.1338708204768E-12*CV4^3- 1.95954236270195E-07*CV4^2 +  0.000387905519741556*CV4 + 0.798784147038265))),4)</f>
        <v>0.79879999999999995</v>
      </c>
      <c r="CX4" s="153" t="e">
        <f>IF(M4="",IF(N4="",VLOOKUP(CT4,модули!$F$27:$G$41,2,0),N4),M4)</f>
        <v>#N/A</v>
      </c>
      <c r="CY4" s="155" t="e">
        <f>ROUND(EXP(LN(IF(CX4&lt;модули!$H$99,модули!$I$99,IF(CX4&gt;модули!$H$100,модули!$I$100,((9.167685587011E-08*(CX4)^4+0.000015289662956704*(CX4)^3-0.00161875861673315*(CX4)^2+0.0151997782316484*(CX4)+0.962501568438211)))))*модули!$K$98),4)</f>
        <v>#N/A</v>
      </c>
      <c r="CZ4" s="153">
        <f>коэффициенты!$G$2</f>
        <v>638.40319999999997</v>
      </c>
      <c r="DA4" s="153" t="e">
        <f>CJ4*CH4*CL4*CN4*CP4*CR4*CF4*CU4*CW4*CY4*CZ4</f>
        <v>#N/A</v>
      </c>
      <c r="DB4" s="153" t="s">
        <v>131</v>
      </c>
      <c r="DC4" s="153">
        <f>$BZ$2</f>
        <v>0.8</v>
      </c>
      <c r="DD4" s="156" t="e">
        <f>ROUND(DC4*DA4,2)</f>
        <v>#N/A</v>
      </c>
      <c r="DE4" s="156" t="e">
        <f>ROUND(DD4*CV4,2)</f>
        <v>#N/A</v>
      </c>
      <c r="DF4" s="157">
        <f>8019</f>
        <v>8019</v>
      </c>
      <c r="DG4" s="172" t="s">
        <v>7910</v>
      </c>
      <c r="DH4" s="17" t="e">
        <f>IF(OR(DE4&lt;0,DE4=0),"ОТРИЦАТЕЛЬНОЕ ЗНАЧЕНИЕ",IF(DN4=0,"Пересчет не требуется","Готов"))</f>
        <v>#N/A</v>
      </c>
      <c r="DI4" s="17">
        <f>IF(AI4="ГОТОВ",AR4,AZ4)</f>
        <v>0</v>
      </c>
      <c r="DJ4" s="17" t="s">
        <v>1006</v>
      </c>
      <c r="DK4" s="17">
        <f>13</f>
        <v>13</v>
      </c>
      <c r="DL4" s="17" t="e">
        <f>VLOOKUP(DI4,'справочник ври'!$A$3:$B$271,2,0)</f>
        <v>#N/A</v>
      </c>
      <c r="DM4" s="17">
        <f>AQ4</f>
        <v>0</v>
      </c>
      <c r="DN4" s="159" t="str">
        <f>IF(ISBLANK(Q4),"Новый объект",IF(DF4=AN4,ABS(DE4-R4),"Объект из другой модели"))</f>
        <v>Новый объект</v>
      </c>
      <c r="DO4" s="159" t="str">
        <f>IF(DN4="Объект из другой модели",IF(OR(DD4&lt;85,DD4&gt;8560),"Отклонение УПКС","УПКС в допустимом интервале"),IF(DN4&lt;1000000,"Изменение менее 1 млн","Внимание!Изменение более 1млн"))</f>
        <v>Внимание!Изменение более 1млн</v>
      </c>
      <c r="DP4" s="166" t="str">
        <f>IF(O4="","Новое значение",IF(O4=CT4,"Осталось предыдущее значение ЦФ","ИЗМЕНЕНИЕ"))</f>
        <v>Новое значение</v>
      </c>
      <c r="DQ4" s="166" t="str">
        <f>IF(G4="","Новое значение",IF(CI4=G4,"Осталось предыдущее значение ЦФ","ИЗМЕНЕНИЕ"))</f>
        <v>Новое значение</v>
      </c>
      <c r="DR4" s="166" t="str">
        <f>IF(F4="","Новое значение",IF(CG4=F4,"Осталось предыдущее значение ЦФ","ИЗМЕНЕНИЕ"))</f>
        <v>Новое значение</v>
      </c>
      <c r="DS4" s="166" t="str">
        <f>IF(AJ4="не готов","ИЗМЕНЕНИЕ","Осталось предыдущее значение ЦФ")</f>
        <v>Осталось предыдущее значение ЦФ</v>
      </c>
      <c r="DT4" s="166" t="str">
        <f>IF(M4="","Новое значение",IF(CX4=M4,"Осталось предыдущее значение ЦФ","ИЗМЕНЕНИЕ"))</f>
        <v>Новое значение</v>
      </c>
      <c r="DU4" s="166" t="str">
        <f>IF(E4="","Новое значение",IF(CE4=E4,"Осталось предыдущее значение ЦФ","ИЗМЕНЕНИЕ"))</f>
        <v>Новое значение</v>
      </c>
      <c r="DV4" s="166" t="str">
        <f>IF(AI4="ГОТОВ",IF(AP4=AR4,"Осталось предыдущее значение ЦФ","ИЗМЕНЕНИЕ"),IF(AP4=AZ4,"Осталось предыдущее значение ЦФ","ИЗМЕНЕНИЕ"))</f>
        <v>Осталось предыдущее значение ЦФ</v>
      </c>
      <c r="DW4" s="166" t="str">
        <f>IF(I4="","Новое значение",IF(CK4=I4,"Осталось предыдущее значение ЦФ","ИЗМЕНЕНИЕ"))</f>
        <v>Новое значение</v>
      </c>
      <c r="DX4" s="166" t="str">
        <f>IF(H4="","Новое значение",IF(CM4=H4,"Осталось предыдущее значение ЦФ","ИЗМЕНЕНИЕ"))</f>
        <v>Новое значение</v>
      </c>
      <c r="DY4" s="166" t="str">
        <f>IF(K4="","Новое значение",IF(CO4=K4,"Осталось предыдущее значение ЦФ","ИЗМЕНЕНИЕ"))</f>
        <v>Новое значение</v>
      </c>
      <c r="DZ4" s="166" t="str">
        <f>IF(L4="","Новое значение",IF(CQ4=L4,"Осталось предыдущее значение ЦФ","ИЗМЕНЕНИЕ"))</f>
        <v>Новое значение</v>
      </c>
    </row>
    <row r="5" spans="1:130" ht="64.5" x14ac:dyDescent="0.25">
      <c r="AZ5" s="174">
        <f>IF(OR(AR5="13:021",AR5="13:011"),IF(AV5="Коттеджные_поселки","13:031",AR5),IF(OR(AR5="02:010",AR5="02:011",AR5="02:020",AR5="02:021",AR5="02:023"),IF(AV5="Коттеджные_поселки","02:019",AR5),AR5))</f>
        <v>0</v>
      </c>
      <c r="BA5" s="153">
        <f>B5</f>
        <v>0</v>
      </c>
      <c r="BB5" s="153">
        <f>E5</f>
        <v>0</v>
      </c>
      <c r="BC5" s="153" t="e">
        <f>VLOOKUP(BB5,модули!$L$27:'модули'!$M$37,2,FALSE)</f>
        <v>#N/A</v>
      </c>
      <c r="BD5" s="153">
        <f>F5</f>
        <v>0</v>
      </c>
      <c r="BE5" s="153" t="e">
        <f>VLOOKUP(BD5,модули!$B$7:'модули'!$D$18,3,FALSE)</f>
        <v>#N/A</v>
      </c>
      <c r="BF5" s="153">
        <f>G5</f>
        <v>0</v>
      </c>
      <c r="BG5" s="153" t="e">
        <f>VLOOKUP(BF5,модули!$F$7:'модули'!$H$18,3,FALSE)</f>
        <v>#N/A</v>
      </c>
      <c r="BH5" s="153">
        <f>I5</f>
        <v>0</v>
      </c>
      <c r="BI5" s="153" t="e">
        <f>VLOOKUP(BH5,модули!$J$7:'модули'!$L$18,3,FALSE)</f>
        <v>#N/A</v>
      </c>
      <c r="BJ5" s="153">
        <f>H5</f>
        <v>0</v>
      </c>
      <c r="BK5" s="153" t="e">
        <f>VLOOKUP(BJ5,модули!$N$7:'модули'!$P$18,3,FALSE)</f>
        <v>#N/A</v>
      </c>
      <c r="BL5" s="153">
        <f>K5</f>
        <v>0</v>
      </c>
      <c r="BM5" s="153" t="e">
        <f>VLOOKUP(BL5,модули!$R$7:'модули'!$T$16,3,FALSE)</f>
        <v>#N/A</v>
      </c>
      <c r="BN5" s="153">
        <f>L5</f>
        <v>0</v>
      </c>
      <c r="BO5" s="153" t="e">
        <f>VLOOKUP(BN5,модули!$V$7:'модули'!$X$17,3,FALSE)</f>
        <v>#N/A</v>
      </c>
      <c r="BP5" s="153">
        <f>O5</f>
        <v>0</v>
      </c>
      <c r="BQ5" s="154" t="e">
        <f>VLOOKUP(BP5,модули!$B$27:$D$41,3,FALSE)</f>
        <v>#N/A</v>
      </c>
      <c r="BR5" s="153">
        <f>D5</f>
        <v>0</v>
      </c>
      <c r="BS5" s="155">
        <f>ROUND(IF(BR5&lt;модули!$A$97,модули!$E$97,IF(BR5&gt;модули!$A$98,модули!$E$98,( 3.13069866989796E-15*BR5^4 + 6.1338708204768E-12*BR5^3- 1.95954236270195E-07*BR5^2 +  0.000387905519741556*BR5 + 0.798784147038265))),4)</f>
        <v>0.79879999999999995</v>
      </c>
      <c r="BT5" s="153">
        <f>M5</f>
        <v>0</v>
      </c>
      <c r="BU5" s="155">
        <f>ROUND(EXP(LN(IF(BT5&lt;модули!$H$99,модули!$I$99,IF(BT5&gt;модули!$H$100,модули!$I$100,((9.167685587011E-08*(BT5)^4+0.000015289662956704*(BT5)^3-0.00161875861673315*(BT5)^2+0.0151997782316484*(BT5)+0.962501568438211)))))*модули!$K$98),4)</f>
        <v>1</v>
      </c>
      <c r="BV5" s="153">
        <f>коэффициенты!$G$2</f>
        <v>638.40319999999997</v>
      </c>
      <c r="BW5" s="153" t="e">
        <f>BG5*BE5*BI5*BK5*BM5*BO5*BC5*BQ5*BS5*BU5*BV5</f>
        <v>#N/A</v>
      </c>
      <c r="BX5" s="153" t="s">
        <v>131</v>
      </c>
      <c r="BY5" s="153">
        <f>$BZ$2</f>
        <v>0.8</v>
      </c>
      <c r="BZ5" s="156" t="e">
        <f>ROUND(BY5*BW5,2)</f>
        <v>#N/A</v>
      </c>
      <c r="CA5" s="156" t="e">
        <f>ROUND(BZ5*BR5,2)</f>
        <v>#N/A</v>
      </c>
      <c r="CB5" s="159" t="str">
        <f>IF(Q5="","Новый объект",IF(AN5=AT5,CA5-R5,"Объект пришел из другой модели"))</f>
        <v>Новый объект</v>
      </c>
      <c r="CC5" s="159" t="str">
        <f>IF(AU5="",IF(AF5&lt;&gt;"","ОСПАРИВАНИЕ",IF(AX5&lt;&gt;"","СУД",IF(Y5="","",Y5))),AU5)</f>
        <v/>
      </c>
      <c r="CD5" s="153">
        <f>B5</f>
        <v>0</v>
      </c>
      <c r="CE5" s="153">
        <f>IF(AI5="ГОТОВ",E5,IF(AP5=AZ5,E5,IF(OR(AP5="02:010",AP5="02:011",AP5="02:020",AP5="02:021",AP5="02:023",AP5="02:030",AP5="02:031",AP5="02:019"),IF(OR(AZ5="02:010",AZ5="02:011",AZ5="02:020",AZ5="02:021",AZ5="02:023",AZ5="02:030",AZ5="02:031",AZ5="02:019"),E5,VLOOKUP(AZ5,модули!$K$27:$L$37,2,0)),IF(OR(AP5="13:021",AP5="13:011"),IF(OR(AZ5="13:021",AZ5="13:011"),E5,VLOOKUP(AZ5,модули!$K$27:$L$37,2,0)),VLOOKUP('расчетОО '!AZ5,модули!$K$27:$L$37,2,0)))))</f>
        <v>0</v>
      </c>
      <c r="CF5" s="153" t="e">
        <f>VLOOKUP(CE5,модули!$L$27:'модули'!$M$37,2,FALSE)</f>
        <v>#N/A</v>
      </c>
      <c r="CG5" s="153" t="str">
        <f>IF(F5="",IF(AZ5="13:011","Отсутствие газоснабжения",IF(AZ5="13:021","Отсутствие газоснабжения",IF(U5="наличие","Наличие газоснабжения",IF(U5="пересечение","Возможность подключения газоснабжения","Отсутствие газоснабжения")))),F5)</f>
        <v>Отсутствие газоснабжения</v>
      </c>
      <c r="CH5" s="153">
        <f>VLOOKUP(CG5,модули!$B$7:'модули'!$D$18,3,FALSE)</f>
        <v>1</v>
      </c>
      <c r="CI5" s="153" t="str">
        <f>IF(G5="",IF(V5="отсутствие","Отсутствие электроснабжения","Наличие электроснабжения"),G5)</f>
        <v>Наличие электроснабжения</v>
      </c>
      <c r="CJ5" s="153">
        <f>VLOOKUP(CI5,модули!$F$7:'модули'!$H$18,3,FALSE)</f>
        <v>4.2359</v>
      </c>
      <c r="CK5" s="153" t="s">
        <v>24</v>
      </c>
      <c r="CL5" s="153">
        <f>VLOOKUP(CK5,модули!$J$7:'модули'!$L$18,3,FALSE)</f>
        <v>1</v>
      </c>
      <c r="CM5" s="153" t="s">
        <v>26</v>
      </c>
      <c r="CN5" s="153">
        <f>VLOOKUP(CM5,модули!$N$7:'модули'!$P$18,3,FALSE)</f>
        <v>1</v>
      </c>
      <c r="CO5" s="153" t="str">
        <f>IF(K5="Наличие ЛЭП","Наличие ЛЭП","Отсутствие ЛЭП")</f>
        <v>Отсутствие ЛЭП</v>
      </c>
      <c r="CP5" s="153">
        <f>VLOOKUP(CO5,модули!$R$7:'модули'!$T$16,3,FALSE)</f>
        <v>1</v>
      </c>
      <c r="CQ5" s="153" t="str">
        <f>IF(L5="Отсутствие подъезда","Отсутствие подъезда","Наличие подъезда")</f>
        <v>Наличие подъезда</v>
      </c>
      <c r="CR5" s="153">
        <f>VLOOKUP(CQ5,модули!$V$7:'модули'!$X$17,3,FALSE)</f>
        <v>1.1229</v>
      </c>
      <c r="CS5" s="153" t="e">
        <f>IFERROR(IF(O5="",IF(P5="",VLOOKUP(C5,модули!$F$48:$G$7038,2,0),P5),O5),VLOOKUP(AB5,модули!$I$48:$J$61,2,0))</f>
        <v>#N/A</v>
      </c>
      <c r="CT5" s="153" t="e">
        <f>IFERROR(VLOOKUP(CS5,модули!$A$27:$B$41,2,0),CS5)</f>
        <v>#N/A</v>
      </c>
      <c r="CU5" s="154" t="e">
        <f>VLOOKUP(CT5,модули!$B$27:$D$41,3,FALSE)</f>
        <v>#N/A</v>
      </c>
      <c r="CV5" s="153">
        <f>T5</f>
        <v>0</v>
      </c>
      <c r="CW5" s="155">
        <f>ROUND(IF(CV5&lt;модули!$A$97,модули!$E$97,IF(CV5&gt;модули!$A$98,модули!$E$98,( 3.13069866989796E-15*CV5^4 + 6.1338708204768E-12*CV5^3- 1.95954236270195E-07*CV5^2 +  0.000387905519741556*CV5 + 0.798784147038265))),4)</f>
        <v>0.79879999999999995</v>
      </c>
      <c r="CX5" s="153" t="e">
        <f>IF(M5="",IF(N5="",VLOOKUP(CT5,модули!$F$27:$G$41,2,0),N5),M5)</f>
        <v>#N/A</v>
      </c>
      <c r="CY5" s="155" t="e">
        <f>ROUND(EXP(LN(IF(CX5&lt;модули!$H$99,модули!$I$99,IF(CX5&gt;модули!$H$100,модули!$I$100,((9.167685587011E-08*(CX5)^4+0.000015289662956704*(CX5)^3-0.00161875861673315*(CX5)^2+0.0151997782316484*(CX5)+0.962501568438211)))))*модули!$K$98),4)</f>
        <v>#N/A</v>
      </c>
      <c r="CZ5" s="153">
        <f>коэффициенты!$G$2</f>
        <v>638.40319999999997</v>
      </c>
      <c r="DA5" s="153" t="e">
        <f>CJ5*CH5*CL5*CN5*CP5*CR5*CF5*CU5*CW5*CY5*CZ5</f>
        <v>#N/A</v>
      </c>
      <c r="DB5" s="153" t="s">
        <v>131</v>
      </c>
      <c r="DC5" s="153">
        <f>$BZ$2</f>
        <v>0.8</v>
      </c>
      <c r="DD5" s="156" t="e">
        <f>ROUND(DC5*DA5,2)</f>
        <v>#N/A</v>
      </c>
      <c r="DE5" s="156" t="e">
        <f>ROUND(DD5*CV5,2)</f>
        <v>#N/A</v>
      </c>
      <c r="DF5" s="157">
        <f>8019</f>
        <v>8019</v>
      </c>
      <c r="DG5" s="172" t="s">
        <v>7910</v>
      </c>
      <c r="DH5" s="17" t="e">
        <f>IF(OR(DE5&lt;0,DE5=0),"ОТРИЦАТЕЛЬНОЕ ЗНАЧЕНИЕ",IF(DN5=0,"Пересчет не требуется","Готов"))</f>
        <v>#N/A</v>
      </c>
      <c r="DI5" s="17">
        <f>IF(AI5="ГОТОВ",AR5,AZ5)</f>
        <v>0</v>
      </c>
      <c r="DJ5" s="17" t="s">
        <v>1006</v>
      </c>
      <c r="DK5" s="17">
        <f>13</f>
        <v>13</v>
      </c>
      <c r="DL5" s="17" t="e">
        <f>VLOOKUP(DI5,'справочник ври'!$A$3:$B$271,2,0)</f>
        <v>#N/A</v>
      </c>
      <c r="DM5" s="17">
        <f>AQ5</f>
        <v>0</v>
      </c>
      <c r="DN5" s="159" t="str">
        <f>IF(ISBLANK(Q5),"Новый объект",IF(DF5=AN5,ABS(DE5-R5),"Объект из другой модели"))</f>
        <v>Новый объект</v>
      </c>
      <c r="DO5" s="159" t="str">
        <f>IF(DN5="Объект из другой модели",IF(OR(DD5&lt;85,DD5&gt;8560),"Отклонение УПКС","УПКС в допустимом интервале"),IF(DN5&lt;1000000,"Изменение менее 1 млн","Внимание!Изменение более 1млн"))</f>
        <v>Внимание!Изменение более 1млн</v>
      </c>
      <c r="DP5" s="166" t="str">
        <f>IF(O5="","Новое значение",IF(O5=CT5,"Осталось предыдущее значение ЦФ","ИЗМЕНЕНИЕ"))</f>
        <v>Новое значение</v>
      </c>
      <c r="DQ5" s="166" t="str">
        <f>IF(G5="","Новое значение",IF(CI5=G5,"Осталось предыдущее значение ЦФ","ИЗМЕНЕНИЕ"))</f>
        <v>Новое значение</v>
      </c>
      <c r="DR5" s="166" t="str">
        <f>IF(F5="","Новое значение",IF(CG5=F5,"Осталось предыдущее значение ЦФ","ИЗМЕНЕНИЕ"))</f>
        <v>Новое значение</v>
      </c>
      <c r="DS5" s="166" t="str">
        <f>IF(AJ5="не готов","ИЗМЕНЕНИЕ","Осталось предыдущее значение ЦФ")</f>
        <v>Осталось предыдущее значение ЦФ</v>
      </c>
      <c r="DT5" s="166" t="str">
        <f>IF(M5="","Новое значение",IF(CX5=M5,"Осталось предыдущее значение ЦФ","ИЗМЕНЕНИЕ"))</f>
        <v>Новое значение</v>
      </c>
      <c r="DU5" s="166" t="str">
        <f>IF(E5="","Новое значение",IF(CE5=E5,"Осталось предыдущее значение ЦФ","ИЗМЕНЕНИЕ"))</f>
        <v>Новое значение</v>
      </c>
      <c r="DV5" s="166" t="str">
        <f>IF(AI5="ГОТОВ",IF(AP5=AR5,"Осталось предыдущее значение ЦФ","ИЗМЕНЕНИЕ"),IF(AP5=AZ5,"Осталось предыдущее значение ЦФ","ИЗМЕНЕНИЕ"))</f>
        <v>Осталось предыдущее значение ЦФ</v>
      </c>
      <c r="DW5" s="166" t="str">
        <f>IF(I5="","Новое значение",IF(CK5=I5,"Осталось предыдущее значение ЦФ","ИЗМЕНЕНИЕ"))</f>
        <v>Новое значение</v>
      </c>
      <c r="DX5" s="166" t="str">
        <f>IF(H5="","Новое значение",IF(CM5=H5,"Осталось предыдущее значение ЦФ","ИЗМЕНЕНИЕ"))</f>
        <v>Новое значение</v>
      </c>
      <c r="DY5" s="166" t="str">
        <f>IF(K5="","Новое значение",IF(CO5=K5,"Осталось предыдущее значение ЦФ","ИЗМЕНЕНИЕ"))</f>
        <v>Новое значение</v>
      </c>
      <c r="DZ5" s="166" t="str">
        <f>IF(L5="","Новое значение",IF(CQ5=L5,"Осталось предыдущее значение ЦФ","ИЗМЕНЕНИЕ"))</f>
        <v>Новое значение</v>
      </c>
    </row>
    <row r="6" spans="1:130" ht="64.5" x14ac:dyDescent="0.25">
      <c r="A6" s="17" t="s">
        <v>7925</v>
      </c>
      <c r="AZ6" s="174">
        <f>IF(OR(AR6="13:021",AR6="13:011"),IF(AV6="Коттеджные_поселки","13:031",AR6),IF(OR(AR6="02:010",AR6="02:011",AR6="02:020",AR6="02:021",AR6="02:023"),IF(AV6="Коттеджные_поселки","02:019",AR6),AR6))</f>
        <v>0</v>
      </c>
      <c r="BA6" s="153">
        <f>B6</f>
        <v>0</v>
      </c>
      <c r="BB6" s="153">
        <f>E6</f>
        <v>0</v>
      </c>
      <c r="BC6" s="153" t="e">
        <f>VLOOKUP(BB6,модули!$L$27:'модули'!$M$37,2,FALSE)</f>
        <v>#N/A</v>
      </c>
      <c r="BD6" s="153">
        <f>F6</f>
        <v>0</v>
      </c>
      <c r="BE6" s="153" t="e">
        <f>VLOOKUP(BD6,модули!$B$7:'модули'!$D$18,3,FALSE)</f>
        <v>#N/A</v>
      </c>
      <c r="BF6" s="153">
        <f>G6</f>
        <v>0</v>
      </c>
      <c r="BG6" s="153" t="e">
        <f>VLOOKUP(BF6,модули!$F$7:'модули'!$H$18,3,FALSE)</f>
        <v>#N/A</v>
      </c>
      <c r="BH6" s="153">
        <f>I6</f>
        <v>0</v>
      </c>
      <c r="BI6" s="153" t="e">
        <f>VLOOKUP(BH6,модули!$J$7:'модули'!$L$18,3,FALSE)</f>
        <v>#N/A</v>
      </c>
      <c r="BJ6" s="153">
        <f>H6</f>
        <v>0</v>
      </c>
      <c r="BK6" s="153" t="e">
        <f>VLOOKUP(BJ6,модули!$N$7:'модули'!$P$18,3,FALSE)</f>
        <v>#N/A</v>
      </c>
      <c r="BL6" s="153">
        <f>K6</f>
        <v>0</v>
      </c>
      <c r="BM6" s="153" t="e">
        <f>VLOOKUP(BL6,модули!$R$7:'модули'!$T$16,3,FALSE)</f>
        <v>#N/A</v>
      </c>
      <c r="BN6" s="153">
        <f>L6</f>
        <v>0</v>
      </c>
      <c r="BO6" s="153" t="e">
        <f>VLOOKUP(BN6,модули!$V$7:'модули'!$X$17,3,FALSE)</f>
        <v>#N/A</v>
      </c>
      <c r="BP6" s="153">
        <f>O6</f>
        <v>0</v>
      </c>
      <c r="BQ6" s="154" t="e">
        <f>VLOOKUP(BP6,модули!$B$27:$D$41,3,FALSE)</f>
        <v>#N/A</v>
      </c>
      <c r="BR6" s="153">
        <f>D6</f>
        <v>0</v>
      </c>
      <c r="BS6" s="155">
        <f>ROUND(IF(BR6&lt;модули!$A$97,модули!$E$97,IF(BR6&gt;модули!$A$98,модули!$E$98,( 3.13069866989796E-15*BR6^4 + 6.1338708204768E-12*BR6^3- 1.95954236270195E-07*BR6^2 +  0.000387905519741556*BR6 + 0.798784147038265))),4)</f>
        <v>0.79879999999999995</v>
      </c>
      <c r="BT6" s="153">
        <f>M6</f>
        <v>0</v>
      </c>
      <c r="BU6" s="155">
        <f>ROUND(EXP(LN(IF(BT6&lt;модули!$H$99,модули!$I$99,IF(BT6&gt;модули!$H$100,модули!$I$100,((9.167685587011E-08*(BT6)^4+0.000015289662956704*(BT6)^3-0.00161875861673315*(BT6)^2+0.0151997782316484*(BT6)+0.962501568438211)))))*модули!$K$98),4)</f>
        <v>1</v>
      </c>
      <c r="BV6" s="153">
        <f>коэффициенты!$G$2</f>
        <v>638.40319999999997</v>
      </c>
      <c r="BW6" s="153" t="e">
        <f>BG6*BE6*BI6*BK6*BM6*BO6*BC6*BQ6*BS6*BU6*BV6</f>
        <v>#N/A</v>
      </c>
      <c r="BX6" s="153" t="s">
        <v>131</v>
      </c>
      <c r="BY6" s="153">
        <f>$BZ$2</f>
        <v>0.8</v>
      </c>
      <c r="BZ6" s="156" t="e">
        <f>ROUND(BY6*BW6,2)</f>
        <v>#N/A</v>
      </c>
      <c r="CA6" s="156" t="e">
        <f>ROUND(BZ6*BR6,2)</f>
        <v>#N/A</v>
      </c>
      <c r="CB6" s="159" t="str">
        <f>IF(Q6="","Новый объект",IF(AN6=AT6,CA6-R6,"Объект пришел из другой модели"))</f>
        <v>Новый объект</v>
      </c>
      <c r="CC6" s="159" t="str">
        <f>IF(AU6="",IF(AF6&lt;&gt;"","ОСПАРИВАНИЕ",IF(AX6&lt;&gt;"","СУД",IF(Y6="","",Y6))),AU6)</f>
        <v/>
      </c>
      <c r="CD6" s="153">
        <f>B6</f>
        <v>0</v>
      </c>
      <c r="CE6" s="153">
        <f>IF(AI6="ГОТОВ",E6,IF(AP6=AZ6,E6,IF(OR(AP6="02:010",AP6="02:011",AP6="02:020",AP6="02:021",AP6="02:023",AP6="02:030",AP6="02:031",AP6="02:019"),IF(OR(AZ6="02:010",AZ6="02:011",AZ6="02:020",AZ6="02:021",AZ6="02:023",AZ6="02:030",AZ6="02:031",AZ6="02:019"),E6,VLOOKUP(AZ6,модули!$K$27:$L$37,2,0)),IF(OR(AP6="13:021",AP6="13:011"),IF(OR(AZ6="13:021",AZ6="13:011"),E6,VLOOKUP(AZ6,модули!$K$27:$L$37,2,0)),VLOOKUP('расчетОО '!AZ6,модули!$K$27:$L$37,2,0)))))</f>
        <v>0</v>
      </c>
      <c r="CF6" s="153" t="e">
        <f>VLOOKUP(CE6,модули!$L$27:'модули'!$M$37,2,FALSE)</f>
        <v>#N/A</v>
      </c>
      <c r="CG6" s="153" t="str">
        <f>IF(F6="",IF(AZ6="13:011","Отсутствие газоснабжения",IF(AZ6="13:021","Отсутствие газоснабжения",IF(U6="наличие","Наличие газоснабжения",IF(U6="пересечение","Возможность подключения газоснабжения","Отсутствие газоснабжения")))),F6)</f>
        <v>Отсутствие газоснабжения</v>
      </c>
      <c r="CH6" s="153">
        <f>VLOOKUP(CG6,модули!$B$7:'модули'!$D$18,3,FALSE)</f>
        <v>1</v>
      </c>
      <c r="CI6" s="153" t="str">
        <f>IF(G6="",IF(V6="отсутствие","Отсутствие электроснабжения","Наличие электроснабжения"),G6)</f>
        <v>Наличие электроснабжения</v>
      </c>
      <c r="CJ6" s="153">
        <f>VLOOKUP(CI6,модули!$F$7:'модули'!$H$18,3,FALSE)</f>
        <v>4.2359</v>
      </c>
      <c r="CK6" s="153" t="s">
        <v>24</v>
      </c>
      <c r="CL6" s="153">
        <f>VLOOKUP(CK6,модули!$J$7:'модули'!$L$18,3,FALSE)</f>
        <v>1</v>
      </c>
      <c r="CM6" s="153" t="s">
        <v>26</v>
      </c>
      <c r="CN6" s="153">
        <f>VLOOKUP(CM6,модули!$N$7:'модули'!$P$18,3,FALSE)</f>
        <v>1</v>
      </c>
      <c r="CO6" s="153" t="str">
        <f>IF(K6="Наличие ЛЭП","Наличие ЛЭП","Отсутствие ЛЭП")</f>
        <v>Отсутствие ЛЭП</v>
      </c>
      <c r="CP6" s="153">
        <f>VLOOKUP(CO6,модули!$R$7:'модули'!$T$16,3,FALSE)</f>
        <v>1</v>
      </c>
      <c r="CQ6" s="153" t="str">
        <f>IF(L6="Отсутствие подъезда","Отсутствие подъезда","Наличие подъезда")</f>
        <v>Наличие подъезда</v>
      </c>
      <c r="CR6" s="153">
        <f>VLOOKUP(CQ6,модули!$V$7:'модули'!$X$17,3,FALSE)</f>
        <v>1.1229</v>
      </c>
      <c r="CS6" s="153" t="e">
        <f>IFERROR(IF(O6="",IF(P6="",VLOOKUP(C6,модули!$F$48:$G$7038,2,0),P6),O6),VLOOKUP(AB6,модули!$I$48:$J$61,2,0))</f>
        <v>#N/A</v>
      </c>
      <c r="CT6" s="153" t="e">
        <f>IFERROR(VLOOKUP(CS6,модули!$A$27:$B$41,2,0),CS6)</f>
        <v>#N/A</v>
      </c>
      <c r="CU6" s="154" t="e">
        <f>VLOOKUP(CT6,модули!$B$27:$D$41,3,FALSE)</f>
        <v>#N/A</v>
      </c>
      <c r="CV6" s="153">
        <f>T6</f>
        <v>0</v>
      </c>
      <c r="CW6" s="155">
        <f>ROUND(IF(CV6&lt;модули!$A$97,модули!$E$97,IF(CV6&gt;модули!$A$98,модули!$E$98,( 3.13069866989796E-15*CV6^4 + 6.1338708204768E-12*CV6^3- 1.95954236270195E-07*CV6^2 +  0.000387905519741556*CV6 + 0.798784147038265))),4)</f>
        <v>0.79879999999999995</v>
      </c>
      <c r="CX6" s="153" t="e">
        <f>IF(M6="",IF(N6="",VLOOKUP(CT6,модули!$F$27:$G$41,2,0),N6),M6)</f>
        <v>#N/A</v>
      </c>
      <c r="CY6" s="155" t="e">
        <f>ROUND(EXP(LN(IF(CX6&lt;модули!$H$99,модули!$I$99,IF(CX6&gt;модули!$H$100,модули!$I$100,((9.167685587011E-08*(CX6)^4+0.000015289662956704*(CX6)^3-0.00161875861673315*(CX6)^2+0.0151997782316484*(CX6)+0.962501568438211)))))*модули!$K$98),4)</f>
        <v>#N/A</v>
      </c>
      <c r="CZ6" s="153">
        <f>коэффициенты!$G$2</f>
        <v>638.40319999999997</v>
      </c>
      <c r="DA6" s="153" t="e">
        <f>CJ6*CH6*CL6*CN6*CP6*CR6*CF6*CU6*CW6*CY6*CZ6</f>
        <v>#N/A</v>
      </c>
      <c r="DB6" s="153" t="s">
        <v>131</v>
      </c>
      <c r="DC6" s="153">
        <f>$BZ$2</f>
        <v>0.8</v>
      </c>
      <c r="DD6" s="156" t="e">
        <f>ROUND(DC6*DA6,2)</f>
        <v>#N/A</v>
      </c>
      <c r="DE6" s="156" t="e">
        <f>ROUND(DD6*CV6,2)</f>
        <v>#N/A</v>
      </c>
      <c r="DF6" s="157">
        <f>8019</f>
        <v>8019</v>
      </c>
      <c r="DG6" s="172" t="s">
        <v>7910</v>
      </c>
      <c r="DH6" s="17" t="e">
        <f>IF(OR(DE6&lt;0,DE6=0),"ОТРИЦАТЕЛЬНОЕ ЗНАЧЕНИЕ",IF(DN6=0,"Пересчет не требуется","Готов"))</f>
        <v>#N/A</v>
      </c>
      <c r="DI6" s="17">
        <f>IF(AI6="ГОТОВ",AR6,AZ6)</f>
        <v>0</v>
      </c>
      <c r="DJ6" s="17" t="s">
        <v>1006</v>
      </c>
      <c r="DK6" s="17">
        <f>13</f>
        <v>13</v>
      </c>
      <c r="DL6" s="17" t="e">
        <f>VLOOKUP(DI6,'справочник ври'!$A$3:$B$271,2,0)</f>
        <v>#N/A</v>
      </c>
      <c r="DM6" s="17">
        <f>AQ6</f>
        <v>0</v>
      </c>
      <c r="DN6" s="159" t="str">
        <f>IF(ISBLANK(Q6),"Новый объект",IF(DF6=AN6,ABS(DE6-R6),"Объект из другой модели"))</f>
        <v>Новый объект</v>
      </c>
      <c r="DO6" s="159" t="str">
        <f>IF(DN6="Объект из другой модели",IF(OR(DD6&lt;85,DD6&gt;8560),"Отклонение УПКС","УПКС в допустимом интервале"),IF(DN6&lt;1000000,"Изменение менее 1 млн","Внимание!Изменение более 1млн"))</f>
        <v>Внимание!Изменение более 1млн</v>
      </c>
      <c r="DP6" s="166" t="str">
        <f>IF(O6="","Новое значение",IF(O6=CT6,"Осталось предыдущее значение ЦФ","ИЗМЕНЕНИЕ"))</f>
        <v>Новое значение</v>
      </c>
      <c r="DQ6" s="166" t="str">
        <f>IF(G6="","Новое значение",IF(CI6=G6,"Осталось предыдущее значение ЦФ","ИЗМЕНЕНИЕ"))</f>
        <v>Новое значение</v>
      </c>
      <c r="DR6" s="166" t="str">
        <f>IF(F6="","Новое значение",IF(CG6=F6,"Осталось предыдущее значение ЦФ","ИЗМЕНЕНИЕ"))</f>
        <v>Новое значение</v>
      </c>
      <c r="DS6" s="166" t="str">
        <f>IF(AJ6="не готов","ИЗМЕНЕНИЕ","Осталось предыдущее значение ЦФ")</f>
        <v>Осталось предыдущее значение ЦФ</v>
      </c>
      <c r="DT6" s="166" t="str">
        <f>IF(M6="","Новое значение",IF(CX6=M6,"Осталось предыдущее значение ЦФ","ИЗМЕНЕНИЕ"))</f>
        <v>Новое значение</v>
      </c>
      <c r="DU6" s="166" t="str">
        <f>IF(E6="","Новое значение",IF(CE6=E6,"Осталось предыдущее значение ЦФ","ИЗМЕНЕНИЕ"))</f>
        <v>Новое значение</v>
      </c>
      <c r="DV6" s="166" t="str">
        <f>IF(AI6="ГОТОВ",IF(AP6=AR6,"Осталось предыдущее значение ЦФ","ИЗМЕНЕНИЕ"),IF(AP6=AZ6,"Осталось предыдущее значение ЦФ","ИЗМЕНЕНИЕ"))</f>
        <v>Осталось предыдущее значение ЦФ</v>
      </c>
      <c r="DW6" s="166" t="str">
        <f>IF(I6="","Новое значение",IF(CK6=I6,"Осталось предыдущее значение ЦФ","ИЗМЕНЕНИЕ"))</f>
        <v>Новое значение</v>
      </c>
      <c r="DX6" s="166" t="str">
        <f>IF(H6="","Новое значение",IF(CM6=H6,"Осталось предыдущее значение ЦФ","ИЗМЕНЕНИЕ"))</f>
        <v>Новое значение</v>
      </c>
      <c r="DY6" s="166" t="str">
        <f>IF(K6="","Новое значение",IF(CO6=K6,"Осталось предыдущее значение ЦФ","ИЗМЕНЕНИЕ"))</f>
        <v>Новое значение</v>
      </c>
      <c r="DZ6" s="166" t="str">
        <f>IF(L6="","Новое значение",IF(CQ6=L6,"Осталось предыдущее значение ЦФ","ИЗМЕНЕНИЕ"))</f>
        <v>Новое значение</v>
      </c>
    </row>
  </sheetData>
  <mergeCells count="30">
    <mergeCell ref="CB1:CC1"/>
    <mergeCell ref="DN1:DZ1"/>
    <mergeCell ref="DU2:DV2"/>
    <mergeCell ref="CV2:CW2"/>
    <mergeCell ref="CX2:CY2"/>
    <mergeCell ref="DA2:DA3"/>
    <mergeCell ref="DB2:DC2"/>
    <mergeCell ref="CB2:CC2"/>
    <mergeCell ref="CK2:CL2"/>
    <mergeCell ref="CM2:CN2"/>
    <mergeCell ref="CO2:CP2"/>
    <mergeCell ref="CQ2:CR2"/>
    <mergeCell ref="CS2:CU2"/>
    <mergeCell ref="CD2:CD3"/>
    <mergeCell ref="CE2:CF2"/>
    <mergeCell ref="CG2:CH2"/>
    <mergeCell ref="CI2:CJ2"/>
    <mergeCell ref="BX2:BY2"/>
    <mergeCell ref="BH2:BI2"/>
    <mergeCell ref="BA2:BA3"/>
    <mergeCell ref="BB2:BC2"/>
    <mergeCell ref="BD2:BE2"/>
    <mergeCell ref="BF2:BG2"/>
    <mergeCell ref="BW2:BW3"/>
    <mergeCell ref="BJ2:BK2"/>
    <mergeCell ref="BL2:BM2"/>
    <mergeCell ref="BN2:BO2"/>
    <mergeCell ref="BP2:BQ2"/>
    <mergeCell ref="BR2:BS2"/>
    <mergeCell ref="BT2:BU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R52"/>
  <sheetViews>
    <sheetView workbookViewId="0"/>
  </sheetViews>
  <sheetFormatPr defaultColWidth="9.140625" defaultRowHeight="12.75" x14ac:dyDescent="0.2"/>
  <cols>
    <col min="1" max="1" width="6.85546875" style="37" customWidth="1"/>
    <col min="2" max="2" width="44.7109375" style="37" customWidth="1"/>
    <col min="3" max="3" width="14.28515625" style="37" customWidth="1"/>
    <col min="4" max="4" width="9.140625" style="81" customWidth="1"/>
    <col min="5" max="5" width="23.28515625" style="37" customWidth="1"/>
    <col min="6" max="6" width="22" style="82" hidden="1" customWidth="1"/>
    <col min="7" max="7" width="15.7109375" style="83" customWidth="1"/>
    <col min="8" max="8" width="15.7109375" style="84" customWidth="1"/>
    <col min="9" max="9" width="15.7109375" style="85" customWidth="1"/>
    <col min="10" max="10" width="7.5703125" style="37" customWidth="1"/>
    <col min="11" max="11" width="7.42578125" style="37" customWidth="1"/>
    <col min="12" max="12" width="7.28515625" style="37" customWidth="1"/>
    <col min="13" max="13" width="9.140625" style="37" customWidth="1"/>
    <col min="14" max="14" width="9.140625" style="37" hidden="1" customWidth="1"/>
    <col min="15" max="15" width="9.140625" style="37"/>
    <col min="16" max="16" width="19.7109375" style="37" hidden="1" customWidth="1"/>
    <col min="17" max="17" width="0" style="37" hidden="1" customWidth="1"/>
    <col min="18" max="16384" width="9.140625" style="37"/>
  </cols>
  <sheetData>
    <row r="1" spans="1:18" ht="99" customHeight="1" x14ac:dyDescent="0.2">
      <c r="A1" s="30" t="s">
        <v>102</v>
      </c>
      <c r="B1" s="30" t="s">
        <v>103</v>
      </c>
      <c r="C1" s="30" t="s">
        <v>104</v>
      </c>
      <c r="D1" s="30" t="s">
        <v>95</v>
      </c>
      <c r="E1" s="30" t="s">
        <v>96</v>
      </c>
      <c r="F1" s="31" t="s">
        <v>105</v>
      </c>
      <c r="G1" s="32" t="s">
        <v>106</v>
      </c>
      <c r="H1" s="33" t="s">
        <v>107</v>
      </c>
      <c r="I1" s="34" t="s">
        <v>108</v>
      </c>
      <c r="J1" s="30" t="s">
        <v>109</v>
      </c>
      <c r="K1" s="30" t="s">
        <v>110</v>
      </c>
      <c r="L1" s="30" t="s">
        <v>111</v>
      </c>
      <c r="M1" s="30" t="s">
        <v>112</v>
      </c>
      <c r="N1" s="35"/>
      <c r="O1" s="30" t="s">
        <v>113</v>
      </c>
      <c r="P1" s="36" t="s">
        <v>114</v>
      </c>
    </row>
    <row r="2" spans="1:18" ht="15" x14ac:dyDescent="0.25">
      <c r="A2" s="38"/>
      <c r="B2" s="39"/>
      <c r="C2" s="39"/>
      <c r="D2" s="38"/>
      <c r="E2" s="39"/>
      <c r="F2" s="17">
        <v>6.4589699999999999</v>
      </c>
      <c r="G2" s="40">
        <f>ROUND(EXP(F2),4)</f>
        <v>638.40319999999997</v>
      </c>
      <c r="H2" s="41"/>
      <c r="I2" s="42"/>
      <c r="J2" s="39"/>
      <c r="K2" s="39"/>
      <c r="L2" s="39"/>
      <c r="M2" s="39"/>
      <c r="O2" s="39"/>
      <c r="P2" s="43"/>
    </row>
    <row r="3" spans="1:18" ht="39" customHeight="1" x14ac:dyDescent="0.2">
      <c r="A3" s="44">
        <v>8019</v>
      </c>
      <c r="B3" s="45" t="s">
        <v>69</v>
      </c>
      <c r="C3" s="44" t="s">
        <v>115</v>
      </c>
      <c r="D3" s="38" t="s">
        <v>0</v>
      </c>
      <c r="E3" s="45" t="s">
        <v>80</v>
      </c>
      <c r="F3" s="46">
        <v>0</v>
      </c>
      <c r="G3" s="40">
        <f t="shared" ref="G3:G34" si="0">ROUND(EXP(F3),4)</f>
        <v>1</v>
      </c>
      <c r="H3" s="41"/>
      <c r="I3" s="42"/>
      <c r="J3" s="39"/>
      <c r="K3" s="39"/>
      <c r="L3" s="39"/>
      <c r="M3" s="39"/>
      <c r="N3" s="47"/>
      <c r="O3" s="203" t="s">
        <v>116</v>
      </c>
      <c r="P3" s="43">
        <f>F3</f>
        <v>0</v>
      </c>
    </row>
    <row r="4" spans="1:18" ht="25.5" x14ac:dyDescent="0.25">
      <c r="A4" s="44">
        <v>8019</v>
      </c>
      <c r="B4" s="48"/>
      <c r="C4" s="49"/>
      <c r="D4" s="38" t="s">
        <v>1</v>
      </c>
      <c r="E4" s="45" t="s">
        <v>81</v>
      </c>
      <c r="F4" s="17">
        <v>0.13278999999999999</v>
      </c>
      <c r="G4" s="40">
        <f t="shared" si="0"/>
        <v>1.1419999999999999</v>
      </c>
      <c r="H4" s="41"/>
      <c r="I4" s="42"/>
      <c r="J4" s="39"/>
      <c r="K4" s="39"/>
      <c r="L4" s="39"/>
      <c r="M4" s="39"/>
      <c r="N4" s="47"/>
      <c r="O4" s="204"/>
      <c r="P4" s="43">
        <f>F4</f>
        <v>0.13278999999999999</v>
      </c>
    </row>
    <row r="5" spans="1:18" ht="25.5" x14ac:dyDescent="0.25">
      <c r="A5" s="44">
        <v>8019</v>
      </c>
      <c r="B5" s="50"/>
      <c r="C5" s="51"/>
      <c r="D5" s="38" t="s">
        <v>2</v>
      </c>
      <c r="E5" s="45" t="s">
        <v>82</v>
      </c>
      <c r="F5" s="17">
        <v>0.46542</v>
      </c>
      <c r="G5" s="40">
        <f t="shared" si="0"/>
        <v>1.5927</v>
      </c>
      <c r="H5" s="41"/>
      <c r="I5" s="42"/>
      <c r="J5" s="39"/>
      <c r="K5" s="39"/>
      <c r="L5" s="39"/>
      <c r="M5" s="39"/>
      <c r="N5" s="47"/>
      <c r="O5" s="205"/>
      <c r="P5" s="43">
        <f>F5</f>
        <v>0.46542</v>
      </c>
    </row>
    <row r="6" spans="1:18" ht="15" x14ac:dyDescent="0.25">
      <c r="A6" s="44">
        <v>8019</v>
      </c>
      <c r="B6" s="45" t="s">
        <v>3</v>
      </c>
      <c r="C6" s="44" t="s">
        <v>115</v>
      </c>
      <c r="D6" s="52" t="s">
        <v>5</v>
      </c>
      <c r="E6" s="45" t="s">
        <v>4</v>
      </c>
      <c r="F6" s="17">
        <v>0.79251000000000005</v>
      </c>
      <c r="G6" s="40">
        <f t="shared" si="0"/>
        <v>2.2088999999999999</v>
      </c>
      <c r="H6" s="41"/>
      <c r="I6" s="42"/>
      <c r="J6" s="39"/>
      <c r="K6" s="39"/>
      <c r="L6" s="39"/>
      <c r="M6" s="39"/>
      <c r="N6" s="47"/>
      <c r="O6" s="203" t="s">
        <v>117</v>
      </c>
      <c r="P6" s="43">
        <f>F6</f>
        <v>0.79251000000000005</v>
      </c>
    </row>
    <row r="7" spans="1:18" ht="29.25" customHeight="1" x14ac:dyDescent="0.25">
      <c r="A7" s="44">
        <v>8019</v>
      </c>
      <c r="B7" s="48"/>
      <c r="C7" s="49"/>
      <c r="D7" s="52" t="s">
        <v>6</v>
      </c>
      <c r="E7" s="45" t="s">
        <v>93</v>
      </c>
      <c r="F7" s="17">
        <v>0.13241</v>
      </c>
      <c r="G7" s="40">
        <f t="shared" si="0"/>
        <v>1.1415999999999999</v>
      </c>
      <c r="H7" s="41"/>
      <c r="I7" s="42"/>
      <c r="J7" s="39"/>
      <c r="K7" s="39"/>
      <c r="L7" s="39"/>
      <c r="M7" s="39"/>
      <c r="N7" s="47"/>
      <c r="O7" s="204"/>
      <c r="P7" s="43">
        <f>F7</f>
        <v>0.13241</v>
      </c>
    </row>
    <row r="8" spans="1:18" x14ac:dyDescent="0.2">
      <c r="A8" s="44">
        <v>8019</v>
      </c>
      <c r="B8" s="50"/>
      <c r="C8" s="51"/>
      <c r="D8" s="52" t="s">
        <v>7</v>
      </c>
      <c r="E8" s="45" t="s">
        <v>46</v>
      </c>
      <c r="F8" s="46">
        <f>ROUND(P8,4)</f>
        <v>0</v>
      </c>
      <c r="G8" s="40">
        <f t="shared" si="0"/>
        <v>1</v>
      </c>
      <c r="H8" s="41"/>
      <c r="I8" s="42"/>
      <c r="J8" s="39"/>
      <c r="K8" s="39"/>
      <c r="L8" s="39"/>
      <c r="M8" s="39"/>
      <c r="N8" s="47"/>
      <c r="O8" s="205"/>
      <c r="P8" s="43"/>
    </row>
    <row r="9" spans="1:18" ht="25.5" x14ac:dyDescent="0.25">
      <c r="A9" s="44">
        <v>8019</v>
      </c>
      <c r="B9" s="45" t="s">
        <v>8</v>
      </c>
      <c r="C9" s="44" t="s">
        <v>115</v>
      </c>
      <c r="D9" s="52" t="s">
        <v>5</v>
      </c>
      <c r="E9" s="45" t="s">
        <v>9</v>
      </c>
      <c r="F9" s="17">
        <v>1.4436</v>
      </c>
      <c r="G9" s="40">
        <f t="shared" si="0"/>
        <v>4.2359</v>
      </c>
      <c r="H9" s="41"/>
      <c r="I9" s="42"/>
      <c r="J9" s="39"/>
      <c r="K9" s="39"/>
      <c r="L9" s="39"/>
      <c r="M9" s="39"/>
      <c r="N9" s="47"/>
      <c r="O9" s="203" t="s">
        <v>118</v>
      </c>
      <c r="P9" s="43">
        <f t="shared" ref="P9:P19" si="1">F9</f>
        <v>1.4436</v>
      </c>
      <c r="R9" s="126"/>
    </row>
    <row r="10" spans="1:18" ht="27.75" customHeight="1" x14ac:dyDescent="0.25">
      <c r="A10" s="44">
        <v>8019</v>
      </c>
      <c r="B10" s="48"/>
      <c r="C10" s="49"/>
      <c r="D10" s="52" t="s">
        <v>6</v>
      </c>
      <c r="E10" s="45" t="s">
        <v>99</v>
      </c>
      <c r="F10" s="17">
        <v>1.14025</v>
      </c>
      <c r="G10" s="40">
        <f t="shared" si="0"/>
        <v>3.1276000000000002</v>
      </c>
      <c r="H10" s="41"/>
      <c r="I10" s="42"/>
      <c r="J10" s="39"/>
      <c r="K10" s="39"/>
      <c r="L10" s="39"/>
      <c r="M10" s="39"/>
      <c r="N10" s="47"/>
      <c r="O10" s="204"/>
      <c r="P10" s="43">
        <f t="shared" si="1"/>
        <v>1.14025</v>
      </c>
    </row>
    <row r="11" spans="1:18" ht="25.5" x14ac:dyDescent="0.2">
      <c r="A11" s="44">
        <v>8019</v>
      </c>
      <c r="B11" s="48"/>
      <c r="C11" s="49"/>
      <c r="D11" s="52" t="s">
        <v>7</v>
      </c>
      <c r="E11" s="45" t="s">
        <v>49</v>
      </c>
      <c r="F11" s="53">
        <v>0</v>
      </c>
      <c r="G11" s="40">
        <f t="shared" si="0"/>
        <v>1</v>
      </c>
      <c r="H11" s="41"/>
      <c r="I11" s="42"/>
      <c r="J11" s="44"/>
      <c r="K11" s="44"/>
      <c r="L11" s="44"/>
      <c r="M11" s="44"/>
      <c r="N11" s="47"/>
      <c r="O11" s="205"/>
      <c r="P11" s="43">
        <f t="shared" si="1"/>
        <v>0</v>
      </c>
    </row>
    <row r="12" spans="1:18" ht="21.75" customHeight="1" x14ac:dyDescent="0.25">
      <c r="A12" s="44">
        <v>8019</v>
      </c>
      <c r="B12" s="54" t="s">
        <v>23</v>
      </c>
      <c r="C12" s="44" t="s">
        <v>115</v>
      </c>
      <c r="D12" s="52" t="s">
        <v>5</v>
      </c>
      <c r="E12" s="45" t="s">
        <v>10</v>
      </c>
      <c r="F12" s="17">
        <v>0.45966000000000001</v>
      </c>
      <c r="G12" s="40">
        <f t="shared" si="0"/>
        <v>1.5834999999999999</v>
      </c>
      <c r="H12" s="41"/>
      <c r="I12" s="42"/>
      <c r="J12" s="39"/>
      <c r="K12" s="39"/>
      <c r="L12" s="39"/>
      <c r="M12" s="39"/>
      <c r="N12" s="55"/>
      <c r="O12" s="203" t="s">
        <v>119</v>
      </c>
      <c r="P12" s="56">
        <f t="shared" si="1"/>
        <v>0.45966000000000001</v>
      </c>
    </row>
    <row r="13" spans="1:18" ht="25.5" customHeight="1" x14ac:dyDescent="0.2">
      <c r="A13" s="44">
        <v>8019</v>
      </c>
      <c r="B13" s="57"/>
      <c r="C13" s="51"/>
      <c r="D13" s="52" t="s">
        <v>7</v>
      </c>
      <c r="E13" s="45" t="s">
        <v>24</v>
      </c>
      <c r="F13" s="46">
        <v>0</v>
      </c>
      <c r="G13" s="40">
        <f t="shared" si="0"/>
        <v>1</v>
      </c>
      <c r="H13" s="41"/>
      <c r="I13" s="42"/>
      <c r="J13" s="39"/>
      <c r="K13" s="39"/>
      <c r="L13" s="39"/>
      <c r="M13" s="39"/>
      <c r="N13" s="55"/>
      <c r="O13" s="205"/>
      <c r="P13" s="56">
        <f t="shared" si="1"/>
        <v>0</v>
      </c>
    </row>
    <row r="14" spans="1:18" ht="23.25" customHeight="1" x14ac:dyDescent="0.25">
      <c r="A14" s="44">
        <v>8019</v>
      </c>
      <c r="B14" s="48" t="s">
        <v>25</v>
      </c>
      <c r="C14" s="44" t="s">
        <v>115</v>
      </c>
      <c r="D14" s="52" t="s">
        <v>5</v>
      </c>
      <c r="E14" s="45" t="s">
        <v>13</v>
      </c>
      <c r="F14" s="17">
        <v>0.14116000000000001</v>
      </c>
      <c r="G14" s="40">
        <f t="shared" si="0"/>
        <v>1.1516</v>
      </c>
      <c r="H14" s="58"/>
      <c r="I14" s="59"/>
      <c r="J14" s="51"/>
      <c r="K14" s="51"/>
      <c r="L14" s="51"/>
      <c r="M14" s="51"/>
      <c r="N14" s="47"/>
      <c r="O14" s="203" t="s">
        <v>120</v>
      </c>
      <c r="P14" s="56">
        <f t="shared" si="1"/>
        <v>0.14116000000000001</v>
      </c>
    </row>
    <row r="15" spans="1:18" ht="24" customHeight="1" x14ac:dyDescent="0.2">
      <c r="A15" s="44">
        <v>8019</v>
      </c>
      <c r="B15" s="50"/>
      <c r="C15" s="51"/>
      <c r="D15" s="52" t="s">
        <v>7</v>
      </c>
      <c r="E15" s="45" t="s">
        <v>26</v>
      </c>
      <c r="F15" s="46">
        <v>0</v>
      </c>
      <c r="G15" s="40">
        <f t="shared" si="0"/>
        <v>1</v>
      </c>
      <c r="H15" s="41"/>
      <c r="I15" s="42"/>
      <c r="J15" s="39"/>
      <c r="K15" s="39"/>
      <c r="L15" s="39"/>
      <c r="M15" s="39"/>
      <c r="N15" s="47"/>
      <c r="O15" s="205"/>
      <c r="P15" s="56">
        <f t="shared" si="1"/>
        <v>0</v>
      </c>
    </row>
    <row r="16" spans="1:18" ht="31.5" customHeight="1" x14ac:dyDescent="0.25">
      <c r="A16" s="44">
        <v>8019</v>
      </c>
      <c r="B16" s="48" t="s">
        <v>78</v>
      </c>
      <c r="C16" s="44" t="s">
        <v>115</v>
      </c>
      <c r="D16" s="52" t="s">
        <v>5</v>
      </c>
      <c r="E16" s="45" t="s">
        <v>41</v>
      </c>
      <c r="F16" s="17">
        <v>-0.30695</v>
      </c>
      <c r="G16" s="40">
        <f t="shared" si="0"/>
        <v>0.73570000000000002</v>
      </c>
      <c r="H16" s="41"/>
      <c r="I16" s="42"/>
      <c r="J16" s="39"/>
      <c r="K16" s="39"/>
      <c r="L16" s="39"/>
      <c r="M16" s="39"/>
      <c r="N16" s="47"/>
      <c r="O16" s="203" t="s">
        <v>121</v>
      </c>
      <c r="P16" s="56">
        <f t="shared" si="1"/>
        <v>-0.30695</v>
      </c>
      <c r="R16" s="127"/>
    </row>
    <row r="17" spans="1:16" ht="21.75" customHeight="1" x14ac:dyDescent="0.2">
      <c r="A17" s="44">
        <v>8019</v>
      </c>
      <c r="B17" s="50"/>
      <c r="C17" s="51"/>
      <c r="D17" s="52" t="s">
        <v>7</v>
      </c>
      <c r="E17" s="45" t="s">
        <v>14</v>
      </c>
      <c r="F17" s="46">
        <v>0</v>
      </c>
      <c r="G17" s="40">
        <f t="shared" si="0"/>
        <v>1</v>
      </c>
      <c r="H17" s="41"/>
      <c r="I17" s="42"/>
      <c r="J17" s="39"/>
      <c r="K17" s="39"/>
      <c r="L17" s="39"/>
      <c r="M17" s="39"/>
      <c r="N17" s="47"/>
      <c r="O17" s="205"/>
      <c r="P17" s="56">
        <f t="shared" si="1"/>
        <v>0</v>
      </c>
    </row>
    <row r="18" spans="1:16" ht="24" customHeight="1" x14ac:dyDescent="0.25">
      <c r="A18" s="44">
        <v>8019</v>
      </c>
      <c r="B18" s="48" t="s">
        <v>79</v>
      </c>
      <c r="C18" s="44" t="s">
        <v>115</v>
      </c>
      <c r="D18" s="52" t="s">
        <v>5</v>
      </c>
      <c r="E18" s="45" t="s">
        <v>75</v>
      </c>
      <c r="F18" s="17">
        <v>0.11591</v>
      </c>
      <c r="G18" s="40">
        <f t="shared" si="0"/>
        <v>1.1229</v>
      </c>
      <c r="H18" s="41"/>
      <c r="I18" s="42"/>
      <c r="J18" s="39"/>
      <c r="K18" s="39"/>
      <c r="L18" s="39"/>
      <c r="M18" s="39"/>
      <c r="N18" s="47"/>
      <c r="O18" s="203" t="s">
        <v>122</v>
      </c>
      <c r="P18" s="56">
        <f t="shared" si="1"/>
        <v>0.11591</v>
      </c>
    </row>
    <row r="19" spans="1:16" ht="18" customHeight="1" x14ac:dyDescent="0.2">
      <c r="A19" s="44">
        <v>8019</v>
      </c>
      <c r="B19" s="48"/>
      <c r="C19" s="49"/>
      <c r="D19" s="52" t="s">
        <v>7</v>
      </c>
      <c r="E19" s="45" t="s">
        <v>76</v>
      </c>
      <c r="F19" s="46">
        <v>0</v>
      </c>
      <c r="G19" s="40">
        <f t="shared" si="0"/>
        <v>1</v>
      </c>
      <c r="H19" s="41"/>
      <c r="I19" s="42"/>
      <c r="J19" s="39"/>
      <c r="K19" s="39"/>
      <c r="L19" s="39"/>
      <c r="M19" s="39"/>
      <c r="N19" s="47"/>
      <c r="O19" s="205"/>
      <c r="P19" s="56">
        <f t="shared" si="1"/>
        <v>0</v>
      </c>
    </row>
    <row r="20" spans="1:16" ht="21" customHeight="1" x14ac:dyDescent="0.25">
      <c r="A20" s="44">
        <v>8019</v>
      </c>
      <c r="B20" s="48" t="s">
        <v>15</v>
      </c>
      <c r="C20" s="44" t="s">
        <v>115</v>
      </c>
      <c r="D20" s="60" t="s">
        <v>191</v>
      </c>
      <c r="E20" s="128" t="s">
        <v>192</v>
      </c>
      <c r="F20" s="46">
        <v>-0.78651000000000004</v>
      </c>
      <c r="G20" s="40">
        <f t="shared" si="0"/>
        <v>0.45540000000000003</v>
      </c>
      <c r="H20" s="41"/>
      <c r="I20" s="42"/>
      <c r="J20" s="39"/>
      <c r="K20" s="39"/>
      <c r="L20" s="39"/>
      <c r="M20" s="39"/>
      <c r="N20" s="47"/>
      <c r="O20" s="203" t="s">
        <v>123</v>
      </c>
      <c r="P20" s="43">
        <f>F20</f>
        <v>-0.78651000000000004</v>
      </c>
    </row>
    <row r="21" spans="1:16" ht="15" x14ac:dyDescent="0.25">
      <c r="A21" s="44">
        <v>8019</v>
      </c>
      <c r="B21" s="49"/>
      <c r="C21" s="49"/>
      <c r="D21" s="60" t="s">
        <v>193</v>
      </c>
      <c r="E21" s="128" t="s">
        <v>194</v>
      </c>
      <c r="F21" s="46">
        <v>-1.3941300000000001</v>
      </c>
      <c r="G21" s="40">
        <f t="shared" si="0"/>
        <v>0.248</v>
      </c>
      <c r="H21" s="41"/>
      <c r="I21" s="42"/>
      <c r="J21" s="61"/>
      <c r="K21" s="61"/>
      <c r="L21" s="61"/>
      <c r="M21" s="61"/>
      <c r="N21" s="62"/>
      <c r="O21" s="204"/>
      <c r="P21" s="43">
        <f>F21</f>
        <v>-1.3941300000000001</v>
      </c>
    </row>
    <row r="22" spans="1:16" ht="15" x14ac:dyDescent="0.25">
      <c r="A22" s="44">
        <v>8019</v>
      </c>
      <c r="B22" s="49"/>
      <c r="C22" s="49"/>
      <c r="D22" s="60" t="s">
        <v>195</v>
      </c>
      <c r="E22" s="128" t="s">
        <v>196</v>
      </c>
      <c r="F22" s="46">
        <v>-0.95814999999999995</v>
      </c>
      <c r="G22" s="40">
        <f t="shared" si="0"/>
        <v>0.3836</v>
      </c>
      <c r="H22" s="41"/>
      <c r="I22" s="42"/>
      <c r="J22" s="61"/>
      <c r="K22" s="61"/>
      <c r="L22" s="61"/>
      <c r="M22" s="61"/>
      <c r="N22" s="62"/>
      <c r="O22" s="204"/>
      <c r="P22" s="43">
        <f>F22</f>
        <v>-0.95814999999999995</v>
      </c>
    </row>
    <row r="23" spans="1:16" ht="15" x14ac:dyDescent="0.25">
      <c r="A23" s="44">
        <v>8019</v>
      </c>
      <c r="B23" s="49"/>
      <c r="C23" s="49"/>
      <c r="D23" s="60" t="s">
        <v>197</v>
      </c>
      <c r="E23" s="128" t="s">
        <v>198</v>
      </c>
      <c r="F23" s="46">
        <v>-1.5239799999999999</v>
      </c>
      <c r="G23" s="40">
        <f t="shared" si="0"/>
        <v>0.21779999999999999</v>
      </c>
      <c r="H23" s="41"/>
      <c r="I23" s="42"/>
      <c r="J23" s="61"/>
      <c r="K23" s="61"/>
      <c r="L23" s="61"/>
      <c r="M23" s="61"/>
      <c r="N23" s="62"/>
      <c r="O23" s="204"/>
      <c r="P23" s="43">
        <f>F23</f>
        <v>-1.5239799999999999</v>
      </c>
    </row>
    <row r="24" spans="1:16" ht="15" x14ac:dyDescent="0.25">
      <c r="A24" s="44">
        <v>8019</v>
      </c>
      <c r="B24" s="49"/>
      <c r="C24" s="49"/>
      <c r="D24" s="60" t="s">
        <v>199</v>
      </c>
      <c r="E24" s="128" t="s">
        <v>200</v>
      </c>
      <c r="F24" s="46">
        <v>-1.3941300000000001</v>
      </c>
      <c r="G24" s="40">
        <f t="shared" si="0"/>
        <v>0.248</v>
      </c>
      <c r="H24" s="41"/>
      <c r="I24" s="42"/>
      <c r="J24" s="61"/>
      <c r="K24" s="61"/>
      <c r="L24" s="61"/>
      <c r="M24" s="61"/>
      <c r="N24" s="62"/>
      <c r="O24" s="204"/>
      <c r="P24" s="43"/>
    </row>
    <row r="25" spans="1:16" x14ac:dyDescent="0.2">
      <c r="A25" s="44">
        <v>8019</v>
      </c>
      <c r="B25" s="49"/>
      <c r="C25" s="49"/>
      <c r="D25" s="60" t="s">
        <v>201</v>
      </c>
      <c r="E25" s="61" t="s">
        <v>202</v>
      </c>
      <c r="F25" s="46">
        <v>-1.3809400000000001</v>
      </c>
      <c r="G25" s="40">
        <f>ROUND(EXP(F25),4)</f>
        <v>0.25130000000000002</v>
      </c>
      <c r="H25" s="41"/>
      <c r="I25" s="42"/>
      <c r="J25" s="61"/>
      <c r="K25" s="61"/>
      <c r="L25" s="61"/>
      <c r="M25" s="61"/>
      <c r="N25" s="62"/>
      <c r="O25" s="204"/>
      <c r="P25" s="43"/>
    </row>
    <row r="26" spans="1:16" x14ac:dyDescent="0.2">
      <c r="A26" s="44">
        <v>8019</v>
      </c>
      <c r="B26" s="49"/>
      <c r="C26" s="49"/>
      <c r="D26" s="60" t="s">
        <v>203</v>
      </c>
      <c r="E26" s="61" t="s">
        <v>204</v>
      </c>
      <c r="F26" s="46">
        <v>-1.53773</v>
      </c>
      <c r="G26" s="40">
        <f>ROUND(EXP(F26),4)</f>
        <v>0.21490000000000001</v>
      </c>
      <c r="H26" s="41"/>
      <c r="I26" s="42"/>
      <c r="J26" s="61"/>
      <c r="K26" s="61"/>
      <c r="L26" s="61"/>
      <c r="M26" s="61"/>
      <c r="N26" s="62"/>
      <c r="O26" s="204"/>
      <c r="P26" s="43"/>
    </row>
    <row r="27" spans="1:16" ht="15" x14ac:dyDescent="0.25">
      <c r="A27" s="44">
        <v>8019</v>
      </c>
      <c r="B27" s="49"/>
      <c r="C27" s="49"/>
      <c r="D27" s="60" t="s">
        <v>86</v>
      </c>
      <c r="E27" s="128" t="s">
        <v>87</v>
      </c>
      <c r="F27" s="46">
        <v>-1.48756</v>
      </c>
      <c r="G27" s="40">
        <f t="shared" si="0"/>
        <v>0.22589999999999999</v>
      </c>
      <c r="H27" s="41"/>
      <c r="I27" s="42"/>
      <c r="J27" s="61"/>
      <c r="K27" s="61"/>
      <c r="L27" s="61"/>
      <c r="M27" s="61"/>
      <c r="N27" s="62"/>
      <c r="O27" s="204"/>
      <c r="P27" s="43"/>
    </row>
    <row r="28" spans="1:16" ht="15" x14ac:dyDescent="0.25">
      <c r="A28" s="44">
        <v>8019</v>
      </c>
      <c r="B28" s="49"/>
      <c r="C28" s="49"/>
      <c r="D28" s="60" t="s">
        <v>205</v>
      </c>
      <c r="E28" s="128" t="s">
        <v>206</v>
      </c>
      <c r="F28" s="46">
        <v>-1.5194399999999999</v>
      </c>
      <c r="G28" s="40">
        <f t="shared" si="0"/>
        <v>0.21879999999999999</v>
      </c>
      <c r="H28" s="41"/>
      <c r="I28" s="42"/>
      <c r="J28" s="61"/>
      <c r="K28" s="61"/>
      <c r="L28" s="61"/>
      <c r="M28" s="61"/>
      <c r="N28" s="62"/>
      <c r="O28" s="204"/>
      <c r="P28" s="43"/>
    </row>
    <row r="29" spans="1:16" ht="15" x14ac:dyDescent="0.25">
      <c r="A29" s="44">
        <v>8019</v>
      </c>
      <c r="B29" s="49"/>
      <c r="C29" s="49"/>
      <c r="D29" s="60" t="s">
        <v>207</v>
      </c>
      <c r="E29" s="128" t="s">
        <v>208</v>
      </c>
      <c r="F29" s="46">
        <v>-1.6964600000000001</v>
      </c>
      <c r="G29" s="40">
        <f t="shared" si="0"/>
        <v>0.18329999999999999</v>
      </c>
      <c r="H29" s="41"/>
      <c r="I29" s="42"/>
      <c r="J29" s="61"/>
      <c r="K29" s="61"/>
      <c r="L29" s="61"/>
      <c r="M29" s="61"/>
      <c r="N29" s="62"/>
      <c r="O29" s="204"/>
      <c r="P29" s="43"/>
    </row>
    <row r="30" spans="1:16" ht="15" x14ac:dyDescent="0.25">
      <c r="A30" s="44">
        <v>8019</v>
      </c>
      <c r="B30" s="49"/>
      <c r="C30" s="49"/>
      <c r="D30" s="60" t="s">
        <v>209</v>
      </c>
      <c r="E30" s="128" t="s">
        <v>210</v>
      </c>
      <c r="F30" s="46">
        <v>-1.7611300000000001</v>
      </c>
      <c r="G30" s="40">
        <f t="shared" si="0"/>
        <v>0.1719</v>
      </c>
      <c r="H30" s="41"/>
      <c r="I30" s="42"/>
      <c r="J30" s="61"/>
      <c r="K30" s="61"/>
      <c r="L30" s="61"/>
      <c r="M30" s="61"/>
      <c r="N30" s="62"/>
      <c r="O30" s="204"/>
      <c r="P30" s="43"/>
    </row>
    <row r="31" spans="1:16" ht="15" x14ac:dyDescent="0.25">
      <c r="A31" s="44">
        <v>8019</v>
      </c>
      <c r="B31" s="49"/>
      <c r="C31" s="49"/>
      <c r="D31" s="60" t="s">
        <v>211</v>
      </c>
      <c r="E31" s="128" t="s">
        <v>212</v>
      </c>
      <c r="F31" s="46">
        <v>-0.98575999999999997</v>
      </c>
      <c r="G31" s="40">
        <f t="shared" si="0"/>
        <v>0.37319999999999998</v>
      </c>
      <c r="H31" s="41"/>
      <c r="I31" s="42"/>
      <c r="J31" s="61"/>
      <c r="K31" s="61"/>
      <c r="L31" s="61"/>
      <c r="M31" s="61"/>
      <c r="N31" s="62"/>
      <c r="O31" s="204"/>
      <c r="P31" s="43"/>
    </row>
    <row r="32" spans="1:16" ht="15" x14ac:dyDescent="0.25">
      <c r="A32" s="44">
        <v>8019</v>
      </c>
      <c r="B32" s="49"/>
      <c r="C32" s="49"/>
      <c r="D32" s="60" t="s">
        <v>213</v>
      </c>
      <c r="E32" s="128" t="s">
        <v>214</v>
      </c>
      <c r="F32" s="46">
        <v>-1.6900299999999999</v>
      </c>
      <c r="G32" s="40">
        <f t="shared" si="0"/>
        <v>0.1845</v>
      </c>
      <c r="H32" s="41"/>
      <c r="I32" s="42"/>
      <c r="J32" s="61"/>
      <c r="K32" s="61"/>
      <c r="L32" s="61"/>
      <c r="M32" s="61"/>
      <c r="N32" s="62"/>
      <c r="O32" s="204"/>
      <c r="P32" s="43"/>
    </row>
    <row r="33" spans="1:18" ht="15" x14ac:dyDescent="0.25">
      <c r="A33" s="44">
        <v>8019</v>
      </c>
      <c r="B33" s="49"/>
      <c r="C33" s="49"/>
      <c r="D33" s="60" t="s">
        <v>215</v>
      </c>
      <c r="E33" s="128" t="s">
        <v>216</v>
      </c>
      <c r="F33" s="46">
        <v>-1.0232600000000001</v>
      </c>
      <c r="G33" s="40">
        <f t="shared" si="0"/>
        <v>0.3594</v>
      </c>
      <c r="H33" s="41"/>
      <c r="I33" s="42"/>
      <c r="J33" s="61"/>
      <c r="K33" s="61"/>
      <c r="L33" s="61"/>
      <c r="M33" s="61"/>
      <c r="N33" s="62"/>
      <c r="O33" s="204"/>
      <c r="P33" s="43"/>
    </row>
    <row r="34" spans="1:18" ht="15" x14ac:dyDescent="0.25">
      <c r="A34" s="44">
        <v>8019</v>
      </c>
      <c r="B34" s="49"/>
      <c r="C34" s="49"/>
      <c r="D34" s="60" t="s">
        <v>217</v>
      </c>
      <c r="E34" s="128" t="s">
        <v>218</v>
      </c>
      <c r="F34" s="46">
        <v>0</v>
      </c>
      <c r="G34" s="40">
        <f t="shared" si="0"/>
        <v>1</v>
      </c>
      <c r="H34" s="41"/>
      <c r="I34" s="42"/>
      <c r="J34" s="61"/>
      <c r="K34" s="61"/>
      <c r="L34" s="61"/>
      <c r="M34" s="61"/>
      <c r="N34" s="62"/>
      <c r="O34" s="204"/>
      <c r="P34" s="43"/>
    </row>
    <row r="35" spans="1:18" ht="89.25" customHeight="1" x14ac:dyDescent="0.2">
      <c r="A35" s="44">
        <v>8019</v>
      </c>
      <c r="B35" s="38" t="s">
        <v>124</v>
      </c>
      <c r="C35" s="38" t="s">
        <v>125</v>
      </c>
      <c r="D35" s="129"/>
      <c r="E35" s="206" t="s">
        <v>219</v>
      </c>
      <c r="F35" s="207"/>
      <c r="G35" s="208"/>
      <c r="H35" s="130"/>
      <c r="I35" s="131" t="s">
        <v>126</v>
      </c>
      <c r="J35" s="45" t="s">
        <v>220</v>
      </c>
      <c r="K35" s="63">
        <v>4200</v>
      </c>
      <c r="L35" s="63">
        <v>1</v>
      </c>
      <c r="M35" s="64">
        <v>0.4</v>
      </c>
      <c r="N35" s="62"/>
      <c r="O35" s="38" t="s">
        <v>127</v>
      </c>
      <c r="P35" s="65"/>
      <c r="R35" s="126"/>
    </row>
    <row r="36" spans="1:18" ht="100.5" customHeight="1" x14ac:dyDescent="0.2">
      <c r="A36" s="44">
        <v>8019</v>
      </c>
      <c r="B36" s="120" t="s">
        <v>221</v>
      </c>
      <c r="C36" s="119" t="s">
        <v>125</v>
      </c>
      <c r="D36" s="66"/>
      <c r="E36" s="209" t="s">
        <v>177</v>
      </c>
      <c r="F36" s="210"/>
      <c r="G36" s="211"/>
      <c r="H36" s="67"/>
      <c r="I36" s="132">
        <v>0.63922000000000001</v>
      </c>
      <c r="J36" s="133">
        <v>5</v>
      </c>
      <c r="K36" s="133">
        <v>27.5</v>
      </c>
      <c r="L36" s="63">
        <v>1.0000000000000011</v>
      </c>
      <c r="M36" s="64">
        <v>0.66379999999999995</v>
      </c>
      <c r="N36" s="62"/>
      <c r="O36" s="119" t="s">
        <v>128</v>
      </c>
      <c r="P36" s="65"/>
      <c r="R36" s="126"/>
    </row>
    <row r="37" spans="1:18" ht="25.5" customHeight="1" x14ac:dyDescent="0.2">
      <c r="A37" s="44">
        <v>8019</v>
      </c>
      <c r="B37" s="197" t="s">
        <v>129</v>
      </c>
      <c r="C37" s="199" t="s">
        <v>130</v>
      </c>
      <c r="D37" s="100"/>
      <c r="E37" s="68" t="s">
        <v>131</v>
      </c>
      <c r="F37" s="69"/>
      <c r="G37" s="70">
        <v>0.8</v>
      </c>
      <c r="H37" s="71"/>
      <c r="I37" s="70"/>
      <c r="J37" s="72"/>
      <c r="K37" s="72"/>
      <c r="L37" s="72"/>
      <c r="M37" s="73"/>
      <c r="N37" s="73"/>
      <c r="O37" s="201" t="s">
        <v>132</v>
      </c>
      <c r="P37" s="74"/>
    </row>
    <row r="38" spans="1:18" ht="15.75" customHeight="1" x14ac:dyDescent="0.2">
      <c r="A38" s="44">
        <v>8019</v>
      </c>
      <c r="B38" s="198"/>
      <c r="C38" s="200"/>
      <c r="D38" s="101"/>
      <c r="E38" s="68" t="s">
        <v>133</v>
      </c>
      <c r="F38" s="75"/>
      <c r="G38" s="76">
        <v>1</v>
      </c>
      <c r="H38" s="77"/>
      <c r="I38" s="76"/>
      <c r="J38" s="78"/>
      <c r="K38" s="78"/>
      <c r="L38" s="78"/>
      <c r="M38" s="79"/>
      <c r="N38" s="79"/>
      <c r="O38" s="202"/>
      <c r="P38" s="80"/>
    </row>
    <row r="40" spans="1:18" x14ac:dyDescent="0.2">
      <c r="B40" s="37" t="s">
        <v>134</v>
      </c>
    </row>
    <row r="41" spans="1:18" ht="15" x14ac:dyDescent="0.25">
      <c r="A41" s="17"/>
      <c r="B41" s="134">
        <v>3.1306986698979585E-15</v>
      </c>
    </row>
    <row r="42" spans="1:18" ht="15" x14ac:dyDescent="0.25">
      <c r="B42" s="134">
        <v>6.1338708204768036E-12</v>
      </c>
      <c r="E42" s="17"/>
    </row>
    <row r="43" spans="1:18" x14ac:dyDescent="0.2">
      <c r="B43" s="134">
        <v>1.9595423627019495E-7</v>
      </c>
    </row>
    <row r="44" spans="1:18" x14ac:dyDescent="0.2">
      <c r="B44" s="134">
        <v>3.8790551974155575E-4</v>
      </c>
    </row>
    <row r="45" spans="1:18" x14ac:dyDescent="0.2">
      <c r="B45" s="134">
        <v>0.7987841470382645</v>
      </c>
    </row>
    <row r="47" spans="1:18" x14ac:dyDescent="0.2">
      <c r="B47" s="37" t="s">
        <v>135</v>
      </c>
    </row>
    <row r="48" spans="1:18" x14ac:dyDescent="0.2">
      <c r="B48" s="134">
        <v>9.1676855870108994E-8</v>
      </c>
    </row>
    <row r="49" spans="2:2" x14ac:dyDescent="0.2">
      <c r="B49" s="134">
        <v>1.5289662295670399E-5</v>
      </c>
    </row>
    <row r="50" spans="2:2" x14ac:dyDescent="0.2">
      <c r="B50" s="134">
        <v>1.6187586167331523E-3</v>
      </c>
    </row>
    <row r="51" spans="2:2" x14ac:dyDescent="0.2">
      <c r="B51" s="134">
        <v>1.5199778231648416E-2</v>
      </c>
    </row>
    <row r="52" spans="2:2" x14ac:dyDescent="0.2">
      <c r="B52" s="134">
        <v>0.96250156843821111</v>
      </c>
    </row>
  </sheetData>
  <mergeCells count="13">
    <mergeCell ref="B37:B38"/>
    <mergeCell ref="C37:C38"/>
    <mergeCell ref="O37:O38"/>
    <mergeCell ref="O3:O5"/>
    <mergeCell ref="O6:O8"/>
    <mergeCell ref="O9:O11"/>
    <mergeCell ref="O12:O13"/>
    <mergeCell ref="O14:O15"/>
    <mergeCell ref="O16:O17"/>
    <mergeCell ref="O18:O19"/>
    <mergeCell ref="O20:O34"/>
    <mergeCell ref="E35:G35"/>
    <mergeCell ref="E36:G3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AJ190"/>
  <sheetViews>
    <sheetView workbookViewId="0">
      <selection activeCell="M7" sqref="M7"/>
    </sheetView>
  </sheetViews>
  <sheetFormatPr defaultRowHeight="15" x14ac:dyDescent="0.25"/>
  <sheetData>
    <row r="1" spans="1:36" ht="26.25" x14ac:dyDescent="0.25">
      <c r="A1" s="143" t="s">
        <v>180</v>
      </c>
      <c r="B1" s="148" t="s">
        <v>28</v>
      </c>
      <c r="C1" s="149"/>
      <c r="D1" s="150" t="s">
        <v>137</v>
      </c>
      <c r="E1" s="149"/>
      <c r="F1" s="150" t="s">
        <v>29</v>
      </c>
      <c r="G1" s="149"/>
      <c r="H1" s="148" t="s">
        <v>138</v>
      </c>
      <c r="I1" s="149"/>
      <c r="J1" s="148" t="s">
        <v>139</v>
      </c>
      <c r="K1" s="149"/>
      <c r="L1" s="150" t="s">
        <v>31</v>
      </c>
      <c r="M1" s="149"/>
      <c r="N1" s="150" t="s">
        <v>90</v>
      </c>
      <c r="O1" s="149"/>
      <c r="P1" s="171"/>
      <c r="Q1" s="150" t="s">
        <v>30</v>
      </c>
      <c r="R1" s="150"/>
      <c r="S1" s="150" t="s">
        <v>140</v>
      </c>
      <c r="T1" s="150" t="s">
        <v>178</v>
      </c>
      <c r="U1" s="150" t="s">
        <v>225</v>
      </c>
      <c r="V1" s="150" t="s">
        <v>7926</v>
      </c>
      <c r="W1" s="149"/>
      <c r="X1" s="149"/>
      <c r="Y1" s="150" t="s">
        <v>141</v>
      </c>
      <c r="Z1" s="150"/>
      <c r="AA1" s="149" t="s">
        <v>142</v>
      </c>
      <c r="AB1" s="151" t="s">
        <v>143</v>
      </c>
      <c r="AC1" s="152" t="s">
        <v>144</v>
      </c>
      <c r="AD1" s="150" t="s">
        <v>145</v>
      </c>
      <c r="AE1" s="28" t="s">
        <v>1001</v>
      </c>
      <c r="AF1" s="28" t="s">
        <v>181</v>
      </c>
      <c r="AG1" s="28" t="s">
        <v>1002</v>
      </c>
      <c r="AH1" s="175" t="s">
        <v>7345</v>
      </c>
      <c r="AI1" s="178" t="s">
        <v>7350</v>
      </c>
      <c r="AJ1" s="173" t="s">
        <v>7873</v>
      </c>
    </row>
    <row r="2" spans="1:36" x14ac:dyDescent="0.25">
      <c r="AJ2" s="17"/>
    </row>
    <row r="3" spans="1:36" x14ac:dyDescent="0.25">
      <c r="AD3" s="17"/>
      <c r="AH3" s="17"/>
      <c r="AJ3" s="17"/>
    </row>
    <row r="4" spans="1:36" x14ac:dyDescent="0.25">
      <c r="AD4" s="17"/>
      <c r="AH4" s="17"/>
      <c r="AJ4" s="17"/>
    </row>
    <row r="5" spans="1:36" x14ac:dyDescent="0.25">
      <c r="AD5" s="17"/>
      <c r="AH5" s="17"/>
      <c r="AJ5" s="17"/>
    </row>
    <row r="6" spans="1:36" x14ac:dyDescent="0.25">
      <c r="AD6" s="17"/>
      <c r="AH6" s="17"/>
      <c r="AJ6" s="17"/>
    </row>
    <row r="7" spans="1:36" x14ac:dyDescent="0.25">
      <c r="AD7" s="17"/>
      <c r="AH7" s="17"/>
      <c r="AJ7" s="17"/>
    </row>
    <row r="8" spans="1:36" x14ac:dyDescent="0.25">
      <c r="AD8" s="17"/>
      <c r="AH8" s="17"/>
      <c r="AJ8" s="17"/>
    </row>
    <row r="9" spans="1:36" x14ac:dyDescent="0.25">
      <c r="AD9" s="17"/>
      <c r="AH9" s="17"/>
      <c r="AJ9" s="17"/>
    </row>
    <row r="10" spans="1:36" x14ac:dyDescent="0.25">
      <c r="AD10" s="17"/>
      <c r="AH10" s="17"/>
      <c r="AJ10" s="17"/>
    </row>
    <row r="11" spans="1:36" x14ac:dyDescent="0.25">
      <c r="AD11" s="17"/>
      <c r="AH11" s="17"/>
      <c r="AJ11" s="17"/>
    </row>
    <row r="12" spans="1:36" x14ac:dyDescent="0.25">
      <c r="AD12" s="17"/>
      <c r="AH12" s="17"/>
      <c r="AJ12" s="17"/>
    </row>
    <row r="13" spans="1:36" x14ac:dyDescent="0.25">
      <c r="AD13" s="17"/>
      <c r="AH13" s="17"/>
      <c r="AJ13" s="17"/>
    </row>
    <row r="14" spans="1:36" x14ac:dyDescent="0.25">
      <c r="AD14" s="17"/>
      <c r="AH14" s="17"/>
      <c r="AJ14" s="17"/>
    </row>
    <row r="15" spans="1:36" x14ac:dyDescent="0.25">
      <c r="AD15" s="17"/>
      <c r="AH15" s="17"/>
      <c r="AJ15" s="17"/>
    </row>
    <row r="16" spans="1:36" x14ac:dyDescent="0.25">
      <c r="AD16" s="17"/>
      <c r="AH16" s="17"/>
      <c r="AJ16" s="17"/>
    </row>
    <row r="17" spans="30:36" x14ac:dyDescent="0.25">
      <c r="AD17" s="17"/>
      <c r="AH17" s="17"/>
      <c r="AJ17" s="17"/>
    </row>
    <row r="18" spans="30:36" x14ac:dyDescent="0.25">
      <c r="AD18" s="17"/>
      <c r="AH18" s="17"/>
      <c r="AJ18" s="17"/>
    </row>
    <row r="19" spans="30:36" x14ac:dyDescent="0.25">
      <c r="AD19" s="17"/>
      <c r="AH19" s="17"/>
      <c r="AJ19" s="17"/>
    </row>
    <row r="20" spans="30:36" x14ac:dyDescent="0.25">
      <c r="AD20" s="17"/>
      <c r="AH20" s="17"/>
      <c r="AJ20" s="17"/>
    </row>
    <row r="21" spans="30:36" x14ac:dyDescent="0.25">
      <c r="AD21" s="17"/>
      <c r="AH21" s="17"/>
      <c r="AJ21" s="17"/>
    </row>
    <row r="22" spans="30:36" x14ac:dyDescent="0.25">
      <c r="AD22" s="17"/>
      <c r="AH22" s="17"/>
      <c r="AJ22" s="17"/>
    </row>
    <row r="23" spans="30:36" x14ac:dyDescent="0.25">
      <c r="AD23" s="17"/>
      <c r="AH23" s="17"/>
      <c r="AJ23" s="17"/>
    </row>
    <row r="24" spans="30:36" x14ac:dyDescent="0.25">
      <c r="AD24" s="17"/>
      <c r="AH24" s="17"/>
      <c r="AJ24" s="17"/>
    </row>
    <row r="25" spans="30:36" x14ac:dyDescent="0.25">
      <c r="AD25" s="17"/>
      <c r="AH25" s="17"/>
      <c r="AJ25" s="17"/>
    </row>
    <row r="26" spans="30:36" x14ac:dyDescent="0.25">
      <c r="AD26" s="17"/>
      <c r="AH26" s="17"/>
      <c r="AJ26" s="17"/>
    </row>
    <row r="27" spans="30:36" x14ac:dyDescent="0.25">
      <c r="AD27" s="17"/>
      <c r="AH27" s="17"/>
      <c r="AJ27" s="17"/>
    </row>
    <row r="28" spans="30:36" x14ac:dyDescent="0.25">
      <c r="AD28" s="17"/>
      <c r="AH28" s="17"/>
      <c r="AJ28" s="17"/>
    </row>
    <row r="29" spans="30:36" x14ac:dyDescent="0.25">
      <c r="AD29" s="17"/>
      <c r="AH29" s="17"/>
      <c r="AJ29" s="17"/>
    </row>
    <row r="30" spans="30:36" x14ac:dyDescent="0.25">
      <c r="AD30" s="17"/>
      <c r="AH30" s="17"/>
      <c r="AJ30" s="17"/>
    </row>
    <row r="31" spans="30:36" x14ac:dyDescent="0.25">
      <c r="AD31" s="17"/>
      <c r="AH31" s="17"/>
      <c r="AJ31" s="17"/>
    </row>
    <row r="32" spans="30:36" x14ac:dyDescent="0.25">
      <c r="AD32" s="17"/>
      <c r="AH32" s="17"/>
      <c r="AJ32" s="17"/>
    </row>
    <row r="33" spans="30:36" x14ac:dyDescent="0.25">
      <c r="AD33" s="17"/>
      <c r="AH33" s="17"/>
      <c r="AJ33" s="17"/>
    </row>
    <row r="34" spans="30:36" x14ac:dyDescent="0.25">
      <c r="AD34" s="17"/>
      <c r="AH34" s="17"/>
      <c r="AJ34" s="17"/>
    </row>
    <row r="35" spans="30:36" x14ac:dyDescent="0.25">
      <c r="AD35" s="17"/>
      <c r="AH35" s="17"/>
      <c r="AJ35" s="17"/>
    </row>
    <row r="36" spans="30:36" x14ac:dyDescent="0.25">
      <c r="AD36" s="17"/>
      <c r="AH36" s="17"/>
      <c r="AJ36" s="17"/>
    </row>
    <row r="37" spans="30:36" x14ac:dyDescent="0.25">
      <c r="AD37" s="17"/>
      <c r="AH37" s="17"/>
      <c r="AJ37" s="17"/>
    </row>
    <row r="38" spans="30:36" x14ac:dyDescent="0.25">
      <c r="AD38" s="17"/>
      <c r="AH38" s="17"/>
      <c r="AJ38" s="17"/>
    </row>
    <row r="39" spans="30:36" x14ac:dyDescent="0.25">
      <c r="AD39" s="17"/>
      <c r="AH39" s="17"/>
      <c r="AJ39" s="17"/>
    </row>
    <row r="40" spans="30:36" x14ac:dyDescent="0.25">
      <c r="AD40" s="17"/>
      <c r="AH40" s="17"/>
      <c r="AJ40" s="17"/>
    </row>
    <row r="41" spans="30:36" x14ac:dyDescent="0.25">
      <c r="AD41" s="17"/>
      <c r="AH41" s="17"/>
      <c r="AJ41" s="17"/>
    </row>
    <row r="42" spans="30:36" x14ac:dyDescent="0.25">
      <c r="AD42" s="17"/>
      <c r="AH42" s="17"/>
      <c r="AJ42" s="17"/>
    </row>
    <row r="43" spans="30:36" x14ac:dyDescent="0.25">
      <c r="AD43" s="17"/>
      <c r="AH43" s="17"/>
      <c r="AJ43" s="17"/>
    </row>
    <row r="44" spans="30:36" x14ac:dyDescent="0.25">
      <c r="AD44" s="17"/>
    </row>
    <row r="45" spans="30:36" x14ac:dyDescent="0.25">
      <c r="AD45" s="17"/>
    </row>
    <row r="46" spans="30:36" x14ac:dyDescent="0.25">
      <c r="AD46" s="17"/>
    </row>
    <row r="47" spans="30:36" x14ac:dyDescent="0.25">
      <c r="AD47" s="17"/>
    </row>
    <row r="48" spans="30:36" x14ac:dyDescent="0.25">
      <c r="AD48" s="17"/>
    </row>
    <row r="49" spans="30:30" x14ac:dyDescent="0.25">
      <c r="AD49" s="17"/>
    </row>
    <row r="50" spans="30:30" x14ac:dyDescent="0.25">
      <c r="AD50" s="17"/>
    </row>
    <row r="51" spans="30:30" x14ac:dyDescent="0.25">
      <c r="AD51" s="17"/>
    </row>
    <row r="52" spans="30:30" x14ac:dyDescent="0.25">
      <c r="AD52" s="17"/>
    </row>
    <row r="53" spans="30:30" x14ac:dyDescent="0.25">
      <c r="AD53" s="17"/>
    </row>
    <row r="54" spans="30:30" x14ac:dyDescent="0.25">
      <c r="AD54" s="17"/>
    </row>
    <row r="55" spans="30:30" x14ac:dyDescent="0.25">
      <c r="AD55" s="17"/>
    </row>
    <row r="56" spans="30:30" x14ac:dyDescent="0.25">
      <c r="AD56" s="17"/>
    </row>
    <row r="57" spans="30:30" x14ac:dyDescent="0.25">
      <c r="AD57" s="17"/>
    </row>
    <row r="58" spans="30:30" x14ac:dyDescent="0.25">
      <c r="AD58" s="17"/>
    </row>
    <row r="59" spans="30:30" x14ac:dyDescent="0.25">
      <c r="AD59" s="17"/>
    </row>
    <row r="60" spans="30:30" x14ac:dyDescent="0.25">
      <c r="AD60" s="17"/>
    </row>
    <row r="61" spans="30:30" x14ac:dyDescent="0.25">
      <c r="AD61" s="17"/>
    </row>
    <row r="62" spans="30:30" x14ac:dyDescent="0.25">
      <c r="AD62" s="17"/>
    </row>
    <row r="63" spans="30:30" x14ac:dyDescent="0.25">
      <c r="AD63" s="17"/>
    </row>
    <row r="64" spans="30:30" x14ac:dyDescent="0.25">
      <c r="AD64" s="17"/>
    </row>
    <row r="65" spans="30:30" x14ac:dyDescent="0.25">
      <c r="AD65" s="17"/>
    </row>
    <row r="66" spans="30:30" x14ac:dyDescent="0.25">
      <c r="AD66" s="17"/>
    </row>
    <row r="67" spans="30:30" x14ac:dyDescent="0.25">
      <c r="AD67" s="17"/>
    </row>
    <row r="68" spans="30:30" x14ac:dyDescent="0.25">
      <c r="AD68" s="17"/>
    </row>
    <row r="69" spans="30:30" x14ac:dyDescent="0.25">
      <c r="AD69" s="17"/>
    </row>
    <row r="70" spans="30:30" x14ac:dyDescent="0.25">
      <c r="AD70" s="17"/>
    </row>
    <row r="71" spans="30:30" x14ac:dyDescent="0.25">
      <c r="AD71" s="17"/>
    </row>
    <row r="72" spans="30:30" x14ac:dyDescent="0.25">
      <c r="AD72" s="17"/>
    </row>
    <row r="73" spans="30:30" x14ac:dyDescent="0.25">
      <c r="AD73" s="17"/>
    </row>
    <row r="74" spans="30:30" x14ac:dyDescent="0.25">
      <c r="AD74" s="17"/>
    </row>
    <row r="75" spans="30:30" x14ac:dyDescent="0.25">
      <c r="AD75" s="17"/>
    </row>
    <row r="76" spans="30:30" x14ac:dyDescent="0.25">
      <c r="AD76" s="17"/>
    </row>
    <row r="77" spans="30:30" x14ac:dyDescent="0.25">
      <c r="AD77" s="17"/>
    </row>
    <row r="78" spans="30:30" x14ac:dyDescent="0.25">
      <c r="AD78" s="17"/>
    </row>
    <row r="79" spans="30:30" x14ac:dyDescent="0.25">
      <c r="AD79" s="17"/>
    </row>
    <row r="80" spans="30:30" x14ac:dyDescent="0.25">
      <c r="AD80" s="17"/>
    </row>
    <row r="81" spans="30:30" x14ac:dyDescent="0.25">
      <c r="AD81" s="17"/>
    </row>
    <row r="82" spans="30:30" x14ac:dyDescent="0.25">
      <c r="AD82" s="17"/>
    </row>
    <row r="83" spans="30:30" x14ac:dyDescent="0.25">
      <c r="AD83" s="17"/>
    </row>
    <row r="84" spans="30:30" x14ac:dyDescent="0.25">
      <c r="AD84" s="17"/>
    </row>
    <row r="85" spans="30:30" x14ac:dyDescent="0.25">
      <c r="AD85" s="17"/>
    </row>
    <row r="86" spans="30:30" x14ac:dyDescent="0.25">
      <c r="AD86" s="17"/>
    </row>
    <row r="87" spans="30:30" x14ac:dyDescent="0.25">
      <c r="AD87" s="17"/>
    </row>
    <row r="88" spans="30:30" x14ac:dyDescent="0.25">
      <c r="AD88" s="17"/>
    </row>
    <row r="89" spans="30:30" x14ac:dyDescent="0.25">
      <c r="AD89" s="17"/>
    </row>
    <row r="90" spans="30:30" x14ac:dyDescent="0.25">
      <c r="AD90" s="17"/>
    </row>
    <row r="91" spans="30:30" x14ac:dyDescent="0.25">
      <c r="AD91" s="17"/>
    </row>
    <row r="92" spans="30:30" x14ac:dyDescent="0.25">
      <c r="AD92" s="17"/>
    </row>
    <row r="93" spans="30:30" x14ac:dyDescent="0.25">
      <c r="AD93" s="17"/>
    </row>
    <row r="94" spans="30:30" x14ac:dyDescent="0.25">
      <c r="AD94" s="17"/>
    </row>
    <row r="95" spans="30:30" x14ac:dyDescent="0.25">
      <c r="AD95" s="17"/>
    </row>
    <row r="96" spans="30:30" x14ac:dyDescent="0.25">
      <c r="AD96" s="17"/>
    </row>
    <row r="97" spans="30:30" x14ac:dyDescent="0.25">
      <c r="AD97" s="17"/>
    </row>
    <row r="98" spans="30:30" x14ac:dyDescent="0.25">
      <c r="AD98" s="17"/>
    </row>
    <row r="99" spans="30:30" x14ac:dyDescent="0.25">
      <c r="AD99" s="17"/>
    </row>
    <row r="100" spans="30:30" x14ac:dyDescent="0.25">
      <c r="AD100" s="17"/>
    </row>
    <row r="101" spans="30:30" x14ac:dyDescent="0.25">
      <c r="AD101" s="17"/>
    </row>
    <row r="102" spans="30:30" x14ac:dyDescent="0.25">
      <c r="AD102" s="17"/>
    </row>
    <row r="103" spans="30:30" x14ac:dyDescent="0.25">
      <c r="AD103" s="17"/>
    </row>
    <row r="104" spans="30:30" x14ac:dyDescent="0.25">
      <c r="AD104" s="17"/>
    </row>
    <row r="105" spans="30:30" x14ac:dyDescent="0.25">
      <c r="AD105" s="17"/>
    </row>
    <row r="106" spans="30:30" x14ac:dyDescent="0.25">
      <c r="AD106" s="17"/>
    </row>
    <row r="107" spans="30:30" x14ac:dyDescent="0.25">
      <c r="AD107" s="17"/>
    </row>
    <row r="108" spans="30:30" x14ac:dyDescent="0.25">
      <c r="AD108" s="17"/>
    </row>
    <row r="109" spans="30:30" x14ac:dyDescent="0.25">
      <c r="AD109" s="17"/>
    </row>
    <row r="110" spans="30:30" x14ac:dyDescent="0.25">
      <c r="AD110" s="17"/>
    </row>
    <row r="111" spans="30:30" x14ac:dyDescent="0.25">
      <c r="AD111" s="17"/>
    </row>
    <row r="112" spans="30:30" x14ac:dyDescent="0.25">
      <c r="AD112" s="17"/>
    </row>
    <row r="113" spans="30:30" x14ac:dyDescent="0.25">
      <c r="AD113" s="17"/>
    </row>
    <row r="114" spans="30:30" x14ac:dyDescent="0.25">
      <c r="AD114" s="17"/>
    </row>
    <row r="115" spans="30:30" x14ac:dyDescent="0.25">
      <c r="AD115" s="17"/>
    </row>
    <row r="116" spans="30:30" x14ac:dyDescent="0.25">
      <c r="AD116" s="17"/>
    </row>
    <row r="117" spans="30:30" x14ac:dyDescent="0.25">
      <c r="AD117" s="17"/>
    </row>
    <row r="118" spans="30:30" x14ac:dyDescent="0.25">
      <c r="AD118" s="17"/>
    </row>
    <row r="119" spans="30:30" x14ac:dyDescent="0.25">
      <c r="AD119" s="17"/>
    </row>
    <row r="120" spans="30:30" x14ac:dyDescent="0.25">
      <c r="AD120" s="17"/>
    </row>
    <row r="121" spans="30:30" x14ac:dyDescent="0.25">
      <c r="AD121" s="17"/>
    </row>
    <row r="122" spans="30:30" x14ac:dyDescent="0.25">
      <c r="AD122" s="17"/>
    </row>
    <row r="123" spans="30:30" x14ac:dyDescent="0.25">
      <c r="AD123" s="17"/>
    </row>
    <row r="124" spans="30:30" x14ac:dyDescent="0.25">
      <c r="AD124" s="17"/>
    </row>
    <row r="125" spans="30:30" x14ac:dyDescent="0.25">
      <c r="AD125" s="17"/>
    </row>
    <row r="126" spans="30:30" x14ac:dyDescent="0.25">
      <c r="AD126" s="17"/>
    </row>
    <row r="127" spans="30:30" x14ac:dyDescent="0.25">
      <c r="AD127" s="17"/>
    </row>
    <row r="128" spans="30:30" x14ac:dyDescent="0.25">
      <c r="AD128" s="17"/>
    </row>
    <row r="129" spans="30:30" x14ac:dyDescent="0.25">
      <c r="AD129" s="17"/>
    </row>
    <row r="130" spans="30:30" x14ac:dyDescent="0.25">
      <c r="AD130" s="17"/>
    </row>
    <row r="131" spans="30:30" x14ac:dyDescent="0.25">
      <c r="AD131" s="17"/>
    </row>
    <row r="132" spans="30:30" x14ac:dyDescent="0.25">
      <c r="AD132" s="17"/>
    </row>
    <row r="133" spans="30:30" x14ac:dyDescent="0.25">
      <c r="AD133" s="17"/>
    </row>
    <row r="134" spans="30:30" x14ac:dyDescent="0.25">
      <c r="AD134" s="17"/>
    </row>
    <row r="135" spans="30:30" x14ac:dyDescent="0.25">
      <c r="AD135" s="17"/>
    </row>
    <row r="136" spans="30:30" x14ac:dyDescent="0.25">
      <c r="AD136" s="17"/>
    </row>
    <row r="137" spans="30:30" x14ac:dyDescent="0.25">
      <c r="AD137" s="17"/>
    </row>
    <row r="138" spans="30:30" x14ac:dyDescent="0.25">
      <c r="AD138" s="17"/>
    </row>
    <row r="139" spans="30:30" x14ac:dyDescent="0.25">
      <c r="AD139" s="17"/>
    </row>
    <row r="140" spans="30:30" x14ac:dyDescent="0.25">
      <c r="AD140" s="17"/>
    </row>
    <row r="141" spans="30:30" x14ac:dyDescent="0.25">
      <c r="AD141" s="17"/>
    </row>
    <row r="142" spans="30:30" x14ac:dyDescent="0.25">
      <c r="AD142" s="17"/>
    </row>
    <row r="143" spans="30:30" x14ac:dyDescent="0.25">
      <c r="AD143" s="17"/>
    </row>
    <row r="144" spans="30:30" x14ac:dyDescent="0.25">
      <c r="AD144" s="17"/>
    </row>
    <row r="145" spans="30:30" x14ac:dyDescent="0.25">
      <c r="AD145" s="17"/>
    </row>
    <row r="146" spans="30:30" x14ac:dyDescent="0.25">
      <c r="AD146" s="17"/>
    </row>
    <row r="147" spans="30:30" x14ac:dyDescent="0.25">
      <c r="AD147" s="17"/>
    </row>
    <row r="148" spans="30:30" x14ac:dyDescent="0.25">
      <c r="AD148" s="17"/>
    </row>
    <row r="149" spans="30:30" x14ac:dyDescent="0.25">
      <c r="AD149" s="17"/>
    </row>
    <row r="150" spans="30:30" x14ac:dyDescent="0.25">
      <c r="AD150" s="17"/>
    </row>
    <row r="151" spans="30:30" x14ac:dyDescent="0.25">
      <c r="AD151" s="17"/>
    </row>
    <row r="152" spans="30:30" x14ac:dyDescent="0.25">
      <c r="AD152" s="17"/>
    </row>
    <row r="153" spans="30:30" x14ac:dyDescent="0.25">
      <c r="AD153" s="17"/>
    </row>
    <row r="154" spans="30:30" x14ac:dyDescent="0.25">
      <c r="AD154" s="17"/>
    </row>
    <row r="155" spans="30:30" x14ac:dyDescent="0.25">
      <c r="AD155" s="17"/>
    </row>
    <row r="156" spans="30:30" x14ac:dyDescent="0.25">
      <c r="AD156" s="17"/>
    </row>
    <row r="157" spans="30:30" x14ac:dyDescent="0.25">
      <c r="AD157" s="17"/>
    </row>
    <row r="158" spans="30:30" x14ac:dyDescent="0.25">
      <c r="AD158" s="17"/>
    </row>
    <row r="159" spans="30:30" x14ac:dyDescent="0.25">
      <c r="AD159" s="17"/>
    </row>
    <row r="160" spans="30:30" x14ac:dyDescent="0.25">
      <c r="AD160" s="17"/>
    </row>
    <row r="161" spans="30:30" x14ac:dyDescent="0.25">
      <c r="AD161" s="17"/>
    </row>
    <row r="162" spans="30:30" x14ac:dyDescent="0.25">
      <c r="AD162" s="17"/>
    </row>
    <row r="163" spans="30:30" x14ac:dyDescent="0.25">
      <c r="AD163" s="17"/>
    </row>
    <row r="164" spans="30:30" x14ac:dyDescent="0.25">
      <c r="AD164" s="17"/>
    </row>
    <row r="165" spans="30:30" x14ac:dyDescent="0.25">
      <c r="AD165" s="17"/>
    </row>
    <row r="166" spans="30:30" x14ac:dyDescent="0.25">
      <c r="AD166" s="17"/>
    </row>
    <row r="167" spans="30:30" x14ac:dyDescent="0.25">
      <c r="AD167" s="17"/>
    </row>
    <row r="168" spans="30:30" x14ac:dyDescent="0.25">
      <c r="AD168" s="17"/>
    </row>
    <row r="169" spans="30:30" x14ac:dyDescent="0.25">
      <c r="AD169" s="17"/>
    </row>
    <row r="170" spans="30:30" x14ac:dyDescent="0.25">
      <c r="AD170" s="17"/>
    </row>
    <row r="171" spans="30:30" x14ac:dyDescent="0.25">
      <c r="AD171" s="17"/>
    </row>
    <row r="172" spans="30:30" x14ac:dyDescent="0.25">
      <c r="AD172" s="17"/>
    </row>
    <row r="173" spans="30:30" x14ac:dyDescent="0.25">
      <c r="AD173" s="17"/>
    </row>
    <row r="174" spans="30:30" x14ac:dyDescent="0.25">
      <c r="AD174" s="17"/>
    </row>
    <row r="175" spans="30:30" x14ac:dyDescent="0.25">
      <c r="AD175" s="17"/>
    </row>
    <row r="176" spans="30:30" x14ac:dyDescent="0.25">
      <c r="AD176" s="17"/>
    </row>
    <row r="177" spans="30:30" x14ac:dyDescent="0.25">
      <c r="AD177" s="17"/>
    </row>
    <row r="178" spans="30:30" x14ac:dyDescent="0.25">
      <c r="AD178" s="17"/>
    </row>
    <row r="179" spans="30:30" x14ac:dyDescent="0.25">
      <c r="AD179" s="17"/>
    </row>
    <row r="180" spans="30:30" x14ac:dyDescent="0.25">
      <c r="AD180" s="17"/>
    </row>
    <row r="181" spans="30:30" x14ac:dyDescent="0.25">
      <c r="AD181" s="17"/>
    </row>
    <row r="182" spans="30:30" x14ac:dyDescent="0.25">
      <c r="AD182" s="17"/>
    </row>
    <row r="183" spans="30:30" x14ac:dyDescent="0.25">
      <c r="AD183" s="17"/>
    </row>
    <row r="184" spans="30:30" x14ac:dyDescent="0.25">
      <c r="AD184" s="17"/>
    </row>
    <row r="185" spans="30:30" x14ac:dyDescent="0.25">
      <c r="AD185" s="17"/>
    </row>
    <row r="186" spans="30:30" x14ac:dyDescent="0.25">
      <c r="AD186" s="17"/>
    </row>
    <row r="187" spans="30:30" x14ac:dyDescent="0.25">
      <c r="AD187" s="17"/>
    </row>
    <row r="188" spans="30:30" x14ac:dyDescent="0.25">
      <c r="AD188" s="17"/>
    </row>
    <row r="189" spans="30:30" x14ac:dyDescent="0.25">
      <c r="AD189" s="17"/>
    </row>
    <row r="190" spans="30:30" x14ac:dyDescent="0.25">
      <c r="AD190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B1"/>
  <sheetViews>
    <sheetView workbookViewId="0">
      <selection sqref="A1:B1"/>
    </sheetView>
  </sheetViews>
  <sheetFormatPr defaultRowHeight="15" x14ac:dyDescent="0.25"/>
  <sheetData>
    <row r="1" spans="1:2" ht="25.5" x14ac:dyDescent="0.25">
      <c r="A1" s="173" t="s">
        <v>180</v>
      </c>
      <c r="B1" s="173" t="s">
        <v>7349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G6"/>
  <sheetViews>
    <sheetView workbookViewId="0">
      <selection activeCell="A2" sqref="A2:XFD2"/>
    </sheetView>
  </sheetViews>
  <sheetFormatPr defaultRowHeight="15" x14ac:dyDescent="0.25"/>
  <sheetData>
    <row r="1" spans="1:7" ht="26.25" x14ac:dyDescent="0.25">
      <c r="A1" s="143" t="s">
        <v>180</v>
      </c>
      <c r="B1" s="28" t="s">
        <v>1001</v>
      </c>
      <c r="C1" s="28" t="s">
        <v>181</v>
      </c>
      <c r="D1" s="28" t="s">
        <v>1002</v>
      </c>
      <c r="E1" s="175" t="s">
        <v>7345</v>
      </c>
      <c r="F1" s="178" t="s">
        <v>7350</v>
      </c>
      <c r="G1" s="173" t="s">
        <v>7873</v>
      </c>
    </row>
    <row r="2" spans="1:7" x14ac:dyDescent="0.25">
      <c r="A2" s="153"/>
    </row>
    <row r="3" spans="1:7" x14ac:dyDescent="0.25">
      <c r="A3" s="153"/>
    </row>
    <row r="4" spans="1:7" x14ac:dyDescent="0.25">
      <c r="A4" s="153"/>
    </row>
    <row r="5" spans="1:7" x14ac:dyDescent="0.25">
      <c r="A5" s="153"/>
    </row>
    <row r="6" spans="1:7" x14ac:dyDescent="0.25">
      <c r="A6" s="15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B271"/>
  <sheetViews>
    <sheetView topLeftCell="A238" workbookViewId="0">
      <selection sqref="A1:B1048576"/>
    </sheetView>
  </sheetViews>
  <sheetFormatPr defaultRowHeight="15" x14ac:dyDescent="0.25"/>
  <sheetData>
    <row r="1" spans="1:2" x14ac:dyDescent="0.25">
      <c r="A1" t="s">
        <v>181</v>
      </c>
      <c r="B1" t="s">
        <v>7350</v>
      </c>
    </row>
    <row r="2" spans="1:2" x14ac:dyDescent="0.25">
      <c r="A2" t="s">
        <v>230</v>
      </c>
      <c r="B2" t="s">
        <v>7352</v>
      </c>
    </row>
    <row r="3" spans="1:2" x14ac:dyDescent="0.25">
      <c r="A3" t="s">
        <v>7353</v>
      </c>
      <c r="B3" t="s">
        <v>7354</v>
      </c>
    </row>
    <row r="4" spans="1:2" x14ac:dyDescent="0.25">
      <c r="A4" t="s">
        <v>7355</v>
      </c>
      <c r="B4" t="s">
        <v>7356</v>
      </c>
    </row>
    <row r="5" spans="1:2" x14ac:dyDescent="0.25">
      <c r="A5" t="s">
        <v>7357</v>
      </c>
      <c r="B5" t="s">
        <v>7358</v>
      </c>
    </row>
    <row r="6" spans="1:2" x14ac:dyDescent="0.25">
      <c r="A6" t="s">
        <v>7359</v>
      </c>
      <c r="B6" t="s">
        <v>7360</v>
      </c>
    </row>
    <row r="7" spans="1:2" x14ac:dyDescent="0.25">
      <c r="A7" t="s">
        <v>7361</v>
      </c>
      <c r="B7" t="s">
        <v>7362</v>
      </c>
    </row>
    <row r="8" spans="1:2" x14ac:dyDescent="0.25">
      <c r="A8" t="s">
        <v>7363</v>
      </c>
      <c r="B8" t="s">
        <v>7364</v>
      </c>
    </row>
    <row r="9" spans="1:2" x14ac:dyDescent="0.25">
      <c r="A9" t="s">
        <v>7365</v>
      </c>
      <c r="B9" t="s">
        <v>7366</v>
      </c>
    </row>
    <row r="10" spans="1:2" x14ac:dyDescent="0.25">
      <c r="A10" t="s">
        <v>7367</v>
      </c>
      <c r="B10" t="s">
        <v>7368</v>
      </c>
    </row>
    <row r="11" spans="1:2" x14ac:dyDescent="0.25">
      <c r="A11" t="s">
        <v>7347</v>
      </c>
      <c r="B11" t="s">
        <v>7369</v>
      </c>
    </row>
    <row r="12" spans="1:2" x14ac:dyDescent="0.25">
      <c r="A12" t="s">
        <v>7370</v>
      </c>
      <c r="B12" t="s">
        <v>7371</v>
      </c>
    </row>
    <row r="13" spans="1:2" x14ac:dyDescent="0.25">
      <c r="A13" t="s">
        <v>7372</v>
      </c>
      <c r="B13" t="s">
        <v>7373</v>
      </c>
    </row>
    <row r="14" spans="1:2" x14ac:dyDescent="0.25">
      <c r="A14" t="s">
        <v>7374</v>
      </c>
      <c r="B14" t="s">
        <v>7375</v>
      </c>
    </row>
    <row r="15" spans="1:2" x14ac:dyDescent="0.25">
      <c r="A15" t="s">
        <v>7376</v>
      </c>
      <c r="B15" t="s">
        <v>7377</v>
      </c>
    </row>
    <row r="16" spans="1:2" x14ac:dyDescent="0.25">
      <c r="A16" t="s">
        <v>7378</v>
      </c>
      <c r="B16" t="s">
        <v>7379</v>
      </c>
    </row>
    <row r="17" spans="1:2" x14ac:dyDescent="0.25">
      <c r="A17" t="s">
        <v>7380</v>
      </c>
      <c r="B17" t="s">
        <v>7381</v>
      </c>
    </row>
    <row r="18" spans="1:2" x14ac:dyDescent="0.25">
      <c r="A18" t="s">
        <v>7382</v>
      </c>
      <c r="B18" t="s">
        <v>7383</v>
      </c>
    </row>
    <row r="19" spans="1:2" x14ac:dyDescent="0.25">
      <c r="A19" t="s">
        <v>7384</v>
      </c>
      <c r="B19" t="s">
        <v>7385</v>
      </c>
    </row>
    <row r="20" spans="1:2" x14ac:dyDescent="0.25">
      <c r="A20" t="s">
        <v>7386</v>
      </c>
      <c r="B20" t="s">
        <v>7387</v>
      </c>
    </row>
    <row r="21" spans="1:2" x14ac:dyDescent="0.25">
      <c r="A21" t="s">
        <v>7388</v>
      </c>
      <c r="B21" t="s">
        <v>7389</v>
      </c>
    </row>
    <row r="22" spans="1:2" x14ac:dyDescent="0.25">
      <c r="A22" t="s">
        <v>7390</v>
      </c>
      <c r="B22" t="s">
        <v>7391</v>
      </c>
    </row>
    <row r="23" spans="1:2" x14ac:dyDescent="0.25">
      <c r="A23" t="s">
        <v>7392</v>
      </c>
      <c r="B23" t="s">
        <v>7393</v>
      </c>
    </row>
    <row r="24" spans="1:2" x14ac:dyDescent="0.25">
      <c r="A24" t="s">
        <v>7394</v>
      </c>
      <c r="B24" t="s">
        <v>7395</v>
      </c>
    </row>
    <row r="25" spans="1:2" x14ac:dyDescent="0.25">
      <c r="A25" t="s">
        <v>7396</v>
      </c>
      <c r="B25" t="s">
        <v>7397</v>
      </c>
    </row>
    <row r="26" spans="1:2" x14ac:dyDescent="0.25">
      <c r="A26" t="s">
        <v>7398</v>
      </c>
      <c r="B26" t="s">
        <v>7399</v>
      </c>
    </row>
    <row r="27" spans="1:2" x14ac:dyDescent="0.25">
      <c r="A27" t="s">
        <v>7400</v>
      </c>
      <c r="B27" t="s">
        <v>7401</v>
      </c>
    </row>
    <row r="28" spans="1:2" x14ac:dyDescent="0.25">
      <c r="A28" t="s">
        <v>7402</v>
      </c>
      <c r="B28" t="s">
        <v>7403</v>
      </c>
    </row>
    <row r="29" spans="1:2" x14ac:dyDescent="0.25">
      <c r="A29" t="s">
        <v>7404</v>
      </c>
      <c r="B29" t="s">
        <v>7405</v>
      </c>
    </row>
    <row r="30" spans="1:2" x14ac:dyDescent="0.25">
      <c r="A30" t="s">
        <v>7406</v>
      </c>
      <c r="B30" t="s">
        <v>7407</v>
      </c>
    </row>
    <row r="31" spans="1:2" x14ac:dyDescent="0.25">
      <c r="A31" t="s">
        <v>7408</v>
      </c>
      <c r="B31" t="s">
        <v>7409</v>
      </c>
    </row>
    <row r="32" spans="1:2" x14ac:dyDescent="0.25">
      <c r="A32" t="s">
        <v>7410</v>
      </c>
      <c r="B32" t="s">
        <v>7411</v>
      </c>
    </row>
    <row r="33" spans="1:2" x14ac:dyDescent="0.25">
      <c r="A33" t="s">
        <v>7412</v>
      </c>
      <c r="B33" t="s">
        <v>7413</v>
      </c>
    </row>
    <row r="34" spans="1:2" x14ac:dyDescent="0.25">
      <c r="A34" t="s">
        <v>7414</v>
      </c>
      <c r="B34" t="s">
        <v>7415</v>
      </c>
    </row>
    <row r="35" spans="1:2" x14ac:dyDescent="0.25">
      <c r="A35" t="s">
        <v>7416</v>
      </c>
      <c r="B35" t="s">
        <v>7417</v>
      </c>
    </row>
    <row r="36" spans="1:2" x14ac:dyDescent="0.25">
      <c r="A36" t="s">
        <v>7418</v>
      </c>
      <c r="B36" t="s">
        <v>7419</v>
      </c>
    </row>
    <row r="37" spans="1:2" x14ac:dyDescent="0.25">
      <c r="A37" t="s">
        <v>7420</v>
      </c>
      <c r="B37" t="s">
        <v>7421</v>
      </c>
    </row>
    <row r="38" spans="1:2" x14ac:dyDescent="0.25">
      <c r="A38" t="s">
        <v>7422</v>
      </c>
      <c r="B38" t="s">
        <v>7423</v>
      </c>
    </row>
    <row r="39" spans="1:2" x14ac:dyDescent="0.25">
      <c r="A39" t="s">
        <v>7424</v>
      </c>
      <c r="B39" t="s">
        <v>7425</v>
      </c>
    </row>
    <row r="40" spans="1:2" x14ac:dyDescent="0.25">
      <c r="A40" t="s">
        <v>7426</v>
      </c>
      <c r="B40" t="s">
        <v>7427</v>
      </c>
    </row>
    <row r="41" spans="1:2" x14ac:dyDescent="0.25">
      <c r="A41" t="s">
        <v>7428</v>
      </c>
      <c r="B41" t="s">
        <v>7429</v>
      </c>
    </row>
    <row r="42" spans="1:2" x14ac:dyDescent="0.25">
      <c r="A42" t="s">
        <v>7346</v>
      </c>
      <c r="B42" t="s">
        <v>7430</v>
      </c>
    </row>
    <row r="43" spans="1:2" x14ac:dyDescent="0.25">
      <c r="A43" t="s">
        <v>7431</v>
      </c>
      <c r="B43" t="s">
        <v>7432</v>
      </c>
    </row>
    <row r="44" spans="1:2" x14ac:dyDescent="0.25">
      <c r="A44" t="s">
        <v>7433</v>
      </c>
      <c r="B44" t="s">
        <v>7434</v>
      </c>
    </row>
    <row r="45" spans="1:2" x14ac:dyDescent="0.25">
      <c r="A45" t="s">
        <v>7435</v>
      </c>
      <c r="B45" t="s">
        <v>7436</v>
      </c>
    </row>
    <row r="46" spans="1:2" x14ac:dyDescent="0.25">
      <c r="A46" t="s">
        <v>7437</v>
      </c>
      <c r="B46" t="s">
        <v>7438</v>
      </c>
    </row>
    <row r="47" spans="1:2" x14ac:dyDescent="0.25">
      <c r="A47" t="s">
        <v>7439</v>
      </c>
      <c r="B47" t="s">
        <v>7440</v>
      </c>
    </row>
    <row r="48" spans="1:2" x14ac:dyDescent="0.25">
      <c r="A48" t="s">
        <v>7441</v>
      </c>
      <c r="B48" t="s">
        <v>7442</v>
      </c>
    </row>
    <row r="49" spans="1:2" x14ac:dyDescent="0.25">
      <c r="A49" t="s">
        <v>7443</v>
      </c>
      <c r="B49" t="s">
        <v>7444</v>
      </c>
    </row>
    <row r="50" spans="1:2" x14ac:dyDescent="0.25">
      <c r="A50" t="s">
        <v>7445</v>
      </c>
      <c r="B50" t="s">
        <v>7446</v>
      </c>
    </row>
    <row r="51" spans="1:2" x14ac:dyDescent="0.25">
      <c r="A51" t="s">
        <v>7447</v>
      </c>
      <c r="B51" t="s">
        <v>7448</v>
      </c>
    </row>
    <row r="52" spans="1:2" x14ac:dyDescent="0.25">
      <c r="A52" t="s">
        <v>7449</v>
      </c>
      <c r="B52" t="s">
        <v>7450</v>
      </c>
    </row>
    <row r="53" spans="1:2" x14ac:dyDescent="0.25">
      <c r="A53" t="s">
        <v>7451</v>
      </c>
      <c r="B53" t="s">
        <v>7452</v>
      </c>
    </row>
    <row r="54" spans="1:2" x14ac:dyDescent="0.25">
      <c r="A54" t="s">
        <v>7453</v>
      </c>
      <c r="B54" t="s">
        <v>7454</v>
      </c>
    </row>
    <row r="55" spans="1:2" x14ac:dyDescent="0.25">
      <c r="A55" t="s">
        <v>7455</v>
      </c>
      <c r="B55" t="s">
        <v>7456</v>
      </c>
    </row>
    <row r="56" spans="1:2" x14ac:dyDescent="0.25">
      <c r="A56" t="s">
        <v>7457</v>
      </c>
      <c r="B56" t="s">
        <v>7458</v>
      </c>
    </row>
    <row r="57" spans="1:2" x14ac:dyDescent="0.25">
      <c r="A57" t="s">
        <v>7459</v>
      </c>
      <c r="B57" t="s">
        <v>7460</v>
      </c>
    </row>
    <row r="58" spans="1:2" x14ac:dyDescent="0.25">
      <c r="A58" t="s">
        <v>7461</v>
      </c>
      <c r="B58" t="s">
        <v>7462</v>
      </c>
    </row>
    <row r="59" spans="1:2" x14ac:dyDescent="0.25">
      <c r="A59" t="s">
        <v>7463</v>
      </c>
      <c r="B59" t="s">
        <v>7464</v>
      </c>
    </row>
    <row r="60" spans="1:2" x14ac:dyDescent="0.25">
      <c r="A60" t="s">
        <v>7465</v>
      </c>
      <c r="B60" t="s">
        <v>7466</v>
      </c>
    </row>
    <row r="61" spans="1:2" x14ac:dyDescent="0.25">
      <c r="A61" t="s">
        <v>7467</v>
      </c>
      <c r="B61" t="s">
        <v>7468</v>
      </c>
    </row>
    <row r="62" spans="1:2" x14ac:dyDescent="0.25">
      <c r="A62" t="s">
        <v>7469</v>
      </c>
      <c r="B62" t="s">
        <v>7470</v>
      </c>
    </row>
    <row r="63" spans="1:2" x14ac:dyDescent="0.25">
      <c r="A63" t="s">
        <v>7471</v>
      </c>
      <c r="B63" t="s">
        <v>7472</v>
      </c>
    </row>
    <row r="64" spans="1:2" x14ac:dyDescent="0.25">
      <c r="A64" t="s">
        <v>7473</v>
      </c>
      <c r="B64" t="s">
        <v>7474</v>
      </c>
    </row>
    <row r="65" spans="1:2" x14ac:dyDescent="0.25">
      <c r="A65" t="s">
        <v>7475</v>
      </c>
      <c r="B65" t="s">
        <v>7476</v>
      </c>
    </row>
    <row r="66" spans="1:2" x14ac:dyDescent="0.25">
      <c r="A66" t="s">
        <v>7477</v>
      </c>
      <c r="B66" t="s">
        <v>7478</v>
      </c>
    </row>
    <row r="67" spans="1:2" x14ac:dyDescent="0.25">
      <c r="A67" t="s">
        <v>7479</v>
      </c>
      <c r="B67" t="s">
        <v>7480</v>
      </c>
    </row>
    <row r="68" spans="1:2" x14ac:dyDescent="0.25">
      <c r="A68" t="s">
        <v>7481</v>
      </c>
      <c r="B68" t="s">
        <v>7482</v>
      </c>
    </row>
    <row r="69" spans="1:2" x14ac:dyDescent="0.25">
      <c r="A69" t="s">
        <v>7483</v>
      </c>
      <c r="B69" t="s">
        <v>7484</v>
      </c>
    </row>
    <row r="70" spans="1:2" x14ac:dyDescent="0.25">
      <c r="A70" t="s">
        <v>7485</v>
      </c>
      <c r="B70" t="s">
        <v>7486</v>
      </c>
    </row>
    <row r="71" spans="1:2" x14ac:dyDescent="0.25">
      <c r="A71" t="s">
        <v>7487</v>
      </c>
      <c r="B71" t="s">
        <v>7488</v>
      </c>
    </row>
    <row r="72" spans="1:2" x14ac:dyDescent="0.25">
      <c r="A72" t="s">
        <v>7489</v>
      </c>
      <c r="B72" t="s">
        <v>7490</v>
      </c>
    </row>
    <row r="73" spans="1:2" x14ac:dyDescent="0.25">
      <c r="A73" t="s">
        <v>7491</v>
      </c>
      <c r="B73" t="s">
        <v>7492</v>
      </c>
    </row>
    <row r="74" spans="1:2" x14ac:dyDescent="0.25">
      <c r="A74" t="s">
        <v>7493</v>
      </c>
      <c r="B74" t="s">
        <v>7494</v>
      </c>
    </row>
    <row r="75" spans="1:2" x14ac:dyDescent="0.25">
      <c r="A75" t="s">
        <v>7495</v>
      </c>
      <c r="B75" t="s">
        <v>7496</v>
      </c>
    </row>
    <row r="76" spans="1:2" x14ac:dyDescent="0.25">
      <c r="A76" t="s">
        <v>7497</v>
      </c>
      <c r="B76" t="s">
        <v>7498</v>
      </c>
    </row>
    <row r="77" spans="1:2" x14ac:dyDescent="0.25">
      <c r="A77" t="s">
        <v>7499</v>
      </c>
      <c r="B77" t="s">
        <v>7500</v>
      </c>
    </row>
    <row r="78" spans="1:2" x14ac:dyDescent="0.25">
      <c r="A78" t="s">
        <v>7501</v>
      </c>
      <c r="B78" t="s">
        <v>7502</v>
      </c>
    </row>
    <row r="79" spans="1:2" x14ac:dyDescent="0.25">
      <c r="A79" t="s">
        <v>7503</v>
      </c>
      <c r="B79" t="s">
        <v>7504</v>
      </c>
    </row>
    <row r="80" spans="1:2" x14ac:dyDescent="0.25">
      <c r="A80" t="s">
        <v>7505</v>
      </c>
      <c r="B80" t="s">
        <v>7506</v>
      </c>
    </row>
    <row r="81" spans="1:2" x14ac:dyDescent="0.25">
      <c r="A81" t="s">
        <v>7507</v>
      </c>
      <c r="B81" t="s">
        <v>7508</v>
      </c>
    </row>
    <row r="82" spans="1:2" x14ac:dyDescent="0.25">
      <c r="A82" t="s">
        <v>7509</v>
      </c>
      <c r="B82" t="s">
        <v>7510</v>
      </c>
    </row>
    <row r="83" spans="1:2" x14ac:dyDescent="0.25">
      <c r="A83" t="s">
        <v>7511</v>
      </c>
      <c r="B83" t="s">
        <v>7512</v>
      </c>
    </row>
    <row r="84" spans="1:2" x14ac:dyDescent="0.25">
      <c r="A84" t="s">
        <v>7513</v>
      </c>
      <c r="B84" t="s">
        <v>7514</v>
      </c>
    </row>
    <row r="85" spans="1:2" x14ac:dyDescent="0.25">
      <c r="A85" t="s">
        <v>7515</v>
      </c>
      <c r="B85" t="s">
        <v>7516</v>
      </c>
    </row>
    <row r="86" spans="1:2" x14ac:dyDescent="0.25">
      <c r="A86" t="s">
        <v>7517</v>
      </c>
      <c r="B86" t="s">
        <v>7518</v>
      </c>
    </row>
    <row r="87" spans="1:2" x14ac:dyDescent="0.25">
      <c r="A87" t="s">
        <v>7519</v>
      </c>
      <c r="B87" t="s">
        <v>7520</v>
      </c>
    </row>
    <row r="88" spans="1:2" x14ac:dyDescent="0.25">
      <c r="A88" t="s">
        <v>7521</v>
      </c>
      <c r="B88" t="s">
        <v>7522</v>
      </c>
    </row>
    <row r="89" spans="1:2" x14ac:dyDescent="0.25">
      <c r="A89" t="s">
        <v>7523</v>
      </c>
      <c r="B89" t="s">
        <v>7524</v>
      </c>
    </row>
    <row r="90" spans="1:2" x14ac:dyDescent="0.25">
      <c r="A90" t="s">
        <v>7525</v>
      </c>
      <c r="B90" t="s">
        <v>7526</v>
      </c>
    </row>
    <row r="91" spans="1:2" x14ac:dyDescent="0.25">
      <c r="A91" t="s">
        <v>7527</v>
      </c>
      <c r="B91" t="s">
        <v>7528</v>
      </c>
    </row>
    <row r="92" spans="1:2" x14ac:dyDescent="0.25">
      <c r="A92" t="s">
        <v>7529</v>
      </c>
      <c r="B92" t="s">
        <v>7530</v>
      </c>
    </row>
    <row r="93" spans="1:2" x14ac:dyDescent="0.25">
      <c r="A93" t="s">
        <v>7531</v>
      </c>
      <c r="B93" t="s">
        <v>7532</v>
      </c>
    </row>
    <row r="94" spans="1:2" x14ac:dyDescent="0.25">
      <c r="A94" t="s">
        <v>7533</v>
      </c>
      <c r="B94" t="s">
        <v>7534</v>
      </c>
    </row>
    <row r="95" spans="1:2" x14ac:dyDescent="0.25">
      <c r="A95" t="s">
        <v>7535</v>
      </c>
      <c r="B95" t="s">
        <v>7536</v>
      </c>
    </row>
    <row r="96" spans="1:2" x14ac:dyDescent="0.25">
      <c r="A96" t="s">
        <v>7537</v>
      </c>
      <c r="B96" t="s">
        <v>7538</v>
      </c>
    </row>
    <row r="97" spans="1:2" x14ac:dyDescent="0.25">
      <c r="A97" t="s">
        <v>7539</v>
      </c>
      <c r="B97" t="s">
        <v>7540</v>
      </c>
    </row>
    <row r="98" spans="1:2" x14ac:dyDescent="0.25">
      <c r="A98" t="s">
        <v>7541</v>
      </c>
      <c r="B98" t="s">
        <v>7542</v>
      </c>
    </row>
    <row r="99" spans="1:2" x14ac:dyDescent="0.25">
      <c r="A99" t="s">
        <v>7543</v>
      </c>
      <c r="B99" t="s">
        <v>7544</v>
      </c>
    </row>
    <row r="100" spans="1:2" x14ac:dyDescent="0.25">
      <c r="A100" t="s">
        <v>7545</v>
      </c>
      <c r="B100" t="s">
        <v>7546</v>
      </c>
    </row>
    <row r="101" spans="1:2" x14ac:dyDescent="0.25">
      <c r="A101" t="s">
        <v>7547</v>
      </c>
      <c r="B101" t="s">
        <v>7548</v>
      </c>
    </row>
    <row r="102" spans="1:2" x14ac:dyDescent="0.25">
      <c r="A102" t="s">
        <v>7549</v>
      </c>
      <c r="B102" t="s">
        <v>7550</v>
      </c>
    </row>
    <row r="103" spans="1:2" x14ac:dyDescent="0.25">
      <c r="A103" t="s">
        <v>7551</v>
      </c>
      <c r="B103" t="s">
        <v>7552</v>
      </c>
    </row>
    <row r="104" spans="1:2" x14ac:dyDescent="0.25">
      <c r="A104" t="s">
        <v>7553</v>
      </c>
      <c r="B104" t="s">
        <v>7554</v>
      </c>
    </row>
    <row r="105" spans="1:2" x14ac:dyDescent="0.25">
      <c r="A105" t="s">
        <v>7555</v>
      </c>
      <c r="B105" t="s">
        <v>7556</v>
      </c>
    </row>
    <row r="106" spans="1:2" x14ac:dyDescent="0.25">
      <c r="A106" t="s">
        <v>7557</v>
      </c>
      <c r="B106" t="s">
        <v>7558</v>
      </c>
    </row>
    <row r="107" spans="1:2" x14ac:dyDescent="0.25">
      <c r="A107" t="s">
        <v>7559</v>
      </c>
      <c r="B107" t="s">
        <v>7560</v>
      </c>
    </row>
    <row r="108" spans="1:2" x14ac:dyDescent="0.25">
      <c r="A108" t="s">
        <v>7561</v>
      </c>
      <c r="B108" t="s">
        <v>7562</v>
      </c>
    </row>
    <row r="109" spans="1:2" x14ac:dyDescent="0.25">
      <c r="A109" t="s">
        <v>7563</v>
      </c>
      <c r="B109" t="s">
        <v>7564</v>
      </c>
    </row>
    <row r="110" spans="1:2" x14ac:dyDescent="0.25">
      <c r="A110" t="s">
        <v>7565</v>
      </c>
      <c r="B110" t="s">
        <v>7566</v>
      </c>
    </row>
    <row r="111" spans="1:2" x14ac:dyDescent="0.25">
      <c r="A111" t="s">
        <v>7567</v>
      </c>
      <c r="B111" t="s">
        <v>7568</v>
      </c>
    </row>
    <row r="112" spans="1:2" x14ac:dyDescent="0.25">
      <c r="A112" t="s">
        <v>7569</v>
      </c>
      <c r="B112" t="s">
        <v>7570</v>
      </c>
    </row>
    <row r="113" spans="1:2" x14ac:dyDescent="0.25">
      <c r="A113" t="s">
        <v>7571</v>
      </c>
      <c r="B113" t="s">
        <v>7572</v>
      </c>
    </row>
    <row r="114" spans="1:2" x14ac:dyDescent="0.25">
      <c r="A114" t="s">
        <v>7573</v>
      </c>
      <c r="B114" t="s">
        <v>7574</v>
      </c>
    </row>
    <row r="115" spans="1:2" x14ac:dyDescent="0.25">
      <c r="A115" t="s">
        <v>7575</v>
      </c>
      <c r="B115" t="s">
        <v>7576</v>
      </c>
    </row>
    <row r="116" spans="1:2" x14ac:dyDescent="0.25">
      <c r="A116" t="s">
        <v>7577</v>
      </c>
      <c r="B116" t="s">
        <v>7578</v>
      </c>
    </row>
    <row r="117" spans="1:2" x14ac:dyDescent="0.25">
      <c r="A117" t="s">
        <v>7579</v>
      </c>
      <c r="B117" t="s">
        <v>7580</v>
      </c>
    </row>
    <row r="118" spans="1:2" x14ac:dyDescent="0.25">
      <c r="A118" t="s">
        <v>7581</v>
      </c>
      <c r="B118" t="s">
        <v>7582</v>
      </c>
    </row>
    <row r="119" spans="1:2" x14ac:dyDescent="0.25">
      <c r="A119" t="s">
        <v>7583</v>
      </c>
      <c r="B119" t="s">
        <v>7584</v>
      </c>
    </row>
    <row r="120" spans="1:2" x14ac:dyDescent="0.25">
      <c r="A120" t="s">
        <v>7585</v>
      </c>
      <c r="B120" t="s">
        <v>7586</v>
      </c>
    </row>
    <row r="121" spans="1:2" x14ac:dyDescent="0.25">
      <c r="A121" t="s">
        <v>7587</v>
      </c>
      <c r="B121" t="s">
        <v>7588</v>
      </c>
    </row>
    <row r="122" spans="1:2" x14ac:dyDescent="0.25">
      <c r="A122" t="s">
        <v>7589</v>
      </c>
      <c r="B122" t="s">
        <v>7590</v>
      </c>
    </row>
    <row r="123" spans="1:2" x14ac:dyDescent="0.25">
      <c r="A123" t="s">
        <v>7591</v>
      </c>
      <c r="B123" t="s">
        <v>7592</v>
      </c>
    </row>
    <row r="124" spans="1:2" x14ac:dyDescent="0.25">
      <c r="A124" t="s">
        <v>7593</v>
      </c>
      <c r="B124" t="s">
        <v>7594</v>
      </c>
    </row>
    <row r="125" spans="1:2" x14ac:dyDescent="0.25">
      <c r="A125" t="s">
        <v>7595</v>
      </c>
      <c r="B125" t="s">
        <v>7596</v>
      </c>
    </row>
    <row r="126" spans="1:2" x14ac:dyDescent="0.25">
      <c r="A126" t="s">
        <v>7597</v>
      </c>
      <c r="B126" t="s">
        <v>7598</v>
      </c>
    </row>
    <row r="127" spans="1:2" x14ac:dyDescent="0.25">
      <c r="A127" t="s">
        <v>7599</v>
      </c>
      <c r="B127" t="s">
        <v>7600</v>
      </c>
    </row>
    <row r="128" spans="1:2" x14ac:dyDescent="0.25">
      <c r="A128" t="s">
        <v>7601</v>
      </c>
      <c r="B128" t="s">
        <v>7602</v>
      </c>
    </row>
    <row r="129" spans="1:2" x14ac:dyDescent="0.25">
      <c r="A129" t="s">
        <v>7603</v>
      </c>
      <c r="B129" t="s">
        <v>7604</v>
      </c>
    </row>
    <row r="130" spans="1:2" x14ac:dyDescent="0.25">
      <c r="A130" t="s">
        <v>7605</v>
      </c>
      <c r="B130" t="s">
        <v>7606</v>
      </c>
    </row>
    <row r="131" spans="1:2" x14ac:dyDescent="0.25">
      <c r="A131" t="s">
        <v>7607</v>
      </c>
      <c r="B131" t="s">
        <v>7608</v>
      </c>
    </row>
    <row r="132" spans="1:2" x14ac:dyDescent="0.25">
      <c r="A132" t="s">
        <v>7609</v>
      </c>
      <c r="B132" t="s">
        <v>7610</v>
      </c>
    </row>
    <row r="133" spans="1:2" x14ac:dyDescent="0.25">
      <c r="A133" t="s">
        <v>7611</v>
      </c>
      <c r="B133" t="s">
        <v>7612</v>
      </c>
    </row>
    <row r="134" spans="1:2" x14ac:dyDescent="0.25">
      <c r="A134" t="s">
        <v>7613</v>
      </c>
      <c r="B134" t="s">
        <v>7614</v>
      </c>
    </row>
    <row r="135" spans="1:2" x14ac:dyDescent="0.25">
      <c r="A135" t="s">
        <v>7615</v>
      </c>
      <c r="B135" t="s">
        <v>7616</v>
      </c>
    </row>
    <row r="136" spans="1:2" x14ac:dyDescent="0.25">
      <c r="A136" t="s">
        <v>7617</v>
      </c>
      <c r="B136" t="s">
        <v>7618</v>
      </c>
    </row>
    <row r="137" spans="1:2" x14ac:dyDescent="0.25">
      <c r="A137" t="s">
        <v>7619</v>
      </c>
      <c r="B137" t="s">
        <v>7620</v>
      </c>
    </row>
    <row r="138" spans="1:2" x14ac:dyDescent="0.25">
      <c r="A138" t="s">
        <v>7621</v>
      </c>
      <c r="B138" t="s">
        <v>7622</v>
      </c>
    </row>
    <row r="139" spans="1:2" x14ac:dyDescent="0.25">
      <c r="A139" t="s">
        <v>7623</v>
      </c>
      <c r="B139" t="s">
        <v>7624</v>
      </c>
    </row>
    <row r="140" spans="1:2" x14ac:dyDescent="0.25">
      <c r="A140" t="s">
        <v>7625</v>
      </c>
      <c r="B140" t="s">
        <v>7626</v>
      </c>
    </row>
    <row r="141" spans="1:2" x14ac:dyDescent="0.25">
      <c r="A141" t="s">
        <v>7627</v>
      </c>
      <c r="B141" t="s">
        <v>7628</v>
      </c>
    </row>
    <row r="142" spans="1:2" x14ac:dyDescent="0.25">
      <c r="A142" t="s">
        <v>7629</v>
      </c>
      <c r="B142" t="s">
        <v>7630</v>
      </c>
    </row>
    <row r="143" spans="1:2" x14ac:dyDescent="0.25">
      <c r="A143" t="s">
        <v>7631</v>
      </c>
      <c r="B143" t="s">
        <v>7632</v>
      </c>
    </row>
    <row r="144" spans="1:2" x14ac:dyDescent="0.25">
      <c r="A144" t="s">
        <v>7633</v>
      </c>
      <c r="B144" t="s">
        <v>7634</v>
      </c>
    </row>
    <row r="145" spans="1:2" x14ac:dyDescent="0.25">
      <c r="A145" t="s">
        <v>7635</v>
      </c>
      <c r="B145" t="s">
        <v>7636</v>
      </c>
    </row>
    <row r="146" spans="1:2" x14ac:dyDescent="0.25">
      <c r="A146" t="s">
        <v>7637</v>
      </c>
      <c r="B146" t="s">
        <v>7638</v>
      </c>
    </row>
    <row r="147" spans="1:2" x14ac:dyDescent="0.25">
      <c r="A147" t="s">
        <v>7639</v>
      </c>
      <c r="B147" t="s">
        <v>7640</v>
      </c>
    </row>
    <row r="148" spans="1:2" x14ac:dyDescent="0.25">
      <c r="A148" t="s">
        <v>7641</v>
      </c>
      <c r="B148" t="s">
        <v>7642</v>
      </c>
    </row>
    <row r="149" spans="1:2" x14ac:dyDescent="0.25">
      <c r="A149" t="s">
        <v>7643</v>
      </c>
      <c r="B149" t="s">
        <v>7644</v>
      </c>
    </row>
    <row r="150" spans="1:2" x14ac:dyDescent="0.25">
      <c r="A150" t="s">
        <v>7645</v>
      </c>
      <c r="B150" t="s">
        <v>7646</v>
      </c>
    </row>
    <row r="151" spans="1:2" x14ac:dyDescent="0.25">
      <c r="A151" t="s">
        <v>7647</v>
      </c>
      <c r="B151" t="s">
        <v>7648</v>
      </c>
    </row>
    <row r="152" spans="1:2" x14ac:dyDescent="0.25">
      <c r="A152" t="s">
        <v>7649</v>
      </c>
      <c r="B152" t="s">
        <v>7650</v>
      </c>
    </row>
    <row r="153" spans="1:2" x14ac:dyDescent="0.25">
      <c r="A153" t="s">
        <v>7651</v>
      </c>
      <c r="B153" t="s">
        <v>7652</v>
      </c>
    </row>
    <row r="154" spans="1:2" x14ac:dyDescent="0.25">
      <c r="A154" t="s">
        <v>7653</v>
      </c>
      <c r="B154" t="s">
        <v>7654</v>
      </c>
    </row>
    <row r="155" spans="1:2" x14ac:dyDescent="0.25">
      <c r="A155" t="s">
        <v>7655</v>
      </c>
      <c r="B155" t="s">
        <v>7656</v>
      </c>
    </row>
    <row r="156" spans="1:2" x14ac:dyDescent="0.25">
      <c r="A156" t="s">
        <v>7657</v>
      </c>
      <c r="B156" t="s">
        <v>7658</v>
      </c>
    </row>
    <row r="157" spans="1:2" x14ac:dyDescent="0.25">
      <c r="A157" t="s">
        <v>7659</v>
      </c>
      <c r="B157" t="s">
        <v>7660</v>
      </c>
    </row>
    <row r="158" spans="1:2" x14ac:dyDescent="0.25">
      <c r="A158" t="s">
        <v>7661</v>
      </c>
      <c r="B158" t="s">
        <v>7662</v>
      </c>
    </row>
    <row r="159" spans="1:2" x14ac:dyDescent="0.25">
      <c r="A159" t="s">
        <v>7663</v>
      </c>
      <c r="B159" t="s">
        <v>7664</v>
      </c>
    </row>
    <row r="160" spans="1:2" x14ac:dyDescent="0.25">
      <c r="A160" t="s">
        <v>7665</v>
      </c>
      <c r="B160" t="s">
        <v>7666</v>
      </c>
    </row>
    <row r="161" spans="1:2" x14ac:dyDescent="0.25">
      <c r="A161" t="s">
        <v>7667</v>
      </c>
      <c r="B161" t="s">
        <v>7668</v>
      </c>
    </row>
    <row r="162" spans="1:2" x14ac:dyDescent="0.25">
      <c r="A162" t="s">
        <v>7669</v>
      </c>
      <c r="B162" t="s">
        <v>7670</v>
      </c>
    </row>
    <row r="163" spans="1:2" x14ac:dyDescent="0.25">
      <c r="A163" t="s">
        <v>7671</v>
      </c>
      <c r="B163" t="s">
        <v>7672</v>
      </c>
    </row>
    <row r="164" spans="1:2" x14ac:dyDescent="0.25">
      <c r="A164" t="s">
        <v>7673</v>
      </c>
      <c r="B164" t="s">
        <v>7674</v>
      </c>
    </row>
    <row r="165" spans="1:2" x14ac:dyDescent="0.25">
      <c r="A165" t="s">
        <v>7675</v>
      </c>
      <c r="B165" t="s">
        <v>7676</v>
      </c>
    </row>
    <row r="166" spans="1:2" x14ac:dyDescent="0.25">
      <c r="A166" t="s">
        <v>7677</v>
      </c>
      <c r="B166" t="s">
        <v>7678</v>
      </c>
    </row>
    <row r="167" spans="1:2" x14ac:dyDescent="0.25">
      <c r="A167" t="s">
        <v>7679</v>
      </c>
      <c r="B167" t="s">
        <v>7680</v>
      </c>
    </row>
    <row r="168" spans="1:2" x14ac:dyDescent="0.25">
      <c r="A168" t="s">
        <v>7681</v>
      </c>
      <c r="B168" t="s">
        <v>7682</v>
      </c>
    </row>
    <row r="169" spans="1:2" x14ac:dyDescent="0.25">
      <c r="A169" t="s">
        <v>7683</v>
      </c>
      <c r="B169" t="s">
        <v>7684</v>
      </c>
    </row>
    <row r="170" spans="1:2" x14ac:dyDescent="0.25">
      <c r="A170" t="s">
        <v>7685</v>
      </c>
      <c r="B170" t="s">
        <v>7686</v>
      </c>
    </row>
    <row r="171" spans="1:2" x14ac:dyDescent="0.25">
      <c r="A171" t="s">
        <v>7687</v>
      </c>
      <c r="B171" t="s">
        <v>7688</v>
      </c>
    </row>
    <row r="172" spans="1:2" x14ac:dyDescent="0.25">
      <c r="A172" t="s">
        <v>7689</v>
      </c>
      <c r="B172" t="s">
        <v>7690</v>
      </c>
    </row>
    <row r="173" spans="1:2" x14ac:dyDescent="0.25">
      <c r="A173" t="s">
        <v>7691</v>
      </c>
      <c r="B173" t="s">
        <v>7692</v>
      </c>
    </row>
    <row r="174" spans="1:2" x14ac:dyDescent="0.25">
      <c r="A174" t="s">
        <v>7693</v>
      </c>
      <c r="B174" t="s">
        <v>7694</v>
      </c>
    </row>
    <row r="175" spans="1:2" x14ac:dyDescent="0.25">
      <c r="A175" t="s">
        <v>7695</v>
      </c>
      <c r="B175" t="s">
        <v>7696</v>
      </c>
    </row>
    <row r="176" spans="1:2" x14ac:dyDescent="0.25">
      <c r="A176" t="s">
        <v>7697</v>
      </c>
      <c r="B176" t="s">
        <v>7698</v>
      </c>
    </row>
    <row r="177" spans="1:2" x14ac:dyDescent="0.25">
      <c r="A177" t="s">
        <v>7699</v>
      </c>
      <c r="B177" t="s">
        <v>7700</v>
      </c>
    </row>
    <row r="178" spans="1:2" x14ac:dyDescent="0.25">
      <c r="A178" t="s">
        <v>7701</v>
      </c>
      <c r="B178" t="s">
        <v>7702</v>
      </c>
    </row>
    <row r="179" spans="1:2" x14ac:dyDescent="0.25">
      <c r="A179" t="s">
        <v>7703</v>
      </c>
      <c r="B179" t="s">
        <v>7704</v>
      </c>
    </row>
    <row r="180" spans="1:2" x14ac:dyDescent="0.25">
      <c r="A180" t="s">
        <v>7705</v>
      </c>
      <c r="B180" t="s">
        <v>7872</v>
      </c>
    </row>
    <row r="181" spans="1:2" x14ac:dyDescent="0.25">
      <c r="A181" t="s">
        <v>7706</v>
      </c>
      <c r="B181" t="s">
        <v>7707</v>
      </c>
    </row>
    <row r="182" spans="1:2" x14ac:dyDescent="0.25">
      <c r="A182" t="s">
        <v>7708</v>
      </c>
      <c r="B182" t="s">
        <v>7709</v>
      </c>
    </row>
    <row r="183" spans="1:2" x14ac:dyDescent="0.25">
      <c r="A183" t="s">
        <v>7710</v>
      </c>
      <c r="B183" t="s">
        <v>7711</v>
      </c>
    </row>
    <row r="184" spans="1:2" x14ac:dyDescent="0.25">
      <c r="A184" t="s">
        <v>7712</v>
      </c>
      <c r="B184" t="s">
        <v>7713</v>
      </c>
    </row>
    <row r="185" spans="1:2" x14ac:dyDescent="0.25">
      <c r="A185" t="s">
        <v>7714</v>
      </c>
      <c r="B185" t="s">
        <v>7715</v>
      </c>
    </row>
    <row r="186" spans="1:2" x14ac:dyDescent="0.25">
      <c r="A186" t="s">
        <v>7716</v>
      </c>
      <c r="B186" t="s">
        <v>7717</v>
      </c>
    </row>
    <row r="187" spans="1:2" x14ac:dyDescent="0.25">
      <c r="A187" t="s">
        <v>7718</v>
      </c>
      <c r="B187" t="s">
        <v>7719</v>
      </c>
    </row>
    <row r="188" spans="1:2" x14ac:dyDescent="0.25">
      <c r="A188" t="s">
        <v>7720</v>
      </c>
      <c r="B188" t="s">
        <v>7721</v>
      </c>
    </row>
    <row r="189" spans="1:2" x14ac:dyDescent="0.25">
      <c r="A189" t="s">
        <v>7722</v>
      </c>
      <c r="B189" t="s">
        <v>7723</v>
      </c>
    </row>
    <row r="190" spans="1:2" x14ac:dyDescent="0.25">
      <c r="A190" t="s">
        <v>7724</v>
      </c>
      <c r="B190" t="s">
        <v>7725</v>
      </c>
    </row>
    <row r="191" spans="1:2" x14ac:dyDescent="0.25">
      <c r="A191" t="s">
        <v>7726</v>
      </c>
      <c r="B191" t="s">
        <v>7727</v>
      </c>
    </row>
    <row r="192" spans="1:2" x14ac:dyDescent="0.25">
      <c r="A192" t="s">
        <v>7728</v>
      </c>
      <c r="B192" t="s">
        <v>7729</v>
      </c>
    </row>
    <row r="193" spans="1:2" x14ac:dyDescent="0.25">
      <c r="A193" t="s">
        <v>7730</v>
      </c>
      <c r="B193" t="s">
        <v>7731</v>
      </c>
    </row>
    <row r="194" spans="1:2" x14ac:dyDescent="0.25">
      <c r="A194" t="s">
        <v>7732</v>
      </c>
      <c r="B194" t="s">
        <v>7733</v>
      </c>
    </row>
    <row r="195" spans="1:2" x14ac:dyDescent="0.25">
      <c r="A195" t="s">
        <v>7734</v>
      </c>
      <c r="B195" t="s">
        <v>7735</v>
      </c>
    </row>
    <row r="196" spans="1:2" x14ac:dyDescent="0.25">
      <c r="A196" t="s">
        <v>7736</v>
      </c>
      <c r="B196" t="s">
        <v>7737</v>
      </c>
    </row>
    <row r="197" spans="1:2" x14ac:dyDescent="0.25">
      <c r="A197" t="s">
        <v>7738</v>
      </c>
      <c r="B197" t="s">
        <v>7739</v>
      </c>
    </row>
    <row r="198" spans="1:2" x14ac:dyDescent="0.25">
      <c r="A198" t="s">
        <v>7740</v>
      </c>
      <c r="B198" t="s">
        <v>7741</v>
      </c>
    </row>
    <row r="199" spans="1:2" x14ac:dyDescent="0.25">
      <c r="A199" t="s">
        <v>7742</v>
      </c>
      <c r="B199" t="s">
        <v>7743</v>
      </c>
    </row>
    <row r="200" spans="1:2" x14ac:dyDescent="0.25">
      <c r="A200" t="s">
        <v>7744</v>
      </c>
      <c r="B200" t="s">
        <v>7745</v>
      </c>
    </row>
    <row r="201" spans="1:2" x14ac:dyDescent="0.25">
      <c r="A201" t="s">
        <v>7746</v>
      </c>
      <c r="B201" t="s">
        <v>7747</v>
      </c>
    </row>
    <row r="202" spans="1:2" x14ac:dyDescent="0.25">
      <c r="A202" t="s">
        <v>7748</v>
      </c>
      <c r="B202" t="s">
        <v>7749</v>
      </c>
    </row>
    <row r="203" spans="1:2" x14ac:dyDescent="0.25">
      <c r="A203" t="s">
        <v>7750</v>
      </c>
      <c r="B203" t="s">
        <v>7751</v>
      </c>
    </row>
    <row r="204" spans="1:2" x14ac:dyDescent="0.25">
      <c r="A204" t="s">
        <v>7752</v>
      </c>
      <c r="B204" t="s">
        <v>7753</v>
      </c>
    </row>
    <row r="205" spans="1:2" x14ac:dyDescent="0.25">
      <c r="A205" t="s">
        <v>7754</v>
      </c>
      <c r="B205" t="s">
        <v>7755</v>
      </c>
    </row>
    <row r="206" spans="1:2" x14ac:dyDescent="0.25">
      <c r="A206" t="s">
        <v>7756</v>
      </c>
      <c r="B206" t="s">
        <v>7757</v>
      </c>
    </row>
    <row r="207" spans="1:2" x14ac:dyDescent="0.25">
      <c r="A207" t="s">
        <v>7758</v>
      </c>
      <c r="B207" t="s">
        <v>7759</v>
      </c>
    </row>
    <row r="208" spans="1:2" x14ac:dyDescent="0.25">
      <c r="A208" t="s">
        <v>7760</v>
      </c>
      <c r="B208" t="s">
        <v>7761</v>
      </c>
    </row>
    <row r="209" spans="1:2" x14ac:dyDescent="0.25">
      <c r="A209" t="s">
        <v>7762</v>
      </c>
      <c r="B209" t="s">
        <v>7763</v>
      </c>
    </row>
    <row r="210" spans="1:2" x14ac:dyDescent="0.25">
      <c r="A210" t="s">
        <v>7764</v>
      </c>
      <c r="B210" t="s">
        <v>7765</v>
      </c>
    </row>
    <row r="211" spans="1:2" x14ac:dyDescent="0.25">
      <c r="A211" t="s">
        <v>7766</v>
      </c>
      <c r="B211" t="s">
        <v>7767</v>
      </c>
    </row>
    <row r="212" spans="1:2" x14ac:dyDescent="0.25">
      <c r="A212" t="s">
        <v>7768</v>
      </c>
      <c r="B212" t="s">
        <v>7769</v>
      </c>
    </row>
    <row r="213" spans="1:2" x14ac:dyDescent="0.25">
      <c r="A213" t="s">
        <v>7770</v>
      </c>
      <c r="B213" t="s">
        <v>7771</v>
      </c>
    </row>
    <row r="214" spans="1:2" x14ac:dyDescent="0.25">
      <c r="A214" t="s">
        <v>7772</v>
      </c>
      <c r="B214" t="s">
        <v>7773</v>
      </c>
    </row>
    <row r="215" spans="1:2" x14ac:dyDescent="0.25">
      <c r="A215" t="s">
        <v>7774</v>
      </c>
      <c r="B215" t="s">
        <v>7775</v>
      </c>
    </row>
    <row r="216" spans="1:2" x14ac:dyDescent="0.25">
      <c r="A216" t="s">
        <v>7776</v>
      </c>
      <c r="B216" t="s">
        <v>7777</v>
      </c>
    </row>
    <row r="217" spans="1:2" x14ac:dyDescent="0.25">
      <c r="A217" t="s">
        <v>7778</v>
      </c>
      <c r="B217" t="s">
        <v>7779</v>
      </c>
    </row>
    <row r="218" spans="1:2" x14ac:dyDescent="0.25">
      <c r="A218" t="s">
        <v>7780</v>
      </c>
      <c r="B218" t="s">
        <v>7781</v>
      </c>
    </row>
    <row r="219" spans="1:2" x14ac:dyDescent="0.25">
      <c r="A219" t="s">
        <v>7782</v>
      </c>
      <c r="B219" t="s">
        <v>7783</v>
      </c>
    </row>
    <row r="220" spans="1:2" x14ac:dyDescent="0.25">
      <c r="A220" t="s">
        <v>7784</v>
      </c>
      <c r="B220" t="s">
        <v>7785</v>
      </c>
    </row>
    <row r="221" spans="1:2" x14ac:dyDescent="0.25">
      <c r="A221" t="s">
        <v>7786</v>
      </c>
      <c r="B221" t="s">
        <v>7787</v>
      </c>
    </row>
    <row r="222" spans="1:2" x14ac:dyDescent="0.25">
      <c r="A222" t="s">
        <v>7788</v>
      </c>
      <c r="B222" t="s">
        <v>7789</v>
      </c>
    </row>
    <row r="223" spans="1:2" x14ac:dyDescent="0.25">
      <c r="A223" t="s">
        <v>7790</v>
      </c>
      <c r="B223" t="s">
        <v>7791</v>
      </c>
    </row>
    <row r="224" spans="1:2" x14ac:dyDescent="0.25">
      <c r="A224" t="s">
        <v>7792</v>
      </c>
      <c r="B224" t="s">
        <v>7793</v>
      </c>
    </row>
    <row r="225" spans="1:2" x14ac:dyDescent="0.25">
      <c r="A225" t="s">
        <v>7794</v>
      </c>
      <c r="B225" t="s">
        <v>7795</v>
      </c>
    </row>
    <row r="226" spans="1:2" x14ac:dyDescent="0.25">
      <c r="A226" t="s">
        <v>7796</v>
      </c>
      <c r="B226" t="s">
        <v>7797</v>
      </c>
    </row>
    <row r="227" spans="1:2" x14ac:dyDescent="0.25">
      <c r="A227" t="s">
        <v>7798</v>
      </c>
      <c r="B227" t="s">
        <v>7799</v>
      </c>
    </row>
    <row r="228" spans="1:2" x14ac:dyDescent="0.25">
      <c r="A228" t="s">
        <v>7800</v>
      </c>
      <c r="B228" t="s">
        <v>7801</v>
      </c>
    </row>
    <row r="229" spans="1:2" x14ac:dyDescent="0.25">
      <c r="A229" t="s">
        <v>7802</v>
      </c>
      <c r="B229" t="s">
        <v>7803</v>
      </c>
    </row>
    <row r="230" spans="1:2" x14ac:dyDescent="0.25">
      <c r="A230" t="s">
        <v>7804</v>
      </c>
      <c r="B230" t="s">
        <v>7805</v>
      </c>
    </row>
    <row r="231" spans="1:2" x14ac:dyDescent="0.25">
      <c r="A231" t="s">
        <v>7806</v>
      </c>
      <c r="B231" t="s">
        <v>7807</v>
      </c>
    </row>
    <row r="232" spans="1:2" x14ac:dyDescent="0.25">
      <c r="A232" t="s">
        <v>7808</v>
      </c>
      <c r="B232" t="s">
        <v>7809</v>
      </c>
    </row>
    <row r="233" spans="1:2" x14ac:dyDescent="0.25">
      <c r="A233" t="s">
        <v>7810</v>
      </c>
      <c r="B233" t="s">
        <v>7811</v>
      </c>
    </row>
    <row r="234" spans="1:2" x14ac:dyDescent="0.25">
      <c r="A234" t="s">
        <v>7812</v>
      </c>
      <c r="B234" t="s">
        <v>7813</v>
      </c>
    </row>
    <row r="235" spans="1:2" x14ac:dyDescent="0.25">
      <c r="A235" t="s">
        <v>7814</v>
      </c>
      <c r="B235" t="s">
        <v>7815</v>
      </c>
    </row>
    <row r="236" spans="1:2" x14ac:dyDescent="0.25">
      <c r="A236" t="s">
        <v>7816</v>
      </c>
      <c r="B236" t="s">
        <v>7817</v>
      </c>
    </row>
    <row r="237" spans="1:2" x14ac:dyDescent="0.25">
      <c r="A237" t="s">
        <v>7818</v>
      </c>
      <c r="B237" t="s">
        <v>7819</v>
      </c>
    </row>
    <row r="238" spans="1:2" x14ac:dyDescent="0.25">
      <c r="A238" t="s">
        <v>7820</v>
      </c>
      <c r="B238" t="s">
        <v>7821</v>
      </c>
    </row>
    <row r="239" spans="1:2" x14ac:dyDescent="0.25">
      <c r="A239" t="s">
        <v>7822</v>
      </c>
      <c r="B239" t="s">
        <v>7823</v>
      </c>
    </row>
    <row r="240" spans="1:2" x14ac:dyDescent="0.25">
      <c r="A240" t="s">
        <v>7824</v>
      </c>
      <c r="B240" t="s">
        <v>7825</v>
      </c>
    </row>
    <row r="241" spans="1:2" x14ac:dyDescent="0.25">
      <c r="A241" t="s">
        <v>7826</v>
      </c>
      <c r="B241" t="s">
        <v>7827</v>
      </c>
    </row>
    <row r="242" spans="1:2" x14ac:dyDescent="0.25">
      <c r="A242" t="s">
        <v>7828</v>
      </c>
      <c r="B242" t="s">
        <v>7829</v>
      </c>
    </row>
    <row r="243" spans="1:2" x14ac:dyDescent="0.25">
      <c r="A243" t="s">
        <v>7830</v>
      </c>
      <c r="B243" t="s">
        <v>7831</v>
      </c>
    </row>
    <row r="244" spans="1:2" x14ac:dyDescent="0.25">
      <c r="A244" t="s">
        <v>7832</v>
      </c>
      <c r="B244" t="s">
        <v>7833</v>
      </c>
    </row>
    <row r="245" spans="1:2" x14ac:dyDescent="0.25">
      <c r="A245" t="s">
        <v>7834</v>
      </c>
      <c r="B245" t="s">
        <v>7835</v>
      </c>
    </row>
    <row r="246" spans="1:2" x14ac:dyDescent="0.25">
      <c r="A246" t="s">
        <v>7836</v>
      </c>
      <c r="B246" t="s">
        <v>7837</v>
      </c>
    </row>
    <row r="247" spans="1:2" x14ac:dyDescent="0.25">
      <c r="A247" t="s">
        <v>7838</v>
      </c>
      <c r="B247" t="s">
        <v>7839</v>
      </c>
    </row>
    <row r="248" spans="1:2" x14ac:dyDescent="0.25">
      <c r="A248" t="s">
        <v>7840</v>
      </c>
      <c r="B248" t="s">
        <v>7841</v>
      </c>
    </row>
    <row r="249" spans="1:2" x14ac:dyDescent="0.25">
      <c r="A249" t="s">
        <v>7842</v>
      </c>
      <c r="B249" t="s">
        <v>7843</v>
      </c>
    </row>
    <row r="250" spans="1:2" x14ac:dyDescent="0.25">
      <c r="A250" t="s">
        <v>7844</v>
      </c>
      <c r="B250" t="s">
        <v>7845</v>
      </c>
    </row>
    <row r="251" spans="1:2" x14ac:dyDescent="0.25">
      <c r="A251" t="s">
        <v>7846</v>
      </c>
      <c r="B251" t="s">
        <v>7847</v>
      </c>
    </row>
    <row r="252" spans="1:2" x14ac:dyDescent="0.25">
      <c r="A252" t="s">
        <v>7848</v>
      </c>
      <c r="B252" t="s">
        <v>7849</v>
      </c>
    </row>
    <row r="253" spans="1:2" x14ac:dyDescent="0.25">
      <c r="A253" t="s">
        <v>7850</v>
      </c>
      <c r="B253" t="s">
        <v>7851</v>
      </c>
    </row>
    <row r="254" spans="1:2" x14ac:dyDescent="0.25">
      <c r="A254" t="s">
        <v>7852</v>
      </c>
      <c r="B254" t="s">
        <v>7853</v>
      </c>
    </row>
    <row r="255" spans="1:2" x14ac:dyDescent="0.25">
      <c r="A255" t="s">
        <v>7854</v>
      </c>
      <c r="B255" t="s">
        <v>7855</v>
      </c>
    </row>
    <row r="256" spans="1:2" x14ac:dyDescent="0.25">
      <c r="A256" t="s">
        <v>51</v>
      </c>
      <c r="B256" t="s">
        <v>50</v>
      </c>
    </row>
    <row r="257" spans="1:2" x14ac:dyDescent="0.25">
      <c r="A257" t="s">
        <v>43</v>
      </c>
      <c r="B257" t="s">
        <v>7856</v>
      </c>
    </row>
    <row r="258" spans="1:2" x14ac:dyDescent="0.25">
      <c r="A258" t="s">
        <v>7857</v>
      </c>
      <c r="B258" t="s">
        <v>7858</v>
      </c>
    </row>
    <row r="259" spans="1:2" x14ac:dyDescent="0.25">
      <c r="A259" t="s">
        <v>7859</v>
      </c>
      <c r="B259" t="s">
        <v>7860</v>
      </c>
    </row>
    <row r="260" spans="1:2" x14ac:dyDescent="0.25">
      <c r="A260" t="s">
        <v>56</v>
      </c>
      <c r="B260" t="s">
        <v>55</v>
      </c>
    </row>
    <row r="261" spans="1:2" x14ac:dyDescent="0.25">
      <c r="A261" t="s">
        <v>58</v>
      </c>
      <c r="B261" t="s">
        <v>7861</v>
      </c>
    </row>
    <row r="262" spans="1:2" x14ac:dyDescent="0.25">
      <c r="A262" t="s">
        <v>66</v>
      </c>
      <c r="B262" t="s">
        <v>65</v>
      </c>
    </row>
    <row r="263" spans="1:2" x14ac:dyDescent="0.25">
      <c r="A263" t="s">
        <v>68</v>
      </c>
      <c r="B263" t="s">
        <v>7862</v>
      </c>
    </row>
    <row r="264" spans="1:2" x14ac:dyDescent="0.25">
      <c r="A264" t="s">
        <v>63</v>
      </c>
      <c r="B264" t="s">
        <v>7863</v>
      </c>
    </row>
    <row r="265" spans="1:2" x14ac:dyDescent="0.25">
      <c r="A265" t="s">
        <v>20</v>
      </c>
      <c r="B265" t="s">
        <v>7864</v>
      </c>
    </row>
    <row r="266" spans="1:2" x14ac:dyDescent="0.25">
      <c r="A266" t="s">
        <v>7865</v>
      </c>
      <c r="B266" t="s">
        <v>7866</v>
      </c>
    </row>
    <row r="267" spans="1:2" x14ac:dyDescent="0.25">
      <c r="A267" t="s">
        <v>42</v>
      </c>
      <c r="B267" t="s">
        <v>7867</v>
      </c>
    </row>
    <row r="268" spans="1:2" x14ac:dyDescent="0.25">
      <c r="A268" t="s">
        <v>60</v>
      </c>
      <c r="B268" t="s">
        <v>7868</v>
      </c>
    </row>
    <row r="269" spans="1:2" x14ac:dyDescent="0.25">
      <c r="A269" t="s">
        <v>54</v>
      </c>
      <c r="B269" t="s">
        <v>53</v>
      </c>
    </row>
    <row r="270" spans="1:2" x14ac:dyDescent="0.25">
      <c r="A270" t="s">
        <v>7869</v>
      </c>
      <c r="B270" t="s">
        <v>7870</v>
      </c>
    </row>
    <row r="271" spans="1:2" x14ac:dyDescent="0.25">
      <c r="A271" t="s">
        <v>7348</v>
      </c>
      <c r="B271" t="s">
        <v>7871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X7038"/>
  <sheetViews>
    <sheetView topLeftCell="C2" zoomScaleNormal="100" workbookViewId="0">
      <selection activeCell="H14" sqref="H14"/>
    </sheetView>
  </sheetViews>
  <sheetFormatPr defaultRowHeight="15" x14ac:dyDescent="0.25"/>
  <cols>
    <col min="1" max="1" width="22.28515625" bestFit="1" customWidth="1"/>
    <col min="2" max="2" width="24" customWidth="1"/>
    <col min="3" max="3" width="23" customWidth="1"/>
    <col min="4" max="4" width="23.5703125" customWidth="1"/>
    <col min="5" max="6" width="31.7109375" bestFit="1" customWidth="1"/>
    <col min="7" max="7" width="13.42578125" customWidth="1"/>
    <col min="8" max="8" width="16.85546875" customWidth="1"/>
    <col min="9" max="9" width="23" customWidth="1"/>
    <col min="10" max="10" width="19.140625" customWidth="1"/>
    <col min="11" max="11" width="13.42578125" bestFit="1" customWidth="1"/>
    <col min="12" max="12" width="19.28515625" bestFit="1" customWidth="1"/>
    <col min="13" max="13" width="13.140625" customWidth="1"/>
    <col min="14" max="14" width="26.140625" bestFit="1" customWidth="1"/>
    <col min="16" max="16" width="18.5703125" customWidth="1"/>
    <col min="17" max="17" width="26.5703125" customWidth="1"/>
    <col min="18" max="18" width="24.85546875" bestFit="1" customWidth="1"/>
    <col min="20" max="20" width="14.5703125" customWidth="1"/>
    <col min="21" max="21" width="22.5703125" bestFit="1" customWidth="1"/>
    <col min="22" max="22" width="21.140625" customWidth="1"/>
  </cols>
  <sheetData>
    <row r="1" spans="1:24" x14ac:dyDescent="0.25">
      <c r="H1" s="17"/>
    </row>
    <row r="2" spans="1:24" s="7" customFormat="1" x14ac:dyDescent="0.25">
      <c r="A2" s="6" t="s">
        <v>37</v>
      </c>
    </row>
    <row r="3" spans="1:24" ht="15.75" thickBot="1" x14ac:dyDescent="0.3">
      <c r="D3" s="17"/>
      <c r="H3" s="17"/>
      <c r="L3" s="17"/>
      <c r="P3" s="17"/>
      <c r="T3" s="17"/>
      <c r="X3" s="17"/>
    </row>
    <row r="4" spans="1:24" x14ac:dyDescent="0.25">
      <c r="A4" s="11" t="s">
        <v>45</v>
      </c>
      <c r="B4" s="12"/>
      <c r="C4" s="12"/>
      <c r="D4" s="12"/>
      <c r="E4" s="11" t="s">
        <v>47</v>
      </c>
      <c r="F4" s="12"/>
      <c r="G4" s="12"/>
      <c r="H4" s="12"/>
      <c r="I4" s="11" t="s">
        <v>48</v>
      </c>
      <c r="J4" s="12"/>
      <c r="K4" s="11"/>
      <c r="L4" s="11"/>
      <c r="M4" s="11" t="s">
        <v>44</v>
      </c>
      <c r="N4" s="12"/>
      <c r="O4" s="12"/>
      <c r="P4" s="12"/>
      <c r="Q4" s="11" t="s">
        <v>27</v>
      </c>
      <c r="R4" s="12"/>
      <c r="S4" s="12"/>
      <c r="T4" s="29"/>
      <c r="U4" s="21" t="s">
        <v>83</v>
      </c>
      <c r="V4" s="22"/>
      <c r="W4" s="23"/>
      <c r="X4" s="29"/>
    </row>
    <row r="5" spans="1:24" s="15" customFormat="1" ht="11.25" x14ac:dyDescent="0.2">
      <c r="A5" s="13" t="s">
        <v>94</v>
      </c>
      <c r="B5" s="14" t="s">
        <v>39</v>
      </c>
      <c r="C5" s="14"/>
      <c r="D5" s="14"/>
      <c r="E5" s="13" t="s">
        <v>94</v>
      </c>
      <c r="F5" s="14" t="s">
        <v>39</v>
      </c>
      <c r="G5" s="14"/>
      <c r="H5" s="14"/>
      <c r="I5" s="13" t="s">
        <v>94</v>
      </c>
      <c r="J5" s="14" t="s">
        <v>39</v>
      </c>
      <c r="K5" s="14"/>
      <c r="L5" s="14"/>
      <c r="M5" s="13" t="s">
        <v>94</v>
      </c>
      <c r="N5" s="14" t="s">
        <v>39</v>
      </c>
      <c r="O5" s="14"/>
      <c r="P5" s="14"/>
      <c r="Q5" s="13" t="s">
        <v>39</v>
      </c>
      <c r="R5" s="14"/>
      <c r="S5" s="14"/>
      <c r="T5" s="14"/>
      <c r="U5" s="13" t="s">
        <v>94</v>
      </c>
      <c r="V5" s="14" t="s">
        <v>39</v>
      </c>
      <c r="W5" s="24"/>
      <c r="X5" s="14"/>
    </row>
    <row r="6" spans="1:24" x14ac:dyDescent="0.25">
      <c r="A6" s="3"/>
      <c r="B6" s="4"/>
      <c r="C6" s="4"/>
      <c r="D6" s="18"/>
      <c r="E6" s="3"/>
      <c r="F6" s="4"/>
      <c r="G6" s="4"/>
      <c r="H6" s="18"/>
      <c r="I6" s="3"/>
      <c r="J6" s="4"/>
      <c r="K6" s="4"/>
      <c r="L6" s="18"/>
      <c r="M6" s="3"/>
      <c r="N6" s="4"/>
      <c r="O6" s="18"/>
      <c r="P6" s="18"/>
      <c r="Q6" s="3"/>
      <c r="R6" s="4"/>
      <c r="S6" s="4"/>
      <c r="T6" s="18"/>
      <c r="U6" s="3"/>
      <c r="V6" s="18"/>
      <c r="W6" s="5"/>
      <c r="X6" s="18"/>
    </row>
    <row r="7" spans="1:24" x14ac:dyDescent="0.25">
      <c r="A7" s="3" t="s">
        <v>100</v>
      </c>
      <c r="B7" s="18" t="s">
        <v>91</v>
      </c>
      <c r="C7" s="18" t="s">
        <v>97</v>
      </c>
      <c r="D7" s="18"/>
      <c r="E7" s="3" t="s">
        <v>100</v>
      </c>
      <c r="F7" s="18" t="s">
        <v>91</v>
      </c>
      <c r="G7" s="18" t="s">
        <v>97</v>
      </c>
      <c r="H7" s="18"/>
      <c r="I7" s="3" t="s">
        <v>100</v>
      </c>
      <c r="J7" s="18" t="s">
        <v>91</v>
      </c>
      <c r="K7" s="18" t="s">
        <v>97</v>
      </c>
      <c r="L7" s="18"/>
      <c r="M7" s="3" t="s">
        <v>100</v>
      </c>
      <c r="N7" s="18" t="s">
        <v>91</v>
      </c>
      <c r="O7" s="18" t="s">
        <v>97</v>
      </c>
      <c r="P7" s="18"/>
      <c r="Q7" s="3" t="s">
        <v>40</v>
      </c>
      <c r="R7" s="18" t="s">
        <v>91</v>
      </c>
      <c r="S7" s="18" t="s">
        <v>97</v>
      </c>
      <c r="T7" s="18"/>
      <c r="U7" s="3" t="s">
        <v>40</v>
      </c>
      <c r="V7" s="18" t="s">
        <v>91</v>
      </c>
      <c r="W7" s="18" t="s">
        <v>97</v>
      </c>
      <c r="X7" s="18"/>
    </row>
    <row r="8" spans="1:24" x14ac:dyDescent="0.25">
      <c r="A8" s="3" t="s">
        <v>22</v>
      </c>
      <c r="B8" s="18" t="s">
        <v>4</v>
      </c>
      <c r="C8" s="18" t="s">
        <v>5</v>
      </c>
      <c r="D8" s="18">
        <f>коэффициенты!G6</f>
        <v>2.2088999999999999</v>
      </c>
      <c r="E8" s="3" t="s">
        <v>22</v>
      </c>
      <c r="F8" s="18" t="s">
        <v>9</v>
      </c>
      <c r="G8" s="18" t="s">
        <v>5</v>
      </c>
      <c r="H8" s="18">
        <f>коэффициенты!G9</f>
        <v>4.2359</v>
      </c>
      <c r="I8" s="3" t="s">
        <v>22</v>
      </c>
      <c r="J8" s="18" t="s">
        <v>10</v>
      </c>
      <c r="K8" s="18" t="s">
        <v>5</v>
      </c>
      <c r="L8" s="18">
        <f>коэффициенты!G12</f>
        <v>1.5834999999999999</v>
      </c>
      <c r="M8" s="3" t="s">
        <v>22</v>
      </c>
      <c r="N8" s="18" t="s">
        <v>13</v>
      </c>
      <c r="O8" s="18" t="s">
        <v>5</v>
      </c>
      <c r="P8" s="18">
        <f>коэффициенты!G14</f>
        <v>1.1516</v>
      </c>
      <c r="Q8" s="3" t="s">
        <v>41</v>
      </c>
      <c r="R8" s="18" t="s">
        <v>41</v>
      </c>
      <c r="S8" s="18" t="s">
        <v>5</v>
      </c>
      <c r="T8" s="18">
        <f>коэффициенты!G16</f>
        <v>0.73570000000000002</v>
      </c>
      <c r="U8" s="3" t="s">
        <v>73</v>
      </c>
      <c r="V8" s="18" t="s">
        <v>75</v>
      </c>
      <c r="W8" s="18" t="s">
        <v>5</v>
      </c>
      <c r="X8" s="18">
        <f>коэффициенты!G18</f>
        <v>1.1229</v>
      </c>
    </row>
    <row r="9" spans="1:24" ht="15.75" customHeight="1" x14ac:dyDescent="0.25">
      <c r="A9" s="3" t="s">
        <v>11</v>
      </c>
      <c r="B9" s="18" t="s">
        <v>4</v>
      </c>
      <c r="C9" s="18" t="s">
        <v>5</v>
      </c>
      <c r="D9" s="18">
        <f>коэффициенты!G6</f>
        <v>2.2088999999999999</v>
      </c>
      <c r="E9" s="3" t="s">
        <v>11</v>
      </c>
      <c r="F9" s="18" t="s">
        <v>9</v>
      </c>
      <c r="G9" s="18" t="s">
        <v>5</v>
      </c>
      <c r="H9" s="18">
        <f>коэффициенты!G9</f>
        <v>4.2359</v>
      </c>
      <c r="I9" s="3" t="s">
        <v>11</v>
      </c>
      <c r="J9" s="18" t="s">
        <v>10</v>
      </c>
      <c r="K9" s="18" t="s">
        <v>5</v>
      </c>
      <c r="L9" s="18">
        <f>коэффициенты!G12</f>
        <v>1.5834999999999999</v>
      </c>
      <c r="M9" s="3" t="s">
        <v>11</v>
      </c>
      <c r="N9" s="18" t="s">
        <v>13</v>
      </c>
      <c r="O9" s="18" t="s">
        <v>5</v>
      </c>
      <c r="P9" s="18">
        <f>коэффициенты!G14</f>
        <v>1.1516</v>
      </c>
      <c r="Q9" s="3" t="s">
        <v>11</v>
      </c>
      <c r="R9" s="18" t="s">
        <v>41</v>
      </c>
      <c r="S9" s="18" t="s">
        <v>5</v>
      </c>
      <c r="T9" s="18">
        <f>коэффициенты!G16</f>
        <v>0.73570000000000002</v>
      </c>
      <c r="U9" s="3" t="s">
        <v>74</v>
      </c>
      <c r="V9" s="18" t="s">
        <v>75</v>
      </c>
      <c r="W9" s="18" t="s">
        <v>5</v>
      </c>
      <c r="X9" s="18">
        <f>коэффициенты!G18</f>
        <v>1.1229</v>
      </c>
    </row>
    <row r="10" spans="1:24" x14ac:dyDescent="0.25">
      <c r="A10" s="3" t="s">
        <v>33</v>
      </c>
      <c r="B10" s="18" t="s">
        <v>4</v>
      </c>
      <c r="C10" s="18" t="s">
        <v>5</v>
      </c>
      <c r="D10" s="18">
        <f>коэффициенты!G6</f>
        <v>2.2088999999999999</v>
      </c>
      <c r="E10" s="3" t="s">
        <v>33</v>
      </c>
      <c r="F10" s="18" t="s">
        <v>9</v>
      </c>
      <c r="G10" s="18" t="s">
        <v>5</v>
      </c>
      <c r="H10" s="18">
        <f>коэффициенты!G9</f>
        <v>4.2359</v>
      </c>
      <c r="I10" s="3" t="s">
        <v>33</v>
      </c>
      <c r="J10" s="18" t="s">
        <v>10</v>
      </c>
      <c r="K10" s="18" t="s">
        <v>5</v>
      </c>
      <c r="L10" s="18">
        <f>коэффициенты!G12</f>
        <v>1.5834999999999999</v>
      </c>
      <c r="M10" s="3" t="s">
        <v>33</v>
      </c>
      <c r="N10" s="18" t="s">
        <v>13</v>
      </c>
      <c r="O10" s="18" t="s">
        <v>5</v>
      </c>
      <c r="P10" s="18">
        <f>коэффициенты!G14</f>
        <v>1.1516</v>
      </c>
      <c r="Q10" s="3" t="s">
        <v>33</v>
      </c>
      <c r="R10" s="18" t="s">
        <v>41</v>
      </c>
      <c r="S10" s="18" t="s">
        <v>5</v>
      </c>
      <c r="T10" s="18">
        <f>коэффициенты!G16</f>
        <v>0.73570000000000002</v>
      </c>
      <c r="U10" s="3" t="s">
        <v>89</v>
      </c>
      <c r="V10" s="18" t="s">
        <v>75</v>
      </c>
      <c r="W10" s="18" t="s">
        <v>5</v>
      </c>
      <c r="X10" s="18">
        <f>коэффициенты!G18</f>
        <v>1.1229</v>
      </c>
    </row>
    <row r="11" spans="1:24" x14ac:dyDescent="0.25">
      <c r="A11" s="3" t="s">
        <v>34</v>
      </c>
      <c r="B11" s="18" t="s">
        <v>4</v>
      </c>
      <c r="C11" s="18" t="s">
        <v>5</v>
      </c>
      <c r="D11" s="18">
        <f>коэффициенты!G6</f>
        <v>2.2088999999999999</v>
      </c>
      <c r="E11" s="3" t="s">
        <v>34</v>
      </c>
      <c r="F11" s="18" t="s">
        <v>9</v>
      </c>
      <c r="G11" s="18" t="s">
        <v>5</v>
      </c>
      <c r="H11" s="18">
        <f>коэффициенты!G9</f>
        <v>4.2359</v>
      </c>
      <c r="I11" s="3" t="s">
        <v>34</v>
      </c>
      <c r="J11" s="18" t="s">
        <v>10</v>
      </c>
      <c r="K11" s="18" t="s">
        <v>5</v>
      </c>
      <c r="L11" s="18">
        <f>коэффициенты!G12</f>
        <v>1.5834999999999999</v>
      </c>
      <c r="M11" s="3" t="s">
        <v>34</v>
      </c>
      <c r="N11" s="18" t="s">
        <v>13</v>
      </c>
      <c r="O11" s="18" t="s">
        <v>5</v>
      </c>
      <c r="P11" s="18">
        <f>коэффициенты!G14</f>
        <v>1.1516</v>
      </c>
      <c r="Q11" s="3" t="s">
        <v>34</v>
      </c>
      <c r="R11" s="18" t="s">
        <v>41</v>
      </c>
      <c r="S11" s="18" t="s">
        <v>5</v>
      </c>
      <c r="T11" s="18">
        <f>коэффициенты!G16</f>
        <v>0.73570000000000002</v>
      </c>
      <c r="U11" s="3" t="s">
        <v>88</v>
      </c>
      <c r="V11" s="18" t="s">
        <v>75</v>
      </c>
      <c r="W11" s="18" t="s">
        <v>5</v>
      </c>
      <c r="X11" s="18">
        <f>коэффициенты!G18</f>
        <v>1.1229</v>
      </c>
    </row>
    <row r="12" spans="1:24" x14ac:dyDescent="0.25">
      <c r="A12" s="3" t="s">
        <v>35</v>
      </c>
      <c r="B12" s="18" t="s">
        <v>46</v>
      </c>
      <c r="C12" s="18" t="s">
        <v>7</v>
      </c>
      <c r="D12" s="18">
        <f>коэффициенты!G8</f>
        <v>1</v>
      </c>
      <c r="E12" s="3" t="s">
        <v>35</v>
      </c>
      <c r="F12" s="18" t="s">
        <v>49</v>
      </c>
      <c r="G12" s="18" t="s">
        <v>7</v>
      </c>
      <c r="H12" s="18">
        <f>коэффициенты!G11</f>
        <v>1</v>
      </c>
      <c r="I12" s="3" t="s">
        <v>35</v>
      </c>
      <c r="J12" s="18" t="s">
        <v>24</v>
      </c>
      <c r="K12" s="18" t="s">
        <v>7</v>
      </c>
      <c r="L12" s="18">
        <f>коэффициенты!G13</f>
        <v>1</v>
      </c>
      <c r="M12" s="3" t="s">
        <v>35</v>
      </c>
      <c r="N12" s="18" t="s">
        <v>26</v>
      </c>
      <c r="O12" s="18" t="s">
        <v>7</v>
      </c>
      <c r="P12" s="18">
        <f>коэффициенты!G15</f>
        <v>1</v>
      </c>
      <c r="Q12" s="3" t="s">
        <v>35</v>
      </c>
      <c r="R12" s="18" t="s">
        <v>14</v>
      </c>
      <c r="S12" s="18" t="s">
        <v>5</v>
      </c>
      <c r="T12" s="18">
        <f>коэффициенты!G17</f>
        <v>1</v>
      </c>
      <c r="U12" s="3" t="s">
        <v>34</v>
      </c>
      <c r="V12" s="18" t="s">
        <v>75</v>
      </c>
      <c r="W12" s="18" t="s">
        <v>5</v>
      </c>
      <c r="X12" s="18">
        <f>коэффициенты!G18</f>
        <v>1.1229</v>
      </c>
    </row>
    <row r="13" spans="1:24" x14ac:dyDescent="0.25">
      <c r="A13" s="3" t="s">
        <v>36</v>
      </c>
      <c r="B13" s="18" t="s">
        <v>46</v>
      </c>
      <c r="C13" s="18" t="s">
        <v>7</v>
      </c>
      <c r="D13" s="18">
        <f>коэффициенты!G8</f>
        <v>1</v>
      </c>
      <c r="E13" s="3" t="s">
        <v>36</v>
      </c>
      <c r="F13" s="18" t="s">
        <v>49</v>
      </c>
      <c r="G13" s="18" t="s">
        <v>7</v>
      </c>
      <c r="H13" s="18">
        <f>коэффициенты!G11</f>
        <v>1</v>
      </c>
      <c r="I13" s="3" t="s">
        <v>36</v>
      </c>
      <c r="J13" s="18" t="s">
        <v>24</v>
      </c>
      <c r="K13" s="18" t="s">
        <v>7</v>
      </c>
      <c r="L13" s="18">
        <f>коэффициенты!G13</f>
        <v>1</v>
      </c>
      <c r="M13" s="3" t="s">
        <v>36</v>
      </c>
      <c r="N13" s="18" t="s">
        <v>26</v>
      </c>
      <c r="O13" s="18" t="s">
        <v>7</v>
      </c>
      <c r="P13" s="18">
        <f>коэффициенты!G15</f>
        <v>1</v>
      </c>
      <c r="Q13" s="3" t="s">
        <v>36</v>
      </c>
      <c r="R13" s="18" t="s">
        <v>14</v>
      </c>
      <c r="S13" s="18" t="s">
        <v>7</v>
      </c>
      <c r="T13" s="18">
        <f>коэффициенты!G17</f>
        <v>1</v>
      </c>
      <c r="U13" s="3" t="s">
        <v>35</v>
      </c>
      <c r="V13" s="18" t="s">
        <v>76</v>
      </c>
      <c r="W13" s="18" t="s">
        <v>7</v>
      </c>
      <c r="X13" s="18">
        <f>коэффициенты!G19</f>
        <v>1</v>
      </c>
    </row>
    <row r="14" spans="1:24" x14ac:dyDescent="0.25">
      <c r="A14" s="3" t="s">
        <v>12</v>
      </c>
      <c r="B14" s="18" t="s">
        <v>46</v>
      </c>
      <c r="C14" s="18" t="s">
        <v>7</v>
      </c>
      <c r="D14" s="18">
        <f>коэффициенты!G8</f>
        <v>1</v>
      </c>
      <c r="E14" s="3" t="s">
        <v>12</v>
      </c>
      <c r="F14" s="18" t="s">
        <v>49</v>
      </c>
      <c r="G14" s="18" t="s">
        <v>7</v>
      </c>
      <c r="H14" s="18">
        <f>коэффициенты!G11</f>
        <v>1</v>
      </c>
      <c r="I14" s="3" t="s">
        <v>12</v>
      </c>
      <c r="J14" s="18" t="s">
        <v>24</v>
      </c>
      <c r="K14" s="18" t="s">
        <v>7</v>
      </c>
      <c r="L14" s="18">
        <f>коэффициенты!G13</f>
        <v>1</v>
      </c>
      <c r="M14" s="3" t="s">
        <v>12</v>
      </c>
      <c r="N14" s="18" t="s">
        <v>26</v>
      </c>
      <c r="O14" s="18" t="s">
        <v>7</v>
      </c>
      <c r="P14" s="18">
        <f>коэффициенты!G15</f>
        <v>1</v>
      </c>
      <c r="Q14" s="3" t="s">
        <v>14</v>
      </c>
      <c r="R14" s="18" t="s">
        <v>14</v>
      </c>
      <c r="S14" s="18" t="s">
        <v>7</v>
      </c>
      <c r="T14" s="18">
        <f>коэффициенты!G17</f>
        <v>1</v>
      </c>
      <c r="U14" s="3" t="s">
        <v>36</v>
      </c>
      <c r="V14" s="18" t="s">
        <v>76</v>
      </c>
      <c r="W14" s="18" t="s">
        <v>7</v>
      </c>
      <c r="X14" s="18">
        <f>коэффициенты!G19</f>
        <v>1</v>
      </c>
    </row>
    <row r="15" spans="1:24" x14ac:dyDescent="0.25">
      <c r="A15" s="3" t="s">
        <v>21</v>
      </c>
      <c r="B15" s="18" t="s">
        <v>46</v>
      </c>
      <c r="C15" s="18" t="s">
        <v>7</v>
      </c>
      <c r="D15" s="18">
        <f>коэффициенты!G8</f>
        <v>1</v>
      </c>
      <c r="E15" s="3" t="s">
        <v>21</v>
      </c>
      <c r="F15" s="18" t="s">
        <v>49</v>
      </c>
      <c r="G15" s="18" t="s">
        <v>7</v>
      </c>
      <c r="H15" s="18">
        <f>коэффициенты!G11</f>
        <v>1</v>
      </c>
      <c r="I15" s="3" t="s">
        <v>21</v>
      </c>
      <c r="J15" s="18" t="s">
        <v>24</v>
      </c>
      <c r="K15" s="18" t="s">
        <v>7</v>
      </c>
      <c r="L15" s="18">
        <f>коэффициенты!G13</f>
        <v>1</v>
      </c>
      <c r="M15" s="3" t="s">
        <v>21</v>
      </c>
      <c r="N15" s="18" t="s">
        <v>26</v>
      </c>
      <c r="O15" s="18" t="s">
        <v>7</v>
      </c>
      <c r="P15" s="18">
        <f>коэффициенты!G15</f>
        <v>1</v>
      </c>
      <c r="Q15" s="3"/>
      <c r="R15" s="18" t="s">
        <v>14</v>
      </c>
      <c r="S15" s="18" t="s">
        <v>7</v>
      </c>
      <c r="T15" s="18">
        <f>коэффициенты!G17</f>
        <v>1</v>
      </c>
      <c r="U15" s="3" t="s">
        <v>12</v>
      </c>
      <c r="V15" s="18" t="s">
        <v>76</v>
      </c>
      <c r="W15" s="18" t="s">
        <v>7</v>
      </c>
      <c r="X15" s="18">
        <f>коэффициенты!G19</f>
        <v>1</v>
      </c>
    </row>
    <row r="16" spans="1:24" s="17" customFormat="1" x14ac:dyDescent="0.25">
      <c r="A16" s="3" t="s">
        <v>32</v>
      </c>
      <c r="B16" s="28" t="s">
        <v>93</v>
      </c>
      <c r="C16" s="28" t="s">
        <v>6</v>
      </c>
      <c r="D16" s="28">
        <f>коэффициенты!G7</f>
        <v>1.1415999999999999</v>
      </c>
      <c r="E16" s="3" t="s">
        <v>98</v>
      </c>
      <c r="F16" s="28" t="s">
        <v>99</v>
      </c>
      <c r="G16" s="18" t="s">
        <v>6</v>
      </c>
      <c r="H16" s="18">
        <f>коэффициенты!G9</f>
        <v>4.2359</v>
      </c>
      <c r="I16" s="3">
        <v>0</v>
      </c>
      <c r="J16" s="18" t="s">
        <v>24</v>
      </c>
      <c r="K16" s="18" t="s">
        <v>7</v>
      </c>
      <c r="L16" s="18">
        <f>коэффициенты!G13</f>
        <v>1</v>
      </c>
      <c r="M16" s="3">
        <v>0</v>
      </c>
      <c r="N16" s="18" t="s">
        <v>26</v>
      </c>
      <c r="O16" s="18" t="s">
        <v>7</v>
      </c>
      <c r="P16" s="18">
        <f>коэффициенты!G15</f>
        <v>1</v>
      </c>
      <c r="Q16" s="3">
        <v>0</v>
      </c>
      <c r="R16" s="18" t="s">
        <v>14</v>
      </c>
      <c r="S16" s="18" t="s">
        <v>7</v>
      </c>
      <c r="T16" s="18">
        <f>коэффициенты!G17</f>
        <v>1</v>
      </c>
      <c r="U16" s="3" t="s">
        <v>21</v>
      </c>
      <c r="V16" s="18" t="s">
        <v>76</v>
      </c>
      <c r="W16" s="18" t="s">
        <v>7</v>
      </c>
      <c r="X16" s="18">
        <f>коэффициенты!G19</f>
        <v>1</v>
      </c>
    </row>
    <row r="17" spans="1:24" s="17" customFormat="1" x14ac:dyDescent="0.25">
      <c r="A17" s="3" t="s">
        <v>92</v>
      </c>
      <c r="B17" s="28" t="s">
        <v>93</v>
      </c>
      <c r="C17" s="28" t="s">
        <v>6</v>
      </c>
      <c r="D17" s="28">
        <f>коэффициенты!G7</f>
        <v>1.1415999999999999</v>
      </c>
      <c r="E17" s="3" t="s">
        <v>101</v>
      </c>
      <c r="F17" s="28" t="s">
        <v>99</v>
      </c>
      <c r="G17" s="18" t="s">
        <v>6</v>
      </c>
      <c r="H17" s="18">
        <f>коэффициенты!G9</f>
        <v>4.2359</v>
      </c>
      <c r="I17" s="3"/>
      <c r="J17" s="18" t="s">
        <v>24</v>
      </c>
      <c r="K17" s="18" t="s">
        <v>7</v>
      </c>
      <c r="L17" s="18">
        <f>коэффициенты!G13</f>
        <v>1</v>
      </c>
      <c r="M17" s="3"/>
      <c r="N17" s="18" t="s">
        <v>26</v>
      </c>
      <c r="O17" s="18" t="s">
        <v>7</v>
      </c>
      <c r="P17" s="18">
        <f>коэффициенты!G15</f>
        <v>1</v>
      </c>
      <c r="Q17" s="3"/>
      <c r="R17" s="18"/>
      <c r="S17" s="18"/>
      <c r="T17" s="18"/>
      <c r="U17" s="3">
        <v>0</v>
      </c>
      <c r="V17" s="18" t="s">
        <v>75</v>
      </c>
      <c r="W17" s="18" t="s">
        <v>5</v>
      </c>
      <c r="X17" s="18">
        <f>коэффициенты!G18</f>
        <v>1.1229</v>
      </c>
    </row>
    <row r="18" spans="1:24" x14ac:dyDescent="0.25">
      <c r="A18" s="3">
        <v>0</v>
      </c>
      <c r="B18" s="18" t="s">
        <v>46</v>
      </c>
      <c r="C18" s="18" t="s">
        <v>7</v>
      </c>
      <c r="D18" s="18">
        <f>коэффициенты!G8</f>
        <v>1</v>
      </c>
      <c r="E18" s="3">
        <v>0</v>
      </c>
      <c r="F18" s="18" t="s">
        <v>49</v>
      </c>
      <c r="G18" s="18" t="s">
        <v>7</v>
      </c>
      <c r="H18" s="18">
        <f>коэффициенты!G11</f>
        <v>1</v>
      </c>
      <c r="I18" s="3"/>
      <c r="J18" s="18" t="s">
        <v>24</v>
      </c>
      <c r="K18" s="18" t="s">
        <v>7</v>
      </c>
      <c r="L18" s="18">
        <f>коэффициенты!G13</f>
        <v>1</v>
      </c>
      <c r="M18" s="3"/>
      <c r="N18" s="18" t="s">
        <v>26</v>
      </c>
      <c r="O18" s="18" t="s">
        <v>7</v>
      </c>
      <c r="P18" s="18">
        <f>коэффициенты!G15</f>
        <v>1</v>
      </c>
      <c r="Q18" s="3"/>
      <c r="R18" s="18"/>
      <c r="S18" s="18"/>
      <c r="T18" s="18"/>
      <c r="U18" s="3"/>
      <c r="V18" s="18" t="s">
        <v>75</v>
      </c>
      <c r="W18" s="18" t="s">
        <v>5</v>
      </c>
      <c r="X18" s="18">
        <f>коэффициенты!G18</f>
        <v>1.1229</v>
      </c>
    </row>
    <row r="19" spans="1:24" ht="23.25" x14ac:dyDescent="0.25">
      <c r="A19" s="27" t="s">
        <v>72</v>
      </c>
      <c r="B19" s="212" t="s">
        <v>71</v>
      </c>
      <c r="C19" s="213"/>
      <c r="D19" s="93"/>
      <c r="E19" s="27" t="s">
        <v>72</v>
      </c>
      <c r="F19" s="212" t="s">
        <v>71</v>
      </c>
      <c r="G19" s="213"/>
      <c r="H19" s="93"/>
      <c r="I19" s="27" t="s">
        <v>72</v>
      </c>
      <c r="J19" s="212" t="s">
        <v>71</v>
      </c>
      <c r="K19" s="213"/>
      <c r="L19" s="93"/>
      <c r="M19" s="27" t="s">
        <v>72</v>
      </c>
      <c r="N19" s="212" t="s">
        <v>71</v>
      </c>
      <c r="O19" s="213"/>
      <c r="P19" s="93"/>
      <c r="Q19" s="27" t="s">
        <v>72</v>
      </c>
      <c r="R19" s="212" t="s">
        <v>71</v>
      </c>
      <c r="S19" s="213"/>
      <c r="T19" s="91"/>
      <c r="U19" s="27" t="s">
        <v>72</v>
      </c>
      <c r="V19" s="212" t="s">
        <v>71</v>
      </c>
      <c r="W19" s="213"/>
      <c r="X19" s="94"/>
    </row>
    <row r="20" spans="1:24" s="10" customFormat="1" ht="15.75" thickBot="1" x14ac:dyDescent="0.3">
      <c r="B20" s="10" t="str">
        <f>IF(A20=$A$17,$B$17,IF(A20=$A$16,$B$16,IF(A20=$A$8,$B$8,IF(A20=$A$9,$B$9,IF(A20=$A$10,$B$10,IF(A20=$A$11,$B$11,IF(A20=$A$12,$B$12,IF(A20=$A$13,$B$13,IF(A20=$A$14,$B$14,IF(A20=$A$15,$B$15,IF(A20=$A$18,B$18,$B$7)))))))))))</f>
        <v>Отсутствие газоснабжения</v>
      </c>
      <c r="C20" s="10" t="str">
        <f>VLOOKUP(B20,$B$7:$C$18,2,FALSE)</f>
        <v>NO</v>
      </c>
      <c r="D20" s="10">
        <f>VLOOKUP(B20,$B$7:$D$18,3,FALSE)</f>
        <v>1</v>
      </c>
      <c r="E20" s="10" t="s">
        <v>32</v>
      </c>
      <c r="F20" s="10" t="str">
        <f>IF(E20=$E$16,$F$17,IF(E20=$E$15,$F$16,IF(E20=$E$7,$F$8,IF(E20=$E$8,$F$9,IF(E20=$E$9,$F$10,IF(E20=$E$10,$F$11,IF(E20=$E$11,$F$12,IF(E20=$E$12,$F$13,IF(E20=$E$13,$F$14,IF(E20=$E$14,$F$15,IF(E20=$E$17,F$18,$F$7)))))))))))</f>
        <v>Ошибка определения</v>
      </c>
      <c r="G20" s="10" t="str">
        <f>VLOOKUP(F20,$F$7:$G$18,2,FALSE)</f>
        <v>!MST!</v>
      </c>
      <c r="H20" s="10">
        <f>VLOOKUP(F20,$F$7:$H$18,3,FALSE)</f>
        <v>0</v>
      </c>
      <c r="I20" s="10" t="s">
        <v>22</v>
      </c>
      <c r="J20" s="10" t="str">
        <f>IF(I20=$I$8,$J$8,IF(I20=$I$9,$J$9,IF(I20=$I$10,$J$10,IF(I20=$I$11,$J$11,IF(I20=$I$12,$J$12,IF(I20=$I$13,$J$13,IF(I20=$I$14,$J$14,IF(I20=$I$15,$J$15,IF(I20=$I$18,J$18,$J$7)))))))))</f>
        <v>Наличие водоснабжения</v>
      </c>
      <c r="K20" s="10" t="str">
        <f>VLOOKUP(J20,$J$7:$K$18,2,FALSE)</f>
        <v>YS</v>
      </c>
      <c r="L20" s="10">
        <f>VLOOKUP(J20,$J$7:$L$18,3,FALSE)</f>
        <v>1.5834999999999999</v>
      </c>
      <c r="M20" s="10" t="s">
        <v>32</v>
      </c>
      <c r="N20" s="10" t="str">
        <f>IF(M20=$M$8,$N$8,IF(M20=$M$9,$N$9,IF(M20=$M$10,$N$10,IF(M20=$M$11,$N$11,IF(M20=$M$12,$N$12,IF(M20=$M$13,$N$13,IF(M20=$M$14,$N$14,IF(M20=$M$15,$N$15,IF(M20=$M$18,N$18,$N$7)))))))))</f>
        <v>Ошибка определения</v>
      </c>
      <c r="O20" s="10" t="str">
        <f>VLOOKUP(N20,$N$7:$O$18,2,FALSE)</f>
        <v>!MST!</v>
      </c>
      <c r="P20" s="10">
        <f>VLOOKUP(N20,$N$7:$P$18,3,FALSE)</f>
        <v>0</v>
      </c>
      <c r="R20" s="10" t="str">
        <f>IF(Q20=$Q$8,$R$8,IF(Q20=$Q$9,$R$9,IF(Q20=$Q$10,$R$10,IF(Q20=$Q$11,$R$11,IF(Q20=$Q$12,$R$12,IF(Q20=$Q$13,$R$13,IF(Q20=$Q$14,$R$14,IF(Q20=$Q$15,$R$15,IF(Q20=$Q$16,R$16,$R$7)))))))))</f>
        <v>Отсутствие ЛЭП</v>
      </c>
      <c r="S20" s="10" t="str">
        <f>VLOOKUP(R20,$R$7:$S$16,2,FALSE)</f>
        <v>YS</v>
      </c>
      <c r="T20" s="10">
        <f>VLOOKUP(R20,$R$7:$T$16,3,FALSE)</f>
        <v>1</v>
      </c>
      <c r="U20"/>
      <c r="V20" s="25" t="str">
        <f>IF(U20=$U$7,$V$7,IF(U20=$U$8,$V$8,IF(U20=$U$9,$V$9,IF(U20=$U$10,$V$10,IF(U20=$U$11,$V$11,IF(U20=$U$12,$V$12,IF(U20=$U$13,$V$13,IF(U20=$U$14,$V$14,IF(U20=$U$15,$V$15,IF(U20=$U$16,$V$16,IF(U20=$U$17,V$17,$V$7)))))))))))</f>
        <v>Наличие подъезда</v>
      </c>
      <c r="W20" s="26" t="str">
        <f>VLOOKUP(V20,$V$7:$W$17,2,FALSE)</f>
        <v>YS</v>
      </c>
      <c r="X20" s="26">
        <f>VLOOKUP(V20,$V$7:$X$17,3,FALSE)</f>
        <v>1.1229</v>
      </c>
    </row>
    <row r="21" spans="1:24" x14ac:dyDescent="0.25">
      <c r="H21" s="17"/>
      <c r="L21" s="17"/>
      <c r="P21" s="17"/>
      <c r="S21" s="3"/>
      <c r="T21" s="18"/>
      <c r="U21" s="17"/>
      <c r="V21" s="18"/>
      <c r="W21" s="18"/>
      <c r="X21" s="18"/>
    </row>
    <row r="22" spans="1:24" s="6" customFormat="1" x14ac:dyDescent="0.25">
      <c r="A22" s="6" t="s">
        <v>38</v>
      </c>
    </row>
    <row r="23" spans="1:24" s="17" customFormat="1" ht="15.75" thickBot="1" x14ac:dyDescent="0.3"/>
    <row r="24" spans="1:24" s="17" customFormat="1" x14ac:dyDescent="0.25">
      <c r="A24" s="221" t="str">
        <f xml:space="preserve">  коэффициенты!B20</f>
        <v>Зона влияния ИЖС</v>
      </c>
      <c r="B24" s="222"/>
      <c r="C24" s="222"/>
      <c r="D24" s="223"/>
      <c r="E24" s="18"/>
      <c r="F24" s="217" t="s">
        <v>173</v>
      </c>
      <c r="G24" s="218"/>
      <c r="H24" s="105"/>
      <c r="J24" s="214" t="str">
        <f xml:space="preserve">  коэффициенты!B3</f>
        <v>Вид разрешенного использования</v>
      </c>
      <c r="K24" s="214"/>
      <c r="L24" s="214"/>
      <c r="M24" s="214"/>
    </row>
    <row r="25" spans="1:24" s="17" customFormat="1" x14ac:dyDescent="0.25">
      <c r="A25" s="108"/>
      <c r="B25" s="8"/>
      <c r="C25" s="18"/>
      <c r="D25" s="8"/>
      <c r="E25" s="8"/>
      <c r="F25" s="18"/>
      <c r="G25" s="5"/>
      <c r="J25" s="215"/>
      <c r="K25" s="215"/>
      <c r="L25" s="215"/>
      <c r="M25" s="215"/>
    </row>
    <row r="26" spans="1:24" s="16" customFormat="1" ht="11.25" x14ac:dyDescent="0.2">
      <c r="A26" s="109" t="str">
        <f xml:space="preserve">  коэффициенты!D1</f>
        <v>Градации (код)</v>
      </c>
      <c r="B26" s="106" t="str">
        <f xml:space="preserve">  коэффициенты!E1</f>
        <v>Возможные градации (описание)</v>
      </c>
      <c r="C26" s="107"/>
      <c r="D26" s="115" t="str">
        <f xml:space="preserve">  коэффициенты!G1</f>
        <v>Значение градации</v>
      </c>
      <c r="E26" s="103"/>
      <c r="F26" s="137" t="s">
        <v>175</v>
      </c>
      <c r="G26" s="114" t="s">
        <v>174</v>
      </c>
      <c r="H26" s="103"/>
      <c r="I26" s="15" t="s">
        <v>84</v>
      </c>
      <c r="J26" s="15" t="str">
        <f xml:space="preserve">  коэффициенты!D1</f>
        <v>Градации (код)</v>
      </c>
      <c r="K26" s="15" t="s">
        <v>85</v>
      </c>
      <c r="L26" s="15" t="str">
        <f xml:space="preserve">  коэффициенты!E1</f>
        <v>Возможные градации (описание)</v>
      </c>
      <c r="M26" s="15" t="str">
        <f xml:space="preserve">  коэффициенты!G1</f>
        <v>Значение градации</v>
      </c>
    </row>
    <row r="27" spans="1:24" s="17" customFormat="1" x14ac:dyDescent="0.25">
      <c r="A27" s="110" t="str">
        <f>коэффициенты!D20</f>
        <v>ee</v>
      </c>
      <c r="B27" s="2" t="str">
        <f>коэффициенты!E20</f>
        <v>Восток</v>
      </c>
      <c r="C27" s="18" t="str">
        <f>B27</f>
        <v>Восток</v>
      </c>
      <c r="D27" s="102">
        <f>коэффициенты!G20</f>
        <v>0.45540000000000003</v>
      </c>
      <c r="E27" s="18"/>
      <c r="F27" s="138" t="s">
        <v>218</v>
      </c>
      <c r="G27" s="135">
        <v>7.8010000000000002</v>
      </c>
      <c r="I27" s="17" t="s">
        <v>50</v>
      </c>
      <c r="J27" s="18" t="s">
        <v>2</v>
      </c>
      <c r="K27" s="17" t="s">
        <v>51</v>
      </c>
      <c r="L27" s="17" t="str">
        <f xml:space="preserve">  коэффициенты!E5</f>
        <v>Индивидуальные поселения</v>
      </c>
      <c r="M27" s="18">
        <f>ROUND(  коэффициенты!G5,4)</f>
        <v>1.5927</v>
      </c>
    </row>
    <row r="28" spans="1:24" s="17" customFormat="1" x14ac:dyDescent="0.25">
      <c r="A28" s="110" t="str">
        <f>коэффициенты!D21</f>
        <v>ne1</v>
      </c>
      <c r="B28" s="2" t="str">
        <f>коэффициенты!E21</f>
        <v>Северо-Восток_1</v>
      </c>
      <c r="C28" s="18" t="str">
        <f t="shared" ref="C28:C41" si="0">B28</f>
        <v>Северо-Восток_1</v>
      </c>
      <c r="D28" s="102">
        <f>коэффициенты!G21</f>
        <v>0.248</v>
      </c>
      <c r="E28" s="18"/>
      <c r="F28" s="138" t="s">
        <v>192</v>
      </c>
      <c r="G28" s="135">
        <v>7.0773999999999999</v>
      </c>
      <c r="I28" s="17" t="s">
        <v>52</v>
      </c>
      <c r="J28" s="18" t="s">
        <v>2</v>
      </c>
      <c r="K28" s="17" t="s">
        <v>43</v>
      </c>
      <c r="L28" s="17" t="str">
        <f xml:space="preserve">  коэффициенты!E5</f>
        <v>Индивидуальные поселения</v>
      </c>
      <c r="M28" s="17">
        <f>ROUND(  коэффициенты!G5,4)</f>
        <v>1.5927</v>
      </c>
    </row>
    <row r="29" spans="1:24" s="17" customFormat="1" x14ac:dyDescent="0.25">
      <c r="A29" s="110" t="str">
        <f>коэффициенты!D22</f>
        <v>ne2</v>
      </c>
      <c r="B29" s="2" t="str">
        <f>коэффициенты!E22</f>
        <v>Северо-Восток_2</v>
      </c>
      <c r="C29" s="18" t="str">
        <f t="shared" si="0"/>
        <v>Северо-Восток_2</v>
      </c>
      <c r="D29" s="102">
        <f>коэффициенты!G22</f>
        <v>0.3836</v>
      </c>
      <c r="E29" s="18"/>
      <c r="F29" s="138" t="s">
        <v>194</v>
      </c>
      <c r="G29" s="135">
        <v>4.8952999999999998</v>
      </c>
      <c r="I29" s="17" t="s">
        <v>53</v>
      </c>
      <c r="J29" s="18" t="s">
        <v>2</v>
      </c>
      <c r="K29" s="17" t="s">
        <v>54</v>
      </c>
      <c r="L29" s="17" t="str">
        <f xml:space="preserve">  коэффициенты!E5</f>
        <v>Индивидуальные поселения</v>
      </c>
      <c r="M29" s="17">
        <f>ROUND(  коэффициенты!G5,4)</f>
        <v>1.5927</v>
      </c>
    </row>
    <row r="30" spans="1:24" s="17" customFormat="1" x14ac:dyDescent="0.25">
      <c r="A30" s="110" t="str">
        <f>коэффициенты!D23</f>
        <v>nw</v>
      </c>
      <c r="B30" s="2" t="str">
        <f>коэффициенты!E23</f>
        <v>Северо-Запад</v>
      </c>
      <c r="C30" s="18" t="str">
        <f t="shared" si="0"/>
        <v>Северо-Запад</v>
      </c>
      <c r="D30" s="102">
        <f>коэффициенты!G23</f>
        <v>0.21779999999999999</v>
      </c>
      <c r="E30" s="18"/>
      <c r="F30" s="138" t="s">
        <v>196</v>
      </c>
      <c r="G30" s="135">
        <v>7.1043000000000003</v>
      </c>
      <c r="I30" s="17" t="s">
        <v>55</v>
      </c>
      <c r="J30" s="18" t="s">
        <v>2</v>
      </c>
      <c r="K30" s="17" t="s">
        <v>56</v>
      </c>
      <c r="L30" s="17" t="str">
        <f xml:space="preserve">  коэффициенты!E5</f>
        <v>Индивидуальные поселения</v>
      </c>
      <c r="M30" s="17">
        <f>ROUND(  коэффициенты!G5,4)</f>
        <v>1.5927</v>
      </c>
    </row>
    <row r="31" spans="1:24" s="17" customFormat="1" x14ac:dyDescent="0.25">
      <c r="A31" s="110" t="str">
        <f>коэффициенты!D24</f>
        <v>nn</v>
      </c>
      <c r="B31" s="2" t="str">
        <f>коэффициенты!E24</f>
        <v>Север</v>
      </c>
      <c r="C31" s="18" t="str">
        <f t="shared" si="0"/>
        <v>Север</v>
      </c>
      <c r="D31" s="102">
        <f>коэффициенты!G24</f>
        <v>0.248</v>
      </c>
      <c r="E31" s="18"/>
      <c r="F31" s="138" t="s">
        <v>200</v>
      </c>
      <c r="G31" s="135">
        <v>5.4484000000000004</v>
      </c>
      <c r="I31" s="17" t="s">
        <v>65</v>
      </c>
      <c r="J31" s="18" t="s">
        <v>2</v>
      </c>
      <c r="K31" s="17" t="s">
        <v>66</v>
      </c>
      <c r="L31" s="17" t="str">
        <f xml:space="preserve">  коэффициенты!E5</f>
        <v>Индивидуальные поселения</v>
      </c>
      <c r="M31" s="17">
        <f>ROUND(  коэффициенты!G5,4)</f>
        <v>1.5927</v>
      </c>
    </row>
    <row r="32" spans="1:24" s="17" customFormat="1" x14ac:dyDescent="0.25">
      <c r="A32" s="110" t="str">
        <f>коэффициенты!D25</f>
        <v>se1</v>
      </c>
      <c r="B32" s="2" t="str">
        <f>коэффициенты!E25</f>
        <v>Юго-Восток_1</v>
      </c>
      <c r="C32" s="18" t="str">
        <f t="shared" si="0"/>
        <v>Юго-Восток_1</v>
      </c>
      <c r="D32" s="102">
        <f>коэффициенты!G25</f>
        <v>0.25130000000000002</v>
      </c>
      <c r="E32" s="18"/>
      <c r="F32" s="138" t="s">
        <v>198</v>
      </c>
      <c r="G32" s="135">
        <v>8.6542999999999992</v>
      </c>
      <c r="I32" s="17" t="s">
        <v>67</v>
      </c>
      <c r="J32" s="18" t="s">
        <v>2</v>
      </c>
      <c r="K32" s="17" t="s">
        <v>68</v>
      </c>
      <c r="L32" s="17" t="str">
        <f xml:space="preserve">  коэффициенты!E5</f>
        <v>Индивидуальные поселения</v>
      </c>
      <c r="M32" s="17">
        <f>ROUND(  коэффициенты!G5,4)</f>
        <v>1.5927</v>
      </c>
    </row>
    <row r="33" spans="1:13" s="17" customFormat="1" x14ac:dyDescent="0.25">
      <c r="A33" s="110" t="str">
        <f>коэффициенты!D26</f>
        <v>se2</v>
      </c>
      <c r="B33" s="2" t="str">
        <f>коэффициенты!E26</f>
        <v>Юго-Восток_2</v>
      </c>
      <c r="C33" s="18" t="str">
        <f t="shared" si="0"/>
        <v>Юго-Восток_2</v>
      </c>
      <c r="D33" s="102">
        <f>коэффициенты!G26</f>
        <v>0.21490000000000001</v>
      </c>
      <c r="E33" s="18"/>
      <c r="F33" s="138" t="s">
        <v>202</v>
      </c>
      <c r="G33" s="135">
        <v>7.0880000000000001</v>
      </c>
      <c r="I33" s="17" t="s">
        <v>57</v>
      </c>
      <c r="J33" s="18" t="s">
        <v>2</v>
      </c>
      <c r="K33" s="17" t="s">
        <v>58</v>
      </c>
      <c r="L33" s="17" t="str">
        <f xml:space="preserve">  коэффициенты!E5</f>
        <v>Индивидуальные поселения</v>
      </c>
      <c r="M33" s="17">
        <f>ROUND(  коэффициенты!G5,4)</f>
        <v>1.5927</v>
      </c>
    </row>
    <row r="34" spans="1:13" s="17" customFormat="1" x14ac:dyDescent="0.25">
      <c r="A34" s="110" t="str">
        <f>коэффициенты!D27</f>
        <v>ss</v>
      </c>
      <c r="B34" s="2" t="str">
        <f>коэффициенты!E27</f>
        <v>Юг</v>
      </c>
      <c r="C34" s="18" t="str">
        <f t="shared" si="0"/>
        <v>Юг</v>
      </c>
      <c r="D34" s="102">
        <f>коэффициенты!G27</f>
        <v>0.22589999999999999</v>
      </c>
      <c r="E34" s="18"/>
      <c r="F34" s="138" t="s">
        <v>204</v>
      </c>
      <c r="G34" s="135">
        <v>9.0690000000000008</v>
      </c>
      <c r="I34" s="17" t="s">
        <v>59</v>
      </c>
      <c r="J34" s="18" t="s">
        <v>2</v>
      </c>
      <c r="K34" s="17" t="s">
        <v>60</v>
      </c>
      <c r="L34" s="17" t="str">
        <f xml:space="preserve">  коэффициенты!E5</f>
        <v>Индивидуальные поселения</v>
      </c>
      <c r="M34" s="17">
        <f>ROUND(  коэффициенты!G5,4)</f>
        <v>1.5927</v>
      </c>
    </row>
    <row r="35" spans="1:13" s="17" customFormat="1" x14ac:dyDescent="0.25">
      <c r="A35" s="110" t="str">
        <f>коэффициенты!D28</f>
        <v>sw1</v>
      </c>
      <c r="B35" s="2" t="str">
        <f>коэффициенты!E28</f>
        <v>Юго-Запад_1</v>
      </c>
      <c r="C35" s="18" t="str">
        <f t="shared" si="0"/>
        <v>Юго-Запад_1</v>
      </c>
      <c r="D35" s="102">
        <f>коэффициенты!G28</f>
        <v>0.21879999999999999</v>
      </c>
      <c r="E35" s="18"/>
      <c r="F35" s="138" t="s">
        <v>87</v>
      </c>
      <c r="G35" s="135">
        <v>5.4829999999999997</v>
      </c>
      <c r="I35" s="17" t="s">
        <v>61</v>
      </c>
      <c r="J35" s="18" t="s">
        <v>0</v>
      </c>
      <c r="K35" s="17" t="s">
        <v>20</v>
      </c>
      <c r="L35" s="1" t="str">
        <f xml:space="preserve">  коэффициенты!E3</f>
        <v>Садовые объединения</v>
      </c>
      <c r="M35" s="17">
        <f>ROUND(  коэффициенты!G3,4)</f>
        <v>1</v>
      </c>
    </row>
    <row r="36" spans="1:13" s="17" customFormat="1" x14ac:dyDescent="0.25">
      <c r="A36" s="110" t="str">
        <f>коэффициенты!D29</f>
        <v>sw2</v>
      </c>
      <c r="B36" s="2" t="str">
        <f>коэффициенты!E29</f>
        <v>Юго-Запад_2</v>
      </c>
      <c r="C36" s="18" t="str">
        <f t="shared" si="0"/>
        <v>Юго-Запад_2</v>
      </c>
      <c r="D36" s="102">
        <f>коэффициенты!G29</f>
        <v>0.18329999999999999</v>
      </c>
      <c r="E36" s="18"/>
      <c r="F36" s="138" t="s">
        <v>206</v>
      </c>
      <c r="G36" s="135">
        <v>17.792200000000001</v>
      </c>
      <c r="I36" s="17" t="s">
        <v>62</v>
      </c>
      <c r="J36" s="18" t="s">
        <v>0</v>
      </c>
      <c r="K36" s="17" t="s">
        <v>63</v>
      </c>
      <c r="L36" s="1" t="str">
        <f xml:space="preserve">  коэффициенты!E3</f>
        <v>Садовые объединения</v>
      </c>
      <c r="M36" s="17">
        <f>ROUND(  коэффициенты!G3,4)</f>
        <v>1</v>
      </c>
    </row>
    <row r="37" spans="1:13" s="17" customFormat="1" x14ac:dyDescent="0.25">
      <c r="A37" s="110" t="str">
        <f>коэффициенты!D30</f>
        <v>sw3</v>
      </c>
      <c r="B37" s="2" t="str">
        <f>коэффициенты!E30</f>
        <v>Юго-Запад_3</v>
      </c>
      <c r="C37" s="18" t="str">
        <f t="shared" si="0"/>
        <v>Юго-Запад_3</v>
      </c>
      <c r="D37" s="102">
        <f>коэффициенты!G30</f>
        <v>0.1719</v>
      </c>
      <c r="E37" s="18"/>
      <c r="F37" s="138" t="s">
        <v>208</v>
      </c>
      <c r="G37" s="135">
        <v>22.8126</v>
      </c>
      <c r="I37" s="17" t="s">
        <v>64</v>
      </c>
      <c r="J37" s="18" t="s">
        <v>1</v>
      </c>
      <c r="K37" s="17" t="s">
        <v>42</v>
      </c>
      <c r="L37" s="1" t="str">
        <f xml:space="preserve">  коэффициенты!E4</f>
        <v>Дачные и коттеджные объединения</v>
      </c>
      <c r="M37" s="17">
        <f>ROUND(  коэффициенты!G4,4)</f>
        <v>1.1419999999999999</v>
      </c>
    </row>
    <row r="38" spans="1:13" s="17" customFormat="1" x14ac:dyDescent="0.25">
      <c r="A38" s="110" t="str">
        <f>коэффициенты!D31</f>
        <v>sw4</v>
      </c>
      <c r="B38" s="2" t="str">
        <f>коэффициенты!E31</f>
        <v>Юго-Запад_4</v>
      </c>
      <c r="C38" s="18" t="str">
        <f t="shared" si="0"/>
        <v>Юго-Запад_4</v>
      </c>
      <c r="D38" s="102">
        <f>коэффициенты!G31</f>
        <v>0.37319999999999998</v>
      </c>
      <c r="E38" s="18"/>
      <c r="F38" s="138" t="s">
        <v>210</v>
      </c>
      <c r="G38" s="135">
        <v>7.7827000000000002</v>
      </c>
      <c r="K38" s="9" t="s">
        <v>72</v>
      </c>
      <c r="L38" s="212" t="s">
        <v>71</v>
      </c>
      <c r="M38" s="216"/>
    </row>
    <row r="39" spans="1:13" s="17" customFormat="1" x14ac:dyDescent="0.25">
      <c r="A39" s="110" t="str">
        <f>коэффициенты!D32</f>
        <v>ww1</v>
      </c>
      <c r="B39" s="2" t="str">
        <f>коэффициенты!E32</f>
        <v>Запад_1</v>
      </c>
      <c r="C39" s="18" t="str">
        <f t="shared" si="0"/>
        <v>Запад_1</v>
      </c>
      <c r="D39" s="102">
        <f>коэффициенты!G32</f>
        <v>0.1845</v>
      </c>
      <c r="E39" s="18"/>
      <c r="F39" s="138" t="s">
        <v>212</v>
      </c>
      <c r="G39" s="135">
        <v>14.9373</v>
      </c>
      <c r="K39" s="17" t="s">
        <v>42</v>
      </c>
      <c r="L39" s="18" t="str">
        <f>VLOOKUP(K39,$K$27:$L$37,2,FALSE)</f>
        <v>Дачные и коттеджные объединения</v>
      </c>
      <c r="M39" s="18">
        <f>VLOOKUP(L39,$L$27:$M$37,2,FALSE)</f>
        <v>1.1419999999999999</v>
      </c>
    </row>
    <row r="40" spans="1:13" s="17" customFormat="1" x14ac:dyDescent="0.25">
      <c r="A40" s="110" t="str">
        <f>коэффициенты!D33</f>
        <v>ww2</v>
      </c>
      <c r="B40" s="2" t="str">
        <f>коэффициенты!E33</f>
        <v>Запад_2</v>
      </c>
      <c r="C40" s="18" t="str">
        <f t="shared" si="0"/>
        <v>Запад_2</v>
      </c>
      <c r="D40" s="102">
        <f>коэффициенты!G33</f>
        <v>0.3594</v>
      </c>
      <c r="E40" s="18"/>
      <c r="F40" s="138" t="s">
        <v>214</v>
      </c>
      <c r="G40" s="135">
        <v>8.9428999999999998</v>
      </c>
      <c r="K40" s="18" t="s">
        <v>1</v>
      </c>
      <c r="L40" s="1" t="str">
        <f>VLOOKUP(K40,$J$27:$L$37,3,FALSE)</f>
        <v>Дачные и коттеджные объединения</v>
      </c>
      <c r="M40" s="17">
        <f>VLOOKUP(K40,$J$27:$M$37,4,FALSE)</f>
        <v>1.1419999999999999</v>
      </c>
    </row>
    <row r="41" spans="1:13" s="17" customFormat="1" x14ac:dyDescent="0.25">
      <c r="A41" s="110" t="str">
        <f>коэффициенты!D34</f>
        <v>cc</v>
      </c>
      <c r="B41" s="2" t="str">
        <f>коэффициенты!E34</f>
        <v>Центр</v>
      </c>
      <c r="C41" s="18" t="str">
        <f t="shared" si="0"/>
        <v>Центр</v>
      </c>
      <c r="D41" s="102">
        <f>коэффициенты!G34</f>
        <v>1</v>
      </c>
      <c r="E41" s="18"/>
      <c r="F41" s="138" t="s">
        <v>216</v>
      </c>
      <c r="G41" s="135">
        <v>14.5624</v>
      </c>
    </row>
    <row r="42" spans="1:13" s="17" customFormat="1" x14ac:dyDescent="0.25">
      <c r="A42" s="110"/>
      <c r="B42" s="2"/>
      <c r="C42" s="18"/>
      <c r="D42" s="102"/>
      <c r="E42" s="18"/>
      <c r="F42" s="121" t="s">
        <v>72</v>
      </c>
      <c r="G42" s="136" t="s">
        <v>71</v>
      </c>
    </row>
    <row r="43" spans="1:13" s="17" customFormat="1" x14ac:dyDescent="0.25">
      <c r="B43" s="219" t="s">
        <v>176</v>
      </c>
      <c r="C43" s="220"/>
      <c r="D43" s="104"/>
      <c r="E43" s="3"/>
      <c r="F43" s="5" t="s">
        <v>216</v>
      </c>
      <c r="G43" s="10">
        <f>VLOOKUP(F43,$F$27:$G$41,2,FALSE)</f>
        <v>14.5624</v>
      </c>
    </row>
    <row r="44" spans="1:13" s="17" customFormat="1" x14ac:dyDescent="0.25">
      <c r="A44" s="110" t="s">
        <v>223</v>
      </c>
      <c r="B44" s="2" t="s">
        <v>224</v>
      </c>
      <c r="C44" s="2" t="s">
        <v>87</v>
      </c>
      <c r="D44" s="104"/>
      <c r="E44" s="3"/>
      <c r="F44" s="18"/>
      <c r="G44" s="5"/>
    </row>
    <row r="45" spans="1:13" s="17" customFormat="1" x14ac:dyDescent="0.25">
      <c r="A45" s="111" t="s">
        <v>72</v>
      </c>
      <c r="B45" s="212" t="s">
        <v>71</v>
      </c>
      <c r="C45" s="216"/>
      <c r="D45" s="18"/>
      <c r="E45" s="3"/>
      <c r="F45" s="18"/>
      <c r="G45" s="5"/>
    </row>
    <row r="46" spans="1:13" s="17" customFormat="1" ht="15.75" thickBot="1" x14ac:dyDescent="0.3">
      <c r="A46" s="112" t="s">
        <v>86</v>
      </c>
      <c r="B46" s="113" t="str">
        <f>VLOOKUP(A46,$A$27:$B$44,2,FALSE)</f>
        <v>Юг</v>
      </c>
      <c r="C46" s="113" t="str">
        <f>VLOOKUP(B46,$B$27:$C$44,2,FALSE)</f>
        <v>Юг</v>
      </c>
      <c r="D46" s="113">
        <f>VLOOKUP(C46,$C$27:$D$41,2,FALSE)</f>
        <v>0.22589999999999999</v>
      </c>
      <c r="E46" s="112"/>
      <c r="F46" s="167" t="s">
        <v>7324</v>
      </c>
      <c r="G46" s="26"/>
    </row>
    <row r="47" spans="1:13" s="17" customFormat="1" x14ac:dyDescent="0.25">
      <c r="F47" s="17" t="s">
        <v>1008</v>
      </c>
      <c r="G47" s="17" t="s">
        <v>1009</v>
      </c>
      <c r="I47" s="17" t="s">
        <v>7325</v>
      </c>
      <c r="J47" s="17" t="s">
        <v>7326</v>
      </c>
    </row>
    <row r="48" spans="1:13" s="17" customFormat="1" x14ac:dyDescent="0.25">
      <c r="F48" s="17" t="s">
        <v>1010</v>
      </c>
      <c r="G48" s="17" t="s">
        <v>1011</v>
      </c>
      <c r="I48" s="17" t="s">
        <v>7327</v>
      </c>
      <c r="J48" s="17" t="s">
        <v>1179</v>
      </c>
    </row>
    <row r="49" spans="6:10" s="17" customFormat="1" x14ac:dyDescent="0.25">
      <c r="F49" s="17" t="s">
        <v>1012</v>
      </c>
      <c r="G49" s="17" t="s">
        <v>1011</v>
      </c>
      <c r="I49" s="17" t="s">
        <v>7328</v>
      </c>
      <c r="J49" s="17" t="s">
        <v>6610</v>
      </c>
    </row>
    <row r="50" spans="6:10" s="17" customFormat="1" x14ac:dyDescent="0.25">
      <c r="F50" s="17" t="s">
        <v>1013</v>
      </c>
      <c r="G50" s="17" t="s">
        <v>1014</v>
      </c>
      <c r="I50" s="17" t="s">
        <v>7329</v>
      </c>
      <c r="J50" s="17" t="s">
        <v>1996</v>
      </c>
    </row>
    <row r="51" spans="6:10" s="17" customFormat="1" x14ac:dyDescent="0.25">
      <c r="F51" s="17" t="s">
        <v>1015</v>
      </c>
      <c r="G51" s="17" t="s">
        <v>1011</v>
      </c>
      <c r="I51" s="17" t="s">
        <v>7330</v>
      </c>
      <c r="J51" s="17" t="s">
        <v>1175</v>
      </c>
    </row>
    <row r="52" spans="6:10" s="17" customFormat="1" x14ac:dyDescent="0.25">
      <c r="F52" s="17" t="s">
        <v>1016</v>
      </c>
      <c r="G52" s="17" t="s">
        <v>1014</v>
      </c>
      <c r="I52" s="17" t="s">
        <v>7331</v>
      </c>
      <c r="J52" s="17" t="s">
        <v>2035</v>
      </c>
    </row>
    <row r="53" spans="6:10" s="17" customFormat="1" x14ac:dyDescent="0.25">
      <c r="F53" s="17" t="s">
        <v>1017</v>
      </c>
      <c r="G53" s="17" t="s">
        <v>1014</v>
      </c>
      <c r="I53" s="17" t="s">
        <v>7332</v>
      </c>
      <c r="J53" s="17" t="s">
        <v>6834</v>
      </c>
    </row>
    <row r="54" spans="6:10" s="17" customFormat="1" x14ac:dyDescent="0.25">
      <c r="F54" s="17" t="s">
        <v>1018</v>
      </c>
      <c r="G54" s="17" t="s">
        <v>1014</v>
      </c>
      <c r="I54" s="17" t="s">
        <v>7333</v>
      </c>
      <c r="J54" s="17" t="s">
        <v>2550</v>
      </c>
    </row>
    <row r="55" spans="6:10" s="17" customFormat="1" x14ac:dyDescent="0.25">
      <c r="F55" s="17" t="s">
        <v>1019</v>
      </c>
      <c r="G55" s="17" t="s">
        <v>1014</v>
      </c>
      <c r="I55" s="17" t="s">
        <v>7334</v>
      </c>
      <c r="J55" s="17" t="s">
        <v>2915</v>
      </c>
    </row>
    <row r="56" spans="6:10" s="17" customFormat="1" x14ac:dyDescent="0.25">
      <c r="F56" s="17" t="s">
        <v>1020</v>
      </c>
      <c r="G56" s="17" t="s">
        <v>1014</v>
      </c>
      <c r="I56" s="17" t="s">
        <v>7335</v>
      </c>
      <c r="J56" s="17" t="s">
        <v>6384</v>
      </c>
    </row>
    <row r="57" spans="6:10" s="17" customFormat="1" x14ac:dyDescent="0.25">
      <c r="F57" s="17" t="s">
        <v>1021</v>
      </c>
      <c r="G57" s="17" t="s">
        <v>1014</v>
      </c>
      <c r="I57" s="17" t="s">
        <v>7336</v>
      </c>
      <c r="J57" s="17" t="s">
        <v>1257</v>
      </c>
    </row>
    <row r="58" spans="6:10" s="17" customFormat="1" x14ac:dyDescent="0.25">
      <c r="F58" s="17" t="s">
        <v>1022</v>
      </c>
      <c r="G58" s="17" t="s">
        <v>1011</v>
      </c>
      <c r="I58" s="17" t="s">
        <v>233</v>
      </c>
      <c r="J58" s="17" t="s">
        <v>209</v>
      </c>
    </row>
    <row r="59" spans="6:10" s="17" customFormat="1" x14ac:dyDescent="0.25">
      <c r="F59" s="17" t="s">
        <v>1023</v>
      </c>
      <c r="G59" s="17" t="s">
        <v>1011</v>
      </c>
      <c r="I59" s="17" t="s">
        <v>7337</v>
      </c>
      <c r="J59" s="17" t="s">
        <v>1627</v>
      </c>
    </row>
    <row r="60" spans="6:10" s="17" customFormat="1" x14ac:dyDescent="0.25">
      <c r="F60" s="17" t="s">
        <v>1024</v>
      </c>
      <c r="G60" s="17" t="s">
        <v>1014</v>
      </c>
      <c r="I60" s="17" t="s">
        <v>7338</v>
      </c>
      <c r="J60" s="17" t="s">
        <v>1083</v>
      </c>
    </row>
    <row r="61" spans="6:10" s="17" customFormat="1" x14ac:dyDescent="0.25">
      <c r="F61" s="17" t="s">
        <v>1025</v>
      </c>
      <c r="G61" s="17" t="s">
        <v>1014</v>
      </c>
      <c r="I61" s="17" t="s">
        <v>7339</v>
      </c>
      <c r="J61" s="17" t="s">
        <v>6750</v>
      </c>
    </row>
    <row r="62" spans="6:10" s="17" customFormat="1" x14ac:dyDescent="0.25">
      <c r="F62" s="17" t="s">
        <v>1026</v>
      </c>
      <c r="G62" s="17" t="s">
        <v>1014</v>
      </c>
    </row>
    <row r="63" spans="6:10" s="17" customFormat="1" x14ac:dyDescent="0.25">
      <c r="F63" s="17" t="s">
        <v>1027</v>
      </c>
      <c r="G63" s="17" t="s">
        <v>1014</v>
      </c>
    </row>
    <row r="64" spans="6:10" s="17" customFormat="1" x14ac:dyDescent="0.25">
      <c r="F64" s="17" t="s">
        <v>1028</v>
      </c>
      <c r="G64" s="17" t="s">
        <v>1014</v>
      </c>
    </row>
    <row r="65" spans="1:7" s="17" customFormat="1" x14ac:dyDescent="0.25">
      <c r="A65" s="92"/>
      <c r="F65" s="17" t="s">
        <v>1029</v>
      </c>
      <c r="G65" s="17" t="s">
        <v>1014</v>
      </c>
    </row>
    <row r="66" spans="1:7" s="17" customFormat="1" x14ac:dyDescent="0.25">
      <c r="A66" s="92"/>
      <c r="F66" s="17" t="s">
        <v>1030</v>
      </c>
      <c r="G66" s="17" t="s">
        <v>1014</v>
      </c>
    </row>
    <row r="67" spans="1:7" s="17" customFormat="1" x14ac:dyDescent="0.25">
      <c r="A67" s="92"/>
      <c r="F67" s="17" t="s">
        <v>1031</v>
      </c>
      <c r="G67" s="17" t="s">
        <v>1014</v>
      </c>
    </row>
    <row r="68" spans="1:7" s="17" customFormat="1" x14ac:dyDescent="0.25">
      <c r="A68" s="92"/>
      <c r="F68" s="17" t="s">
        <v>1032</v>
      </c>
      <c r="G68" s="17" t="s">
        <v>1014</v>
      </c>
    </row>
    <row r="69" spans="1:7" s="17" customFormat="1" x14ac:dyDescent="0.25">
      <c r="A69" s="92"/>
      <c r="F69" s="17" t="s">
        <v>1033</v>
      </c>
      <c r="G69" s="17" t="s">
        <v>1014</v>
      </c>
    </row>
    <row r="70" spans="1:7" s="17" customFormat="1" x14ac:dyDescent="0.25">
      <c r="F70" s="17" t="s">
        <v>1034</v>
      </c>
      <c r="G70" s="17" t="s">
        <v>1014</v>
      </c>
    </row>
    <row r="71" spans="1:7" s="17" customFormat="1" x14ac:dyDescent="0.25">
      <c r="F71" s="17" t="s">
        <v>1035</v>
      </c>
      <c r="G71" s="17" t="s">
        <v>1014</v>
      </c>
    </row>
    <row r="72" spans="1:7" s="17" customFormat="1" x14ac:dyDescent="0.25">
      <c r="F72" s="17" t="s">
        <v>1036</v>
      </c>
      <c r="G72" s="17" t="s">
        <v>1014</v>
      </c>
    </row>
    <row r="73" spans="1:7" s="17" customFormat="1" x14ac:dyDescent="0.25">
      <c r="F73" s="17" t="s">
        <v>1037</v>
      </c>
      <c r="G73" s="17" t="s">
        <v>1014</v>
      </c>
    </row>
    <row r="74" spans="1:7" s="17" customFormat="1" x14ac:dyDescent="0.25">
      <c r="F74" s="17" t="s">
        <v>1038</v>
      </c>
      <c r="G74" s="17" t="s">
        <v>1014</v>
      </c>
    </row>
    <row r="75" spans="1:7" s="17" customFormat="1" x14ac:dyDescent="0.25">
      <c r="F75" s="17" t="s">
        <v>1039</v>
      </c>
      <c r="G75" s="17" t="s">
        <v>1014</v>
      </c>
    </row>
    <row r="76" spans="1:7" s="17" customFormat="1" x14ac:dyDescent="0.25">
      <c r="F76" s="17" t="s">
        <v>1040</v>
      </c>
      <c r="G76" s="17" t="s">
        <v>1014</v>
      </c>
    </row>
    <row r="77" spans="1:7" s="17" customFormat="1" x14ac:dyDescent="0.25">
      <c r="F77" s="17" t="s">
        <v>1041</v>
      </c>
      <c r="G77" s="17" t="s">
        <v>1014</v>
      </c>
    </row>
    <row r="78" spans="1:7" s="17" customFormat="1" x14ac:dyDescent="0.25">
      <c r="F78" s="17" t="s">
        <v>1042</v>
      </c>
      <c r="G78" s="17" t="s">
        <v>1014</v>
      </c>
    </row>
    <row r="79" spans="1:7" s="17" customFormat="1" x14ac:dyDescent="0.25">
      <c r="F79" s="17" t="s">
        <v>1043</v>
      </c>
      <c r="G79" s="17" t="s">
        <v>1014</v>
      </c>
    </row>
    <row r="80" spans="1:7" s="17" customFormat="1" x14ac:dyDescent="0.25">
      <c r="F80" s="17" t="s">
        <v>1044</v>
      </c>
      <c r="G80" s="17" t="s">
        <v>1014</v>
      </c>
    </row>
    <row r="81" spans="1:13" s="17" customFormat="1" x14ac:dyDescent="0.25">
      <c r="F81" s="17" t="s">
        <v>1045</v>
      </c>
      <c r="G81" s="17" t="s">
        <v>1046</v>
      </c>
    </row>
    <row r="82" spans="1:13" s="17" customFormat="1" x14ac:dyDescent="0.25">
      <c r="F82" s="17" t="s">
        <v>1047</v>
      </c>
      <c r="G82" s="17" t="s">
        <v>1046</v>
      </c>
    </row>
    <row r="83" spans="1:13" s="17" customFormat="1" x14ac:dyDescent="0.25">
      <c r="F83" s="17" t="s">
        <v>1048</v>
      </c>
      <c r="G83" s="17" t="s">
        <v>1046</v>
      </c>
    </row>
    <row r="84" spans="1:13" s="17" customFormat="1" x14ac:dyDescent="0.25">
      <c r="F84" s="17" t="s">
        <v>1049</v>
      </c>
      <c r="G84" s="17" t="s">
        <v>1046</v>
      </c>
    </row>
    <row r="85" spans="1:13" s="17" customFormat="1" x14ac:dyDescent="0.25">
      <c r="F85" s="17" t="s">
        <v>1050</v>
      </c>
      <c r="G85" s="17" t="s">
        <v>1046</v>
      </c>
    </row>
    <row r="86" spans="1:13" s="17" customFormat="1" x14ac:dyDescent="0.25">
      <c r="F86" s="17" t="s">
        <v>1051</v>
      </c>
      <c r="G86" s="17" t="s">
        <v>1046</v>
      </c>
    </row>
    <row r="87" spans="1:13" s="17" customFormat="1" x14ac:dyDescent="0.25">
      <c r="F87" s="17" t="s">
        <v>1052</v>
      </c>
      <c r="G87" s="17" t="s">
        <v>1046</v>
      </c>
    </row>
    <row r="88" spans="1:13" s="17" customFormat="1" x14ac:dyDescent="0.25">
      <c r="F88" s="17" t="s">
        <v>1053</v>
      </c>
      <c r="G88" s="17" t="s">
        <v>1046</v>
      </c>
    </row>
    <row r="89" spans="1:13" s="17" customFormat="1" x14ac:dyDescent="0.25">
      <c r="F89" s="17" t="s">
        <v>1054</v>
      </c>
      <c r="G89" s="17" t="s">
        <v>1046</v>
      </c>
    </row>
    <row r="90" spans="1:13" s="17" customFormat="1" x14ac:dyDescent="0.25">
      <c r="F90" s="17" t="s">
        <v>1055</v>
      </c>
      <c r="G90" s="17" t="s">
        <v>1046</v>
      </c>
    </row>
    <row r="91" spans="1:13" s="17" customFormat="1" x14ac:dyDescent="0.25">
      <c r="F91" s="17" t="s">
        <v>1056</v>
      </c>
      <c r="G91" s="17" t="s">
        <v>1057</v>
      </c>
    </row>
    <row r="92" spans="1:13" s="17" customFormat="1" x14ac:dyDescent="0.25">
      <c r="F92" s="17" t="s">
        <v>1058</v>
      </c>
      <c r="G92" s="17" t="s">
        <v>1057</v>
      </c>
    </row>
    <row r="93" spans="1:13" s="17" customFormat="1" x14ac:dyDescent="0.25">
      <c r="A93" s="6" t="s">
        <v>152</v>
      </c>
      <c r="B93" s="89"/>
      <c r="C93" s="89"/>
      <c r="D93" s="89"/>
      <c r="E93" s="89"/>
      <c r="F93" s="17" t="s">
        <v>1059</v>
      </c>
      <c r="G93" s="17" t="s">
        <v>1057</v>
      </c>
      <c r="H93" s="89"/>
      <c r="I93" s="89"/>
      <c r="J93" s="89"/>
      <c r="K93" s="89"/>
      <c r="L93" s="89"/>
      <c r="M93" s="89"/>
    </row>
    <row r="94" spans="1:13" s="17" customFormat="1" x14ac:dyDescent="0.25">
      <c r="F94" s="17" t="s">
        <v>1060</v>
      </c>
      <c r="G94" s="17" t="s">
        <v>1011</v>
      </c>
    </row>
    <row r="95" spans="1:13" s="141" customFormat="1" x14ac:dyDescent="0.25">
      <c r="A95" s="139" t="s">
        <v>134</v>
      </c>
      <c r="B95" s="28" t="s">
        <v>153</v>
      </c>
      <c r="C95" s="139"/>
      <c r="D95" s="140"/>
      <c r="E95" s="140"/>
      <c r="F95" s="17" t="s">
        <v>1061</v>
      </c>
      <c r="G95" s="17" t="s">
        <v>1011</v>
      </c>
    </row>
    <row r="96" spans="1:13" s="17" customFormat="1" x14ac:dyDescent="0.25">
      <c r="A96" s="18"/>
      <c r="C96" s="18"/>
      <c r="D96" s="18"/>
      <c r="F96" s="17" t="s">
        <v>1062</v>
      </c>
      <c r="G96" s="17" t="s">
        <v>1011</v>
      </c>
    </row>
    <row r="97" spans="1:13" s="17" customFormat="1" x14ac:dyDescent="0.25">
      <c r="A97" s="18">
        <v>0</v>
      </c>
      <c r="E97" s="17">
        <f>ROUND(( 3.13069866989796E-15*A97^4 + 6.1338708204768E-12*A97^3- 1.95954236270195E-07*A97^2 +  0.000387905519741556*A97 + 0.798784147038265),4)</f>
        <v>0.79879999999999995</v>
      </c>
      <c r="F97" s="17" t="s">
        <v>1063</v>
      </c>
      <c r="G97" s="17" t="s">
        <v>1011</v>
      </c>
      <c r="H97" s="29" t="s">
        <v>135</v>
      </c>
      <c r="I97" s="29" t="s">
        <v>154</v>
      </c>
      <c r="J97" s="29" t="s">
        <v>155</v>
      </c>
      <c r="K97" s="90" t="s">
        <v>156</v>
      </c>
      <c r="L97" s="90" t="s">
        <v>157</v>
      </c>
    </row>
    <row r="98" spans="1:13" s="17" customFormat="1" x14ac:dyDescent="0.25">
      <c r="A98" s="18">
        <v>4200</v>
      </c>
      <c r="E98" s="17">
        <f>ROUND(( 3.13069866989796E-15*A98^4 + 6.1338708204768E-12*A98^3- 1.95954236270195E-07*A98^2 +  0.000387905519741556*A98 + 0.798784147038265),4)</f>
        <v>0.4</v>
      </c>
      <c r="F98" s="17" t="s">
        <v>1064</v>
      </c>
      <c r="G98" s="17" t="s">
        <v>1011</v>
      </c>
      <c r="H98" s="18"/>
      <c r="J98" s="18" t="s">
        <v>158</v>
      </c>
      <c r="K98" s="168">
        <f>ROUND('количественные факторы'!B2,4)</f>
        <v>0.63919999999999999</v>
      </c>
      <c r="L98" s="18"/>
      <c r="M98" s="18"/>
    </row>
    <row r="99" spans="1:13" s="17" customFormat="1" x14ac:dyDescent="0.25">
      <c r="A99" s="9" t="s">
        <v>72</v>
      </c>
      <c r="B99" s="212" t="s">
        <v>71</v>
      </c>
      <c r="C99" s="216"/>
      <c r="D99" s="91"/>
      <c r="E99" s="91"/>
      <c r="F99" s="17" t="s">
        <v>1065</v>
      </c>
      <c r="G99" s="17" t="s">
        <v>1011</v>
      </c>
      <c r="H99" s="18">
        <v>5</v>
      </c>
      <c r="I99" s="97">
        <f>(9.167685587011E-08*(H99)^4+0.0000152896622956704*(H99)^3-0.00161875861673315*(H99)^2+0.0151997782316484*(H99)+0.962501568438211)</f>
        <v>1.0000000000000018</v>
      </c>
      <c r="J99" s="17">
        <f>LN(I99)</f>
        <v>1.7763568394002489E-15</v>
      </c>
      <c r="K99" s="17">
        <f>J99*K98</f>
        <v>1.1354472917446391E-15</v>
      </c>
      <c r="L99" s="17">
        <f>EXP(K99)</f>
        <v>1.0000000000000011</v>
      </c>
      <c r="M99" s="18" t="s">
        <v>159</v>
      </c>
    </row>
    <row r="100" spans="1:13" s="17" customFormat="1" x14ac:dyDescent="0.25">
      <c r="A100" s="18">
        <v>4100</v>
      </c>
      <c r="B100" s="17">
        <f>ROUND(IF(A100&lt;$A$97,$E$97,IF(A100&gt;$A$98,$E$98,( 3.13069866989796E-15*A100^4 + 6.1338708204768E-12*A100^3- 1.95954236270195E-07*A100^2 +  0.000387905519741556*A100 + 0.798784147038265))),4)</f>
        <v>0.40260000000000001</v>
      </c>
      <c r="C100" s="18"/>
      <c r="D100" s="18"/>
      <c r="E100" s="18"/>
      <c r="F100" s="17" t="s">
        <v>1066</v>
      </c>
      <c r="G100" s="17" t="s">
        <v>1067</v>
      </c>
      <c r="H100" s="18">
        <v>27.5</v>
      </c>
      <c r="I100" s="97">
        <f>(9.167685587011E-08*(H100)^4+0.0000152896622956704*(H100)^3-0.00161875861673315*(H100)^2+0.0151997782316484*(H100)+0.962501568438211)</f>
        <v>0.52671774453726927</v>
      </c>
      <c r="J100" s="17">
        <f>LN(I100)</f>
        <v>-0.64109046303319772</v>
      </c>
      <c r="K100" s="17">
        <f>J100*K98</f>
        <v>-0.40978502397081995</v>
      </c>
      <c r="L100" s="17">
        <f>EXP(K100)</f>
        <v>0.66379293436815334</v>
      </c>
      <c r="M100" s="18" t="s">
        <v>160</v>
      </c>
    </row>
    <row r="101" spans="1:13" s="17" customFormat="1" x14ac:dyDescent="0.25">
      <c r="B101" s="17">
        <f>( 3.13069866989796E-15*A100^4 + 6.1338708204768E-12*A100^3- 1.95954236270195E-07*A100^2 +  0.000387905519741556*A100 + 0.798784147038265)</f>
        <v>0.40261919750970099</v>
      </c>
      <c r="F101" s="17" t="s">
        <v>1068</v>
      </c>
      <c r="G101" s="17" t="s">
        <v>1067</v>
      </c>
      <c r="J101" s="18"/>
    </row>
    <row r="102" spans="1:13" s="17" customFormat="1" x14ac:dyDescent="0.25">
      <c r="F102" s="17" t="s">
        <v>1069</v>
      </c>
      <c r="G102" s="17" t="s">
        <v>1067</v>
      </c>
      <c r="H102" s="9" t="s">
        <v>72</v>
      </c>
      <c r="I102" s="212" t="s">
        <v>71</v>
      </c>
      <c r="J102" s="216"/>
    </row>
    <row r="103" spans="1:13" s="17" customFormat="1" x14ac:dyDescent="0.25">
      <c r="F103" s="17" t="s">
        <v>1070</v>
      </c>
      <c r="G103" s="17" t="s">
        <v>1067</v>
      </c>
      <c r="H103" s="18">
        <v>7.07</v>
      </c>
      <c r="I103" s="17">
        <f>ROUND((EXP(LN(IF(H103&lt;$H$99,$I$99,IF(H103&gt;$H$100,$I$100,(((9.167685587011E-08*(H103)^4+0.0000152896622956704*(H103)^3-0.00161875861673315*(H103)^2+0.0151997782316484*(H103)+0.962501568438211))))))*$K$98)),4)</f>
        <v>0.99660000000000004</v>
      </c>
    </row>
    <row r="104" spans="1:13" s="17" customFormat="1" x14ac:dyDescent="0.25">
      <c r="F104" s="17" t="s">
        <v>1071</v>
      </c>
      <c r="G104" s="17" t="s">
        <v>1067</v>
      </c>
    </row>
    <row r="105" spans="1:13" s="17" customFormat="1" x14ac:dyDescent="0.25">
      <c r="F105" s="17" t="s">
        <v>1072</v>
      </c>
      <c r="G105" s="17" t="s">
        <v>1067</v>
      </c>
    </row>
    <row r="106" spans="1:13" s="17" customFormat="1" x14ac:dyDescent="0.25">
      <c r="A106" s="17" t="s">
        <v>161</v>
      </c>
      <c r="F106" s="17" t="s">
        <v>1073</v>
      </c>
      <c r="G106" s="17" t="s">
        <v>1067</v>
      </c>
    </row>
    <row r="107" spans="1:13" s="17" customFormat="1" x14ac:dyDescent="0.25">
      <c r="F107" s="17" t="s">
        <v>1074</v>
      </c>
      <c r="G107" s="17" t="s">
        <v>1067</v>
      </c>
      <c r="H107" s="18"/>
    </row>
    <row r="108" spans="1:13" s="17" customFormat="1" x14ac:dyDescent="0.25">
      <c r="F108" s="17" t="s">
        <v>1075</v>
      </c>
      <c r="G108" s="17" t="s">
        <v>1067</v>
      </c>
    </row>
    <row r="109" spans="1:13" s="17" customFormat="1" x14ac:dyDescent="0.25">
      <c r="F109" s="17" t="s">
        <v>1076</v>
      </c>
      <c r="G109" s="17" t="s">
        <v>1067</v>
      </c>
    </row>
    <row r="110" spans="1:13" s="17" customFormat="1" x14ac:dyDescent="0.25">
      <c r="F110" s="17" t="s">
        <v>1077</v>
      </c>
      <c r="G110" s="17" t="s">
        <v>1067</v>
      </c>
    </row>
    <row r="111" spans="1:13" s="17" customFormat="1" x14ac:dyDescent="0.25">
      <c r="F111" s="17" t="s">
        <v>1078</v>
      </c>
      <c r="G111" s="17" t="s">
        <v>1067</v>
      </c>
    </row>
    <row r="112" spans="1:13" s="17" customFormat="1" x14ac:dyDescent="0.25">
      <c r="F112" s="17" t="s">
        <v>1079</v>
      </c>
      <c r="G112" s="17" t="s">
        <v>1067</v>
      </c>
    </row>
    <row r="113" spans="6:7" s="17" customFormat="1" x14ac:dyDescent="0.25">
      <c r="F113" s="17" t="s">
        <v>1080</v>
      </c>
      <c r="G113" s="17" t="s">
        <v>1067</v>
      </c>
    </row>
    <row r="114" spans="6:7" s="17" customFormat="1" x14ac:dyDescent="0.25">
      <c r="F114" s="17" t="s">
        <v>1081</v>
      </c>
      <c r="G114" s="17" t="s">
        <v>1067</v>
      </c>
    </row>
    <row r="115" spans="6:7" s="17" customFormat="1" x14ac:dyDescent="0.25">
      <c r="F115" s="17" t="s">
        <v>1082</v>
      </c>
      <c r="G115" s="17" t="s">
        <v>1083</v>
      </c>
    </row>
    <row r="116" spans="6:7" s="17" customFormat="1" x14ac:dyDescent="0.25">
      <c r="F116" s="17" t="s">
        <v>1084</v>
      </c>
      <c r="G116" s="17" t="s">
        <v>1083</v>
      </c>
    </row>
    <row r="117" spans="6:7" s="17" customFormat="1" x14ac:dyDescent="0.25">
      <c r="F117" s="17" t="s">
        <v>1085</v>
      </c>
      <c r="G117" s="17" t="s">
        <v>1083</v>
      </c>
    </row>
    <row r="118" spans="6:7" s="17" customFormat="1" x14ac:dyDescent="0.25">
      <c r="F118" s="17" t="s">
        <v>1086</v>
      </c>
      <c r="G118" s="17" t="s">
        <v>1083</v>
      </c>
    </row>
    <row r="119" spans="6:7" s="17" customFormat="1" x14ac:dyDescent="0.25">
      <c r="F119" s="17" t="s">
        <v>1087</v>
      </c>
      <c r="G119" s="17" t="s">
        <v>1083</v>
      </c>
    </row>
    <row r="120" spans="6:7" s="17" customFormat="1" x14ac:dyDescent="0.25">
      <c r="F120" s="17" t="s">
        <v>1088</v>
      </c>
      <c r="G120" s="17" t="s">
        <v>1083</v>
      </c>
    </row>
    <row r="121" spans="6:7" s="17" customFormat="1" x14ac:dyDescent="0.25">
      <c r="F121" s="17" t="s">
        <v>1089</v>
      </c>
      <c r="G121" s="17" t="s">
        <v>1083</v>
      </c>
    </row>
    <row r="122" spans="6:7" s="17" customFormat="1" x14ac:dyDescent="0.25">
      <c r="F122" s="17" t="s">
        <v>1090</v>
      </c>
      <c r="G122" s="17" t="s">
        <v>1083</v>
      </c>
    </row>
    <row r="123" spans="6:7" s="17" customFormat="1" x14ac:dyDescent="0.25">
      <c r="F123" s="17" t="s">
        <v>1091</v>
      </c>
      <c r="G123" s="17" t="s">
        <v>1083</v>
      </c>
    </row>
    <row r="124" spans="6:7" s="17" customFormat="1" x14ac:dyDescent="0.25">
      <c r="F124" s="17" t="s">
        <v>1092</v>
      </c>
      <c r="G124" s="17" t="s">
        <v>1083</v>
      </c>
    </row>
    <row r="125" spans="6:7" s="17" customFormat="1" x14ac:dyDescent="0.25">
      <c r="F125" s="17" t="s">
        <v>1093</v>
      </c>
      <c r="G125" s="17" t="s">
        <v>1083</v>
      </c>
    </row>
    <row r="126" spans="6:7" s="17" customFormat="1" x14ac:dyDescent="0.25">
      <c r="F126" s="17" t="s">
        <v>1094</v>
      </c>
      <c r="G126" s="17" t="s">
        <v>1083</v>
      </c>
    </row>
    <row r="127" spans="6:7" s="17" customFormat="1" x14ac:dyDescent="0.25">
      <c r="F127" s="17" t="s">
        <v>1095</v>
      </c>
      <c r="G127" s="17" t="s">
        <v>1083</v>
      </c>
    </row>
    <row r="128" spans="6:7" s="17" customFormat="1" x14ac:dyDescent="0.25">
      <c r="F128" s="17" t="s">
        <v>1096</v>
      </c>
      <c r="G128" s="17" t="s">
        <v>1083</v>
      </c>
    </row>
    <row r="129" spans="6:7" s="17" customFormat="1" x14ac:dyDescent="0.25">
      <c r="F129" s="17" t="s">
        <v>1097</v>
      </c>
      <c r="G129" s="17" t="s">
        <v>1083</v>
      </c>
    </row>
    <row r="130" spans="6:7" s="17" customFormat="1" x14ac:dyDescent="0.25">
      <c r="F130" s="17" t="s">
        <v>1098</v>
      </c>
      <c r="G130" s="17" t="s">
        <v>1011</v>
      </c>
    </row>
    <row r="131" spans="6:7" s="17" customFormat="1" x14ac:dyDescent="0.25">
      <c r="F131" s="17" t="s">
        <v>1099</v>
      </c>
      <c r="G131" s="17" t="s">
        <v>1011</v>
      </c>
    </row>
    <row r="132" spans="6:7" s="17" customFormat="1" x14ac:dyDescent="0.25">
      <c r="F132" s="17" t="s">
        <v>1100</v>
      </c>
      <c r="G132" s="17" t="s">
        <v>1011</v>
      </c>
    </row>
    <row r="133" spans="6:7" s="17" customFormat="1" x14ac:dyDescent="0.25">
      <c r="F133" s="17" t="s">
        <v>1101</v>
      </c>
      <c r="G133" s="17" t="s">
        <v>1011</v>
      </c>
    </row>
    <row r="134" spans="6:7" s="17" customFormat="1" x14ac:dyDescent="0.25">
      <c r="F134" s="17" t="s">
        <v>1102</v>
      </c>
      <c r="G134" s="17" t="s">
        <v>1067</v>
      </c>
    </row>
    <row r="135" spans="6:7" s="17" customFormat="1" x14ac:dyDescent="0.25">
      <c r="F135" s="17" t="s">
        <v>1103</v>
      </c>
      <c r="G135" s="17" t="s">
        <v>1083</v>
      </c>
    </row>
    <row r="136" spans="6:7" s="17" customFormat="1" x14ac:dyDescent="0.25">
      <c r="F136" s="17" t="s">
        <v>1104</v>
      </c>
      <c r="G136" s="17" t="s">
        <v>1083</v>
      </c>
    </row>
    <row r="137" spans="6:7" s="17" customFormat="1" x14ac:dyDescent="0.25">
      <c r="F137" s="17" t="s">
        <v>1105</v>
      </c>
      <c r="G137" s="17" t="s">
        <v>1083</v>
      </c>
    </row>
    <row r="138" spans="6:7" s="17" customFormat="1" x14ac:dyDescent="0.25">
      <c r="F138" s="17" t="s">
        <v>1106</v>
      </c>
      <c r="G138" s="17" t="s">
        <v>1083</v>
      </c>
    </row>
    <row r="139" spans="6:7" s="17" customFormat="1" x14ac:dyDescent="0.25">
      <c r="F139" s="17" t="s">
        <v>1107</v>
      </c>
      <c r="G139" s="17" t="s">
        <v>1067</v>
      </c>
    </row>
    <row r="140" spans="6:7" s="17" customFormat="1" x14ac:dyDescent="0.25">
      <c r="F140" s="17" t="s">
        <v>1108</v>
      </c>
      <c r="G140" s="17" t="s">
        <v>1067</v>
      </c>
    </row>
    <row r="141" spans="6:7" s="17" customFormat="1" x14ac:dyDescent="0.25">
      <c r="F141" s="17" t="s">
        <v>1109</v>
      </c>
      <c r="G141" s="17" t="s">
        <v>1067</v>
      </c>
    </row>
    <row r="142" spans="6:7" s="17" customFormat="1" x14ac:dyDescent="0.25">
      <c r="F142" s="17" t="s">
        <v>1110</v>
      </c>
      <c r="G142" s="17" t="s">
        <v>1067</v>
      </c>
    </row>
    <row r="143" spans="6:7" s="17" customFormat="1" x14ac:dyDescent="0.25">
      <c r="F143" s="17" t="s">
        <v>1111</v>
      </c>
      <c r="G143" s="17" t="s">
        <v>1067</v>
      </c>
    </row>
    <row r="144" spans="6:7" s="17" customFormat="1" x14ac:dyDescent="0.25">
      <c r="F144" s="17" t="s">
        <v>1112</v>
      </c>
      <c r="G144" s="17" t="s">
        <v>1067</v>
      </c>
    </row>
    <row r="145" spans="6:7" s="17" customFormat="1" x14ac:dyDescent="0.25">
      <c r="F145" s="17" t="s">
        <v>1113</v>
      </c>
      <c r="G145" s="17" t="s">
        <v>1083</v>
      </c>
    </row>
    <row r="146" spans="6:7" s="17" customFormat="1" x14ac:dyDescent="0.25">
      <c r="F146" s="17" t="s">
        <v>1114</v>
      </c>
      <c r="G146" s="17" t="s">
        <v>1083</v>
      </c>
    </row>
    <row r="147" spans="6:7" s="17" customFormat="1" x14ac:dyDescent="0.25">
      <c r="F147" s="17" t="s">
        <v>1115</v>
      </c>
      <c r="G147" s="17" t="s">
        <v>1083</v>
      </c>
    </row>
    <row r="148" spans="6:7" s="17" customFormat="1" x14ac:dyDescent="0.25">
      <c r="F148" s="17" t="s">
        <v>1116</v>
      </c>
      <c r="G148" s="17" t="s">
        <v>1083</v>
      </c>
    </row>
    <row r="149" spans="6:7" s="17" customFormat="1" x14ac:dyDescent="0.25">
      <c r="F149" s="17" t="s">
        <v>1117</v>
      </c>
      <c r="G149" s="17" t="s">
        <v>1083</v>
      </c>
    </row>
    <row r="150" spans="6:7" s="17" customFormat="1" x14ac:dyDescent="0.25">
      <c r="F150" s="17" t="s">
        <v>1118</v>
      </c>
      <c r="G150" s="17" t="s">
        <v>1083</v>
      </c>
    </row>
    <row r="151" spans="6:7" s="17" customFormat="1" x14ac:dyDescent="0.25">
      <c r="F151" s="17" t="s">
        <v>1119</v>
      </c>
      <c r="G151" s="17" t="s">
        <v>1083</v>
      </c>
    </row>
    <row r="152" spans="6:7" s="17" customFormat="1" x14ac:dyDescent="0.25">
      <c r="F152" s="17" t="s">
        <v>1120</v>
      </c>
      <c r="G152" s="17" t="s">
        <v>1083</v>
      </c>
    </row>
    <row r="153" spans="6:7" s="17" customFormat="1" x14ac:dyDescent="0.25">
      <c r="F153" s="17" t="s">
        <v>1121</v>
      </c>
      <c r="G153" s="17" t="s">
        <v>1083</v>
      </c>
    </row>
    <row r="154" spans="6:7" s="17" customFormat="1" x14ac:dyDescent="0.25">
      <c r="F154" s="17" t="s">
        <v>1122</v>
      </c>
      <c r="G154" s="17" t="s">
        <v>1083</v>
      </c>
    </row>
    <row r="155" spans="6:7" s="17" customFormat="1" x14ac:dyDescent="0.25">
      <c r="F155" s="17" t="s">
        <v>1123</v>
      </c>
      <c r="G155" s="17" t="s">
        <v>1083</v>
      </c>
    </row>
    <row r="156" spans="6:7" s="17" customFormat="1" x14ac:dyDescent="0.25">
      <c r="F156" s="17" t="s">
        <v>1124</v>
      </c>
      <c r="G156" s="17" t="s">
        <v>1083</v>
      </c>
    </row>
    <row r="157" spans="6:7" s="17" customFormat="1" x14ac:dyDescent="0.25">
      <c r="F157" s="17" t="s">
        <v>1125</v>
      </c>
      <c r="G157" s="17" t="s">
        <v>1083</v>
      </c>
    </row>
    <row r="158" spans="6:7" s="17" customFormat="1" x14ac:dyDescent="0.25">
      <c r="F158" s="17" t="s">
        <v>1126</v>
      </c>
      <c r="G158" s="17" t="s">
        <v>1083</v>
      </c>
    </row>
    <row r="159" spans="6:7" s="17" customFormat="1" x14ac:dyDescent="0.25">
      <c r="F159" s="17" t="s">
        <v>1127</v>
      </c>
      <c r="G159" s="17" t="s">
        <v>1083</v>
      </c>
    </row>
    <row r="160" spans="6:7" s="17" customFormat="1" x14ac:dyDescent="0.25">
      <c r="F160" s="17" t="s">
        <v>1128</v>
      </c>
      <c r="G160" s="17" t="s">
        <v>1083</v>
      </c>
    </row>
    <row r="161" spans="6:7" s="17" customFormat="1" x14ac:dyDescent="0.25">
      <c r="F161" s="17" t="s">
        <v>1129</v>
      </c>
      <c r="G161" s="17" t="s">
        <v>1011</v>
      </c>
    </row>
    <row r="162" spans="6:7" s="17" customFormat="1" x14ac:dyDescent="0.25">
      <c r="F162" s="17" t="s">
        <v>1130</v>
      </c>
      <c r="G162" s="17" t="s">
        <v>1011</v>
      </c>
    </row>
    <row r="163" spans="6:7" s="17" customFormat="1" x14ac:dyDescent="0.25">
      <c r="F163" s="17" t="s">
        <v>1131</v>
      </c>
      <c r="G163" s="17" t="s">
        <v>1011</v>
      </c>
    </row>
    <row r="164" spans="6:7" s="17" customFormat="1" x14ac:dyDescent="0.25">
      <c r="F164" s="17" t="s">
        <v>1132</v>
      </c>
      <c r="G164" s="17" t="s">
        <v>1083</v>
      </c>
    </row>
    <row r="165" spans="6:7" s="17" customFormat="1" x14ac:dyDescent="0.25">
      <c r="F165" s="17" t="s">
        <v>1133</v>
      </c>
      <c r="G165" s="17" t="s">
        <v>1083</v>
      </c>
    </row>
    <row r="166" spans="6:7" s="17" customFormat="1" x14ac:dyDescent="0.25">
      <c r="F166" s="17" t="s">
        <v>1134</v>
      </c>
      <c r="G166" s="17" t="s">
        <v>1083</v>
      </c>
    </row>
    <row r="167" spans="6:7" s="17" customFormat="1" x14ac:dyDescent="0.25">
      <c r="F167" s="17" t="s">
        <v>1135</v>
      </c>
      <c r="G167" s="17" t="s">
        <v>1083</v>
      </c>
    </row>
    <row r="168" spans="6:7" s="17" customFormat="1" x14ac:dyDescent="0.25">
      <c r="F168" s="17" t="s">
        <v>1136</v>
      </c>
      <c r="G168" s="17" t="s">
        <v>1083</v>
      </c>
    </row>
    <row r="169" spans="6:7" s="17" customFormat="1" x14ac:dyDescent="0.25">
      <c r="F169" s="17" t="s">
        <v>1137</v>
      </c>
      <c r="G169" s="17" t="s">
        <v>1083</v>
      </c>
    </row>
    <row r="170" spans="6:7" s="17" customFormat="1" x14ac:dyDescent="0.25">
      <c r="F170" s="17" t="s">
        <v>1138</v>
      </c>
      <c r="G170" s="17" t="s">
        <v>1083</v>
      </c>
    </row>
    <row r="171" spans="6:7" s="17" customFormat="1" x14ac:dyDescent="0.25">
      <c r="F171" s="17" t="s">
        <v>1139</v>
      </c>
      <c r="G171" s="17" t="s">
        <v>1083</v>
      </c>
    </row>
    <row r="172" spans="6:7" s="17" customFormat="1" x14ac:dyDescent="0.25">
      <c r="F172" s="17" t="s">
        <v>1140</v>
      </c>
      <c r="G172" s="17" t="s">
        <v>1083</v>
      </c>
    </row>
    <row r="173" spans="6:7" s="17" customFormat="1" x14ac:dyDescent="0.25">
      <c r="F173" s="17" t="s">
        <v>1141</v>
      </c>
      <c r="G173" s="17" t="s">
        <v>1083</v>
      </c>
    </row>
    <row r="174" spans="6:7" s="17" customFormat="1" x14ac:dyDescent="0.25">
      <c r="F174" s="17" t="s">
        <v>1142</v>
      </c>
      <c r="G174" s="17" t="s">
        <v>1083</v>
      </c>
    </row>
    <row r="175" spans="6:7" s="17" customFormat="1" x14ac:dyDescent="0.25">
      <c r="F175" s="17" t="s">
        <v>1143</v>
      </c>
      <c r="G175" s="17" t="s">
        <v>1083</v>
      </c>
    </row>
    <row r="176" spans="6:7" s="17" customFormat="1" x14ac:dyDescent="0.25">
      <c r="F176" s="17" t="s">
        <v>1144</v>
      </c>
      <c r="G176" s="17" t="s">
        <v>1083</v>
      </c>
    </row>
    <row r="177" spans="1:7" s="17" customFormat="1" x14ac:dyDescent="0.25">
      <c r="F177" s="17" t="s">
        <v>1145</v>
      </c>
      <c r="G177" s="17" t="s">
        <v>1083</v>
      </c>
    </row>
    <row r="178" spans="1:7" s="17" customFormat="1" x14ac:dyDescent="0.25">
      <c r="F178" s="17" t="s">
        <v>1146</v>
      </c>
      <c r="G178" s="17" t="s">
        <v>1083</v>
      </c>
    </row>
    <row r="179" spans="1:7" s="17" customFormat="1" x14ac:dyDescent="0.25">
      <c r="F179" s="17" t="s">
        <v>1147</v>
      </c>
      <c r="G179" s="17" t="s">
        <v>1083</v>
      </c>
    </row>
    <row r="180" spans="1:7" s="17" customFormat="1" x14ac:dyDescent="0.25">
      <c r="F180" s="17" t="s">
        <v>1148</v>
      </c>
      <c r="G180" s="17" t="s">
        <v>1083</v>
      </c>
    </row>
    <row r="181" spans="1:7" s="17" customFormat="1" x14ac:dyDescent="0.25">
      <c r="F181" s="17" t="s">
        <v>1149</v>
      </c>
      <c r="G181" s="17" t="s">
        <v>1083</v>
      </c>
    </row>
    <row r="182" spans="1:7" s="17" customFormat="1" x14ac:dyDescent="0.25">
      <c r="F182" s="17" t="s">
        <v>1150</v>
      </c>
      <c r="G182" s="17" t="s">
        <v>1083</v>
      </c>
    </row>
    <row r="183" spans="1:7" s="17" customFormat="1" x14ac:dyDescent="0.25">
      <c r="F183" s="17" t="s">
        <v>1151</v>
      </c>
      <c r="G183" s="17" t="s">
        <v>1083</v>
      </c>
    </row>
    <row r="184" spans="1:7" s="17" customFormat="1" x14ac:dyDescent="0.25">
      <c r="F184" s="17" t="s">
        <v>1152</v>
      </c>
      <c r="G184" s="17" t="s">
        <v>1083</v>
      </c>
    </row>
    <row r="185" spans="1:7" s="17" customFormat="1" x14ac:dyDescent="0.25">
      <c r="F185" s="17" t="s">
        <v>1153</v>
      </c>
      <c r="G185" s="17" t="s">
        <v>1083</v>
      </c>
    </row>
    <row r="186" spans="1:7" s="17" customFormat="1" x14ac:dyDescent="0.25">
      <c r="F186" s="17" t="s">
        <v>1154</v>
      </c>
      <c r="G186" s="17" t="s">
        <v>1083</v>
      </c>
    </row>
    <row r="187" spans="1:7" s="17" customFormat="1" x14ac:dyDescent="0.25">
      <c r="F187" s="17" t="s">
        <v>1155</v>
      </c>
      <c r="G187" s="17" t="s">
        <v>1083</v>
      </c>
    </row>
    <row r="188" spans="1:7" s="17" customFormat="1" x14ac:dyDescent="0.25">
      <c r="F188" s="17" t="s">
        <v>1156</v>
      </c>
      <c r="G188" s="17" t="s">
        <v>1157</v>
      </c>
    </row>
    <row r="189" spans="1:7" s="17" customFormat="1" x14ac:dyDescent="0.25">
      <c r="A189"/>
      <c r="B189"/>
      <c r="C189"/>
      <c r="D189"/>
      <c r="E189"/>
      <c r="F189" s="17" t="s">
        <v>1158</v>
      </c>
      <c r="G189" s="17" t="s">
        <v>1157</v>
      </c>
    </row>
    <row r="190" spans="1:7" s="17" customFormat="1" x14ac:dyDescent="0.25">
      <c r="A190"/>
      <c r="B190"/>
      <c r="C190"/>
      <c r="D190"/>
      <c r="E190"/>
      <c r="F190" s="17" t="s">
        <v>1159</v>
      </c>
      <c r="G190" s="17" t="s">
        <v>1157</v>
      </c>
    </row>
    <row r="191" spans="1:7" s="17" customFormat="1" x14ac:dyDescent="0.25">
      <c r="A191"/>
      <c r="B191"/>
      <c r="C191"/>
      <c r="D191"/>
      <c r="E191"/>
      <c r="F191" s="17" t="s">
        <v>1160</v>
      </c>
      <c r="G191" s="17" t="s">
        <v>1157</v>
      </c>
    </row>
    <row r="192" spans="1:7" s="17" customFormat="1" x14ac:dyDescent="0.25">
      <c r="A192"/>
      <c r="B192"/>
      <c r="C192"/>
      <c r="D192"/>
      <c r="E192"/>
      <c r="F192" s="17" t="s">
        <v>1161</v>
      </c>
      <c r="G192" s="17" t="s">
        <v>1157</v>
      </c>
    </row>
    <row r="193" spans="1:7" s="17" customFormat="1" x14ac:dyDescent="0.25">
      <c r="A193"/>
      <c r="B193"/>
      <c r="C193"/>
      <c r="D193"/>
      <c r="E193"/>
      <c r="F193" s="17" t="s">
        <v>1162</v>
      </c>
      <c r="G193" s="17" t="s">
        <v>1157</v>
      </c>
    </row>
    <row r="194" spans="1:7" s="17" customFormat="1" x14ac:dyDescent="0.25">
      <c r="A194"/>
      <c r="B194"/>
      <c r="C194"/>
      <c r="D194"/>
      <c r="E194"/>
      <c r="F194" s="17" t="s">
        <v>1163</v>
      </c>
      <c r="G194" s="17" t="s">
        <v>1157</v>
      </c>
    </row>
    <row r="195" spans="1:7" s="17" customFormat="1" x14ac:dyDescent="0.25">
      <c r="A195"/>
      <c r="B195"/>
      <c r="C195"/>
      <c r="D195"/>
      <c r="E195"/>
      <c r="F195" s="17" t="s">
        <v>1164</v>
      </c>
      <c r="G195" s="17" t="s">
        <v>1157</v>
      </c>
    </row>
    <row r="196" spans="1:7" s="17" customFormat="1" x14ac:dyDescent="0.25">
      <c r="A196"/>
      <c r="B196"/>
      <c r="C196"/>
      <c r="D196"/>
      <c r="E196"/>
      <c r="F196" s="17" t="s">
        <v>1165</v>
      </c>
      <c r="G196" s="17" t="s">
        <v>1157</v>
      </c>
    </row>
    <row r="197" spans="1:7" s="17" customFormat="1" x14ac:dyDescent="0.25">
      <c r="A197"/>
      <c r="B197"/>
      <c r="C197"/>
      <c r="D197"/>
      <c r="E197"/>
      <c r="F197" s="17" t="s">
        <v>1166</v>
      </c>
      <c r="G197" s="17" t="s">
        <v>1157</v>
      </c>
    </row>
    <row r="198" spans="1:7" s="17" customFormat="1" x14ac:dyDescent="0.25">
      <c r="A198"/>
      <c r="B198"/>
      <c r="C198"/>
      <c r="D198"/>
      <c r="E198"/>
      <c r="F198" s="17" t="s">
        <v>1167</v>
      </c>
      <c r="G198" s="17" t="s">
        <v>1157</v>
      </c>
    </row>
    <row r="199" spans="1:7" s="17" customFormat="1" x14ac:dyDescent="0.25">
      <c r="A199"/>
      <c r="B199"/>
      <c r="C199"/>
      <c r="D199"/>
      <c r="E199"/>
      <c r="F199" s="17" t="s">
        <v>1168</v>
      </c>
      <c r="G199" s="17" t="s">
        <v>1157</v>
      </c>
    </row>
    <row r="200" spans="1:7" s="17" customFormat="1" x14ac:dyDescent="0.25">
      <c r="A200"/>
      <c r="B200"/>
      <c r="C200"/>
      <c r="D200"/>
      <c r="E200"/>
      <c r="F200" s="17" t="s">
        <v>1169</v>
      </c>
      <c r="G200" s="17" t="s">
        <v>1157</v>
      </c>
    </row>
    <row r="201" spans="1:7" s="17" customFormat="1" x14ac:dyDescent="0.25">
      <c r="A201"/>
      <c r="B201"/>
      <c r="C201"/>
      <c r="D201"/>
      <c r="E201"/>
      <c r="F201" s="17" t="s">
        <v>1170</v>
      </c>
      <c r="G201" s="17" t="s">
        <v>1157</v>
      </c>
    </row>
    <row r="202" spans="1:7" s="17" customFormat="1" x14ac:dyDescent="0.25">
      <c r="A202"/>
      <c r="B202"/>
      <c r="C202"/>
      <c r="D202"/>
      <c r="E202"/>
      <c r="F202" s="17" t="s">
        <v>1171</v>
      </c>
      <c r="G202" s="17" t="s">
        <v>1157</v>
      </c>
    </row>
    <row r="203" spans="1:7" s="17" customFormat="1" x14ac:dyDescent="0.25">
      <c r="A203"/>
      <c r="B203"/>
      <c r="C203"/>
      <c r="D203"/>
      <c r="E203"/>
      <c r="F203" s="17" t="s">
        <v>1172</v>
      </c>
      <c r="G203" s="17" t="s">
        <v>1157</v>
      </c>
    </row>
    <row r="204" spans="1:7" s="17" customFormat="1" x14ac:dyDescent="0.25">
      <c r="A204"/>
      <c r="B204"/>
      <c r="C204"/>
      <c r="D204"/>
      <c r="E204"/>
      <c r="F204" s="17" t="s">
        <v>1173</v>
      </c>
      <c r="G204" s="17" t="s">
        <v>1157</v>
      </c>
    </row>
    <row r="205" spans="1:7" s="17" customFormat="1" x14ac:dyDescent="0.25">
      <c r="A205"/>
      <c r="B205"/>
      <c r="C205"/>
      <c r="D205"/>
      <c r="E205"/>
      <c r="F205" s="17" t="s">
        <v>1174</v>
      </c>
      <c r="G205" s="17" t="s">
        <v>1175</v>
      </c>
    </row>
    <row r="206" spans="1:7" s="17" customFormat="1" x14ac:dyDescent="0.25">
      <c r="A206"/>
      <c r="B206"/>
      <c r="C206"/>
      <c r="D206"/>
      <c r="E206"/>
      <c r="F206" s="17" t="s">
        <v>1176</v>
      </c>
      <c r="G206" s="17" t="s">
        <v>1175</v>
      </c>
    </row>
    <row r="207" spans="1:7" s="17" customFormat="1" x14ac:dyDescent="0.25">
      <c r="A207"/>
      <c r="B207"/>
      <c r="C207"/>
      <c r="D207"/>
      <c r="E207"/>
      <c r="F207" s="17" t="s">
        <v>1177</v>
      </c>
      <c r="G207" s="17" t="s">
        <v>1083</v>
      </c>
    </row>
    <row r="208" spans="1:7" s="17" customFormat="1" x14ac:dyDescent="0.25">
      <c r="A208"/>
      <c r="B208"/>
      <c r="C208"/>
      <c r="D208"/>
      <c r="E208"/>
      <c r="F208" s="17" t="s">
        <v>1178</v>
      </c>
      <c r="G208" s="17" t="s">
        <v>1179</v>
      </c>
    </row>
    <row r="209" spans="1:7" s="17" customFormat="1" x14ac:dyDescent="0.25">
      <c r="A209"/>
      <c r="B209"/>
      <c r="C209"/>
      <c r="D209"/>
      <c r="E209"/>
      <c r="F209" s="17" t="s">
        <v>1180</v>
      </c>
      <c r="G209" s="17" t="s">
        <v>1179</v>
      </c>
    </row>
    <row r="210" spans="1:7" s="17" customFormat="1" x14ac:dyDescent="0.25">
      <c r="A210"/>
      <c r="B210"/>
      <c r="C210"/>
      <c r="D210"/>
      <c r="E210"/>
      <c r="F210" s="17" t="s">
        <v>1181</v>
      </c>
      <c r="G210" s="17" t="s">
        <v>1179</v>
      </c>
    </row>
    <row r="211" spans="1:7" s="17" customFormat="1" x14ac:dyDescent="0.25">
      <c r="A211"/>
      <c r="B211"/>
      <c r="C211"/>
      <c r="D211"/>
      <c r="E211"/>
      <c r="F211" s="17" t="s">
        <v>1182</v>
      </c>
      <c r="G211" s="17" t="s">
        <v>1179</v>
      </c>
    </row>
    <row r="212" spans="1:7" s="17" customFormat="1" x14ac:dyDescent="0.25">
      <c r="A212"/>
      <c r="B212"/>
      <c r="C212"/>
      <c r="D212"/>
      <c r="E212"/>
      <c r="F212" s="17" t="s">
        <v>1183</v>
      </c>
      <c r="G212" s="17" t="s">
        <v>1179</v>
      </c>
    </row>
    <row r="213" spans="1:7" s="17" customFormat="1" x14ac:dyDescent="0.25">
      <c r="A213"/>
      <c r="B213"/>
      <c r="C213"/>
      <c r="D213"/>
      <c r="E213"/>
      <c r="F213" s="17" t="s">
        <v>1184</v>
      </c>
      <c r="G213" s="17" t="s">
        <v>1157</v>
      </c>
    </row>
    <row r="214" spans="1:7" s="17" customFormat="1" x14ac:dyDescent="0.25">
      <c r="A214"/>
      <c r="B214"/>
      <c r="C214"/>
      <c r="D214"/>
      <c r="E214"/>
      <c r="F214" s="17" t="s">
        <v>1185</v>
      </c>
      <c r="G214" s="17" t="s">
        <v>1157</v>
      </c>
    </row>
    <row r="215" spans="1:7" s="17" customFormat="1" x14ac:dyDescent="0.25">
      <c r="A215"/>
      <c r="B215"/>
      <c r="C215"/>
      <c r="D215"/>
      <c r="E215"/>
      <c r="F215" s="17" t="s">
        <v>1186</v>
      </c>
      <c r="G215" s="17" t="s">
        <v>1157</v>
      </c>
    </row>
    <row r="216" spans="1:7" s="17" customFormat="1" x14ac:dyDescent="0.25">
      <c r="A216"/>
      <c r="B216"/>
      <c r="C216"/>
      <c r="D216"/>
      <c r="E216"/>
      <c r="F216" s="17" t="s">
        <v>1187</v>
      </c>
      <c r="G216" s="17" t="s">
        <v>1157</v>
      </c>
    </row>
    <row r="217" spans="1:7" s="17" customFormat="1" x14ac:dyDescent="0.25">
      <c r="A217"/>
      <c r="B217"/>
      <c r="C217"/>
      <c r="D217"/>
      <c r="E217"/>
      <c r="F217" s="17" t="s">
        <v>1188</v>
      </c>
      <c r="G217" s="17" t="s">
        <v>1157</v>
      </c>
    </row>
    <row r="218" spans="1:7" s="17" customFormat="1" x14ac:dyDescent="0.25">
      <c r="A218"/>
      <c r="B218"/>
      <c r="C218"/>
      <c r="D218"/>
      <c r="E218"/>
      <c r="F218" s="17" t="s">
        <v>1189</v>
      </c>
      <c r="G218" s="17" t="s">
        <v>1157</v>
      </c>
    </row>
    <row r="219" spans="1:7" s="17" customFormat="1" x14ac:dyDescent="0.25">
      <c r="A219"/>
      <c r="B219"/>
      <c r="C219"/>
      <c r="D219"/>
      <c r="E219"/>
      <c r="F219" s="17" t="s">
        <v>1190</v>
      </c>
      <c r="G219" s="17" t="s">
        <v>1157</v>
      </c>
    </row>
    <row r="220" spans="1:7" s="17" customFormat="1" x14ac:dyDescent="0.25">
      <c r="A220"/>
      <c r="B220"/>
      <c r="C220"/>
      <c r="D220"/>
      <c r="E220"/>
      <c r="F220" s="17" t="s">
        <v>1191</v>
      </c>
      <c r="G220" s="17" t="s">
        <v>1157</v>
      </c>
    </row>
    <row r="221" spans="1:7" s="17" customFormat="1" x14ac:dyDescent="0.25">
      <c r="A221"/>
      <c r="B221"/>
      <c r="C221"/>
      <c r="D221"/>
      <c r="E221"/>
      <c r="F221" s="17" t="s">
        <v>1192</v>
      </c>
      <c r="G221" s="17" t="s">
        <v>1157</v>
      </c>
    </row>
    <row r="222" spans="1:7" s="17" customFormat="1" x14ac:dyDescent="0.25">
      <c r="A222"/>
      <c r="B222"/>
      <c r="C222"/>
      <c r="D222"/>
      <c r="E222"/>
      <c r="F222" s="17" t="s">
        <v>1193</v>
      </c>
      <c r="G222" s="17" t="s">
        <v>1157</v>
      </c>
    </row>
    <row r="223" spans="1:7" s="17" customFormat="1" x14ac:dyDescent="0.25">
      <c r="A223"/>
      <c r="B223"/>
      <c r="C223"/>
      <c r="D223"/>
      <c r="E223"/>
      <c r="F223" s="17" t="s">
        <v>1194</v>
      </c>
      <c r="G223" s="17" t="s">
        <v>1157</v>
      </c>
    </row>
    <row r="224" spans="1:7" s="17" customFormat="1" x14ac:dyDescent="0.25">
      <c r="A224"/>
      <c r="B224"/>
      <c r="C224"/>
      <c r="D224"/>
      <c r="E224"/>
      <c r="F224" s="17" t="s">
        <v>1195</v>
      </c>
      <c r="G224" s="17" t="s">
        <v>1157</v>
      </c>
    </row>
    <row r="225" spans="1:12" s="17" customFormat="1" x14ac:dyDescent="0.25">
      <c r="A225"/>
      <c r="B225"/>
      <c r="C225"/>
      <c r="D225"/>
      <c r="E225"/>
      <c r="F225" s="17" t="s">
        <v>1196</v>
      </c>
      <c r="G225" s="17" t="s">
        <v>1157</v>
      </c>
    </row>
    <row r="226" spans="1:12" s="17" customFormat="1" x14ac:dyDescent="0.25">
      <c r="A226"/>
      <c r="B226"/>
      <c r="C226"/>
      <c r="D226"/>
      <c r="E226"/>
      <c r="F226" s="17" t="s">
        <v>1197</v>
      </c>
      <c r="G226" s="17" t="s">
        <v>1157</v>
      </c>
    </row>
    <row r="227" spans="1:12" s="17" customFormat="1" x14ac:dyDescent="0.25">
      <c r="A227"/>
      <c r="B227"/>
      <c r="C227"/>
      <c r="D227"/>
      <c r="E227"/>
      <c r="F227" s="17" t="s">
        <v>1198</v>
      </c>
      <c r="G227" s="17" t="s">
        <v>1157</v>
      </c>
    </row>
    <row r="228" spans="1:12" s="17" customFormat="1" x14ac:dyDescent="0.25">
      <c r="A228"/>
      <c r="B228"/>
      <c r="C228"/>
      <c r="D228"/>
      <c r="E228"/>
      <c r="F228" s="17" t="s">
        <v>1199</v>
      </c>
      <c r="G228" s="17" t="s">
        <v>1157</v>
      </c>
    </row>
    <row r="229" spans="1:12" s="17" customFormat="1" x14ac:dyDescent="0.25">
      <c r="A229"/>
      <c r="B229"/>
      <c r="C229"/>
      <c r="D229"/>
      <c r="E229"/>
      <c r="F229" s="17" t="s">
        <v>1200</v>
      </c>
      <c r="G229" s="17" t="s">
        <v>1157</v>
      </c>
    </row>
    <row r="230" spans="1:12" s="17" customFormat="1" x14ac:dyDescent="0.25">
      <c r="A230"/>
      <c r="B230"/>
      <c r="C230"/>
      <c r="D230"/>
      <c r="E230"/>
      <c r="F230" s="17" t="s">
        <v>1201</v>
      </c>
      <c r="G230" s="17" t="s">
        <v>1157</v>
      </c>
    </row>
    <row r="231" spans="1:12" s="17" customFormat="1" x14ac:dyDescent="0.25">
      <c r="A231"/>
      <c r="B231"/>
      <c r="C231"/>
      <c r="D231"/>
      <c r="E231"/>
      <c r="F231" s="17" t="s">
        <v>1202</v>
      </c>
      <c r="G231" s="17" t="s">
        <v>1157</v>
      </c>
    </row>
    <row r="232" spans="1:12" s="17" customFormat="1" x14ac:dyDescent="0.25">
      <c r="A232"/>
      <c r="B232"/>
      <c r="C232"/>
      <c r="D232"/>
      <c r="E232"/>
      <c r="F232" s="17" t="s">
        <v>1203</v>
      </c>
      <c r="G232" s="17" t="s">
        <v>1157</v>
      </c>
      <c r="H232"/>
      <c r="I232"/>
      <c r="J232"/>
      <c r="K232"/>
      <c r="L232"/>
    </row>
    <row r="233" spans="1:12" s="17" customFormat="1" x14ac:dyDescent="0.25">
      <c r="A233"/>
      <c r="B233"/>
      <c r="C233"/>
      <c r="D233"/>
      <c r="E233"/>
      <c r="F233" s="17" t="s">
        <v>1204</v>
      </c>
      <c r="G233" s="17" t="s">
        <v>1157</v>
      </c>
      <c r="H233"/>
      <c r="I233"/>
      <c r="J233"/>
      <c r="K233"/>
      <c r="L233"/>
    </row>
    <row r="234" spans="1:12" s="17" customFormat="1" x14ac:dyDescent="0.25">
      <c r="A234"/>
      <c r="B234"/>
      <c r="C234"/>
      <c r="D234"/>
      <c r="E234"/>
      <c r="F234" s="17" t="s">
        <v>1205</v>
      </c>
      <c r="G234" s="17" t="s">
        <v>1157</v>
      </c>
      <c r="H234"/>
      <c r="I234"/>
      <c r="J234"/>
      <c r="K234"/>
      <c r="L234"/>
    </row>
    <row r="235" spans="1:12" s="17" customFormat="1" x14ac:dyDescent="0.25">
      <c r="A235"/>
      <c r="B235"/>
      <c r="C235"/>
      <c r="D235"/>
      <c r="E235"/>
      <c r="F235" s="17" t="s">
        <v>1206</v>
      </c>
      <c r="G235" s="17" t="s">
        <v>1157</v>
      </c>
      <c r="H235"/>
      <c r="I235"/>
      <c r="J235"/>
      <c r="K235"/>
      <c r="L235"/>
    </row>
    <row r="236" spans="1:12" x14ac:dyDescent="0.25">
      <c r="F236" s="17" t="s">
        <v>1207</v>
      </c>
      <c r="G236" s="17" t="s">
        <v>1157</v>
      </c>
    </row>
    <row r="237" spans="1:12" x14ac:dyDescent="0.25">
      <c r="F237" s="17" t="s">
        <v>1208</v>
      </c>
      <c r="G237" s="17" t="s">
        <v>1157</v>
      </c>
    </row>
    <row r="238" spans="1:12" x14ac:dyDescent="0.25">
      <c r="F238" s="17" t="s">
        <v>1209</v>
      </c>
      <c r="G238" s="17" t="s">
        <v>1157</v>
      </c>
    </row>
    <row r="239" spans="1:12" x14ac:dyDescent="0.25">
      <c r="F239" s="17" t="s">
        <v>1210</v>
      </c>
      <c r="G239" s="17" t="s">
        <v>1157</v>
      </c>
    </row>
    <row r="240" spans="1:12" x14ac:dyDescent="0.25">
      <c r="F240" s="17" t="s">
        <v>1211</v>
      </c>
      <c r="G240" s="17" t="s">
        <v>1157</v>
      </c>
    </row>
    <row r="241" spans="6:7" x14ac:dyDescent="0.25">
      <c r="F241" s="17" t="s">
        <v>1212</v>
      </c>
      <c r="G241" s="17" t="s">
        <v>1157</v>
      </c>
    </row>
    <row r="242" spans="6:7" x14ac:dyDescent="0.25">
      <c r="F242" s="17" t="s">
        <v>1213</v>
      </c>
      <c r="G242" s="17" t="s">
        <v>1157</v>
      </c>
    </row>
    <row r="243" spans="6:7" x14ac:dyDescent="0.25">
      <c r="F243" s="17" t="s">
        <v>1214</v>
      </c>
      <c r="G243" s="17" t="s">
        <v>1157</v>
      </c>
    </row>
    <row r="244" spans="6:7" x14ac:dyDescent="0.25">
      <c r="F244" s="17" t="s">
        <v>1215</v>
      </c>
      <c r="G244" s="17" t="s">
        <v>1157</v>
      </c>
    </row>
    <row r="245" spans="6:7" x14ac:dyDescent="0.25">
      <c r="F245" s="17" t="s">
        <v>1216</v>
      </c>
      <c r="G245" s="17" t="s">
        <v>1157</v>
      </c>
    </row>
    <row r="246" spans="6:7" x14ac:dyDescent="0.25">
      <c r="F246" s="17" t="s">
        <v>1217</v>
      </c>
      <c r="G246" s="17" t="s">
        <v>1157</v>
      </c>
    </row>
    <row r="247" spans="6:7" x14ac:dyDescent="0.25">
      <c r="F247" s="17" t="s">
        <v>1218</v>
      </c>
      <c r="G247" s="17" t="s">
        <v>1157</v>
      </c>
    </row>
    <row r="248" spans="6:7" x14ac:dyDescent="0.25">
      <c r="F248" s="17" t="s">
        <v>1219</v>
      </c>
      <c r="G248" s="17" t="s">
        <v>1157</v>
      </c>
    </row>
    <row r="249" spans="6:7" x14ac:dyDescent="0.25">
      <c r="F249" s="17" t="s">
        <v>1220</v>
      </c>
      <c r="G249" s="17" t="s">
        <v>1157</v>
      </c>
    </row>
    <row r="250" spans="6:7" x14ac:dyDescent="0.25">
      <c r="F250" s="17" t="s">
        <v>1221</v>
      </c>
      <c r="G250" s="17" t="s">
        <v>1157</v>
      </c>
    </row>
    <row r="251" spans="6:7" x14ac:dyDescent="0.25">
      <c r="F251" s="17" t="s">
        <v>1222</v>
      </c>
      <c r="G251" s="17" t="s">
        <v>1157</v>
      </c>
    </row>
    <row r="252" spans="6:7" x14ac:dyDescent="0.25">
      <c r="F252" s="17" t="s">
        <v>1223</v>
      </c>
      <c r="G252" s="17" t="s">
        <v>1157</v>
      </c>
    </row>
    <row r="253" spans="6:7" x14ac:dyDescent="0.25">
      <c r="F253" s="17" t="s">
        <v>1224</v>
      </c>
      <c r="G253" s="17" t="s">
        <v>1225</v>
      </c>
    </row>
    <row r="254" spans="6:7" x14ac:dyDescent="0.25">
      <c r="F254" s="17" t="s">
        <v>1226</v>
      </c>
      <c r="G254" s="17" t="s">
        <v>1225</v>
      </c>
    </row>
    <row r="255" spans="6:7" x14ac:dyDescent="0.25">
      <c r="F255" s="17" t="s">
        <v>1227</v>
      </c>
      <c r="G255" s="17" t="s">
        <v>1225</v>
      </c>
    </row>
    <row r="256" spans="6:7" x14ac:dyDescent="0.25">
      <c r="F256" s="17" t="s">
        <v>1228</v>
      </c>
      <c r="G256" s="17" t="s">
        <v>1157</v>
      </c>
    </row>
    <row r="257" spans="6:7" x14ac:dyDescent="0.25">
      <c r="F257" s="17" t="s">
        <v>1229</v>
      </c>
      <c r="G257" s="17" t="s">
        <v>1157</v>
      </c>
    </row>
    <row r="258" spans="6:7" x14ac:dyDescent="0.25">
      <c r="F258" s="17" t="s">
        <v>1230</v>
      </c>
      <c r="G258" s="17" t="s">
        <v>1157</v>
      </c>
    </row>
    <row r="259" spans="6:7" x14ac:dyDescent="0.25">
      <c r="F259" s="17" t="s">
        <v>1231</v>
      </c>
      <c r="G259" s="17" t="s">
        <v>1157</v>
      </c>
    </row>
    <row r="260" spans="6:7" x14ac:dyDescent="0.25">
      <c r="F260" s="17" t="s">
        <v>1232</v>
      </c>
      <c r="G260" s="17" t="s">
        <v>1157</v>
      </c>
    </row>
    <row r="261" spans="6:7" x14ac:dyDescent="0.25">
      <c r="F261" s="17" t="s">
        <v>1233</v>
      </c>
      <c r="G261" s="17" t="s">
        <v>1157</v>
      </c>
    </row>
    <row r="262" spans="6:7" x14ac:dyDescent="0.25">
      <c r="F262" s="17" t="s">
        <v>1234</v>
      </c>
      <c r="G262" s="17" t="s">
        <v>1157</v>
      </c>
    </row>
    <row r="263" spans="6:7" x14ac:dyDescent="0.25">
      <c r="F263" s="17" t="s">
        <v>1235</v>
      </c>
      <c r="G263" s="17" t="s">
        <v>1157</v>
      </c>
    </row>
    <row r="264" spans="6:7" x14ac:dyDescent="0.25">
      <c r="F264" s="17" t="s">
        <v>1236</v>
      </c>
      <c r="G264" s="17" t="s">
        <v>1157</v>
      </c>
    </row>
    <row r="265" spans="6:7" x14ac:dyDescent="0.25">
      <c r="F265" s="17" t="s">
        <v>1237</v>
      </c>
      <c r="G265" s="17" t="s">
        <v>1157</v>
      </c>
    </row>
    <row r="266" spans="6:7" x14ac:dyDescent="0.25">
      <c r="F266" s="17" t="s">
        <v>1238</v>
      </c>
      <c r="G266" s="17" t="s">
        <v>1157</v>
      </c>
    </row>
    <row r="267" spans="6:7" x14ac:dyDescent="0.25">
      <c r="F267" s="17" t="s">
        <v>1239</v>
      </c>
      <c r="G267" s="17" t="s">
        <v>1157</v>
      </c>
    </row>
    <row r="268" spans="6:7" x14ac:dyDescent="0.25">
      <c r="F268" s="17" t="s">
        <v>1240</v>
      </c>
      <c r="G268" s="17" t="s">
        <v>1157</v>
      </c>
    </row>
    <row r="269" spans="6:7" x14ac:dyDescent="0.25">
      <c r="F269" s="17" t="s">
        <v>1241</v>
      </c>
      <c r="G269" s="17" t="s">
        <v>1157</v>
      </c>
    </row>
    <row r="270" spans="6:7" x14ac:dyDescent="0.25">
      <c r="F270" s="17" t="s">
        <v>1242</v>
      </c>
      <c r="G270" s="17" t="s">
        <v>1157</v>
      </c>
    </row>
    <row r="271" spans="6:7" x14ac:dyDescent="0.25">
      <c r="F271" s="17" t="s">
        <v>1243</v>
      </c>
      <c r="G271" s="17" t="s">
        <v>1157</v>
      </c>
    </row>
    <row r="272" spans="6:7" x14ac:dyDescent="0.25">
      <c r="F272" s="17" t="s">
        <v>1244</v>
      </c>
      <c r="G272" s="17" t="s">
        <v>1157</v>
      </c>
    </row>
    <row r="273" spans="6:7" x14ac:dyDescent="0.25">
      <c r="F273" s="17" t="s">
        <v>1245</v>
      </c>
      <c r="G273" s="17" t="s">
        <v>1157</v>
      </c>
    </row>
    <row r="274" spans="6:7" x14ac:dyDescent="0.25">
      <c r="F274" s="17" t="s">
        <v>1246</v>
      </c>
      <c r="G274" s="17" t="s">
        <v>1157</v>
      </c>
    </row>
    <row r="275" spans="6:7" x14ac:dyDescent="0.25">
      <c r="F275" s="17" t="s">
        <v>1247</v>
      </c>
      <c r="G275" s="17" t="s">
        <v>1157</v>
      </c>
    </row>
    <row r="276" spans="6:7" x14ac:dyDescent="0.25">
      <c r="F276" s="17" t="s">
        <v>1248</v>
      </c>
      <c r="G276" s="17" t="s">
        <v>1157</v>
      </c>
    </row>
    <row r="277" spans="6:7" x14ac:dyDescent="0.25">
      <c r="F277" s="17" t="s">
        <v>1249</v>
      </c>
      <c r="G277" s="17" t="s">
        <v>1157</v>
      </c>
    </row>
    <row r="278" spans="6:7" x14ac:dyDescent="0.25">
      <c r="F278" s="17" t="s">
        <v>1250</v>
      </c>
      <c r="G278" s="17" t="s">
        <v>1157</v>
      </c>
    </row>
    <row r="279" spans="6:7" x14ac:dyDescent="0.25">
      <c r="F279" s="17" t="s">
        <v>1251</v>
      </c>
      <c r="G279" s="17" t="s">
        <v>1157</v>
      </c>
    </row>
    <row r="280" spans="6:7" x14ac:dyDescent="0.25">
      <c r="F280" s="17" t="s">
        <v>1252</v>
      </c>
      <c r="G280" s="17" t="s">
        <v>1157</v>
      </c>
    </row>
    <row r="281" spans="6:7" x14ac:dyDescent="0.25">
      <c r="F281" s="17" t="s">
        <v>1253</v>
      </c>
      <c r="G281" s="17" t="s">
        <v>1157</v>
      </c>
    </row>
    <row r="282" spans="6:7" x14ac:dyDescent="0.25">
      <c r="F282" s="17" t="s">
        <v>1254</v>
      </c>
      <c r="G282" s="17" t="s">
        <v>1157</v>
      </c>
    </row>
    <row r="283" spans="6:7" x14ac:dyDescent="0.25">
      <c r="F283" s="17" t="s">
        <v>1255</v>
      </c>
      <c r="G283" s="17" t="s">
        <v>1157</v>
      </c>
    </row>
    <row r="284" spans="6:7" x14ac:dyDescent="0.25">
      <c r="F284" s="17" t="s">
        <v>1256</v>
      </c>
      <c r="G284" s="17" t="s">
        <v>1257</v>
      </c>
    </row>
    <row r="285" spans="6:7" x14ac:dyDescent="0.25">
      <c r="F285" s="17" t="s">
        <v>1258</v>
      </c>
      <c r="G285" s="17" t="s">
        <v>1257</v>
      </c>
    </row>
    <row r="286" spans="6:7" x14ac:dyDescent="0.25">
      <c r="F286" s="17" t="s">
        <v>1259</v>
      </c>
      <c r="G286" s="17" t="s">
        <v>1157</v>
      </c>
    </row>
    <row r="287" spans="6:7" x14ac:dyDescent="0.25">
      <c r="F287" s="17" t="s">
        <v>1260</v>
      </c>
      <c r="G287" s="17" t="s">
        <v>1157</v>
      </c>
    </row>
    <row r="288" spans="6:7" x14ac:dyDescent="0.25">
      <c r="F288" s="17" t="s">
        <v>1261</v>
      </c>
      <c r="G288" s="17" t="s">
        <v>1157</v>
      </c>
    </row>
    <row r="289" spans="6:7" x14ac:dyDescent="0.25">
      <c r="F289" s="17" t="s">
        <v>1262</v>
      </c>
      <c r="G289" s="17" t="s">
        <v>1157</v>
      </c>
    </row>
    <row r="290" spans="6:7" x14ac:dyDescent="0.25">
      <c r="F290" s="17" t="s">
        <v>1263</v>
      </c>
      <c r="G290" s="17" t="s">
        <v>1157</v>
      </c>
    </row>
    <row r="291" spans="6:7" x14ac:dyDescent="0.25">
      <c r="F291" s="17" t="s">
        <v>1264</v>
      </c>
      <c r="G291" s="17" t="s">
        <v>1157</v>
      </c>
    </row>
    <row r="292" spans="6:7" x14ac:dyDescent="0.25">
      <c r="F292" s="17" t="s">
        <v>1265</v>
      </c>
      <c r="G292" s="17" t="s">
        <v>1157</v>
      </c>
    </row>
    <row r="293" spans="6:7" x14ac:dyDescent="0.25">
      <c r="F293" s="17" t="s">
        <v>1266</v>
      </c>
      <c r="G293" s="17" t="s">
        <v>1157</v>
      </c>
    </row>
    <row r="294" spans="6:7" x14ac:dyDescent="0.25">
      <c r="F294" s="17" t="s">
        <v>1267</v>
      </c>
      <c r="G294" s="17" t="s">
        <v>1157</v>
      </c>
    </row>
    <row r="295" spans="6:7" x14ac:dyDescent="0.25">
      <c r="F295" s="17" t="s">
        <v>1268</v>
      </c>
      <c r="G295" s="17" t="s">
        <v>1157</v>
      </c>
    </row>
    <row r="296" spans="6:7" x14ac:dyDescent="0.25">
      <c r="F296" s="17" t="s">
        <v>1269</v>
      </c>
      <c r="G296" s="17" t="s">
        <v>1157</v>
      </c>
    </row>
    <row r="297" spans="6:7" x14ac:dyDescent="0.25">
      <c r="F297" s="17" t="s">
        <v>1270</v>
      </c>
      <c r="G297" s="17" t="s">
        <v>1157</v>
      </c>
    </row>
    <row r="298" spans="6:7" x14ac:dyDescent="0.25">
      <c r="F298" s="17" t="s">
        <v>1271</v>
      </c>
      <c r="G298" s="17" t="s">
        <v>1157</v>
      </c>
    </row>
    <row r="299" spans="6:7" x14ac:dyDescent="0.25">
      <c r="F299" s="17" t="s">
        <v>1272</v>
      </c>
      <c r="G299" s="17" t="s">
        <v>1157</v>
      </c>
    </row>
    <row r="300" spans="6:7" x14ac:dyDescent="0.25">
      <c r="F300" s="17" t="s">
        <v>1273</v>
      </c>
      <c r="G300" s="17" t="s">
        <v>1157</v>
      </c>
    </row>
    <row r="301" spans="6:7" x14ac:dyDescent="0.25">
      <c r="F301" s="17" t="s">
        <v>1274</v>
      </c>
      <c r="G301" s="17" t="s">
        <v>1257</v>
      </c>
    </row>
    <row r="302" spans="6:7" x14ac:dyDescent="0.25">
      <c r="F302" s="17" t="s">
        <v>1275</v>
      </c>
      <c r="G302" s="17" t="s">
        <v>1257</v>
      </c>
    </row>
    <row r="303" spans="6:7" x14ac:dyDescent="0.25">
      <c r="F303" s="17" t="s">
        <v>1276</v>
      </c>
      <c r="G303" s="17" t="s">
        <v>1257</v>
      </c>
    </row>
    <row r="304" spans="6:7" x14ac:dyDescent="0.25">
      <c r="F304" s="17" t="s">
        <v>1277</v>
      </c>
      <c r="G304" s="17" t="s">
        <v>1157</v>
      </c>
    </row>
    <row r="305" spans="6:7" x14ac:dyDescent="0.25">
      <c r="F305" s="17" t="s">
        <v>1278</v>
      </c>
      <c r="G305" s="17" t="s">
        <v>1157</v>
      </c>
    </row>
    <row r="306" spans="6:7" x14ac:dyDescent="0.25">
      <c r="F306" s="17" t="s">
        <v>1279</v>
      </c>
      <c r="G306" s="17" t="s">
        <v>1157</v>
      </c>
    </row>
    <row r="307" spans="6:7" x14ac:dyDescent="0.25">
      <c r="F307" s="17" t="s">
        <v>1280</v>
      </c>
      <c r="G307" s="17" t="s">
        <v>1157</v>
      </c>
    </row>
    <row r="308" spans="6:7" x14ac:dyDescent="0.25">
      <c r="F308" s="17" t="s">
        <v>1281</v>
      </c>
      <c r="G308" s="17" t="s">
        <v>1157</v>
      </c>
    </row>
    <row r="309" spans="6:7" x14ac:dyDescent="0.25">
      <c r="F309" s="17" t="s">
        <v>1282</v>
      </c>
      <c r="G309" s="17" t="s">
        <v>1157</v>
      </c>
    </row>
    <row r="310" spans="6:7" x14ac:dyDescent="0.25">
      <c r="F310" s="17" t="s">
        <v>1283</v>
      </c>
      <c r="G310" s="17" t="s">
        <v>1157</v>
      </c>
    </row>
    <row r="311" spans="6:7" x14ac:dyDescent="0.25">
      <c r="F311" s="17" t="s">
        <v>1284</v>
      </c>
      <c r="G311" s="17" t="s">
        <v>1157</v>
      </c>
    </row>
    <row r="312" spans="6:7" x14ac:dyDescent="0.25">
      <c r="F312" s="17" t="s">
        <v>1285</v>
      </c>
      <c r="G312" s="17" t="s">
        <v>1157</v>
      </c>
    </row>
    <row r="313" spans="6:7" x14ac:dyDescent="0.25">
      <c r="F313" s="17" t="s">
        <v>1286</v>
      </c>
      <c r="G313" s="17" t="s">
        <v>1157</v>
      </c>
    </row>
    <row r="314" spans="6:7" x14ac:dyDescent="0.25">
      <c r="F314" s="17" t="s">
        <v>1287</v>
      </c>
      <c r="G314" s="17" t="s">
        <v>1157</v>
      </c>
    </row>
    <row r="315" spans="6:7" x14ac:dyDescent="0.25">
      <c r="F315" s="17" t="s">
        <v>1288</v>
      </c>
      <c r="G315" s="17" t="s">
        <v>1157</v>
      </c>
    </row>
    <row r="316" spans="6:7" x14ac:dyDescent="0.25">
      <c r="F316" s="17" t="s">
        <v>1289</v>
      </c>
      <c r="G316" s="17" t="s">
        <v>1157</v>
      </c>
    </row>
    <row r="317" spans="6:7" x14ac:dyDescent="0.25">
      <c r="F317" s="17" t="s">
        <v>1290</v>
      </c>
      <c r="G317" s="17" t="s">
        <v>1157</v>
      </c>
    </row>
    <row r="318" spans="6:7" x14ac:dyDescent="0.25">
      <c r="F318" s="17" t="s">
        <v>1291</v>
      </c>
      <c r="G318" s="17" t="s">
        <v>1179</v>
      </c>
    </row>
    <row r="319" spans="6:7" x14ac:dyDescent="0.25">
      <c r="F319" s="17" t="s">
        <v>1292</v>
      </c>
      <c r="G319" s="17" t="s">
        <v>1257</v>
      </c>
    </row>
    <row r="320" spans="6:7" x14ac:dyDescent="0.25">
      <c r="F320" s="17" t="s">
        <v>1293</v>
      </c>
      <c r="G320" s="17" t="s">
        <v>1157</v>
      </c>
    </row>
    <row r="321" spans="6:7" x14ac:dyDescent="0.25">
      <c r="F321" s="17" t="s">
        <v>1294</v>
      </c>
      <c r="G321" s="17" t="s">
        <v>1295</v>
      </c>
    </row>
    <row r="322" spans="6:7" x14ac:dyDescent="0.25">
      <c r="F322" s="17" t="s">
        <v>1296</v>
      </c>
      <c r="G322" s="17" t="s">
        <v>1295</v>
      </c>
    </row>
    <row r="323" spans="6:7" x14ac:dyDescent="0.25">
      <c r="F323" s="17" t="s">
        <v>1297</v>
      </c>
      <c r="G323" s="17" t="s">
        <v>1295</v>
      </c>
    </row>
    <row r="324" spans="6:7" x14ac:dyDescent="0.25">
      <c r="F324" s="17" t="s">
        <v>1298</v>
      </c>
      <c r="G324" s="17" t="s">
        <v>1295</v>
      </c>
    </row>
    <row r="325" spans="6:7" x14ac:dyDescent="0.25">
      <c r="F325" s="17" t="s">
        <v>1299</v>
      </c>
      <c r="G325" s="17" t="s">
        <v>1295</v>
      </c>
    </row>
    <row r="326" spans="6:7" x14ac:dyDescent="0.25">
      <c r="F326" s="17" t="s">
        <v>1300</v>
      </c>
      <c r="G326" s="17" t="s">
        <v>1295</v>
      </c>
    </row>
    <row r="327" spans="6:7" x14ac:dyDescent="0.25">
      <c r="F327" s="17" t="s">
        <v>1301</v>
      </c>
      <c r="G327" s="17" t="s">
        <v>1295</v>
      </c>
    </row>
    <row r="328" spans="6:7" x14ac:dyDescent="0.25">
      <c r="F328" s="17" t="s">
        <v>1302</v>
      </c>
      <c r="G328" s="17" t="s">
        <v>1295</v>
      </c>
    </row>
    <row r="329" spans="6:7" x14ac:dyDescent="0.25">
      <c r="F329" s="17" t="s">
        <v>1303</v>
      </c>
      <c r="G329" s="17" t="s">
        <v>1157</v>
      </c>
    </row>
    <row r="330" spans="6:7" x14ac:dyDescent="0.25">
      <c r="F330" s="17" t="s">
        <v>1304</v>
      </c>
      <c r="G330" s="17" t="s">
        <v>1157</v>
      </c>
    </row>
    <row r="331" spans="6:7" x14ac:dyDescent="0.25">
      <c r="F331" s="17" t="s">
        <v>1305</v>
      </c>
      <c r="G331" s="17" t="s">
        <v>1157</v>
      </c>
    </row>
    <row r="332" spans="6:7" x14ac:dyDescent="0.25">
      <c r="F332" s="17" t="s">
        <v>1306</v>
      </c>
      <c r="G332" s="17" t="s">
        <v>1157</v>
      </c>
    </row>
    <row r="333" spans="6:7" x14ac:dyDescent="0.25">
      <c r="F333" s="17" t="s">
        <v>1307</v>
      </c>
      <c r="G333" s="17" t="s">
        <v>1157</v>
      </c>
    </row>
    <row r="334" spans="6:7" x14ac:dyDescent="0.25">
      <c r="F334" s="17" t="s">
        <v>1308</v>
      </c>
      <c r="G334" s="17" t="s">
        <v>1157</v>
      </c>
    </row>
    <row r="335" spans="6:7" x14ac:dyDescent="0.25">
      <c r="F335" s="17" t="s">
        <v>1309</v>
      </c>
      <c r="G335" s="17" t="s">
        <v>1157</v>
      </c>
    </row>
    <row r="336" spans="6:7" x14ac:dyDescent="0.25">
      <c r="F336" s="17" t="s">
        <v>1310</v>
      </c>
      <c r="G336" s="17" t="s">
        <v>1157</v>
      </c>
    </row>
    <row r="337" spans="6:7" x14ac:dyDescent="0.25">
      <c r="F337" s="17" t="s">
        <v>1311</v>
      </c>
      <c r="G337" s="17" t="s">
        <v>1157</v>
      </c>
    </row>
    <row r="338" spans="6:7" x14ac:dyDescent="0.25">
      <c r="F338" s="17" t="s">
        <v>1312</v>
      </c>
      <c r="G338" s="17" t="s">
        <v>1257</v>
      </c>
    </row>
    <row r="339" spans="6:7" x14ac:dyDescent="0.25">
      <c r="F339" s="17" t="s">
        <v>1313</v>
      </c>
      <c r="G339" s="17" t="s">
        <v>1257</v>
      </c>
    </row>
    <row r="340" spans="6:7" x14ac:dyDescent="0.25">
      <c r="F340" s="17" t="s">
        <v>1314</v>
      </c>
      <c r="G340" s="17" t="s">
        <v>1257</v>
      </c>
    </row>
    <row r="341" spans="6:7" x14ac:dyDescent="0.25">
      <c r="F341" s="17" t="s">
        <v>1315</v>
      </c>
      <c r="G341" s="17" t="s">
        <v>1257</v>
      </c>
    </row>
    <row r="342" spans="6:7" x14ac:dyDescent="0.25">
      <c r="F342" s="17" t="s">
        <v>1316</v>
      </c>
      <c r="G342" s="17" t="s">
        <v>1157</v>
      </c>
    </row>
    <row r="343" spans="6:7" x14ac:dyDescent="0.25">
      <c r="F343" s="17" t="s">
        <v>1317</v>
      </c>
      <c r="G343" s="17" t="s">
        <v>1157</v>
      </c>
    </row>
    <row r="344" spans="6:7" x14ac:dyDescent="0.25">
      <c r="F344" s="17" t="s">
        <v>1318</v>
      </c>
      <c r="G344" s="17" t="s">
        <v>1295</v>
      </c>
    </row>
    <row r="345" spans="6:7" x14ac:dyDescent="0.25">
      <c r="F345" s="17" t="s">
        <v>1319</v>
      </c>
      <c r="G345" s="17" t="s">
        <v>1295</v>
      </c>
    </row>
    <row r="346" spans="6:7" x14ac:dyDescent="0.25">
      <c r="F346" s="17" t="s">
        <v>1320</v>
      </c>
      <c r="G346" s="17" t="s">
        <v>1295</v>
      </c>
    </row>
    <row r="347" spans="6:7" x14ac:dyDescent="0.25">
      <c r="F347" s="17" t="s">
        <v>1321</v>
      </c>
      <c r="G347" s="17" t="s">
        <v>1295</v>
      </c>
    </row>
    <row r="348" spans="6:7" x14ac:dyDescent="0.25">
      <c r="F348" s="17" t="s">
        <v>1322</v>
      </c>
      <c r="G348" s="17" t="s">
        <v>1295</v>
      </c>
    </row>
    <row r="349" spans="6:7" x14ac:dyDescent="0.25">
      <c r="F349" s="17" t="s">
        <v>1323</v>
      </c>
      <c r="G349" s="17" t="s">
        <v>1295</v>
      </c>
    </row>
    <row r="350" spans="6:7" x14ac:dyDescent="0.25">
      <c r="F350" s="17" t="s">
        <v>1324</v>
      </c>
      <c r="G350" s="17" t="s">
        <v>1295</v>
      </c>
    </row>
    <row r="351" spans="6:7" x14ac:dyDescent="0.25">
      <c r="F351" s="17" t="s">
        <v>1325</v>
      </c>
      <c r="G351" s="17" t="s">
        <v>1295</v>
      </c>
    </row>
    <row r="352" spans="6:7" x14ac:dyDescent="0.25">
      <c r="F352" s="17" t="s">
        <v>1326</v>
      </c>
      <c r="G352" s="17" t="s">
        <v>1295</v>
      </c>
    </row>
    <row r="353" spans="6:7" x14ac:dyDescent="0.25">
      <c r="F353" s="17" t="s">
        <v>1327</v>
      </c>
      <c r="G353" s="17" t="s">
        <v>1295</v>
      </c>
    </row>
    <row r="354" spans="6:7" x14ac:dyDescent="0.25">
      <c r="F354" s="17" t="s">
        <v>1328</v>
      </c>
      <c r="G354" s="17" t="s">
        <v>1295</v>
      </c>
    </row>
    <row r="355" spans="6:7" x14ac:dyDescent="0.25">
      <c r="F355" s="17" t="s">
        <v>1329</v>
      </c>
      <c r="G355" s="17" t="s">
        <v>1295</v>
      </c>
    </row>
    <row r="356" spans="6:7" x14ac:dyDescent="0.25">
      <c r="F356" s="17" t="s">
        <v>1330</v>
      </c>
      <c r="G356" s="17" t="s">
        <v>1257</v>
      </c>
    </row>
    <row r="357" spans="6:7" x14ac:dyDescent="0.25">
      <c r="F357" s="17" t="s">
        <v>1331</v>
      </c>
      <c r="G357" s="17" t="s">
        <v>1257</v>
      </c>
    </row>
    <row r="358" spans="6:7" x14ac:dyDescent="0.25">
      <c r="F358" s="17" t="s">
        <v>1332</v>
      </c>
      <c r="G358" s="17" t="s">
        <v>1257</v>
      </c>
    </row>
    <row r="359" spans="6:7" x14ac:dyDescent="0.25">
      <c r="F359" s="17" t="s">
        <v>1333</v>
      </c>
      <c r="G359" s="17" t="s">
        <v>1295</v>
      </c>
    </row>
    <row r="360" spans="6:7" x14ac:dyDescent="0.25">
      <c r="F360" s="17" t="s">
        <v>1334</v>
      </c>
      <c r="G360" s="17" t="s">
        <v>1157</v>
      </c>
    </row>
    <row r="361" spans="6:7" x14ac:dyDescent="0.25">
      <c r="F361" s="17" t="s">
        <v>1335</v>
      </c>
      <c r="G361" s="17" t="s">
        <v>1157</v>
      </c>
    </row>
    <row r="362" spans="6:7" x14ac:dyDescent="0.25">
      <c r="F362" s="17" t="s">
        <v>1336</v>
      </c>
      <c r="G362" s="17" t="s">
        <v>1157</v>
      </c>
    </row>
    <row r="363" spans="6:7" x14ac:dyDescent="0.25">
      <c r="F363" s="17" t="s">
        <v>1337</v>
      </c>
      <c r="G363" s="17" t="s">
        <v>1295</v>
      </c>
    </row>
    <row r="364" spans="6:7" x14ac:dyDescent="0.25">
      <c r="F364" s="17" t="s">
        <v>1338</v>
      </c>
      <c r="G364" s="17" t="s">
        <v>1295</v>
      </c>
    </row>
    <row r="365" spans="6:7" x14ac:dyDescent="0.25">
      <c r="F365" s="17" t="s">
        <v>1339</v>
      </c>
      <c r="G365" s="17" t="s">
        <v>1295</v>
      </c>
    </row>
    <row r="366" spans="6:7" x14ac:dyDescent="0.25">
      <c r="F366" s="17" t="s">
        <v>1340</v>
      </c>
      <c r="G366" s="17" t="s">
        <v>1295</v>
      </c>
    </row>
    <row r="367" spans="6:7" x14ac:dyDescent="0.25">
      <c r="F367" s="17" t="s">
        <v>1341</v>
      </c>
      <c r="G367" s="17" t="s">
        <v>1295</v>
      </c>
    </row>
    <row r="368" spans="6:7" x14ac:dyDescent="0.25">
      <c r="F368" s="17" t="s">
        <v>1342</v>
      </c>
      <c r="G368" s="17" t="s">
        <v>1295</v>
      </c>
    </row>
    <row r="369" spans="6:7" x14ac:dyDescent="0.25">
      <c r="F369" s="17" t="s">
        <v>1343</v>
      </c>
      <c r="G369" s="17" t="s">
        <v>1295</v>
      </c>
    </row>
    <row r="370" spans="6:7" x14ac:dyDescent="0.25">
      <c r="F370" s="17" t="s">
        <v>1344</v>
      </c>
      <c r="G370" s="17" t="s">
        <v>1295</v>
      </c>
    </row>
    <row r="371" spans="6:7" x14ac:dyDescent="0.25">
      <c r="F371" s="17" t="s">
        <v>1345</v>
      </c>
      <c r="G371" s="17" t="s">
        <v>1295</v>
      </c>
    </row>
    <row r="372" spans="6:7" x14ac:dyDescent="0.25">
      <c r="F372" s="17" t="s">
        <v>1346</v>
      </c>
      <c r="G372" s="17" t="s">
        <v>1295</v>
      </c>
    </row>
    <row r="373" spans="6:7" x14ac:dyDescent="0.25">
      <c r="F373" s="17" t="s">
        <v>1347</v>
      </c>
      <c r="G373" s="17" t="s">
        <v>1295</v>
      </c>
    </row>
    <row r="374" spans="6:7" x14ac:dyDescent="0.25">
      <c r="F374" s="17" t="s">
        <v>1348</v>
      </c>
      <c r="G374" s="17" t="s">
        <v>1257</v>
      </c>
    </row>
    <row r="375" spans="6:7" x14ac:dyDescent="0.25">
      <c r="F375" s="17" t="s">
        <v>1349</v>
      </c>
      <c r="G375" s="17" t="s">
        <v>1257</v>
      </c>
    </row>
    <row r="376" spans="6:7" x14ac:dyDescent="0.25">
      <c r="F376" s="17" t="s">
        <v>1350</v>
      </c>
      <c r="G376" s="17" t="s">
        <v>1257</v>
      </c>
    </row>
    <row r="377" spans="6:7" x14ac:dyDescent="0.25">
      <c r="F377" s="17" t="s">
        <v>1351</v>
      </c>
      <c r="G377" s="17" t="s">
        <v>1257</v>
      </c>
    </row>
    <row r="378" spans="6:7" x14ac:dyDescent="0.25">
      <c r="F378" s="17" t="s">
        <v>1352</v>
      </c>
      <c r="G378" s="17" t="s">
        <v>1257</v>
      </c>
    </row>
    <row r="379" spans="6:7" x14ac:dyDescent="0.25">
      <c r="F379" s="17" t="s">
        <v>1353</v>
      </c>
      <c r="G379" s="17" t="s">
        <v>1257</v>
      </c>
    </row>
    <row r="380" spans="6:7" x14ac:dyDescent="0.25">
      <c r="F380" s="17" t="s">
        <v>1354</v>
      </c>
      <c r="G380" s="17" t="s">
        <v>1257</v>
      </c>
    </row>
    <row r="381" spans="6:7" x14ac:dyDescent="0.25">
      <c r="F381" s="17" t="s">
        <v>1355</v>
      </c>
      <c r="G381" s="17" t="s">
        <v>1257</v>
      </c>
    </row>
    <row r="382" spans="6:7" x14ac:dyDescent="0.25">
      <c r="F382" s="17" t="s">
        <v>1356</v>
      </c>
      <c r="G382" s="17" t="s">
        <v>1257</v>
      </c>
    </row>
    <row r="383" spans="6:7" x14ac:dyDescent="0.25">
      <c r="F383" s="17" t="s">
        <v>1357</v>
      </c>
      <c r="G383" s="17" t="s">
        <v>1257</v>
      </c>
    </row>
    <row r="384" spans="6:7" x14ac:dyDescent="0.25">
      <c r="F384" s="17" t="s">
        <v>1358</v>
      </c>
      <c r="G384" s="17" t="s">
        <v>1257</v>
      </c>
    </row>
    <row r="385" spans="6:7" x14ac:dyDescent="0.25">
      <c r="F385" s="17" t="s">
        <v>1359</v>
      </c>
      <c r="G385" s="17" t="s">
        <v>1257</v>
      </c>
    </row>
    <row r="386" spans="6:7" x14ac:dyDescent="0.25">
      <c r="F386" s="17" t="s">
        <v>1360</v>
      </c>
      <c r="G386" s="17" t="s">
        <v>1257</v>
      </c>
    </row>
    <row r="387" spans="6:7" x14ac:dyDescent="0.25">
      <c r="F387" s="17" t="s">
        <v>1361</v>
      </c>
      <c r="G387" s="17" t="s">
        <v>1257</v>
      </c>
    </row>
    <row r="388" spans="6:7" x14ac:dyDescent="0.25">
      <c r="F388" s="17" t="s">
        <v>1362</v>
      </c>
      <c r="G388" s="17" t="s">
        <v>1257</v>
      </c>
    </row>
    <row r="389" spans="6:7" x14ac:dyDescent="0.25">
      <c r="F389" s="17" t="s">
        <v>1363</v>
      </c>
      <c r="G389" s="17" t="s">
        <v>1257</v>
      </c>
    </row>
    <row r="390" spans="6:7" x14ac:dyDescent="0.25">
      <c r="F390" s="17" t="s">
        <v>1364</v>
      </c>
      <c r="G390" s="17" t="s">
        <v>1257</v>
      </c>
    </row>
    <row r="391" spans="6:7" x14ac:dyDescent="0.25">
      <c r="F391" s="17" t="s">
        <v>1365</v>
      </c>
      <c r="G391" s="17" t="s">
        <v>1257</v>
      </c>
    </row>
    <row r="392" spans="6:7" x14ac:dyDescent="0.25">
      <c r="F392" s="17" t="s">
        <v>1366</v>
      </c>
      <c r="G392" s="17" t="s">
        <v>1257</v>
      </c>
    </row>
    <row r="393" spans="6:7" x14ac:dyDescent="0.25">
      <c r="F393" s="17" t="s">
        <v>1367</v>
      </c>
      <c r="G393" s="17" t="s">
        <v>1257</v>
      </c>
    </row>
    <row r="394" spans="6:7" x14ac:dyDescent="0.25">
      <c r="F394" s="17" t="s">
        <v>1368</v>
      </c>
      <c r="G394" s="17" t="s">
        <v>1257</v>
      </c>
    </row>
    <row r="395" spans="6:7" x14ac:dyDescent="0.25">
      <c r="F395" s="17" t="s">
        <v>1369</v>
      </c>
      <c r="G395" s="17" t="s">
        <v>1257</v>
      </c>
    </row>
    <row r="396" spans="6:7" x14ac:dyDescent="0.25">
      <c r="F396" s="17" t="s">
        <v>1370</v>
      </c>
      <c r="G396" s="17" t="s">
        <v>1257</v>
      </c>
    </row>
    <row r="397" spans="6:7" x14ac:dyDescent="0.25">
      <c r="F397" s="17" t="s">
        <v>1371</v>
      </c>
      <c r="G397" s="17" t="s">
        <v>1257</v>
      </c>
    </row>
    <row r="398" spans="6:7" x14ac:dyDescent="0.25">
      <c r="F398" s="17" t="s">
        <v>1372</v>
      </c>
      <c r="G398" s="17" t="s">
        <v>1257</v>
      </c>
    </row>
    <row r="399" spans="6:7" x14ac:dyDescent="0.25">
      <c r="F399" s="17" t="s">
        <v>1373</v>
      </c>
      <c r="G399" s="17" t="s">
        <v>1257</v>
      </c>
    </row>
    <row r="400" spans="6:7" x14ac:dyDescent="0.25">
      <c r="F400" s="17" t="s">
        <v>1374</v>
      </c>
      <c r="G400" s="17" t="s">
        <v>1257</v>
      </c>
    </row>
    <row r="401" spans="6:7" x14ac:dyDescent="0.25">
      <c r="F401" s="17" t="s">
        <v>1375</v>
      </c>
      <c r="G401" s="17" t="s">
        <v>1257</v>
      </c>
    </row>
    <row r="402" spans="6:7" x14ac:dyDescent="0.25">
      <c r="F402" s="17" t="s">
        <v>1376</v>
      </c>
      <c r="G402" s="17" t="s">
        <v>1257</v>
      </c>
    </row>
    <row r="403" spans="6:7" x14ac:dyDescent="0.25">
      <c r="F403" s="17" t="s">
        <v>1377</v>
      </c>
      <c r="G403" s="17" t="s">
        <v>1257</v>
      </c>
    </row>
    <row r="404" spans="6:7" x14ac:dyDescent="0.25">
      <c r="F404" s="17" t="s">
        <v>1378</v>
      </c>
      <c r="G404" s="17" t="s">
        <v>1257</v>
      </c>
    </row>
    <row r="405" spans="6:7" x14ac:dyDescent="0.25">
      <c r="F405" s="17" t="s">
        <v>1379</v>
      </c>
      <c r="G405" s="17" t="s">
        <v>1257</v>
      </c>
    </row>
    <row r="406" spans="6:7" x14ac:dyDescent="0.25">
      <c r="F406" s="17" t="s">
        <v>1380</v>
      </c>
      <c r="G406" s="17" t="s">
        <v>1257</v>
      </c>
    </row>
    <row r="407" spans="6:7" x14ac:dyDescent="0.25">
      <c r="F407" s="17" t="s">
        <v>1381</v>
      </c>
      <c r="G407" s="17" t="s">
        <v>1257</v>
      </c>
    </row>
    <row r="408" spans="6:7" x14ac:dyDescent="0.25">
      <c r="F408" s="17" t="s">
        <v>1382</v>
      </c>
      <c r="G408" s="17" t="s">
        <v>1257</v>
      </c>
    </row>
    <row r="409" spans="6:7" x14ac:dyDescent="0.25">
      <c r="F409" s="17" t="s">
        <v>1383</v>
      </c>
      <c r="G409" s="17" t="s">
        <v>1257</v>
      </c>
    </row>
    <row r="410" spans="6:7" x14ac:dyDescent="0.25">
      <c r="F410" s="17" t="s">
        <v>1384</v>
      </c>
      <c r="G410" s="17" t="s">
        <v>1257</v>
      </c>
    </row>
    <row r="411" spans="6:7" x14ac:dyDescent="0.25">
      <c r="F411" s="17" t="s">
        <v>1385</v>
      </c>
      <c r="G411" s="17" t="s">
        <v>1257</v>
      </c>
    </row>
    <row r="412" spans="6:7" x14ac:dyDescent="0.25">
      <c r="F412" s="17" t="s">
        <v>1386</v>
      </c>
      <c r="G412" s="17" t="s">
        <v>1257</v>
      </c>
    </row>
    <row r="413" spans="6:7" x14ac:dyDescent="0.25">
      <c r="F413" s="17" t="s">
        <v>1387</v>
      </c>
      <c r="G413" s="17" t="s">
        <v>1257</v>
      </c>
    </row>
    <row r="414" spans="6:7" x14ac:dyDescent="0.25">
      <c r="F414" s="17" t="s">
        <v>1388</v>
      </c>
      <c r="G414" s="17" t="s">
        <v>1257</v>
      </c>
    </row>
    <row r="415" spans="6:7" x14ac:dyDescent="0.25">
      <c r="F415" s="17" t="s">
        <v>1389</v>
      </c>
      <c r="G415" s="17" t="s">
        <v>1257</v>
      </c>
    </row>
    <row r="416" spans="6:7" x14ac:dyDescent="0.25">
      <c r="F416" s="17" t="s">
        <v>1390</v>
      </c>
      <c r="G416" s="17" t="s">
        <v>1257</v>
      </c>
    </row>
    <row r="417" spans="6:7" x14ac:dyDescent="0.25">
      <c r="F417" s="17" t="s">
        <v>1391</v>
      </c>
      <c r="G417" s="17" t="s">
        <v>1257</v>
      </c>
    </row>
    <row r="418" spans="6:7" x14ac:dyDescent="0.25">
      <c r="F418" s="17" t="s">
        <v>1392</v>
      </c>
      <c r="G418" s="17" t="s">
        <v>1257</v>
      </c>
    </row>
    <row r="419" spans="6:7" x14ac:dyDescent="0.25">
      <c r="F419" s="17" t="s">
        <v>1393</v>
      </c>
      <c r="G419" s="17" t="s">
        <v>1257</v>
      </c>
    </row>
    <row r="420" spans="6:7" x14ac:dyDescent="0.25">
      <c r="F420" s="17" t="s">
        <v>1394</v>
      </c>
      <c r="G420" s="17" t="s">
        <v>1257</v>
      </c>
    </row>
    <row r="421" spans="6:7" x14ac:dyDescent="0.25">
      <c r="F421" s="17" t="s">
        <v>1395</v>
      </c>
      <c r="G421" s="17" t="s">
        <v>1257</v>
      </c>
    </row>
    <row r="422" spans="6:7" x14ac:dyDescent="0.25">
      <c r="F422" s="17" t="s">
        <v>1396</v>
      </c>
      <c r="G422" s="17" t="s">
        <v>1257</v>
      </c>
    </row>
    <row r="423" spans="6:7" x14ac:dyDescent="0.25">
      <c r="F423" s="17" t="s">
        <v>1397</v>
      </c>
      <c r="G423" s="17" t="s">
        <v>1257</v>
      </c>
    </row>
    <row r="424" spans="6:7" x14ac:dyDescent="0.25">
      <c r="F424" s="17" t="s">
        <v>1398</v>
      </c>
      <c r="G424" s="17" t="s">
        <v>1257</v>
      </c>
    </row>
    <row r="425" spans="6:7" x14ac:dyDescent="0.25">
      <c r="F425" s="17" t="s">
        <v>1399</v>
      </c>
      <c r="G425" s="17" t="s">
        <v>1257</v>
      </c>
    </row>
    <row r="426" spans="6:7" x14ac:dyDescent="0.25">
      <c r="F426" s="17" t="s">
        <v>1400</v>
      </c>
      <c r="G426" s="17" t="s">
        <v>1295</v>
      </c>
    </row>
    <row r="427" spans="6:7" x14ac:dyDescent="0.25">
      <c r="F427" s="17" t="s">
        <v>1401</v>
      </c>
      <c r="G427" s="17" t="s">
        <v>1225</v>
      </c>
    </row>
    <row r="428" spans="6:7" x14ac:dyDescent="0.25">
      <c r="F428" s="17" t="s">
        <v>1402</v>
      </c>
      <c r="G428" s="17" t="s">
        <v>1225</v>
      </c>
    </row>
    <row r="429" spans="6:7" x14ac:dyDescent="0.25">
      <c r="F429" s="17" t="s">
        <v>1403</v>
      </c>
      <c r="G429" s="17" t="s">
        <v>1225</v>
      </c>
    </row>
    <row r="430" spans="6:7" x14ac:dyDescent="0.25">
      <c r="F430" s="17" t="s">
        <v>1404</v>
      </c>
      <c r="G430" s="17" t="s">
        <v>1295</v>
      </c>
    </row>
    <row r="431" spans="6:7" x14ac:dyDescent="0.25">
      <c r="F431" s="17" t="s">
        <v>1405</v>
      </c>
      <c r="G431" s="17" t="s">
        <v>1295</v>
      </c>
    </row>
    <row r="432" spans="6:7" x14ac:dyDescent="0.25">
      <c r="F432" s="17" t="s">
        <v>1406</v>
      </c>
      <c r="G432" s="17" t="s">
        <v>1295</v>
      </c>
    </row>
    <row r="433" spans="6:7" x14ac:dyDescent="0.25">
      <c r="F433" s="17" t="s">
        <v>1407</v>
      </c>
      <c r="G433" s="17" t="s">
        <v>1295</v>
      </c>
    </row>
    <row r="434" spans="6:7" x14ac:dyDescent="0.25">
      <c r="F434" s="17" t="s">
        <v>1408</v>
      </c>
      <c r="G434" s="17" t="s">
        <v>1295</v>
      </c>
    </row>
    <row r="435" spans="6:7" x14ac:dyDescent="0.25">
      <c r="F435" s="17" t="s">
        <v>1409</v>
      </c>
      <c r="G435" s="17" t="s">
        <v>1257</v>
      </c>
    </row>
    <row r="436" spans="6:7" x14ac:dyDescent="0.25">
      <c r="F436" s="17" t="s">
        <v>1410</v>
      </c>
      <c r="G436" s="17" t="s">
        <v>1257</v>
      </c>
    </row>
    <row r="437" spans="6:7" x14ac:dyDescent="0.25">
      <c r="F437" s="17" t="s">
        <v>1411</v>
      </c>
      <c r="G437" s="17" t="s">
        <v>1257</v>
      </c>
    </row>
    <row r="438" spans="6:7" x14ac:dyDescent="0.25">
      <c r="F438" s="17" t="s">
        <v>1412</v>
      </c>
      <c r="G438" s="17" t="s">
        <v>1257</v>
      </c>
    </row>
    <row r="439" spans="6:7" x14ac:dyDescent="0.25">
      <c r="F439" s="17" t="s">
        <v>1413</v>
      </c>
      <c r="G439" s="17" t="s">
        <v>1257</v>
      </c>
    </row>
    <row r="440" spans="6:7" x14ac:dyDescent="0.25">
      <c r="F440" s="17" t="s">
        <v>1414</v>
      </c>
      <c r="G440" s="17" t="s">
        <v>1257</v>
      </c>
    </row>
    <row r="441" spans="6:7" x14ac:dyDescent="0.25">
      <c r="F441" s="17" t="s">
        <v>1415</v>
      </c>
      <c r="G441" s="17" t="s">
        <v>1257</v>
      </c>
    </row>
    <row r="442" spans="6:7" x14ac:dyDescent="0.25">
      <c r="F442" s="17" t="s">
        <v>1416</v>
      </c>
      <c r="G442" s="17" t="s">
        <v>1257</v>
      </c>
    </row>
    <row r="443" spans="6:7" x14ac:dyDescent="0.25">
      <c r="F443" s="17" t="s">
        <v>1417</v>
      </c>
      <c r="G443" s="17" t="s">
        <v>1257</v>
      </c>
    </row>
    <row r="444" spans="6:7" x14ac:dyDescent="0.25">
      <c r="F444" s="17" t="s">
        <v>1418</v>
      </c>
      <c r="G444" s="17" t="s">
        <v>1257</v>
      </c>
    </row>
    <row r="445" spans="6:7" x14ac:dyDescent="0.25">
      <c r="F445" s="17" t="s">
        <v>1419</v>
      </c>
      <c r="G445" s="17" t="s">
        <v>1257</v>
      </c>
    </row>
    <row r="446" spans="6:7" x14ac:dyDescent="0.25">
      <c r="F446" s="17" t="s">
        <v>1420</v>
      </c>
      <c r="G446" s="17" t="s">
        <v>1257</v>
      </c>
    </row>
    <row r="447" spans="6:7" x14ac:dyDescent="0.25">
      <c r="F447" s="17" t="s">
        <v>1421</v>
      </c>
      <c r="G447" s="17" t="s">
        <v>1257</v>
      </c>
    </row>
    <row r="448" spans="6:7" x14ac:dyDescent="0.25">
      <c r="F448" s="17" t="s">
        <v>1422</v>
      </c>
      <c r="G448" s="17" t="s">
        <v>1257</v>
      </c>
    </row>
    <row r="449" spans="6:7" x14ac:dyDescent="0.25">
      <c r="F449" s="17" t="s">
        <v>1423</v>
      </c>
      <c r="G449" s="17" t="s">
        <v>1257</v>
      </c>
    </row>
    <row r="450" spans="6:7" x14ac:dyDescent="0.25">
      <c r="F450" s="17" t="s">
        <v>1424</v>
      </c>
      <c r="G450" s="17" t="s">
        <v>1257</v>
      </c>
    </row>
    <row r="451" spans="6:7" x14ac:dyDescent="0.25">
      <c r="F451" s="17" t="s">
        <v>1425</v>
      </c>
      <c r="G451" s="17" t="s">
        <v>1257</v>
      </c>
    </row>
    <row r="452" spans="6:7" x14ac:dyDescent="0.25">
      <c r="F452" s="17" t="s">
        <v>1426</v>
      </c>
      <c r="G452" s="17" t="s">
        <v>1257</v>
      </c>
    </row>
    <row r="453" spans="6:7" x14ac:dyDescent="0.25">
      <c r="F453" s="17" t="s">
        <v>1427</v>
      </c>
      <c r="G453" s="17" t="s">
        <v>1257</v>
      </c>
    </row>
    <row r="454" spans="6:7" x14ac:dyDescent="0.25">
      <c r="F454" s="17" t="s">
        <v>1428</v>
      </c>
      <c r="G454" s="17" t="s">
        <v>1257</v>
      </c>
    </row>
    <row r="455" spans="6:7" x14ac:dyDescent="0.25">
      <c r="F455" s="17" t="s">
        <v>1429</v>
      </c>
      <c r="G455" s="17" t="s">
        <v>1257</v>
      </c>
    </row>
    <row r="456" spans="6:7" x14ac:dyDescent="0.25">
      <c r="F456" s="17" t="s">
        <v>1430</v>
      </c>
      <c r="G456" s="17" t="s">
        <v>1257</v>
      </c>
    </row>
    <row r="457" spans="6:7" x14ac:dyDescent="0.25">
      <c r="F457" s="17" t="s">
        <v>1431</v>
      </c>
      <c r="G457" s="17" t="s">
        <v>1257</v>
      </c>
    </row>
    <row r="458" spans="6:7" x14ac:dyDescent="0.25">
      <c r="F458" s="17" t="s">
        <v>1432</v>
      </c>
      <c r="G458" s="17" t="s">
        <v>1257</v>
      </c>
    </row>
    <row r="459" spans="6:7" x14ac:dyDescent="0.25">
      <c r="F459" s="17" t="s">
        <v>1433</v>
      </c>
      <c r="G459" s="17" t="s">
        <v>1257</v>
      </c>
    </row>
    <row r="460" spans="6:7" x14ac:dyDescent="0.25">
      <c r="F460" s="17" t="s">
        <v>1434</v>
      </c>
      <c r="G460" s="17" t="s">
        <v>1257</v>
      </c>
    </row>
    <row r="461" spans="6:7" x14ac:dyDescent="0.25">
      <c r="F461" s="17" t="s">
        <v>1435</v>
      </c>
      <c r="G461" s="17" t="s">
        <v>1257</v>
      </c>
    </row>
    <row r="462" spans="6:7" x14ac:dyDescent="0.25">
      <c r="F462" s="17" t="s">
        <v>1436</v>
      </c>
      <c r="G462" s="17" t="s">
        <v>1257</v>
      </c>
    </row>
    <row r="463" spans="6:7" x14ac:dyDescent="0.25">
      <c r="F463" s="17" t="s">
        <v>1437</v>
      </c>
      <c r="G463" s="17" t="s">
        <v>1257</v>
      </c>
    </row>
    <row r="464" spans="6:7" x14ac:dyDescent="0.25">
      <c r="F464" s="17" t="s">
        <v>1438</v>
      </c>
      <c r="G464" s="17" t="s">
        <v>1257</v>
      </c>
    </row>
    <row r="465" spans="6:7" x14ac:dyDescent="0.25">
      <c r="F465" s="17" t="s">
        <v>1439</v>
      </c>
      <c r="G465" s="17" t="s">
        <v>1257</v>
      </c>
    </row>
    <row r="466" spans="6:7" x14ac:dyDescent="0.25">
      <c r="F466" s="17" t="s">
        <v>1440</v>
      </c>
      <c r="G466" s="17" t="s">
        <v>1257</v>
      </c>
    </row>
    <row r="467" spans="6:7" x14ac:dyDescent="0.25">
      <c r="F467" s="17" t="s">
        <v>1441</v>
      </c>
      <c r="G467" s="17" t="s">
        <v>1257</v>
      </c>
    </row>
    <row r="468" spans="6:7" x14ac:dyDescent="0.25">
      <c r="F468" s="17" t="s">
        <v>1442</v>
      </c>
      <c r="G468" s="17" t="s">
        <v>1257</v>
      </c>
    </row>
    <row r="469" spans="6:7" x14ac:dyDescent="0.25">
      <c r="F469" s="17" t="s">
        <v>1443</v>
      </c>
      <c r="G469" s="17" t="s">
        <v>1257</v>
      </c>
    </row>
    <row r="470" spans="6:7" x14ac:dyDescent="0.25">
      <c r="F470" s="17" t="s">
        <v>1444</v>
      </c>
      <c r="G470" s="17" t="s">
        <v>1257</v>
      </c>
    </row>
    <row r="471" spans="6:7" x14ac:dyDescent="0.25">
      <c r="F471" s="17" t="s">
        <v>1445</v>
      </c>
      <c r="G471" s="17" t="s">
        <v>1257</v>
      </c>
    </row>
    <row r="472" spans="6:7" x14ac:dyDescent="0.25">
      <c r="F472" s="17" t="s">
        <v>1446</v>
      </c>
      <c r="G472" s="17" t="s">
        <v>1257</v>
      </c>
    </row>
    <row r="473" spans="6:7" x14ac:dyDescent="0.25">
      <c r="F473" s="17" t="s">
        <v>1447</v>
      </c>
      <c r="G473" s="17" t="s">
        <v>1257</v>
      </c>
    </row>
    <row r="474" spans="6:7" x14ac:dyDescent="0.25">
      <c r="F474" s="17" t="s">
        <v>1448</v>
      </c>
      <c r="G474" s="17" t="s">
        <v>1257</v>
      </c>
    </row>
    <row r="475" spans="6:7" x14ac:dyDescent="0.25">
      <c r="F475" s="17" t="s">
        <v>1449</v>
      </c>
      <c r="G475" s="17" t="s">
        <v>1257</v>
      </c>
    </row>
    <row r="476" spans="6:7" x14ac:dyDescent="0.25">
      <c r="F476" s="17" t="s">
        <v>1450</v>
      </c>
      <c r="G476" s="17" t="s">
        <v>1257</v>
      </c>
    </row>
    <row r="477" spans="6:7" x14ac:dyDescent="0.25">
      <c r="F477" s="17" t="s">
        <v>1451</v>
      </c>
      <c r="G477" s="17" t="s">
        <v>1257</v>
      </c>
    </row>
    <row r="478" spans="6:7" x14ac:dyDescent="0.25">
      <c r="F478" s="17" t="s">
        <v>1452</v>
      </c>
      <c r="G478" s="17" t="s">
        <v>1257</v>
      </c>
    </row>
    <row r="479" spans="6:7" x14ac:dyDescent="0.25">
      <c r="F479" s="17" t="s">
        <v>1453</v>
      </c>
      <c r="G479" s="17" t="s">
        <v>1257</v>
      </c>
    </row>
    <row r="480" spans="6:7" x14ac:dyDescent="0.25">
      <c r="F480" s="17" t="s">
        <v>1454</v>
      </c>
      <c r="G480" s="17" t="s">
        <v>1257</v>
      </c>
    </row>
    <row r="481" spans="6:7" x14ac:dyDescent="0.25">
      <c r="F481" s="17" t="s">
        <v>1455</v>
      </c>
      <c r="G481" s="17" t="s">
        <v>1257</v>
      </c>
    </row>
    <row r="482" spans="6:7" x14ac:dyDescent="0.25">
      <c r="F482" s="17" t="s">
        <v>1456</v>
      </c>
      <c r="G482" s="17" t="s">
        <v>1257</v>
      </c>
    </row>
    <row r="483" spans="6:7" x14ac:dyDescent="0.25">
      <c r="F483" s="17" t="s">
        <v>1457</v>
      </c>
      <c r="G483" s="17" t="s">
        <v>1257</v>
      </c>
    </row>
    <row r="484" spans="6:7" x14ac:dyDescent="0.25">
      <c r="F484" s="17" t="s">
        <v>1458</v>
      </c>
      <c r="G484" s="17" t="s">
        <v>1257</v>
      </c>
    </row>
    <row r="485" spans="6:7" x14ac:dyDescent="0.25">
      <c r="F485" s="17" t="s">
        <v>1459</v>
      </c>
      <c r="G485" s="17" t="s">
        <v>1257</v>
      </c>
    </row>
    <row r="486" spans="6:7" x14ac:dyDescent="0.25">
      <c r="F486" s="17" t="s">
        <v>1460</v>
      </c>
      <c r="G486" s="17" t="s">
        <v>1257</v>
      </c>
    </row>
    <row r="487" spans="6:7" x14ac:dyDescent="0.25">
      <c r="F487" s="17" t="s">
        <v>1461</v>
      </c>
      <c r="G487" s="17" t="s">
        <v>1257</v>
      </c>
    </row>
    <row r="488" spans="6:7" x14ac:dyDescent="0.25">
      <c r="F488" s="17" t="s">
        <v>1462</v>
      </c>
      <c r="G488" s="17" t="s">
        <v>1257</v>
      </c>
    </row>
    <row r="489" spans="6:7" x14ac:dyDescent="0.25">
      <c r="F489" s="17" t="s">
        <v>1463</v>
      </c>
      <c r="G489" s="17" t="s">
        <v>1257</v>
      </c>
    </row>
    <row r="490" spans="6:7" x14ac:dyDescent="0.25">
      <c r="F490" s="17" t="s">
        <v>1464</v>
      </c>
      <c r="G490" s="17" t="s">
        <v>1257</v>
      </c>
    </row>
    <row r="491" spans="6:7" x14ac:dyDescent="0.25">
      <c r="F491" s="17" t="s">
        <v>1465</v>
      </c>
      <c r="G491" s="17" t="s">
        <v>1257</v>
      </c>
    </row>
    <row r="492" spans="6:7" x14ac:dyDescent="0.25">
      <c r="F492" s="17" t="s">
        <v>1466</v>
      </c>
      <c r="G492" s="17" t="s">
        <v>1257</v>
      </c>
    </row>
    <row r="493" spans="6:7" x14ac:dyDescent="0.25">
      <c r="F493" s="17" t="s">
        <v>1467</v>
      </c>
      <c r="G493" s="17" t="s">
        <v>1257</v>
      </c>
    </row>
    <row r="494" spans="6:7" x14ac:dyDescent="0.25">
      <c r="F494" s="17" t="s">
        <v>1468</v>
      </c>
      <c r="G494" s="17" t="s">
        <v>1257</v>
      </c>
    </row>
    <row r="495" spans="6:7" x14ac:dyDescent="0.25">
      <c r="F495" s="17" t="s">
        <v>1469</v>
      </c>
      <c r="G495" s="17" t="s">
        <v>1257</v>
      </c>
    </row>
    <row r="496" spans="6:7" x14ac:dyDescent="0.25">
      <c r="F496" s="17" t="s">
        <v>1470</v>
      </c>
      <c r="G496" s="17" t="s">
        <v>1257</v>
      </c>
    </row>
    <row r="497" spans="6:7" x14ac:dyDescent="0.25">
      <c r="F497" s="17" t="s">
        <v>1471</v>
      </c>
      <c r="G497" s="17" t="s">
        <v>1257</v>
      </c>
    </row>
    <row r="498" spans="6:7" x14ac:dyDescent="0.25">
      <c r="F498" s="17" t="s">
        <v>1472</v>
      </c>
      <c r="G498" s="17" t="s">
        <v>1257</v>
      </c>
    </row>
    <row r="499" spans="6:7" x14ac:dyDescent="0.25">
      <c r="F499" s="17" t="s">
        <v>1473</v>
      </c>
      <c r="G499" s="17" t="s">
        <v>1257</v>
      </c>
    </row>
    <row r="500" spans="6:7" x14ac:dyDescent="0.25">
      <c r="F500" s="17" t="s">
        <v>1474</v>
      </c>
      <c r="G500" s="17" t="s">
        <v>1257</v>
      </c>
    </row>
    <row r="501" spans="6:7" x14ac:dyDescent="0.25">
      <c r="F501" s="17" t="s">
        <v>1475</v>
      </c>
      <c r="G501" s="17" t="s">
        <v>1257</v>
      </c>
    </row>
    <row r="502" spans="6:7" x14ac:dyDescent="0.25">
      <c r="F502" s="17" t="s">
        <v>1476</v>
      </c>
      <c r="G502" s="17" t="s">
        <v>1257</v>
      </c>
    </row>
    <row r="503" spans="6:7" x14ac:dyDescent="0.25">
      <c r="F503" s="17" t="s">
        <v>1477</v>
      </c>
      <c r="G503" s="17" t="s">
        <v>1257</v>
      </c>
    </row>
    <row r="504" spans="6:7" x14ac:dyDescent="0.25">
      <c r="F504" s="17" t="s">
        <v>1478</v>
      </c>
      <c r="G504" s="17" t="s">
        <v>1257</v>
      </c>
    </row>
    <row r="505" spans="6:7" x14ac:dyDescent="0.25">
      <c r="F505" s="17" t="s">
        <v>1479</v>
      </c>
      <c r="G505" s="17" t="s">
        <v>1257</v>
      </c>
    </row>
    <row r="506" spans="6:7" x14ac:dyDescent="0.25">
      <c r="F506" s="17" t="s">
        <v>1480</v>
      </c>
      <c r="G506" s="17" t="s">
        <v>1257</v>
      </c>
    </row>
    <row r="507" spans="6:7" x14ac:dyDescent="0.25">
      <c r="F507" s="17" t="s">
        <v>1481</v>
      </c>
      <c r="G507" s="17" t="s">
        <v>1257</v>
      </c>
    </row>
    <row r="508" spans="6:7" x14ac:dyDescent="0.25">
      <c r="F508" s="17" t="s">
        <v>1482</v>
      </c>
      <c r="G508" s="17" t="s">
        <v>1257</v>
      </c>
    </row>
    <row r="509" spans="6:7" x14ac:dyDescent="0.25">
      <c r="F509" s="17" t="s">
        <v>1483</v>
      </c>
      <c r="G509" s="17" t="s">
        <v>1257</v>
      </c>
    </row>
    <row r="510" spans="6:7" x14ac:dyDescent="0.25">
      <c r="F510" s="17" t="s">
        <v>1484</v>
      </c>
      <c r="G510" s="17" t="s">
        <v>1257</v>
      </c>
    </row>
    <row r="511" spans="6:7" x14ac:dyDescent="0.25">
      <c r="F511" s="17" t="s">
        <v>1485</v>
      </c>
      <c r="G511" s="17" t="s">
        <v>1257</v>
      </c>
    </row>
    <row r="512" spans="6:7" x14ac:dyDescent="0.25">
      <c r="F512" s="17" t="s">
        <v>1486</v>
      </c>
      <c r="G512" s="17" t="s">
        <v>1257</v>
      </c>
    </row>
    <row r="513" spans="6:7" x14ac:dyDescent="0.25">
      <c r="F513" s="17" t="s">
        <v>1487</v>
      </c>
      <c r="G513" s="17" t="s">
        <v>1257</v>
      </c>
    </row>
    <row r="514" spans="6:7" x14ac:dyDescent="0.25">
      <c r="F514" s="17" t="s">
        <v>1488</v>
      </c>
      <c r="G514" s="17" t="s">
        <v>1257</v>
      </c>
    </row>
    <row r="515" spans="6:7" x14ac:dyDescent="0.25">
      <c r="F515" s="17" t="s">
        <v>1489</v>
      </c>
      <c r="G515" s="17" t="s">
        <v>1257</v>
      </c>
    </row>
    <row r="516" spans="6:7" x14ac:dyDescent="0.25">
      <c r="F516" s="17" t="s">
        <v>1490</v>
      </c>
      <c r="G516" s="17" t="s">
        <v>1257</v>
      </c>
    </row>
    <row r="517" spans="6:7" x14ac:dyDescent="0.25">
      <c r="F517" s="17" t="s">
        <v>1491</v>
      </c>
      <c r="G517" s="17" t="s">
        <v>1257</v>
      </c>
    </row>
    <row r="518" spans="6:7" x14ac:dyDescent="0.25">
      <c r="F518" s="17" t="s">
        <v>1492</v>
      </c>
      <c r="G518" s="17" t="s">
        <v>1257</v>
      </c>
    </row>
    <row r="519" spans="6:7" x14ac:dyDescent="0.25">
      <c r="F519" s="17" t="s">
        <v>1493</v>
      </c>
      <c r="G519" s="17" t="s">
        <v>1257</v>
      </c>
    </row>
    <row r="520" spans="6:7" x14ac:dyDescent="0.25">
      <c r="F520" s="17" t="s">
        <v>1494</v>
      </c>
      <c r="G520" s="17" t="s">
        <v>1257</v>
      </c>
    </row>
    <row r="521" spans="6:7" x14ac:dyDescent="0.25">
      <c r="F521" s="17" t="s">
        <v>1495</v>
      </c>
      <c r="G521" s="17" t="s">
        <v>1257</v>
      </c>
    </row>
    <row r="522" spans="6:7" x14ac:dyDescent="0.25">
      <c r="F522" s="17" t="s">
        <v>1496</v>
      </c>
      <c r="G522" s="17" t="s">
        <v>1257</v>
      </c>
    </row>
    <row r="523" spans="6:7" x14ac:dyDescent="0.25">
      <c r="F523" s="17" t="s">
        <v>1497</v>
      </c>
      <c r="G523" s="17" t="s">
        <v>1257</v>
      </c>
    </row>
    <row r="524" spans="6:7" x14ac:dyDescent="0.25">
      <c r="F524" s="17" t="s">
        <v>1498</v>
      </c>
      <c r="G524" s="17" t="s">
        <v>1225</v>
      </c>
    </row>
    <row r="525" spans="6:7" x14ac:dyDescent="0.25">
      <c r="F525" s="17" t="s">
        <v>1499</v>
      </c>
      <c r="G525" s="17" t="s">
        <v>1225</v>
      </c>
    </row>
    <row r="526" spans="6:7" x14ac:dyDescent="0.25">
      <c r="F526" s="17" t="s">
        <v>1500</v>
      </c>
      <c r="G526" s="17" t="s">
        <v>1225</v>
      </c>
    </row>
    <row r="527" spans="6:7" x14ac:dyDescent="0.25">
      <c r="F527" s="17" t="s">
        <v>1501</v>
      </c>
      <c r="G527" s="17" t="s">
        <v>1225</v>
      </c>
    </row>
    <row r="528" spans="6:7" x14ac:dyDescent="0.25">
      <c r="F528" s="17" t="s">
        <v>1502</v>
      </c>
      <c r="G528" s="17" t="s">
        <v>1225</v>
      </c>
    </row>
    <row r="529" spans="6:7" x14ac:dyDescent="0.25">
      <c r="F529" s="17" t="s">
        <v>1503</v>
      </c>
      <c r="G529" s="17" t="s">
        <v>1225</v>
      </c>
    </row>
    <row r="530" spans="6:7" x14ac:dyDescent="0.25">
      <c r="F530" s="17" t="s">
        <v>1504</v>
      </c>
      <c r="G530" s="17" t="s">
        <v>1225</v>
      </c>
    </row>
    <row r="531" spans="6:7" x14ac:dyDescent="0.25">
      <c r="F531" s="17" t="s">
        <v>1505</v>
      </c>
      <c r="G531" s="17" t="s">
        <v>1225</v>
      </c>
    </row>
    <row r="532" spans="6:7" x14ac:dyDescent="0.25">
      <c r="F532" s="17" t="s">
        <v>1506</v>
      </c>
      <c r="G532" s="17" t="s">
        <v>1225</v>
      </c>
    </row>
    <row r="533" spans="6:7" x14ac:dyDescent="0.25">
      <c r="F533" s="17" t="s">
        <v>1507</v>
      </c>
      <c r="G533" s="17" t="s">
        <v>1225</v>
      </c>
    </row>
    <row r="534" spans="6:7" x14ac:dyDescent="0.25">
      <c r="F534" s="17" t="s">
        <v>1508</v>
      </c>
      <c r="G534" s="17" t="s">
        <v>1225</v>
      </c>
    </row>
    <row r="535" spans="6:7" x14ac:dyDescent="0.25">
      <c r="F535" s="17" t="s">
        <v>1509</v>
      </c>
      <c r="G535" s="17" t="s">
        <v>1225</v>
      </c>
    </row>
    <row r="536" spans="6:7" x14ac:dyDescent="0.25">
      <c r="F536" s="17" t="s">
        <v>1510</v>
      </c>
      <c r="G536" s="17" t="s">
        <v>1225</v>
      </c>
    </row>
    <row r="537" spans="6:7" x14ac:dyDescent="0.25">
      <c r="F537" s="17" t="s">
        <v>1511</v>
      </c>
      <c r="G537" s="17" t="s">
        <v>1225</v>
      </c>
    </row>
    <row r="538" spans="6:7" x14ac:dyDescent="0.25">
      <c r="F538" s="17" t="s">
        <v>1512</v>
      </c>
      <c r="G538" s="17" t="s">
        <v>1225</v>
      </c>
    </row>
    <row r="539" spans="6:7" x14ac:dyDescent="0.25">
      <c r="F539" s="17" t="s">
        <v>1513</v>
      </c>
      <c r="G539" s="17" t="s">
        <v>1225</v>
      </c>
    </row>
    <row r="540" spans="6:7" x14ac:dyDescent="0.25">
      <c r="F540" s="17" t="s">
        <v>1514</v>
      </c>
      <c r="G540" s="17" t="s">
        <v>1225</v>
      </c>
    </row>
    <row r="541" spans="6:7" x14ac:dyDescent="0.25">
      <c r="F541" s="17" t="s">
        <v>1515</v>
      </c>
      <c r="G541" s="17" t="s">
        <v>1225</v>
      </c>
    </row>
    <row r="542" spans="6:7" x14ac:dyDescent="0.25">
      <c r="F542" s="17" t="s">
        <v>1516</v>
      </c>
      <c r="G542" s="17" t="s">
        <v>1225</v>
      </c>
    </row>
    <row r="543" spans="6:7" x14ac:dyDescent="0.25">
      <c r="F543" s="17" t="s">
        <v>1517</v>
      </c>
      <c r="G543" s="17" t="s">
        <v>1225</v>
      </c>
    </row>
    <row r="544" spans="6:7" x14ac:dyDescent="0.25">
      <c r="F544" s="17" t="s">
        <v>1518</v>
      </c>
      <c r="G544" s="17" t="s">
        <v>1225</v>
      </c>
    </row>
    <row r="545" spans="6:7" x14ac:dyDescent="0.25">
      <c r="F545" s="17" t="s">
        <v>1519</v>
      </c>
      <c r="G545" s="17" t="s">
        <v>1225</v>
      </c>
    </row>
    <row r="546" spans="6:7" x14ac:dyDescent="0.25">
      <c r="F546" s="17" t="s">
        <v>1520</v>
      </c>
      <c r="G546" s="17" t="s">
        <v>1225</v>
      </c>
    </row>
    <row r="547" spans="6:7" x14ac:dyDescent="0.25">
      <c r="F547" s="17" t="s">
        <v>1521</v>
      </c>
      <c r="G547" s="17" t="s">
        <v>1225</v>
      </c>
    </row>
    <row r="548" spans="6:7" x14ac:dyDescent="0.25">
      <c r="F548" s="17" t="s">
        <v>1522</v>
      </c>
      <c r="G548" s="17" t="s">
        <v>1225</v>
      </c>
    </row>
    <row r="549" spans="6:7" x14ac:dyDescent="0.25">
      <c r="F549" s="17" t="s">
        <v>1523</v>
      </c>
      <c r="G549" s="17" t="s">
        <v>1225</v>
      </c>
    </row>
    <row r="550" spans="6:7" x14ac:dyDescent="0.25">
      <c r="F550" s="17" t="s">
        <v>1524</v>
      </c>
      <c r="G550" s="17" t="s">
        <v>1225</v>
      </c>
    </row>
    <row r="551" spans="6:7" x14ac:dyDescent="0.25">
      <c r="F551" s="17" t="s">
        <v>1525</v>
      </c>
      <c r="G551" s="17" t="s">
        <v>1225</v>
      </c>
    </row>
    <row r="552" spans="6:7" x14ac:dyDescent="0.25">
      <c r="F552" s="17" t="s">
        <v>1526</v>
      </c>
      <c r="G552" s="17" t="s">
        <v>1225</v>
      </c>
    </row>
    <row r="553" spans="6:7" x14ac:dyDescent="0.25">
      <c r="F553" s="17" t="s">
        <v>1527</v>
      </c>
      <c r="G553" s="17" t="s">
        <v>1225</v>
      </c>
    </row>
    <row r="554" spans="6:7" x14ac:dyDescent="0.25">
      <c r="F554" s="17" t="s">
        <v>1528</v>
      </c>
      <c r="G554" s="17" t="s">
        <v>1225</v>
      </c>
    </row>
    <row r="555" spans="6:7" x14ac:dyDescent="0.25">
      <c r="F555" s="17" t="s">
        <v>1529</v>
      </c>
      <c r="G555" s="17" t="s">
        <v>1225</v>
      </c>
    </row>
    <row r="556" spans="6:7" x14ac:dyDescent="0.25">
      <c r="F556" s="17" t="s">
        <v>1530</v>
      </c>
      <c r="G556" s="17" t="s">
        <v>1225</v>
      </c>
    </row>
    <row r="557" spans="6:7" x14ac:dyDescent="0.25">
      <c r="F557" s="17" t="s">
        <v>1531</v>
      </c>
      <c r="G557" s="17" t="s">
        <v>1225</v>
      </c>
    </row>
    <row r="558" spans="6:7" x14ac:dyDescent="0.25">
      <c r="F558" s="17" t="s">
        <v>1532</v>
      </c>
      <c r="G558" s="17" t="s">
        <v>1225</v>
      </c>
    </row>
    <row r="559" spans="6:7" x14ac:dyDescent="0.25">
      <c r="F559" s="17" t="s">
        <v>1533</v>
      </c>
      <c r="G559" s="17" t="s">
        <v>1225</v>
      </c>
    </row>
    <row r="560" spans="6:7" x14ac:dyDescent="0.25">
      <c r="F560" s="17" t="s">
        <v>1534</v>
      </c>
      <c r="G560" s="17" t="s">
        <v>1225</v>
      </c>
    </row>
    <row r="561" spans="6:7" x14ac:dyDescent="0.25">
      <c r="F561" s="17" t="s">
        <v>1535</v>
      </c>
      <c r="G561" s="17" t="s">
        <v>1225</v>
      </c>
    </row>
    <row r="562" spans="6:7" x14ac:dyDescent="0.25">
      <c r="F562" s="17" t="s">
        <v>1536</v>
      </c>
      <c r="G562" s="17" t="s">
        <v>1225</v>
      </c>
    </row>
    <row r="563" spans="6:7" x14ac:dyDescent="0.25">
      <c r="F563" s="17" t="s">
        <v>1537</v>
      </c>
      <c r="G563" s="17" t="s">
        <v>1225</v>
      </c>
    </row>
    <row r="564" spans="6:7" x14ac:dyDescent="0.25">
      <c r="F564" s="17" t="s">
        <v>1538</v>
      </c>
      <c r="G564" s="17" t="s">
        <v>1225</v>
      </c>
    </row>
    <row r="565" spans="6:7" x14ac:dyDescent="0.25">
      <c r="F565" s="17" t="s">
        <v>1539</v>
      </c>
      <c r="G565" s="17" t="s">
        <v>1225</v>
      </c>
    </row>
    <row r="566" spans="6:7" x14ac:dyDescent="0.25">
      <c r="F566" s="17" t="s">
        <v>1540</v>
      </c>
      <c r="G566" s="17" t="s">
        <v>1225</v>
      </c>
    </row>
    <row r="567" spans="6:7" x14ac:dyDescent="0.25">
      <c r="F567" s="17" t="s">
        <v>1541</v>
      </c>
      <c r="G567" s="17" t="s">
        <v>1225</v>
      </c>
    </row>
    <row r="568" spans="6:7" x14ac:dyDescent="0.25">
      <c r="F568" s="17" t="s">
        <v>1542</v>
      </c>
      <c r="G568" s="17" t="s">
        <v>1225</v>
      </c>
    </row>
    <row r="569" spans="6:7" x14ac:dyDescent="0.25">
      <c r="F569" s="17" t="s">
        <v>1543</v>
      </c>
      <c r="G569" s="17" t="s">
        <v>1225</v>
      </c>
    </row>
    <row r="570" spans="6:7" x14ac:dyDescent="0.25">
      <c r="F570" s="17" t="s">
        <v>1544</v>
      </c>
      <c r="G570" s="17" t="s">
        <v>1225</v>
      </c>
    </row>
    <row r="571" spans="6:7" x14ac:dyDescent="0.25">
      <c r="F571" s="17" t="s">
        <v>1545</v>
      </c>
      <c r="G571" s="17" t="s">
        <v>1225</v>
      </c>
    </row>
    <row r="572" spans="6:7" x14ac:dyDescent="0.25">
      <c r="F572" s="17" t="s">
        <v>1546</v>
      </c>
      <c r="G572" s="17" t="s">
        <v>1225</v>
      </c>
    </row>
    <row r="573" spans="6:7" x14ac:dyDescent="0.25">
      <c r="F573" s="17" t="s">
        <v>1547</v>
      </c>
      <c r="G573" s="17" t="s">
        <v>1225</v>
      </c>
    </row>
    <row r="574" spans="6:7" x14ac:dyDescent="0.25">
      <c r="F574" s="17" t="s">
        <v>1548</v>
      </c>
      <c r="G574" s="17" t="s">
        <v>1225</v>
      </c>
    </row>
    <row r="575" spans="6:7" x14ac:dyDescent="0.25">
      <c r="F575" s="17" t="s">
        <v>1549</v>
      </c>
      <c r="G575" s="17" t="s">
        <v>1225</v>
      </c>
    </row>
    <row r="576" spans="6:7" x14ac:dyDescent="0.25">
      <c r="F576" s="17" t="s">
        <v>1550</v>
      </c>
      <c r="G576" s="17" t="s">
        <v>1225</v>
      </c>
    </row>
    <row r="577" spans="6:7" x14ac:dyDescent="0.25">
      <c r="F577" s="17" t="s">
        <v>1551</v>
      </c>
      <c r="G577" s="17" t="s">
        <v>1225</v>
      </c>
    </row>
    <row r="578" spans="6:7" x14ac:dyDescent="0.25">
      <c r="F578" s="17" t="s">
        <v>1552</v>
      </c>
      <c r="G578" s="17" t="s">
        <v>1225</v>
      </c>
    </row>
    <row r="579" spans="6:7" x14ac:dyDescent="0.25">
      <c r="F579" s="17" t="s">
        <v>1553</v>
      </c>
      <c r="G579" s="17" t="s">
        <v>1225</v>
      </c>
    </row>
    <row r="580" spans="6:7" x14ac:dyDescent="0.25">
      <c r="F580" s="17" t="s">
        <v>1554</v>
      </c>
      <c r="G580" s="17" t="s">
        <v>1225</v>
      </c>
    </row>
    <row r="581" spans="6:7" x14ac:dyDescent="0.25">
      <c r="F581" s="17" t="s">
        <v>1555</v>
      </c>
      <c r="G581" s="17" t="s">
        <v>1225</v>
      </c>
    </row>
    <row r="582" spans="6:7" x14ac:dyDescent="0.25">
      <c r="F582" s="17" t="s">
        <v>1556</v>
      </c>
      <c r="G582" s="17" t="s">
        <v>1225</v>
      </c>
    </row>
    <row r="583" spans="6:7" x14ac:dyDescent="0.25">
      <c r="F583" s="17" t="s">
        <v>1557</v>
      </c>
      <c r="G583" s="17" t="s">
        <v>1225</v>
      </c>
    </row>
    <row r="584" spans="6:7" x14ac:dyDescent="0.25">
      <c r="F584" s="17" t="s">
        <v>1558</v>
      </c>
      <c r="G584" s="17" t="s">
        <v>1225</v>
      </c>
    </row>
    <row r="585" spans="6:7" x14ac:dyDescent="0.25">
      <c r="F585" s="17" t="s">
        <v>1559</v>
      </c>
      <c r="G585" s="17" t="s">
        <v>1225</v>
      </c>
    </row>
    <row r="586" spans="6:7" x14ac:dyDescent="0.25">
      <c r="F586" s="17" t="s">
        <v>1560</v>
      </c>
      <c r="G586" s="17" t="s">
        <v>1225</v>
      </c>
    </row>
    <row r="587" spans="6:7" x14ac:dyDescent="0.25">
      <c r="F587" s="17" t="s">
        <v>1561</v>
      </c>
      <c r="G587" s="17" t="s">
        <v>1225</v>
      </c>
    </row>
    <row r="588" spans="6:7" x14ac:dyDescent="0.25">
      <c r="F588" s="17" t="s">
        <v>1562</v>
      </c>
      <c r="G588" s="17" t="s">
        <v>1225</v>
      </c>
    </row>
    <row r="589" spans="6:7" x14ac:dyDescent="0.25">
      <c r="F589" s="17" t="s">
        <v>1563</v>
      </c>
      <c r="G589" s="17" t="s">
        <v>1225</v>
      </c>
    </row>
    <row r="590" spans="6:7" x14ac:dyDescent="0.25">
      <c r="F590" s="17" t="s">
        <v>1564</v>
      </c>
      <c r="G590" s="17" t="s">
        <v>1225</v>
      </c>
    </row>
    <row r="591" spans="6:7" x14ac:dyDescent="0.25">
      <c r="F591" s="17" t="s">
        <v>1565</v>
      </c>
      <c r="G591" s="17" t="s">
        <v>1225</v>
      </c>
    </row>
    <row r="592" spans="6:7" x14ac:dyDescent="0.25">
      <c r="F592" s="17" t="s">
        <v>1566</v>
      </c>
      <c r="G592" s="17" t="s">
        <v>1257</v>
      </c>
    </row>
    <row r="593" spans="6:7" x14ac:dyDescent="0.25">
      <c r="F593" s="17" t="s">
        <v>1567</v>
      </c>
      <c r="G593" s="17" t="s">
        <v>1257</v>
      </c>
    </row>
    <row r="594" spans="6:7" x14ac:dyDescent="0.25">
      <c r="F594" s="17" t="s">
        <v>1568</v>
      </c>
      <c r="G594" s="17" t="s">
        <v>1257</v>
      </c>
    </row>
    <row r="595" spans="6:7" x14ac:dyDescent="0.25">
      <c r="F595" s="17" t="s">
        <v>1569</v>
      </c>
      <c r="G595" s="17" t="s">
        <v>1257</v>
      </c>
    </row>
    <row r="596" spans="6:7" x14ac:dyDescent="0.25">
      <c r="F596" s="17" t="s">
        <v>1570</v>
      </c>
      <c r="G596" s="17" t="s">
        <v>1257</v>
      </c>
    </row>
    <row r="597" spans="6:7" x14ac:dyDescent="0.25">
      <c r="F597" s="17" t="s">
        <v>1571</v>
      </c>
      <c r="G597" s="17" t="s">
        <v>1257</v>
      </c>
    </row>
    <row r="598" spans="6:7" x14ac:dyDescent="0.25">
      <c r="F598" s="17" t="s">
        <v>1572</v>
      </c>
      <c r="G598" s="17" t="s">
        <v>1257</v>
      </c>
    </row>
    <row r="599" spans="6:7" x14ac:dyDescent="0.25">
      <c r="F599" s="17" t="s">
        <v>1573</v>
      </c>
      <c r="G599" s="17" t="s">
        <v>1257</v>
      </c>
    </row>
    <row r="600" spans="6:7" x14ac:dyDescent="0.25">
      <c r="F600" s="17" t="s">
        <v>1574</v>
      </c>
      <c r="G600" s="17" t="s">
        <v>1257</v>
      </c>
    </row>
    <row r="601" spans="6:7" x14ac:dyDescent="0.25">
      <c r="F601" s="17" t="s">
        <v>1575</v>
      </c>
      <c r="G601" s="17" t="s">
        <v>1257</v>
      </c>
    </row>
    <row r="602" spans="6:7" x14ac:dyDescent="0.25">
      <c r="F602" s="17" t="s">
        <v>1576</v>
      </c>
      <c r="G602" s="17" t="s">
        <v>1295</v>
      </c>
    </row>
    <row r="603" spans="6:7" x14ac:dyDescent="0.25">
      <c r="F603" s="17" t="s">
        <v>1577</v>
      </c>
      <c r="G603" s="17" t="s">
        <v>1257</v>
      </c>
    </row>
    <row r="604" spans="6:7" x14ac:dyDescent="0.25">
      <c r="F604" s="17" t="s">
        <v>1578</v>
      </c>
      <c r="G604" s="17" t="s">
        <v>1257</v>
      </c>
    </row>
    <row r="605" spans="6:7" x14ac:dyDescent="0.25">
      <c r="F605" s="17" t="s">
        <v>1579</v>
      </c>
      <c r="G605" s="17" t="s">
        <v>1295</v>
      </c>
    </row>
    <row r="606" spans="6:7" x14ac:dyDescent="0.25">
      <c r="F606" s="17" t="s">
        <v>1580</v>
      </c>
      <c r="G606" s="17" t="s">
        <v>1295</v>
      </c>
    </row>
    <row r="607" spans="6:7" x14ac:dyDescent="0.25">
      <c r="F607" s="17" t="s">
        <v>1581</v>
      </c>
      <c r="G607" s="17" t="s">
        <v>1295</v>
      </c>
    </row>
    <row r="608" spans="6:7" x14ac:dyDescent="0.25">
      <c r="F608" s="17" t="s">
        <v>1582</v>
      </c>
      <c r="G608" s="17" t="s">
        <v>1257</v>
      </c>
    </row>
    <row r="609" spans="6:7" x14ac:dyDescent="0.25">
      <c r="F609" s="17" t="s">
        <v>1583</v>
      </c>
      <c r="G609" s="17" t="s">
        <v>1257</v>
      </c>
    </row>
    <row r="610" spans="6:7" x14ac:dyDescent="0.25">
      <c r="F610" s="17" t="s">
        <v>1584</v>
      </c>
      <c r="G610" s="17" t="s">
        <v>1257</v>
      </c>
    </row>
    <row r="611" spans="6:7" x14ac:dyDescent="0.25">
      <c r="F611" s="17" t="s">
        <v>1585</v>
      </c>
      <c r="G611" s="17" t="s">
        <v>1257</v>
      </c>
    </row>
    <row r="612" spans="6:7" x14ac:dyDescent="0.25">
      <c r="F612" s="17" t="s">
        <v>1586</v>
      </c>
      <c r="G612" s="17" t="s">
        <v>1257</v>
      </c>
    </row>
    <row r="613" spans="6:7" x14ac:dyDescent="0.25">
      <c r="F613" s="17" t="s">
        <v>1587</v>
      </c>
      <c r="G613" s="17" t="s">
        <v>1225</v>
      </c>
    </row>
    <row r="614" spans="6:7" x14ac:dyDescent="0.25">
      <c r="F614" s="17" t="s">
        <v>1588</v>
      </c>
      <c r="G614" s="17" t="s">
        <v>1225</v>
      </c>
    </row>
    <row r="615" spans="6:7" x14ac:dyDescent="0.25">
      <c r="F615" s="17" t="s">
        <v>1589</v>
      </c>
      <c r="G615" s="17" t="s">
        <v>1225</v>
      </c>
    </row>
    <row r="616" spans="6:7" x14ac:dyDescent="0.25">
      <c r="F616" s="17" t="s">
        <v>1590</v>
      </c>
      <c r="G616" s="17" t="s">
        <v>1225</v>
      </c>
    </row>
    <row r="617" spans="6:7" x14ac:dyDescent="0.25">
      <c r="F617" s="17" t="s">
        <v>1591</v>
      </c>
      <c r="G617" s="17" t="s">
        <v>1225</v>
      </c>
    </row>
    <row r="618" spans="6:7" x14ac:dyDescent="0.25">
      <c r="F618" s="17" t="s">
        <v>1592</v>
      </c>
      <c r="G618" s="17" t="s">
        <v>1225</v>
      </c>
    </row>
    <row r="619" spans="6:7" x14ac:dyDescent="0.25">
      <c r="F619" s="17" t="s">
        <v>1593</v>
      </c>
      <c r="G619" s="17" t="s">
        <v>1225</v>
      </c>
    </row>
    <row r="620" spans="6:7" x14ac:dyDescent="0.25">
      <c r="F620" s="17" t="s">
        <v>1594</v>
      </c>
      <c r="G620" s="17" t="s">
        <v>1225</v>
      </c>
    </row>
    <row r="621" spans="6:7" x14ac:dyDescent="0.25">
      <c r="F621" s="17" t="s">
        <v>1595</v>
      </c>
      <c r="G621" s="17" t="s">
        <v>1225</v>
      </c>
    </row>
    <row r="622" spans="6:7" x14ac:dyDescent="0.25">
      <c r="F622" s="17" t="s">
        <v>1596</v>
      </c>
      <c r="G622" s="17" t="s">
        <v>1225</v>
      </c>
    </row>
    <row r="623" spans="6:7" x14ac:dyDescent="0.25">
      <c r="F623" s="17" t="s">
        <v>1597</v>
      </c>
      <c r="G623" s="17" t="s">
        <v>1225</v>
      </c>
    </row>
    <row r="624" spans="6:7" x14ac:dyDescent="0.25">
      <c r="F624" s="17" t="s">
        <v>1598</v>
      </c>
      <c r="G624" s="17" t="s">
        <v>1225</v>
      </c>
    </row>
    <row r="625" spans="6:7" x14ac:dyDescent="0.25">
      <c r="F625" s="17" t="s">
        <v>1599</v>
      </c>
      <c r="G625" s="17" t="s">
        <v>1257</v>
      </c>
    </row>
    <row r="626" spans="6:7" x14ac:dyDescent="0.25">
      <c r="F626" s="17" t="s">
        <v>1600</v>
      </c>
      <c r="G626" s="17" t="s">
        <v>1257</v>
      </c>
    </row>
    <row r="627" spans="6:7" x14ac:dyDescent="0.25">
      <c r="F627" s="17" t="s">
        <v>1601</v>
      </c>
      <c r="G627" s="17" t="s">
        <v>1257</v>
      </c>
    </row>
    <row r="628" spans="6:7" x14ac:dyDescent="0.25">
      <c r="F628" s="17" t="s">
        <v>1602</v>
      </c>
      <c r="G628" s="17" t="s">
        <v>1225</v>
      </c>
    </row>
    <row r="629" spans="6:7" x14ac:dyDescent="0.25">
      <c r="F629" s="17" t="s">
        <v>1603</v>
      </c>
      <c r="G629" s="17" t="s">
        <v>1257</v>
      </c>
    </row>
    <row r="630" spans="6:7" x14ac:dyDescent="0.25">
      <c r="F630" s="17" t="s">
        <v>1604</v>
      </c>
      <c r="G630" s="17" t="s">
        <v>1257</v>
      </c>
    </row>
    <row r="631" spans="6:7" x14ac:dyDescent="0.25">
      <c r="F631" s="17" t="s">
        <v>1605</v>
      </c>
      <c r="G631" s="17" t="s">
        <v>1257</v>
      </c>
    </row>
    <row r="632" spans="6:7" x14ac:dyDescent="0.25">
      <c r="F632" s="17" t="s">
        <v>1606</v>
      </c>
      <c r="G632" s="17" t="s">
        <v>1257</v>
      </c>
    </row>
    <row r="633" spans="6:7" x14ac:dyDescent="0.25">
      <c r="F633" s="17" t="s">
        <v>1607</v>
      </c>
      <c r="G633" s="17" t="s">
        <v>1257</v>
      </c>
    </row>
    <row r="634" spans="6:7" x14ac:dyDescent="0.25">
      <c r="F634" s="17" t="s">
        <v>1608</v>
      </c>
      <c r="G634" s="17" t="s">
        <v>1257</v>
      </c>
    </row>
    <row r="635" spans="6:7" x14ac:dyDescent="0.25">
      <c r="F635" s="17" t="s">
        <v>1609</v>
      </c>
      <c r="G635" s="17" t="s">
        <v>1257</v>
      </c>
    </row>
    <row r="636" spans="6:7" x14ac:dyDescent="0.25">
      <c r="F636" s="17" t="s">
        <v>1610</v>
      </c>
      <c r="G636" s="17" t="s">
        <v>1257</v>
      </c>
    </row>
    <row r="637" spans="6:7" x14ac:dyDescent="0.25">
      <c r="F637" s="17" t="s">
        <v>1611</v>
      </c>
      <c r="G637" s="17" t="s">
        <v>1257</v>
      </c>
    </row>
    <row r="638" spans="6:7" x14ac:dyDescent="0.25">
      <c r="F638" s="17" t="s">
        <v>1612</v>
      </c>
      <c r="G638" s="17" t="s">
        <v>1257</v>
      </c>
    </row>
    <row r="639" spans="6:7" x14ac:dyDescent="0.25">
      <c r="F639" s="17" t="s">
        <v>1613</v>
      </c>
      <c r="G639" s="17" t="s">
        <v>1257</v>
      </c>
    </row>
    <row r="640" spans="6:7" x14ac:dyDescent="0.25">
      <c r="F640" s="17" t="s">
        <v>1614</v>
      </c>
      <c r="G640" s="17" t="s">
        <v>1257</v>
      </c>
    </row>
    <row r="641" spans="6:7" x14ac:dyDescent="0.25">
      <c r="F641" s="17" t="s">
        <v>1615</v>
      </c>
      <c r="G641" s="17" t="s">
        <v>1257</v>
      </c>
    </row>
    <row r="642" spans="6:7" x14ac:dyDescent="0.25">
      <c r="F642" s="17" t="s">
        <v>1616</v>
      </c>
      <c r="G642" s="17" t="s">
        <v>1257</v>
      </c>
    </row>
    <row r="643" spans="6:7" x14ac:dyDescent="0.25">
      <c r="F643" s="17" t="s">
        <v>1617</v>
      </c>
      <c r="G643" s="17" t="s">
        <v>1257</v>
      </c>
    </row>
    <row r="644" spans="6:7" x14ac:dyDescent="0.25">
      <c r="F644" s="17" t="s">
        <v>1618</v>
      </c>
      <c r="G644" s="17" t="s">
        <v>1257</v>
      </c>
    </row>
    <row r="645" spans="6:7" x14ac:dyDescent="0.25">
      <c r="F645" s="17" t="s">
        <v>1619</v>
      </c>
      <c r="G645" s="17" t="s">
        <v>1257</v>
      </c>
    </row>
    <row r="646" spans="6:7" x14ac:dyDescent="0.25">
      <c r="F646" s="17" t="s">
        <v>1620</v>
      </c>
      <c r="G646" s="17" t="s">
        <v>1257</v>
      </c>
    </row>
    <row r="647" spans="6:7" x14ac:dyDescent="0.25">
      <c r="F647" s="17" t="s">
        <v>1621</v>
      </c>
      <c r="G647" s="17" t="s">
        <v>1257</v>
      </c>
    </row>
    <row r="648" spans="6:7" x14ac:dyDescent="0.25">
      <c r="F648" s="17" t="s">
        <v>1622</v>
      </c>
      <c r="G648" s="17" t="s">
        <v>1257</v>
      </c>
    </row>
    <row r="649" spans="6:7" x14ac:dyDescent="0.25">
      <c r="F649" s="17" t="s">
        <v>1623</v>
      </c>
      <c r="G649" s="17" t="s">
        <v>1257</v>
      </c>
    </row>
    <row r="650" spans="6:7" x14ac:dyDescent="0.25">
      <c r="F650" s="17" t="s">
        <v>1624</v>
      </c>
      <c r="G650" s="17" t="s">
        <v>1257</v>
      </c>
    </row>
    <row r="651" spans="6:7" x14ac:dyDescent="0.25">
      <c r="F651" s="17" t="s">
        <v>1625</v>
      </c>
      <c r="G651" s="17" t="s">
        <v>1257</v>
      </c>
    </row>
    <row r="652" spans="6:7" x14ac:dyDescent="0.25">
      <c r="F652" s="17" t="s">
        <v>1626</v>
      </c>
      <c r="G652" s="17" t="s">
        <v>1627</v>
      </c>
    </row>
    <row r="653" spans="6:7" x14ac:dyDescent="0.25">
      <c r="F653" s="17" t="s">
        <v>1628</v>
      </c>
      <c r="G653" s="17" t="s">
        <v>1627</v>
      </c>
    </row>
    <row r="654" spans="6:7" x14ac:dyDescent="0.25">
      <c r="F654" s="17" t="s">
        <v>1629</v>
      </c>
      <c r="G654" s="17" t="s">
        <v>1627</v>
      </c>
    </row>
    <row r="655" spans="6:7" x14ac:dyDescent="0.25">
      <c r="F655" s="17" t="s">
        <v>1630</v>
      </c>
      <c r="G655" s="17" t="s">
        <v>1627</v>
      </c>
    </row>
    <row r="656" spans="6:7" x14ac:dyDescent="0.25">
      <c r="F656" s="17" t="s">
        <v>1631</v>
      </c>
      <c r="G656" s="17" t="s">
        <v>1627</v>
      </c>
    </row>
    <row r="657" spans="6:7" x14ac:dyDescent="0.25">
      <c r="F657" s="17" t="s">
        <v>1632</v>
      </c>
      <c r="G657" s="17" t="s">
        <v>1633</v>
      </c>
    </row>
    <row r="658" spans="6:7" x14ac:dyDescent="0.25">
      <c r="F658" s="17" t="s">
        <v>1634</v>
      </c>
      <c r="G658" s="17" t="s">
        <v>1633</v>
      </c>
    </row>
    <row r="659" spans="6:7" x14ac:dyDescent="0.25">
      <c r="F659" s="17" t="s">
        <v>1635</v>
      </c>
      <c r="G659" s="17" t="s">
        <v>1633</v>
      </c>
    </row>
    <row r="660" spans="6:7" x14ac:dyDescent="0.25">
      <c r="F660" s="17" t="s">
        <v>1636</v>
      </c>
      <c r="G660" s="17" t="s">
        <v>1057</v>
      </c>
    </row>
    <row r="661" spans="6:7" x14ac:dyDescent="0.25">
      <c r="F661" s="17" t="s">
        <v>1637</v>
      </c>
      <c r="G661" s="17" t="s">
        <v>1057</v>
      </c>
    </row>
    <row r="662" spans="6:7" x14ac:dyDescent="0.25">
      <c r="F662" s="17" t="s">
        <v>1638</v>
      </c>
      <c r="G662" s="17" t="s">
        <v>1057</v>
      </c>
    </row>
    <row r="663" spans="6:7" x14ac:dyDescent="0.25">
      <c r="F663" s="17" t="s">
        <v>1639</v>
      </c>
      <c r="G663" s="17" t="s">
        <v>1057</v>
      </c>
    </row>
    <row r="664" spans="6:7" x14ac:dyDescent="0.25">
      <c r="F664" s="17" t="s">
        <v>1640</v>
      </c>
      <c r="G664" s="17" t="s">
        <v>1057</v>
      </c>
    </row>
    <row r="665" spans="6:7" x14ac:dyDescent="0.25">
      <c r="F665" s="17" t="s">
        <v>1641</v>
      </c>
      <c r="G665" s="17" t="s">
        <v>1057</v>
      </c>
    </row>
    <row r="666" spans="6:7" x14ac:dyDescent="0.25">
      <c r="F666" s="17" t="s">
        <v>1642</v>
      </c>
      <c r="G666" s="17" t="s">
        <v>1057</v>
      </c>
    </row>
    <row r="667" spans="6:7" x14ac:dyDescent="0.25">
      <c r="F667" s="17" t="s">
        <v>1643</v>
      </c>
      <c r="G667" s="17" t="s">
        <v>1057</v>
      </c>
    </row>
    <row r="668" spans="6:7" x14ac:dyDescent="0.25">
      <c r="F668" s="17" t="s">
        <v>1644</v>
      </c>
      <c r="G668" s="17" t="s">
        <v>1057</v>
      </c>
    </row>
    <row r="669" spans="6:7" x14ac:dyDescent="0.25">
      <c r="F669" s="17" t="s">
        <v>1645</v>
      </c>
      <c r="G669" s="17" t="s">
        <v>1057</v>
      </c>
    </row>
    <row r="670" spans="6:7" x14ac:dyDescent="0.25">
      <c r="F670" s="17" t="s">
        <v>1646</v>
      </c>
      <c r="G670" s="17" t="s">
        <v>1057</v>
      </c>
    </row>
    <row r="671" spans="6:7" x14ac:dyDescent="0.25">
      <c r="F671" s="17" t="s">
        <v>1647</v>
      </c>
      <c r="G671" s="17" t="s">
        <v>1057</v>
      </c>
    </row>
    <row r="672" spans="6:7" x14ac:dyDescent="0.25">
      <c r="F672" s="17" t="s">
        <v>1648</v>
      </c>
      <c r="G672" s="17" t="s">
        <v>1057</v>
      </c>
    </row>
    <row r="673" spans="6:7" x14ac:dyDescent="0.25">
      <c r="F673" s="17" t="s">
        <v>1649</v>
      </c>
      <c r="G673" s="17" t="s">
        <v>1057</v>
      </c>
    </row>
    <row r="674" spans="6:7" x14ac:dyDescent="0.25">
      <c r="F674" s="17" t="s">
        <v>1650</v>
      </c>
      <c r="G674" s="17" t="s">
        <v>1057</v>
      </c>
    </row>
    <row r="675" spans="6:7" x14ac:dyDescent="0.25">
      <c r="F675" s="17" t="s">
        <v>1651</v>
      </c>
      <c r="G675" s="17" t="s">
        <v>1057</v>
      </c>
    </row>
    <row r="676" spans="6:7" x14ac:dyDescent="0.25">
      <c r="F676" s="17" t="s">
        <v>1652</v>
      </c>
      <c r="G676" s="17" t="s">
        <v>1057</v>
      </c>
    </row>
    <row r="677" spans="6:7" x14ac:dyDescent="0.25">
      <c r="F677" s="17" t="s">
        <v>1653</v>
      </c>
      <c r="G677" s="17" t="s">
        <v>1057</v>
      </c>
    </row>
    <row r="678" spans="6:7" x14ac:dyDescent="0.25">
      <c r="F678" s="17" t="s">
        <v>1654</v>
      </c>
      <c r="G678" s="17" t="s">
        <v>1067</v>
      </c>
    </row>
    <row r="679" spans="6:7" x14ac:dyDescent="0.25">
      <c r="F679" s="17" t="s">
        <v>1655</v>
      </c>
      <c r="G679" s="17" t="s">
        <v>1067</v>
      </c>
    </row>
    <row r="680" spans="6:7" x14ac:dyDescent="0.25">
      <c r="F680" s="17" t="s">
        <v>1656</v>
      </c>
      <c r="G680" s="17" t="s">
        <v>1067</v>
      </c>
    </row>
    <row r="681" spans="6:7" x14ac:dyDescent="0.25">
      <c r="F681" s="17" t="s">
        <v>1657</v>
      </c>
      <c r="G681" s="17" t="s">
        <v>1067</v>
      </c>
    </row>
    <row r="682" spans="6:7" x14ac:dyDescent="0.25">
      <c r="F682" s="17" t="s">
        <v>1658</v>
      </c>
      <c r="G682" s="17" t="s">
        <v>1067</v>
      </c>
    </row>
    <row r="683" spans="6:7" x14ac:dyDescent="0.25">
      <c r="F683" s="17" t="s">
        <v>1659</v>
      </c>
      <c r="G683" s="17" t="s">
        <v>1067</v>
      </c>
    </row>
    <row r="684" spans="6:7" x14ac:dyDescent="0.25">
      <c r="F684" s="17" t="s">
        <v>1660</v>
      </c>
      <c r="G684" s="17" t="s">
        <v>1067</v>
      </c>
    </row>
    <row r="685" spans="6:7" x14ac:dyDescent="0.25">
      <c r="F685" s="17" t="s">
        <v>1661</v>
      </c>
      <c r="G685" s="17" t="s">
        <v>1067</v>
      </c>
    </row>
    <row r="686" spans="6:7" x14ac:dyDescent="0.25">
      <c r="F686" s="17" t="s">
        <v>1662</v>
      </c>
      <c r="G686" s="17" t="s">
        <v>1067</v>
      </c>
    </row>
    <row r="687" spans="6:7" x14ac:dyDescent="0.25">
      <c r="F687" s="17" t="s">
        <v>1663</v>
      </c>
      <c r="G687" s="17" t="s">
        <v>1067</v>
      </c>
    </row>
    <row r="688" spans="6:7" x14ac:dyDescent="0.25">
      <c r="F688" s="17" t="s">
        <v>1664</v>
      </c>
      <c r="G688" s="17" t="s">
        <v>1067</v>
      </c>
    </row>
    <row r="689" spans="6:7" x14ac:dyDescent="0.25">
      <c r="F689" s="17" t="s">
        <v>1665</v>
      </c>
      <c r="G689" s="17" t="s">
        <v>1067</v>
      </c>
    </row>
    <row r="690" spans="6:7" x14ac:dyDescent="0.25">
      <c r="F690" s="17" t="s">
        <v>1666</v>
      </c>
      <c r="G690" s="17" t="s">
        <v>1067</v>
      </c>
    </row>
    <row r="691" spans="6:7" x14ac:dyDescent="0.25">
      <c r="F691" s="17" t="s">
        <v>1667</v>
      </c>
      <c r="G691" s="17" t="s">
        <v>1067</v>
      </c>
    </row>
    <row r="692" spans="6:7" x14ac:dyDescent="0.25">
      <c r="F692" s="17" t="s">
        <v>1668</v>
      </c>
      <c r="G692" s="17" t="s">
        <v>1067</v>
      </c>
    </row>
    <row r="693" spans="6:7" x14ac:dyDescent="0.25">
      <c r="F693" s="17" t="s">
        <v>1669</v>
      </c>
      <c r="G693" s="17" t="s">
        <v>1067</v>
      </c>
    </row>
    <row r="694" spans="6:7" x14ac:dyDescent="0.25">
      <c r="F694" s="17" t="s">
        <v>1670</v>
      </c>
      <c r="G694" s="17" t="s">
        <v>1067</v>
      </c>
    </row>
    <row r="695" spans="6:7" x14ac:dyDescent="0.25">
      <c r="F695" s="17" t="s">
        <v>1671</v>
      </c>
      <c r="G695" s="17" t="s">
        <v>1067</v>
      </c>
    </row>
    <row r="696" spans="6:7" x14ac:dyDescent="0.25">
      <c r="F696" s="17" t="s">
        <v>1672</v>
      </c>
      <c r="G696" s="17" t="s">
        <v>1067</v>
      </c>
    </row>
    <row r="697" spans="6:7" x14ac:dyDescent="0.25">
      <c r="F697" s="17" t="s">
        <v>1673</v>
      </c>
      <c r="G697" s="17" t="s">
        <v>1067</v>
      </c>
    </row>
    <row r="698" spans="6:7" x14ac:dyDescent="0.25">
      <c r="F698" s="17" t="s">
        <v>1674</v>
      </c>
      <c r="G698" s="17" t="s">
        <v>1067</v>
      </c>
    </row>
    <row r="699" spans="6:7" x14ac:dyDescent="0.25">
      <c r="F699" s="17" t="s">
        <v>1675</v>
      </c>
      <c r="G699" s="17" t="s">
        <v>1067</v>
      </c>
    </row>
    <row r="700" spans="6:7" x14ac:dyDescent="0.25">
      <c r="F700" s="17" t="s">
        <v>1676</v>
      </c>
      <c r="G700" s="17" t="s">
        <v>1067</v>
      </c>
    </row>
    <row r="701" spans="6:7" x14ac:dyDescent="0.25">
      <c r="F701" s="17" t="s">
        <v>1677</v>
      </c>
      <c r="G701" s="17" t="s">
        <v>1678</v>
      </c>
    </row>
    <row r="702" spans="6:7" x14ac:dyDescent="0.25">
      <c r="F702" s="17" t="s">
        <v>1679</v>
      </c>
      <c r="G702" s="17" t="s">
        <v>1678</v>
      </c>
    </row>
    <row r="703" spans="6:7" x14ac:dyDescent="0.25">
      <c r="F703" s="17" t="s">
        <v>1680</v>
      </c>
      <c r="G703" s="17" t="s">
        <v>1678</v>
      </c>
    </row>
    <row r="704" spans="6:7" x14ac:dyDescent="0.25">
      <c r="F704" s="17" t="s">
        <v>1681</v>
      </c>
      <c r="G704" s="17" t="s">
        <v>1067</v>
      </c>
    </row>
    <row r="705" spans="6:7" x14ac:dyDescent="0.25">
      <c r="F705" s="17" t="s">
        <v>1682</v>
      </c>
      <c r="G705" s="17" t="s">
        <v>1067</v>
      </c>
    </row>
    <row r="706" spans="6:7" x14ac:dyDescent="0.25">
      <c r="F706" s="17" t="s">
        <v>1683</v>
      </c>
      <c r="G706" s="17" t="s">
        <v>1067</v>
      </c>
    </row>
    <row r="707" spans="6:7" x14ac:dyDescent="0.25">
      <c r="F707" s="17" t="s">
        <v>1684</v>
      </c>
      <c r="G707" s="17" t="s">
        <v>1067</v>
      </c>
    </row>
    <row r="708" spans="6:7" x14ac:dyDescent="0.25">
      <c r="F708" s="17" t="s">
        <v>1685</v>
      </c>
      <c r="G708" s="17" t="s">
        <v>1046</v>
      </c>
    </row>
    <row r="709" spans="6:7" x14ac:dyDescent="0.25">
      <c r="F709" s="17" t="s">
        <v>1686</v>
      </c>
      <c r="G709" s="17" t="s">
        <v>1687</v>
      </c>
    </row>
    <row r="710" spans="6:7" x14ac:dyDescent="0.25">
      <c r="F710" s="17" t="s">
        <v>1688</v>
      </c>
      <c r="G710" s="17" t="s">
        <v>1014</v>
      </c>
    </row>
    <row r="711" spans="6:7" x14ac:dyDescent="0.25">
      <c r="F711" s="17" t="s">
        <v>1689</v>
      </c>
      <c r="G711" s="17" t="s">
        <v>1057</v>
      </c>
    </row>
    <row r="712" spans="6:7" x14ac:dyDescent="0.25">
      <c r="F712" s="17" t="s">
        <v>1690</v>
      </c>
      <c r="G712" s="17" t="s">
        <v>1057</v>
      </c>
    </row>
    <row r="713" spans="6:7" x14ac:dyDescent="0.25">
      <c r="F713" s="17" t="s">
        <v>1691</v>
      </c>
      <c r="G713" s="17" t="s">
        <v>1687</v>
      </c>
    </row>
    <row r="714" spans="6:7" x14ac:dyDescent="0.25">
      <c r="F714" s="17" t="s">
        <v>1692</v>
      </c>
      <c r="G714" s="17" t="s">
        <v>1687</v>
      </c>
    </row>
    <row r="715" spans="6:7" x14ac:dyDescent="0.25">
      <c r="F715" s="17" t="s">
        <v>1693</v>
      </c>
      <c r="G715" s="17" t="s">
        <v>1687</v>
      </c>
    </row>
    <row r="716" spans="6:7" x14ac:dyDescent="0.25">
      <c r="F716" s="17" t="s">
        <v>1694</v>
      </c>
      <c r="G716" s="17" t="s">
        <v>1687</v>
      </c>
    </row>
    <row r="717" spans="6:7" x14ac:dyDescent="0.25">
      <c r="F717" s="17" t="s">
        <v>1695</v>
      </c>
      <c r="G717" s="17" t="s">
        <v>1687</v>
      </c>
    </row>
    <row r="718" spans="6:7" x14ac:dyDescent="0.25">
      <c r="F718" s="17" t="s">
        <v>1696</v>
      </c>
      <c r="G718" s="17" t="s">
        <v>1687</v>
      </c>
    </row>
    <row r="719" spans="6:7" x14ac:dyDescent="0.25">
      <c r="F719" s="17" t="s">
        <v>1697</v>
      </c>
      <c r="G719" s="17" t="s">
        <v>1687</v>
      </c>
    </row>
    <row r="720" spans="6:7" x14ac:dyDescent="0.25">
      <c r="F720" s="17" t="s">
        <v>1698</v>
      </c>
      <c r="G720" s="17" t="s">
        <v>1687</v>
      </c>
    </row>
    <row r="721" spans="6:7" x14ac:dyDescent="0.25">
      <c r="F721" s="17" t="s">
        <v>1699</v>
      </c>
      <c r="G721" s="17" t="s">
        <v>1687</v>
      </c>
    </row>
    <row r="722" spans="6:7" x14ac:dyDescent="0.25">
      <c r="F722" s="17" t="s">
        <v>1700</v>
      </c>
      <c r="G722" s="17" t="s">
        <v>1687</v>
      </c>
    </row>
    <row r="723" spans="6:7" x14ac:dyDescent="0.25">
      <c r="F723" s="17" t="s">
        <v>1701</v>
      </c>
      <c r="G723" s="17" t="s">
        <v>1687</v>
      </c>
    </row>
    <row r="724" spans="6:7" x14ac:dyDescent="0.25">
      <c r="F724" s="17" t="s">
        <v>1702</v>
      </c>
      <c r="G724" s="17" t="s">
        <v>1687</v>
      </c>
    </row>
    <row r="725" spans="6:7" x14ac:dyDescent="0.25">
      <c r="F725" s="17" t="s">
        <v>1703</v>
      </c>
      <c r="G725" s="17" t="s">
        <v>1687</v>
      </c>
    </row>
    <row r="726" spans="6:7" x14ac:dyDescent="0.25">
      <c r="F726" s="17" t="s">
        <v>1704</v>
      </c>
      <c r="G726" s="17" t="s">
        <v>1046</v>
      </c>
    </row>
    <row r="727" spans="6:7" x14ac:dyDescent="0.25">
      <c r="F727" s="17" t="s">
        <v>1705</v>
      </c>
      <c r="G727" s="17" t="s">
        <v>1067</v>
      </c>
    </row>
    <row r="728" spans="6:7" x14ac:dyDescent="0.25">
      <c r="F728" s="17" t="s">
        <v>1706</v>
      </c>
      <c r="G728" s="17" t="s">
        <v>1067</v>
      </c>
    </row>
    <row r="729" spans="6:7" x14ac:dyDescent="0.25">
      <c r="F729" s="17" t="s">
        <v>1707</v>
      </c>
      <c r="G729" s="17" t="s">
        <v>1067</v>
      </c>
    </row>
    <row r="730" spans="6:7" x14ac:dyDescent="0.25">
      <c r="F730" s="17" t="s">
        <v>1708</v>
      </c>
      <c r="G730" s="17" t="s">
        <v>1067</v>
      </c>
    </row>
    <row r="731" spans="6:7" x14ac:dyDescent="0.25">
      <c r="F731" s="17" t="s">
        <v>1709</v>
      </c>
      <c r="G731" s="17" t="s">
        <v>1067</v>
      </c>
    </row>
    <row r="732" spans="6:7" x14ac:dyDescent="0.25">
      <c r="F732" s="17" t="s">
        <v>1710</v>
      </c>
      <c r="G732" s="17" t="s">
        <v>1067</v>
      </c>
    </row>
    <row r="733" spans="6:7" x14ac:dyDescent="0.25">
      <c r="F733" s="17" t="s">
        <v>1711</v>
      </c>
      <c r="G733" s="17" t="s">
        <v>1067</v>
      </c>
    </row>
    <row r="734" spans="6:7" x14ac:dyDescent="0.25">
      <c r="F734" s="17" t="s">
        <v>1712</v>
      </c>
      <c r="G734" s="17" t="s">
        <v>1067</v>
      </c>
    </row>
    <row r="735" spans="6:7" x14ac:dyDescent="0.25">
      <c r="F735" s="17" t="s">
        <v>1713</v>
      </c>
      <c r="G735" s="17" t="s">
        <v>1067</v>
      </c>
    </row>
    <row r="736" spans="6:7" x14ac:dyDescent="0.25">
      <c r="F736" s="17" t="s">
        <v>1714</v>
      </c>
      <c r="G736" s="17" t="s">
        <v>1067</v>
      </c>
    </row>
    <row r="737" spans="6:7" x14ac:dyDescent="0.25">
      <c r="F737" s="17" t="s">
        <v>1715</v>
      </c>
      <c r="G737" s="17" t="s">
        <v>1067</v>
      </c>
    </row>
    <row r="738" spans="6:7" x14ac:dyDescent="0.25">
      <c r="F738" s="17" t="s">
        <v>1716</v>
      </c>
      <c r="G738" s="17" t="s">
        <v>1067</v>
      </c>
    </row>
    <row r="739" spans="6:7" x14ac:dyDescent="0.25">
      <c r="F739" s="17" t="s">
        <v>1717</v>
      </c>
      <c r="G739" s="17" t="s">
        <v>1067</v>
      </c>
    </row>
    <row r="740" spans="6:7" x14ac:dyDescent="0.25">
      <c r="F740" s="17" t="s">
        <v>1718</v>
      </c>
      <c r="G740" s="17" t="s">
        <v>1067</v>
      </c>
    </row>
    <row r="741" spans="6:7" x14ac:dyDescent="0.25">
      <c r="F741" s="17" t="s">
        <v>1719</v>
      </c>
      <c r="G741" s="17" t="s">
        <v>1057</v>
      </c>
    </row>
    <row r="742" spans="6:7" x14ac:dyDescent="0.25">
      <c r="F742" s="17" t="s">
        <v>1720</v>
      </c>
      <c r="G742" s="17" t="s">
        <v>1057</v>
      </c>
    </row>
    <row r="743" spans="6:7" x14ac:dyDescent="0.25">
      <c r="F743" s="17" t="s">
        <v>1721</v>
      </c>
      <c r="G743" s="17" t="s">
        <v>1057</v>
      </c>
    </row>
    <row r="744" spans="6:7" x14ac:dyDescent="0.25">
      <c r="F744" s="17" t="s">
        <v>1722</v>
      </c>
      <c r="G744" s="17" t="s">
        <v>1057</v>
      </c>
    </row>
    <row r="745" spans="6:7" x14ac:dyDescent="0.25">
      <c r="F745" s="17" t="s">
        <v>1723</v>
      </c>
      <c r="G745" s="17" t="s">
        <v>1057</v>
      </c>
    </row>
    <row r="746" spans="6:7" x14ac:dyDescent="0.25">
      <c r="F746" s="17" t="s">
        <v>1724</v>
      </c>
      <c r="G746" s="17" t="s">
        <v>1057</v>
      </c>
    </row>
    <row r="747" spans="6:7" x14ac:dyDescent="0.25">
      <c r="F747" s="17" t="s">
        <v>1725</v>
      </c>
      <c r="G747" s="17" t="s">
        <v>1057</v>
      </c>
    </row>
    <row r="748" spans="6:7" x14ac:dyDescent="0.25">
      <c r="F748" s="17" t="s">
        <v>1726</v>
      </c>
      <c r="G748" s="17" t="s">
        <v>1057</v>
      </c>
    </row>
    <row r="749" spans="6:7" x14ac:dyDescent="0.25">
      <c r="F749" s="17" t="s">
        <v>1727</v>
      </c>
      <c r="G749" s="17" t="s">
        <v>1057</v>
      </c>
    </row>
    <row r="750" spans="6:7" x14ac:dyDescent="0.25">
      <c r="F750" s="17" t="s">
        <v>1728</v>
      </c>
      <c r="G750" s="17" t="s">
        <v>1057</v>
      </c>
    </row>
    <row r="751" spans="6:7" x14ac:dyDescent="0.25">
      <c r="F751" s="17" t="s">
        <v>1729</v>
      </c>
      <c r="G751" s="17" t="s">
        <v>1057</v>
      </c>
    </row>
    <row r="752" spans="6:7" x14ac:dyDescent="0.25">
      <c r="F752" s="17" t="s">
        <v>1730</v>
      </c>
      <c r="G752" s="17" t="s">
        <v>1057</v>
      </c>
    </row>
    <row r="753" spans="6:7" x14ac:dyDescent="0.25">
      <c r="F753" s="17" t="s">
        <v>1731</v>
      </c>
      <c r="G753" s="17" t="s">
        <v>1057</v>
      </c>
    </row>
    <row r="754" spans="6:7" x14ac:dyDescent="0.25">
      <c r="F754" s="17" t="s">
        <v>1732</v>
      </c>
      <c r="G754" s="17" t="s">
        <v>1057</v>
      </c>
    </row>
    <row r="755" spans="6:7" x14ac:dyDescent="0.25">
      <c r="F755" s="17" t="s">
        <v>1733</v>
      </c>
      <c r="G755" s="17" t="s">
        <v>1057</v>
      </c>
    </row>
    <row r="756" spans="6:7" x14ac:dyDescent="0.25">
      <c r="F756" s="17" t="s">
        <v>1734</v>
      </c>
      <c r="G756" s="17" t="s">
        <v>1057</v>
      </c>
    </row>
    <row r="757" spans="6:7" x14ac:dyDescent="0.25">
      <c r="F757" s="17" t="s">
        <v>1735</v>
      </c>
      <c r="G757" s="17" t="s">
        <v>1057</v>
      </c>
    </row>
    <row r="758" spans="6:7" x14ac:dyDescent="0.25">
      <c r="F758" s="17" t="s">
        <v>1736</v>
      </c>
      <c r="G758" s="17" t="s">
        <v>1057</v>
      </c>
    </row>
    <row r="759" spans="6:7" x14ac:dyDescent="0.25">
      <c r="F759" s="17" t="s">
        <v>1737</v>
      </c>
      <c r="G759" s="17" t="s">
        <v>1057</v>
      </c>
    </row>
    <row r="760" spans="6:7" x14ac:dyDescent="0.25">
      <c r="F760" s="17" t="s">
        <v>1738</v>
      </c>
      <c r="G760" s="17" t="s">
        <v>1057</v>
      </c>
    </row>
    <row r="761" spans="6:7" x14ac:dyDescent="0.25">
      <c r="F761" s="17" t="s">
        <v>1739</v>
      </c>
      <c r="G761" s="17" t="s">
        <v>1057</v>
      </c>
    </row>
    <row r="762" spans="6:7" x14ac:dyDescent="0.25">
      <c r="F762" s="17" t="s">
        <v>1740</v>
      </c>
      <c r="G762" s="17" t="s">
        <v>1057</v>
      </c>
    </row>
    <row r="763" spans="6:7" x14ac:dyDescent="0.25">
      <c r="F763" s="17" t="s">
        <v>1741</v>
      </c>
      <c r="G763" s="17" t="s">
        <v>1057</v>
      </c>
    </row>
    <row r="764" spans="6:7" x14ac:dyDescent="0.25">
      <c r="F764" s="17" t="s">
        <v>1742</v>
      </c>
      <c r="G764" s="17" t="s">
        <v>1057</v>
      </c>
    </row>
    <row r="765" spans="6:7" x14ac:dyDescent="0.25">
      <c r="F765" s="17" t="s">
        <v>1743</v>
      </c>
      <c r="G765" s="17" t="s">
        <v>1057</v>
      </c>
    </row>
    <row r="766" spans="6:7" x14ac:dyDescent="0.25">
      <c r="F766" s="17" t="s">
        <v>1744</v>
      </c>
      <c r="G766" s="17" t="s">
        <v>1057</v>
      </c>
    </row>
    <row r="767" spans="6:7" x14ac:dyDescent="0.25">
      <c r="F767" s="17" t="s">
        <v>1745</v>
      </c>
      <c r="G767" s="17" t="s">
        <v>1057</v>
      </c>
    </row>
    <row r="768" spans="6:7" x14ac:dyDescent="0.25">
      <c r="F768" s="17" t="s">
        <v>1746</v>
      </c>
      <c r="G768" s="17" t="s">
        <v>1057</v>
      </c>
    </row>
    <row r="769" spans="6:7" x14ac:dyDescent="0.25">
      <c r="F769" s="17" t="s">
        <v>1747</v>
      </c>
      <c r="G769" s="17" t="s">
        <v>1687</v>
      </c>
    </row>
    <row r="770" spans="6:7" x14ac:dyDescent="0.25">
      <c r="F770" s="17" t="s">
        <v>1748</v>
      </c>
      <c r="G770" s="17" t="s">
        <v>1687</v>
      </c>
    </row>
    <row r="771" spans="6:7" x14ac:dyDescent="0.25">
      <c r="F771" s="17" t="s">
        <v>1749</v>
      </c>
      <c r="G771" s="17" t="s">
        <v>1687</v>
      </c>
    </row>
    <row r="772" spans="6:7" x14ac:dyDescent="0.25">
      <c r="F772" s="17" t="s">
        <v>1750</v>
      </c>
      <c r="G772" s="17" t="s">
        <v>1687</v>
      </c>
    </row>
    <row r="773" spans="6:7" x14ac:dyDescent="0.25">
      <c r="F773" s="17" t="s">
        <v>1751</v>
      </c>
      <c r="G773" s="17" t="s">
        <v>1687</v>
      </c>
    </row>
    <row r="774" spans="6:7" x14ac:dyDescent="0.25">
      <c r="F774" s="17" t="s">
        <v>1752</v>
      </c>
      <c r="G774" s="17" t="s">
        <v>1687</v>
      </c>
    </row>
    <row r="775" spans="6:7" x14ac:dyDescent="0.25">
      <c r="F775" s="17" t="s">
        <v>1753</v>
      </c>
      <c r="G775" s="17" t="s">
        <v>1687</v>
      </c>
    </row>
    <row r="776" spans="6:7" x14ac:dyDescent="0.25">
      <c r="F776" s="17" t="s">
        <v>1754</v>
      </c>
      <c r="G776" s="17" t="s">
        <v>1687</v>
      </c>
    </row>
    <row r="777" spans="6:7" x14ac:dyDescent="0.25">
      <c r="F777" s="17" t="s">
        <v>1755</v>
      </c>
      <c r="G777" s="17" t="s">
        <v>1687</v>
      </c>
    </row>
    <row r="778" spans="6:7" x14ac:dyDescent="0.25">
      <c r="F778" s="17" t="s">
        <v>1756</v>
      </c>
      <c r="G778" s="17" t="s">
        <v>1687</v>
      </c>
    </row>
    <row r="779" spans="6:7" x14ac:dyDescent="0.25">
      <c r="F779" s="17" t="s">
        <v>1757</v>
      </c>
      <c r="G779" s="17" t="s">
        <v>1057</v>
      </c>
    </row>
    <row r="780" spans="6:7" x14ac:dyDescent="0.25">
      <c r="F780" s="17" t="s">
        <v>1758</v>
      </c>
      <c r="G780" s="17" t="s">
        <v>1057</v>
      </c>
    </row>
    <row r="781" spans="6:7" x14ac:dyDescent="0.25">
      <c r="F781" s="17" t="s">
        <v>1759</v>
      </c>
      <c r="G781" s="17" t="s">
        <v>1057</v>
      </c>
    </row>
    <row r="782" spans="6:7" x14ac:dyDescent="0.25">
      <c r="F782" s="17" t="s">
        <v>1760</v>
      </c>
      <c r="G782" s="17" t="s">
        <v>1057</v>
      </c>
    </row>
    <row r="783" spans="6:7" x14ac:dyDescent="0.25">
      <c r="F783" s="17" t="s">
        <v>1761</v>
      </c>
      <c r="G783" s="17" t="s">
        <v>1687</v>
      </c>
    </row>
    <row r="784" spans="6:7" x14ac:dyDescent="0.25">
      <c r="F784" s="17" t="s">
        <v>1762</v>
      </c>
      <c r="G784" s="17" t="s">
        <v>1057</v>
      </c>
    </row>
    <row r="785" spans="6:7" x14ac:dyDescent="0.25">
      <c r="F785" s="17" t="s">
        <v>1763</v>
      </c>
      <c r="G785" s="17" t="s">
        <v>1057</v>
      </c>
    </row>
    <row r="786" spans="6:7" x14ac:dyDescent="0.25">
      <c r="F786" s="17" t="s">
        <v>1764</v>
      </c>
      <c r="G786" s="17" t="s">
        <v>1057</v>
      </c>
    </row>
    <row r="787" spans="6:7" x14ac:dyDescent="0.25">
      <c r="F787" s="17" t="s">
        <v>1765</v>
      </c>
      <c r="G787" s="17" t="s">
        <v>1687</v>
      </c>
    </row>
    <row r="788" spans="6:7" x14ac:dyDescent="0.25">
      <c r="F788" s="17" t="s">
        <v>1766</v>
      </c>
      <c r="G788" s="17" t="s">
        <v>1687</v>
      </c>
    </row>
    <row r="789" spans="6:7" x14ac:dyDescent="0.25">
      <c r="F789" s="17" t="s">
        <v>1767</v>
      </c>
      <c r="G789" s="17" t="s">
        <v>1687</v>
      </c>
    </row>
    <row r="790" spans="6:7" x14ac:dyDescent="0.25">
      <c r="F790" s="17" t="s">
        <v>1768</v>
      </c>
      <c r="G790" s="17" t="s">
        <v>1687</v>
      </c>
    </row>
    <row r="791" spans="6:7" x14ac:dyDescent="0.25">
      <c r="F791" s="17" t="s">
        <v>1769</v>
      </c>
      <c r="G791" s="17" t="s">
        <v>1687</v>
      </c>
    </row>
    <row r="792" spans="6:7" x14ac:dyDescent="0.25">
      <c r="F792" s="17" t="s">
        <v>1770</v>
      </c>
      <c r="G792" s="17" t="s">
        <v>1687</v>
      </c>
    </row>
    <row r="793" spans="6:7" x14ac:dyDescent="0.25">
      <c r="F793" s="17" t="s">
        <v>1771</v>
      </c>
      <c r="G793" s="17" t="s">
        <v>1687</v>
      </c>
    </row>
    <row r="794" spans="6:7" x14ac:dyDescent="0.25">
      <c r="F794" s="17" t="s">
        <v>1772</v>
      </c>
      <c r="G794" s="17" t="s">
        <v>1687</v>
      </c>
    </row>
    <row r="795" spans="6:7" x14ac:dyDescent="0.25">
      <c r="F795" s="17" t="s">
        <v>1773</v>
      </c>
      <c r="G795" s="17" t="s">
        <v>1687</v>
      </c>
    </row>
    <row r="796" spans="6:7" x14ac:dyDescent="0.25">
      <c r="F796" s="17" t="s">
        <v>1774</v>
      </c>
      <c r="G796" s="17" t="s">
        <v>1687</v>
      </c>
    </row>
    <row r="797" spans="6:7" x14ac:dyDescent="0.25">
      <c r="F797" s="17" t="s">
        <v>1775</v>
      </c>
      <c r="G797" s="17" t="s">
        <v>1687</v>
      </c>
    </row>
    <row r="798" spans="6:7" x14ac:dyDescent="0.25">
      <c r="F798" s="17" t="s">
        <v>1776</v>
      </c>
      <c r="G798" s="17" t="s">
        <v>1687</v>
      </c>
    </row>
    <row r="799" spans="6:7" x14ac:dyDescent="0.25">
      <c r="F799" s="17" t="s">
        <v>1777</v>
      </c>
      <c r="G799" s="17" t="s">
        <v>1687</v>
      </c>
    </row>
    <row r="800" spans="6:7" x14ac:dyDescent="0.25">
      <c r="F800" s="17" t="s">
        <v>1778</v>
      </c>
      <c r="G800" s="17" t="s">
        <v>1687</v>
      </c>
    </row>
    <row r="801" spans="6:7" x14ac:dyDescent="0.25">
      <c r="F801" s="17" t="s">
        <v>1779</v>
      </c>
      <c r="G801" s="17" t="s">
        <v>1687</v>
      </c>
    </row>
    <row r="802" spans="6:7" x14ac:dyDescent="0.25">
      <c r="F802" s="17" t="s">
        <v>1780</v>
      </c>
      <c r="G802" s="17" t="s">
        <v>1687</v>
      </c>
    </row>
    <row r="803" spans="6:7" x14ac:dyDescent="0.25">
      <c r="F803" s="17" t="s">
        <v>1781</v>
      </c>
      <c r="G803" s="17" t="s">
        <v>1678</v>
      </c>
    </row>
    <row r="804" spans="6:7" x14ac:dyDescent="0.25">
      <c r="F804" s="17" t="s">
        <v>1782</v>
      </c>
      <c r="G804" s="17" t="s">
        <v>1678</v>
      </c>
    </row>
    <row r="805" spans="6:7" x14ac:dyDescent="0.25">
      <c r="F805" s="17" t="s">
        <v>1783</v>
      </c>
      <c r="G805" s="17" t="s">
        <v>1687</v>
      </c>
    </row>
    <row r="806" spans="6:7" x14ac:dyDescent="0.25">
      <c r="F806" s="17" t="s">
        <v>1784</v>
      </c>
      <c r="G806" s="17" t="s">
        <v>1687</v>
      </c>
    </row>
    <row r="807" spans="6:7" x14ac:dyDescent="0.25">
      <c r="F807" s="17" t="s">
        <v>1785</v>
      </c>
      <c r="G807" s="17" t="s">
        <v>1687</v>
      </c>
    </row>
    <row r="808" spans="6:7" x14ac:dyDescent="0.25">
      <c r="F808" s="17" t="s">
        <v>1786</v>
      </c>
      <c r="G808" s="17" t="s">
        <v>1687</v>
      </c>
    </row>
    <row r="809" spans="6:7" x14ac:dyDescent="0.25">
      <c r="F809" s="17" t="s">
        <v>1787</v>
      </c>
      <c r="G809" s="17" t="s">
        <v>1687</v>
      </c>
    </row>
    <row r="810" spans="6:7" x14ac:dyDescent="0.25">
      <c r="F810" s="17" t="s">
        <v>1788</v>
      </c>
      <c r="G810" s="17" t="s">
        <v>1687</v>
      </c>
    </row>
    <row r="811" spans="6:7" x14ac:dyDescent="0.25">
      <c r="F811" s="17" t="s">
        <v>1789</v>
      </c>
      <c r="G811" s="17" t="s">
        <v>1687</v>
      </c>
    </row>
    <row r="812" spans="6:7" x14ac:dyDescent="0.25">
      <c r="F812" s="17" t="s">
        <v>1790</v>
      </c>
      <c r="G812" s="17" t="s">
        <v>1687</v>
      </c>
    </row>
    <row r="813" spans="6:7" x14ac:dyDescent="0.25">
      <c r="F813" s="17" t="s">
        <v>1791</v>
      </c>
      <c r="G813" s="17" t="s">
        <v>1687</v>
      </c>
    </row>
    <row r="814" spans="6:7" x14ac:dyDescent="0.25">
      <c r="F814" s="17" t="s">
        <v>1792</v>
      </c>
      <c r="G814" s="17" t="s">
        <v>1687</v>
      </c>
    </row>
    <row r="815" spans="6:7" x14ac:dyDescent="0.25">
      <c r="F815" s="17" t="s">
        <v>1793</v>
      </c>
      <c r="G815" s="17" t="s">
        <v>1687</v>
      </c>
    </row>
    <row r="816" spans="6:7" x14ac:dyDescent="0.25">
      <c r="F816" s="17" t="s">
        <v>1794</v>
      </c>
      <c r="G816" s="17" t="s">
        <v>1687</v>
      </c>
    </row>
    <row r="817" spans="6:7" x14ac:dyDescent="0.25">
      <c r="F817" s="17" t="s">
        <v>1795</v>
      </c>
      <c r="G817" s="17" t="s">
        <v>1687</v>
      </c>
    </row>
    <row r="818" spans="6:7" x14ac:dyDescent="0.25">
      <c r="F818" s="17" t="s">
        <v>1796</v>
      </c>
      <c r="G818" s="17" t="s">
        <v>1687</v>
      </c>
    </row>
    <row r="819" spans="6:7" x14ac:dyDescent="0.25">
      <c r="F819" s="17" t="s">
        <v>1797</v>
      </c>
      <c r="G819" s="17" t="s">
        <v>1687</v>
      </c>
    </row>
    <row r="820" spans="6:7" x14ac:dyDescent="0.25">
      <c r="F820" s="17" t="s">
        <v>1798</v>
      </c>
      <c r="G820" s="17" t="s">
        <v>1687</v>
      </c>
    </row>
    <row r="821" spans="6:7" x14ac:dyDescent="0.25">
      <c r="F821" s="17" t="s">
        <v>1799</v>
      </c>
      <c r="G821" s="17" t="s">
        <v>1687</v>
      </c>
    </row>
    <row r="822" spans="6:7" x14ac:dyDescent="0.25">
      <c r="F822" s="17" t="s">
        <v>1800</v>
      </c>
      <c r="G822" s="17" t="s">
        <v>1687</v>
      </c>
    </row>
    <row r="823" spans="6:7" x14ac:dyDescent="0.25">
      <c r="F823" s="17" t="s">
        <v>1801</v>
      </c>
      <c r="G823" s="17" t="s">
        <v>1687</v>
      </c>
    </row>
    <row r="824" spans="6:7" x14ac:dyDescent="0.25">
      <c r="F824" s="17" t="s">
        <v>1802</v>
      </c>
      <c r="G824" s="17" t="s">
        <v>1687</v>
      </c>
    </row>
    <row r="825" spans="6:7" x14ac:dyDescent="0.25">
      <c r="F825" s="17" t="s">
        <v>1803</v>
      </c>
      <c r="G825" s="17" t="s">
        <v>1687</v>
      </c>
    </row>
    <row r="826" spans="6:7" x14ac:dyDescent="0.25">
      <c r="F826" s="17" t="s">
        <v>1804</v>
      </c>
      <c r="G826" s="17" t="s">
        <v>1687</v>
      </c>
    </row>
    <row r="827" spans="6:7" x14ac:dyDescent="0.25">
      <c r="F827" s="17" t="s">
        <v>1805</v>
      </c>
      <c r="G827" s="17" t="s">
        <v>1687</v>
      </c>
    </row>
    <row r="828" spans="6:7" x14ac:dyDescent="0.25">
      <c r="F828" s="17" t="s">
        <v>1806</v>
      </c>
      <c r="G828" s="17" t="s">
        <v>1687</v>
      </c>
    </row>
    <row r="829" spans="6:7" x14ac:dyDescent="0.25">
      <c r="F829" s="17" t="s">
        <v>1807</v>
      </c>
      <c r="G829" s="17" t="s">
        <v>1687</v>
      </c>
    </row>
    <row r="830" spans="6:7" x14ac:dyDescent="0.25">
      <c r="F830" s="17" t="s">
        <v>1808</v>
      </c>
      <c r="G830" s="17" t="s">
        <v>1687</v>
      </c>
    </row>
    <row r="831" spans="6:7" x14ac:dyDescent="0.25">
      <c r="F831" s="17" t="s">
        <v>1809</v>
      </c>
      <c r="G831" s="17" t="s">
        <v>1687</v>
      </c>
    </row>
    <row r="832" spans="6:7" x14ac:dyDescent="0.25">
      <c r="F832" s="17" t="s">
        <v>1810</v>
      </c>
      <c r="G832" s="17" t="s">
        <v>1687</v>
      </c>
    </row>
    <row r="833" spans="6:7" x14ac:dyDescent="0.25">
      <c r="F833" s="17" t="s">
        <v>1811</v>
      </c>
      <c r="G833" s="17" t="s">
        <v>1687</v>
      </c>
    </row>
    <row r="834" spans="6:7" x14ac:dyDescent="0.25">
      <c r="F834" s="17" t="s">
        <v>1812</v>
      </c>
      <c r="G834" s="17" t="s">
        <v>1687</v>
      </c>
    </row>
    <row r="835" spans="6:7" x14ac:dyDescent="0.25">
      <c r="F835" s="17" t="s">
        <v>1813</v>
      </c>
      <c r="G835" s="17" t="s">
        <v>1687</v>
      </c>
    </row>
    <row r="836" spans="6:7" x14ac:dyDescent="0.25">
      <c r="F836" s="17" t="s">
        <v>1814</v>
      </c>
      <c r="G836" s="17" t="s">
        <v>1687</v>
      </c>
    </row>
    <row r="837" spans="6:7" x14ac:dyDescent="0.25">
      <c r="F837" s="17" t="s">
        <v>1815</v>
      </c>
      <c r="G837" s="17" t="s">
        <v>1687</v>
      </c>
    </row>
    <row r="838" spans="6:7" x14ac:dyDescent="0.25">
      <c r="F838" s="17" t="s">
        <v>1816</v>
      </c>
      <c r="G838" s="17" t="s">
        <v>1687</v>
      </c>
    </row>
    <row r="839" spans="6:7" x14ac:dyDescent="0.25">
      <c r="F839" s="17" t="s">
        <v>1817</v>
      </c>
      <c r="G839" s="17" t="s">
        <v>1687</v>
      </c>
    </row>
    <row r="840" spans="6:7" x14ac:dyDescent="0.25">
      <c r="F840" s="17" t="s">
        <v>1818</v>
      </c>
      <c r="G840" s="17" t="s">
        <v>1687</v>
      </c>
    </row>
    <row r="841" spans="6:7" x14ac:dyDescent="0.25">
      <c r="F841" s="17" t="s">
        <v>1819</v>
      </c>
      <c r="G841" s="17" t="s">
        <v>1687</v>
      </c>
    </row>
    <row r="842" spans="6:7" x14ac:dyDescent="0.25">
      <c r="F842" s="17" t="s">
        <v>1820</v>
      </c>
      <c r="G842" s="17" t="s">
        <v>1687</v>
      </c>
    </row>
    <row r="843" spans="6:7" x14ac:dyDescent="0.25">
      <c r="F843" s="17" t="s">
        <v>1821</v>
      </c>
      <c r="G843" s="17" t="s">
        <v>1687</v>
      </c>
    </row>
    <row r="844" spans="6:7" x14ac:dyDescent="0.25">
      <c r="F844" s="17" t="s">
        <v>1822</v>
      </c>
      <c r="G844" s="17" t="s">
        <v>1687</v>
      </c>
    </row>
    <row r="845" spans="6:7" x14ac:dyDescent="0.25">
      <c r="F845" s="17" t="s">
        <v>1823</v>
      </c>
      <c r="G845" s="17" t="s">
        <v>1687</v>
      </c>
    </row>
    <row r="846" spans="6:7" x14ac:dyDescent="0.25">
      <c r="F846" s="17" t="s">
        <v>1824</v>
      </c>
      <c r="G846" s="17" t="s">
        <v>1687</v>
      </c>
    </row>
    <row r="847" spans="6:7" x14ac:dyDescent="0.25">
      <c r="F847" s="17" t="s">
        <v>1825</v>
      </c>
      <c r="G847" s="17" t="s">
        <v>1687</v>
      </c>
    </row>
    <row r="848" spans="6:7" x14ac:dyDescent="0.25">
      <c r="F848" s="17" t="s">
        <v>1826</v>
      </c>
      <c r="G848" s="17" t="s">
        <v>1687</v>
      </c>
    </row>
    <row r="849" spans="6:7" x14ac:dyDescent="0.25">
      <c r="F849" s="17" t="s">
        <v>1827</v>
      </c>
      <c r="G849" s="17" t="s">
        <v>1687</v>
      </c>
    </row>
    <row r="850" spans="6:7" x14ac:dyDescent="0.25">
      <c r="F850" s="17" t="s">
        <v>1828</v>
      </c>
      <c r="G850" s="17" t="s">
        <v>1687</v>
      </c>
    </row>
    <row r="851" spans="6:7" x14ac:dyDescent="0.25">
      <c r="F851" s="17" t="s">
        <v>1829</v>
      </c>
      <c r="G851" s="17" t="s">
        <v>1687</v>
      </c>
    </row>
    <row r="852" spans="6:7" x14ac:dyDescent="0.25">
      <c r="F852" s="17" t="s">
        <v>1830</v>
      </c>
      <c r="G852" s="17" t="s">
        <v>1687</v>
      </c>
    </row>
    <row r="853" spans="6:7" x14ac:dyDescent="0.25">
      <c r="F853" s="17" t="s">
        <v>1831</v>
      </c>
      <c r="G853" s="17" t="s">
        <v>1687</v>
      </c>
    </row>
    <row r="854" spans="6:7" x14ac:dyDescent="0.25">
      <c r="F854" s="17" t="s">
        <v>1832</v>
      </c>
      <c r="G854" s="17" t="s">
        <v>1687</v>
      </c>
    </row>
    <row r="855" spans="6:7" x14ac:dyDescent="0.25">
      <c r="F855" s="17" t="s">
        <v>1833</v>
      </c>
      <c r="G855" s="17" t="s">
        <v>1687</v>
      </c>
    </row>
    <row r="856" spans="6:7" x14ac:dyDescent="0.25">
      <c r="F856" s="17" t="s">
        <v>1834</v>
      </c>
      <c r="G856" s="17" t="s">
        <v>1687</v>
      </c>
    </row>
    <row r="857" spans="6:7" x14ac:dyDescent="0.25">
      <c r="F857" s="17" t="s">
        <v>1835</v>
      </c>
      <c r="G857" s="17" t="s">
        <v>1687</v>
      </c>
    </row>
    <row r="858" spans="6:7" x14ac:dyDescent="0.25">
      <c r="F858" s="17" t="s">
        <v>1836</v>
      </c>
      <c r="G858" s="17" t="s">
        <v>1687</v>
      </c>
    </row>
    <row r="859" spans="6:7" x14ac:dyDescent="0.25">
      <c r="F859" s="17" t="s">
        <v>1837</v>
      </c>
      <c r="G859" s="17" t="s">
        <v>1687</v>
      </c>
    </row>
    <row r="860" spans="6:7" x14ac:dyDescent="0.25">
      <c r="F860" s="17" t="s">
        <v>1838</v>
      </c>
      <c r="G860" s="17" t="s">
        <v>1687</v>
      </c>
    </row>
    <row r="861" spans="6:7" x14ac:dyDescent="0.25">
      <c r="F861" s="17" t="s">
        <v>1839</v>
      </c>
      <c r="G861" s="17" t="s">
        <v>1687</v>
      </c>
    </row>
    <row r="862" spans="6:7" x14ac:dyDescent="0.25">
      <c r="F862" s="17" t="s">
        <v>1840</v>
      </c>
      <c r="G862" s="17" t="s">
        <v>1687</v>
      </c>
    </row>
    <row r="863" spans="6:7" x14ac:dyDescent="0.25">
      <c r="F863" s="17" t="s">
        <v>1841</v>
      </c>
      <c r="G863" s="17" t="s">
        <v>1687</v>
      </c>
    </row>
    <row r="864" spans="6:7" x14ac:dyDescent="0.25">
      <c r="F864" s="17" t="s">
        <v>1842</v>
      </c>
      <c r="G864" s="17" t="s">
        <v>1687</v>
      </c>
    </row>
    <row r="865" spans="6:7" x14ac:dyDescent="0.25">
      <c r="F865" s="17" t="s">
        <v>1843</v>
      </c>
      <c r="G865" s="17" t="s">
        <v>1687</v>
      </c>
    </row>
    <row r="866" spans="6:7" x14ac:dyDescent="0.25">
      <c r="F866" s="17" t="s">
        <v>1844</v>
      </c>
      <c r="G866" s="17" t="s">
        <v>1845</v>
      </c>
    </row>
    <row r="867" spans="6:7" x14ac:dyDescent="0.25">
      <c r="F867" s="17" t="s">
        <v>1846</v>
      </c>
      <c r="G867" s="17" t="s">
        <v>1845</v>
      </c>
    </row>
    <row r="868" spans="6:7" x14ac:dyDescent="0.25">
      <c r="F868" s="17" t="s">
        <v>1847</v>
      </c>
      <c r="G868" s="17" t="s">
        <v>1687</v>
      </c>
    </row>
    <row r="869" spans="6:7" x14ac:dyDescent="0.25">
      <c r="F869" s="17" t="s">
        <v>1848</v>
      </c>
      <c r="G869" s="17" t="s">
        <v>1687</v>
      </c>
    </row>
    <row r="870" spans="6:7" x14ac:dyDescent="0.25">
      <c r="F870" s="17" t="s">
        <v>1849</v>
      </c>
      <c r="G870" s="17" t="s">
        <v>1687</v>
      </c>
    </row>
    <row r="871" spans="6:7" x14ac:dyDescent="0.25">
      <c r="F871" s="17" t="s">
        <v>1850</v>
      </c>
      <c r="G871" s="17" t="s">
        <v>1687</v>
      </c>
    </row>
    <row r="872" spans="6:7" x14ac:dyDescent="0.25">
      <c r="F872" s="17" t="s">
        <v>1851</v>
      </c>
      <c r="G872" s="17" t="s">
        <v>1687</v>
      </c>
    </row>
    <row r="873" spans="6:7" x14ac:dyDescent="0.25">
      <c r="F873" s="17" t="s">
        <v>1852</v>
      </c>
      <c r="G873" s="17" t="s">
        <v>1687</v>
      </c>
    </row>
    <row r="874" spans="6:7" x14ac:dyDescent="0.25">
      <c r="F874" s="17" t="s">
        <v>1853</v>
      </c>
      <c r="G874" s="17" t="s">
        <v>1687</v>
      </c>
    </row>
    <row r="875" spans="6:7" x14ac:dyDescent="0.25">
      <c r="F875" s="17" t="s">
        <v>1854</v>
      </c>
      <c r="G875" s="17" t="s">
        <v>1687</v>
      </c>
    </row>
    <row r="876" spans="6:7" x14ac:dyDescent="0.25">
      <c r="F876" s="17" t="s">
        <v>1855</v>
      </c>
      <c r="G876" s="17" t="s">
        <v>1687</v>
      </c>
    </row>
    <row r="877" spans="6:7" x14ac:dyDescent="0.25">
      <c r="F877" s="17" t="s">
        <v>1856</v>
      </c>
      <c r="G877" s="17" t="s">
        <v>1687</v>
      </c>
    </row>
    <row r="878" spans="6:7" x14ac:dyDescent="0.25">
      <c r="F878" s="17" t="s">
        <v>1857</v>
      </c>
      <c r="G878" s="17" t="s">
        <v>1687</v>
      </c>
    </row>
    <row r="879" spans="6:7" x14ac:dyDescent="0.25">
      <c r="F879" s="17" t="s">
        <v>1858</v>
      </c>
      <c r="G879" s="17" t="s">
        <v>1687</v>
      </c>
    </row>
    <row r="880" spans="6:7" x14ac:dyDescent="0.25">
      <c r="F880" s="17" t="s">
        <v>1859</v>
      </c>
      <c r="G880" s="17" t="s">
        <v>1845</v>
      </c>
    </row>
    <row r="881" spans="6:7" x14ac:dyDescent="0.25">
      <c r="F881" s="17" t="s">
        <v>1860</v>
      </c>
      <c r="G881" s="17" t="s">
        <v>1845</v>
      </c>
    </row>
    <row r="882" spans="6:7" x14ac:dyDescent="0.25">
      <c r="F882" s="17" t="s">
        <v>1861</v>
      </c>
      <c r="G882" s="17" t="s">
        <v>1845</v>
      </c>
    </row>
    <row r="883" spans="6:7" x14ac:dyDescent="0.25">
      <c r="F883" s="17" t="s">
        <v>1862</v>
      </c>
      <c r="G883" s="17" t="s">
        <v>1687</v>
      </c>
    </row>
    <row r="884" spans="6:7" x14ac:dyDescent="0.25">
      <c r="F884" s="17" t="s">
        <v>1863</v>
      </c>
      <c r="G884" s="17" t="s">
        <v>1687</v>
      </c>
    </row>
    <row r="885" spans="6:7" x14ac:dyDescent="0.25">
      <c r="F885" s="17" t="s">
        <v>1864</v>
      </c>
      <c r="G885" s="17" t="s">
        <v>1687</v>
      </c>
    </row>
    <row r="886" spans="6:7" x14ac:dyDescent="0.25">
      <c r="F886" s="17" t="s">
        <v>1865</v>
      </c>
      <c r="G886" s="17" t="s">
        <v>1687</v>
      </c>
    </row>
    <row r="887" spans="6:7" x14ac:dyDescent="0.25">
      <c r="F887" s="17" t="s">
        <v>1866</v>
      </c>
      <c r="G887" s="17" t="s">
        <v>1687</v>
      </c>
    </row>
    <row r="888" spans="6:7" x14ac:dyDescent="0.25">
      <c r="F888" s="17" t="s">
        <v>1867</v>
      </c>
      <c r="G888" s="17" t="s">
        <v>1687</v>
      </c>
    </row>
    <row r="889" spans="6:7" x14ac:dyDescent="0.25">
      <c r="F889" s="17" t="s">
        <v>1868</v>
      </c>
      <c r="G889" s="17" t="s">
        <v>1687</v>
      </c>
    </row>
    <row r="890" spans="6:7" x14ac:dyDescent="0.25">
      <c r="F890" s="17" t="s">
        <v>1869</v>
      </c>
      <c r="G890" s="17" t="s">
        <v>1870</v>
      </c>
    </row>
    <row r="891" spans="6:7" x14ac:dyDescent="0.25">
      <c r="F891" s="17" t="s">
        <v>1871</v>
      </c>
      <c r="G891" s="17" t="s">
        <v>1870</v>
      </c>
    </row>
    <row r="892" spans="6:7" x14ac:dyDescent="0.25">
      <c r="F892" s="17" t="s">
        <v>1872</v>
      </c>
      <c r="G892" s="17" t="s">
        <v>1870</v>
      </c>
    </row>
    <row r="893" spans="6:7" x14ac:dyDescent="0.25">
      <c r="F893" s="17" t="s">
        <v>1873</v>
      </c>
      <c r="G893" s="17" t="s">
        <v>1870</v>
      </c>
    </row>
    <row r="894" spans="6:7" x14ac:dyDescent="0.25">
      <c r="F894" s="17" t="s">
        <v>1874</v>
      </c>
      <c r="G894" s="17" t="s">
        <v>1870</v>
      </c>
    </row>
    <row r="895" spans="6:7" x14ac:dyDescent="0.25">
      <c r="F895" s="17" t="s">
        <v>1875</v>
      </c>
      <c r="G895" s="17" t="s">
        <v>1870</v>
      </c>
    </row>
    <row r="896" spans="6:7" x14ac:dyDescent="0.25">
      <c r="F896" s="17" t="s">
        <v>1876</v>
      </c>
      <c r="G896" s="17" t="s">
        <v>1877</v>
      </c>
    </row>
    <row r="897" spans="6:7" x14ac:dyDescent="0.25">
      <c r="F897" s="17" t="s">
        <v>1878</v>
      </c>
      <c r="G897" s="17" t="s">
        <v>1877</v>
      </c>
    </row>
    <row r="898" spans="6:7" x14ac:dyDescent="0.25">
      <c r="F898" s="17" t="s">
        <v>1879</v>
      </c>
      <c r="G898" s="17" t="s">
        <v>1877</v>
      </c>
    </row>
    <row r="899" spans="6:7" x14ac:dyDescent="0.25">
      <c r="F899" s="17" t="s">
        <v>1880</v>
      </c>
      <c r="G899" s="17" t="s">
        <v>1877</v>
      </c>
    </row>
    <row r="900" spans="6:7" x14ac:dyDescent="0.25">
      <c r="F900" s="17" t="s">
        <v>1881</v>
      </c>
      <c r="G900" s="17" t="s">
        <v>1877</v>
      </c>
    </row>
    <row r="901" spans="6:7" x14ac:dyDescent="0.25">
      <c r="F901" s="17" t="s">
        <v>1882</v>
      </c>
      <c r="G901" s="17" t="s">
        <v>1877</v>
      </c>
    </row>
    <row r="902" spans="6:7" x14ac:dyDescent="0.25">
      <c r="F902" s="17" t="s">
        <v>1883</v>
      </c>
      <c r="G902" s="17" t="s">
        <v>1877</v>
      </c>
    </row>
    <row r="903" spans="6:7" x14ac:dyDescent="0.25">
      <c r="F903" s="17" t="s">
        <v>1884</v>
      </c>
      <c r="G903" s="17" t="s">
        <v>1870</v>
      </c>
    </row>
    <row r="904" spans="6:7" x14ac:dyDescent="0.25">
      <c r="F904" s="17" t="s">
        <v>1885</v>
      </c>
      <c r="G904" s="17" t="s">
        <v>1877</v>
      </c>
    </row>
    <row r="905" spans="6:7" x14ac:dyDescent="0.25">
      <c r="F905" s="17" t="s">
        <v>1886</v>
      </c>
      <c r="G905" s="17" t="s">
        <v>1887</v>
      </c>
    </row>
    <row r="906" spans="6:7" x14ac:dyDescent="0.25">
      <c r="F906" s="17" t="s">
        <v>1888</v>
      </c>
      <c r="G906" s="17" t="s">
        <v>1887</v>
      </c>
    </row>
    <row r="907" spans="6:7" x14ac:dyDescent="0.25">
      <c r="F907" s="17" t="s">
        <v>1889</v>
      </c>
      <c r="G907" s="17" t="s">
        <v>1887</v>
      </c>
    </row>
    <row r="908" spans="6:7" x14ac:dyDescent="0.25">
      <c r="F908" s="17" t="s">
        <v>1890</v>
      </c>
      <c r="G908" s="17" t="s">
        <v>1887</v>
      </c>
    </row>
    <row r="909" spans="6:7" x14ac:dyDescent="0.25">
      <c r="F909" s="17" t="s">
        <v>1891</v>
      </c>
      <c r="G909" s="17" t="s">
        <v>1887</v>
      </c>
    </row>
    <row r="910" spans="6:7" x14ac:dyDescent="0.25">
      <c r="F910" s="17" t="s">
        <v>1892</v>
      </c>
      <c r="G910" s="17" t="s">
        <v>1887</v>
      </c>
    </row>
    <row r="911" spans="6:7" x14ac:dyDescent="0.25">
      <c r="F911" s="17" t="s">
        <v>1893</v>
      </c>
      <c r="G911" s="17" t="s">
        <v>1887</v>
      </c>
    </row>
    <row r="912" spans="6:7" x14ac:dyDescent="0.25">
      <c r="F912" s="17" t="s">
        <v>1894</v>
      </c>
      <c r="G912" s="17" t="s">
        <v>1887</v>
      </c>
    </row>
    <row r="913" spans="6:7" x14ac:dyDescent="0.25">
      <c r="F913" s="17" t="s">
        <v>1895</v>
      </c>
      <c r="G913" s="17" t="s">
        <v>1887</v>
      </c>
    </row>
    <row r="914" spans="6:7" x14ac:dyDescent="0.25">
      <c r="F914" s="17" t="s">
        <v>1896</v>
      </c>
      <c r="G914" s="17" t="s">
        <v>1887</v>
      </c>
    </row>
    <row r="915" spans="6:7" x14ac:dyDescent="0.25">
      <c r="F915" s="17" t="s">
        <v>1897</v>
      </c>
      <c r="G915" s="17" t="s">
        <v>1887</v>
      </c>
    </row>
    <row r="916" spans="6:7" x14ac:dyDescent="0.25">
      <c r="F916" s="17" t="s">
        <v>1898</v>
      </c>
      <c r="G916" s="17" t="s">
        <v>1887</v>
      </c>
    </row>
    <row r="917" spans="6:7" x14ac:dyDescent="0.25">
      <c r="F917" s="17" t="s">
        <v>1899</v>
      </c>
      <c r="G917" s="17" t="s">
        <v>1887</v>
      </c>
    </row>
    <row r="918" spans="6:7" x14ac:dyDescent="0.25">
      <c r="F918" s="17" t="s">
        <v>1900</v>
      </c>
      <c r="G918" s="17" t="s">
        <v>1887</v>
      </c>
    </row>
    <row r="919" spans="6:7" x14ac:dyDescent="0.25">
      <c r="F919" s="17" t="s">
        <v>1901</v>
      </c>
      <c r="G919" s="17" t="s">
        <v>1887</v>
      </c>
    </row>
    <row r="920" spans="6:7" x14ac:dyDescent="0.25">
      <c r="F920" s="17" t="s">
        <v>1902</v>
      </c>
      <c r="G920" s="17" t="s">
        <v>1887</v>
      </c>
    </row>
    <row r="921" spans="6:7" x14ac:dyDescent="0.25">
      <c r="F921" s="17" t="s">
        <v>1903</v>
      </c>
      <c r="G921" s="17" t="s">
        <v>1887</v>
      </c>
    </row>
    <row r="922" spans="6:7" x14ac:dyDescent="0.25">
      <c r="F922" s="17" t="s">
        <v>1904</v>
      </c>
      <c r="G922" s="17" t="s">
        <v>1905</v>
      </c>
    </row>
    <row r="923" spans="6:7" x14ac:dyDescent="0.25">
      <c r="F923" s="17" t="s">
        <v>1906</v>
      </c>
      <c r="G923" s="17" t="s">
        <v>1905</v>
      </c>
    </row>
    <row r="924" spans="6:7" x14ac:dyDescent="0.25">
      <c r="F924" s="17" t="s">
        <v>1907</v>
      </c>
      <c r="G924" s="17" t="s">
        <v>1905</v>
      </c>
    </row>
    <row r="925" spans="6:7" x14ac:dyDescent="0.25">
      <c r="F925" s="17" t="s">
        <v>1908</v>
      </c>
      <c r="G925" s="17" t="s">
        <v>1905</v>
      </c>
    </row>
    <row r="926" spans="6:7" x14ac:dyDescent="0.25">
      <c r="F926" s="17" t="s">
        <v>1909</v>
      </c>
      <c r="G926" s="17" t="s">
        <v>1905</v>
      </c>
    </row>
    <row r="927" spans="6:7" x14ac:dyDescent="0.25">
      <c r="F927" s="17" t="s">
        <v>1910</v>
      </c>
      <c r="G927" s="17" t="s">
        <v>1905</v>
      </c>
    </row>
    <row r="928" spans="6:7" x14ac:dyDescent="0.25">
      <c r="F928" s="17" t="s">
        <v>1911</v>
      </c>
      <c r="G928" s="17" t="s">
        <v>1905</v>
      </c>
    </row>
    <row r="929" spans="6:7" x14ac:dyDescent="0.25">
      <c r="F929" s="17" t="s">
        <v>1912</v>
      </c>
      <c r="G929" s="17" t="s">
        <v>1905</v>
      </c>
    </row>
    <row r="930" spans="6:7" x14ac:dyDescent="0.25">
      <c r="F930" s="17" t="s">
        <v>1913</v>
      </c>
      <c r="G930" s="17" t="s">
        <v>1905</v>
      </c>
    </row>
    <row r="931" spans="6:7" x14ac:dyDescent="0.25">
      <c r="F931" s="17" t="s">
        <v>1914</v>
      </c>
      <c r="G931" s="17" t="s">
        <v>1905</v>
      </c>
    </row>
    <row r="932" spans="6:7" x14ac:dyDescent="0.25">
      <c r="F932" s="17" t="s">
        <v>1915</v>
      </c>
      <c r="G932" s="17" t="s">
        <v>1905</v>
      </c>
    </row>
    <row r="933" spans="6:7" x14ac:dyDescent="0.25">
      <c r="F933" s="17" t="s">
        <v>1916</v>
      </c>
      <c r="G933" s="17" t="s">
        <v>1905</v>
      </c>
    </row>
    <row r="934" spans="6:7" x14ac:dyDescent="0.25">
      <c r="F934" s="17" t="s">
        <v>1917</v>
      </c>
      <c r="G934" s="17" t="s">
        <v>1905</v>
      </c>
    </row>
    <row r="935" spans="6:7" x14ac:dyDescent="0.25">
      <c r="F935" s="17" t="s">
        <v>1918</v>
      </c>
      <c r="G935" s="17" t="s">
        <v>1887</v>
      </c>
    </row>
    <row r="936" spans="6:7" x14ac:dyDescent="0.25">
      <c r="F936" s="17" t="s">
        <v>1919</v>
      </c>
      <c r="G936" s="17" t="s">
        <v>1887</v>
      </c>
    </row>
    <row r="937" spans="6:7" x14ac:dyDescent="0.25">
      <c r="F937" s="17" t="s">
        <v>1920</v>
      </c>
      <c r="G937" s="17" t="s">
        <v>1887</v>
      </c>
    </row>
    <row r="938" spans="6:7" x14ac:dyDescent="0.25">
      <c r="F938" s="17" t="s">
        <v>1921</v>
      </c>
      <c r="G938" s="17" t="s">
        <v>1887</v>
      </c>
    </row>
    <row r="939" spans="6:7" x14ac:dyDescent="0.25">
      <c r="F939" s="17" t="s">
        <v>1922</v>
      </c>
      <c r="G939" s="17" t="s">
        <v>1887</v>
      </c>
    </row>
    <row r="940" spans="6:7" x14ac:dyDescent="0.25">
      <c r="F940" s="17" t="s">
        <v>1923</v>
      </c>
      <c r="G940" s="17" t="s">
        <v>1887</v>
      </c>
    </row>
    <row r="941" spans="6:7" x14ac:dyDescent="0.25">
      <c r="F941" s="17" t="s">
        <v>1924</v>
      </c>
      <c r="G941" s="17" t="s">
        <v>1887</v>
      </c>
    </row>
    <row r="942" spans="6:7" x14ac:dyDescent="0.25">
      <c r="F942" s="17" t="s">
        <v>1925</v>
      </c>
      <c r="G942" s="17" t="s">
        <v>1887</v>
      </c>
    </row>
    <row r="943" spans="6:7" x14ac:dyDescent="0.25">
      <c r="F943" s="17" t="s">
        <v>1926</v>
      </c>
      <c r="G943" s="17" t="s">
        <v>1887</v>
      </c>
    </row>
    <row r="944" spans="6:7" x14ac:dyDescent="0.25">
      <c r="F944" s="17" t="s">
        <v>1927</v>
      </c>
      <c r="G944" s="17" t="s">
        <v>1887</v>
      </c>
    </row>
    <row r="945" spans="6:7" x14ac:dyDescent="0.25">
      <c r="F945" s="17" t="s">
        <v>1928</v>
      </c>
      <c r="G945" s="17" t="s">
        <v>1887</v>
      </c>
    </row>
    <row r="946" spans="6:7" x14ac:dyDescent="0.25">
      <c r="F946" s="17" t="s">
        <v>1929</v>
      </c>
      <c r="G946" s="17" t="s">
        <v>1887</v>
      </c>
    </row>
    <row r="947" spans="6:7" x14ac:dyDescent="0.25">
      <c r="F947" s="17" t="s">
        <v>1930</v>
      </c>
      <c r="G947" s="17" t="s">
        <v>1887</v>
      </c>
    </row>
    <row r="948" spans="6:7" x14ac:dyDescent="0.25">
      <c r="F948" s="17" t="s">
        <v>1931</v>
      </c>
      <c r="G948" s="17" t="s">
        <v>1887</v>
      </c>
    </row>
    <row r="949" spans="6:7" x14ac:dyDescent="0.25">
      <c r="F949" s="17" t="s">
        <v>1932</v>
      </c>
      <c r="G949" s="17" t="s">
        <v>1887</v>
      </c>
    </row>
    <row r="950" spans="6:7" x14ac:dyDescent="0.25">
      <c r="F950" s="17" t="s">
        <v>1933</v>
      </c>
      <c r="G950" s="17" t="s">
        <v>1887</v>
      </c>
    </row>
    <row r="951" spans="6:7" x14ac:dyDescent="0.25">
      <c r="F951" s="17" t="s">
        <v>1934</v>
      </c>
      <c r="G951" s="17" t="s">
        <v>1887</v>
      </c>
    </row>
    <row r="952" spans="6:7" x14ac:dyDescent="0.25">
      <c r="F952" s="17" t="s">
        <v>1935</v>
      </c>
      <c r="G952" s="17" t="s">
        <v>1887</v>
      </c>
    </row>
    <row r="953" spans="6:7" x14ac:dyDescent="0.25">
      <c r="F953" s="17" t="s">
        <v>1936</v>
      </c>
      <c r="G953" s="17" t="s">
        <v>1887</v>
      </c>
    </row>
    <row r="954" spans="6:7" x14ac:dyDescent="0.25">
      <c r="F954" s="17" t="s">
        <v>1937</v>
      </c>
      <c r="G954" s="17" t="s">
        <v>1887</v>
      </c>
    </row>
    <row r="955" spans="6:7" x14ac:dyDescent="0.25">
      <c r="F955" s="17" t="s">
        <v>1938</v>
      </c>
      <c r="G955" s="17" t="s">
        <v>1887</v>
      </c>
    </row>
    <row r="956" spans="6:7" x14ac:dyDescent="0.25">
      <c r="F956" s="17" t="s">
        <v>1939</v>
      </c>
      <c r="G956" s="17" t="s">
        <v>1887</v>
      </c>
    </row>
    <row r="957" spans="6:7" x14ac:dyDescent="0.25">
      <c r="F957" s="17" t="s">
        <v>1940</v>
      </c>
      <c r="G957" s="17" t="s">
        <v>1887</v>
      </c>
    </row>
    <row r="958" spans="6:7" x14ac:dyDescent="0.25">
      <c r="F958" s="17" t="s">
        <v>1941</v>
      </c>
      <c r="G958" s="17" t="s">
        <v>1887</v>
      </c>
    </row>
    <row r="959" spans="6:7" x14ac:dyDescent="0.25">
      <c r="F959" s="17" t="s">
        <v>1942</v>
      </c>
      <c r="G959" s="17" t="s">
        <v>1887</v>
      </c>
    </row>
    <row r="960" spans="6:7" x14ac:dyDescent="0.25">
      <c r="F960" s="17" t="s">
        <v>1943</v>
      </c>
      <c r="G960" s="17" t="s">
        <v>1887</v>
      </c>
    </row>
    <row r="961" spans="6:7" x14ac:dyDescent="0.25">
      <c r="F961" s="17" t="s">
        <v>1944</v>
      </c>
      <c r="G961" s="17" t="s">
        <v>1887</v>
      </c>
    </row>
    <row r="962" spans="6:7" x14ac:dyDescent="0.25">
      <c r="F962" s="17" t="s">
        <v>1945</v>
      </c>
      <c r="G962" s="17" t="s">
        <v>1887</v>
      </c>
    </row>
    <row r="963" spans="6:7" x14ac:dyDescent="0.25">
      <c r="F963" s="17" t="s">
        <v>1946</v>
      </c>
      <c r="G963" s="17" t="s">
        <v>1887</v>
      </c>
    </row>
    <row r="964" spans="6:7" x14ac:dyDescent="0.25">
      <c r="F964" s="17" t="s">
        <v>1947</v>
      </c>
      <c r="G964" s="17" t="s">
        <v>1887</v>
      </c>
    </row>
    <row r="965" spans="6:7" x14ac:dyDescent="0.25">
      <c r="F965" s="17" t="s">
        <v>1948</v>
      </c>
      <c r="G965" s="17" t="s">
        <v>1887</v>
      </c>
    </row>
    <row r="966" spans="6:7" x14ac:dyDescent="0.25">
      <c r="F966" s="17" t="s">
        <v>1949</v>
      </c>
      <c r="G966" s="17" t="s">
        <v>1887</v>
      </c>
    </row>
    <row r="967" spans="6:7" x14ac:dyDescent="0.25">
      <c r="F967" s="17" t="s">
        <v>1950</v>
      </c>
      <c r="G967" s="17" t="s">
        <v>1887</v>
      </c>
    </row>
    <row r="968" spans="6:7" x14ac:dyDescent="0.25">
      <c r="F968" s="17" t="s">
        <v>1951</v>
      </c>
      <c r="G968" s="17" t="s">
        <v>1887</v>
      </c>
    </row>
    <row r="969" spans="6:7" x14ac:dyDescent="0.25">
      <c r="F969" s="17" t="s">
        <v>1952</v>
      </c>
      <c r="G969" s="17" t="s">
        <v>1887</v>
      </c>
    </row>
    <row r="970" spans="6:7" x14ac:dyDescent="0.25">
      <c r="F970" s="17" t="s">
        <v>1953</v>
      </c>
      <c r="G970" s="17" t="s">
        <v>1954</v>
      </c>
    </row>
    <row r="971" spans="6:7" x14ac:dyDescent="0.25">
      <c r="F971" s="17" t="s">
        <v>1955</v>
      </c>
      <c r="G971" s="17" t="s">
        <v>1954</v>
      </c>
    </row>
    <row r="972" spans="6:7" x14ac:dyDescent="0.25">
      <c r="F972" s="17" t="s">
        <v>1956</v>
      </c>
      <c r="G972" s="17" t="s">
        <v>1954</v>
      </c>
    </row>
    <row r="973" spans="6:7" x14ac:dyDescent="0.25">
      <c r="F973" s="17" t="s">
        <v>1957</v>
      </c>
      <c r="G973" s="17" t="s">
        <v>1954</v>
      </c>
    </row>
    <row r="974" spans="6:7" x14ac:dyDescent="0.25">
      <c r="F974" s="17" t="s">
        <v>1958</v>
      </c>
      <c r="G974" s="17" t="s">
        <v>1887</v>
      </c>
    </row>
    <row r="975" spans="6:7" x14ac:dyDescent="0.25">
      <c r="F975" s="17" t="s">
        <v>1959</v>
      </c>
      <c r="G975" s="17" t="s">
        <v>1887</v>
      </c>
    </row>
    <row r="976" spans="6:7" x14ac:dyDescent="0.25">
      <c r="F976" s="17" t="s">
        <v>1960</v>
      </c>
      <c r="G976" s="17" t="s">
        <v>1887</v>
      </c>
    </row>
    <row r="977" spans="6:7" x14ac:dyDescent="0.25">
      <c r="F977" s="17" t="s">
        <v>1961</v>
      </c>
      <c r="G977" s="17" t="s">
        <v>1887</v>
      </c>
    </row>
    <row r="978" spans="6:7" x14ac:dyDescent="0.25">
      <c r="F978" s="17" t="s">
        <v>1962</v>
      </c>
      <c r="G978" s="17" t="s">
        <v>1887</v>
      </c>
    </row>
    <row r="979" spans="6:7" x14ac:dyDescent="0.25">
      <c r="F979" s="17" t="s">
        <v>1963</v>
      </c>
      <c r="G979" s="17" t="s">
        <v>1954</v>
      </c>
    </row>
    <row r="980" spans="6:7" x14ac:dyDescent="0.25">
      <c r="F980" s="17" t="s">
        <v>1964</v>
      </c>
      <c r="G980" s="17" t="s">
        <v>1954</v>
      </c>
    </row>
    <row r="981" spans="6:7" x14ac:dyDescent="0.25">
      <c r="F981" s="17" t="s">
        <v>1965</v>
      </c>
      <c r="G981" s="17" t="s">
        <v>1887</v>
      </c>
    </row>
    <row r="982" spans="6:7" x14ac:dyDescent="0.25">
      <c r="F982" s="17" t="s">
        <v>1966</v>
      </c>
      <c r="G982" s="17" t="s">
        <v>1845</v>
      </c>
    </row>
    <row r="983" spans="6:7" x14ac:dyDescent="0.25">
      <c r="F983" s="17" t="s">
        <v>1967</v>
      </c>
      <c r="G983" s="17" t="s">
        <v>1845</v>
      </c>
    </row>
    <row r="984" spans="6:7" x14ac:dyDescent="0.25">
      <c r="F984" s="17" t="s">
        <v>1968</v>
      </c>
      <c r="G984" s="17" t="s">
        <v>1845</v>
      </c>
    </row>
    <row r="985" spans="6:7" x14ac:dyDescent="0.25">
      <c r="F985" s="17" t="s">
        <v>1969</v>
      </c>
      <c r="G985" s="17" t="s">
        <v>1845</v>
      </c>
    </row>
    <row r="986" spans="6:7" x14ac:dyDescent="0.25">
      <c r="F986" s="17" t="s">
        <v>1970</v>
      </c>
      <c r="G986" s="17" t="s">
        <v>1845</v>
      </c>
    </row>
    <row r="987" spans="6:7" x14ac:dyDescent="0.25">
      <c r="F987" s="17" t="s">
        <v>1971</v>
      </c>
      <c r="G987" s="17" t="s">
        <v>1845</v>
      </c>
    </row>
    <row r="988" spans="6:7" x14ac:dyDescent="0.25">
      <c r="F988" s="17" t="s">
        <v>1972</v>
      </c>
      <c r="G988" s="17" t="s">
        <v>1845</v>
      </c>
    </row>
    <row r="989" spans="6:7" x14ac:dyDescent="0.25">
      <c r="F989" s="17" t="s">
        <v>1973</v>
      </c>
      <c r="G989" s="17" t="s">
        <v>1845</v>
      </c>
    </row>
    <row r="990" spans="6:7" x14ac:dyDescent="0.25">
      <c r="F990" s="17" t="s">
        <v>1974</v>
      </c>
      <c r="G990" s="17" t="s">
        <v>1845</v>
      </c>
    </row>
    <row r="991" spans="6:7" x14ac:dyDescent="0.25">
      <c r="F991" s="17" t="s">
        <v>1975</v>
      </c>
      <c r="G991" s="17" t="s">
        <v>1845</v>
      </c>
    </row>
    <row r="992" spans="6:7" x14ac:dyDescent="0.25">
      <c r="F992" s="17" t="s">
        <v>1976</v>
      </c>
      <c r="G992" s="17" t="s">
        <v>1845</v>
      </c>
    </row>
    <row r="993" spans="6:7" x14ac:dyDescent="0.25">
      <c r="F993" s="17" t="s">
        <v>1977</v>
      </c>
      <c r="G993" s="17" t="s">
        <v>1845</v>
      </c>
    </row>
    <row r="994" spans="6:7" x14ac:dyDescent="0.25">
      <c r="F994" s="17" t="s">
        <v>1978</v>
      </c>
      <c r="G994" s="17" t="s">
        <v>1845</v>
      </c>
    </row>
    <row r="995" spans="6:7" x14ac:dyDescent="0.25">
      <c r="F995" s="17" t="s">
        <v>1979</v>
      </c>
      <c r="G995" s="17" t="s">
        <v>1980</v>
      </c>
    </row>
    <row r="996" spans="6:7" x14ac:dyDescent="0.25">
      <c r="F996" s="17" t="s">
        <v>1981</v>
      </c>
      <c r="G996" s="17" t="s">
        <v>1980</v>
      </c>
    </row>
    <row r="997" spans="6:7" x14ac:dyDescent="0.25">
      <c r="F997" s="17" t="s">
        <v>1982</v>
      </c>
      <c r="G997" s="17" t="s">
        <v>1980</v>
      </c>
    </row>
    <row r="998" spans="6:7" x14ac:dyDescent="0.25">
      <c r="F998" s="17" t="s">
        <v>1983</v>
      </c>
      <c r="G998" s="17" t="s">
        <v>1980</v>
      </c>
    </row>
    <row r="999" spans="6:7" x14ac:dyDescent="0.25">
      <c r="F999" s="17" t="s">
        <v>1984</v>
      </c>
      <c r="G999" s="17" t="s">
        <v>1980</v>
      </c>
    </row>
    <row r="1000" spans="6:7" x14ac:dyDescent="0.25">
      <c r="F1000" s="17" t="s">
        <v>1985</v>
      </c>
      <c r="G1000" s="17" t="s">
        <v>1980</v>
      </c>
    </row>
    <row r="1001" spans="6:7" x14ac:dyDescent="0.25">
      <c r="F1001" s="17" t="s">
        <v>1986</v>
      </c>
      <c r="G1001" s="17" t="s">
        <v>1980</v>
      </c>
    </row>
    <row r="1002" spans="6:7" x14ac:dyDescent="0.25">
      <c r="F1002" s="17" t="s">
        <v>1987</v>
      </c>
      <c r="G1002" s="17" t="s">
        <v>1980</v>
      </c>
    </row>
    <row r="1003" spans="6:7" x14ac:dyDescent="0.25">
      <c r="F1003" s="17" t="s">
        <v>1988</v>
      </c>
      <c r="G1003" s="17" t="s">
        <v>1980</v>
      </c>
    </row>
    <row r="1004" spans="6:7" x14ac:dyDescent="0.25">
      <c r="F1004" s="17" t="s">
        <v>1989</v>
      </c>
      <c r="G1004" s="17" t="s">
        <v>1980</v>
      </c>
    </row>
    <row r="1005" spans="6:7" x14ac:dyDescent="0.25">
      <c r="F1005" s="17" t="s">
        <v>1990</v>
      </c>
      <c r="G1005" s="17" t="s">
        <v>1980</v>
      </c>
    </row>
    <row r="1006" spans="6:7" x14ac:dyDescent="0.25">
      <c r="F1006" s="17" t="s">
        <v>1991</v>
      </c>
      <c r="G1006" s="17" t="s">
        <v>1980</v>
      </c>
    </row>
    <row r="1007" spans="6:7" x14ac:dyDescent="0.25">
      <c r="F1007" s="17" t="s">
        <v>1992</v>
      </c>
      <c r="G1007" s="17" t="s">
        <v>1980</v>
      </c>
    </row>
    <row r="1008" spans="6:7" x14ac:dyDescent="0.25">
      <c r="F1008" s="17" t="s">
        <v>1993</v>
      </c>
      <c r="G1008" s="17" t="s">
        <v>1980</v>
      </c>
    </row>
    <row r="1009" spans="6:7" x14ac:dyDescent="0.25">
      <c r="F1009" s="17" t="s">
        <v>1994</v>
      </c>
      <c r="G1009" s="17" t="s">
        <v>1905</v>
      </c>
    </row>
    <row r="1010" spans="6:7" x14ac:dyDescent="0.25">
      <c r="F1010" s="17" t="s">
        <v>1995</v>
      </c>
      <c r="G1010" s="17" t="s">
        <v>1996</v>
      </c>
    </row>
    <row r="1011" spans="6:7" x14ac:dyDescent="0.25">
      <c r="F1011" s="17" t="s">
        <v>1997</v>
      </c>
      <c r="G1011" s="17" t="s">
        <v>1905</v>
      </c>
    </row>
    <row r="1012" spans="6:7" x14ac:dyDescent="0.25">
      <c r="F1012" s="17" t="s">
        <v>1998</v>
      </c>
      <c r="G1012" s="17" t="s">
        <v>1905</v>
      </c>
    </row>
    <row r="1013" spans="6:7" x14ac:dyDescent="0.25">
      <c r="F1013" s="17" t="s">
        <v>1999</v>
      </c>
      <c r="G1013" s="17" t="s">
        <v>1905</v>
      </c>
    </row>
    <row r="1014" spans="6:7" x14ac:dyDescent="0.25">
      <c r="F1014" s="17" t="s">
        <v>2000</v>
      </c>
      <c r="G1014" s="17" t="s">
        <v>1905</v>
      </c>
    </row>
    <row r="1015" spans="6:7" x14ac:dyDescent="0.25">
      <c r="F1015" s="17" t="s">
        <v>2001</v>
      </c>
      <c r="G1015" s="17" t="s">
        <v>1905</v>
      </c>
    </row>
    <row r="1016" spans="6:7" x14ac:dyDescent="0.25">
      <c r="F1016" s="17" t="s">
        <v>2002</v>
      </c>
      <c r="G1016" s="17" t="s">
        <v>1057</v>
      </c>
    </row>
    <row r="1017" spans="6:7" x14ac:dyDescent="0.25">
      <c r="F1017" s="17" t="s">
        <v>2003</v>
      </c>
      <c r="G1017" s="17" t="s">
        <v>2004</v>
      </c>
    </row>
    <row r="1018" spans="6:7" x14ac:dyDescent="0.25">
      <c r="F1018" s="17" t="s">
        <v>2005</v>
      </c>
      <c r="G1018" s="17" t="s">
        <v>2004</v>
      </c>
    </row>
    <row r="1019" spans="6:7" x14ac:dyDescent="0.25">
      <c r="F1019" s="17" t="s">
        <v>2006</v>
      </c>
      <c r="G1019" s="17" t="s">
        <v>2007</v>
      </c>
    </row>
    <row r="1020" spans="6:7" x14ac:dyDescent="0.25">
      <c r="F1020" s="17" t="s">
        <v>2008</v>
      </c>
      <c r="G1020" s="17" t="s">
        <v>2009</v>
      </c>
    </row>
    <row r="1021" spans="6:7" x14ac:dyDescent="0.25">
      <c r="F1021" s="17" t="s">
        <v>2010</v>
      </c>
      <c r="G1021" s="17" t="s">
        <v>2004</v>
      </c>
    </row>
    <row r="1022" spans="6:7" x14ac:dyDescent="0.25">
      <c r="F1022" s="17" t="s">
        <v>2011</v>
      </c>
      <c r="G1022" s="17" t="s">
        <v>2004</v>
      </c>
    </row>
    <row r="1023" spans="6:7" x14ac:dyDescent="0.25">
      <c r="F1023" s="17" t="s">
        <v>2012</v>
      </c>
      <c r="G1023" s="17" t="s">
        <v>2009</v>
      </c>
    </row>
    <row r="1024" spans="6:7" x14ac:dyDescent="0.25">
      <c r="F1024" s="17" t="s">
        <v>2013</v>
      </c>
      <c r="G1024" s="17" t="s">
        <v>2009</v>
      </c>
    </row>
    <row r="1025" spans="6:7" x14ac:dyDescent="0.25">
      <c r="F1025" s="17" t="s">
        <v>2014</v>
      </c>
      <c r="G1025" s="17" t="s">
        <v>2009</v>
      </c>
    </row>
    <row r="1026" spans="6:7" x14ac:dyDescent="0.25">
      <c r="F1026" s="17" t="s">
        <v>2015</v>
      </c>
      <c r="G1026" s="17" t="s">
        <v>2009</v>
      </c>
    </row>
    <row r="1027" spans="6:7" x14ac:dyDescent="0.25">
      <c r="F1027" s="17" t="s">
        <v>2016</v>
      </c>
      <c r="G1027" s="17" t="s">
        <v>1996</v>
      </c>
    </row>
    <row r="1028" spans="6:7" x14ac:dyDescent="0.25">
      <c r="F1028" s="17" t="s">
        <v>2017</v>
      </c>
      <c r="G1028" s="17" t="s">
        <v>2009</v>
      </c>
    </row>
    <row r="1029" spans="6:7" x14ac:dyDescent="0.25">
      <c r="F1029" s="17" t="s">
        <v>2018</v>
      </c>
      <c r="G1029" s="17" t="s">
        <v>1687</v>
      </c>
    </row>
    <row r="1030" spans="6:7" x14ac:dyDescent="0.25">
      <c r="F1030" s="17" t="s">
        <v>2019</v>
      </c>
      <c r="G1030" s="17" t="s">
        <v>1980</v>
      </c>
    </row>
    <row r="1031" spans="6:7" x14ac:dyDescent="0.25">
      <c r="F1031" s="17" t="s">
        <v>2020</v>
      </c>
      <c r="G1031" s="17" t="s">
        <v>1980</v>
      </c>
    </row>
    <row r="1032" spans="6:7" x14ac:dyDescent="0.25">
      <c r="F1032" s="17" t="s">
        <v>2021</v>
      </c>
      <c r="G1032" s="17" t="s">
        <v>1980</v>
      </c>
    </row>
    <row r="1033" spans="6:7" x14ac:dyDescent="0.25">
      <c r="F1033" s="17" t="s">
        <v>2022</v>
      </c>
      <c r="G1033" s="17" t="s">
        <v>1980</v>
      </c>
    </row>
    <row r="1034" spans="6:7" x14ac:dyDescent="0.25">
      <c r="F1034" s="17" t="s">
        <v>2023</v>
      </c>
      <c r="G1034" s="17" t="s">
        <v>1980</v>
      </c>
    </row>
    <row r="1035" spans="6:7" x14ac:dyDescent="0.25">
      <c r="F1035" s="17" t="s">
        <v>2024</v>
      </c>
      <c r="G1035" s="17" t="s">
        <v>1980</v>
      </c>
    </row>
    <row r="1036" spans="6:7" x14ac:dyDescent="0.25">
      <c r="F1036" s="17" t="s">
        <v>2025</v>
      </c>
      <c r="G1036" s="17" t="s">
        <v>1980</v>
      </c>
    </row>
    <row r="1037" spans="6:7" x14ac:dyDescent="0.25">
      <c r="F1037" s="17" t="s">
        <v>2026</v>
      </c>
      <c r="G1037" s="17" t="s">
        <v>1980</v>
      </c>
    </row>
    <row r="1038" spans="6:7" x14ac:dyDescent="0.25">
      <c r="F1038" s="17" t="s">
        <v>2027</v>
      </c>
      <c r="G1038" s="17" t="s">
        <v>1980</v>
      </c>
    </row>
    <row r="1039" spans="6:7" x14ac:dyDescent="0.25">
      <c r="F1039" s="17" t="s">
        <v>2028</v>
      </c>
      <c r="G1039" s="17" t="s">
        <v>1980</v>
      </c>
    </row>
    <row r="1040" spans="6:7" x14ac:dyDescent="0.25">
      <c r="F1040" s="17" t="s">
        <v>2029</v>
      </c>
      <c r="G1040" s="17" t="s">
        <v>1980</v>
      </c>
    </row>
    <row r="1041" spans="6:7" x14ac:dyDescent="0.25">
      <c r="F1041" s="17" t="s">
        <v>2030</v>
      </c>
      <c r="G1041" s="17" t="s">
        <v>1980</v>
      </c>
    </row>
    <row r="1042" spans="6:7" x14ac:dyDescent="0.25">
      <c r="F1042" s="17" t="s">
        <v>2031</v>
      </c>
      <c r="G1042" s="17" t="s">
        <v>1980</v>
      </c>
    </row>
    <row r="1043" spans="6:7" x14ac:dyDescent="0.25">
      <c r="F1043" s="17" t="s">
        <v>2032</v>
      </c>
      <c r="G1043" s="17" t="s">
        <v>1980</v>
      </c>
    </row>
    <row r="1044" spans="6:7" x14ac:dyDescent="0.25">
      <c r="F1044" s="17" t="s">
        <v>2033</v>
      </c>
      <c r="G1044" s="17" t="s">
        <v>1980</v>
      </c>
    </row>
    <row r="1045" spans="6:7" x14ac:dyDescent="0.25">
      <c r="F1045" s="17" t="s">
        <v>2034</v>
      </c>
      <c r="G1045" s="17" t="s">
        <v>2035</v>
      </c>
    </row>
    <row r="1046" spans="6:7" x14ac:dyDescent="0.25">
      <c r="F1046" s="17" t="s">
        <v>2036</v>
      </c>
      <c r="G1046" s="17" t="s">
        <v>2035</v>
      </c>
    </row>
    <row r="1047" spans="6:7" x14ac:dyDescent="0.25">
      <c r="F1047" s="17" t="s">
        <v>2037</v>
      </c>
      <c r="G1047" s="17" t="s">
        <v>2035</v>
      </c>
    </row>
    <row r="1048" spans="6:7" x14ac:dyDescent="0.25">
      <c r="F1048" s="17" t="s">
        <v>2038</v>
      </c>
      <c r="G1048" s="17" t="s">
        <v>2035</v>
      </c>
    </row>
    <row r="1049" spans="6:7" x14ac:dyDescent="0.25">
      <c r="F1049" s="17" t="s">
        <v>2039</v>
      </c>
      <c r="G1049" s="17" t="s">
        <v>2035</v>
      </c>
    </row>
    <row r="1050" spans="6:7" x14ac:dyDescent="0.25">
      <c r="F1050" s="17" t="s">
        <v>2040</v>
      </c>
      <c r="G1050" s="17" t="s">
        <v>1980</v>
      </c>
    </row>
    <row r="1051" spans="6:7" x14ac:dyDescent="0.25">
      <c r="F1051" s="17" t="s">
        <v>2041</v>
      </c>
      <c r="G1051" s="17" t="s">
        <v>2035</v>
      </c>
    </row>
    <row r="1052" spans="6:7" x14ac:dyDescent="0.25">
      <c r="F1052" s="17" t="s">
        <v>2042</v>
      </c>
      <c r="G1052" s="17" t="s">
        <v>2035</v>
      </c>
    </row>
    <row r="1053" spans="6:7" x14ac:dyDescent="0.25">
      <c r="F1053" s="17" t="s">
        <v>2043</v>
      </c>
      <c r="G1053" s="17" t="s">
        <v>2035</v>
      </c>
    </row>
    <row r="1054" spans="6:7" x14ac:dyDescent="0.25">
      <c r="F1054" s="17" t="s">
        <v>2044</v>
      </c>
      <c r="G1054" s="17" t="s">
        <v>2035</v>
      </c>
    </row>
    <row r="1055" spans="6:7" x14ac:dyDescent="0.25">
      <c r="F1055" s="17" t="s">
        <v>2045</v>
      </c>
      <c r="G1055" s="17" t="s">
        <v>2035</v>
      </c>
    </row>
    <row r="1056" spans="6:7" x14ac:dyDescent="0.25">
      <c r="F1056" s="17" t="s">
        <v>2046</v>
      </c>
      <c r="G1056" s="17" t="s">
        <v>2035</v>
      </c>
    </row>
    <row r="1057" spans="6:7" x14ac:dyDescent="0.25">
      <c r="F1057" s="17" t="s">
        <v>2047</v>
      </c>
      <c r="G1057" s="17" t="s">
        <v>2035</v>
      </c>
    </row>
    <row r="1058" spans="6:7" x14ac:dyDescent="0.25">
      <c r="F1058" s="17" t="s">
        <v>2048</v>
      </c>
      <c r="G1058" s="17" t="s">
        <v>2035</v>
      </c>
    </row>
    <row r="1059" spans="6:7" x14ac:dyDescent="0.25">
      <c r="F1059" s="17" t="s">
        <v>2049</v>
      </c>
      <c r="G1059" s="17" t="s">
        <v>2035</v>
      </c>
    </row>
    <row r="1060" spans="6:7" x14ac:dyDescent="0.25">
      <c r="F1060" s="17" t="s">
        <v>2050</v>
      </c>
      <c r="G1060" s="17" t="s">
        <v>2035</v>
      </c>
    </row>
    <row r="1061" spans="6:7" x14ac:dyDescent="0.25">
      <c r="F1061" s="17" t="s">
        <v>2051</v>
      </c>
      <c r="G1061" s="17" t="s">
        <v>2035</v>
      </c>
    </row>
    <row r="1062" spans="6:7" x14ac:dyDescent="0.25">
      <c r="F1062" s="17" t="s">
        <v>2052</v>
      </c>
      <c r="G1062" s="17" t="s">
        <v>2035</v>
      </c>
    </row>
    <row r="1063" spans="6:7" x14ac:dyDescent="0.25">
      <c r="F1063" s="17" t="s">
        <v>2053</v>
      </c>
      <c r="G1063" s="17" t="s">
        <v>2035</v>
      </c>
    </row>
    <row r="1064" spans="6:7" x14ac:dyDescent="0.25">
      <c r="F1064" s="17" t="s">
        <v>2054</v>
      </c>
      <c r="G1064" s="17" t="s">
        <v>2035</v>
      </c>
    </row>
    <row r="1065" spans="6:7" x14ac:dyDescent="0.25">
      <c r="F1065" s="17" t="s">
        <v>2055</v>
      </c>
      <c r="G1065" s="17" t="s">
        <v>2035</v>
      </c>
    </row>
    <row r="1066" spans="6:7" x14ac:dyDescent="0.25">
      <c r="F1066" s="17" t="s">
        <v>2056</v>
      </c>
      <c r="G1066" s="17" t="s">
        <v>1996</v>
      </c>
    </row>
    <row r="1067" spans="6:7" x14ac:dyDescent="0.25">
      <c r="F1067" s="17" t="s">
        <v>2057</v>
      </c>
      <c r="G1067" s="17" t="s">
        <v>1996</v>
      </c>
    </row>
    <row r="1068" spans="6:7" x14ac:dyDescent="0.25">
      <c r="F1068" s="17" t="s">
        <v>2058</v>
      </c>
      <c r="G1068" s="17" t="s">
        <v>1996</v>
      </c>
    </row>
    <row r="1069" spans="6:7" x14ac:dyDescent="0.25">
      <c r="F1069" s="17" t="s">
        <v>2059</v>
      </c>
      <c r="G1069" s="17" t="s">
        <v>1996</v>
      </c>
    </row>
    <row r="1070" spans="6:7" x14ac:dyDescent="0.25">
      <c r="F1070" s="17" t="s">
        <v>2060</v>
      </c>
      <c r="G1070" s="17" t="s">
        <v>1996</v>
      </c>
    </row>
    <row r="1071" spans="6:7" x14ac:dyDescent="0.25">
      <c r="F1071" s="17" t="s">
        <v>2061</v>
      </c>
      <c r="G1071" s="17" t="s">
        <v>1996</v>
      </c>
    </row>
    <row r="1072" spans="6:7" x14ac:dyDescent="0.25">
      <c r="F1072" s="17" t="s">
        <v>2062</v>
      </c>
      <c r="G1072" s="17" t="s">
        <v>1996</v>
      </c>
    </row>
    <row r="1073" spans="6:7" x14ac:dyDescent="0.25">
      <c r="F1073" s="17" t="s">
        <v>2063</v>
      </c>
      <c r="G1073" s="17" t="s">
        <v>1996</v>
      </c>
    </row>
    <row r="1074" spans="6:7" x14ac:dyDescent="0.25">
      <c r="F1074" s="17" t="s">
        <v>2064</v>
      </c>
      <c r="G1074" s="17" t="s">
        <v>1996</v>
      </c>
    </row>
    <row r="1075" spans="6:7" x14ac:dyDescent="0.25">
      <c r="F1075" s="17" t="s">
        <v>2065</v>
      </c>
      <c r="G1075" s="17" t="s">
        <v>1905</v>
      </c>
    </row>
    <row r="1076" spans="6:7" x14ac:dyDescent="0.25">
      <c r="F1076" s="17" t="s">
        <v>2066</v>
      </c>
      <c r="G1076" s="17" t="s">
        <v>1996</v>
      </c>
    </row>
    <row r="1077" spans="6:7" x14ac:dyDescent="0.25">
      <c r="F1077" s="17" t="s">
        <v>2067</v>
      </c>
      <c r="G1077" s="17" t="s">
        <v>1905</v>
      </c>
    </row>
    <row r="1078" spans="6:7" x14ac:dyDescent="0.25">
      <c r="F1078" s="17" t="s">
        <v>2068</v>
      </c>
      <c r="G1078" s="17" t="s">
        <v>1905</v>
      </c>
    </row>
    <row r="1079" spans="6:7" x14ac:dyDescent="0.25">
      <c r="F1079" s="17" t="s">
        <v>2069</v>
      </c>
      <c r="G1079" s="17" t="s">
        <v>1905</v>
      </c>
    </row>
    <row r="1080" spans="6:7" x14ac:dyDescent="0.25">
      <c r="F1080" s="17" t="s">
        <v>2070</v>
      </c>
      <c r="G1080" s="17" t="s">
        <v>1905</v>
      </c>
    </row>
    <row r="1081" spans="6:7" x14ac:dyDescent="0.25">
      <c r="F1081" s="17" t="s">
        <v>2071</v>
      </c>
      <c r="G1081" s="17" t="s">
        <v>2035</v>
      </c>
    </row>
    <row r="1082" spans="6:7" x14ac:dyDescent="0.25">
      <c r="F1082" s="17" t="s">
        <v>2072</v>
      </c>
      <c r="G1082" s="17" t="s">
        <v>2035</v>
      </c>
    </row>
    <row r="1083" spans="6:7" x14ac:dyDescent="0.25">
      <c r="F1083" s="17" t="s">
        <v>2073</v>
      </c>
      <c r="G1083" s="17" t="s">
        <v>2035</v>
      </c>
    </row>
    <row r="1084" spans="6:7" x14ac:dyDescent="0.25">
      <c r="F1084" s="17" t="s">
        <v>2074</v>
      </c>
      <c r="G1084" s="17" t="s">
        <v>2035</v>
      </c>
    </row>
    <row r="1085" spans="6:7" x14ac:dyDescent="0.25">
      <c r="F1085" s="17" t="s">
        <v>2075</v>
      </c>
      <c r="G1085" s="17" t="s">
        <v>2035</v>
      </c>
    </row>
    <row r="1086" spans="6:7" x14ac:dyDescent="0.25">
      <c r="F1086" s="17" t="s">
        <v>2076</v>
      </c>
      <c r="G1086" s="17" t="s">
        <v>2035</v>
      </c>
    </row>
    <row r="1087" spans="6:7" x14ac:dyDescent="0.25">
      <c r="F1087" s="17" t="s">
        <v>2077</v>
      </c>
      <c r="G1087" s="17" t="s">
        <v>2035</v>
      </c>
    </row>
    <row r="1088" spans="6:7" x14ac:dyDescent="0.25">
      <c r="F1088" s="17" t="s">
        <v>2078</v>
      </c>
      <c r="G1088" s="17" t="s">
        <v>2035</v>
      </c>
    </row>
    <row r="1089" spans="6:7" x14ac:dyDescent="0.25">
      <c r="F1089" s="17" t="s">
        <v>2079</v>
      </c>
      <c r="G1089" s="17" t="s">
        <v>2035</v>
      </c>
    </row>
    <row r="1090" spans="6:7" x14ac:dyDescent="0.25">
      <c r="F1090" s="17" t="s">
        <v>2080</v>
      </c>
      <c r="G1090" s="17" t="s">
        <v>2035</v>
      </c>
    </row>
    <row r="1091" spans="6:7" x14ac:dyDescent="0.25">
      <c r="F1091" s="17" t="s">
        <v>2081</v>
      </c>
      <c r="G1091" s="17" t="s">
        <v>2035</v>
      </c>
    </row>
    <row r="1092" spans="6:7" x14ac:dyDescent="0.25">
      <c r="F1092" s="17" t="s">
        <v>2082</v>
      </c>
      <c r="G1092" s="17" t="s">
        <v>2035</v>
      </c>
    </row>
    <row r="1093" spans="6:7" x14ac:dyDescent="0.25">
      <c r="F1093" s="17" t="s">
        <v>2083</v>
      </c>
      <c r="G1093" s="17" t="s">
        <v>2035</v>
      </c>
    </row>
    <row r="1094" spans="6:7" x14ac:dyDescent="0.25">
      <c r="F1094" s="17" t="s">
        <v>2084</v>
      </c>
      <c r="G1094" s="17" t="s">
        <v>2035</v>
      </c>
    </row>
    <row r="1095" spans="6:7" x14ac:dyDescent="0.25">
      <c r="F1095" s="17" t="s">
        <v>2085</v>
      </c>
      <c r="G1095" s="17" t="s">
        <v>2086</v>
      </c>
    </row>
    <row r="1096" spans="6:7" x14ac:dyDescent="0.25">
      <c r="F1096" s="17" t="s">
        <v>2087</v>
      </c>
      <c r="G1096" s="17" t="s">
        <v>2086</v>
      </c>
    </row>
    <row r="1097" spans="6:7" x14ac:dyDescent="0.25">
      <c r="F1097" s="17" t="s">
        <v>2088</v>
      </c>
      <c r="G1097" s="17" t="s">
        <v>2086</v>
      </c>
    </row>
    <row r="1098" spans="6:7" x14ac:dyDescent="0.25">
      <c r="F1098" s="17" t="s">
        <v>2089</v>
      </c>
      <c r="G1098" s="17" t="s">
        <v>2086</v>
      </c>
    </row>
    <row r="1099" spans="6:7" x14ac:dyDescent="0.25">
      <c r="F1099" s="17" t="s">
        <v>2090</v>
      </c>
      <c r="G1099" s="17" t="s">
        <v>2086</v>
      </c>
    </row>
    <row r="1100" spans="6:7" x14ac:dyDescent="0.25">
      <c r="F1100" s="17" t="s">
        <v>2091</v>
      </c>
      <c r="G1100" s="17" t="s">
        <v>2086</v>
      </c>
    </row>
    <row r="1101" spans="6:7" x14ac:dyDescent="0.25">
      <c r="F1101" s="17" t="s">
        <v>2092</v>
      </c>
      <c r="G1101" s="17" t="s">
        <v>2086</v>
      </c>
    </row>
    <row r="1102" spans="6:7" x14ac:dyDescent="0.25">
      <c r="F1102" s="17" t="s">
        <v>2093</v>
      </c>
      <c r="G1102" s="17" t="s">
        <v>2086</v>
      </c>
    </row>
    <row r="1103" spans="6:7" x14ac:dyDescent="0.25">
      <c r="F1103" s="17" t="s">
        <v>2094</v>
      </c>
      <c r="G1103" s="17" t="s">
        <v>2086</v>
      </c>
    </row>
    <row r="1104" spans="6:7" x14ac:dyDescent="0.25">
      <c r="F1104" s="17" t="s">
        <v>2095</v>
      </c>
      <c r="G1104" s="17" t="s">
        <v>2086</v>
      </c>
    </row>
    <row r="1105" spans="6:7" x14ac:dyDescent="0.25">
      <c r="F1105" s="17" t="s">
        <v>2096</v>
      </c>
      <c r="G1105" s="17" t="s">
        <v>2086</v>
      </c>
    </row>
    <row r="1106" spans="6:7" x14ac:dyDescent="0.25">
      <c r="F1106" s="17" t="s">
        <v>2097</v>
      </c>
      <c r="G1106" s="17" t="s">
        <v>2009</v>
      </c>
    </row>
    <row r="1107" spans="6:7" x14ac:dyDescent="0.25">
      <c r="F1107" s="17" t="s">
        <v>2098</v>
      </c>
      <c r="G1107" s="17" t="s">
        <v>2009</v>
      </c>
    </row>
    <row r="1108" spans="6:7" x14ac:dyDescent="0.25">
      <c r="F1108" s="17" t="s">
        <v>2099</v>
      </c>
      <c r="G1108" s="17" t="s">
        <v>2100</v>
      </c>
    </row>
    <row r="1109" spans="6:7" x14ac:dyDescent="0.25">
      <c r="F1109" s="17" t="s">
        <v>2101</v>
      </c>
      <c r="G1109" s="17" t="s">
        <v>2102</v>
      </c>
    </row>
    <row r="1110" spans="6:7" x14ac:dyDescent="0.25">
      <c r="F1110" s="17" t="s">
        <v>2103</v>
      </c>
      <c r="G1110" s="17" t="s">
        <v>2102</v>
      </c>
    </row>
    <row r="1111" spans="6:7" x14ac:dyDescent="0.25">
      <c r="F1111" s="17" t="s">
        <v>2104</v>
      </c>
      <c r="G1111" s="17" t="s">
        <v>2100</v>
      </c>
    </row>
    <row r="1112" spans="6:7" x14ac:dyDescent="0.25">
      <c r="F1112" s="17" t="s">
        <v>2105</v>
      </c>
      <c r="G1112" s="17" t="s">
        <v>2102</v>
      </c>
    </row>
    <row r="1113" spans="6:7" x14ac:dyDescent="0.25">
      <c r="F1113" s="17" t="s">
        <v>2106</v>
      </c>
      <c r="G1113" s="17" t="s">
        <v>2100</v>
      </c>
    </row>
    <row r="1114" spans="6:7" x14ac:dyDescent="0.25">
      <c r="F1114" s="17" t="s">
        <v>2107</v>
      </c>
      <c r="G1114" s="17" t="s">
        <v>2100</v>
      </c>
    </row>
    <row r="1115" spans="6:7" x14ac:dyDescent="0.25">
      <c r="F1115" s="17" t="s">
        <v>2108</v>
      </c>
      <c r="G1115" s="17" t="s">
        <v>2109</v>
      </c>
    </row>
    <row r="1116" spans="6:7" x14ac:dyDescent="0.25">
      <c r="F1116" s="17" t="s">
        <v>2110</v>
      </c>
      <c r="G1116" s="17" t="s">
        <v>2100</v>
      </c>
    </row>
    <row r="1117" spans="6:7" x14ac:dyDescent="0.25">
      <c r="F1117" s="17" t="s">
        <v>2111</v>
      </c>
      <c r="G1117" s="17" t="s">
        <v>2109</v>
      </c>
    </row>
    <row r="1118" spans="6:7" x14ac:dyDescent="0.25">
      <c r="F1118" s="17" t="s">
        <v>2112</v>
      </c>
      <c r="G1118" s="17" t="s">
        <v>2109</v>
      </c>
    </row>
    <row r="1119" spans="6:7" x14ac:dyDescent="0.25">
      <c r="F1119" s="17" t="s">
        <v>2113</v>
      </c>
      <c r="G1119" s="17" t="s">
        <v>2109</v>
      </c>
    </row>
    <row r="1120" spans="6:7" x14ac:dyDescent="0.25">
      <c r="F1120" s="17" t="s">
        <v>2114</v>
      </c>
      <c r="G1120" s="17" t="s">
        <v>2109</v>
      </c>
    </row>
    <row r="1121" spans="6:7" x14ac:dyDescent="0.25">
      <c r="F1121" s="17" t="s">
        <v>2115</v>
      </c>
      <c r="G1121" s="17" t="s">
        <v>2100</v>
      </c>
    </row>
    <row r="1122" spans="6:7" x14ac:dyDescent="0.25">
      <c r="F1122" s="17" t="s">
        <v>2116</v>
      </c>
      <c r="G1122" s="17" t="s">
        <v>2100</v>
      </c>
    </row>
    <row r="1123" spans="6:7" x14ac:dyDescent="0.25">
      <c r="F1123" s="17" t="s">
        <v>2117</v>
      </c>
      <c r="G1123" s="17" t="s">
        <v>2100</v>
      </c>
    </row>
    <row r="1124" spans="6:7" x14ac:dyDescent="0.25">
      <c r="F1124" s="17" t="s">
        <v>2118</v>
      </c>
      <c r="G1124" s="17" t="s">
        <v>2086</v>
      </c>
    </row>
    <row r="1125" spans="6:7" x14ac:dyDescent="0.25">
      <c r="F1125" s="17" t="s">
        <v>2119</v>
      </c>
      <c r="G1125" s="17" t="s">
        <v>2086</v>
      </c>
    </row>
    <row r="1126" spans="6:7" x14ac:dyDescent="0.25">
      <c r="F1126" s="17" t="s">
        <v>2120</v>
      </c>
      <c r="G1126" s="17" t="s">
        <v>2086</v>
      </c>
    </row>
    <row r="1127" spans="6:7" x14ac:dyDescent="0.25">
      <c r="F1127" s="17" t="s">
        <v>2121</v>
      </c>
      <c r="G1127" s="17" t="s">
        <v>2086</v>
      </c>
    </row>
    <row r="1128" spans="6:7" x14ac:dyDescent="0.25">
      <c r="F1128" s="17" t="s">
        <v>2122</v>
      </c>
      <c r="G1128" s="17" t="s">
        <v>2086</v>
      </c>
    </row>
    <row r="1129" spans="6:7" x14ac:dyDescent="0.25">
      <c r="F1129" s="17" t="s">
        <v>2123</v>
      </c>
      <c r="G1129" s="17" t="s">
        <v>2086</v>
      </c>
    </row>
    <row r="1130" spans="6:7" x14ac:dyDescent="0.25">
      <c r="F1130" s="17" t="s">
        <v>2124</v>
      </c>
      <c r="G1130" s="17" t="s">
        <v>2086</v>
      </c>
    </row>
    <row r="1131" spans="6:7" x14ac:dyDescent="0.25">
      <c r="F1131" s="17" t="s">
        <v>2125</v>
      </c>
      <c r="G1131" s="17" t="s">
        <v>2086</v>
      </c>
    </row>
    <row r="1132" spans="6:7" x14ac:dyDescent="0.25">
      <c r="F1132" s="17" t="s">
        <v>2126</v>
      </c>
      <c r="G1132" s="17" t="s">
        <v>2086</v>
      </c>
    </row>
    <row r="1133" spans="6:7" x14ac:dyDescent="0.25">
      <c r="F1133" s="17" t="s">
        <v>2127</v>
      </c>
      <c r="G1133" s="17" t="s">
        <v>2086</v>
      </c>
    </row>
    <row r="1134" spans="6:7" x14ac:dyDescent="0.25">
      <c r="F1134" s="17" t="s">
        <v>2128</v>
      </c>
      <c r="G1134" s="17" t="s">
        <v>2086</v>
      </c>
    </row>
    <row r="1135" spans="6:7" x14ac:dyDescent="0.25">
      <c r="F1135" s="17" t="s">
        <v>2129</v>
      </c>
      <c r="G1135" s="17" t="s">
        <v>2086</v>
      </c>
    </row>
    <row r="1136" spans="6:7" x14ac:dyDescent="0.25">
      <c r="F1136" s="17" t="s">
        <v>2130</v>
      </c>
      <c r="G1136" s="17" t="s">
        <v>2086</v>
      </c>
    </row>
    <row r="1137" spans="6:7" x14ac:dyDescent="0.25">
      <c r="F1137" s="17" t="s">
        <v>2131</v>
      </c>
      <c r="G1137" s="17" t="s">
        <v>2086</v>
      </c>
    </row>
    <row r="1138" spans="6:7" x14ac:dyDescent="0.25">
      <c r="F1138" s="17" t="s">
        <v>2132</v>
      </c>
      <c r="G1138" s="17" t="s">
        <v>2086</v>
      </c>
    </row>
    <row r="1139" spans="6:7" x14ac:dyDescent="0.25">
      <c r="F1139" s="17" t="s">
        <v>2133</v>
      </c>
      <c r="G1139" s="17" t="s">
        <v>1996</v>
      </c>
    </row>
    <row r="1140" spans="6:7" x14ac:dyDescent="0.25">
      <c r="F1140" s="17" t="s">
        <v>2134</v>
      </c>
      <c r="G1140" s="17" t="s">
        <v>2086</v>
      </c>
    </row>
    <row r="1141" spans="6:7" x14ac:dyDescent="0.25">
      <c r="F1141" s="17" t="s">
        <v>2135</v>
      </c>
      <c r="G1141" s="17" t="s">
        <v>2086</v>
      </c>
    </row>
    <row r="1142" spans="6:7" x14ac:dyDescent="0.25">
      <c r="F1142" s="17" t="s">
        <v>2136</v>
      </c>
      <c r="G1142" s="17" t="s">
        <v>2086</v>
      </c>
    </row>
    <row r="1143" spans="6:7" x14ac:dyDescent="0.25">
      <c r="F1143" s="17" t="s">
        <v>2137</v>
      </c>
      <c r="G1143" s="17" t="s">
        <v>2086</v>
      </c>
    </row>
    <row r="1144" spans="6:7" x14ac:dyDescent="0.25">
      <c r="F1144" s="17" t="s">
        <v>2138</v>
      </c>
      <c r="G1144" s="17" t="s">
        <v>2086</v>
      </c>
    </row>
    <row r="1145" spans="6:7" x14ac:dyDescent="0.25">
      <c r="F1145" s="17" t="s">
        <v>2139</v>
      </c>
      <c r="G1145" s="17" t="s">
        <v>2086</v>
      </c>
    </row>
    <row r="1146" spans="6:7" x14ac:dyDescent="0.25">
      <c r="F1146" s="17" t="s">
        <v>2140</v>
      </c>
      <c r="G1146" s="17" t="s">
        <v>2086</v>
      </c>
    </row>
    <row r="1147" spans="6:7" x14ac:dyDescent="0.25">
      <c r="F1147" s="17" t="s">
        <v>2141</v>
      </c>
      <c r="G1147" s="17" t="s">
        <v>2086</v>
      </c>
    </row>
    <row r="1148" spans="6:7" x14ac:dyDescent="0.25">
      <c r="F1148" s="17" t="s">
        <v>2142</v>
      </c>
      <c r="G1148" s="17" t="s">
        <v>2086</v>
      </c>
    </row>
    <row r="1149" spans="6:7" x14ac:dyDescent="0.25">
      <c r="F1149" s="17" t="s">
        <v>2143</v>
      </c>
      <c r="G1149" s="17" t="s">
        <v>2086</v>
      </c>
    </row>
    <row r="1150" spans="6:7" x14ac:dyDescent="0.25">
      <c r="F1150" s="17" t="s">
        <v>2144</v>
      </c>
      <c r="G1150" s="17" t="s">
        <v>2086</v>
      </c>
    </row>
    <row r="1151" spans="6:7" x14ac:dyDescent="0.25">
      <c r="F1151" s="17" t="s">
        <v>2145</v>
      </c>
      <c r="G1151" s="17" t="s">
        <v>2086</v>
      </c>
    </row>
    <row r="1152" spans="6:7" x14ac:dyDescent="0.25">
      <c r="F1152" s="17" t="s">
        <v>2146</v>
      </c>
      <c r="G1152" s="17" t="s">
        <v>2086</v>
      </c>
    </row>
    <row r="1153" spans="6:7" x14ac:dyDescent="0.25">
      <c r="F1153" s="17" t="s">
        <v>2147</v>
      </c>
      <c r="G1153" s="17" t="s">
        <v>2086</v>
      </c>
    </row>
    <row r="1154" spans="6:7" x14ac:dyDescent="0.25">
      <c r="F1154" s="17" t="s">
        <v>2148</v>
      </c>
      <c r="G1154" s="17" t="s">
        <v>2086</v>
      </c>
    </row>
    <row r="1155" spans="6:7" x14ac:dyDescent="0.25">
      <c r="F1155" s="17" t="s">
        <v>2149</v>
      </c>
      <c r="G1155" s="17" t="s">
        <v>2086</v>
      </c>
    </row>
    <row r="1156" spans="6:7" x14ac:dyDescent="0.25">
      <c r="F1156" s="17" t="s">
        <v>2150</v>
      </c>
      <c r="G1156" s="17" t="s">
        <v>2086</v>
      </c>
    </row>
    <row r="1157" spans="6:7" x14ac:dyDescent="0.25">
      <c r="F1157" s="17" t="s">
        <v>2151</v>
      </c>
      <c r="G1157" s="17" t="s">
        <v>2086</v>
      </c>
    </row>
    <row r="1158" spans="6:7" x14ac:dyDescent="0.25">
      <c r="F1158" s="17" t="s">
        <v>2152</v>
      </c>
      <c r="G1158" s="17" t="s">
        <v>2086</v>
      </c>
    </row>
    <row r="1159" spans="6:7" x14ac:dyDescent="0.25">
      <c r="F1159" s="17" t="s">
        <v>2153</v>
      </c>
      <c r="G1159" s="17" t="s">
        <v>2086</v>
      </c>
    </row>
    <row r="1160" spans="6:7" x14ac:dyDescent="0.25">
      <c r="F1160" s="17" t="s">
        <v>2154</v>
      </c>
      <c r="G1160" s="17" t="s">
        <v>2086</v>
      </c>
    </row>
    <row r="1161" spans="6:7" x14ac:dyDescent="0.25">
      <c r="F1161" s="17" t="s">
        <v>2155</v>
      </c>
      <c r="G1161" s="17" t="s">
        <v>2086</v>
      </c>
    </row>
    <row r="1162" spans="6:7" x14ac:dyDescent="0.25">
      <c r="F1162" s="17" t="s">
        <v>2156</v>
      </c>
      <c r="G1162" s="17" t="s">
        <v>2086</v>
      </c>
    </row>
    <row r="1163" spans="6:7" x14ac:dyDescent="0.25">
      <c r="F1163" s="17" t="s">
        <v>2157</v>
      </c>
      <c r="G1163" s="17" t="s">
        <v>2086</v>
      </c>
    </row>
    <row r="1164" spans="6:7" x14ac:dyDescent="0.25">
      <c r="F1164" s="17" t="s">
        <v>2158</v>
      </c>
      <c r="G1164" s="17" t="s">
        <v>2086</v>
      </c>
    </row>
    <row r="1165" spans="6:7" x14ac:dyDescent="0.25">
      <c r="F1165" s="17" t="s">
        <v>2159</v>
      </c>
      <c r="G1165" s="17" t="s">
        <v>2086</v>
      </c>
    </row>
    <row r="1166" spans="6:7" x14ac:dyDescent="0.25">
      <c r="F1166" s="17" t="s">
        <v>2160</v>
      </c>
      <c r="G1166" s="17" t="s">
        <v>2086</v>
      </c>
    </row>
    <row r="1167" spans="6:7" x14ac:dyDescent="0.25">
      <c r="F1167" s="17" t="s">
        <v>2161</v>
      </c>
      <c r="G1167" s="17" t="s">
        <v>2086</v>
      </c>
    </row>
    <row r="1168" spans="6:7" x14ac:dyDescent="0.25">
      <c r="F1168" s="17" t="s">
        <v>2162</v>
      </c>
      <c r="G1168" s="17" t="s">
        <v>2086</v>
      </c>
    </row>
    <row r="1169" spans="6:7" x14ac:dyDescent="0.25">
      <c r="F1169" s="17" t="s">
        <v>2163</v>
      </c>
      <c r="G1169" s="17" t="s">
        <v>1996</v>
      </c>
    </row>
    <row r="1170" spans="6:7" x14ac:dyDescent="0.25">
      <c r="F1170" s="17" t="s">
        <v>2164</v>
      </c>
      <c r="G1170" s="17" t="s">
        <v>1996</v>
      </c>
    </row>
    <row r="1171" spans="6:7" x14ac:dyDescent="0.25">
      <c r="F1171" s="17" t="s">
        <v>2165</v>
      </c>
      <c r="G1171" s="17" t="s">
        <v>1996</v>
      </c>
    </row>
    <row r="1172" spans="6:7" x14ac:dyDescent="0.25">
      <c r="F1172" s="17" t="s">
        <v>2166</v>
      </c>
      <c r="G1172" s="17" t="s">
        <v>1996</v>
      </c>
    </row>
    <row r="1173" spans="6:7" x14ac:dyDescent="0.25">
      <c r="F1173" s="17" t="s">
        <v>2167</v>
      </c>
      <c r="G1173" s="17" t="s">
        <v>1996</v>
      </c>
    </row>
    <row r="1174" spans="6:7" x14ac:dyDescent="0.25">
      <c r="F1174" s="17" t="s">
        <v>2168</v>
      </c>
      <c r="G1174" s="17" t="s">
        <v>1954</v>
      </c>
    </row>
    <row r="1175" spans="6:7" x14ac:dyDescent="0.25">
      <c r="F1175" s="17" t="s">
        <v>2169</v>
      </c>
      <c r="G1175" s="17" t="s">
        <v>1954</v>
      </c>
    </row>
    <row r="1176" spans="6:7" x14ac:dyDescent="0.25">
      <c r="F1176" s="17" t="s">
        <v>2170</v>
      </c>
      <c r="G1176" s="17" t="s">
        <v>1954</v>
      </c>
    </row>
    <row r="1177" spans="6:7" x14ac:dyDescent="0.25">
      <c r="F1177" s="17" t="s">
        <v>2171</v>
      </c>
      <c r="G1177" s="17" t="s">
        <v>1954</v>
      </c>
    </row>
    <row r="1178" spans="6:7" x14ac:dyDescent="0.25">
      <c r="F1178" s="17" t="s">
        <v>2172</v>
      </c>
      <c r="G1178" s="17" t="s">
        <v>1996</v>
      </c>
    </row>
    <row r="1179" spans="6:7" x14ac:dyDescent="0.25">
      <c r="F1179" s="17" t="s">
        <v>2173</v>
      </c>
      <c r="G1179" s="17" t="s">
        <v>1996</v>
      </c>
    </row>
    <row r="1180" spans="6:7" x14ac:dyDescent="0.25">
      <c r="F1180" s="17" t="s">
        <v>2174</v>
      </c>
      <c r="G1180" s="17" t="s">
        <v>1996</v>
      </c>
    </row>
    <row r="1181" spans="6:7" x14ac:dyDescent="0.25">
      <c r="F1181" s="17" t="s">
        <v>2175</v>
      </c>
      <c r="G1181" s="17" t="s">
        <v>1996</v>
      </c>
    </row>
    <row r="1182" spans="6:7" x14ac:dyDescent="0.25">
      <c r="F1182" s="17" t="s">
        <v>2176</v>
      </c>
      <c r="G1182" s="17" t="s">
        <v>1996</v>
      </c>
    </row>
    <row r="1183" spans="6:7" x14ac:dyDescent="0.25">
      <c r="F1183" s="17" t="s">
        <v>2177</v>
      </c>
      <c r="G1183" s="17" t="s">
        <v>1996</v>
      </c>
    </row>
    <row r="1184" spans="6:7" x14ac:dyDescent="0.25">
      <c r="F1184" s="17" t="s">
        <v>2178</v>
      </c>
      <c r="G1184" s="17" t="s">
        <v>1996</v>
      </c>
    </row>
    <row r="1185" spans="6:7" x14ac:dyDescent="0.25">
      <c r="F1185" s="17" t="s">
        <v>2179</v>
      </c>
      <c r="G1185" s="17" t="s">
        <v>1996</v>
      </c>
    </row>
    <row r="1186" spans="6:7" x14ac:dyDescent="0.25">
      <c r="F1186" s="17" t="s">
        <v>2180</v>
      </c>
      <c r="G1186" s="17" t="s">
        <v>1996</v>
      </c>
    </row>
    <row r="1187" spans="6:7" x14ac:dyDescent="0.25">
      <c r="F1187" s="17" t="s">
        <v>2181</v>
      </c>
      <c r="G1187" s="17" t="s">
        <v>1996</v>
      </c>
    </row>
    <row r="1188" spans="6:7" x14ac:dyDescent="0.25">
      <c r="F1188" s="17" t="s">
        <v>2182</v>
      </c>
      <c r="G1188" s="17" t="s">
        <v>1996</v>
      </c>
    </row>
    <row r="1189" spans="6:7" x14ac:dyDescent="0.25">
      <c r="F1189" s="17" t="s">
        <v>2183</v>
      </c>
      <c r="G1189" s="17" t="s">
        <v>1996</v>
      </c>
    </row>
    <row r="1190" spans="6:7" x14ac:dyDescent="0.25">
      <c r="F1190" s="17" t="s">
        <v>2184</v>
      </c>
      <c r="G1190" s="17" t="s">
        <v>1996</v>
      </c>
    </row>
    <row r="1191" spans="6:7" x14ac:dyDescent="0.25">
      <c r="F1191" s="17" t="s">
        <v>2185</v>
      </c>
      <c r="G1191" s="17" t="s">
        <v>1996</v>
      </c>
    </row>
    <row r="1192" spans="6:7" x14ac:dyDescent="0.25">
      <c r="F1192" s="17" t="s">
        <v>2186</v>
      </c>
      <c r="G1192" s="17" t="s">
        <v>1996</v>
      </c>
    </row>
    <row r="1193" spans="6:7" x14ac:dyDescent="0.25">
      <c r="F1193" s="17" t="s">
        <v>2187</v>
      </c>
      <c r="G1193" s="17" t="s">
        <v>1996</v>
      </c>
    </row>
    <row r="1194" spans="6:7" x14ac:dyDescent="0.25">
      <c r="F1194" s="17" t="s">
        <v>2188</v>
      </c>
      <c r="G1194" s="17" t="s">
        <v>1996</v>
      </c>
    </row>
    <row r="1195" spans="6:7" x14ac:dyDescent="0.25">
      <c r="F1195" s="17" t="s">
        <v>2189</v>
      </c>
      <c r="G1195" s="17" t="s">
        <v>1996</v>
      </c>
    </row>
    <row r="1196" spans="6:7" x14ac:dyDescent="0.25">
      <c r="F1196" s="17" t="s">
        <v>2190</v>
      </c>
      <c r="G1196" s="17" t="s">
        <v>2086</v>
      </c>
    </row>
    <row r="1197" spans="6:7" x14ac:dyDescent="0.25">
      <c r="F1197" s="17" t="s">
        <v>2191</v>
      </c>
      <c r="G1197" s="17" t="s">
        <v>2086</v>
      </c>
    </row>
    <row r="1198" spans="6:7" x14ac:dyDescent="0.25">
      <c r="F1198" s="17" t="s">
        <v>2192</v>
      </c>
      <c r="G1198" s="17" t="s">
        <v>2086</v>
      </c>
    </row>
    <row r="1199" spans="6:7" x14ac:dyDescent="0.25">
      <c r="F1199" s="17" t="s">
        <v>2193</v>
      </c>
      <c r="G1199" s="17" t="s">
        <v>2086</v>
      </c>
    </row>
    <row r="1200" spans="6:7" x14ac:dyDescent="0.25">
      <c r="F1200" s="17" t="s">
        <v>2194</v>
      </c>
      <c r="G1200" s="17" t="s">
        <v>2086</v>
      </c>
    </row>
    <row r="1201" spans="6:7" x14ac:dyDescent="0.25">
      <c r="F1201" s="17" t="s">
        <v>2195</v>
      </c>
      <c r="G1201" s="17" t="s">
        <v>1996</v>
      </c>
    </row>
    <row r="1202" spans="6:7" x14ac:dyDescent="0.25">
      <c r="F1202" s="17" t="s">
        <v>2196</v>
      </c>
      <c r="G1202" s="17" t="s">
        <v>1996</v>
      </c>
    </row>
    <row r="1203" spans="6:7" x14ac:dyDescent="0.25">
      <c r="F1203" s="17" t="s">
        <v>2197</v>
      </c>
      <c r="G1203" s="17" t="s">
        <v>1996</v>
      </c>
    </row>
    <row r="1204" spans="6:7" x14ac:dyDescent="0.25">
      <c r="F1204" s="17" t="s">
        <v>2198</v>
      </c>
      <c r="G1204" s="17" t="s">
        <v>1996</v>
      </c>
    </row>
    <row r="1205" spans="6:7" x14ac:dyDescent="0.25">
      <c r="F1205" s="17" t="s">
        <v>2199</v>
      </c>
      <c r="G1205" s="17" t="s">
        <v>2086</v>
      </c>
    </row>
    <row r="1206" spans="6:7" x14ac:dyDescent="0.25">
      <c r="F1206" s="17" t="s">
        <v>2200</v>
      </c>
      <c r="G1206" s="17" t="s">
        <v>1996</v>
      </c>
    </row>
    <row r="1207" spans="6:7" x14ac:dyDescent="0.25">
      <c r="F1207" s="17" t="s">
        <v>2201</v>
      </c>
      <c r="G1207" s="17" t="s">
        <v>1996</v>
      </c>
    </row>
    <row r="1208" spans="6:7" x14ac:dyDescent="0.25">
      <c r="F1208" s="17" t="s">
        <v>2202</v>
      </c>
      <c r="G1208" s="17" t="s">
        <v>1996</v>
      </c>
    </row>
    <row r="1209" spans="6:7" x14ac:dyDescent="0.25">
      <c r="F1209" s="17" t="s">
        <v>2203</v>
      </c>
      <c r="G1209" s="17" t="s">
        <v>1996</v>
      </c>
    </row>
    <row r="1210" spans="6:7" x14ac:dyDescent="0.25">
      <c r="F1210" s="17" t="s">
        <v>2204</v>
      </c>
      <c r="G1210" s="17" t="s">
        <v>2086</v>
      </c>
    </row>
    <row r="1211" spans="6:7" x14ac:dyDescent="0.25">
      <c r="F1211" s="17" t="s">
        <v>2205</v>
      </c>
      <c r="G1211" s="17" t="s">
        <v>2086</v>
      </c>
    </row>
    <row r="1212" spans="6:7" x14ac:dyDescent="0.25">
      <c r="F1212" s="17" t="s">
        <v>2206</v>
      </c>
      <c r="G1212" s="17" t="s">
        <v>2086</v>
      </c>
    </row>
    <row r="1213" spans="6:7" x14ac:dyDescent="0.25">
      <c r="F1213" s="17" t="s">
        <v>2207</v>
      </c>
      <c r="G1213" s="17" t="s">
        <v>2086</v>
      </c>
    </row>
    <row r="1214" spans="6:7" x14ac:dyDescent="0.25">
      <c r="F1214" s="17" t="s">
        <v>2208</v>
      </c>
      <c r="G1214" s="17" t="s">
        <v>2086</v>
      </c>
    </row>
    <row r="1215" spans="6:7" x14ac:dyDescent="0.25">
      <c r="F1215" s="17" t="s">
        <v>2209</v>
      </c>
      <c r="G1215" s="17" t="s">
        <v>2086</v>
      </c>
    </row>
    <row r="1216" spans="6:7" x14ac:dyDescent="0.25">
      <c r="F1216" s="17" t="s">
        <v>2210</v>
      </c>
      <c r="G1216" s="17" t="s">
        <v>2086</v>
      </c>
    </row>
    <row r="1217" spans="6:7" x14ac:dyDescent="0.25">
      <c r="F1217" s="17" t="s">
        <v>2211</v>
      </c>
      <c r="G1217" s="17" t="s">
        <v>2086</v>
      </c>
    </row>
    <row r="1218" spans="6:7" x14ac:dyDescent="0.25">
      <c r="F1218" s="17" t="s">
        <v>2212</v>
      </c>
      <c r="G1218" s="17" t="s">
        <v>2086</v>
      </c>
    </row>
    <row r="1219" spans="6:7" x14ac:dyDescent="0.25">
      <c r="F1219" s="17" t="s">
        <v>2213</v>
      </c>
      <c r="G1219" s="17" t="s">
        <v>1996</v>
      </c>
    </row>
    <row r="1220" spans="6:7" x14ac:dyDescent="0.25">
      <c r="F1220" s="17" t="s">
        <v>2214</v>
      </c>
      <c r="G1220" s="17" t="s">
        <v>1996</v>
      </c>
    </row>
    <row r="1221" spans="6:7" x14ac:dyDescent="0.25">
      <c r="F1221" s="17" t="s">
        <v>2215</v>
      </c>
      <c r="G1221" s="17" t="s">
        <v>1996</v>
      </c>
    </row>
    <row r="1222" spans="6:7" x14ac:dyDescent="0.25">
      <c r="F1222" s="17" t="s">
        <v>2216</v>
      </c>
      <c r="G1222" s="17" t="s">
        <v>1996</v>
      </c>
    </row>
    <row r="1223" spans="6:7" x14ac:dyDescent="0.25">
      <c r="F1223" s="17" t="s">
        <v>2217</v>
      </c>
      <c r="G1223" s="17" t="s">
        <v>1996</v>
      </c>
    </row>
    <row r="1224" spans="6:7" x14ac:dyDescent="0.25">
      <c r="F1224" s="17" t="s">
        <v>2218</v>
      </c>
      <c r="G1224" s="17" t="s">
        <v>1996</v>
      </c>
    </row>
    <row r="1225" spans="6:7" x14ac:dyDescent="0.25">
      <c r="F1225" s="17" t="s">
        <v>2219</v>
      </c>
      <c r="G1225" s="17" t="s">
        <v>1996</v>
      </c>
    </row>
    <row r="1226" spans="6:7" x14ac:dyDescent="0.25">
      <c r="F1226" s="17" t="s">
        <v>2220</v>
      </c>
      <c r="G1226" s="17" t="s">
        <v>1996</v>
      </c>
    </row>
    <row r="1227" spans="6:7" x14ac:dyDescent="0.25">
      <c r="F1227" s="17" t="s">
        <v>2221</v>
      </c>
      <c r="G1227" s="17" t="s">
        <v>1996</v>
      </c>
    </row>
    <row r="1228" spans="6:7" x14ac:dyDescent="0.25">
      <c r="F1228" s="17" t="s">
        <v>2222</v>
      </c>
      <c r="G1228" s="17" t="s">
        <v>1996</v>
      </c>
    </row>
    <row r="1229" spans="6:7" x14ac:dyDescent="0.25">
      <c r="F1229" s="17" t="s">
        <v>2223</v>
      </c>
      <c r="G1229" s="17" t="s">
        <v>1996</v>
      </c>
    </row>
    <row r="1230" spans="6:7" x14ac:dyDescent="0.25">
      <c r="F1230" s="17" t="s">
        <v>2224</v>
      </c>
      <c r="G1230" s="17" t="s">
        <v>1996</v>
      </c>
    </row>
    <row r="1231" spans="6:7" x14ac:dyDescent="0.25">
      <c r="F1231" s="17" t="s">
        <v>2225</v>
      </c>
      <c r="G1231" s="17" t="s">
        <v>1996</v>
      </c>
    </row>
    <row r="1232" spans="6:7" x14ac:dyDescent="0.25">
      <c r="F1232" s="17" t="s">
        <v>2226</v>
      </c>
      <c r="G1232" s="17" t="s">
        <v>1996</v>
      </c>
    </row>
    <row r="1233" spans="6:7" x14ac:dyDescent="0.25">
      <c r="F1233" s="17" t="s">
        <v>2227</v>
      </c>
      <c r="G1233" s="17" t="s">
        <v>1996</v>
      </c>
    </row>
    <row r="1234" spans="6:7" x14ac:dyDescent="0.25">
      <c r="F1234" s="17" t="s">
        <v>2228</v>
      </c>
      <c r="G1234" s="17" t="s">
        <v>1996</v>
      </c>
    </row>
    <row r="1235" spans="6:7" x14ac:dyDescent="0.25">
      <c r="F1235" s="17" t="s">
        <v>2229</v>
      </c>
      <c r="G1235" s="17" t="s">
        <v>1996</v>
      </c>
    </row>
    <row r="1236" spans="6:7" x14ac:dyDescent="0.25">
      <c r="F1236" s="17" t="s">
        <v>2230</v>
      </c>
      <c r="G1236" s="17" t="s">
        <v>1996</v>
      </c>
    </row>
    <row r="1237" spans="6:7" x14ac:dyDescent="0.25">
      <c r="F1237" s="17" t="s">
        <v>2231</v>
      </c>
      <c r="G1237" s="17" t="s">
        <v>1996</v>
      </c>
    </row>
    <row r="1238" spans="6:7" x14ac:dyDescent="0.25">
      <c r="F1238" s="17" t="s">
        <v>2232</v>
      </c>
      <c r="G1238" s="17" t="s">
        <v>1996</v>
      </c>
    </row>
    <row r="1239" spans="6:7" x14ac:dyDescent="0.25">
      <c r="F1239" s="17" t="s">
        <v>2233</v>
      </c>
      <c r="G1239" s="17" t="s">
        <v>1996</v>
      </c>
    </row>
    <row r="1240" spans="6:7" x14ac:dyDescent="0.25">
      <c r="F1240" s="17" t="s">
        <v>2234</v>
      </c>
      <c r="G1240" s="17" t="s">
        <v>1996</v>
      </c>
    </row>
    <row r="1241" spans="6:7" x14ac:dyDescent="0.25">
      <c r="F1241" s="17" t="s">
        <v>2235</v>
      </c>
      <c r="G1241" s="17" t="s">
        <v>1996</v>
      </c>
    </row>
    <row r="1242" spans="6:7" x14ac:dyDescent="0.25">
      <c r="F1242" s="17" t="s">
        <v>2236</v>
      </c>
      <c r="G1242" s="17" t="s">
        <v>1954</v>
      </c>
    </row>
    <row r="1243" spans="6:7" x14ac:dyDescent="0.25">
      <c r="F1243" s="17" t="s">
        <v>2237</v>
      </c>
      <c r="G1243" s="17" t="s">
        <v>1996</v>
      </c>
    </row>
    <row r="1244" spans="6:7" x14ac:dyDescent="0.25">
      <c r="F1244" s="17" t="s">
        <v>2238</v>
      </c>
      <c r="G1244" s="17" t="s">
        <v>1954</v>
      </c>
    </row>
    <row r="1245" spans="6:7" x14ac:dyDescent="0.25">
      <c r="F1245" s="17" t="s">
        <v>2239</v>
      </c>
      <c r="G1245" s="17" t="s">
        <v>1996</v>
      </c>
    </row>
    <row r="1246" spans="6:7" x14ac:dyDescent="0.25">
      <c r="F1246" s="17" t="s">
        <v>2240</v>
      </c>
      <c r="G1246" s="17" t="s">
        <v>2241</v>
      </c>
    </row>
    <row r="1247" spans="6:7" x14ac:dyDescent="0.25">
      <c r="F1247" s="17" t="s">
        <v>2242</v>
      </c>
      <c r="G1247" s="17" t="s">
        <v>1887</v>
      </c>
    </row>
    <row r="1248" spans="6:7" x14ac:dyDescent="0.25">
      <c r="F1248" s="17" t="s">
        <v>2243</v>
      </c>
      <c r="G1248" s="17" t="s">
        <v>1887</v>
      </c>
    </row>
    <row r="1249" spans="6:7" x14ac:dyDescent="0.25">
      <c r="F1249" s="17" t="s">
        <v>2244</v>
      </c>
      <c r="G1249" s="17" t="s">
        <v>1887</v>
      </c>
    </row>
    <row r="1250" spans="6:7" x14ac:dyDescent="0.25">
      <c r="F1250" s="17" t="s">
        <v>2245</v>
      </c>
      <c r="G1250" s="17" t="s">
        <v>1887</v>
      </c>
    </row>
    <row r="1251" spans="6:7" x14ac:dyDescent="0.25">
      <c r="F1251" s="17" t="s">
        <v>2246</v>
      </c>
      <c r="G1251" s="17" t="s">
        <v>2241</v>
      </c>
    </row>
    <row r="1252" spans="6:7" x14ac:dyDescent="0.25">
      <c r="F1252" s="17" t="s">
        <v>2247</v>
      </c>
      <c r="G1252" s="17" t="s">
        <v>2241</v>
      </c>
    </row>
    <row r="1253" spans="6:7" x14ac:dyDescent="0.25">
      <c r="F1253" s="17" t="s">
        <v>2248</v>
      </c>
      <c r="G1253" s="17" t="s">
        <v>2241</v>
      </c>
    </row>
    <row r="1254" spans="6:7" x14ac:dyDescent="0.25">
      <c r="F1254" s="17" t="s">
        <v>2249</v>
      </c>
      <c r="G1254" s="17" t="s">
        <v>2241</v>
      </c>
    </row>
    <row r="1255" spans="6:7" x14ac:dyDescent="0.25">
      <c r="F1255" s="17" t="s">
        <v>2250</v>
      </c>
      <c r="G1255" s="17" t="s">
        <v>2241</v>
      </c>
    </row>
    <row r="1256" spans="6:7" x14ac:dyDescent="0.25">
      <c r="F1256" s="17" t="s">
        <v>2251</v>
      </c>
      <c r="G1256" s="17" t="s">
        <v>2241</v>
      </c>
    </row>
    <row r="1257" spans="6:7" x14ac:dyDescent="0.25">
      <c r="F1257" s="17" t="s">
        <v>2252</v>
      </c>
      <c r="G1257" s="17" t="s">
        <v>2241</v>
      </c>
    </row>
    <row r="1258" spans="6:7" x14ac:dyDescent="0.25">
      <c r="F1258" s="17" t="s">
        <v>2253</v>
      </c>
      <c r="G1258" s="17" t="s">
        <v>2241</v>
      </c>
    </row>
    <row r="1259" spans="6:7" x14ac:dyDescent="0.25">
      <c r="F1259" s="17" t="s">
        <v>2254</v>
      </c>
      <c r="G1259" s="17" t="s">
        <v>2241</v>
      </c>
    </row>
    <row r="1260" spans="6:7" x14ac:dyDescent="0.25">
      <c r="F1260" s="17" t="s">
        <v>2255</v>
      </c>
      <c r="G1260" s="17" t="s">
        <v>2241</v>
      </c>
    </row>
    <row r="1261" spans="6:7" x14ac:dyDescent="0.25">
      <c r="F1261" s="17" t="s">
        <v>2256</v>
      </c>
      <c r="G1261" s="17" t="s">
        <v>2241</v>
      </c>
    </row>
    <row r="1262" spans="6:7" x14ac:dyDescent="0.25">
      <c r="F1262" s="17" t="s">
        <v>2257</v>
      </c>
      <c r="G1262" s="17" t="s">
        <v>2241</v>
      </c>
    </row>
    <row r="1263" spans="6:7" x14ac:dyDescent="0.25">
      <c r="F1263" s="17" t="s">
        <v>2258</v>
      </c>
      <c r="G1263" s="17" t="s">
        <v>2241</v>
      </c>
    </row>
    <row r="1264" spans="6:7" x14ac:dyDescent="0.25">
      <c r="F1264" s="17" t="s">
        <v>2259</v>
      </c>
      <c r="G1264" s="17" t="s">
        <v>2241</v>
      </c>
    </row>
    <row r="1265" spans="6:7" x14ac:dyDescent="0.25">
      <c r="F1265" s="17" t="s">
        <v>2260</v>
      </c>
      <c r="G1265" s="17" t="s">
        <v>2241</v>
      </c>
    </row>
    <row r="1266" spans="6:7" x14ac:dyDescent="0.25">
      <c r="F1266" s="17" t="s">
        <v>2261</v>
      </c>
      <c r="G1266" s="17" t="s">
        <v>2241</v>
      </c>
    </row>
    <row r="1267" spans="6:7" x14ac:dyDescent="0.25">
      <c r="F1267" s="17" t="s">
        <v>2262</v>
      </c>
      <c r="G1267" s="17" t="s">
        <v>2241</v>
      </c>
    </row>
    <row r="1268" spans="6:7" x14ac:dyDescent="0.25">
      <c r="F1268" s="17" t="s">
        <v>2263</v>
      </c>
      <c r="G1268" s="17" t="s">
        <v>2241</v>
      </c>
    </row>
    <row r="1269" spans="6:7" x14ac:dyDescent="0.25">
      <c r="F1269" s="17" t="s">
        <v>2264</v>
      </c>
      <c r="G1269" s="17" t="s">
        <v>2241</v>
      </c>
    </row>
    <row r="1270" spans="6:7" x14ac:dyDescent="0.25">
      <c r="F1270" s="17" t="s">
        <v>2265</v>
      </c>
      <c r="G1270" s="17" t="s">
        <v>2241</v>
      </c>
    </row>
    <row r="1271" spans="6:7" x14ac:dyDescent="0.25">
      <c r="F1271" s="17" t="s">
        <v>2266</v>
      </c>
      <c r="G1271" s="17" t="s">
        <v>2241</v>
      </c>
    </row>
    <row r="1272" spans="6:7" x14ac:dyDescent="0.25">
      <c r="F1272" s="17" t="s">
        <v>2267</v>
      </c>
      <c r="G1272" s="17" t="s">
        <v>1887</v>
      </c>
    </row>
    <row r="1273" spans="6:7" x14ac:dyDescent="0.25">
      <c r="F1273" s="17" t="s">
        <v>2268</v>
      </c>
      <c r="G1273" s="17" t="s">
        <v>1996</v>
      </c>
    </row>
    <row r="1274" spans="6:7" x14ac:dyDescent="0.25">
      <c r="F1274" s="17" t="s">
        <v>2269</v>
      </c>
      <c r="G1274" s="17" t="s">
        <v>1996</v>
      </c>
    </row>
    <row r="1275" spans="6:7" x14ac:dyDescent="0.25">
      <c r="F1275" s="17" t="s">
        <v>2270</v>
      </c>
      <c r="G1275" s="17" t="s">
        <v>1996</v>
      </c>
    </row>
    <row r="1276" spans="6:7" x14ac:dyDescent="0.25">
      <c r="F1276" s="17" t="s">
        <v>2271</v>
      </c>
      <c r="G1276" s="17" t="s">
        <v>1996</v>
      </c>
    </row>
    <row r="1277" spans="6:7" x14ac:dyDescent="0.25">
      <c r="F1277" s="17" t="s">
        <v>2272</v>
      </c>
      <c r="G1277" s="17" t="s">
        <v>1996</v>
      </c>
    </row>
    <row r="1278" spans="6:7" x14ac:dyDescent="0.25">
      <c r="F1278" s="17" t="s">
        <v>2273</v>
      </c>
      <c r="G1278" s="17" t="s">
        <v>1996</v>
      </c>
    </row>
    <row r="1279" spans="6:7" x14ac:dyDescent="0.25">
      <c r="F1279" s="17" t="s">
        <v>2274</v>
      </c>
      <c r="G1279" s="17" t="s">
        <v>1996</v>
      </c>
    </row>
    <row r="1280" spans="6:7" x14ac:dyDescent="0.25">
      <c r="F1280" s="17" t="s">
        <v>2275</v>
      </c>
      <c r="G1280" s="17" t="s">
        <v>1996</v>
      </c>
    </row>
    <row r="1281" spans="6:7" x14ac:dyDescent="0.25">
      <c r="F1281" s="17" t="s">
        <v>2276</v>
      </c>
      <c r="G1281" s="17" t="s">
        <v>1996</v>
      </c>
    </row>
    <row r="1282" spans="6:7" x14ac:dyDescent="0.25">
      <c r="F1282" s="17" t="s">
        <v>2277</v>
      </c>
      <c r="G1282" s="17" t="s">
        <v>1996</v>
      </c>
    </row>
    <row r="1283" spans="6:7" x14ac:dyDescent="0.25">
      <c r="F1283" s="17" t="s">
        <v>2278</v>
      </c>
      <c r="G1283" s="17" t="s">
        <v>1996</v>
      </c>
    </row>
    <row r="1284" spans="6:7" x14ac:dyDescent="0.25">
      <c r="F1284" s="17" t="s">
        <v>2279</v>
      </c>
      <c r="G1284" s="17" t="s">
        <v>1996</v>
      </c>
    </row>
    <row r="1285" spans="6:7" x14ac:dyDescent="0.25">
      <c r="F1285" s="17" t="s">
        <v>2280</v>
      </c>
      <c r="G1285" s="17" t="s">
        <v>1996</v>
      </c>
    </row>
    <row r="1286" spans="6:7" x14ac:dyDescent="0.25">
      <c r="F1286" s="17" t="s">
        <v>2281</v>
      </c>
      <c r="G1286" s="17" t="s">
        <v>1996</v>
      </c>
    </row>
    <row r="1287" spans="6:7" x14ac:dyDescent="0.25">
      <c r="F1287" s="17" t="s">
        <v>2282</v>
      </c>
      <c r="G1287" s="17" t="s">
        <v>1996</v>
      </c>
    </row>
    <row r="1288" spans="6:7" x14ac:dyDescent="0.25">
      <c r="F1288" s="17" t="s">
        <v>2283</v>
      </c>
      <c r="G1288" s="17" t="s">
        <v>1996</v>
      </c>
    </row>
    <row r="1289" spans="6:7" x14ac:dyDescent="0.25">
      <c r="F1289" s="17" t="s">
        <v>2284</v>
      </c>
      <c r="G1289" s="17" t="s">
        <v>1996</v>
      </c>
    </row>
    <row r="1290" spans="6:7" x14ac:dyDescent="0.25">
      <c r="F1290" s="17" t="s">
        <v>2285</v>
      </c>
      <c r="G1290" s="17" t="s">
        <v>1996</v>
      </c>
    </row>
    <row r="1291" spans="6:7" x14ac:dyDescent="0.25">
      <c r="F1291" s="17" t="s">
        <v>2286</v>
      </c>
      <c r="G1291" s="17" t="s">
        <v>1996</v>
      </c>
    </row>
    <row r="1292" spans="6:7" x14ac:dyDescent="0.25">
      <c r="F1292" s="17" t="s">
        <v>2287</v>
      </c>
      <c r="G1292" s="17" t="s">
        <v>1996</v>
      </c>
    </row>
    <row r="1293" spans="6:7" x14ac:dyDescent="0.25">
      <c r="F1293" s="17" t="s">
        <v>2288</v>
      </c>
      <c r="G1293" s="17" t="s">
        <v>1996</v>
      </c>
    </row>
    <row r="1294" spans="6:7" x14ac:dyDescent="0.25">
      <c r="F1294" s="17" t="s">
        <v>2289</v>
      </c>
      <c r="G1294" s="17" t="s">
        <v>2290</v>
      </c>
    </row>
    <row r="1295" spans="6:7" x14ac:dyDescent="0.25">
      <c r="F1295" s="17" t="s">
        <v>2291</v>
      </c>
      <c r="G1295" s="17" t="s">
        <v>1996</v>
      </c>
    </row>
    <row r="1296" spans="6:7" x14ac:dyDescent="0.25">
      <c r="F1296" s="17" t="s">
        <v>2292</v>
      </c>
      <c r="G1296" s="17" t="s">
        <v>1996</v>
      </c>
    </row>
    <row r="1297" spans="6:7" x14ac:dyDescent="0.25">
      <c r="F1297" s="17" t="s">
        <v>2293</v>
      </c>
      <c r="G1297" s="17" t="s">
        <v>1996</v>
      </c>
    </row>
    <row r="1298" spans="6:7" x14ac:dyDescent="0.25">
      <c r="F1298" s="17" t="s">
        <v>2294</v>
      </c>
      <c r="G1298" s="17" t="s">
        <v>1996</v>
      </c>
    </row>
    <row r="1299" spans="6:7" x14ac:dyDescent="0.25">
      <c r="F1299" s="17" t="s">
        <v>2295</v>
      </c>
      <c r="G1299" s="17" t="s">
        <v>1996</v>
      </c>
    </row>
    <row r="1300" spans="6:7" x14ac:dyDescent="0.25">
      <c r="F1300" s="17" t="s">
        <v>2296</v>
      </c>
      <c r="G1300" s="17" t="s">
        <v>86</v>
      </c>
    </row>
    <row r="1301" spans="6:7" x14ac:dyDescent="0.25">
      <c r="F1301" s="17" t="s">
        <v>2297</v>
      </c>
      <c r="G1301" s="17" t="s">
        <v>86</v>
      </c>
    </row>
    <row r="1302" spans="6:7" x14ac:dyDescent="0.25">
      <c r="F1302" s="17" t="s">
        <v>914</v>
      </c>
      <c r="G1302" s="17" t="s">
        <v>86</v>
      </c>
    </row>
    <row r="1303" spans="6:7" x14ac:dyDescent="0.25">
      <c r="F1303" s="17" t="s">
        <v>2298</v>
      </c>
      <c r="G1303" s="17" t="s">
        <v>86</v>
      </c>
    </row>
    <row r="1304" spans="6:7" x14ac:dyDescent="0.25">
      <c r="F1304" s="17" t="s">
        <v>2299</v>
      </c>
      <c r="G1304" s="17" t="s">
        <v>86</v>
      </c>
    </row>
    <row r="1305" spans="6:7" x14ac:dyDescent="0.25">
      <c r="F1305" s="17" t="s">
        <v>2300</v>
      </c>
      <c r="G1305" s="17" t="s">
        <v>86</v>
      </c>
    </row>
    <row r="1306" spans="6:7" x14ac:dyDescent="0.25">
      <c r="F1306" s="17" t="s">
        <v>671</v>
      </c>
      <c r="G1306" s="17" t="s">
        <v>86</v>
      </c>
    </row>
    <row r="1307" spans="6:7" x14ac:dyDescent="0.25">
      <c r="F1307" s="17" t="s">
        <v>486</v>
      </c>
      <c r="G1307" s="17" t="s">
        <v>86</v>
      </c>
    </row>
    <row r="1308" spans="6:7" x14ac:dyDescent="0.25">
      <c r="F1308" s="17" t="s">
        <v>2301</v>
      </c>
      <c r="G1308" s="17" t="s">
        <v>86</v>
      </c>
    </row>
    <row r="1309" spans="6:7" x14ac:dyDescent="0.25">
      <c r="F1309" s="17" t="s">
        <v>2302</v>
      </c>
      <c r="G1309" s="17" t="s">
        <v>86</v>
      </c>
    </row>
    <row r="1310" spans="6:7" x14ac:dyDescent="0.25">
      <c r="F1310" s="17" t="s">
        <v>2303</v>
      </c>
      <c r="G1310" s="17" t="s">
        <v>86</v>
      </c>
    </row>
    <row r="1311" spans="6:7" x14ac:dyDescent="0.25">
      <c r="F1311" s="17" t="s">
        <v>2304</v>
      </c>
      <c r="G1311" s="17" t="s">
        <v>86</v>
      </c>
    </row>
    <row r="1312" spans="6:7" x14ac:dyDescent="0.25">
      <c r="F1312" s="17" t="s">
        <v>2305</v>
      </c>
      <c r="G1312" s="17" t="s">
        <v>86</v>
      </c>
    </row>
    <row r="1313" spans="6:7" x14ac:dyDescent="0.25">
      <c r="F1313" s="17" t="s">
        <v>2306</v>
      </c>
      <c r="G1313" s="17" t="s">
        <v>86</v>
      </c>
    </row>
    <row r="1314" spans="6:7" x14ac:dyDescent="0.25">
      <c r="F1314" s="17" t="s">
        <v>2307</v>
      </c>
      <c r="G1314" s="17" t="s">
        <v>86</v>
      </c>
    </row>
    <row r="1315" spans="6:7" x14ac:dyDescent="0.25">
      <c r="F1315" s="17" t="s">
        <v>2308</v>
      </c>
      <c r="G1315" s="17" t="s">
        <v>2309</v>
      </c>
    </row>
    <row r="1316" spans="6:7" x14ac:dyDescent="0.25">
      <c r="F1316" s="17" t="s">
        <v>2310</v>
      </c>
      <c r="G1316" s="17" t="s">
        <v>2311</v>
      </c>
    </row>
    <row r="1317" spans="6:7" x14ac:dyDescent="0.25">
      <c r="F1317" s="17" t="s">
        <v>545</v>
      </c>
      <c r="G1317" s="17" t="s">
        <v>209</v>
      </c>
    </row>
    <row r="1318" spans="6:7" x14ac:dyDescent="0.25">
      <c r="F1318" s="17" t="s">
        <v>2312</v>
      </c>
      <c r="G1318" s="17" t="s">
        <v>209</v>
      </c>
    </row>
    <row r="1319" spans="6:7" x14ac:dyDescent="0.25">
      <c r="F1319" s="17" t="s">
        <v>797</v>
      </c>
      <c r="G1319" s="17" t="s">
        <v>209</v>
      </c>
    </row>
    <row r="1320" spans="6:7" x14ac:dyDescent="0.25">
      <c r="F1320" s="17" t="s">
        <v>2313</v>
      </c>
      <c r="G1320" s="17" t="s">
        <v>209</v>
      </c>
    </row>
    <row r="1321" spans="6:7" x14ac:dyDescent="0.25">
      <c r="F1321" s="17" t="s">
        <v>2314</v>
      </c>
      <c r="G1321" s="17" t="s">
        <v>209</v>
      </c>
    </row>
    <row r="1322" spans="6:7" x14ac:dyDescent="0.25">
      <c r="F1322" s="17" t="s">
        <v>2315</v>
      </c>
      <c r="G1322" s="17" t="s">
        <v>209</v>
      </c>
    </row>
    <row r="1323" spans="6:7" x14ac:dyDescent="0.25">
      <c r="F1323" s="17" t="s">
        <v>2316</v>
      </c>
      <c r="G1323" s="17" t="s">
        <v>209</v>
      </c>
    </row>
    <row r="1324" spans="6:7" x14ac:dyDescent="0.25">
      <c r="F1324" s="17" t="s">
        <v>566</v>
      </c>
      <c r="G1324" s="17" t="s">
        <v>209</v>
      </c>
    </row>
    <row r="1325" spans="6:7" x14ac:dyDescent="0.25">
      <c r="F1325" s="17" t="s">
        <v>2317</v>
      </c>
      <c r="G1325" s="17" t="s">
        <v>209</v>
      </c>
    </row>
    <row r="1326" spans="6:7" x14ac:dyDescent="0.25">
      <c r="F1326" s="17" t="s">
        <v>767</v>
      </c>
      <c r="G1326" s="17" t="s">
        <v>209</v>
      </c>
    </row>
    <row r="1327" spans="6:7" x14ac:dyDescent="0.25">
      <c r="F1327" s="17" t="s">
        <v>2318</v>
      </c>
      <c r="G1327" s="17" t="s">
        <v>209</v>
      </c>
    </row>
    <row r="1328" spans="6:7" x14ac:dyDescent="0.25">
      <c r="F1328" s="17" t="s">
        <v>2319</v>
      </c>
      <c r="G1328" s="17" t="s">
        <v>209</v>
      </c>
    </row>
    <row r="1329" spans="6:7" x14ac:dyDescent="0.25">
      <c r="F1329" s="17" t="s">
        <v>2320</v>
      </c>
      <c r="G1329" s="17" t="s">
        <v>209</v>
      </c>
    </row>
    <row r="1330" spans="6:7" x14ac:dyDescent="0.25">
      <c r="F1330" s="17" t="s">
        <v>2321</v>
      </c>
      <c r="G1330" s="17" t="s">
        <v>209</v>
      </c>
    </row>
    <row r="1331" spans="6:7" x14ac:dyDescent="0.25">
      <c r="F1331" s="17" t="s">
        <v>2322</v>
      </c>
      <c r="G1331" s="17" t="s">
        <v>2309</v>
      </c>
    </row>
    <row r="1332" spans="6:7" x14ac:dyDescent="0.25">
      <c r="F1332" s="17" t="s">
        <v>2323</v>
      </c>
      <c r="G1332" s="17" t="s">
        <v>2290</v>
      </c>
    </row>
    <row r="1333" spans="6:7" x14ac:dyDescent="0.25">
      <c r="F1333" s="17" t="s">
        <v>2324</v>
      </c>
      <c r="G1333" s="17" t="s">
        <v>2309</v>
      </c>
    </row>
    <row r="1334" spans="6:7" x14ac:dyDescent="0.25">
      <c r="F1334" s="17" t="s">
        <v>796</v>
      </c>
      <c r="G1334" s="17" t="s">
        <v>86</v>
      </c>
    </row>
    <row r="1335" spans="6:7" x14ac:dyDescent="0.25">
      <c r="F1335" s="17" t="s">
        <v>2325</v>
      </c>
      <c r="G1335" s="17" t="s">
        <v>217</v>
      </c>
    </row>
    <row r="1336" spans="6:7" x14ac:dyDescent="0.25">
      <c r="F1336" s="17" t="s">
        <v>2326</v>
      </c>
      <c r="G1336" s="17" t="s">
        <v>217</v>
      </c>
    </row>
    <row r="1337" spans="6:7" x14ac:dyDescent="0.25">
      <c r="F1337" s="17" t="s">
        <v>2327</v>
      </c>
      <c r="G1337" s="17" t="s">
        <v>217</v>
      </c>
    </row>
    <row r="1338" spans="6:7" x14ac:dyDescent="0.25">
      <c r="F1338" s="17" t="s">
        <v>2328</v>
      </c>
      <c r="G1338" s="17" t="s">
        <v>217</v>
      </c>
    </row>
    <row r="1339" spans="6:7" x14ac:dyDescent="0.25">
      <c r="F1339" s="17" t="s">
        <v>2329</v>
      </c>
      <c r="G1339" s="17" t="s">
        <v>86</v>
      </c>
    </row>
    <row r="1340" spans="6:7" x14ac:dyDescent="0.25">
      <c r="F1340" s="17" t="s">
        <v>473</v>
      </c>
      <c r="G1340" s="17" t="s">
        <v>86</v>
      </c>
    </row>
    <row r="1341" spans="6:7" x14ac:dyDescent="0.25">
      <c r="F1341" s="17" t="s">
        <v>2330</v>
      </c>
      <c r="G1341" s="17" t="s">
        <v>86</v>
      </c>
    </row>
    <row r="1342" spans="6:7" x14ac:dyDescent="0.25">
      <c r="F1342" s="17" t="s">
        <v>485</v>
      </c>
      <c r="G1342" s="17" t="s">
        <v>86</v>
      </c>
    </row>
    <row r="1343" spans="6:7" x14ac:dyDescent="0.25">
      <c r="F1343" s="17" t="s">
        <v>723</v>
      </c>
      <c r="G1343" s="17" t="s">
        <v>86</v>
      </c>
    </row>
    <row r="1344" spans="6:7" x14ac:dyDescent="0.25">
      <c r="F1344" s="17" t="s">
        <v>2331</v>
      </c>
      <c r="G1344" s="17" t="s">
        <v>86</v>
      </c>
    </row>
    <row r="1345" spans="6:7" x14ac:dyDescent="0.25">
      <c r="F1345" s="17" t="s">
        <v>2332</v>
      </c>
      <c r="G1345" s="17" t="s">
        <v>86</v>
      </c>
    </row>
    <row r="1346" spans="6:7" x14ac:dyDescent="0.25">
      <c r="F1346" s="17" t="s">
        <v>556</v>
      </c>
      <c r="G1346" s="17" t="s">
        <v>86</v>
      </c>
    </row>
    <row r="1347" spans="6:7" x14ac:dyDescent="0.25">
      <c r="F1347" s="17" t="s">
        <v>441</v>
      </c>
      <c r="G1347" s="17" t="s">
        <v>86</v>
      </c>
    </row>
    <row r="1348" spans="6:7" x14ac:dyDescent="0.25">
      <c r="F1348" s="17" t="s">
        <v>2333</v>
      </c>
      <c r="G1348" s="17" t="s">
        <v>86</v>
      </c>
    </row>
    <row r="1349" spans="6:7" x14ac:dyDescent="0.25">
      <c r="F1349" s="17" t="s">
        <v>294</v>
      </c>
      <c r="G1349" s="17" t="s">
        <v>86</v>
      </c>
    </row>
    <row r="1350" spans="6:7" x14ac:dyDescent="0.25">
      <c r="F1350" s="17" t="s">
        <v>2334</v>
      </c>
      <c r="G1350" s="17" t="s">
        <v>86</v>
      </c>
    </row>
    <row r="1351" spans="6:7" x14ac:dyDescent="0.25">
      <c r="F1351" s="17" t="s">
        <v>2335</v>
      </c>
      <c r="G1351" s="17" t="s">
        <v>217</v>
      </c>
    </row>
    <row r="1352" spans="6:7" x14ac:dyDescent="0.25">
      <c r="F1352" s="17" t="s">
        <v>2336</v>
      </c>
      <c r="G1352" s="17" t="s">
        <v>1996</v>
      </c>
    </row>
    <row r="1353" spans="6:7" x14ac:dyDescent="0.25">
      <c r="F1353" s="17" t="s">
        <v>2337</v>
      </c>
      <c r="G1353" s="17" t="s">
        <v>1996</v>
      </c>
    </row>
    <row r="1354" spans="6:7" x14ac:dyDescent="0.25">
      <c r="F1354" s="17" t="s">
        <v>2338</v>
      </c>
      <c r="G1354" s="17" t="s">
        <v>1996</v>
      </c>
    </row>
    <row r="1355" spans="6:7" x14ac:dyDescent="0.25">
      <c r="F1355" s="17" t="s">
        <v>2339</v>
      </c>
      <c r="G1355" s="17" t="s">
        <v>1996</v>
      </c>
    </row>
    <row r="1356" spans="6:7" x14ac:dyDescent="0.25">
      <c r="F1356" s="17" t="s">
        <v>2340</v>
      </c>
      <c r="G1356" s="17" t="s">
        <v>1996</v>
      </c>
    </row>
    <row r="1357" spans="6:7" x14ac:dyDescent="0.25">
      <c r="F1357" s="17" t="s">
        <v>2341</v>
      </c>
      <c r="G1357" s="17" t="s">
        <v>1996</v>
      </c>
    </row>
    <row r="1358" spans="6:7" x14ac:dyDescent="0.25">
      <c r="F1358" s="17" t="s">
        <v>2342</v>
      </c>
      <c r="G1358" s="17" t="s">
        <v>2241</v>
      </c>
    </row>
    <row r="1359" spans="6:7" x14ac:dyDescent="0.25">
      <c r="F1359" s="17" t="s">
        <v>2343</v>
      </c>
      <c r="G1359" s="17" t="s">
        <v>86</v>
      </c>
    </row>
    <row r="1360" spans="6:7" x14ac:dyDescent="0.25">
      <c r="F1360" s="17" t="s">
        <v>2344</v>
      </c>
      <c r="G1360" s="17" t="s">
        <v>86</v>
      </c>
    </row>
    <row r="1361" spans="6:7" x14ac:dyDescent="0.25">
      <c r="F1361" s="17" t="s">
        <v>2345</v>
      </c>
      <c r="G1361" s="17" t="s">
        <v>86</v>
      </c>
    </row>
    <row r="1362" spans="6:7" x14ac:dyDescent="0.25">
      <c r="F1362" s="17" t="s">
        <v>2346</v>
      </c>
      <c r="G1362" s="17" t="s">
        <v>86</v>
      </c>
    </row>
    <row r="1363" spans="6:7" x14ac:dyDescent="0.25">
      <c r="F1363" s="17" t="s">
        <v>2347</v>
      </c>
      <c r="G1363" s="17" t="s">
        <v>86</v>
      </c>
    </row>
    <row r="1364" spans="6:7" x14ac:dyDescent="0.25">
      <c r="F1364" s="17" t="s">
        <v>2348</v>
      </c>
      <c r="G1364" s="17" t="s">
        <v>86</v>
      </c>
    </row>
    <row r="1365" spans="6:7" x14ac:dyDescent="0.25">
      <c r="F1365" s="17" t="s">
        <v>2349</v>
      </c>
      <c r="G1365" s="17" t="s">
        <v>86</v>
      </c>
    </row>
    <row r="1366" spans="6:7" x14ac:dyDescent="0.25">
      <c r="F1366" s="17" t="s">
        <v>2350</v>
      </c>
      <c r="G1366" s="17" t="s">
        <v>86</v>
      </c>
    </row>
    <row r="1367" spans="6:7" x14ac:dyDescent="0.25">
      <c r="F1367" s="17" t="s">
        <v>2351</v>
      </c>
      <c r="G1367" s="17" t="s">
        <v>86</v>
      </c>
    </row>
    <row r="1368" spans="6:7" x14ac:dyDescent="0.25">
      <c r="F1368" s="17" t="s">
        <v>654</v>
      </c>
      <c r="G1368" s="17" t="s">
        <v>86</v>
      </c>
    </row>
    <row r="1369" spans="6:7" x14ac:dyDescent="0.25">
      <c r="F1369" s="17" t="s">
        <v>2352</v>
      </c>
      <c r="G1369" s="17" t="s">
        <v>86</v>
      </c>
    </row>
    <row r="1370" spans="6:7" x14ac:dyDescent="0.25">
      <c r="F1370" s="17" t="s">
        <v>2353</v>
      </c>
      <c r="G1370" s="17" t="s">
        <v>86</v>
      </c>
    </row>
    <row r="1371" spans="6:7" x14ac:dyDescent="0.25">
      <c r="F1371" s="17" t="s">
        <v>2354</v>
      </c>
      <c r="G1371" s="17" t="s">
        <v>86</v>
      </c>
    </row>
    <row r="1372" spans="6:7" x14ac:dyDescent="0.25">
      <c r="F1372" s="17" t="s">
        <v>2355</v>
      </c>
      <c r="G1372" s="17" t="s">
        <v>86</v>
      </c>
    </row>
    <row r="1373" spans="6:7" x14ac:dyDescent="0.25">
      <c r="F1373" s="17" t="s">
        <v>2356</v>
      </c>
      <c r="G1373" s="17" t="s">
        <v>86</v>
      </c>
    </row>
    <row r="1374" spans="6:7" x14ac:dyDescent="0.25">
      <c r="F1374" s="17" t="s">
        <v>2357</v>
      </c>
      <c r="G1374" s="17" t="s">
        <v>86</v>
      </c>
    </row>
    <row r="1375" spans="6:7" x14ac:dyDescent="0.25">
      <c r="F1375" s="17" t="s">
        <v>2358</v>
      </c>
      <c r="G1375" s="17" t="s">
        <v>86</v>
      </c>
    </row>
    <row r="1376" spans="6:7" x14ac:dyDescent="0.25">
      <c r="F1376" s="17" t="s">
        <v>2359</v>
      </c>
      <c r="G1376" s="17" t="s">
        <v>86</v>
      </c>
    </row>
    <row r="1377" spans="6:7" x14ac:dyDescent="0.25">
      <c r="F1377" s="17" t="s">
        <v>2360</v>
      </c>
      <c r="G1377" s="17" t="s">
        <v>86</v>
      </c>
    </row>
    <row r="1378" spans="6:7" x14ac:dyDescent="0.25">
      <c r="F1378" s="17" t="s">
        <v>2361</v>
      </c>
      <c r="G1378" s="17" t="s">
        <v>86</v>
      </c>
    </row>
    <row r="1379" spans="6:7" x14ac:dyDescent="0.25">
      <c r="F1379" s="17" t="s">
        <v>2362</v>
      </c>
      <c r="G1379" s="17" t="s">
        <v>2290</v>
      </c>
    </row>
    <row r="1380" spans="6:7" x14ac:dyDescent="0.25">
      <c r="F1380" s="17" t="s">
        <v>2363</v>
      </c>
      <c r="G1380" s="17" t="s">
        <v>2290</v>
      </c>
    </row>
    <row r="1381" spans="6:7" x14ac:dyDescent="0.25">
      <c r="F1381" s="17" t="s">
        <v>2364</v>
      </c>
      <c r="G1381" s="17" t="s">
        <v>209</v>
      </c>
    </row>
    <row r="1382" spans="6:7" x14ac:dyDescent="0.25">
      <c r="F1382" s="17" t="s">
        <v>2365</v>
      </c>
      <c r="G1382" s="17" t="s">
        <v>209</v>
      </c>
    </row>
    <row r="1383" spans="6:7" x14ac:dyDescent="0.25">
      <c r="F1383" s="17" t="s">
        <v>2366</v>
      </c>
      <c r="G1383" s="17" t="s">
        <v>209</v>
      </c>
    </row>
    <row r="1384" spans="6:7" x14ac:dyDescent="0.25">
      <c r="F1384" s="17" t="s">
        <v>2367</v>
      </c>
      <c r="G1384" s="17" t="s">
        <v>209</v>
      </c>
    </row>
    <row r="1385" spans="6:7" x14ac:dyDescent="0.25">
      <c r="F1385" s="17" t="s">
        <v>2368</v>
      </c>
      <c r="G1385" s="17" t="s">
        <v>209</v>
      </c>
    </row>
    <row r="1386" spans="6:7" x14ac:dyDescent="0.25">
      <c r="F1386" s="17" t="s">
        <v>2369</v>
      </c>
      <c r="G1386" s="17" t="s">
        <v>209</v>
      </c>
    </row>
    <row r="1387" spans="6:7" x14ac:dyDescent="0.25">
      <c r="F1387" s="17" t="s">
        <v>2370</v>
      </c>
      <c r="G1387" s="17" t="s">
        <v>209</v>
      </c>
    </row>
    <row r="1388" spans="6:7" x14ac:dyDescent="0.25">
      <c r="F1388" s="17" t="s">
        <v>730</v>
      </c>
      <c r="G1388" s="17" t="s">
        <v>209</v>
      </c>
    </row>
    <row r="1389" spans="6:7" x14ac:dyDescent="0.25">
      <c r="F1389" s="17" t="s">
        <v>2371</v>
      </c>
      <c r="G1389" s="17" t="s">
        <v>209</v>
      </c>
    </row>
    <row r="1390" spans="6:7" x14ac:dyDescent="0.25">
      <c r="F1390" s="17" t="s">
        <v>2372</v>
      </c>
      <c r="G1390" s="17" t="s">
        <v>2290</v>
      </c>
    </row>
    <row r="1391" spans="6:7" x14ac:dyDescent="0.25">
      <c r="F1391" s="17" t="s">
        <v>2373</v>
      </c>
      <c r="G1391" s="17" t="s">
        <v>2290</v>
      </c>
    </row>
    <row r="1392" spans="6:7" x14ac:dyDescent="0.25">
      <c r="F1392" s="17" t="s">
        <v>2374</v>
      </c>
      <c r="G1392" s="17" t="s">
        <v>2290</v>
      </c>
    </row>
    <row r="1393" spans="6:7" x14ac:dyDescent="0.25">
      <c r="F1393" s="17" t="s">
        <v>2375</v>
      </c>
      <c r="G1393" s="17" t="s">
        <v>2290</v>
      </c>
    </row>
    <row r="1394" spans="6:7" x14ac:dyDescent="0.25">
      <c r="F1394" s="17" t="s">
        <v>2376</v>
      </c>
      <c r="G1394" s="17" t="s">
        <v>2290</v>
      </c>
    </row>
    <row r="1395" spans="6:7" x14ac:dyDescent="0.25">
      <c r="F1395" s="17" t="s">
        <v>2377</v>
      </c>
      <c r="G1395" s="17" t="s">
        <v>2290</v>
      </c>
    </row>
    <row r="1396" spans="6:7" x14ac:dyDescent="0.25">
      <c r="F1396" s="17" t="s">
        <v>2378</v>
      </c>
      <c r="G1396" s="17" t="s">
        <v>2290</v>
      </c>
    </row>
    <row r="1397" spans="6:7" x14ac:dyDescent="0.25">
      <c r="F1397" s="17" t="s">
        <v>2379</v>
      </c>
      <c r="G1397" s="17" t="s">
        <v>86</v>
      </c>
    </row>
    <row r="1398" spans="6:7" x14ac:dyDescent="0.25">
      <c r="F1398" s="17" t="s">
        <v>2380</v>
      </c>
      <c r="G1398" s="17" t="s">
        <v>209</v>
      </c>
    </row>
    <row r="1399" spans="6:7" x14ac:dyDescent="0.25">
      <c r="F1399" s="17" t="s">
        <v>2381</v>
      </c>
      <c r="G1399" s="17" t="s">
        <v>86</v>
      </c>
    </row>
    <row r="1400" spans="6:7" x14ac:dyDescent="0.25">
      <c r="F1400" s="17" t="s">
        <v>2382</v>
      </c>
      <c r="G1400" s="17" t="s">
        <v>86</v>
      </c>
    </row>
    <row r="1401" spans="6:7" x14ac:dyDescent="0.25">
      <c r="F1401" s="17" t="s">
        <v>2383</v>
      </c>
      <c r="G1401" s="17" t="s">
        <v>86</v>
      </c>
    </row>
    <row r="1402" spans="6:7" x14ac:dyDescent="0.25">
      <c r="F1402" s="17" t="s">
        <v>2384</v>
      </c>
      <c r="G1402" s="17" t="s">
        <v>86</v>
      </c>
    </row>
    <row r="1403" spans="6:7" x14ac:dyDescent="0.25">
      <c r="F1403" s="17" t="s">
        <v>2385</v>
      </c>
      <c r="G1403" s="17" t="s">
        <v>86</v>
      </c>
    </row>
    <row r="1404" spans="6:7" x14ac:dyDescent="0.25">
      <c r="F1404" s="17" t="s">
        <v>2386</v>
      </c>
      <c r="G1404" s="17" t="s">
        <v>86</v>
      </c>
    </row>
    <row r="1405" spans="6:7" x14ac:dyDescent="0.25">
      <c r="F1405" s="17" t="s">
        <v>2387</v>
      </c>
      <c r="G1405" s="17" t="s">
        <v>86</v>
      </c>
    </row>
    <row r="1406" spans="6:7" x14ac:dyDescent="0.25">
      <c r="F1406" s="17" t="s">
        <v>2388</v>
      </c>
      <c r="G1406" s="17" t="s">
        <v>217</v>
      </c>
    </row>
    <row r="1407" spans="6:7" x14ac:dyDescent="0.25">
      <c r="F1407" s="17" t="s">
        <v>2389</v>
      </c>
      <c r="G1407" s="17" t="s">
        <v>217</v>
      </c>
    </row>
    <row r="1408" spans="6:7" x14ac:dyDescent="0.25">
      <c r="F1408" s="17" t="s">
        <v>2390</v>
      </c>
      <c r="G1408" s="17" t="s">
        <v>217</v>
      </c>
    </row>
    <row r="1409" spans="6:7" x14ac:dyDescent="0.25">
      <c r="F1409" s="17" t="s">
        <v>2391</v>
      </c>
      <c r="G1409" s="17" t="s">
        <v>217</v>
      </c>
    </row>
    <row r="1410" spans="6:7" x14ac:dyDescent="0.25">
      <c r="F1410" s="17" t="s">
        <v>2392</v>
      </c>
      <c r="G1410" s="17" t="s">
        <v>217</v>
      </c>
    </row>
    <row r="1411" spans="6:7" x14ac:dyDescent="0.25">
      <c r="F1411" s="17" t="s">
        <v>833</v>
      </c>
      <c r="G1411" s="17" t="s">
        <v>217</v>
      </c>
    </row>
    <row r="1412" spans="6:7" x14ac:dyDescent="0.25">
      <c r="F1412" s="17" t="s">
        <v>2393</v>
      </c>
      <c r="G1412" s="17" t="s">
        <v>217</v>
      </c>
    </row>
    <row r="1413" spans="6:7" x14ac:dyDescent="0.25">
      <c r="F1413" s="17" t="s">
        <v>539</v>
      </c>
      <c r="G1413" s="17" t="s">
        <v>217</v>
      </c>
    </row>
    <row r="1414" spans="6:7" x14ac:dyDescent="0.25">
      <c r="F1414" s="17" t="s">
        <v>656</v>
      </c>
      <c r="G1414" s="17" t="s">
        <v>217</v>
      </c>
    </row>
    <row r="1415" spans="6:7" x14ac:dyDescent="0.25">
      <c r="F1415" s="17" t="s">
        <v>2394</v>
      </c>
      <c r="G1415" s="17" t="s">
        <v>217</v>
      </c>
    </row>
    <row r="1416" spans="6:7" x14ac:dyDescent="0.25">
      <c r="F1416" s="17" t="s">
        <v>2395</v>
      </c>
      <c r="G1416" s="17" t="s">
        <v>217</v>
      </c>
    </row>
    <row r="1417" spans="6:7" x14ac:dyDescent="0.25">
      <c r="F1417" s="17" t="s">
        <v>543</v>
      </c>
      <c r="G1417" s="17" t="s">
        <v>86</v>
      </c>
    </row>
    <row r="1418" spans="6:7" x14ac:dyDescent="0.25">
      <c r="F1418" s="17" t="s">
        <v>2396</v>
      </c>
      <c r="G1418" s="17" t="s">
        <v>86</v>
      </c>
    </row>
    <row r="1419" spans="6:7" x14ac:dyDescent="0.25">
      <c r="F1419" s="17" t="s">
        <v>2397</v>
      </c>
      <c r="G1419" s="17" t="s">
        <v>86</v>
      </c>
    </row>
    <row r="1420" spans="6:7" x14ac:dyDescent="0.25">
      <c r="F1420" s="17" t="s">
        <v>913</v>
      </c>
      <c r="G1420" s="17" t="s">
        <v>86</v>
      </c>
    </row>
    <row r="1421" spans="6:7" x14ac:dyDescent="0.25">
      <c r="F1421" s="17" t="s">
        <v>2398</v>
      </c>
      <c r="G1421" s="17" t="s">
        <v>86</v>
      </c>
    </row>
    <row r="1422" spans="6:7" x14ac:dyDescent="0.25">
      <c r="F1422" s="17" t="s">
        <v>2399</v>
      </c>
      <c r="G1422" s="17" t="s">
        <v>86</v>
      </c>
    </row>
    <row r="1423" spans="6:7" x14ac:dyDescent="0.25">
      <c r="F1423" s="17" t="s">
        <v>2400</v>
      </c>
      <c r="G1423" s="17" t="s">
        <v>86</v>
      </c>
    </row>
    <row r="1424" spans="6:7" x14ac:dyDescent="0.25">
      <c r="F1424" s="17" t="s">
        <v>667</v>
      </c>
      <c r="G1424" s="17" t="s">
        <v>86</v>
      </c>
    </row>
    <row r="1425" spans="6:7" x14ac:dyDescent="0.25">
      <c r="F1425" s="17" t="s">
        <v>2401</v>
      </c>
      <c r="G1425" s="17" t="s">
        <v>217</v>
      </c>
    </row>
    <row r="1426" spans="6:7" x14ac:dyDescent="0.25">
      <c r="F1426" s="17" t="s">
        <v>2402</v>
      </c>
      <c r="G1426" s="17" t="s">
        <v>217</v>
      </c>
    </row>
    <row r="1427" spans="6:7" x14ac:dyDescent="0.25">
      <c r="F1427" s="17" t="s">
        <v>2403</v>
      </c>
      <c r="G1427" s="17" t="s">
        <v>217</v>
      </c>
    </row>
    <row r="1428" spans="6:7" x14ac:dyDescent="0.25">
      <c r="F1428" s="17" t="s">
        <v>665</v>
      </c>
      <c r="G1428" s="17" t="s">
        <v>86</v>
      </c>
    </row>
    <row r="1429" spans="6:7" x14ac:dyDescent="0.25">
      <c r="F1429" s="17" t="s">
        <v>2404</v>
      </c>
      <c r="G1429" s="17" t="s">
        <v>86</v>
      </c>
    </row>
    <row r="1430" spans="6:7" x14ac:dyDescent="0.25">
      <c r="F1430" s="17" t="s">
        <v>388</v>
      </c>
      <c r="G1430" s="17" t="s">
        <v>86</v>
      </c>
    </row>
    <row r="1431" spans="6:7" x14ac:dyDescent="0.25">
      <c r="F1431" s="17" t="s">
        <v>2405</v>
      </c>
      <c r="G1431" s="17" t="s">
        <v>86</v>
      </c>
    </row>
    <row r="1432" spans="6:7" x14ac:dyDescent="0.25">
      <c r="F1432" s="17" t="s">
        <v>2406</v>
      </c>
      <c r="G1432" s="17" t="s">
        <v>86</v>
      </c>
    </row>
    <row r="1433" spans="6:7" x14ac:dyDescent="0.25">
      <c r="F1433" s="17" t="s">
        <v>2407</v>
      </c>
      <c r="G1433" s="17" t="s">
        <v>86</v>
      </c>
    </row>
    <row r="1434" spans="6:7" x14ac:dyDescent="0.25">
      <c r="F1434" s="17" t="s">
        <v>2408</v>
      </c>
      <c r="G1434" s="17" t="s">
        <v>86</v>
      </c>
    </row>
    <row r="1435" spans="6:7" x14ac:dyDescent="0.25">
      <c r="F1435" s="17" t="s">
        <v>2409</v>
      </c>
      <c r="G1435" s="17" t="s">
        <v>86</v>
      </c>
    </row>
    <row r="1436" spans="6:7" x14ac:dyDescent="0.25">
      <c r="F1436" s="17" t="s">
        <v>2410</v>
      </c>
      <c r="G1436" s="17" t="s">
        <v>86</v>
      </c>
    </row>
    <row r="1437" spans="6:7" x14ac:dyDescent="0.25">
      <c r="F1437" s="17" t="s">
        <v>2411</v>
      </c>
      <c r="G1437" s="17" t="s">
        <v>86</v>
      </c>
    </row>
    <row r="1438" spans="6:7" x14ac:dyDescent="0.25">
      <c r="F1438" s="17" t="s">
        <v>557</v>
      </c>
      <c r="G1438" s="17" t="s">
        <v>217</v>
      </c>
    </row>
    <row r="1439" spans="6:7" x14ac:dyDescent="0.25">
      <c r="F1439" s="17" t="s">
        <v>2412</v>
      </c>
      <c r="G1439" s="17" t="s">
        <v>217</v>
      </c>
    </row>
    <row r="1440" spans="6:7" x14ac:dyDescent="0.25">
      <c r="F1440" s="17" t="s">
        <v>2413</v>
      </c>
      <c r="G1440" s="17" t="s">
        <v>217</v>
      </c>
    </row>
    <row r="1441" spans="6:7" x14ac:dyDescent="0.25">
      <c r="F1441" s="17" t="s">
        <v>2414</v>
      </c>
      <c r="G1441" s="17" t="s">
        <v>217</v>
      </c>
    </row>
    <row r="1442" spans="6:7" x14ac:dyDescent="0.25">
      <c r="F1442" s="17" t="s">
        <v>2415</v>
      </c>
      <c r="G1442" s="17" t="s">
        <v>217</v>
      </c>
    </row>
    <row r="1443" spans="6:7" x14ac:dyDescent="0.25">
      <c r="F1443" s="17" t="s">
        <v>493</v>
      </c>
      <c r="G1443" s="17" t="s">
        <v>217</v>
      </c>
    </row>
    <row r="1444" spans="6:7" x14ac:dyDescent="0.25">
      <c r="F1444" s="17" t="s">
        <v>2416</v>
      </c>
      <c r="G1444" s="17" t="s">
        <v>217</v>
      </c>
    </row>
    <row r="1445" spans="6:7" x14ac:dyDescent="0.25">
      <c r="F1445" s="17" t="s">
        <v>2417</v>
      </c>
      <c r="G1445" s="17" t="s">
        <v>217</v>
      </c>
    </row>
    <row r="1446" spans="6:7" x14ac:dyDescent="0.25">
      <c r="F1446" s="17" t="s">
        <v>2418</v>
      </c>
      <c r="G1446" s="17" t="s">
        <v>217</v>
      </c>
    </row>
    <row r="1447" spans="6:7" x14ac:dyDescent="0.25">
      <c r="F1447" s="17" t="s">
        <v>2419</v>
      </c>
      <c r="G1447" s="17" t="s">
        <v>217</v>
      </c>
    </row>
    <row r="1448" spans="6:7" x14ac:dyDescent="0.25">
      <c r="F1448" s="17" t="s">
        <v>2420</v>
      </c>
      <c r="G1448" s="17" t="s">
        <v>217</v>
      </c>
    </row>
    <row r="1449" spans="6:7" x14ac:dyDescent="0.25">
      <c r="F1449" s="17" t="s">
        <v>2421</v>
      </c>
      <c r="G1449" s="17" t="s">
        <v>217</v>
      </c>
    </row>
    <row r="1450" spans="6:7" x14ac:dyDescent="0.25">
      <c r="F1450" s="17" t="s">
        <v>2422</v>
      </c>
      <c r="G1450" s="17" t="s">
        <v>217</v>
      </c>
    </row>
    <row r="1451" spans="6:7" x14ac:dyDescent="0.25">
      <c r="F1451" s="17" t="s">
        <v>2423</v>
      </c>
      <c r="G1451" s="17" t="s">
        <v>217</v>
      </c>
    </row>
    <row r="1452" spans="6:7" x14ac:dyDescent="0.25">
      <c r="F1452" s="17" t="s">
        <v>579</v>
      </c>
      <c r="G1452" s="17" t="s">
        <v>217</v>
      </c>
    </row>
    <row r="1453" spans="6:7" x14ac:dyDescent="0.25">
      <c r="F1453" s="17" t="s">
        <v>2424</v>
      </c>
      <c r="G1453" s="17" t="s">
        <v>217</v>
      </c>
    </row>
    <row r="1454" spans="6:7" x14ac:dyDescent="0.25">
      <c r="F1454" s="17" t="s">
        <v>2425</v>
      </c>
      <c r="G1454" s="17" t="s">
        <v>217</v>
      </c>
    </row>
    <row r="1455" spans="6:7" x14ac:dyDescent="0.25">
      <c r="F1455" s="17" t="s">
        <v>2426</v>
      </c>
      <c r="G1455" s="17" t="s">
        <v>217</v>
      </c>
    </row>
    <row r="1456" spans="6:7" x14ac:dyDescent="0.25">
      <c r="F1456" s="17" t="s">
        <v>2427</v>
      </c>
      <c r="G1456" s="17" t="s">
        <v>211</v>
      </c>
    </row>
    <row r="1457" spans="6:7" x14ac:dyDescent="0.25">
      <c r="F1457" s="17" t="s">
        <v>2428</v>
      </c>
      <c r="G1457" s="17" t="s">
        <v>211</v>
      </c>
    </row>
    <row r="1458" spans="6:7" x14ac:dyDescent="0.25">
      <c r="F1458" s="17" t="s">
        <v>2429</v>
      </c>
      <c r="G1458" s="17" t="s">
        <v>217</v>
      </c>
    </row>
    <row r="1459" spans="6:7" x14ac:dyDescent="0.25">
      <c r="F1459" s="17" t="s">
        <v>2430</v>
      </c>
      <c r="G1459" s="17" t="s">
        <v>217</v>
      </c>
    </row>
    <row r="1460" spans="6:7" x14ac:dyDescent="0.25">
      <c r="F1460" s="17" t="s">
        <v>2431</v>
      </c>
      <c r="G1460" s="17" t="s">
        <v>217</v>
      </c>
    </row>
    <row r="1461" spans="6:7" x14ac:dyDescent="0.25">
      <c r="F1461" s="17" t="s">
        <v>2432</v>
      </c>
      <c r="G1461" s="17" t="s">
        <v>217</v>
      </c>
    </row>
    <row r="1462" spans="6:7" x14ac:dyDescent="0.25">
      <c r="F1462" s="17" t="s">
        <v>2433</v>
      </c>
      <c r="G1462" s="17" t="s">
        <v>217</v>
      </c>
    </row>
    <row r="1463" spans="6:7" x14ac:dyDescent="0.25">
      <c r="F1463" s="17" t="s">
        <v>2434</v>
      </c>
      <c r="G1463" s="17" t="s">
        <v>86</v>
      </c>
    </row>
    <row r="1464" spans="6:7" x14ac:dyDescent="0.25">
      <c r="F1464" s="17" t="s">
        <v>2435</v>
      </c>
      <c r="G1464" s="17" t="s">
        <v>86</v>
      </c>
    </row>
    <row r="1465" spans="6:7" x14ac:dyDescent="0.25">
      <c r="F1465" s="17" t="s">
        <v>2436</v>
      </c>
      <c r="G1465" s="17" t="s">
        <v>86</v>
      </c>
    </row>
    <row r="1466" spans="6:7" x14ac:dyDescent="0.25">
      <c r="F1466" s="17" t="s">
        <v>2437</v>
      </c>
      <c r="G1466" s="17" t="s">
        <v>86</v>
      </c>
    </row>
    <row r="1467" spans="6:7" x14ac:dyDescent="0.25">
      <c r="F1467" s="17" t="s">
        <v>2438</v>
      </c>
      <c r="G1467" s="17" t="s">
        <v>86</v>
      </c>
    </row>
    <row r="1468" spans="6:7" x14ac:dyDescent="0.25">
      <c r="F1468" s="17" t="s">
        <v>808</v>
      </c>
      <c r="G1468" s="17" t="s">
        <v>86</v>
      </c>
    </row>
    <row r="1469" spans="6:7" x14ac:dyDescent="0.25">
      <c r="F1469" s="17" t="s">
        <v>2439</v>
      </c>
      <c r="G1469" s="17" t="s">
        <v>86</v>
      </c>
    </row>
    <row r="1470" spans="6:7" x14ac:dyDescent="0.25">
      <c r="F1470" s="17" t="s">
        <v>2440</v>
      </c>
      <c r="G1470" s="17" t="s">
        <v>86</v>
      </c>
    </row>
    <row r="1471" spans="6:7" x14ac:dyDescent="0.25">
      <c r="F1471" s="17" t="s">
        <v>2441</v>
      </c>
      <c r="G1471" s="17" t="s">
        <v>86</v>
      </c>
    </row>
    <row r="1472" spans="6:7" x14ac:dyDescent="0.25">
      <c r="F1472" s="17" t="s">
        <v>2442</v>
      </c>
      <c r="G1472" s="17" t="s">
        <v>86</v>
      </c>
    </row>
    <row r="1473" spans="6:7" x14ac:dyDescent="0.25">
      <c r="F1473" s="17" t="s">
        <v>2443</v>
      </c>
      <c r="G1473" s="17" t="s">
        <v>86</v>
      </c>
    </row>
    <row r="1474" spans="6:7" x14ac:dyDescent="0.25">
      <c r="F1474" s="17" t="s">
        <v>2444</v>
      </c>
      <c r="G1474" s="17" t="s">
        <v>86</v>
      </c>
    </row>
    <row r="1475" spans="6:7" x14ac:dyDescent="0.25">
      <c r="F1475" s="17" t="s">
        <v>2445</v>
      </c>
      <c r="G1475" s="17" t="s">
        <v>86</v>
      </c>
    </row>
    <row r="1476" spans="6:7" x14ac:dyDescent="0.25">
      <c r="F1476" s="17" t="s">
        <v>2446</v>
      </c>
      <c r="G1476" s="17" t="s">
        <v>86</v>
      </c>
    </row>
    <row r="1477" spans="6:7" x14ac:dyDescent="0.25">
      <c r="F1477" s="17" t="s">
        <v>2447</v>
      </c>
      <c r="G1477" s="17" t="s">
        <v>86</v>
      </c>
    </row>
    <row r="1478" spans="6:7" x14ac:dyDescent="0.25">
      <c r="F1478" s="17" t="s">
        <v>2448</v>
      </c>
      <c r="G1478" s="17" t="s">
        <v>86</v>
      </c>
    </row>
    <row r="1479" spans="6:7" x14ac:dyDescent="0.25">
      <c r="F1479" s="17" t="s">
        <v>2449</v>
      </c>
      <c r="G1479" s="17" t="s">
        <v>86</v>
      </c>
    </row>
    <row r="1480" spans="6:7" x14ac:dyDescent="0.25">
      <c r="F1480" s="17" t="s">
        <v>865</v>
      </c>
      <c r="G1480" s="17" t="s">
        <v>86</v>
      </c>
    </row>
    <row r="1481" spans="6:7" x14ac:dyDescent="0.25">
      <c r="F1481" s="17" t="s">
        <v>410</v>
      </c>
      <c r="G1481" s="17" t="s">
        <v>86</v>
      </c>
    </row>
    <row r="1482" spans="6:7" x14ac:dyDescent="0.25">
      <c r="F1482" s="17" t="s">
        <v>816</v>
      </c>
      <c r="G1482" s="17" t="s">
        <v>86</v>
      </c>
    </row>
    <row r="1483" spans="6:7" x14ac:dyDescent="0.25">
      <c r="F1483" s="17" t="s">
        <v>2450</v>
      </c>
      <c r="G1483" s="17" t="s">
        <v>209</v>
      </c>
    </row>
    <row r="1484" spans="6:7" x14ac:dyDescent="0.25">
      <c r="F1484" s="17" t="s">
        <v>2451</v>
      </c>
      <c r="G1484" s="17" t="s">
        <v>209</v>
      </c>
    </row>
    <row r="1485" spans="6:7" x14ac:dyDescent="0.25">
      <c r="F1485" s="17" t="s">
        <v>2452</v>
      </c>
      <c r="G1485" s="17" t="s">
        <v>209</v>
      </c>
    </row>
    <row r="1486" spans="6:7" x14ac:dyDescent="0.25">
      <c r="F1486" s="17" t="s">
        <v>2453</v>
      </c>
      <c r="G1486" s="17" t="s">
        <v>209</v>
      </c>
    </row>
    <row r="1487" spans="6:7" x14ac:dyDescent="0.25">
      <c r="F1487" s="17" t="s">
        <v>2454</v>
      </c>
      <c r="G1487" s="17" t="s">
        <v>209</v>
      </c>
    </row>
    <row r="1488" spans="6:7" x14ac:dyDescent="0.25">
      <c r="F1488" s="17" t="s">
        <v>2455</v>
      </c>
      <c r="G1488" s="17" t="s">
        <v>209</v>
      </c>
    </row>
    <row r="1489" spans="6:7" x14ac:dyDescent="0.25">
      <c r="F1489" s="17" t="s">
        <v>2456</v>
      </c>
      <c r="G1489" s="17" t="s">
        <v>209</v>
      </c>
    </row>
    <row r="1490" spans="6:7" x14ac:dyDescent="0.25">
      <c r="F1490" s="17" t="s">
        <v>2457</v>
      </c>
      <c r="G1490" s="17" t="s">
        <v>209</v>
      </c>
    </row>
    <row r="1491" spans="6:7" x14ac:dyDescent="0.25">
      <c r="F1491" s="17" t="s">
        <v>2458</v>
      </c>
      <c r="G1491" s="17" t="s">
        <v>209</v>
      </c>
    </row>
    <row r="1492" spans="6:7" x14ac:dyDescent="0.25">
      <c r="F1492" s="17" t="s">
        <v>2459</v>
      </c>
      <c r="G1492" s="17" t="s">
        <v>209</v>
      </c>
    </row>
    <row r="1493" spans="6:7" x14ac:dyDescent="0.25">
      <c r="F1493" s="17" t="s">
        <v>2460</v>
      </c>
      <c r="G1493" s="17" t="s">
        <v>209</v>
      </c>
    </row>
    <row r="1494" spans="6:7" x14ac:dyDescent="0.25">
      <c r="F1494" s="17" t="s">
        <v>2461</v>
      </c>
      <c r="G1494" s="17" t="s">
        <v>209</v>
      </c>
    </row>
    <row r="1495" spans="6:7" x14ac:dyDescent="0.25">
      <c r="F1495" s="17" t="s">
        <v>916</v>
      </c>
      <c r="G1495" s="17" t="s">
        <v>209</v>
      </c>
    </row>
    <row r="1496" spans="6:7" x14ac:dyDescent="0.25">
      <c r="F1496" s="17" t="s">
        <v>2462</v>
      </c>
      <c r="G1496" s="17" t="s">
        <v>209</v>
      </c>
    </row>
    <row r="1497" spans="6:7" x14ac:dyDescent="0.25">
      <c r="F1497" s="17" t="s">
        <v>917</v>
      </c>
      <c r="G1497" s="17" t="s">
        <v>209</v>
      </c>
    </row>
    <row r="1498" spans="6:7" x14ac:dyDescent="0.25">
      <c r="F1498" s="17" t="s">
        <v>2463</v>
      </c>
      <c r="G1498" s="17" t="s">
        <v>209</v>
      </c>
    </row>
    <row r="1499" spans="6:7" x14ac:dyDescent="0.25">
      <c r="F1499" s="17" t="s">
        <v>2464</v>
      </c>
      <c r="G1499" s="17" t="s">
        <v>209</v>
      </c>
    </row>
    <row r="1500" spans="6:7" x14ac:dyDescent="0.25">
      <c r="F1500" s="17" t="s">
        <v>921</v>
      </c>
      <c r="G1500" s="17" t="s">
        <v>209</v>
      </c>
    </row>
    <row r="1501" spans="6:7" x14ac:dyDescent="0.25">
      <c r="F1501" s="17" t="s">
        <v>2465</v>
      </c>
      <c r="G1501" s="17" t="s">
        <v>209</v>
      </c>
    </row>
    <row r="1502" spans="6:7" x14ac:dyDescent="0.25">
      <c r="F1502" s="17" t="s">
        <v>986</v>
      </c>
      <c r="G1502" s="17" t="s">
        <v>209</v>
      </c>
    </row>
    <row r="1503" spans="6:7" x14ac:dyDescent="0.25">
      <c r="F1503" s="17" t="s">
        <v>2466</v>
      </c>
      <c r="G1503" s="17" t="s">
        <v>209</v>
      </c>
    </row>
    <row r="1504" spans="6:7" x14ac:dyDescent="0.25">
      <c r="F1504" s="17" t="s">
        <v>728</v>
      </c>
      <c r="G1504" s="17" t="s">
        <v>209</v>
      </c>
    </row>
    <row r="1505" spans="6:7" x14ac:dyDescent="0.25">
      <c r="F1505" s="17" t="s">
        <v>2467</v>
      </c>
      <c r="G1505" s="17" t="s">
        <v>209</v>
      </c>
    </row>
    <row r="1506" spans="6:7" x14ac:dyDescent="0.25">
      <c r="F1506" s="17" t="s">
        <v>2468</v>
      </c>
      <c r="G1506" s="17" t="s">
        <v>209</v>
      </c>
    </row>
    <row r="1507" spans="6:7" x14ac:dyDescent="0.25">
      <c r="F1507" s="17" t="s">
        <v>2469</v>
      </c>
      <c r="G1507" s="17" t="s">
        <v>209</v>
      </c>
    </row>
    <row r="1508" spans="6:7" x14ac:dyDescent="0.25">
      <c r="F1508" s="17" t="s">
        <v>2470</v>
      </c>
      <c r="G1508" s="17" t="s">
        <v>209</v>
      </c>
    </row>
    <row r="1509" spans="6:7" x14ac:dyDescent="0.25">
      <c r="F1509" s="17" t="s">
        <v>2471</v>
      </c>
      <c r="G1509" s="17" t="s">
        <v>209</v>
      </c>
    </row>
    <row r="1510" spans="6:7" x14ac:dyDescent="0.25">
      <c r="F1510" s="17" t="s">
        <v>2472</v>
      </c>
      <c r="G1510" s="17" t="s">
        <v>209</v>
      </c>
    </row>
    <row r="1511" spans="6:7" x14ac:dyDescent="0.25">
      <c r="F1511" s="17" t="s">
        <v>2473</v>
      </c>
      <c r="G1511" s="17" t="s">
        <v>209</v>
      </c>
    </row>
    <row r="1512" spans="6:7" x14ac:dyDescent="0.25">
      <c r="F1512" s="17" t="s">
        <v>2474</v>
      </c>
      <c r="G1512" s="17" t="s">
        <v>209</v>
      </c>
    </row>
    <row r="1513" spans="6:7" x14ac:dyDescent="0.25">
      <c r="F1513" s="17" t="s">
        <v>2475</v>
      </c>
      <c r="G1513" s="17" t="s">
        <v>209</v>
      </c>
    </row>
    <row r="1514" spans="6:7" x14ac:dyDescent="0.25">
      <c r="F1514" s="17" t="s">
        <v>2476</v>
      </c>
      <c r="G1514" s="17" t="s">
        <v>209</v>
      </c>
    </row>
    <row r="1515" spans="6:7" x14ac:dyDescent="0.25">
      <c r="F1515" s="17" t="s">
        <v>349</v>
      </c>
      <c r="G1515" s="17" t="s">
        <v>209</v>
      </c>
    </row>
    <row r="1516" spans="6:7" x14ac:dyDescent="0.25">
      <c r="F1516" s="17" t="s">
        <v>2477</v>
      </c>
      <c r="G1516" s="17" t="s">
        <v>209</v>
      </c>
    </row>
    <row r="1517" spans="6:7" x14ac:dyDescent="0.25">
      <c r="F1517" s="17" t="s">
        <v>2478</v>
      </c>
      <c r="G1517" s="17" t="s">
        <v>209</v>
      </c>
    </row>
    <row r="1518" spans="6:7" x14ac:dyDescent="0.25">
      <c r="F1518" s="17" t="s">
        <v>2479</v>
      </c>
      <c r="G1518" s="17" t="s">
        <v>209</v>
      </c>
    </row>
    <row r="1519" spans="6:7" x14ac:dyDescent="0.25">
      <c r="F1519" s="17" t="s">
        <v>2480</v>
      </c>
      <c r="G1519" s="17" t="s">
        <v>209</v>
      </c>
    </row>
    <row r="1520" spans="6:7" x14ac:dyDescent="0.25">
      <c r="F1520" s="17" t="s">
        <v>2481</v>
      </c>
      <c r="G1520" s="17" t="s">
        <v>209</v>
      </c>
    </row>
    <row r="1521" spans="6:7" x14ac:dyDescent="0.25">
      <c r="F1521" s="17" t="s">
        <v>2482</v>
      </c>
      <c r="G1521" s="17" t="s">
        <v>209</v>
      </c>
    </row>
    <row r="1522" spans="6:7" x14ac:dyDescent="0.25">
      <c r="F1522" s="17" t="s">
        <v>2483</v>
      </c>
      <c r="G1522" s="17" t="s">
        <v>209</v>
      </c>
    </row>
    <row r="1523" spans="6:7" x14ac:dyDescent="0.25">
      <c r="F1523" s="17" t="s">
        <v>2484</v>
      </c>
      <c r="G1523" s="17" t="s">
        <v>1996</v>
      </c>
    </row>
    <row r="1524" spans="6:7" x14ac:dyDescent="0.25">
      <c r="F1524" s="17" t="s">
        <v>2485</v>
      </c>
      <c r="G1524" s="17" t="s">
        <v>1996</v>
      </c>
    </row>
    <row r="1525" spans="6:7" x14ac:dyDescent="0.25">
      <c r="F1525" s="17" t="s">
        <v>2486</v>
      </c>
      <c r="G1525" s="17" t="s">
        <v>1996</v>
      </c>
    </row>
    <row r="1526" spans="6:7" x14ac:dyDescent="0.25">
      <c r="F1526" s="17" t="s">
        <v>2487</v>
      </c>
      <c r="G1526" s="17" t="s">
        <v>1996</v>
      </c>
    </row>
    <row r="1527" spans="6:7" x14ac:dyDescent="0.25">
      <c r="F1527" s="17" t="s">
        <v>2488</v>
      </c>
      <c r="G1527" s="17" t="s">
        <v>209</v>
      </c>
    </row>
    <row r="1528" spans="6:7" x14ac:dyDescent="0.25">
      <c r="F1528" s="17" t="s">
        <v>2489</v>
      </c>
      <c r="G1528" s="17" t="s">
        <v>209</v>
      </c>
    </row>
    <row r="1529" spans="6:7" x14ac:dyDescent="0.25">
      <c r="F1529" s="17" t="s">
        <v>2490</v>
      </c>
      <c r="G1529" s="17" t="s">
        <v>209</v>
      </c>
    </row>
    <row r="1530" spans="6:7" x14ac:dyDescent="0.25">
      <c r="F1530" s="17" t="s">
        <v>724</v>
      </c>
      <c r="G1530" s="17" t="s">
        <v>209</v>
      </c>
    </row>
    <row r="1531" spans="6:7" x14ac:dyDescent="0.25">
      <c r="F1531" s="17" t="s">
        <v>2491</v>
      </c>
      <c r="G1531" s="17" t="s">
        <v>209</v>
      </c>
    </row>
    <row r="1532" spans="6:7" x14ac:dyDescent="0.25">
      <c r="F1532" s="17" t="s">
        <v>2492</v>
      </c>
      <c r="G1532" s="17" t="s">
        <v>209</v>
      </c>
    </row>
    <row r="1533" spans="6:7" x14ac:dyDescent="0.25">
      <c r="F1533" s="17" t="s">
        <v>2493</v>
      </c>
      <c r="G1533" s="17" t="s">
        <v>209</v>
      </c>
    </row>
    <row r="1534" spans="6:7" x14ac:dyDescent="0.25">
      <c r="F1534" s="17" t="s">
        <v>2494</v>
      </c>
      <c r="G1534" s="17" t="s">
        <v>209</v>
      </c>
    </row>
    <row r="1535" spans="6:7" x14ac:dyDescent="0.25">
      <c r="F1535" s="17" t="s">
        <v>2495</v>
      </c>
      <c r="G1535" s="17" t="s">
        <v>209</v>
      </c>
    </row>
    <row r="1536" spans="6:7" x14ac:dyDescent="0.25">
      <c r="F1536" s="17" t="s">
        <v>2496</v>
      </c>
      <c r="G1536" s="17" t="s">
        <v>1887</v>
      </c>
    </row>
    <row r="1537" spans="6:7" x14ac:dyDescent="0.25">
      <c r="F1537" s="17" t="s">
        <v>931</v>
      </c>
      <c r="G1537" s="17" t="s">
        <v>209</v>
      </c>
    </row>
    <row r="1538" spans="6:7" x14ac:dyDescent="0.25">
      <c r="F1538" s="17" t="s">
        <v>2497</v>
      </c>
      <c r="G1538" s="17" t="s">
        <v>209</v>
      </c>
    </row>
    <row r="1539" spans="6:7" x14ac:dyDescent="0.25">
      <c r="F1539" s="17" t="s">
        <v>2498</v>
      </c>
      <c r="G1539" s="17" t="s">
        <v>209</v>
      </c>
    </row>
    <row r="1540" spans="6:7" x14ac:dyDescent="0.25">
      <c r="F1540" s="17" t="s">
        <v>2499</v>
      </c>
      <c r="G1540" s="17" t="s">
        <v>209</v>
      </c>
    </row>
    <row r="1541" spans="6:7" x14ac:dyDescent="0.25">
      <c r="F1541" s="17" t="s">
        <v>2500</v>
      </c>
      <c r="G1541" s="17" t="s">
        <v>209</v>
      </c>
    </row>
    <row r="1542" spans="6:7" x14ac:dyDescent="0.25">
      <c r="F1542" s="17" t="s">
        <v>2501</v>
      </c>
      <c r="G1542" s="17" t="s">
        <v>209</v>
      </c>
    </row>
    <row r="1543" spans="6:7" x14ac:dyDescent="0.25">
      <c r="F1543" s="17" t="s">
        <v>902</v>
      </c>
      <c r="G1543" s="17" t="s">
        <v>209</v>
      </c>
    </row>
    <row r="1544" spans="6:7" x14ac:dyDescent="0.25">
      <c r="F1544" s="17" t="s">
        <v>932</v>
      </c>
      <c r="G1544" s="17" t="s">
        <v>209</v>
      </c>
    </row>
    <row r="1545" spans="6:7" x14ac:dyDescent="0.25">
      <c r="F1545" s="17" t="s">
        <v>2502</v>
      </c>
      <c r="G1545" s="17" t="s">
        <v>209</v>
      </c>
    </row>
    <row r="1546" spans="6:7" x14ac:dyDescent="0.25">
      <c r="F1546" s="17" t="s">
        <v>2503</v>
      </c>
      <c r="G1546" s="17" t="s">
        <v>209</v>
      </c>
    </row>
    <row r="1547" spans="6:7" x14ac:dyDescent="0.25">
      <c r="F1547" s="17" t="s">
        <v>367</v>
      </c>
      <c r="G1547" s="17" t="s">
        <v>209</v>
      </c>
    </row>
    <row r="1548" spans="6:7" x14ac:dyDescent="0.25">
      <c r="F1548" s="17" t="s">
        <v>2504</v>
      </c>
      <c r="G1548" s="17" t="s">
        <v>209</v>
      </c>
    </row>
    <row r="1549" spans="6:7" x14ac:dyDescent="0.25">
      <c r="F1549" s="17" t="s">
        <v>2505</v>
      </c>
      <c r="G1549" s="17" t="s">
        <v>2506</v>
      </c>
    </row>
    <row r="1550" spans="6:7" x14ac:dyDescent="0.25">
      <c r="F1550" s="17" t="s">
        <v>2507</v>
      </c>
      <c r="G1550" s="17" t="s">
        <v>2506</v>
      </c>
    </row>
    <row r="1551" spans="6:7" x14ac:dyDescent="0.25">
      <c r="F1551" s="17" t="s">
        <v>2508</v>
      </c>
      <c r="G1551" s="17" t="s">
        <v>2506</v>
      </c>
    </row>
    <row r="1552" spans="6:7" x14ac:dyDescent="0.25">
      <c r="F1552" s="17" t="s">
        <v>2509</v>
      </c>
      <c r="G1552" s="17" t="s">
        <v>2506</v>
      </c>
    </row>
    <row r="1553" spans="6:7" x14ac:dyDescent="0.25">
      <c r="F1553" s="17" t="s">
        <v>2510</v>
      </c>
      <c r="G1553" s="17" t="s">
        <v>2506</v>
      </c>
    </row>
    <row r="1554" spans="6:7" x14ac:dyDescent="0.25">
      <c r="F1554" s="17" t="s">
        <v>2511</v>
      </c>
      <c r="G1554" s="17" t="s">
        <v>2506</v>
      </c>
    </row>
    <row r="1555" spans="6:7" x14ac:dyDescent="0.25">
      <c r="F1555" s="17" t="s">
        <v>2512</v>
      </c>
      <c r="G1555" s="17" t="s">
        <v>2506</v>
      </c>
    </row>
    <row r="1556" spans="6:7" x14ac:dyDescent="0.25">
      <c r="F1556" s="17" t="s">
        <v>2513</v>
      </c>
      <c r="G1556" s="17" t="s">
        <v>1067</v>
      </c>
    </row>
    <row r="1557" spans="6:7" x14ac:dyDescent="0.25">
      <c r="F1557" s="17" t="s">
        <v>2514</v>
      </c>
      <c r="G1557" s="17" t="s">
        <v>1067</v>
      </c>
    </row>
    <row r="1558" spans="6:7" x14ac:dyDescent="0.25">
      <c r="F1558" s="17" t="s">
        <v>2515</v>
      </c>
      <c r="G1558" s="17" t="s">
        <v>1067</v>
      </c>
    </row>
    <row r="1559" spans="6:7" x14ac:dyDescent="0.25">
      <c r="F1559" s="17" t="s">
        <v>2516</v>
      </c>
      <c r="G1559" s="17" t="s">
        <v>1083</v>
      </c>
    </row>
    <row r="1560" spans="6:7" x14ac:dyDescent="0.25">
      <c r="F1560" s="17" t="s">
        <v>2517</v>
      </c>
      <c r="G1560" s="17" t="s">
        <v>1083</v>
      </c>
    </row>
    <row r="1561" spans="6:7" x14ac:dyDescent="0.25">
      <c r="F1561" s="17" t="s">
        <v>2518</v>
      </c>
      <c r="G1561" s="17" t="s">
        <v>1067</v>
      </c>
    </row>
    <row r="1562" spans="6:7" x14ac:dyDescent="0.25">
      <c r="F1562" s="17" t="s">
        <v>2519</v>
      </c>
      <c r="G1562" s="17" t="s">
        <v>1067</v>
      </c>
    </row>
    <row r="1563" spans="6:7" x14ac:dyDescent="0.25">
      <c r="F1563" s="17" t="s">
        <v>2520</v>
      </c>
      <c r="G1563" s="17" t="s">
        <v>1067</v>
      </c>
    </row>
    <row r="1564" spans="6:7" x14ac:dyDescent="0.25">
      <c r="F1564" s="17" t="s">
        <v>2521</v>
      </c>
      <c r="G1564" s="17" t="s">
        <v>1067</v>
      </c>
    </row>
    <row r="1565" spans="6:7" x14ac:dyDescent="0.25">
      <c r="F1565" s="17" t="s">
        <v>2522</v>
      </c>
      <c r="G1565" s="17" t="s">
        <v>1067</v>
      </c>
    </row>
    <row r="1566" spans="6:7" x14ac:dyDescent="0.25">
      <c r="F1566" s="17" t="s">
        <v>2523</v>
      </c>
      <c r="G1566" s="17" t="s">
        <v>1067</v>
      </c>
    </row>
    <row r="1567" spans="6:7" x14ac:dyDescent="0.25">
      <c r="F1567" s="17" t="s">
        <v>2524</v>
      </c>
      <c r="G1567" s="17" t="s">
        <v>1067</v>
      </c>
    </row>
    <row r="1568" spans="6:7" x14ac:dyDescent="0.25">
      <c r="F1568" s="17" t="s">
        <v>2525</v>
      </c>
      <c r="G1568" s="17" t="s">
        <v>1067</v>
      </c>
    </row>
    <row r="1569" spans="6:7" x14ac:dyDescent="0.25">
      <c r="F1569" s="17" t="s">
        <v>2526</v>
      </c>
      <c r="G1569" s="17" t="s">
        <v>1067</v>
      </c>
    </row>
    <row r="1570" spans="6:7" x14ac:dyDescent="0.25">
      <c r="F1570" s="17" t="s">
        <v>2527</v>
      </c>
      <c r="G1570" s="17" t="s">
        <v>1067</v>
      </c>
    </row>
    <row r="1571" spans="6:7" x14ac:dyDescent="0.25">
      <c r="F1571" s="17" t="s">
        <v>2528</v>
      </c>
      <c r="G1571" s="17" t="s">
        <v>1067</v>
      </c>
    </row>
    <row r="1572" spans="6:7" x14ac:dyDescent="0.25">
      <c r="F1572" s="17" t="s">
        <v>2529</v>
      </c>
      <c r="G1572" s="17" t="s">
        <v>1083</v>
      </c>
    </row>
    <row r="1573" spans="6:7" x14ac:dyDescent="0.25">
      <c r="F1573" s="17" t="s">
        <v>2530</v>
      </c>
      <c r="G1573" s="17" t="s">
        <v>1083</v>
      </c>
    </row>
    <row r="1574" spans="6:7" x14ac:dyDescent="0.25">
      <c r="F1574" s="17" t="s">
        <v>2531</v>
      </c>
      <c r="G1574" s="17" t="s">
        <v>1083</v>
      </c>
    </row>
    <row r="1575" spans="6:7" x14ac:dyDescent="0.25">
      <c r="F1575" s="17" t="s">
        <v>2532</v>
      </c>
      <c r="G1575" s="17" t="s">
        <v>1083</v>
      </c>
    </row>
    <row r="1576" spans="6:7" x14ac:dyDescent="0.25">
      <c r="F1576" s="17" t="s">
        <v>2533</v>
      </c>
      <c r="G1576" s="17" t="s">
        <v>1083</v>
      </c>
    </row>
    <row r="1577" spans="6:7" x14ac:dyDescent="0.25">
      <c r="F1577" s="17" t="s">
        <v>2534</v>
      </c>
      <c r="G1577" s="17" t="s">
        <v>1083</v>
      </c>
    </row>
    <row r="1578" spans="6:7" x14ac:dyDescent="0.25">
      <c r="F1578" s="17" t="s">
        <v>2535</v>
      </c>
      <c r="G1578" s="17" t="s">
        <v>1083</v>
      </c>
    </row>
    <row r="1579" spans="6:7" x14ac:dyDescent="0.25">
      <c r="F1579" s="17" t="s">
        <v>2536</v>
      </c>
      <c r="G1579" s="17" t="s">
        <v>1083</v>
      </c>
    </row>
    <row r="1580" spans="6:7" x14ac:dyDescent="0.25">
      <c r="F1580" s="17" t="s">
        <v>2537</v>
      </c>
      <c r="G1580" s="17" t="s">
        <v>1083</v>
      </c>
    </row>
    <row r="1581" spans="6:7" x14ac:dyDescent="0.25">
      <c r="F1581" s="17" t="s">
        <v>2538</v>
      </c>
      <c r="G1581" s="17" t="s">
        <v>1083</v>
      </c>
    </row>
    <row r="1582" spans="6:7" x14ac:dyDescent="0.25">
      <c r="F1582" s="17" t="s">
        <v>2539</v>
      </c>
      <c r="G1582" s="17" t="s">
        <v>1083</v>
      </c>
    </row>
    <row r="1583" spans="6:7" x14ac:dyDescent="0.25">
      <c r="F1583" s="17" t="s">
        <v>2540</v>
      </c>
      <c r="G1583" s="17" t="s">
        <v>1083</v>
      </c>
    </row>
    <row r="1584" spans="6:7" x14ac:dyDescent="0.25">
      <c r="F1584" s="17" t="s">
        <v>2541</v>
      </c>
      <c r="G1584" s="17" t="s">
        <v>1083</v>
      </c>
    </row>
    <row r="1585" spans="6:7" x14ac:dyDescent="0.25">
      <c r="F1585" s="17" t="s">
        <v>2542</v>
      </c>
      <c r="G1585" s="17" t="s">
        <v>1083</v>
      </c>
    </row>
    <row r="1586" spans="6:7" x14ac:dyDescent="0.25">
      <c r="F1586" s="17" t="s">
        <v>2543</v>
      </c>
      <c r="G1586" s="17" t="s">
        <v>1083</v>
      </c>
    </row>
    <row r="1587" spans="6:7" x14ac:dyDescent="0.25">
      <c r="F1587" s="17" t="s">
        <v>2544</v>
      </c>
      <c r="G1587" s="17" t="s">
        <v>1083</v>
      </c>
    </row>
    <row r="1588" spans="6:7" x14ac:dyDescent="0.25">
      <c r="F1588" s="17" t="s">
        <v>2545</v>
      </c>
      <c r="G1588" s="17" t="s">
        <v>2546</v>
      </c>
    </row>
    <row r="1589" spans="6:7" x14ac:dyDescent="0.25">
      <c r="F1589" s="17" t="s">
        <v>2547</v>
      </c>
      <c r="G1589" s="17" t="s">
        <v>2548</v>
      </c>
    </row>
    <row r="1590" spans="6:7" x14ac:dyDescent="0.25">
      <c r="F1590" s="17" t="s">
        <v>2549</v>
      </c>
      <c r="G1590" s="17" t="s">
        <v>2550</v>
      </c>
    </row>
    <row r="1591" spans="6:7" x14ac:dyDescent="0.25">
      <c r="F1591" s="17" t="s">
        <v>2551</v>
      </c>
      <c r="G1591" s="17" t="s">
        <v>2550</v>
      </c>
    </row>
    <row r="1592" spans="6:7" x14ac:dyDescent="0.25">
      <c r="F1592" s="17" t="s">
        <v>2552</v>
      </c>
      <c r="G1592" s="17" t="s">
        <v>2550</v>
      </c>
    </row>
    <row r="1593" spans="6:7" x14ac:dyDescent="0.25">
      <c r="F1593" s="17" t="s">
        <v>2553</v>
      </c>
      <c r="G1593" s="17" t="s">
        <v>2550</v>
      </c>
    </row>
    <row r="1594" spans="6:7" x14ac:dyDescent="0.25">
      <c r="F1594" s="17" t="s">
        <v>2554</v>
      </c>
      <c r="G1594" s="17" t="s">
        <v>2550</v>
      </c>
    </row>
    <row r="1595" spans="6:7" x14ac:dyDescent="0.25">
      <c r="F1595" s="17" t="s">
        <v>2555</v>
      </c>
      <c r="G1595" s="17" t="s">
        <v>2546</v>
      </c>
    </row>
    <row r="1596" spans="6:7" x14ac:dyDescent="0.25">
      <c r="F1596" s="17" t="s">
        <v>2556</v>
      </c>
      <c r="G1596" s="17" t="s">
        <v>2548</v>
      </c>
    </row>
    <row r="1597" spans="6:7" x14ac:dyDescent="0.25">
      <c r="F1597" s="17" t="s">
        <v>2557</v>
      </c>
      <c r="G1597" s="17" t="s">
        <v>2548</v>
      </c>
    </row>
    <row r="1598" spans="6:7" x14ac:dyDescent="0.25">
      <c r="F1598" s="17" t="s">
        <v>2558</v>
      </c>
      <c r="G1598" s="17" t="s">
        <v>1175</v>
      </c>
    </row>
    <row r="1599" spans="6:7" x14ac:dyDescent="0.25">
      <c r="F1599" s="17" t="s">
        <v>2559</v>
      </c>
      <c r="G1599" s="17" t="s">
        <v>1877</v>
      </c>
    </row>
    <row r="1600" spans="6:7" x14ac:dyDescent="0.25">
      <c r="F1600" s="17" t="s">
        <v>2560</v>
      </c>
      <c r="G1600" s="17" t="s">
        <v>1175</v>
      </c>
    </row>
    <row r="1601" spans="6:7" x14ac:dyDescent="0.25">
      <c r="F1601" s="17" t="s">
        <v>2561</v>
      </c>
      <c r="G1601" s="17" t="s">
        <v>1175</v>
      </c>
    </row>
    <row r="1602" spans="6:7" x14ac:dyDescent="0.25">
      <c r="F1602" s="17" t="s">
        <v>2562</v>
      </c>
      <c r="G1602" s="17" t="s">
        <v>1175</v>
      </c>
    </row>
    <row r="1603" spans="6:7" x14ac:dyDescent="0.25">
      <c r="F1603" s="17" t="s">
        <v>2563</v>
      </c>
      <c r="G1603" s="17" t="s">
        <v>1175</v>
      </c>
    </row>
    <row r="1604" spans="6:7" x14ac:dyDescent="0.25">
      <c r="F1604" s="17" t="s">
        <v>2564</v>
      </c>
      <c r="G1604" s="17" t="s">
        <v>1175</v>
      </c>
    </row>
    <row r="1605" spans="6:7" x14ac:dyDescent="0.25">
      <c r="F1605" s="17" t="s">
        <v>2565</v>
      </c>
      <c r="G1605" s="17" t="s">
        <v>1175</v>
      </c>
    </row>
    <row r="1606" spans="6:7" x14ac:dyDescent="0.25">
      <c r="F1606" s="17" t="s">
        <v>2566</v>
      </c>
      <c r="G1606" s="17" t="s">
        <v>1175</v>
      </c>
    </row>
    <row r="1607" spans="6:7" x14ac:dyDescent="0.25">
      <c r="F1607" s="17" t="s">
        <v>2567</v>
      </c>
      <c r="G1607" s="17" t="s">
        <v>1175</v>
      </c>
    </row>
    <row r="1608" spans="6:7" x14ac:dyDescent="0.25">
      <c r="F1608" s="17" t="s">
        <v>2568</v>
      </c>
      <c r="G1608" s="17" t="s">
        <v>1175</v>
      </c>
    </row>
    <row r="1609" spans="6:7" x14ac:dyDescent="0.25">
      <c r="F1609" s="17" t="s">
        <v>2569</v>
      </c>
      <c r="G1609" s="17" t="s">
        <v>1175</v>
      </c>
    </row>
    <row r="1610" spans="6:7" x14ac:dyDescent="0.25">
      <c r="F1610" s="17" t="s">
        <v>2570</v>
      </c>
      <c r="G1610" s="17" t="s">
        <v>1175</v>
      </c>
    </row>
    <row r="1611" spans="6:7" x14ac:dyDescent="0.25">
      <c r="F1611" s="17" t="s">
        <v>2571</v>
      </c>
      <c r="G1611" s="17" t="s">
        <v>1175</v>
      </c>
    </row>
    <row r="1612" spans="6:7" x14ac:dyDescent="0.25">
      <c r="F1612" s="17" t="s">
        <v>2572</v>
      </c>
      <c r="G1612" s="17" t="s">
        <v>1175</v>
      </c>
    </row>
    <row r="1613" spans="6:7" x14ac:dyDescent="0.25">
      <c r="F1613" s="17" t="s">
        <v>2573</v>
      </c>
      <c r="G1613" s="17" t="s">
        <v>1175</v>
      </c>
    </row>
    <row r="1614" spans="6:7" x14ac:dyDescent="0.25">
      <c r="F1614" s="17" t="s">
        <v>2574</v>
      </c>
      <c r="G1614" s="17" t="s">
        <v>1175</v>
      </c>
    </row>
    <row r="1615" spans="6:7" x14ac:dyDescent="0.25">
      <c r="F1615" s="17" t="s">
        <v>2575</v>
      </c>
      <c r="G1615" s="17" t="s">
        <v>1175</v>
      </c>
    </row>
    <row r="1616" spans="6:7" x14ac:dyDescent="0.25">
      <c r="F1616" s="17" t="s">
        <v>2576</v>
      </c>
      <c r="G1616" s="17" t="s">
        <v>1175</v>
      </c>
    </row>
    <row r="1617" spans="6:7" x14ac:dyDescent="0.25">
      <c r="F1617" s="17" t="s">
        <v>2577</v>
      </c>
      <c r="G1617" s="17" t="s">
        <v>2550</v>
      </c>
    </row>
    <row r="1618" spans="6:7" x14ac:dyDescent="0.25">
      <c r="F1618" s="17" t="s">
        <v>2578</v>
      </c>
      <c r="G1618" s="17" t="s">
        <v>2550</v>
      </c>
    </row>
    <row r="1619" spans="6:7" x14ac:dyDescent="0.25">
      <c r="F1619" s="17" t="s">
        <v>2579</v>
      </c>
      <c r="G1619" s="17" t="s">
        <v>2550</v>
      </c>
    </row>
    <row r="1620" spans="6:7" x14ac:dyDescent="0.25">
      <c r="F1620" s="17" t="s">
        <v>2580</v>
      </c>
      <c r="G1620" s="17" t="s">
        <v>2550</v>
      </c>
    </row>
    <row r="1621" spans="6:7" x14ac:dyDescent="0.25">
      <c r="F1621" s="17" t="s">
        <v>2581</v>
      </c>
      <c r="G1621" s="17" t="s">
        <v>2550</v>
      </c>
    </row>
    <row r="1622" spans="6:7" x14ac:dyDescent="0.25">
      <c r="F1622" s="17" t="s">
        <v>2582</v>
      </c>
      <c r="G1622" s="17" t="s">
        <v>2550</v>
      </c>
    </row>
    <row r="1623" spans="6:7" x14ac:dyDescent="0.25">
      <c r="F1623" s="17" t="s">
        <v>2583</v>
      </c>
      <c r="G1623" s="17" t="s">
        <v>2584</v>
      </c>
    </row>
    <row r="1624" spans="6:7" x14ac:dyDescent="0.25">
      <c r="F1624" s="17" t="s">
        <v>2585</v>
      </c>
      <c r="G1624" s="17" t="s">
        <v>2584</v>
      </c>
    </row>
    <row r="1625" spans="6:7" x14ac:dyDescent="0.25">
      <c r="F1625" s="17" t="s">
        <v>2586</v>
      </c>
      <c r="G1625" s="17" t="s">
        <v>2584</v>
      </c>
    </row>
    <row r="1626" spans="6:7" x14ac:dyDescent="0.25">
      <c r="F1626" s="17" t="s">
        <v>2587</v>
      </c>
      <c r="G1626" s="17" t="s">
        <v>2584</v>
      </c>
    </row>
    <row r="1627" spans="6:7" x14ac:dyDescent="0.25">
      <c r="F1627" s="17" t="s">
        <v>2588</v>
      </c>
      <c r="G1627" s="17" t="s">
        <v>2589</v>
      </c>
    </row>
    <row r="1628" spans="6:7" x14ac:dyDescent="0.25">
      <c r="F1628" s="17" t="s">
        <v>2590</v>
      </c>
      <c r="G1628" s="17" t="s">
        <v>2548</v>
      </c>
    </row>
    <row r="1629" spans="6:7" x14ac:dyDescent="0.25">
      <c r="F1629" s="17" t="s">
        <v>2591</v>
      </c>
      <c r="G1629" s="17" t="s">
        <v>1175</v>
      </c>
    </row>
    <row r="1630" spans="6:7" x14ac:dyDescent="0.25">
      <c r="F1630" s="17" t="s">
        <v>2592</v>
      </c>
      <c r="G1630" s="17" t="s">
        <v>1175</v>
      </c>
    </row>
    <row r="1631" spans="6:7" x14ac:dyDescent="0.25">
      <c r="F1631" s="17" t="s">
        <v>2593</v>
      </c>
      <c r="G1631" s="17" t="s">
        <v>1175</v>
      </c>
    </row>
    <row r="1632" spans="6:7" x14ac:dyDescent="0.25">
      <c r="F1632" s="17" t="s">
        <v>2594</v>
      </c>
      <c r="G1632" s="17" t="s">
        <v>1175</v>
      </c>
    </row>
    <row r="1633" spans="6:7" x14ac:dyDescent="0.25">
      <c r="F1633" s="17" t="s">
        <v>2595</v>
      </c>
      <c r="G1633" s="17" t="s">
        <v>1175</v>
      </c>
    </row>
    <row r="1634" spans="6:7" x14ac:dyDescent="0.25">
      <c r="F1634" s="17" t="s">
        <v>2596</v>
      </c>
      <c r="G1634" s="17" t="s">
        <v>1175</v>
      </c>
    </row>
    <row r="1635" spans="6:7" x14ac:dyDescent="0.25">
      <c r="F1635" s="17" t="s">
        <v>2597</v>
      </c>
      <c r="G1635" s="17" t="s">
        <v>1175</v>
      </c>
    </row>
    <row r="1636" spans="6:7" x14ac:dyDescent="0.25">
      <c r="F1636" s="17" t="s">
        <v>2598</v>
      </c>
      <c r="G1636" s="17" t="s">
        <v>1175</v>
      </c>
    </row>
    <row r="1637" spans="6:7" x14ac:dyDescent="0.25">
      <c r="F1637" s="17" t="s">
        <v>2599</v>
      </c>
      <c r="G1637" s="17" t="s">
        <v>1175</v>
      </c>
    </row>
    <row r="1638" spans="6:7" x14ac:dyDescent="0.25">
      <c r="F1638" s="17" t="s">
        <v>2600</v>
      </c>
      <c r="G1638" s="17" t="s">
        <v>1175</v>
      </c>
    </row>
    <row r="1639" spans="6:7" x14ac:dyDescent="0.25">
      <c r="F1639" s="17" t="s">
        <v>2601</v>
      </c>
      <c r="G1639" s="17" t="s">
        <v>1175</v>
      </c>
    </row>
    <row r="1640" spans="6:7" x14ac:dyDescent="0.25">
      <c r="F1640" s="17" t="s">
        <v>2602</v>
      </c>
      <c r="G1640" s="17" t="s">
        <v>1175</v>
      </c>
    </row>
    <row r="1641" spans="6:7" x14ac:dyDescent="0.25">
      <c r="F1641" s="17" t="s">
        <v>2603</v>
      </c>
      <c r="G1641" s="17" t="s">
        <v>1175</v>
      </c>
    </row>
    <row r="1642" spans="6:7" x14ac:dyDescent="0.25">
      <c r="F1642" s="17" t="s">
        <v>2604</v>
      </c>
      <c r="G1642" s="17" t="s">
        <v>1175</v>
      </c>
    </row>
    <row r="1643" spans="6:7" x14ac:dyDescent="0.25">
      <c r="F1643" s="17" t="s">
        <v>2605</v>
      </c>
      <c r="G1643" s="17" t="s">
        <v>1175</v>
      </c>
    </row>
    <row r="1644" spans="6:7" x14ac:dyDescent="0.25">
      <c r="F1644" s="17" t="s">
        <v>2606</v>
      </c>
      <c r="G1644" s="17" t="s">
        <v>1175</v>
      </c>
    </row>
    <row r="1645" spans="6:7" x14ac:dyDescent="0.25">
      <c r="F1645" s="17" t="s">
        <v>2607</v>
      </c>
      <c r="G1645" s="17" t="s">
        <v>1175</v>
      </c>
    </row>
    <row r="1646" spans="6:7" x14ac:dyDescent="0.25">
      <c r="F1646" s="17" t="s">
        <v>2608</v>
      </c>
      <c r="G1646" s="17" t="s">
        <v>1175</v>
      </c>
    </row>
    <row r="1647" spans="6:7" x14ac:dyDescent="0.25">
      <c r="F1647" s="17" t="s">
        <v>2609</v>
      </c>
      <c r="G1647" s="17" t="s">
        <v>1179</v>
      </c>
    </row>
    <row r="1648" spans="6:7" x14ac:dyDescent="0.25">
      <c r="F1648" s="17" t="s">
        <v>2610</v>
      </c>
      <c r="G1648" s="17" t="s">
        <v>1179</v>
      </c>
    </row>
    <row r="1649" spans="6:7" x14ac:dyDescent="0.25">
      <c r="F1649" s="17" t="s">
        <v>2611</v>
      </c>
      <c r="G1649" s="17" t="s">
        <v>1179</v>
      </c>
    </row>
    <row r="1650" spans="6:7" x14ac:dyDescent="0.25">
      <c r="F1650" s="17" t="s">
        <v>2612</v>
      </c>
      <c r="G1650" s="17" t="s">
        <v>1179</v>
      </c>
    </row>
    <row r="1651" spans="6:7" x14ac:dyDescent="0.25">
      <c r="F1651" s="17" t="s">
        <v>2613</v>
      </c>
      <c r="G1651" s="17" t="s">
        <v>1011</v>
      </c>
    </row>
    <row r="1652" spans="6:7" x14ac:dyDescent="0.25">
      <c r="F1652" s="17" t="s">
        <v>2614</v>
      </c>
      <c r="G1652" s="17" t="s">
        <v>1179</v>
      </c>
    </row>
    <row r="1653" spans="6:7" x14ac:dyDescent="0.25">
      <c r="F1653" s="17" t="s">
        <v>2615</v>
      </c>
      <c r="G1653" s="17" t="s">
        <v>1179</v>
      </c>
    </row>
    <row r="1654" spans="6:7" x14ac:dyDescent="0.25">
      <c r="F1654" s="17" t="s">
        <v>2616</v>
      </c>
      <c r="G1654" s="17" t="s">
        <v>1179</v>
      </c>
    </row>
    <row r="1655" spans="6:7" x14ac:dyDescent="0.25">
      <c r="F1655" s="17" t="s">
        <v>2617</v>
      </c>
      <c r="G1655" s="17" t="s">
        <v>1179</v>
      </c>
    </row>
    <row r="1656" spans="6:7" x14ac:dyDescent="0.25">
      <c r="F1656" s="17" t="s">
        <v>2618</v>
      </c>
      <c r="G1656" s="17" t="s">
        <v>1179</v>
      </c>
    </row>
    <row r="1657" spans="6:7" x14ac:dyDescent="0.25">
      <c r="F1657" s="17" t="s">
        <v>2619</v>
      </c>
      <c r="G1657" s="17" t="s">
        <v>1179</v>
      </c>
    </row>
    <row r="1658" spans="6:7" x14ac:dyDescent="0.25">
      <c r="F1658" s="17" t="s">
        <v>2620</v>
      </c>
      <c r="G1658" s="17" t="s">
        <v>1179</v>
      </c>
    </row>
    <row r="1659" spans="6:7" x14ac:dyDescent="0.25">
      <c r="F1659" s="17" t="s">
        <v>2621</v>
      </c>
      <c r="G1659" s="17" t="s">
        <v>1179</v>
      </c>
    </row>
    <row r="1660" spans="6:7" x14ac:dyDescent="0.25">
      <c r="F1660" s="17" t="s">
        <v>2622</v>
      </c>
      <c r="G1660" s="17" t="s">
        <v>1179</v>
      </c>
    </row>
    <row r="1661" spans="6:7" x14ac:dyDescent="0.25">
      <c r="F1661" s="17" t="s">
        <v>2623</v>
      </c>
      <c r="G1661" s="17" t="s">
        <v>1179</v>
      </c>
    </row>
    <row r="1662" spans="6:7" x14ac:dyDescent="0.25">
      <c r="F1662" s="17" t="s">
        <v>2624</v>
      </c>
      <c r="G1662" s="17" t="s">
        <v>1179</v>
      </c>
    </row>
    <row r="1663" spans="6:7" x14ac:dyDescent="0.25">
      <c r="F1663" s="17" t="s">
        <v>2625</v>
      </c>
      <c r="G1663" s="17" t="s">
        <v>1179</v>
      </c>
    </row>
    <row r="1664" spans="6:7" x14ac:dyDescent="0.25">
      <c r="F1664" s="17" t="s">
        <v>2626</v>
      </c>
      <c r="G1664" s="17" t="s">
        <v>1179</v>
      </c>
    </row>
    <row r="1665" spans="6:7" x14ac:dyDescent="0.25">
      <c r="F1665" s="17" t="s">
        <v>2627</v>
      </c>
      <c r="G1665" s="17" t="s">
        <v>1179</v>
      </c>
    </row>
    <row r="1666" spans="6:7" x14ac:dyDescent="0.25">
      <c r="F1666" s="17" t="s">
        <v>2628</v>
      </c>
      <c r="G1666" s="17" t="s">
        <v>1179</v>
      </c>
    </row>
    <row r="1667" spans="6:7" x14ac:dyDescent="0.25">
      <c r="F1667" s="17" t="s">
        <v>2629</v>
      </c>
      <c r="G1667" s="17" t="s">
        <v>1179</v>
      </c>
    </row>
    <row r="1668" spans="6:7" x14ac:dyDescent="0.25">
      <c r="F1668" s="17" t="s">
        <v>2630</v>
      </c>
      <c r="G1668" s="17" t="s">
        <v>1179</v>
      </c>
    </row>
    <row r="1669" spans="6:7" x14ac:dyDescent="0.25">
      <c r="F1669" s="17" t="s">
        <v>2631</v>
      </c>
      <c r="G1669" s="17" t="s">
        <v>1179</v>
      </c>
    </row>
    <row r="1670" spans="6:7" x14ac:dyDescent="0.25">
      <c r="F1670" s="17" t="s">
        <v>2632</v>
      </c>
      <c r="G1670" s="17" t="s">
        <v>1179</v>
      </c>
    </row>
    <row r="1671" spans="6:7" x14ac:dyDescent="0.25">
      <c r="F1671" s="17" t="s">
        <v>2633</v>
      </c>
      <c r="G1671" s="17" t="s">
        <v>1179</v>
      </c>
    </row>
    <row r="1672" spans="6:7" x14ac:dyDescent="0.25">
      <c r="F1672" s="17" t="s">
        <v>2634</v>
      </c>
      <c r="G1672" s="17" t="s">
        <v>1179</v>
      </c>
    </row>
    <row r="1673" spans="6:7" x14ac:dyDescent="0.25">
      <c r="F1673" s="17" t="s">
        <v>2635</v>
      </c>
      <c r="G1673" s="17" t="s">
        <v>1179</v>
      </c>
    </row>
    <row r="1674" spans="6:7" x14ac:dyDescent="0.25">
      <c r="F1674" s="17" t="s">
        <v>2636</v>
      </c>
      <c r="G1674" s="17" t="s">
        <v>1179</v>
      </c>
    </row>
    <row r="1675" spans="6:7" x14ac:dyDescent="0.25">
      <c r="F1675" s="17" t="s">
        <v>2637</v>
      </c>
      <c r="G1675" s="17" t="s">
        <v>1179</v>
      </c>
    </row>
    <row r="1676" spans="6:7" x14ac:dyDescent="0.25">
      <c r="F1676" s="17" t="s">
        <v>2638</v>
      </c>
      <c r="G1676" s="17" t="s">
        <v>1179</v>
      </c>
    </row>
    <row r="1677" spans="6:7" x14ac:dyDescent="0.25">
      <c r="F1677" s="17" t="s">
        <v>2639</v>
      </c>
      <c r="G1677" s="17" t="s">
        <v>1179</v>
      </c>
    </row>
    <row r="1678" spans="6:7" x14ac:dyDescent="0.25">
      <c r="F1678" s="17" t="s">
        <v>2640</v>
      </c>
      <c r="G1678" s="17" t="s">
        <v>1179</v>
      </c>
    </row>
    <row r="1679" spans="6:7" x14ac:dyDescent="0.25">
      <c r="F1679" s="17" t="s">
        <v>2641</v>
      </c>
      <c r="G1679" s="17" t="s">
        <v>1179</v>
      </c>
    </row>
    <row r="1680" spans="6:7" x14ac:dyDescent="0.25">
      <c r="F1680" s="17" t="s">
        <v>2642</v>
      </c>
      <c r="G1680" s="17" t="s">
        <v>1179</v>
      </c>
    </row>
    <row r="1681" spans="6:7" x14ac:dyDescent="0.25">
      <c r="F1681" s="17" t="s">
        <v>2643</v>
      </c>
      <c r="G1681" s="17" t="s">
        <v>1179</v>
      </c>
    </row>
    <row r="1682" spans="6:7" x14ac:dyDescent="0.25">
      <c r="F1682" s="17" t="s">
        <v>2644</v>
      </c>
      <c r="G1682" s="17" t="s">
        <v>1179</v>
      </c>
    </row>
    <row r="1683" spans="6:7" x14ac:dyDescent="0.25">
      <c r="F1683" s="17" t="s">
        <v>2645</v>
      </c>
      <c r="G1683" s="17" t="s">
        <v>1179</v>
      </c>
    </row>
    <row r="1684" spans="6:7" x14ac:dyDescent="0.25">
      <c r="F1684" s="17" t="s">
        <v>2646</v>
      </c>
      <c r="G1684" s="17" t="s">
        <v>1179</v>
      </c>
    </row>
    <row r="1685" spans="6:7" x14ac:dyDescent="0.25">
      <c r="F1685" s="17" t="s">
        <v>2647</v>
      </c>
      <c r="G1685" s="17" t="s">
        <v>1179</v>
      </c>
    </row>
    <row r="1686" spans="6:7" x14ac:dyDescent="0.25">
      <c r="F1686" s="17" t="s">
        <v>2648</v>
      </c>
      <c r="G1686" s="17" t="s">
        <v>1179</v>
      </c>
    </row>
    <row r="1687" spans="6:7" x14ac:dyDescent="0.25">
      <c r="F1687" s="17" t="s">
        <v>2649</v>
      </c>
      <c r="G1687" s="17" t="s">
        <v>1179</v>
      </c>
    </row>
    <row r="1688" spans="6:7" x14ac:dyDescent="0.25">
      <c r="F1688" s="17" t="s">
        <v>2650</v>
      </c>
      <c r="G1688" s="17" t="s">
        <v>1179</v>
      </c>
    </row>
    <row r="1689" spans="6:7" x14ac:dyDescent="0.25">
      <c r="F1689" s="17" t="s">
        <v>2651</v>
      </c>
      <c r="G1689" s="17" t="s">
        <v>1179</v>
      </c>
    </row>
    <row r="1690" spans="6:7" x14ac:dyDescent="0.25">
      <c r="F1690" s="17" t="s">
        <v>2652</v>
      </c>
      <c r="G1690" s="17" t="s">
        <v>1179</v>
      </c>
    </row>
    <row r="1691" spans="6:7" x14ac:dyDescent="0.25">
      <c r="F1691" s="17" t="s">
        <v>2653</v>
      </c>
      <c r="G1691" s="17" t="s">
        <v>1179</v>
      </c>
    </row>
    <row r="1692" spans="6:7" x14ac:dyDescent="0.25">
      <c r="F1692" s="17" t="s">
        <v>2654</v>
      </c>
      <c r="G1692" s="17" t="s">
        <v>1179</v>
      </c>
    </row>
    <row r="1693" spans="6:7" x14ac:dyDescent="0.25">
      <c r="F1693" s="17" t="s">
        <v>2655</v>
      </c>
      <c r="G1693" s="17" t="s">
        <v>1179</v>
      </c>
    </row>
    <row r="1694" spans="6:7" x14ac:dyDescent="0.25">
      <c r="F1694" s="17" t="s">
        <v>2656</v>
      </c>
      <c r="G1694" s="17" t="s">
        <v>1179</v>
      </c>
    </row>
    <row r="1695" spans="6:7" x14ac:dyDescent="0.25">
      <c r="F1695" s="17" t="s">
        <v>2657</v>
      </c>
      <c r="G1695" s="17" t="s">
        <v>1179</v>
      </c>
    </row>
    <row r="1696" spans="6:7" x14ac:dyDescent="0.25">
      <c r="F1696" s="17" t="s">
        <v>2658</v>
      </c>
      <c r="G1696" s="17" t="s">
        <v>1179</v>
      </c>
    </row>
    <row r="1697" spans="6:7" x14ac:dyDescent="0.25">
      <c r="F1697" s="17" t="s">
        <v>2659</v>
      </c>
      <c r="G1697" s="17" t="s">
        <v>1179</v>
      </c>
    </row>
    <row r="1698" spans="6:7" x14ac:dyDescent="0.25">
      <c r="F1698" s="17" t="s">
        <v>2660</v>
      </c>
      <c r="G1698" s="17" t="s">
        <v>1179</v>
      </c>
    </row>
    <row r="1699" spans="6:7" x14ac:dyDescent="0.25">
      <c r="F1699" s="17" t="s">
        <v>2661</v>
      </c>
      <c r="G1699" s="17" t="s">
        <v>1179</v>
      </c>
    </row>
    <row r="1700" spans="6:7" x14ac:dyDescent="0.25">
      <c r="F1700" s="17" t="s">
        <v>2662</v>
      </c>
      <c r="G1700" s="17" t="s">
        <v>1179</v>
      </c>
    </row>
    <row r="1701" spans="6:7" x14ac:dyDescent="0.25">
      <c r="F1701" s="17" t="s">
        <v>2663</v>
      </c>
      <c r="G1701" s="17" t="s">
        <v>1179</v>
      </c>
    </row>
    <row r="1702" spans="6:7" x14ac:dyDescent="0.25">
      <c r="F1702" s="17" t="s">
        <v>2664</v>
      </c>
      <c r="G1702" s="17" t="s">
        <v>1179</v>
      </c>
    </row>
    <row r="1703" spans="6:7" x14ac:dyDescent="0.25">
      <c r="F1703" s="17" t="s">
        <v>2665</v>
      </c>
      <c r="G1703" s="17" t="s">
        <v>1179</v>
      </c>
    </row>
    <row r="1704" spans="6:7" x14ac:dyDescent="0.25">
      <c r="F1704" s="17" t="s">
        <v>2666</v>
      </c>
      <c r="G1704" s="17" t="s">
        <v>1179</v>
      </c>
    </row>
    <row r="1705" spans="6:7" x14ac:dyDescent="0.25">
      <c r="F1705" s="17" t="s">
        <v>2667</v>
      </c>
      <c r="G1705" s="17" t="s">
        <v>1179</v>
      </c>
    </row>
    <row r="1706" spans="6:7" x14ac:dyDescent="0.25">
      <c r="F1706" s="17" t="s">
        <v>2668</v>
      </c>
      <c r="G1706" s="17" t="s">
        <v>1179</v>
      </c>
    </row>
    <row r="1707" spans="6:7" x14ac:dyDescent="0.25">
      <c r="F1707" s="17" t="s">
        <v>2669</v>
      </c>
      <c r="G1707" s="17" t="s">
        <v>1179</v>
      </c>
    </row>
    <row r="1708" spans="6:7" x14ac:dyDescent="0.25">
      <c r="F1708" s="17" t="s">
        <v>2670</v>
      </c>
      <c r="G1708" s="17" t="s">
        <v>1179</v>
      </c>
    </row>
    <row r="1709" spans="6:7" x14ac:dyDescent="0.25">
      <c r="F1709" s="17" t="s">
        <v>2671</v>
      </c>
      <c r="G1709" s="17" t="s">
        <v>1179</v>
      </c>
    </row>
    <row r="1710" spans="6:7" x14ac:dyDescent="0.25">
      <c r="F1710" s="17" t="s">
        <v>2672</v>
      </c>
      <c r="G1710" s="17" t="s">
        <v>1179</v>
      </c>
    </row>
    <row r="1711" spans="6:7" x14ac:dyDescent="0.25">
      <c r="F1711" s="17" t="s">
        <v>2673</v>
      </c>
      <c r="G1711" s="17" t="s">
        <v>1179</v>
      </c>
    </row>
    <row r="1712" spans="6:7" x14ac:dyDescent="0.25">
      <c r="F1712" s="17" t="s">
        <v>2674</v>
      </c>
      <c r="G1712" s="17" t="s">
        <v>1179</v>
      </c>
    </row>
    <row r="1713" spans="6:7" x14ac:dyDescent="0.25">
      <c r="F1713" s="17" t="s">
        <v>2675</v>
      </c>
      <c r="G1713" s="17" t="s">
        <v>1179</v>
      </c>
    </row>
    <row r="1714" spans="6:7" x14ac:dyDescent="0.25">
      <c r="F1714" s="17" t="s">
        <v>2676</v>
      </c>
      <c r="G1714" s="17" t="s">
        <v>1179</v>
      </c>
    </row>
    <row r="1715" spans="6:7" x14ac:dyDescent="0.25">
      <c r="F1715" s="17" t="s">
        <v>2677</v>
      </c>
      <c r="G1715" s="17" t="s">
        <v>195</v>
      </c>
    </row>
    <row r="1716" spans="6:7" x14ac:dyDescent="0.25">
      <c r="F1716" s="17" t="s">
        <v>345</v>
      </c>
      <c r="G1716" s="17" t="s">
        <v>195</v>
      </c>
    </row>
    <row r="1717" spans="6:7" x14ac:dyDescent="0.25">
      <c r="F1717" s="17" t="s">
        <v>2678</v>
      </c>
      <c r="G1717" s="17" t="s">
        <v>195</v>
      </c>
    </row>
    <row r="1718" spans="6:7" x14ac:dyDescent="0.25">
      <c r="F1718" s="17" t="s">
        <v>2679</v>
      </c>
      <c r="G1718" s="17" t="s">
        <v>1179</v>
      </c>
    </row>
    <row r="1719" spans="6:7" x14ac:dyDescent="0.25">
      <c r="F1719" s="17" t="s">
        <v>2680</v>
      </c>
      <c r="G1719" s="17" t="s">
        <v>1179</v>
      </c>
    </row>
    <row r="1720" spans="6:7" x14ac:dyDescent="0.25">
      <c r="F1720" s="17" t="s">
        <v>2681</v>
      </c>
      <c r="G1720" s="17" t="s">
        <v>1179</v>
      </c>
    </row>
    <row r="1721" spans="6:7" x14ac:dyDescent="0.25">
      <c r="F1721" s="17" t="s">
        <v>2682</v>
      </c>
      <c r="G1721" s="17" t="s">
        <v>1179</v>
      </c>
    </row>
    <row r="1722" spans="6:7" x14ac:dyDescent="0.25">
      <c r="F1722" s="17" t="s">
        <v>2683</v>
      </c>
      <c r="G1722" s="17" t="s">
        <v>1179</v>
      </c>
    </row>
    <row r="1723" spans="6:7" x14ac:dyDescent="0.25">
      <c r="F1723" s="17" t="s">
        <v>2684</v>
      </c>
      <c r="G1723" s="17" t="s">
        <v>1179</v>
      </c>
    </row>
    <row r="1724" spans="6:7" x14ac:dyDescent="0.25">
      <c r="F1724" s="17" t="s">
        <v>2685</v>
      </c>
      <c r="G1724" s="17" t="s">
        <v>1179</v>
      </c>
    </row>
    <row r="1725" spans="6:7" x14ac:dyDescent="0.25">
      <c r="F1725" s="17" t="s">
        <v>2686</v>
      </c>
      <c r="G1725" s="17" t="s">
        <v>1179</v>
      </c>
    </row>
    <row r="1726" spans="6:7" x14ac:dyDescent="0.25">
      <c r="F1726" s="17" t="s">
        <v>2687</v>
      </c>
      <c r="G1726" s="17" t="s">
        <v>1179</v>
      </c>
    </row>
    <row r="1727" spans="6:7" x14ac:dyDescent="0.25">
      <c r="F1727" s="17" t="s">
        <v>2688</v>
      </c>
      <c r="G1727" s="17" t="s">
        <v>195</v>
      </c>
    </row>
    <row r="1728" spans="6:7" x14ac:dyDescent="0.25">
      <c r="F1728" s="17" t="s">
        <v>2689</v>
      </c>
      <c r="G1728" s="17" t="s">
        <v>195</v>
      </c>
    </row>
    <row r="1729" spans="6:7" x14ac:dyDescent="0.25">
      <c r="F1729" s="17" t="s">
        <v>821</v>
      </c>
      <c r="G1729" s="17" t="s">
        <v>195</v>
      </c>
    </row>
    <row r="1730" spans="6:7" x14ac:dyDescent="0.25">
      <c r="F1730" s="17" t="s">
        <v>2690</v>
      </c>
      <c r="G1730" s="17" t="s">
        <v>195</v>
      </c>
    </row>
    <row r="1731" spans="6:7" x14ac:dyDescent="0.25">
      <c r="F1731" s="17" t="s">
        <v>2691</v>
      </c>
      <c r="G1731" s="17" t="s">
        <v>195</v>
      </c>
    </row>
    <row r="1732" spans="6:7" x14ac:dyDescent="0.25">
      <c r="F1732" s="17" t="s">
        <v>2692</v>
      </c>
      <c r="G1732" s="17" t="s">
        <v>195</v>
      </c>
    </row>
    <row r="1733" spans="6:7" x14ac:dyDescent="0.25">
      <c r="F1733" s="17" t="s">
        <v>888</v>
      </c>
      <c r="G1733" s="17" t="s">
        <v>195</v>
      </c>
    </row>
    <row r="1734" spans="6:7" x14ac:dyDescent="0.25">
      <c r="F1734" s="17" t="s">
        <v>2693</v>
      </c>
      <c r="G1734" s="17" t="s">
        <v>195</v>
      </c>
    </row>
    <row r="1735" spans="6:7" x14ac:dyDescent="0.25">
      <c r="F1735" s="17" t="s">
        <v>2694</v>
      </c>
      <c r="G1735" s="17" t="s">
        <v>195</v>
      </c>
    </row>
    <row r="1736" spans="6:7" x14ac:dyDescent="0.25">
      <c r="F1736" s="17" t="s">
        <v>2695</v>
      </c>
      <c r="G1736" s="17" t="s">
        <v>195</v>
      </c>
    </row>
    <row r="1737" spans="6:7" x14ac:dyDescent="0.25">
      <c r="F1737" s="17" t="s">
        <v>2696</v>
      </c>
      <c r="G1737" s="17" t="s">
        <v>195</v>
      </c>
    </row>
    <row r="1738" spans="6:7" x14ac:dyDescent="0.25">
      <c r="F1738" s="17" t="s">
        <v>2697</v>
      </c>
      <c r="G1738" s="17" t="s">
        <v>1179</v>
      </c>
    </row>
    <row r="1739" spans="6:7" x14ac:dyDescent="0.25">
      <c r="F1739" s="17" t="s">
        <v>2698</v>
      </c>
      <c r="G1739" s="17" t="s">
        <v>1179</v>
      </c>
    </row>
    <row r="1740" spans="6:7" x14ac:dyDescent="0.25">
      <c r="F1740" s="17" t="s">
        <v>2699</v>
      </c>
      <c r="G1740" s="17" t="s">
        <v>1179</v>
      </c>
    </row>
    <row r="1741" spans="6:7" x14ac:dyDescent="0.25">
      <c r="F1741" s="17" t="s">
        <v>2700</v>
      </c>
      <c r="G1741" s="17" t="s">
        <v>1179</v>
      </c>
    </row>
    <row r="1742" spans="6:7" x14ac:dyDescent="0.25">
      <c r="F1742" s="17" t="s">
        <v>2701</v>
      </c>
      <c r="G1742" s="17" t="s">
        <v>1179</v>
      </c>
    </row>
    <row r="1743" spans="6:7" x14ac:dyDescent="0.25">
      <c r="F1743" s="17" t="s">
        <v>2702</v>
      </c>
      <c r="G1743" s="17" t="s">
        <v>195</v>
      </c>
    </row>
    <row r="1744" spans="6:7" x14ac:dyDescent="0.25">
      <c r="F1744" s="17" t="s">
        <v>295</v>
      </c>
      <c r="G1744" s="17" t="s">
        <v>195</v>
      </c>
    </row>
    <row r="1745" spans="6:7" x14ac:dyDescent="0.25">
      <c r="F1745" s="17" t="s">
        <v>2703</v>
      </c>
      <c r="G1745" s="17" t="s">
        <v>195</v>
      </c>
    </row>
    <row r="1746" spans="6:7" x14ac:dyDescent="0.25">
      <c r="F1746" s="17" t="s">
        <v>498</v>
      </c>
      <c r="G1746" s="17" t="s">
        <v>195</v>
      </c>
    </row>
    <row r="1747" spans="6:7" x14ac:dyDescent="0.25">
      <c r="F1747" s="17" t="s">
        <v>2704</v>
      </c>
      <c r="G1747" s="17" t="s">
        <v>195</v>
      </c>
    </row>
    <row r="1748" spans="6:7" x14ac:dyDescent="0.25">
      <c r="F1748" s="17" t="s">
        <v>2705</v>
      </c>
      <c r="G1748" s="17" t="s">
        <v>195</v>
      </c>
    </row>
    <row r="1749" spans="6:7" x14ac:dyDescent="0.25">
      <c r="F1749" s="17" t="s">
        <v>2706</v>
      </c>
      <c r="G1749" s="17" t="s">
        <v>195</v>
      </c>
    </row>
    <row r="1750" spans="6:7" x14ac:dyDescent="0.25">
      <c r="F1750" s="17" t="s">
        <v>2707</v>
      </c>
      <c r="G1750" s="17" t="s">
        <v>195</v>
      </c>
    </row>
    <row r="1751" spans="6:7" x14ac:dyDescent="0.25">
      <c r="F1751" s="17" t="s">
        <v>2708</v>
      </c>
      <c r="G1751" s="17" t="s">
        <v>195</v>
      </c>
    </row>
    <row r="1752" spans="6:7" x14ac:dyDescent="0.25">
      <c r="F1752" s="17" t="s">
        <v>2709</v>
      </c>
      <c r="G1752" s="17" t="s">
        <v>195</v>
      </c>
    </row>
    <row r="1753" spans="6:7" x14ac:dyDescent="0.25">
      <c r="F1753" s="17" t="s">
        <v>907</v>
      </c>
      <c r="G1753" s="17" t="s">
        <v>195</v>
      </c>
    </row>
    <row r="1754" spans="6:7" x14ac:dyDescent="0.25">
      <c r="F1754" s="17" t="s">
        <v>2710</v>
      </c>
      <c r="G1754" s="17" t="s">
        <v>195</v>
      </c>
    </row>
    <row r="1755" spans="6:7" x14ac:dyDescent="0.25">
      <c r="F1755" s="17" t="s">
        <v>2711</v>
      </c>
      <c r="G1755" s="17" t="s">
        <v>195</v>
      </c>
    </row>
    <row r="1756" spans="6:7" x14ac:dyDescent="0.25">
      <c r="F1756" s="17" t="s">
        <v>950</v>
      </c>
      <c r="G1756" s="17" t="s">
        <v>195</v>
      </c>
    </row>
    <row r="1757" spans="6:7" x14ac:dyDescent="0.25">
      <c r="F1757" s="17" t="s">
        <v>2712</v>
      </c>
      <c r="G1757" s="17" t="s">
        <v>195</v>
      </c>
    </row>
    <row r="1758" spans="6:7" x14ac:dyDescent="0.25">
      <c r="F1758" s="17" t="s">
        <v>2713</v>
      </c>
      <c r="G1758" s="17" t="s">
        <v>195</v>
      </c>
    </row>
    <row r="1759" spans="6:7" x14ac:dyDescent="0.25">
      <c r="F1759" s="17" t="s">
        <v>771</v>
      </c>
      <c r="G1759" s="17" t="s">
        <v>195</v>
      </c>
    </row>
    <row r="1760" spans="6:7" x14ac:dyDescent="0.25">
      <c r="F1760" s="17" t="s">
        <v>2714</v>
      </c>
      <c r="G1760" s="17" t="s">
        <v>195</v>
      </c>
    </row>
    <row r="1761" spans="6:7" x14ac:dyDescent="0.25">
      <c r="F1761" s="17" t="s">
        <v>2715</v>
      </c>
      <c r="G1761" s="17" t="s">
        <v>1257</v>
      </c>
    </row>
    <row r="1762" spans="6:7" x14ac:dyDescent="0.25">
      <c r="F1762" s="17" t="s">
        <v>2716</v>
      </c>
      <c r="G1762" s="17" t="s">
        <v>195</v>
      </c>
    </row>
    <row r="1763" spans="6:7" x14ac:dyDescent="0.25">
      <c r="F1763" s="17" t="s">
        <v>2717</v>
      </c>
      <c r="G1763" s="17" t="s">
        <v>195</v>
      </c>
    </row>
    <row r="1764" spans="6:7" x14ac:dyDescent="0.25">
      <c r="F1764" s="17" t="s">
        <v>2718</v>
      </c>
      <c r="G1764" s="17" t="s">
        <v>195</v>
      </c>
    </row>
    <row r="1765" spans="6:7" x14ac:dyDescent="0.25">
      <c r="F1765" s="17" t="s">
        <v>2719</v>
      </c>
      <c r="G1765" s="17" t="s">
        <v>195</v>
      </c>
    </row>
    <row r="1766" spans="6:7" x14ac:dyDescent="0.25">
      <c r="F1766" s="17" t="s">
        <v>2720</v>
      </c>
      <c r="G1766" s="17" t="s">
        <v>195</v>
      </c>
    </row>
    <row r="1767" spans="6:7" x14ac:dyDescent="0.25">
      <c r="F1767" s="17" t="s">
        <v>589</v>
      </c>
      <c r="G1767" s="17" t="s">
        <v>195</v>
      </c>
    </row>
    <row r="1768" spans="6:7" x14ac:dyDescent="0.25">
      <c r="F1768" s="17" t="s">
        <v>2721</v>
      </c>
      <c r="G1768" s="17" t="s">
        <v>195</v>
      </c>
    </row>
    <row r="1769" spans="6:7" x14ac:dyDescent="0.25">
      <c r="F1769" s="17" t="s">
        <v>2722</v>
      </c>
      <c r="G1769" s="17" t="s">
        <v>195</v>
      </c>
    </row>
    <row r="1770" spans="6:7" x14ac:dyDescent="0.25">
      <c r="F1770" s="17" t="s">
        <v>684</v>
      </c>
      <c r="G1770" s="17" t="s">
        <v>195</v>
      </c>
    </row>
    <row r="1771" spans="6:7" x14ac:dyDescent="0.25">
      <c r="F1771" s="17" t="s">
        <v>2723</v>
      </c>
      <c r="G1771" s="17" t="s">
        <v>195</v>
      </c>
    </row>
    <row r="1772" spans="6:7" x14ac:dyDescent="0.25">
      <c r="F1772" s="17" t="s">
        <v>2724</v>
      </c>
      <c r="G1772" s="17" t="s">
        <v>195</v>
      </c>
    </row>
    <row r="1773" spans="6:7" x14ac:dyDescent="0.25">
      <c r="F1773" s="17" t="s">
        <v>2725</v>
      </c>
      <c r="G1773" s="17" t="s">
        <v>195</v>
      </c>
    </row>
    <row r="1774" spans="6:7" x14ac:dyDescent="0.25">
      <c r="F1774" s="17" t="s">
        <v>2726</v>
      </c>
      <c r="G1774" s="17" t="s">
        <v>195</v>
      </c>
    </row>
    <row r="1775" spans="6:7" x14ac:dyDescent="0.25">
      <c r="F1775" s="17" t="s">
        <v>2727</v>
      </c>
      <c r="G1775" s="17" t="s">
        <v>195</v>
      </c>
    </row>
    <row r="1776" spans="6:7" x14ac:dyDescent="0.25">
      <c r="F1776" s="17" t="s">
        <v>2728</v>
      </c>
      <c r="G1776" s="17" t="s">
        <v>195</v>
      </c>
    </row>
    <row r="1777" spans="6:7" x14ac:dyDescent="0.25">
      <c r="F1777" s="17" t="s">
        <v>2729</v>
      </c>
      <c r="G1777" s="17" t="s">
        <v>195</v>
      </c>
    </row>
    <row r="1778" spans="6:7" x14ac:dyDescent="0.25">
      <c r="F1778" s="17" t="s">
        <v>2730</v>
      </c>
      <c r="G1778" s="17" t="s">
        <v>195</v>
      </c>
    </row>
    <row r="1779" spans="6:7" x14ac:dyDescent="0.25">
      <c r="F1779" s="17" t="s">
        <v>2731</v>
      </c>
      <c r="G1779" s="17" t="s">
        <v>195</v>
      </c>
    </row>
    <row r="1780" spans="6:7" x14ac:dyDescent="0.25">
      <c r="F1780" s="17" t="s">
        <v>769</v>
      </c>
      <c r="G1780" s="17" t="s">
        <v>195</v>
      </c>
    </row>
    <row r="1781" spans="6:7" x14ac:dyDescent="0.25">
      <c r="F1781" s="17" t="s">
        <v>2732</v>
      </c>
      <c r="G1781" s="17" t="s">
        <v>195</v>
      </c>
    </row>
    <row r="1782" spans="6:7" x14ac:dyDescent="0.25">
      <c r="F1782" s="17" t="s">
        <v>2733</v>
      </c>
      <c r="G1782" s="17" t="s">
        <v>195</v>
      </c>
    </row>
    <row r="1783" spans="6:7" x14ac:dyDescent="0.25">
      <c r="F1783" s="17" t="s">
        <v>2734</v>
      </c>
      <c r="G1783" s="17" t="s">
        <v>195</v>
      </c>
    </row>
    <row r="1784" spans="6:7" x14ac:dyDescent="0.25">
      <c r="F1784" s="17" t="s">
        <v>886</v>
      </c>
      <c r="G1784" s="17" t="s">
        <v>195</v>
      </c>
    </row>
    <row r="1785" spans="6:7" x14ac:dyDescent="0.25">
      <c r="F1785" s="17" t="s">
        <v>489</v>
      </c>
      <c r="G1785" s="17" t="s">
        <v>195</v>
      </c>
    </row>
    <row r="1786" spans="6:7" x14ac:dyDescent="0.25">
      <c r="F1786" s="17" t="s">
        <v>2735</v>
      </c>
      <c r="G1786" s="17" t="s">
        <v>195</v>
      </c>
    </row>
    <row r="1787" spans="6:7" x14ac:dyDescent="0.25">
      <c r="F1787" s="17" t="s">
        <v>990</v>
      </c>
      <c r="G1787" s="17" t="s">
        <v>195</v>
      </c>
    </row>
    <row r="1788" spans="6:7" x14ac:dyDescent="0.25">
      <c r="F1788" s="17" t="s">
        <v>2736</v>
      </c>
      <c r="G1788" s="17" t="s">
        <v>195</v>
      </c>
    </row>
    <row r="1789" spans="6:7" x14ac:dyDescent="0.25">
      <c r="F1789" s="17" t="s">
        <v>2737</v>
      </c>
      <c r="G1789" s="17" t="s">
        <v>195</v>
      </c>
    </row>
    <row r="1790" spans="6:7" x14ac:dyDescent="0.25">
      <c r="F1790" s="17" t="s">
        <v>2738</v>
      </c>
      <c r="G1790" s="17" t="s">
        <v>195</v>
      </c>
    </row>
    <row r="1791" spans="6:7" x14ac:dyDescent="0.25">
      <c r="F1791" s="17" t="s">
        <v>887</v>
      </c>
      <c r="G1791" s="17" t="s">
        <v>195</v>
      </c>
    </row>
    <row r="1792" spans="6:7" x14ac:dyDescent="0.25">
      <c r="F1792" s="17" t="s">
        <v>2739</v>
      </c>
      <c r="G1792" s="17" t="s">
        <v>195</v>
      </c>
    </row>
    <row r="1793" spans="6:7" x14ac:dyDescent="0.25">
      <c r="F1793" s="17" t="s">
        <v>2740</v>
      </c>
      <c r="G1793" s="17" t="s">
        <v>195</v>
      </c>
    </row>
    <row r="1794" spans="6:7" x14ac:dyDescent="0.25">
      <c r="F1794" s="17" t="s">
        <v>2741</v>
      </c>
      <c r="G1794" s="17" t="s">
        <v>1257</v>
      </c>
    </row>
    <row r="1795" spans="6:7" x14ac:dyDescent="0.25">
      <c r="F1795" s="17" t="s">
        <v>2742</v>
      </c>
      <c r="G1795" s="17" t="s">
        <v>1257</v>
      </c>
    </row>
    <row r="1796" spans="6:7" x14ac:dyDescent="0.25">
      <c r="F1796" s="17" t="s">
        <v>2743</v>
      </c>
      <c r="G1796" s="17" t="s">
        <v>195</v>
      </c>
    </row>
    <row r="1797" spans="6:7" x14ac:dyDescent="0.25">
      <c r="F1797" s="17" t="s">
        <v>2744</v>
      </c>
      <c r="G1797" s="17" t="s">
        <v>195</v>
      </c>
    </row>
    <row r="1798" spans="6:7" x14ac:dyDescent="0.25">
      <c r="F1798" s="17" t="s">
        <v>2745</v>
      </c>
      <c r="G1798" s="17" t="s">
        <v>195</v>
      </c>
    </row>
    <row r="1799" spans="6:7" x14ac:dyDescent="0.25">
      <c r="F1799" s="17" t="s">
        <v>941</v>
      </c>
      <c r="G1799" s="17" t="s">
        <v>195</v>
      </c>
    </row>
    <row r="1800" spans="6:7" x14ac:dyDescent="0.25">
      <c r="F1800" s="17" t="s">
        <v>2746</v>
      </c>
      <c r="G1800" s="17" t="s">
        <v>195</v>
      </c>
    </row>
    <row r="1801" spans="6:7" x14ac:dyDescent="0.25">
      <c r="F1801" s="17" t="s">
        <v>2747</v>
      </c>
      <c r="G1801" s="17" t="s">
        <v>195</v>
      </c>
    </row>
    <row r="1802" spans="6:7" x14ac:dyDescent="0.25">
      <c r="F1802" s="17" t="s">
        <v>2748</v>
      </c>
      <c r="G1802" s="17" t="s">
        <v>195</v>
      </c>
    </row>
    <row r="1803" spans="6:7" x14ac:dyDescent="0.25">
      <c r="F1803" s="17" t="s">
        <v>2749</v>
      </c>
      <c r="G1803" s="17" t="s">
        <v>195</v>
      </c>
    </row>
    <row r="1804" spans="6:7" x14ac:dyDescent="0.25">
      <c r="F1804" s="17" t="s">
        <v>2750</v>
      </c>
      <c r="G1804" s="17" t="s">
        <v>195</v>
      </c>
    </row>
    <row r="1805" spans="6:7" x14ac:dyDescent="0.25">
      <c r="F1805" s="17" t="s">
        <v>2751</v>
      </c>
      <c r="G1805" s="17" t="s">
        <v>195</v>
      </c>
    </row>
    <row r="1806" spans="6:7" x14ac:dyDescent="0.25">
      <c r="F1806" s="17" t="s">
        <v>2752</v>
      </c>
      <c r="G1806" s="17" t="s">
        <v>195</v>
      </c>
    </row>
    <row r="1807" spans="6:7" x14ac:dyDescent="0.25">
      <c r="F1807" s="17" t="s">
        <v>2753</v>
      </c>
      <c r="G1807" s="17" t="s">
        <v>195</v>
      </c>
    </row>
    <row r="1808" spans="6:7" x14ac:dyDescent="0.25">
      <c r="F1808" s="17" t="s">
        <v>2754</v>
      </c>
      <c r="G1808" s="17" t="s">
        <v>195</v>
      </c>
    </row>
    <row r="1809" spans="6:7" x14ac:dyDescent="0.25">
      <c r="F1809" s="17" t="s">
        <v>2755</v>
      </c>
      <c r="G1809" s="17" t="s">
        <v>195</v>
      </c>
    </row>
    <row r="1810" spans="6:7" x14ac:dyDescent="0.25">
      <c r="F1810" s="17" t="s">
        <v>2756</v>
      </c>
      <c r="G1810" s="17" t="s">
        <v>195</v>
      </c>
    </row>
    <row r="1811" spans="6:7" x14ac:dyDescent="0.25">
      <c r="F1811" s="17" t="s">
        <v>2757</v>
      </c>
      <c r="G1811" s="17" t="s">
        <v>1257</v>
      </c>
    </row>
    <row r="1812" spans="6:7" x14ac:dyDescent="0.25">
      <c r="F1812" s="17" t="s">
        <v>2758</v>
      </c>
      <c r="G1812" s="17" t="s">
        <v>1257</v>
      </c>
    </row>
    <row r="1813" spans="6:7" x14ac:dyDescent="0.25">
      <c r="F1813" s="17" t="s">
        <v>2759</v>
      </c>
      <c r="G1813" s="17" t="s">
        <v>1257</v>
      </c>
    </row>
    <row r="1814" spans="6:7" x14ac:dyDescent="0.25">
      <c r="F1814" s="17" t="s">
        <v>2760</v>
      </c>
      <c r="G1814" s="17" t="s">
        <v>1257</v>
      </c>
    </row>
    <row r="1815" spans="6:7" x14ac:dyDescent="0.25">
      <c r="F1815" s="17" t="s">
        <v>2761</v>
      </c>
      <c r="G1815" s="17" t="s">
        <v>1257</v>
      </c>
    </row>
    <row r="1816" spans="6:7" x14ac:dyDescent="0.25">
      <c r="F1816" s="17" t="s">
        <v>2762</v>
      </c>
      <c r="G1816" s="17" t="s">
        <v>1257</v>
      </c>
    </row>
    <row r="1817" spans="6:7" x14ac:dyDescent="0.25">
      <c r="F1817" s="17" t="s">
        <v>2763</v>
      </c>
      <c r="G1817" s="17" t="s">
        <v>1257</v>
      </c>
    </row>
    <row r="1818" spans="6:7" x14ac:dyDescent="0.25">
      <c r="F1818" s="17" t="s">
        <v>2764</v>
      </c>
      <c r="G1818" s="17" t="s">
        <v>1257</v>
      </c>
    </row>
    <row r="1819" spans="6:7" x14ac:dyDescent="0.25">
      <c r="F1819" s="17" t="s">
        <v>2765</v>
      </c>
      <c r="G1819" s="17" t="s">
        <v>1257</v>
      </c>
    </row>
    <row r="1820" spans="6:7" x14ac:dyDescent="0.25">
      <c r="F1820" s="17" t="s">
        <v>2766</v>
      </c>
      <c r="G1820" s="17" t="s">
        <v>1257</v>
      </c>
    </row>
    <row r="1821" spans="6:7" x14ac:dyDescent="0.25">
      <c r="F1821" s="17" t="s">
        <v>2767</v>
      </c>
      <c r="G1821" s="17" t="s">
        <v>1257</v>
      </c>
    </row>
    <row r="1822" spans="6:7" x14ac:dyDescent="0.25">
      <c r="F1822" s="17" t="s">
        <v>2768</v>
      </c>
      <c r="G1822" s="17" t="s">
        <v>1257</v>
      </c>
    </row>
    <row r="1823" spans="6:7" x14ac:dyDescent="0.25">
      <c r="F1823" s="17" t="s">
        <v>2769</v>
      </c>
      <c r="G1823" s="17" t="s">
        <v>1257</v>
      </c>
    </row>
    <row r="1824" spans="6:7" x14ac:dyDescent="0.25">
      <c r="F1824" s="17" t="s">
        <v>2770</v>
      </c>
      <c r="G1824" s="17" t="s">
        <v>1257</v>
      </c>
    </row>
    <row r="1825" spans="6:7" x14ac:dyDescent="0.25">
      <c r="F1825" s="17" t="s">
        <v>2771</v>
      </c>
      <c r="G1825" s="17" t="s">
        <v>1257</v>
      </c>
    </row>
    <row r="1826" spans="6:7" x14ac:dyDescent="0.25">
      <c r="F1826" s="17" t="s">
        <v>2772</v>
      </c>
      <c r="G1826" s="17" t="s">
        <v>217</v>
      </c>
    </row>
    <row r="1827" spans="6:7" x14ac:dyDescent="0.25">
      <c r="F1827" s="17" t="s">
        <v>2773</v>
      </c>
      <c r="G1827" s="17" t="s">
        <v>199</v>
      </c>
    </row>
    <row r="1828" spans="6:7" x14ac:dyDescent="0.25">
      <c r="F1828" s="17" t="s">
        <v>2774</v>
      </c>
      <c r="G1828" s="17" t="s">
        <v>199</v>
      </c>
    </row>
    <row r="1829" spans="6:7" x14ac:dyDescent="0.25">
      <c r="F1829" s="17" t="s">
        <v>2775</v>
      </c>
      <c r="G1829" s="17" t="s">
        <v>199</v>
      </c>
    </row>
    <row r="1830" spans="6:7" x14ac:dyDescent="0.25">
      <c r="F1830" s="17" t="s">
        <v>2776</v>
      </c>
      <c r="G1830" s="17" t="s">
        <v>199</v>
      </c>
    </row>
    <row r="1831" spans="6:7" x14ac:dyDescent="0.25">
      <c r="F1831" s="17" t="s">
        <v>2777</v>
      </c>
      <c r="G1831" s="17" t="s">
        <v>199</v>
      </c>
    </row>
    <row r="1832" spans="6:7" x14ac:dyDescent="0.25">
      <c r="F1832" s="17" t="s">
        <v>2778</v>
      </c>
      <c r="G1832" s="17" t="s">
        <v>199</v>
      </c>
    </row>
    <row r="1833" spans="6:7" x14ac:dyDescent="0.25">
      <c r="F1833" s="17" t="s">
        <v>2779</v>
      </c>
      <c r="G1833" s="17" t="s">
        <v>199</v>
      </c>
    </row>
    <row r="1834" spans="6:7" x14ac:dyDescent="0.25">
      <c r="F1834" s="17" t="s">
        <v>2780</v>
      </c>
      <c r="G1834" s="17" t="s">
        <v>195</v>
      </c>
    </row>
    <row r="1835" spans="6:7" x14ac:dyDescent="0.25">
      <c r="F1835" s="17" t="s">
        <v>2781</v>
      </c>
      <c r="G1835" s="17" t="s">
        <v>199</v>
      </c>
    </row>
    <row r="1836" spans="6:7" x14ac:dyDescent="0.25">
      <c r="F1836" s="17" t="s">
        <v>2782</v>
      </c>
      <c r="G1836" s="17" t="s">
        <v>199</v>
      </c>
    </row>
    <row r="1837" spans="6:7" x14ac:dyDescent="0.25">
      <c r="F1837" s="17" t="s">
        <v>273</v>
      </c>
      <c r="G1837" s="17" t="s">
        <v>199</v>
      </c>
    </row>
    <row r="1838" spans="6:7" x14ac:dyDescent="0.25">
      <c r="F1838" s="17" t="s">
        <v>802</v>
      </c>
      <c r="G1838" s="17" t="s">
        <v>199</v>
      </c>
    </row>
    <row r="1839" spans="6:7" x14ac:dyDescent="0.25">
      <c r="F1839" s="17" t="s">
        <v>2783</v>
      </c>
      <c r="G1839" s="17" t="s">
        <v>199</v>
      </c>
    </row>
    <row r="1840" spans="6:7" x14ac:dyDescent="0.25">
      <c r="F1840" s="17" t="s">
        <v>2784</v>
      </c>
      <c r="G1840" s="17" t="s">
        <v>199</v>
      </c>
    </row>
    <row r="1841" spans="6:7" x14ac:dyDescent="0.25">
      <c r="F1841" s="17" t="s">
        <v>758</v>
      </c>
      <c r="G1841" s="17" t="s">
        <v>199</v>
      </c>
    </row>
    <row r="1842" spans="6:7" x14ac:dyDescent="0.25">
      <c r="F1842" s="17" t="s">
        <v>2785</v>
      </c>
      <c r="G1842" s="17" t="s">
        <v>199</v>
      </c>
    </row>
    <row r="1843" spans="6:7" x14ac:dyDescent="0.25">
      <c r="F1843" s="17" t="s">
        <v>822</v>
      </c>
      <c r="G1843" s="17" t="s">
        <v>199</v>
      </c>
    </row>
    <row r="1844" spans="6:7" x14ac:dyDescent="0.25">
      <c r="F1844" s="17" t="s">
        <v>2786</v>
      </c>
      <c r="G1844" s="17" t="s">
        <v>199</v>
      </c>
    </row>
    <row r="1845" spans="6:7" x14ac:dyDescent="0.25">
      <c r="F1845" s="17" t="s">
        <v>2787</v>
      </c>
      <c r="G1845" s="17" t="s">
        <v>199</v>
      </c>
    </row>
    <row r="1846" spans="6:7" x14ac:dyDescent="0.25">
      <c r="F1846" s="17" t="s">
        <v>2788</v>
      </c>
      <c r="G1846" s="17" t="s">
        <v>199</v>
      </c>
    </row>
    <row r="1847" spans="6:7" x14ac:dyDescent="0.25">
      <c r="F1847" s="17" t="s">
        <v>2789</v>
      </c>
      <c r="G1847" s="17" t="s">
        <v>199</v>
      </c>
    </row>
    <row r="1848" spans="6:7" x14ac:dyDescent="0.25">
      <c r="F1848" s="17" t="s">
        <v>2790</v>
      </c>
      <c r="G1848" s="17" t="s">
        <v>1257</v>
      </c>
    </row>
    <row r="1849" spans="6:7" x14ac:dyDescent="0.25">
      <c r="F1849" s="17" t="s">
        <v>2791</v>
      </c>
      <c r="G1849" s="17" t="s">
        <v>199</v>
      </c>
    </row>
    <row r="1850" spans="6:7" x14ac:dyDescent="0.25">
      <c r="F1850" s="17" t="s">
        <v>2792</v>
      </c>
      <c r="G1850" s="17" t="s">
        <v>199</v>
      </c>
    </row>
    <row r="1851" spans="6:7" x14ac:dyDescent="0.25">
      <c r="F1851" s="17" t="s">
        <v>2793</v>
      </c>
      <c r="G1851" s="17" t="s">
        <v>199</v>
      </c>
    </row>
    <row r="1852" spans="6:7" x14ac:dyDescent="0.25">
      <c r="F1852" s="17" t="s">
        <v>2794</v>
      </c>
      <c r="G1852" s="17" t="s">
        <v>2007</v>
      </c>
    </row>
    <row r="1853" spans="6:7" x14ac:dyDescent="0.25">
      <c r="F1853" s="17" t="s">
        <v>2795</v>
      </c>
      <c r="G1853" s="17" t="s">
        <v>2007</v>
      </c>
    </row>
    <row r="1854" spans="6:7" x14ac:dyDescent="0.25">
      <c r="F1854" s="17" t="s">
        <v>2796</v>
      </c>
      <c r="G1854" s="17" t="s">
        <v>2548</v>
      </c>
    </row>
    <row r="1855" spans="6:7" x14ac:dyDescent="0.25">
      <c r="F1855" s="17" t="s">
        <v>2797</v>
      </c>
      <c r="G1855" s="17" t="s">
        <v>2007</v>
      </c>
    </row>
    <row r="1856" spans="6:7" x14ac:dyDescent="0.25">
      <c r="F1856" s="17" t="s">
        <v>2798</v>
      </c>
      <c r="G1856" s="17" t="s">
        <v>2007</v>
      </c>
    </row>
    <row r="1857" spans="6:7" x14ac:dyDescent="0.25">
      <c r="F1857" s="17" t="s">
        <v>2799</v>
      </c>
      <c r="G1857" s="17" t="s">
        <v>2007</v>
      </c>
    </row>
    <row r="1858" spans="6:7" x14ac:dyDescent="0.25">
      <c r="F1858" s="17" t="s">
        <v>2800</v>
      </c>
      <c r="G1858" s="17" t="s">
        <v>2007</v>
      </c>
    </row>
    <row r="1859" spans="6:7" x14ac:dyDescent="0.25">
      <c r="F1859" s="17" t="s">
        <v>2801</v>
      </c>
      <c r="G1859" s="17" t="s">
        <v>2007</v>
      </c>
    </row>
    <row r="1860" spans="6:7" x14ac:dyDescent="0.25">
      <c r="F1860" s="17" t="s">
        <v>2802</v>
      </c>
      <c r="G1860" s="17" t="s">
        <v>2007</v>
      </c>
    </row>
    <row r="1861" spans="6:7" x14ac:dyDescent="0.25">
      <c r="F1861" s="17" t="s">
        <v>2803</v>
      </c>
      <c r="G1861" s="17" t="s">
        <v>2007</v>
      </c>
    </row>
    <row r="1862" spans="6:7" x14ac:dyDescent="0.25">
      <c r="F1862" s="17" t="s">
        <v>2804</v>
      </c>
      <c r="G1862" s="17" t="s">
        <v>2007</v>
      </c>
    </row>
    <row r="1863" spans="6:7" x14ac:dyDescent="0.25">
      <c r="F1863" s="17" t="s">
        <v>2805</v>
      </c>
      <c r="G1863" s="17" t="s">
        <v>2007</v>
      </c>
    </row>
    <row r="1864" spans="6:7" x14ac:dyDescent="0.25">
      <c r="F1864" s="17" t="s">
        <v>2806</v>
      </c>
      <c r="G1864" s="17" t="s">
        <v>2007</v>
      </c>
    </row>
    <row r="1865" spans="6:7" x14ac:dyDescent="0.25">
      <c r="F1865" s="17" t="s">
        <v>2807</v>
      </c>
      <c r="G1865" s="17" t="s">
        <v>2007</v>
      </c>
    </row>
    <row r="1866" spans="6:7" x14ac:dyDescent="0.25">
      <c r="F1866" s="17" t="s">
        <v>2808</v>
      </c>
      <c r="G1866" s="17" t="s">
        <v>2007</v>
      </c>
    </row>
    <row r="1867" spans="6:7" x14ac:dyDescent="0.25">
      <c r="F1867" s="17" t="s">
        <v>2809</v>
      </c>
      <c r="G1867" s="17" t="s">
        <v>2007</v>
      </c>
    </row>
    <row r="1868" spans="6:7" x14ac:dyDescent="0.25">
      <c r="F1868" s="17" t="s">
        <v>2810</v>
      </c>
      <c r="G1868" s="17" t="s">
        <v>2007</v>
      </c>
    </row>
    <row r="1869" spans="6:7" x14ac:dyDescent="0.25">
      <c r="F1869" s="17" t="s">
        <v>2811</v>
      </c>
      <c r="G1869" s="17" t="s">
        <v>2548</v>
      </c>
    </row>
    <row r="1870" spans="6:7" x14ac:dyDescent="0.25">
      <c r="F1870" s="17" t="s">
        <v>2812</v>
      </c>
      <c r="G1870" s="17" t="s">
        <v>2548</v>
      </c>
    </row>
    <row r="1871" spans="6:7" x14ac:dyDescent="0.25">
      <c r="F1871" s="17" t="s">
        <v>2813</v>
      </c>
      <c r="G1871" s="17" t="s">
        <v>2814</v>
      </c>
    </row>
    <row r="1872" spans="6:7" x14ac:dyDescent="0.25">
      <c r="F1872" s="17" t="s">
        <v>2815</v>
      </c>
      <c r="G1872" s="17" t="s">
        <v>2007</v>
      </c>
    </row>
    <row r="1873" spans="6:7" x14ac:dyDescent="0.25">
      <c r="F1873" s="17" t="s">
        <v>2816</v>
      </c>
      <c r="G1873" s="17" t="s">
        <v>2548</v>
      </c>
    </row>
    <row r="1874" spans="6:7" x14ac:dyDescent="0.25">
      <c r="F1874" s="17" t="s">
        <v>2817</v>
      </c>
      <c r="G1874" s="17" t="s">
        <v>2548</v>
      </c>
    </row>
    <row r="1875" spans="6:7" x14ac:dyDescent="0.25">
      <c r="F1875" s="17" t="s">
        <v>2818</v>
      </c>
      <c r="G1875" s="17" t="s">
        <v>2814</v>
      </c>
    </row>
    <row r="1876" spans="6:7" x14ac:dyDescent="0.25">
      <c r="F1876" s="17" t="s">
        <v>2819</v>
      </c>
      <c r="G1876" s="17" t="s">
        <v>2548</v>
      </c>
    </row>
    <row r="1877" spans="6:7" x14ac:dyDescent="0.25">
      <c r="F1877" s="17" t="s">
        <v>2820</v>
      </c>
      <c r="G1877" s="17" t="s">
        <v>2589</v>
      </c>
    </row>
    <row r="1878" spans="6:7" x14ac:dyDescent="0.25">
      <c r="F1878" s="17" t="s">
        <v>2821</v>
      </c>
      <c r="G1878" s="17" t="s">
        <v>2548</v>
      </c>
    </row>
    <row r="1879" spans="6:7" x14ac:dyDescent="0.25">
      <c r="F1879" s="17" t="s">
        <v>2822</v>
      </c>
      <c r="G1879" s="17" t="s">
        <v>2823</v>
      </c>
    </row>
    <row r="1880" spans="6:7" x14ac:dyDescent="0.25">
      <c r="F1880" s="17" t="s">
        <v>2824</v>
      </c>
      <c r="G1880" s="17" t="s">
        <v>2823</v>
      </c>
    </row>
    <row r="1881" spans="6:7" x14ac:dyDescent="0.25">
      <c r="F1881" s="17" t="s">
        <v>2825</v>
      </c>
      <c r="G1881" s="17" t="s">
        <v>2814</v>
      </c>
    </row>
    <row r="1882" spans="6:7" x14ac:dyDescent="0.25">
      <c r="F1882" s="17" t="s">
        <v>2826</v>
      </c>
      <c r="G1882" s="17" t="s">
        <v>2589</v>
      </c>
    </row>
    <row r="1883" spans="6:7" x14ac:dyDescent="0.25">
      <c r="F1883" s="17" t="s">
        <v>2827</v>
      </c>
      <c r="G1883" s="17" t="s">
        <v>2814</v>
      </c>
    </row>
    <row r="1884" spans="6:7" x14ac:dyDescent="0.25">
      <c r="F1884" s="17" t="s">
        <v>2828</v>
      </c>
      <c r="G1884" s="17" t="s">
        <v>2004</v>
      </c>
    </row>
    <row r="1885" spans="6:7" x14ac:dyDescent="0.25">
      <c r="F1885" s="17" t="s">
        <v>2829</v>
      </c>
      <c r="G1885" s="17" t="s">
        <v>2814</v>
      </c>
    </row>
    <row r="1886" spans="6:7" x14ac:dyDescent="0.25">
      <c r="F1886" s="17" t="s">
        <v>2830</v>
      </c>
      <c r="G1886" s="17" t="s">
        <v>2814</v>
      </c>
    </row>
    <row r="1887" spans="6:7" x14ac:dyDescent="0.25">
      <c r="F1887" s="17" t="s">
        <v>2831</v>
      </c>
      <c r="G1887" s="17" t="s">
        <v>2814</v>
      </c>
    </row>
    <row r="1888" spans="6:7" x14ac:dyDescent="0.25">
      <c r="F1888" s="17" t="s">
        <v>2832</v>
      </c>
      <c r="G1888" s="17" t="s">
        <v>2589</v>
      </c>
    </row>
    <row r="1889" spans="6:7" x14ac:dyDescent="0.25">
      <c r="F1889" s="17" t="s">
        <v>2833</v>
      </c>
      <c r="G1889" s="17" t="s">
        <v>2589</v>
      </c>
    </row>
    <row r="1890" spans="6:7" x14ac:dyDescent="0.25">
      <c r="F1890" s="17" t="s">
        <v>2834</v>
      </c>
      <c r="G1890" s="17" t="s">
        <v>2589</v>
      </c>
    </row>
    <row r="1891" spans="6:7" x14ac:dyDescent="0.25">
      <c r="F1891" s="17" t="s">
        <v>2835</v>
      </c>
      <c r="G1891" s="17" t="s">
        <v>2589</v>
      </c>
    </row>
    <row r="1892" spans="6:7" x14ac:dyDescent="0.25">
      <c r="F1892" s="17" t="s">
        <v>2836</v>
      </c>
      <c r="G1892" s="17" t="s">
        <v>2589</v>
      </c>
    </row>
    <row r="1893" spans="6:7" x14ac:dyDescent="0.25">
      <c r="F1893" s="17" t="s">
        <v>2837</v>
      </c>
      <c r="G1893" s="17" t="s">
        <v>2589</v>
      </c>
    </row>
    <row r="1894" spans="6:7" x14ac:dyDescent="0.25">
      <c r="F1894" s="17" t="s">
        <v>2838</v>
      </c>
      <c r="G1894" s="17" t="s">
        <v>2589</v>
      </c>
    </row>
    <row r="1895" spans="6:7" x14ac:dyDescent="0.25">
      <c r="F1895" s="17" t="s">
        <v>2839</v>
      </c>
      <c r="G1895" s="17" t="s">
        <v>2589</v>
      </c>
    </row>
    <row r="1896" spans="6:7" x14ac:dyDescent="0.25">
      <c r="F1896" s="17" t="s">
        <v>2840</v>
      </c>
      <c r="G1896" s="17" t="s">
        <v>2589</v>
      </c>
    </row>
    <row r="1897" spans="6:7" x14ac:dyDescent="0.25">
      <c r="F1897" s="17" t="s">
        <v>2841</v>
      </c>
      <c r="G1897" s="17" t="s">
        <v>2589</v>
      </c>
    </row>
    <row r="1898" spans="6:7" x14ac:dyDescent="0.25">
      <c r="F1898" s="17" t="s">
        <v>2842</v>
      </c>
      <c r="G1898" s="17" t="s">
        <v>2589</v>
      </c>
    </row>
    <row r="1899" spans="6:7" x14ac:dyDescent="0.25">
      <c r="F1899" s="17" t="s">
        <v>2843</v>
      </c>
      <c r="G1899" s="17" t="s">
        <v>2589</v>
      </c>
    </row>
    <row r="1900" spans="6:7" x14ac:dyDescent="0.25">
      <c r="F1900" s="17" t="s">
        <v>2844</v>
      </c>
      <c r="G1900" s="17" t="s">
        <v>2589</v>
      </c>
    </row>
    <row r="1901" spans="6:7" x14ac:dyDescent="0.25">
      <c r="F1901" s="17" t="s">
        <v>2845</v>
      </c>
      <c r="G1901" s="17" t="s">
        <v>2589</v>
      </c>
    </row>
    <row r="1902" spans="6:7" x14ac:dyDescent="0.25">
      <c r="F1902" s="17" t="s">
        <v>2846</v>
      </c>
      <c r="G1902" s="17" t="s">
        <v>2589</v>
      </c>
    </row>
    <row r="1903" spans="6:7" x14ac:dyDescent="0.25">
      <c r="F1903" s="17" t="s">
        <v>2847</v>
      </c>
      <c r="G1903" s="17" t="s">
        <v>2589</v>
      </c>
    </row>
    <row r="1904" spans="6:7" x14ac:dyDescent="0.25">
      <c r="F1904" s="17" t="s">
        <v>2848</v>
      </c>
      <c r="G1904" s="17" t="s">
        <v>2589</v>
      </c>
    </row>
    <row r="1905" spans="6:7" x14ac:dyDescent="0.25">
      <c r="F1905" s="17" t="s">
        <v>2849</v>
      </c>
      <c r="G1905" s="17" t="s">
        <v>2589</v>
      </c>
    </row>
    <row r="1906" spans="6:7" x14ac:dyDescent="0.25">
      <c r="F1906" s="17" t="s">
        <v>2850</v>
      </c>
      <c r="G1906" s="17" t="s">
        <v>2589</v>
      </c>
    </row>
    <row r="1907" spans="6:7" x14ac:dyDescent="0.25">
      <c r="F1907" s="17" t="s">
        <v>2851</v>
      </c>
      <c r="G1907" s="17" t="s">
        <v>2589</v>
      </c>
    </row>
    <row r="1908" spans="6:7" x14ac:dyDescent="0.25">
      <c r="F1908" s="17" t="s">
        <v>2852</v>
      </c>
      <c r="G1908" s="17" t="s">
        <v>2589</v>
      </c>
    </row>
    <row r="1909" spans="6:7" x14ac:dyDescent="0.25">
      <c r="F1909" s="17" t="s">
        <v>2853</v>
      </c>
      <c r="G1909" s="17" t="s">
        <v>2589</v>
      </c>
    </row>
    <row r="1910" spans="6:7" x14ac:dyDescent="0.25">
      <c r="F1910" s="17" t="s">
        <v>2854</v>
      </c>
      <c r="G1910" s="17" t="s">
        <v>2589</v>
      </c>
    </row>
    <row r="1911" spans="6:7" x14ac:dyDescent="0.25">
      <c r="F1911" s="17" t="s">
        <v>2855</v>
      </c>
      <c r="G1911" s="17" t="s">
        <v>2589</v>
      </c>
    </row>
    <row r="1912" spans="6:7" x14ac:dyDescent="0.25">
      <c r="F1912" s="17" t="s">
        <v>2856</v>
      </c>
      <c r="G1912" s="17" t="s">
        <v>2589</v>
      </c>
    </row>
    <row r="1913" spans="6:7" x14ac:dyDescent="0.25">
      <c r="F1913" s="17" t="s">
        <v>2857</v>
      </c>
      <c r="G1913" s="17" t="s">
        <v>2589</v>
      </c>
    </row>
    <row r="1914" spans="6:7" x14ac:dyDescent="0.25">
      <c r="F1914" s="17" t="s">
        <v>2858</v>
      </c>
      <c r="G1914" s="17" t="s">
        <v>2823</v>
      </c>
    </row>
    <row r="1915" spans="6:7" x14ac:dyDescent="0.25">
      <c r="F1915" s="17" t="s">
        <v>2859</v>
      </c>
      <c r="G1915" s="17" t="s">
        <v>2004</v>
      </c>
    </row>
    <row r="1916" spans="6:7" x14ac:dyDescent="0.25">
      <c r="F1916" s="17" t="s">
        <v>2860</v>
      </c>
      <c r="G1916" s="17" t="s">
        <v>2823</v>
      </c>
    </row>
    <row r="1917" spans="6:7" x14ac:dyDescent="0.25">
      <c r="F1917" s="17" t="s">
        <v>2861</v>
      </c>
      <c r="G1917" s="17" t="s">
        <v>2823</v>
      </c>
    </row>
    <row r="1918" spans="6:7" x14ac:dyDescent="0.25">
      <c r="F1918" s="17" t="s">
        <v>2862</v>
      </c>
      <c r="G1918" s="17" t="s">
        <v>2823</v>
      </c>
    </row>
    <row r="1919" spans="6:7" x14ac:dyDescent="0.25">
      <c r="F1919" s="17" t="s">
        <v>2863</v>
      </c>
      <c r="G1919" s="17" t="s">
        <v>2823</v>
      </c>
    </row>
    <row r="1920" spans="6:7" x14ac:dyDescent="0.25">
      <c r="F1920" s="17" t="s">
        <v>2864</v>
      </c>
      <c r="G1920" s="17" t="s">
        <v>2823</v>
      </c>
    </row>
    <row r="1921" spans="6:7" x14ac:dyDescent="0.25">
      <c r="F1921" s="17" t="s">
        <v>2865</v>
      </c>
      <c r="G1921" s="17" t="s">
        <v>2004</v>
      </c>
    </row>
    <row r="1922" spans="6:7" x14ac:dyDescent="0.25">
      <c r="F1922" s="17" t="s">
        <v>2866</v>
      </c>
      <c r="G1922" s="17" t="s">
        <v>2867</v>
      </c>
    </row>
    <row r="1923" spans="6:7" x14ac:dyDescent="0.25">
      <c r="F1923" s="17" t="s">
        <v>2868</v>
      </c>
      <c r="G1923" s="17" t="s">
        <v>2589</v>
      </c>
    </row>
    <row r="1924" spans="6:7" x14ac:dyDescent="0.25">
      <c r="F1924" s="17" t="s">
        <v>2869</v>
      </c>
      <c r="G1924" s="17" t="s">
        <v>2589</v>
      </c>
    </row>
    <row r="1925" spans="6:7" x14ac:dyDescent="0.25">
      <c r="F1925" s="17" t="s">
        <v>2870</v>
      </c>
      <c r="G1925" s="17" t="s">
        <v>2589</v>
      </c>
    </row>
    <row r="1926" spans="6:7" x14ac:dyDescent="0.25">
      <c r="F1926" s="17" t="s">
        <v>2871</v>
      </c>
      <c r="G1926" s="17" t="s">
        <v>2589</v>
      </c>
    </row>
    <row r="1927" spans="6:7" x14ac:dyDescent="0.25">
      <c r="F1927" s="17" t="s">
        <v>2872</v>
      </c>
      <c r="G1927" s="17" t="s">
        <v>2589</v>
      </c>
    </row>
    <row r="1928" spans="6:7" x14ac:dyDescent="0.25">
      <c r="F1928" s="17" t="s">
        <v>2873</v>
      </c>
      <c r="G1928" s="17" t="s">
        <v>2589</v>
      </c>
    </row>
    <row r="1929" spans="6:7" x14ac:dyDescent="0.25">
      <c r="F1929" s="17" t="s">
        <v>2874</v>
      </c>
      <c r="G1929" s="17" t="s">
        <v>2867</v>
      </c>
    </row>
    <row r="1930" spans="6:7" x14ac:dyDescent="0.25">
      <c r="F1930" s="17" t="s">
        <v>2875</v>
      </c>
      <c r="G1930" s="17" t="s">
        <v>2867</v>
      </c>
    </row>
    <row r="1931" spans="6:7" x14ac:dyDescent="0.25">
      <c r="F1931" s="17" t="s">
        <v>2876</v>
      </c>
      <c r="G1931" s="17" t="s">
        <v>2589</v>
      </c>
    </row>
    <row r="1932" spans="6:7" x14ac:dyDescent="0.25">
      <c r="F1932" s="17" t="s">
        <v>2877</v>
      </c>
      <c r="G1932" s="17" t="s">
        <v>2589</v>
      </c>
    </row>
    <row r="1933" spans="6:7" x14ac:dyDescent="0.25">
      <c r="F1933" s="17" t="s">
        <v>2878</v>
      </c>
      <c r="G1933" s="17" t="s">
        <v>2589</v>
      </c>
    </row>
    <row r="1934" spans="6:7" x14ac:dyDescent="0.25">
      <c r="F1934" s="17" t="s">
        <v>2879</v>
      </c>
      <c r="G1934" s="17" t="s">
        <v>2589</v>
      </c>
    </row>
    <row r="1935" spans="6:7" x14ac:dyDescent="0.25">
      <c r="F1935" s="17" t="s">
        <v>2880</v>
      </c>
      <c r="G1935" s="17" t="s">
        <v>2589</v>
      </c>
    </row>
    <row r="1936" spans="6:7" x14ac:dyDescent="0.25">
      <c r="F1936" s="17" t="s">
        <v>2881</v>
      </c>
      <c r="G1936" s="17" t="s">
        <v>2589</v>
      </c>
    </row>
    <row r="1937" spans="6:7" x14ac:dyDescent="0.25">
      <c r="F1937" s="17" t="s">
        <v>2882</v>
      </c>
      <c r="G1937" s="17" t="s">
        <v>2589</v>
      </c>
    </row>
    <row r="1938" spans="6:7" x14ac:dyDescent="0.25">
      <c r="F1938" s="17" t="s">
        <v>2883</v>
      </c>
      <c r="G1938" s="17" t="s">
        <v>2589</v>
      </c>
    </row>
    <row r="1939" spans="6:7" x14ac:dyDescent="0.25">
      <c r="F1939" s="17" t="s">
        <v>2884</v>
      </c>
      <c r="G1939" s="17" t="s">
        <v>2589</v>
      </c>
    </row>
    <row r="1940" spans="6:7" x14ac:dyDescent="0.25">
      <c r="F1940" s="17" t="s">
        <v>2885</v>
      </c>
      <c r="G1940" s="17" t="s">
        <v>2589</v>
      </c>
    </row>
    <row r="1941" spans="6:7" x14ac:dyDescent="0.25">
      <c r="F1941" s="17" t="s">
        <v>2886</v>
      </c>
      <c r="G1941" s="17" t="s">
        <v>2589</v>
      </c>
    </row>
    <row r="1942" spans="6:7" x14ac:dyDescent="0.25">
      <c r="F1942" s="17" t="s">
        <v>2887</v>
      </c>
      <c r="G1942" s="17" t="s">
        <v>2589</v>
      </c>
    </row>
    <row r="1943" spans="6:7" x14ac:dyDescent="0.25">
      <c r="F1943" s="17" t="s">
        <v>2888</v>
      </c>
      <c r="G1943" s="17" t="s">
        <v>2589</v>
      </c>
    </row>
    <row r="1944" spans="6:7" x14ac:dyDescent="0.25">
      <c r="F1944" s="17" t="s">
        <v>2889</v>
      </c>
      <c r="G1944" s="17" t="s">
        <v>2589</v>
      </c>
    </row>
    <row r="1945" spans="6:7" x14ac:dyDescent="0.25">
      <c r="F1945" s="17" t="s">
        <v>2890</v>
      </c>
      <c r="G1945" s="17" t="s">
        <v>2589</v>
      </c>
    </row>
    <row r="1946" spans="6:7" x14ac:dyDescent="0.25">
      <c r="F1946" s="17" t="s">
        <v>2891</v>
      </c>
      <c r="G1946" s="17" t="s">
        <v>2589</v>
      </c>
    </row>
    <row r="1947" spans="6:7" x14ac:dyDescent="0.25">
      <c r="F1947" s="17" t="s">
        <v>2892</v>
      </c>
      <c r="G1947" s="17" t="s">
        <v>2589</v>
      </c>
    </row>
    <row r="1948" spans="6:7" x14ac:dyDescent="0.25">
      <c r="F1948" s="17" t="s">
        <v>2893</v>
      </c>
      <c r="G1948" s="17" t="s">
        <v>2589</v>
      </c>
    </row>
    <row r="1949" spans="6:7" x14ac:dyDescent="0.25">
      <c r="F1949" s="17" t="s">
        <v>2894</v>
      </c>
      <c r="G1949" s="17" t="s">
        <v>2004</v>
      </c>
    </row>
    <row r="1950" spans="6:7" x14ac:dyDescent="0.25">
      <c r="F1950" s="17" t="s">
        <v>2895</v>
      </c>
      <c r="G1950" s="17" t="s">
        <v>2896</v>
      </c>
    </row>
    <row r="1951" spans="6:7" x14ac:dyDescent="0.25">
      <c r="F1951" s="17" t="s">
        <v>2897</v>
      </c>
      <c r="G1951" s="17" t="s">
        <v>2004</v>
      </c>
    </row>
    <row r="1952" spans="6:7" x14ac:dyDescent="0.25">
      <c r="F1952" s="17" t="s">
        <v>2898</v>
      </c>
      <c r="G1952" s="17" t="s">
        <v>2004</v>
      </c>
    </row>
    <row r="1953" spans="6:7" x14ac:dyDescent="0.25">
      <c r="F1953" s="17" t="s">
        <v>2899</v>
      </c>
      <c r="G1953" s="17" t="s">
        <v>2004</v>
      </c>
    </row>
    <row r="1954" spans="6:7" x14ac:dyDescent="0.25">
      <c r="F1954" s="17" t="s">
        <v>2900</v>
      </c>
      <c r="G1954" s="17" t="s">
        <v>2896</v>
      </c>
    </row>
    <row r="1955" spans="6:7" x14ac:dyDescent="0.25">
      <c r="F1955" s="17" t="s">
        <v>2901</v>
      </c>
      <c r="G1955" s="17" t="s">
        <v>2102</v>
      </c>
    </row>
    <row r="1956" spans="6:7" x14ac:dyDescent="0.25">
      <c r="F1956" s="17" t="s">
        <v>2902</v>
      </c>
      <c r="G1956" s="17" t="s">
        <v>2004</v>
      </c>
    </row>
    <row r="1957" spans="6:7" x14ac:dyDescent="0.25">
      <c r="F1957" s="17" t="s">
        <v>2903</v>
      </c>
      <c r="G1957" s="17" t="s">
        <v>2004</v>
      </c>
    </row>
    <row r="1958" spans="6:7" x14ac:dyDescent="0.25">
      <c r="F1958" s="17" t="s">
        <v>2904</v>
      </c>
      <c r="G1958" s="17" t="s">
        <v>2102</v>
      </c>
    </row>
    <row r="1959" spans="6:7" x14ac:dyDescent="0.25">
      <c r="F1959" s="17" t="s">
        <v>2905</v>
      </c>
      <c r="G1959" s="17" t="s">
        <v>2004</v>
      </c>
    </row>
    <row r="1960" spans="6:7" x14ac:dyDescent="0.25">
      <c r="F1960" s="17" t="s">
        <v>2906</v>
      </c>
      <c r="G1960" s="17" t="s">
        <v>2004</v>
      </c>
    </row>
    <row r="1961" spans="6:7" x14ac:dyDescent="0.25">
      <c r="F1961" s="17" t="s">
        <v>2907</v>
      </c>
      <c r="G1961" s="17" t="s">
        <v>2004</v>
      </c>
    </row>
    <row r="1962" spans="6:7" x14ac:dyDescent="0.25">
      <c r="F1962" s="17" t="s">
        <v>2908</v>
      </c>
      <c r="G1962" s="17" t="s">
        <v>2004</v>
      </c>
    </row>
    <row r="1963" spans="6:7" x14ac:dyDescent="0.25">
      <c r="F1963" s="17" t="s">
        <v>2909</v>
      </c>
      <c r="G1963" s="17" t="s">
        <v>2004</v>
      </c>
    </row>
    <row r="1964" spans="6:7" x14ac:dyDescent="0.25">
      <c r="F1964" s="17" t="s">
        <v>2910</v>
      </c>
      <c r="G1964" s="17" t="s">
        <v>2004</v>
      </c>
    </row>
    <row r="1965" spans="6:7" x14ac:dyDescent="0.25">
      <c r="F1965" s="17" t="s">
        <v>2911</v>
      </c>
      <c r="G1965" s="17" t="s">
        <v>2004</v>
      </c>
    </row>
    <row r="1966" spans="6:7" x14ac:dyDescent="0.25">
      <c r="F1966" s="17" t="s">
        <v>2912</v>
      </c>
      <c r="G1966" s="17" t="s">
        <v>2004</v>
      </c>
    </row>
    <row r="1967" spans="6:7" x14ac:dyDescent="0.25">
      <c r="F1967" s="17" t="s">
        <v>2913</v>
      </c>
      <c r="G1967" s="17" t="s">
        <v>2100</v>
      </c>
    </row>
    <row r="1968" spans="6:7" x14ac:dyDescent="0.25">
      <c r="F1968" s="17" t="s">
        <v>2914</v>
      </c>
      <c r="G1968" s="17" t="s">
        <v>2915</v>
      </c>
    </row>
    <row r="1969" spans="6:7" x14ac:dyDescent="0.25">
      <c r="F1969" s="17" t="s">
        <v>2916</v>
      </c>
      <c r="G1969" s="17" t="s">
        <v>2867</v>
      </c>
    </row>
    <row r="1970" spans="6:7" x14ac:dyDescent="0.25">
      <c r="F1970" s="17" t="s">
        <v>2917</v>
      </c>
      <c r="G1970" s="17" t="s">
        <v>2867</v>
      </c>
    </row>
    <row r="1971" spans="6:7" x14ac:dyDescent="0.25">
      <c r="F1971" s="17" t="s">
        <v>2918</v>
      </c>
      <c r="G1971" s="17" t="s">
        <v>2915</v>
      </c>
    </row>
    <row r="1972" spans="6:7" x14ac:dyDescent="0.25">
      <c r="F1972" s="17" t="s">
        <v>2919</v>
      </c>
      <c r="G1972" s="17" t="s">
        <v>2915</v>
      </c>
    </row>
    <row r="1973" spans="6:7" x14ac:dyDescent="0.25">
      <c r="F1973" s="17" t="s">
        <v>2920</v>
      </c>
      <c r="G1973" s="17" t="s">
        <v>2915</v>
      </c>
    </row>
    <row r="1974" spans="6:7" x14ac:dyDescent="0.25">
      <c r="F1974" s="17" t="s">
        <v>2921</v>
      </c>
      <c r="G1974" s="17" t="s">
        <v>2915</v>
      </c>
    </row>
    <row r="1975" spans="6:7" x14ac:dyDescent="0.25">
      <c r="F1975" s="17" t="s">
        <v>2922</v>
      </c>
      <c r="G1975" s="17" t="s">
        <v>2589</v>
      </c>
    </row>
    <row r="1976" spans="6:7" x14ac:dyDescent="0.25">
      <c r="F1976" s="17" t="s">
        <v>2923</v>
      </c>
      <c r="G1976" s="17" t="s">
        <v>2589</v>
      </c>
    </row>
    <row r="1977" spans="6:7" x14ac:dyDescent="0.25">
      <c r="F1977" s="17" t="s">
        <v>2924</v>
      </c>
      <c r="G1977" s="17" t="s">
        <v>2925</v>
      </c>
    </row>
    <row r="1978" spans="6:7" x14ac:dyDescent="0.25">
      <c r="F1978" s="17" t="s">
        <v>495</v>
      </c>
      <c r="G1978" s="17" t="s">
        <v>86</v>
      </c>
    </row>
    <row r="1979" spans="6:7" x14ac:dyDescent="0.25">
      <c r="F1979" s="17" t="s">
        <v>413</v>
      </c>
      <c r="G1979" s="17" t="s">
        <v>86</v>
      </c>
    </row>
    <row r="1980" spans="6:7" x14ac:dyDescent="0.25">
      <c r="F1980" s="17" t="s">
        <v>432</v>
      </c>
      <c r="G1980" s="17" t="s">
        <v>86</v>
      </c>
    </row>
    <row r="1981" spans="6:7" x14ac:dyDescent="0.25">
      <c r="F1981" s="17" t="s">
        <v>2926</v>
      </c>
      <c r="G1981" s="17" t="s">
        <v>2867</v>
      </c>
    </row>
    <row r="1982" spans="6:7" x14ac:dyDescent="0.25">
      <c r="F1982" s="17" t="s">
        <v>2927</v>
      </c>
      <c r="G1982" s="17" t="s">
        <v>2867</v>
      </c>
    </row>
    <row r="1983" spans="6:7" x14ac:dyDescent="0.25">
      <c r="F1983" s="17" t="s">
        <v>2928</v>
      </c>
      <c r="G1983" s="17" t="s">
        <v>2896</v>
      </c>
    </row>
    <row r="1984" spans="6:7" x14ac:dyDescent="0.25">
      <c r="F1984" s="17" t="s">
        <v>2929</v>
      </c>
      <c r="G1984" s="17" t="s">
        <v>2102</v>
      </c>
    </row>
    <row r="1985" spans="6:7" x14ac:dyDescent="0.25">
      <c r="F1985" s="17" t="s">
        <v>2930</v>
      </c>
      <c r="G1985" s="17" t="s">
        <v>2896</v>
      </c>
    </row>
    <row r="1986" spans="6:7" x14ac:dyDescent="0.25">
      <c r="F1986" s="17" t="s">
        <v>2931</v>
      </c>
      <c r="G1986" s="17" t="s">
        <v>2896</v>
      </c>
    </row>
    <row r="1987" spans="6:7" x14ac:dyDescent="0.25">
      <c r="F1987" s="17" t="s">
        <v>2932</v>
      </c>
      <c r="G1987" s="17" t="s">
        <v>2896</v>
      </c>
    </row>
    <row r="1988" spans="6:7" x14ac:dyDescent="0.25">
      <c r="F1988" s="17" t="s">
        <v>2933</v>
      </c>
      <c r="G1988" s="17" t="s">
        <v>2109</v>
      </c>
    </row>
    <row r="1989" spans="6:7" x14ac:dyDescent="0.25">
      <c r="F1989" s="17" t="s">
        <v>2934</v>
      </c>
      <c r="G1989" s="17" t="s">
        <v>2109</v>
      </c>
    </row>
    <row r="1990" spans="6:7" x14ac:dyDescent="0.25">
      <c r="F1990" s="17" t="s">
        <v>2935</v>
      </c>
      <c r="G1990" s="17" t="s">
        <v>2086</v>
      </c>
    </row>
    <row r="1991" spans="6:7" x14ac:dyDescent="0.25">
      <c r="F1991" s="17" t="s">
        <v>2936</v>
      </c>
      <c r="G1991" s="17" t="s">
        <v>2109</v>
      </c>
    </row>
    <row r="1992" spans="6:7" x14ac:dyDescent="0.25">
      <c r="F1992" s="17" t="s">
        <v>2937</v>
      </c>
      <c r="G1992" s="17" t="s">
        <v>2915</v>
      </c>
    </row>
    <row r="1993" spans="6:7" x14ac:dyDescent="0.25">
      <c r="F1993" s="17" t="s">
        <v>2938</v>
      </c>
      <c r="G1993" s="17" t="s">
        <v>86</v>
      </c>
    </row>
    <row r="1994" spans="6:7" x14ac:dyDescent="0.25">
      <c r="F1994" s="17" t="s">
        <v>2939</v>
      </c>
      <c r="G1994" s="17" t="s">
        <v>2915</v>
      </c>
    </row>
    <row r="1995" spans="6:7" x14ac:dyDescent="0.25">
      <c r="F1995" s="17" t="s">
        <v>2940</v>
      </c>
      <c r="G1995" s="17" t="s">
        <v>2915</v>
      </c>
    </row>
    <row r="1996" spans="6:7" x14ac:dyDescent="0.25">
      <c r="F1996" s="17" t="s">
        <v>2941</v>
      </c>
      <c r="G1996" s="17" t="s">
        <v>2915</v>
      </c>
    </row>
    <row r="1997" spans="6:7" x14ac:dyDescent="0.25">
      <c r="F1997" s="17" t="s">
        <v>2942</v>
      </c>
      <c r="G1997" s="17" t="s">
        <v>2915</v>
      </c>
    </row>
    <row r="1998" spans="6:7" x14ac:dyDescent="0.25">
      <c r="F1998" s="17" t="s">
        <v>2943</v>
      </c>
      <c r="G1998" s="17" t="s">
        <v>2915</v>
      </c>
    </row>
    <row r="1999" spans="6:7" x14ac:dyDescent="0.25">
      <c r="F1999" s="17" t="s">
        <v>2944</v>
      </c>
      <c r="G1999" s="17" t="s">
        <v>2915</v>
      </c>
    </row>
    <row r="2000" spans="6:7" x14ac:dyDescent="0.25">
      <c r="F2000" s="17" t="s">
        <v>2945</v>
      </c>
      <c r="G2000" s="17" t="s">
        <v>2915</v>
      </c>
    </row>
    <row r="2001" spans="6:7" x14ac:dyDescent="0.25">
      <c r="F2001" s="17" t="s">
        <v>2946</v>
      </c>
      <c r="G2001" s="17" t="s">
        <v>2915</v>
      </c>
    </row>
    <row r="2002" spans="6:7" x14ac:dyDescent="0.25">
      <c r="F2002" s="17" t="s">
        <v>2947</v>
      </c>
      <c r="G2002" s="17" t="s">
        <v>2915</v>
      </c>
    </row>
    <row r="2003" spans="6:7" x14ac:dyDescent="0.25">
      <c r="F2003" s="17" t="s">
        <v>2948</v>
      </c>
      <c r="G2003" s="17" t="s">
        <v>2925</v>
      </c>
    </row>
    <row r="2004" spans="6:7" x14ac:dyDescent="0.25">
      <c r="F2004" s="17" t="s">
        <v>2949</v>
      </c>
      <c r="G2004" s="17" t="s">
        <v>2925</v>
      </c>
    </row>
    <row r="2005" spans="6:7" x14ac:dyDescent="0.25">
      <c r="F2005" s="17" t="s">
        <v>2950</v>
      </c>
      <c r="G2005" s="17" t="s">
        <v>2925</v>
      </c>
    </row>
    <row r="2006" spans="6:7" x14ac:dyDescent="0.25">
      <c r="F2006" s="17" t="s">
        <v>2951</v>
      </c>
      <c r="G2006" s="17" t="s">
        <v>2925</v>
      </c>
    </row>
    <row r="2007" spans="6:7" x14ac:dyDescent="0.25">
      <c r="F2007" s="17" t="s">
        <v>2952</v>
      </c>
      <c r="G2007" s="17" t="s">
        <v>2915</v>
      </c>
    </row>
    <row r="2008" spans="6:7" x14ac:dyDescent="0.25">
      <c r="F2008" s="17" t="s">
        <v>2953</v>
      </c>
      <c r="G2008" s="17" t="s">
        <v>2954</v>
      </c>
    </row>
    <row r="2009" spans="6:7" x14ac:dyDescent="0.25">
      <c r="F2009" s="17" t="s">
        <v>2955</v>
      </c>
      <c r="G2009" s="17" t="s">
        <v>2954</v>
      </c>
    </row>
    <row r="2010" spans="6:7" x14ac:dyDescent="0.25">
      <c r="F2010" s="17" t="s">
        <v>2956</v>
      </c>
      <c r="G2010" s="17" t="s">
        <v>2954</v>
      </c>
    </row>
    <row r="2011" spans="6:7" x14ac:dyDescent="0.25">
      <c r="F2011" s="17" t="s">
        <v>2957</v>
      </c>
      <c r="G2011" s="17" t="s">
        <v>2954</v>
      </c>
    </row>
    <row r="2012" spans="6:7" x14ac:dyDescent="0.25">
      <c r="F2012" s="17" t="s">
        <v>2958</v>
      </c>
      <c r="G2012" s="17" t="s">
        <v>2109</v>
      </c>
    </row>
    <row r="2013" spans="6:7" x14ac:dyDescent="0.25">
      <c r="F2013" s="17" t="s">
        <v>2959</v>
      </c>
      <c r="G2013" s="17" t="s">
        <v>2109</v>
      </c>
    </row>
    <row r="2014" spans="6:7" x14ac:dyDescent="0.25">
      <c r="F2014" s="17" t="s">
        <v>2960</v>
      </c>
      <c r="G2014" s="17" t="s">
        <v>2954</v>
      </c>
    </row>
    <row r="2015" spans="6:7" x14ac:dyDescent="0.25">
      <c r="F2015" s="17" t="s">
        <v>2961</v>
      </c>
      <c r="G2015" s="17" t="s">
        <v>2954</v>
      </c>
    </row>
    <row r="2016" spans="6:7" x14ac:dyDescent="0.25">
      <c r="F2016" s="17" t="s">
        <v>2962</v>
      </c>
      <c r="G2016" s="17" t="s">
        <v>2954</v>
      </c>
    </row>
    <row r="2017" spans="6:7" x14ac:dyDescent="0.25">
      <c r="F2017" s="17" t="s">
        <v>2963</v>
      </c>
      <c r="G2017" s="17" t="s">
        <v>2954</v>
      </c>
    </row>
    <row r="2018" spans="6:7" x14ac:dyDescent="0.25">
      <c r="F2018" s="17" t="s">
        <v>2964</v>
      </c>
      <c r="G2018" s="17" t="s">
        <v>2925</v>
      </c>
    </row>
    <row r="2019" spans="6:7" x14ac:dyDescent="0.25">
      <c r="F2019" s="17" t="s">
        <v>2965</v>
      </c>
      <c r="G2019" s="17" t="s">
        <v>2925</v>
      </c>
    </row>
    <row r="2020" spans="6:7" x14ac:dyDescent="0.25">
      <c r="F2020" s="17" t="s">
        <v>2966</v>
      </c>
      <c r="G2020" s="17" t="s">
        <v>2925</v>
      </c>
    </row>
    <row r="2021" spans="6:7" x14ac:dyDescent="0.25">
      <c r="F2021" s="17" t="s">
        <v>2967</v>
      </c>
      <c r="G2021" s="17" t="s">
        <v>2925</v>
      </c>
    </row>
    <row r="2022" spans="6:7" x14ac:dyDescent="0.25">
      <c r="F2022" s="17" t="s">
        <v>2968</v>
      </c>
      <c r="G2022" s="17" t="s">
        <v>2925</v>
      </c>
    </row>
    <row r="2023" spans="6:7" x14ac:dyDescent="0.25">
      <c r="F2023" s="17" t="s">
        <v>2969</v>
      </c>
      <c r="G2023" s="17" t="s">
        <v>2925</v>
      </c>
    </row>
    <row r="2024" spans="6:7" x14ac:dyDescent="0.25">
      <c r="F2024" s="17" t="s">
        <v>2970</v>
      </c>
      <c r="G2024" s="17" t="s">
        <v>2925</v>
      </c>
    </row>
    <row r="2025" spans="6:7" x14ac:dyDescent="0.25">
      <c r="F2025" s="17" t="s">
        <v>2971</v>
      </c>
      <c r="G2025" s="17" t="s">
        <v>2925</v>
      </c>
    </row>
    <row r="2026" spans="6:7" x14ac:dyDescent="0.25">
      <c r="F2026" s="17" t="s">
        <v>2972</v>
      </c>
      <c r="G2026" s="17" t="s">
        <v>2925</v>
      </c>
    </row>
    <row r="2027" spans="6:7" x14ac:dyDescent="0.25">
      <c r="F2027" s="17" t="s">
        <v>2973</v>
      </c>
      <c r="G2027" s="17" t="s">
        <v>2925</v>
      </c>
    </row>
    <row r="2028" spans="6:7" x14ac:dyDescent="0.25">
      <c r="F2028" s="17" t="s">
        <v>2974</v>
      </c>
      <c r="G2028" s="17" t="s">
        <v>2925</v>
      </c>
    </row>
    <row r="2029" spans="6:7" x14ac:dyDescent="0.25">
      <c r="F2029" s="17" t="s">
        <v>2975</v>
      </c>
      <c r="G2029" s="17" t="s">
        <v>2925</v>
      </c>
    </row>
    <row r="2030" spans="6:7" x14ac:dyDescent="0.25">
      <c r="F2030" s="17" t="s">
        <v>2976</v>
      </c>
      <c r="G2030" s="17" t="s">
        <v>2925</v>
      </c>
    </row>
    <row r="2031" spans="6:7" x14ac:dyDescent="0.25">
      <c r="F2031" s="17" t="s">
        <v>2977</v>
      </c>
      <c r="G2031" s="17" t="s">
        <v>2925</v>
      </c>
    </row>
    <row r="2032" spans="6:7" x14ac:dyDescent="0.25">
      <c r="F2032" s="17" t="s">
        <v>2978</v>
      </c>
      <c r="G2032" s="17" t="s">
        <v>2309</v>
      </c>
    </row>
    <row r="2033" spans="6:7" x14ac:dyDescent="0.25">
      <c r="F2033" s="17" t="s">
        <v>2979</v>
      </c>
      <c r="G2033" s="17" t="s">
        <v>2309</v>
      </c>
    </row>
    <row r="2034" spans="6:7" x14ac:dyDescent="0.25">
      <c r="F2034" s="17" t="s">
        <v>2980</v>
      </c>
      <c r="G2034" s="17" t="s">
        <v>2309</v>
      </c>
    </row>
    <row r="2035" spans="6:7" x14ac:dyDescent="0.25">
      <c r="F2035" s="17" t="s">
        <v>2981</v>
      </c>
      <c r="G2035" s="17" t="s">
        <v>2309</v>
      </c>
    </row>
    <row r="2036" spans="6:7" x14ac:dyDescent="0.25">
      <c r="F2036" s="17" t="s">
        <v>2982</v>
      </c>
      <c r="G2036" s="17" t="s">
        <v>2309</v>
      </c>
    </row>
    <row r="2037" spans="6:7" x14ac:dyDescent="0.25">
      <c r="F2037" s="17" t="s">
        <v>2983</v>
      </c>
      <c r="G2037" s="17" t="s">
        <v>2309</v>
      </c>
    </row>
    <row r="2038" spans="6:7" x14ac:dyDescent="0.25">
      <c r="F2038" s="17" t="s">
        <v>2984</v>
      </c>
      <c r="G2038" s="17" t="s">
        <v>2309</v>
      </c>
    </row>
    <row r="2039" spans="6:7" x14ac:dyDescent="0.25">
      <c r="F2039" s="17" t="s">
        <v>2985</v>
      </c>
      <c r="G2039" s="17" t="s">
        <v>2925</v>
      </c>
    </row>
    <row r="2040" spans="6:7" x14ac:dyDescent="0.25">
      <c r="F2040" s="17" t="s">
        <v>2986</v>
      </c>
      <c r="G2040" s="17" t="s">
        <v>2954</v>
      </c>
    </row>
    <row r="2041" spans="6:7" x14ac:dyDescent="0.25">
      <c r="F2041" s="17" t="s">
        <v>2987</v>
      </c>
      <c r="G2041" s="17" t="s">
        <v>2954</v>
      </c>
    </row>
    <row r="2042" spans="6:7" x14ac:dyDescent="0.25">
      <c r="F2042" s="17" t="s">
        <v>2988</v>
      </c>
      <c r="G2042" s="17" t="s">
        <v>2954</v>
      </c>
    </row>
    <row r="2043" spans="6:7" x14ac:dyDescent="0.25">
      <c r="F2043" s="17" t="s">
        <v>2989</v>
      </c>
      <c r="G2043" s="17" t="s">
        <v>2954</v>
      </c>
    </row>
    <row r="2044" spans="6:7" x14ac:dyDescent="0.25">
      <c r="F2044" s="17" t="s">
        <v>2990</v>
      </c>
      <c r="G2044" s="17" t="s">
        <v>1996</v>
      </c>
    </row>
    <row r="2045" spans="6:7" x14ac:dyDescent="0.25">
      <c r="F2045" s="17" t="s">
        <v>2991</v>
      </c>
      <c r="G2045" s="17" t="s">
        <v>1996</v>
      </c>
    </row>
    <row r="2046" spans="6:7" x14ac:dyDescent="0.25">
      <c r="F2046" s="17" t="s">
        <v>2992</v>
      </c>
      <c r="G2046" s="17" t="s">
        <v>1996</v>
      </c>
    </row>
    <row r="2047" spans="6:7" x14ac:dyDescent="0.25">
      <c r="F2047" s="17" t="s">
        <v>2993</v>
      </c>
      <c r="G2047" s="17" t="s">
        <v>1996</v>
      </c>
    </row>
    <row r="2048" spans="6:7" x14ac:dyDescent="0.25">
      <c r="F2048" s="17" t="s">
        <v>2994</v>
      </c>
      <c r="G2048" s="17" t="s">
        <v>1996</v>
      </c>
    </row>
    <row r="2049" spans="6:7" x14ac:dyDescent="0.25">
      <c r="F2049" s="17" t="s">
        <v>2995</v>
      </c>
      <c r="G2049" s="17" t="s">
        <v>1996</v>
      </c>
    </row>
    <row r="2050" spans="6:7" x14ac:dyDescent="0.25">
      <c r="F2050" s="17" t="s">
        <v>2996</v>
      </c>
      <c r="G2050" s="17" t="s">
        <v>1996</v>
      </c>
    </row>
    <row r="2051" spans="6:7" x14ac:dyDescent="0.25">
      <c r="F2051" s="17" t="s">
        <v>2997</v>
      </c>
      <c r="G2051" s="17" t="s">
        <v>1996</v>
      </c>
    </row>
    <row r="2052" spans="6:7" x14ac:dyDescent="0.25">
      <c r="F2052" s="17" t="s">
        <v>2998</v>
      </c>
      <c r="G2052" s="17" t="s">
        <v>203</v>
      </c>
    </row>
    <row r="2053" spans="6:7" x14ac:dyDescent="0.25">
      <c r="F2053" s="17" t="s">
        <v>2999</v>
      </c>
      <c r="G2053" s="17" t="s">
        <v>203</v>
      </c>
    </row>
    <row r="2054" spans="6:7" x14ac:dyDescent="0.25">
      <c r="F2054" s="17" t="s">
        <v>3000</v>
      </c>
      <c r="G2054" s="17" t="s">
        <v>203</v>
      </c>
    </row>
    <row r="2055" spans="6:7" x14ac:dyDescent="0.25">
      <c r="F2055" s="17" t="s">
        <v>271</v>
      </c>
      <c r="G2055" s="17" t="s">
        <v>203</v>
      </c>
    </row>
    <row r="2056" spans="6:7" x14ac:dyDescent="0.25">
      <c r="F2056" s="17" t="s">
        <v>3001</v>
      </c>
      <c r="G2056" s="17" t="s">
        <v>203</v>
      </c>
    </row>
    <row r="2057" spans="6:7" x14ac:dyDescent="0.25">
      <c r="F2057" s="17" t="s">
        <v>511</v>
      </c>
      <c r="G2057" s="17" t="s">
        <v>203</v>
      </c>
    </row>
    <row r="2058" spans="6:7" x14ac:dyDescent="0.25">
      <c r="F2058" s="17" t="s">
        <v>3002</v>
      </c>
      <c r="G2058" s="17" t="s">
        <v>2035</v>
      </c>
    </row>
    <row r="2059" spans="6:7" x14ac:dyDescent="0.25">
      <c r="F2059" s="17" t="s">
        <v>3003</v>
      </c>
      <c r="G2059" s="17" t="s">
        <v>2035</v>
      </c>
    </row>
    <row r="2060" spans="6:7" x14ac:dyDescent="0.25">
      <c r="F2060" s="17" t="s">
        <v>3004</v>
      </c>
      <c r="G2060" s="17" t="s">
        <v>2035</v>
      </c>
    </row>
    <row r="2061" spans="6:7" x14ac:dyDescent="0.25">
      <c r="F2061" s="17" t="s">
        <v>3005</v>
      </c>
      <c r="G2061" s="17" t="s">
        <v>2035</v>
      </c>
    </row>
    <row r="2062" spans="6:7" x14ac:dyDescent="0.25">
      <c r="F2062" s="17" t="s">
        <v>3006</v>
      </c>
      <c r="G2062" s="17" t="s">
        <v>2035</v>
      </c>
    </row>
    <row r="2063" spans="6:7" x14ac:dyDescent="0.25">
      <c r="F2063" s="17" t="s">
        <v>3007</v>
      </c>
      <c r="G2063" s="17" t="s">
        <v>2035</v>
      </c>
    </row>
    <row r="2064" spans="6:7" x14ac:dyDescent="0.25">
      <c r="F2064" s="17" t="s">
        <v>3008</v>
      </c>
      <c r="G2064" s="17" t="s">
        <v>2035</v>
      </c>
    </row>
    <row r="2065" spans="6:7" x14ac:dyDescent="0.25">
      <c r="F2065" s="17" t="s">
        <v>3009</v>
      </c>
      <c r="G2065" s="17" t="s">
        <v>2035</v>
      </c>
    </row>
    <row r="2066" spans="6:7" x14ac:dyDescent="0.25">
      <c r="F2066" s="17" t="s">
        <v>3010</v>
      </c>
      <c r="G2066" s="17" t="s">
        <v>2035</v>
      </c>
    </row>
    <row r="2067" spans="6:7" x14ac:dyDescent="0.25">
      <c r="F2067" s="17" t="s">
        <v>3011</v>
      </c>
      <c r="G2067" s="17" t="s">
        <v>2035</v>
      </c>
    </row>
    <row r="2068" spans="6:7" x14ac:dyDescent="0.25">
      <c r="F2068" s="17" t="s">
        <v>3012</v>
      </c>
      <c r="G2068" s="17" t="s">
        <v>2035</v>
      </c>
    </row>
    <row r="2069" spans="6:7" x14ac:dyDescent="0.25">
      <c r="F2069" s="17" t="s">
        <v>3013</v>
      </c>
      <c r="G2069" s="17" t="s">
        <v>2035</v>
      </c>
    </row>
    <row r="2070" spans="6:7" x14ac:dyDescent="0.25">
      <c r="F2070" s="17" t="s">
        <v>3014</v>
      </c>
      <c r="G2070" s="17" t="s">
        <v>2035</v>
      </c>
    </row>
    <row r="2071" spans="6:7" x14ac:dyDescent="0.25">
      <c r="F2071" s="17" t="s">
        <v>3015</v>
      </c>
      <c r="G2071" s="17" t="s">
        <v>2035</v>
      </c>
    </row>
    <row r="2072" spans="6:7" x14ac:dyDescent="0.25">
      <c r="F2072" s="17" t="s">
        <v>3016</v>
      </c>
      <c r="G2072" s="17" t="s">
        <v>2035</v>
      </c>
    </row>
    <row r="2073" spans="6:7" x14ac:dyDescent="0.25">
      <c r="F2073" s="17" t="s">
        <v>3017</v>
      </c>
      <c r="G2073" s="17" t="s">
        <v>191</v>
      </c>
    </row>
    <row r="2074" spans="6:7" x14ac:dyDescent="0.25">
      <c r="F2074" s="17" t="s">
        <v>3018</v>
      </c>
      <c r="G2074" s="17" t="s">
        <v>191</v>
      </c>
    </row>
    <row r="2075" spans="6:7" x14ac:dyDescent="0.25">
      <c r="F2075" s="17" t="s">
        <v>3019</v>
      </c>
      <c r="G2075" s="17" t="s">
        <v>191</v>
      </c>
    </row>
    <row r="2076" spans="6:7" x14ac:dyDescent="0.25">
      <c r="F2076" s="17" t="s">
        <v>3020</v>
      </c>
      <c r="G2076" s="17" t="s">
        <v>191</v>
      </c>
    </row>
    <row r="2077" spans="6:7" x14ac:dyDescent="0.25">
      <c r="F2077" s="17" t="s">
        <v>3021</v>
      </c>
      <c r="G2077" s="17" t="s">
        <v>203</v>
      </c>
    </row>
    <row r="2078" spans="6:7" x14ac:dyDescent="0.25">
      <c r="F2078" s="17" t="s">
        <v>3022</v>
      </c>
      <c r="G2078" s="17" t="s">
        <v>203</v>
      </c>
    </row>
    <row r="2079" spans="6:7" x14ac:dyDescent="0.25">
      <c r="F2079" s="17" t="s">
        <v>3023</v>
      </c>
      <c r="G2079" s="17" t="s">
        <v>191</v>
      </c>
    </row>
    <row r="2080" spans="6:7" x14ac:dyDescent="0.25">
      <c r="F2080" s="17" t="s">
        <v>375</v>
      </c>
      <c r="G2080" s="17" t="s">
        <v>191</v>
      </c>
    </row>
    <row r="2081" spans="6:7" x14ac:dyDescent="0.25">
      <c r="F2081" s="17" t="s">
        <v>381</v>
      </c>
      <c r="G2081" s="17" t="s">
        <v>191</v>
      </c>
    </row>
    <row r="2082" spans="6:7" x14ac:dyDescent="0.25">
      <c r="F2082" s="17" t="s">
        <v>359</v>
      </c>
      <c r="G2082" s="17" t="s">
        <v>191</v>
      </c>
    </row>
    <row r="2083" spans="6:7" x14ac:dyDescent="0.25">
      <c r="F2083" s="17" t="s">
        <v>640</v>
      </c>
      <c r="G2083" s="17" t="s">
        <v>191</v>
      </c>
    </row>
    <row r="2084" spans="6:7" x14ac:dyDescent="0.25">
      <c r="F2084" s="17" t="s">
        <v>3024</v>
      </c>
      <c r="G2084" s="17" t="s">
        <v>191</v>
      </c>
    </row>
    <row r="2085" spans="6:7" x14ac:dyDescent="0.25">
      <c r="F2085" s="17" t="s">
        <v>3025</v>
      </c>
      <c r="G2085" s="17" t="s">
        <v>191</v>
      </c>
    </row>
    <row r="2086" spans="6:7" x14ac:dyDescent="0.25">
      <c r="F2086" s="17" t="s">
        <v>647</v>
      </c>
      <c r="G2086" s="17" t="s">
        <v>203</v>
      </c>
    </row>
    <row r="2087" spans="6:7" x14ac:dyDescent="0.25">
      <c r="F2087" s="17" t="s">
        <v>3026</v>
      </c>
      <c r="G2087" s="17" t="s">
        <v>203</v>
      </c>
    </row>
    <row r="2088" spans="6:7" x14ac:dyDescent="0.25">
      <c r="F2088" s="17" t="s">
        <v>553</v>
      </c>
      <c r="G2088" s="17" t="s">
        <v>203</v>
      </c>
    </row>
    <row r="2089" spans="6:7" x14ac:dyDescent="0.25">
      <c r="F2089" s="17" t="s">
        <v>481</v>
      </c>
      <c r="G2089" s="17" t="s">
        <v>203</v>
      </c>
    </row>
    <row r="2090" spans="6:7" x14ac:dyDescent="0.25">
      <c r="F2090" s="17" t="s">
        <v>3027</v>
      </c>
      <c r="G2090" s="17" t="s">
        <v>203</v>
      </c>
    </row>
    <row r="2091" spans="6:7" x14ac:dyDescent="0.25">
      <c r="F2091" s="17" t="s">
        <v>3028</v>
      </c>
      <c r="G2091" s="17" t="s">
        <v>203</v>
      </c>
    </row>
    <row r="2092" spans="6:7" x14ac:dyDescent="0.25">
      <c r="F2092" s="17" t="s">
        <v>3029</v>
      </c>
      <c r="G2092" s="17" t="s">
        <v>203</v>
      </c>
    </row>
    <row r="2093" spans="6:7" x14ac:dyDescent="0.25">
      <c r="F2093" s="17" t="s">
        <v>318</v>
      </c>
      <c r="G2093" s="17" t="s">
        <v>203</v>
      </c>
    </row>
    <row r="2094" spans="6:7" x14ac:dyDescent="0.25">
      <c r="F2094" s="17" t="s">
        <v>3030</v>
      </c>
      <c r="G2094" s="17" t="s">
        <v>203</v>
      </c>
    </row>
    <row r="2095" spans="6:7" x14ac:dyDescent="0.25">
      <c r="F2095" s="17" t="s">
        <v>402</v>
      </c>
      <c r="G2095" s="17" t="s">
        <v>203</v>
      </c>
    </row>
    <row r="2096" spans="6:7" x14ac:dyDescent="0.25">
      <c r="F2096" s="17" t="s">
        <v>3031</v>
      </c>
      <c r="G2096" s="17" t="s">
        <v>203</v>
      </c>
    </row>
    <row r="2097" spans="6:7" x14ac:dyDescent="0.25">
      <c r="F2097" s="17" t="s">
        <v>984</v>
      </c>
      <c r="G2097" s="17" t="s">
        <v>203</v>
      </c>
    </row>
    <row r="2098" spans="6:7" x14ac:dyDescent="0.25">
      <c r="F2098" s="17" t="s">
        <v>535</v>
      </c>
      <c r="G2098" s="17" t="s">
        <v>203</v>
      </c>
    </row>
    <row r="2099" spans="6:7" x14ac:dyDescent="0.25">
      <c r="F2099" s="17" t="s">
        <v>3032</v>
      </c>
      <c r="G2099" s="17" t="s">
        <v>203</v>
      </c>
    </row>
    <row r="2100" spans="6:7" x14ac:dyDescent="0.25">
      <c r="F2100" s="17" t="s">
        <v>3033</v>
      </c>
      <c r="G2100" s="17" t="s">
        <v>203</v>
      </c>
    </row>
    <row r="2101" spans="6:7" x14ac:dyDescent="0.25">
      <c r="F2101" s="17" t="s">
        <v>867</v>
      </c>
      <c r="G2101" s="17" t="s">
        <v>203</v>
      </c>
    </row>
    <row r="2102" spans="6:7" x14ac:dyDescent="0.25">
      <c r="F2102" s="17" t="s">
        <v>3034</v>
      </c>
      <c r="G2102" s="17" t="s">
        <v>203</v>
      </c>
    </row>
    <row r="2103" spans="6:7" x14ac:dyDescent="0.25">
      <c r="F2103" s="17" t="s">
        <v>868</v>
      </c>
      <c r="G2103" s="17" t="s">
        <v>203</v>
      </c>
    </row>
    <row r="2104" spans="6:7" x14ac:dyDescent="0.25">
      <c r="F2104" s="17" t="s">
        <v>3035</v>
      </c>
      <c r="G2104" s="17" t="s">
        <v>203</v>
      </c>
    </row>
    <row r="2105" spans="6:7" x14ac:dyDescent="0.25">
      <c r="F2105" s="17" t="s">
        <v>3036</v>
      </c>
      <c r="G2105" s="17" t="s">
        <v>203</v>
      </c>
    </row>
    <row r="2106" spans="6:7" x14ac:dyDescent="0.25">
      <c r="F2106" s="17" t="s">
        <v>875</v>
      </c>
      <c r="G2106" s="17" t="s">
        <v>203</v>
      </c>
    </row>
    <row r="2107" spans="6:7" x14ac:dyDescent="0.25">
      <c r="F2107" s="17" t="s">
        <v>3037</v>
      </c>
      <c r="G2107" s="17" t="s">
        <v>203</v>
      </c>
    </row>
    <row r="2108" spans="6:7" x14ac:dyDescent="0.25">
      <c r="F2108" s="17" t="s">
        <v>3038</v>
      </c>
      <c r="G2108" s="17" t="s">
        <v>203</v>
      </c>
    </row>
    <row r="2109" spans="6:7" x14ac:dyDescent="0.25">
      <c r="F2109" s="17" t="s">
        <v>3039</v>
      </c>
      <c r="G2109" s="17" t="s">
        <v>203</v>
      </c>
    </row>
    <row r="2110" spans="6:7" x14ac:dyDescent="0.25">
      <c r="F2110" s="17" t="s">
        <v>3040</v>
      </c>
      <c r="G2110" s="17" t="s">
        <v>203</v>
      </c>
    </row>
    <row r="2111" spans="6:7" x14ac:dyDescent="0.25">
      <c r="F2111" s="17" t="s">
        <v>613</v>
      </c>
      <c r="G2111" s="17" t="s">
        <v>203</v>
      </c>
    </row>
    <row r="2112" spans="6:7" x14ac:dyDescent="0.25">
      <c r="F2112" s="17" t="s">
        <v>3041</v>
      </c>
      <c r="G2112" s="17" t="s">
        <v>203</v>
      </c>
    </row>
    <row r="2113" spans="6:7" x14ac:dyDescent="0.25">
      <c r="F2113" s="17" t="s">
        <v>3042</v>
      </c>
      <c r="G2113" s="17" t="s">
        <v>203</v>
      </c>
    </row>
    <row r="2114" spans="6:7" x14ac:dyDescent="0.25">
      <c r="F2114" s="17" t="s">
        <v>3043</v>
      </c>
      <c r="G2114" s="17" t="s">
        <v>203</v>
      </c>
    </row>
    <row r="2115" spans="6:7" x14ac:dyDescent="0.25">
      <c r="F2115" s="17" t="s">
        <v>3044</v>
      </c>
      <c r="G2115" s="17" t="s">
        <v>203</v>
      </c>
    </row>
    <row r="2116" spans="6:7" x14ac:dyDescent="0.25">
      <c r="F2116" s="17" t="s">
        <v>3045</v>
      </c>
      <c r="G2116" s="17" t="s">
        <v>203</v>
      </c>
    </row>
    <row r="2117" spans="6:7" x14ac:dyDescent="0.25">
      <c r="F2117" s="17" t="s">
        <v>3046</v>
      </c>
      <c r="G2117" s="17" t="s">
        <v>203</v>
      </c>
    </row>
    <row r="2118" spans="6:7" x14ac:dyDescent="0.25">
      <c r="F2118" s="17" t="s">
        <v>3047</v>
      </c>
      <c r="G2118" s="17" t="s">
        <v>203</v>
      </c>
    </row>
    <row r="2119" spans="6:7" x14ac:dyDescent="0.25">
      <c r="F2119" s="17" t="s">
        <v>3048</v>
      </c>
      <c r="G2119" s="17" t="s">
        <v>203</v>
      </c>
    </row>
    <row r="2120" spans="6:7" x14ac:dyDescent="0.25">
      <c r="F2120" s="17" t="s">
        <v>3049</v>
      </c>
      <c r="G2120" s="17" t="s">
        <v>203</v>
      </c>
    </row>
    <row r="2121" spans="6:7" x14ac:dyDescent="0.25">
      <c r="F2121" s="17" t="s">
        <v>3050</v>
      </c>
      <c r="G2121" s="17" t="s">
        <v>203</v>
      </c>
    </row>
    <row r="2122" spans="6:7" x14ac:dyDescent="0.25">
      <c r="F2122" s="17" t="s">
        <v>598</v>
      </c>
      <c r="G2122" s="17" t="s">
        <v>203</v>
      </c>
    </row>
    <row r="2123" spans="6:7" x14ac:dyDescent="0.25">
      <c r="F2123" s="17" t="s">
        <v>3051</v>
      </c>
      <c r="G2123" s="17" t="s">
        <v>203</v>
      </c>
    </row>
    <row r="2124" spans="6:7" x14ac:dyDescent="0.25">
      <c r="F2124" s="17" t="s">
        <v>3052</v>
      </c>
      <c r="G2124" s="17" t="s">
        <v>203</v>
      </c>
    </row>
    <row r="2125" spans="6:7" x14ac:dyDescent="0.25">
      <c r="F2125" s="17" t="s">
        <v>869</v>
      </c>
      <c r="G2125" s="17" t="s">
        <v>203</v>
      </c>
    </row>
    <row r="2126" spans="6:7" x14ac:dyDescent="0.25">
      <c r="F2126" s="17" t="s">
        <v>3053</v>
      </c>
      <c r="G2126" s="17" t="s">
        <v>191</v>
      </c>
    </row>
    <row r="2127" spans="6:7" x14ac:dyDescent="0.25">
      <c r="F2127" s="17" t="s">
        <v>3054</v>
      </c>
      <c r="G2127" s="17" t="s">
        <v>191</v>
      </c>
    </row>
    <row r="2128" spans="6:7" x14ac:dyDescent="0.25">
      <c r="F2128" s="17" t="s">
        <v>3055</v>
      </c>
      <c r="G2128" s="17" t="s">
        <v>191</v>
      </c>
    </row>
    <row r="2129" spans="6:7" x14ac:dyDescent="0.25">
      <c r="F2129" s="17" t="s">
        <v>3056</v>
      </c>
      <c r="G2129" s="17" t="s">
        <v>203</v>
      </c>
    </row>
    <row r="2130" spans="6:7" x14ac:dyDescent="0.25">
      <c r="F2130" s="17" t="s">
        <v>3057</v>
      </c>
      <c r="G2130" s="17" t="s">
        <v>203</v>
      </c>
    </row>
    <row r="2131" spans="6:7" x14ac:dyDescent="0.25">
      <c r="F2131" s="17" t="s">
        <v>3058</v>
      </c>
      <c r="G2131" s="17" t="s">
        <v>203</v>
      </c>
    </row>
    <row r="2132" spans="6:7" x14ac:dyDescent="0.25">
      <c r="F2132" s="17" t="s">
        <v>258</v>
      </c>
      <c r="G2132" s="17" t="s">
        <v>191</v>
      </c>
    </row>
    <row r="2133" spans="6:7" x14ac:dyDescent="0.25">
      <c r="F2133" s="17" t="s">
        <v>298</v>
      </c>
      <c r="G2133" s="17" t="s">
        <v>191</v>
      </c>
    </row>
    <row r="2134" spans="6:7" x14ac:dyDescent="0.25">
      <c r="F2134" s="17" t="s">
        <v>3059</v>
      </c>
      <c r="G2134" s="17" t="s">
        <v>191</v>
      </c>
    </row>
    <row r="2135" spans="6:7" x14ac:dyDescent="0.25">
      <c r="F2135" s="17" t="s">
        <v>3060</v>
      </c>
      <c r="G2135" s="17" t="s">
        <v>191</v>
      </c>
    </row>
    <row r="2136" spans="6:7" x14ac:dyDescent="0.25">
      <c r="F2136" s="17" t="s">
        <v>3061</v>
      </c>
      <c r="G2136" s="17" t="s">
        <v>203</v>
      </c>
    </row>
    <row r="2137" spans="6:7" x14ac:dyDescent="0.25">
      <c r="F2137" s="17" t="s">
        <v>3062</v>
      </c>
      <c r="G2137" s="17" t="s">
        <v>203</v>
      </c>
    </row>
    <row r="2138" spans="6:7" x14ac:dyDescent="0.25">
      <c r="F2138" s="17" t="s">
        <v>866</v>
      </c>
      <c r="G2138" s="17" t="s">
        <v>203</v>
      </c>
    </row>
    <row r="2139" spans="6:7" x14ac:dyDescent="0.25">
      <c r="F2139" s="17" t="s">
        <v>3063</v>
      </c>
      <c r="G2139" s="17" t="s">
        <v>203</v>
      </c>
    </row>
    <row r="2140" spans="6:7" x14ac:dyDescent="0.25">
      <c r="F2140" s="17" t="s">
        <v>3064</v>
      </c>
      <c r="G2140" s="17" t="s">
        <v>203</v>
      </c>
    </row>
    <row r="2141" spans="6:7" x14ac:dyDescent="0.25">
      <c r="F2141" s="17" t="s">
        <v>591</v>
      </c>
      <c r="G2141" s="17" t="s">
        <v>203</v>
      </c>
    </row>
    <row r="2142" spans="6:7" x14ac:dyDescent="0.25">
      <c r="F2142" s="17" t="s">
        <v>595</v>
      </c>
      <c r="G2142" s="17" t="s">
        <v>203</v>
      </c>
    </row>
    <row r="2143" spans="6:7" x14ac:dyDescent="0.25">
      <c r="F2143" s="17" t="s">
        <v>3065</v>
      </c>
      <c r="G2143" s="17" t="s">
        <v>203</v>
      </c>
    </row>
    <row r="2144" spans="6:7" x14ac:dyDescent="0.25">
      <c r="F2144" s="17" t="s">
        <v>3066</v>
      </c>
      <c r="G2144" s="17" t="s">
        <v>203</v>
      </c>
    </row>
    <row r="2145" spans="6:7" x14ac:dyDescent="0.25">
      <c r="F2145" s="17" t="s">
        <v>3067</v>
      </c>
      <c r="G2145" s="17" t="s">
        <v>191</v>
      </c>
    </row>
    <row r="2146" spans="6:7" x14ac:dyDescent="0.25">
      <c r="F2146" s="17" t="s">
        <v>3068</v>
      </c>
      <c r="G2146" s="17" t="s">
        <v>203</v>
      </c>
    </row>
    <row r="2147" spans="6:7" x14ac:dyDescent="0.25">
      <c r="F2147" s="17" t="s">
        <v>3069</v>
      </c>
      <c r="G2147" s="17" t="s">
        <v>191</v>
      </c>
    </row>
    <row r="2148" spans="6:7" x14ac:dyDescent="0.25">
      <c r="F2148" s="17" t="s">
        <v>3070</v>
      </c>
      <c r="G2148" s="17" t="s">
        <v>191</v>
      </c>
    </row>
    <row r="2149" spans="6:7" x14ac:dyDescent="0.25">
      <c r="F2149" s="17" t="s">
        <v>3071</v>
      </c>
      <c r="G2149" s="17" t="s">
        <v>191</v>
      </c>
    </row>
    <row r="2150" spans="6:7" x14ac:dyDescent="0.25">
      <c r="F2150" s="17" t="s">
        <v>3072</v>
      </c>
      <c r="G2150" s="17" t="s">
        <v>191</v>
      </c>
    </row>
    <row r="2151" spans="6:7" x14ac:dyDescent="0.25">
      <c r="F2151" s="17" t="s">
        <v>3073</v>
      </c>
      <c r="G2151" s="17" t="s">
        <v>191</v>
      </c>
    </row>
    <row r="2152" spans="6:7" x14ac:dyDescent="0.25">
      <c r="F2152" s="17" t="s">
        <v>3074</v>
      </c>
      <c r="G2152" s="17" t="s">
        <v>191</v>
      </c>
    </row>
    <row r="2153" spans="6:7" x14ac:dyDescent="0.25">
      <c r="F2153" s="17" t="s">
        <v>3075</v>
      </c>
      <c r="G2153" s="17" t="s">
        <v>191</v>
      </c>
    </row>
    <row r="2154" spans="6:7" x14ac:dyDescent="0.25">
      <c r="F2154" s="17" t="s">
        <v>873</v>
      </c>
      <c r="G2154" s="17" t="s">
        <v>201</v>
      </c>
    </row>
    <row r="2155" spans="6:7" x14ac:dyDescent="0.25">
      <c r="F2155" s="17" t="s">
        <v>3076</v>
      </c>
      <c r="G2155" s="17" t="s">
        <v>201</v>
      </c>
    </row>
    <row r="2156" spans="6:7" x14ac:dyDescent="0.25">
      <c r="F2156" s="17" t="s">
        <v>3077</v>
      </c>
      <c r="G2156" s="17" t="s">
        <v>201</v>
      </c>
    </row>
    <row r="2157" spans="6:7" x14ac:dyDescent="0.25">
      <c r="F2157" s="17" t="s">
        <v>3078</v>
      </c>
      <c r="G2157" s="17" t="s">
        <v>201</v>
      </c>
    </row>
    <row r="2158" spans="6:7" x14ac:dyDescent="0.25">
      <c r="F2158" s="17" t="s">
        <v>3079</v>
      </c>
      <c r="G2158" s="17" t="s">
        <v>201</v>
      </c>
    </row>
    <row r="2159" spans="6:7" x14ac:dyDescent="0.25">
      <c r="F2159" s="17" t="s">
        <v>3080</v>
      </c>
      <c r="G2159" s="17" t="s">
        <v>201</v>
      </c>
    </row>
    <row r="2160" spans="6:7" x14ac:dyDescent="0.25">
      <c r="F2160" s="17" t="s">
        <v>3081</v>
      </c>
      <c r="G2160" s="17" t="s">
        <v>201</v>
      </c>
    </row>
    <row r="2161" spans="6:7" x14ac:dyDescent="0.25">
      <c r="F2161" s="17" t="s">
        <v>3082</v>
      </c>
      <c r="G2161" s="17" t="s">
        <v>201</v>
      </c>
    </row>
    <row r="2162" spans="6:7" x14ac:dyDescent="0.25">
      <c r="F2162" s="17" t="s">
        <v>3083</v>
      </c>
      <c r="G2162" s="17" t="s">
        <v>201</v>
      </c>
    </row>
    <row r="2163" spans="6:7" x14ac:dyDescent="0.25">
      <c r="F2163" s="17" t="s">
        <v>3084</v>
      </c>
      <c r="G2163" s="17" t="s">
        <v>201</v>
      </c>
    </row>
    <row r="2164" spans="6:7" x14ac:dyDescent="0.25">
      <c r="F2164" s="17" t="s">
        <v>3085</v>
      </c>
      <c r="G2164" s="17" t="s">
        <v>201</v>
      </c>
    </row>
    <row r="2165" spans="6:7" x14ac:dyDescent="0.25">
      <c r="F2165" s="17" t="s">
        <v>973</v>
      </c>
      <c r="G2165" s="17" t="s">
        <v>201</v>
      </c>
    </row>
    <row r="2166" spans="6:7" x14ac:dyDescent="0.25">
      <c r="F2166" s="17" t="s">
        <v>333</v>
      </c>
      <c r="G2166" s="17" t="s">
        <v>201</v>
      </c>
    </row>
    <row r="2167" spans="6:7" x14ac:dyDescent="0.25">
      <c r="F2167" s="17" t="s">
        <v>3086</v>
      </c>
      <c r="G2167" s="17" t="s">
        <v>203</v>
      </c>
    </row>
    <row r="2168" spans="6:7" x14ac:dyDescent="0.25">
      <c r="F2168" s="17" t="s">
        <v>3087</v>
      </c>
      <c r="G2168" s="17" t="s">
        <v>203</v>
      </c>
    </row>
    <row r="2169" spans="6:7" x14ac:dyDescent="0.25">
      <c r="F2169" s="17" t="s">
        <v>3088</v>
      </c>
      <c r="G2169" s="17" t="s">
        <v>203</v>
      </c>
    </row>
    <row r="2170" spans="6:7" x14ac:dyDescent="0.25">
      <c r="F2170" s="17" t="s">
        <v>3089</v>
      </c>
      <c r="G2170" s="17" t="s">
        <v>201</v>
      </c>
    </row>
    <row r="2171" spans="6:7" x14ac:dyDescent="0.25">
      <c r="F2171" s="17" t="s">
        <v>3090</v>
      </c>
      <c r="G2171" s="17" t="s">
        <v>203</v>
      </c>
    </row>
    <row r="2172" spans="6:7" x14ac:dyDescent="0.25">
      <c r="F2172" s="17" t="s">
        <v>874</v>
      </c>
      <c r="G2172" s="17" t="s">
        <v>203</v>
      </c>
    </row>
    <row r="2173" spans="6:7" x14ac:dyDescent="0.25">
      <c r="F2173" s="17" t="s">
        <v>3091</v>
      </c>
      <c r="G2173" s="17" t="s">
        <v>203</v>
      </c>
    </row>
    <row r="2174" spans="6:7" x14ac:dyDescent="0.25">
      <c r="F2174" s="17" t="s">
        <v>720</v>
      </c>
      <c r="G2174" s="17" t="s">
        <v>203</v>
      </c>
    </row>
    <row r="2175" spans="6:7" x14ac:dyDescent="0.25">
      <c r="F2175" s="17" t="s">
        <v>655</v>
      </c>
      <c r="G2175" s="17" t="s">
        <v>203</v>
      </c>
    </row>
    <row r="2176" spans="6:7" x14ac:dyDescent="0.25">
      <c r="F2176" s="17" t="s">
        <v>746</v>
      </c>
      <c r="G2176" s="17" t="s">
        <v>203</v>
      </c>
    </row>
    <row r="2177" spans="6:7" x14ac:dyDescent="0.25">
      <c r="F2177" s="17" t="s">
        <v>397</v>
      </c>
      <c r="G2177" s="17" t="s">
        <v>201</v>
      </c>
    </row>
    <row r="2178" spans="6:7" x14ac:dyDescent="0.25">
      <c r="F2178" s="17" t="s">
        <v>3092</v>
      </c>
      <c r="G2178" s="17" t="s">
        <v>203</v>
      </c>
    </row>
    <row r="2179" spans="6:7" x14ac:dyDescent="0.25">
      <c r="F2179" s="17" t="s">
        <v>3093</v>
      </c>
      <c r="G2179" s="17" t="s">
        <v>201</v>
      </c>
    </row>
    <row r="2180" spans="6:7" x14ac:dyDescent="0.25">
      <c r="F2180" s="17" t="s">
        <v>3094</v>
      </c>
      <c r="G2180" s="17" t="s">
        <v>201</v>
      </c>
    </row>
    <row r="2181" spans="6:7" x14ac:dyDescent="0.25">
      <c r="F2181" s="17" t="s">
        <v>3095</v>
      </c>
      <c r="G2181" s="17" t="s">
        <v>201</v>
      </c>
    </row>
    <row r="2182" spans="6:7" x14ac:dyDescent="0.25">
      <c r="F2182" s="17" t="s">
        <v>3096</v>
      </c>
      <c r="G2182" s="17" t="s">
        <v>201</v>
      </c>
    </row>
    <row r="2183" spans="6:7" x14ac:dyDescent="0.25">
      <c r="F2183" s="17" t="s">
        <v>681</v>
      </c>
      <c r="G2183" s="17" t="s">
        <v>201</v>
      </c>
    </row>
    <row r="2184" spans="6:7" x14ac:dyDescent="0.25">
      <c r="F2184" s="17" t="s">
        <v>3097</v>
      </c>
      <c r="G2184" s="17" t="s">
        <v>201</v>
      </c>
    </row>
    <row r="2185" spans="6:7" x14ac:dyDescent="0.25">
      <c r="F2185" s="17" t="s">
        <v>3098</v>
      </c>
      <c r="G2185" s="17" t="s">
        <v>201</v>
      </c>
    </row>
    <row r="2186" spans="6:7" x14ac:dyDescent="0.25">
      <c r="F2186" s="17" t="s">
        <v>881</v>
      </c>
      <c r="G2186" s="17" t="s">
        <v>201</v>
      </c>
    </row>
    <row r="2187" spans="6:7" x14ac:dyDescent="0.25">
      <c r="F2187" s="17" t="s">
        <v>3099</v>
      </c>
      <c r="G2187" s="17" t="s">
        <v>201</v>
      </c>
    </row>
    <row r="2188" spans="6:7" x14ac:dyDescent="0.25">
      <c r="F2188" s="17" t="s">
        <v>3100</v>
      </c>
      <c r="G2188" s="17" t="s">
        <v>201</v>
      </c>
    </row>
    <row r="2189" spans="6:7" x14ac:dyDescent="0.25">
      <c r="F2189" s="17" t="s">
        <v>3101</v>
      </c>
      <c r="G2189" s="17" t="s">
        <v>201</v>
      </c>
    </row>
    <row r="2190" spans="6:7" x14ac:dyDescent="0.25">
      <c r="F2190" s="17" t="s">
        <v>872</v>
      </c>
      <c r="G2190" s="17" t="s">
        <v>201</v>
      </c>
    </row>
    <row r="2191" spans="6:7" x14ac:dyDescent="0.25">
      <c r="F2191" s="17" t="s">
        <v>3102</v>
      </c>
      <c r="G2191" s="17" t="s">
        <v>201</v>
      </c>
    </row>
    <row r="2192" spans="6:7" x14ac:dyDescent="0.25">
      <c r="F2192" s="17" t="s">
        <v>3103</v>
      </c>
      <c r="G2192" s="17" t="s">
        <v>201</v>
      </c>
    </row>
    <row r="2193" spans="6:7" x14ac:dyDescent="0.25">
      <c r="F2193" s="17" t="s">
        <v>3104</v>
      </c>
      <c r="G2193" s="17" t="s">
        <v>201</v>
      </c>
    </row>
    <row r="2194" spans="6:7" x14ac:dyDescent="0.25">
      <c r="F2194" s="17" t="s">
        <v>757</v>
      </c>
      <c r="G2194" s="17" t="s">
        <v>201</v>
      </c>
    </row>
    <row r="2195" spans="6:7" x14ac:dyDescent="0.25">
      <c r="F2195" s="17" t="s">
        <v>480</v>
      </c>
      <c r="G2195" s="17" t="s">
        <v>201</v>
      </c>
    </row>
    <row r="2196" spans="6:7" x14ac:dyDescent="0.25">
      <c r="F2196" s="17" t="s">
        <v>638</v>
      </c>
      <c r="G2196" s="17" t="s">
        <v>201</v>
      </c>
    </row>
    <row r="2197" spans="6:7" x14ac:dyDescent="0.25">
      <c r="F2197" s="17" t="s">
        <v>3105</v>
      </c>
      <c r="G2197" s="17" t="s">
        <v>201</v>
      </c>
    </row>
    <row r="2198" spans="6:7" x14ac:dyDescent="0.25">
      <c r="F2198" s="17" t="s">
        <v>3106</v>
      </c>
      <c r="G2198" s="17" t="s">
        <v>201</v>
      </c>
    </row>
    <row r="2199" spans="6:7" x14ac:dyDescent="0.25">
      <c r="F2199" s="17" t="s">
        <v>3107</v>
      </c>
      <c r="G2199" s="17" t="s">
        <v>201</v>
      </c>
    </row>
    <row r="2200" spans="6:7" x14ac:dyDescent="0.25">
      <c r="F2200" s="17" t="s">
        <v>468</v>
      </c>
      <c r="G2200" s="17" t="s">
        <v>201</v>
      </c>
    </row>
    <row r="2201" spans="6:7" x14ac:dyDescent="0.25">
      <c r="F2201" s="17" t="s">
        <v>3108</v>
      </c>
      <c r="G2201" s="17" t="s">
        <v>201</v>
      </c>
    </row>
    <row r="2202" spans="6:7" x14ac:dyDescent="0.25">
      <c r="F2202" s="17" t="s">
        <v>3109</v>
      </c>
      <c r="G2202" s="17" t="s">
        <v>201</v>
      </c>
    </row>
    <row r="2203" spans="6:7" x14ac:dyDescent="0.25">
      <c r="F2203" s="17" t="s">
        <v>3110</v>
      </c>
      <c r="G2203" s="17" t="s">
        <v>201</v>
      </c>
    </row>
    <row r="2204" spans="6:7" x14ac:dyDescent="0.25">
      <c r="F2204" s="17" t="s">
        <v>3111</v>
      </c>
      <c r="G2204" s="17" t="s">
        <v>201</v>
      </c>
    </row>
    <row r="2205" spans="6:7" x14ac:dyDescent="0.25">
      <c r="F2205" s="17" t="s">
        <v>3112</v>
      </c>
      <c r="G2205" s="17" t="s">
        <v>201</v>
      </c>
    </row>
    <row r="2206" spans="6:7" x14ac:dyDescent="0.25">
      <c r="F2206" s="17" t="s">
        <v>3113</v>
      </c>
      <c r="G2206" s="17" t="s">
        <v>201</v>
      </c>
    </row>
    <row r="2207" spans="6:7" x14ac:dyDescent="0.25">
      <c r="F2207" s="17" t="s">
        <v>3114</v>
      </c>
      <c r="G2207" s="17" t="s">
        <v>201</v>
      </c>
    </row>
    <row r="2208" spans="6:7" x14ac:dyDescent="0.25">
      <c r="F2208" s="17" t="s">
        <v>3115</v>
      </c>
      <c r="G2208" s="17" t="s">
        <v>201</v>
      </c>
    </row>
    <row r="2209" spans="6:7" x14ac:dyDescent="0.25">
      <c r="F2209" s="17" t="s">
        <v>3116</v>
      </c>
      <c r="G2209" s="17" t="s">
        <v>201</v>
      </c>
    </row>
    <row r="2210" spans="6:7" x14ac:dyDescent="0.25">
      <c r="F2210" s="17" t="s">
        <v>601</v>
      </c>
      <c r="G2210" s="17" t="s">
        <v>201</v>
      </c>
    </row>
    <row r="2211" spans="6:7" x14ac:dyDescent="0.25">
      <c r="F2211" s="17" t="s">
        <v>622</v>
      </c>
      <c r="G2211" s="17" t="s">
        <v>191</v>
      </c>
    </row>
    <row r="2212" spans="6:7" x14ac:dyDescent="0.25">
      <c r="F2212" s="17" t="s">
        <v>3117</v>
      </c>
      <c r="G2212" s="17" t="s">
        <v>191</v>
      </c>
    </row>
    <row r="2213" spans="6:7" x14ac:dyDescent="0.25">
      <c r="F2213" s="17" t="s">
        <v>3118</v>
      </c>
      <c r="G2213" s="17" t="s">
        <v>191</v>
      </c>
    </row>
    <row r="2214" spans="6:7" x14ac:dyDescent="0.25">
      <c r="F2214" s="17" t="s">
        <v>3119</v>
      </c>
      <c r="G2214" s="17" t="s">
        <v>191</v>
      </c>
    </row>
    <row r="2215" spans="6:7" x14ac:dyDescent="0.25">
      <c r="F2215" s="17" t="s">
        <v>3120</v>
      </c>
      <c r="G2215" s="17" t="s">
        <v>191</v>
      </c>
    </row>
    <row r="2216" spans="6:7" x14ac:dyDescent="0.25">
      <c r="F2216" s="17" t="s">
        <v>3121</v>
      </c>
      <c r="G2216" s="17" t="s">
        <v>201</v>
      </c>
    </row>
    <row r="2217" spans="6:7" x14ac:dyDescent="0.25">
      <c r="F2217" s="17" t="s">
        <v>3122</v>
      </c>
      <c r="G2217" s="17" t="s">
        <v>191</v>
      </c>
    </row>
    <row r="2218" spans="6:7" x14ac:dyDescent="0.25">
      <c r="F2218" s="17" t="s">
        <v>3123</v>
      </c>
      <c r="G2218" s="17" t="s">
        <v>191</v>
      </c>
    </row>
    <row r="2219" spans="6:7" x14ac:dyDescent="0.25">
      <c r="F2219" s="17" t="s">
        <v>752</v>
      </c>
      <c r="G2219" s="17" t="s">
        <v>191</v>
      </c>
    </row>
    <row r="2220" spans="6:7" x14ac:dyDescent="0.25">
      <c r="F2220" s="17" t="s">
        <v>309</v>
      </c>
      <c r="G2220" s="17" t="s">
        <v>191</v>
      </c>
    </row>
    <row r="2221" spans="6:7" x14ac:dyDescent="0.25">
      <c r="F2221" s="17" t="s">
        <v>3124</v>
      </c>
      <c r="G2221" s="17" t="s">
        <v>191</v>
      </c>
    </row>
    <row r="2222" spans="6:7" x14ac:dyDescent="0.25">
      <c r="F2222" s="17" t="s">
        <v>3125</v>
      </c>
      <c r="G2222" s="17" t="s">
        <v>191</v>
      </c>
    </row>
    <row r="2223" spans="6:7" x14ac:dyDescent="0.25">
      <c r="F2223" s="17" t="s">
        <v>3126</v>
      </c>
      <c r="G2223" s="17" t="s">
        <v>191</v>
      </c>
    </row>
    <row r="2224" spans="6:7" x14ac:dyDescent="0.25">
      <c r="F2224" s="17" t="s">
        <v>343</v>
      </c>
      <c r="G2224" s="17" t="s">
        <v>191</v>
      </c>
    </row>
    <row r="2225" spans="6:7" x14ac:dyDescent="0.25">
      <c r="F2225" s="17" t="s">
        <v>3127</v>
      </c>
      <c r="G2225" s="17" t="s">
        <v>1179</v>
      </c>
    </row>
    <row r="2226" spans="6:7" x14ac:dyDescent="0.25">
      <c r="F2226" s="17" t="s">
        <v>3128</v>
      </c>
      <c r="G2226" s="17" t="s">
        <v>1179</v>
      </c>
    </row>
    <row r="2227" spans="6:7" x14ac:dyDescent="0.25">
      <c r="F2227" s="17" t="s">
        <v>3129</v>
      </c>
      <c r="G2227" s="17" t="s">
        <v>1179</v>
      </c>
    </row>
    <row r="2228" spans="6:7" x14ac:dyDescent="0.25">
      <c r="F2228" s="17" t="s">
        <v>997</v>
      </c>
      <c r="G2228" s="17" t="s">
        <v>217</v>
      </c>
    </row>
    <row r="2229" spans="6:7" x14ac:dyDescent="0.25">
      <c r="F2229" s="17" t="s">
        <v>3130</v>
      </c>
      <c r="G2229" s="17" t="s">
        <v>217</v>
      </c>
    </row>
    <row r="2230" spans="6:7" x14ac:dyDescent="0.25">
      <c r="F2230" s="17" t="s">
        <v>811</v>
      </c>
      <c r="G2230" s="17" t="s">
        <v>217</v>
      </c>
    </row>
    <row r="2231" spans="6:7" x14ac:dyDescent="0.25">
      <c r="F2231" s="17" t="s">
        <v>3131</v>
      </c>
      <c r="G2231" s="17" t="s">
        <v>217</v>
      </c>
    </row>
    <row r="2232" spans="6:7" x14ac:dyDescent="0.25">
      <c r="F2232" s="17" t="s">
        <v>3132</v>
      </c>
      <c r="G2232" s="17" t="s">
        <v>217</v>
      </c>
    </row>
    <row r="2233" spans="6:7" x14ac:dyDescent="0.25">
      <c r="F2233" s="17" t="s">
        <v>3133</v>
      </c>
      <c r="G2233" s="17" t="s">
        <v>217</v>
      </c>
    </row>
    <row r="2234" spans="6:7" x14ac:dyDescent="0.25">
      <c r="F2234" s="17" t="s">
        <v>3134</v>
      </c>
      <c r="G2234" s="17" t="s">
        <v>217</v>
      </c>
    </row>
    <row r="2235" spans="6:7" x14ac:dyDescent="0.25">
      <c r="F2235" s="17" t="s">
        <v>3135</v>
      </c>
      <c r="G2235" s="17" t="s">
        <v>217</v>
      </c>
    </row>
    <row r="2236" spans="6:7" x14ac:dyDescent="0.25">
      <c r="F2236" s="17" t="s">
        <v>326</v>
      </c>
      <c r="G2236" s="17" t="s">
        <v>217</v>
      </c>
    </row>
    <row r="2237" spans="6:7" x14ac:dyDescent="0.25">
      <c r="F2237" s="17" t="s">
        <v>438</v>
      </c>
      <c r="G2237" s="17" t="s">
        <v>217</v>
      </c>
    </row>
    <row r="2238" spans="6:7" x14ac:dyDescent="0.25">
      <c r="F2238" s="17" t="s">
        <v>415</v>
      </c>
      <c r="G2238" s="17" t="s">
        <v>217</v>
      </c>
    </row>
    <row r="2239" spans="6:7" x14ac:dyDescent="0.25">
      <c r="F2239" s="17" t="s">
        <v>3136</v>
      </c>
      <c r="G2239" s="17" t="s">
        <v>193</v>
      </c>
    </row>
    <row r="2240" spans="6:7" x14ac:dyDescent="0.25">
      <c r="F2240" s="17" t="s">
        <v>306</v>
      </c>
      <c r="G2240" s="17" t="s">
        <v>193</v>
      </c>
    </row>
    <row r="2241" spans="6:7" x14ac:dyDescent="0.25">
      <c r="F2241" s="17" t="s">
        <v>3137</v>
      </c>
      <c r="G2241" s="17" t="s">
        <v>193</v>
      </c>
    </row>
    <row r="2242" spans="6:7" x14ac:dyDescent="0.25">
      <c r="F2242" s="17" t="s">
        <v>3138</v>
      </c>
      <c r="G2242" s="17" t="s">
        <v>193</v>
      </c>
    </row>
    <row r="2243" spans="6:7" x14ac:dyDescent="0.25">
      <c r="F2243" s="17" t="s">
        <v>268</v>
      </c>
      <c r="G2243" s="17" t="s">
        <v>193</v>
      </c>
    </row>
    <row r="2244" spans="6:7" x14ac:dyDescent="0.25">
      <c r="F2244" s="17" t="s">
        <v>3139</v>
      </c>
      <c r="G2244" s="17" t="s">
        <v>193</v>
      </c>
    </row>
    <row r="2245" spans="6:7" x14ac:dyDescent="0.25">
      <c r="F2245" s="17" t="s">
        <v>3140</v>
      </c>
      <c r="G2245" s="17" t="s">
        <v>193</v>
      </c>
    </row>
    <row r="2246" spans="6:7" x14ac:dyDescent="0.25">
      <c r="F2246" s="17" t="s">
        <v>3141</v>
      </c>
      <c r="G2246" s="17" t="s">
        <v>1179</v>
      </c>
    </row>
    <row r="2247" spans="6:7" x14ac:dyDescent="0.25">
      <c r="F2247" s="17" t="s">
        <v>3142</v>
      </c>
      <c r="G2247" s="17" t="s">
        <v>1179</v>
      </c>
    </row>
    <row r="2248" spans="6:7" x14ac:dyDescent="0.25">
      <c r="F2248" s="17" t="s">
        <v>3143</v>
      </c>
      <c r="G2248" s="17" t="s">
        <v>1179</v>
      </c>
    </row>
    <row r="2249" spans="6:7" x14ac:dyDescent="0.25">
      <c r="F2249" s="17" t="s">
        <v>3144</v>
      </c>
      <c r="G2249" s="17" t="s">
        <v>1179</v>
      </c>
    </row>
    <row r="2250" spans="6:7" x14ac:dyDescent="0.25">
      <c r="F2250" s="17" t="s">
        <v>3145</v>
      </c>
      <c r="G2250" s="17" t="s">
        <v>1179</v>
      </c>
    </row>
    <row r="2251" spans="6:7" x14ac:dyDescent="0.25">
      <c r="F2251" s="17" t="s">
        <v>3146</v>
      </c>
      <c r="G2251" s="17" t="s">
        <v>1179</v>
      </c>
    </row>
    <row r="2252" spans="6:7" x14ac:dyDescent="0.25">
      <c r="F2252" s="17" t="s">
        <v>3147</v>
      </c>
      <c r="G2252" s="17" t="s">
        <v>1179</v>
      </c>
    </row>
    <row r="2253" spans="6:7" x14ac:dyDescent="0.25">
      <c r="F2253" s="17" t="s">
        <v>3148</v>
      </c>
      <c r="G2253" s="17" t="s">
        <v>1179</v>
      </c>
    </row>
    <row r="2254" spans="6:7" x14ac:dyDescent="0.25">
      <c r="F2254" s="17" t="s">
        <v>3149</v>
      </c>
      <c r="G2254" s="17" t="s">
        <v>1179</v>
      </c>
    </row>
    <row r="2255" spans="6:7" x14ac:dyDescent="0.25">
      <c r="F2255" s="17" t="s">
        <v>3150</v>
      </c>
      <c r="G2255" s="17" t="s">
        <v>1179</v>
      </c>
    </row>
    <row r="2256" spans="6:7" x14ac:dyDescent="0.25">
      <c r="F2256" s="17" t="s">
        <v>3151</v>
      </c>
      <c r="G2256" s="17" t="s">
        <v>1179</v>
      </c>
    </row>
    <row r="2257" spans="6:7" x14ac:dyDescent="0.25">
      <c r="F2257" s="17" t="s">
        <v>3152</v>
      </c>
      <c r="G2257" s="17" t="s">
        <v>1179</v>
      </c>
    </row>
    <row r="2258" spans="6:7" x14ac:dyDescent="0.25">
      <c r="F2258" s="17" t="s">
        <v>3153</v>
      </c>
      <c r="G2258" s="17" t="s">
        <v>1179</v>
      </c>
    </row>
    <row r="2259" spans="6:7" x14ac:dyDescent="0.25">
      <c r="F2259" s="17" t="s">
        <v>3154</v>
      </c>
      <c r="G2259" s="17" t="s">
        <v>1179</v>
      </c>
    </row>
    <row r="2260" spans="6:7" x14ac:dyDescent="0.25">
      <c r="F2260" s="17" t="s">
        <v>3155</v>
      </c>
      <c r="G2260" s="17" t="s">
        <v>1179</v>
      </c>
    </row>
    <row r="2261" spans="6:7" x14ac:dyDescent="0.25">
      <c r="F2261" s="17" t="s">
        <v>3156</v>
      </c>
      <c r="G2261" s="17" t="s">
        <v>1179</v>
      </c>
    </row>
    <row r="2262" spans="6:7" x14ac:dyDescent="0.25">
      <c r="F2262" s="17" t="s">
        <v>3157</v>
      </c>
      <c r="G2262" s="17" t="s">
        <v>1179</v>
      </c>
    </row>
    <row r="2263" spans="6:7" x14ac:dyDescent="0.25">
      <c r="F2263" s="17" t="s">
        <v>3158</v>
      </c>
      <c r="G2263" s="17" t="s">
        <v>1179</v>
      </c>
    </row>
    <row r="2264" spans="6:7" x14ac:dyDescent="0.25">
      <c r="F2264" s="17" t="s">
        <v>3159</v>
      </c>
      <c r="G2264" s="17" t="s">
        <v>1179</v>
      </c>
    </row>
    <row r="2265" spans="6:7" x14ac:dyDescent="0.25">
      <c r="F2265" s="17" t="s">
        <v>3160</v>
      </c>
      <c r="G2265" s="17" t="s">
        <v>1179</v>
      </c>
    </row>
    <row r="2266" spans="6:7" x14ac:dyDescent="0.25">
      <c r="F2266" s="17" t="s">
        <v>3161</v>
      </c>
      <c r="G2266" s="17" t="s">
        <v>1179</v>
      </c>
    </row>
    <row r="2267" spans="6:7" x14ac:dyDescent="0.25">
      <c r="F2267" s="17" t="s">
        <v>3162</v>
      </c>
      <c r="G2267" s="17" t="s">
        <v>1179</v>
      </c>
    </row>
    <row r="2268" spans="6:7" x14ac:dyDescent="0.25">
      <c r="F2268" s="17" t="s">
        <v>3163</v>
      </c>
      <c r="G2268" s="17" t="s">
        <v>1179</v>
      </c>
    </row>
    <row r="2269" spans="6:7" x14ac:dyDescent="0.25">
      <c r="F2269" s="17" t="s">
        <v>3164</v>
      </c>
      <c r="G2269" s="17" t="s">
        <v>1179</v>
      </c>
    </row>
    <row r="2270" spans="6:7" x14ac:dyDescent="0.25">
      <c r="F2270" s="17" t="s">
        <v>3165</v>
      </c>
      <c r="G2270" s="17" t="s">
        <v>1179</v>
      </c>
    </row>
    <row r="2271" spans="6:7" x14ac:dyDescent="0.25">
      <c r="F2271" s="17" t="s">
        <v>3166</v>
      </c>
      <c r="G2271" s="17" t="s">
        <v>1179</v>
      </c>
    </row>
    <row r="2272" spans="6:7" x14ac:dyDescent="0.25">
      <c r="F2272" s="17" t="s">
        <v>3167</v>
      </c>
      <c r="G2272" s="17" t="s">
        <v>1179</v>
      </c>
    </row>
    <row r="2273" spans="6:7" x14ac:dyDescent="0.25">
      <c r="F2273" s="17" t="s">
        <v>3168</v>
      </c>
      <c r="G2273" s="17" t="s">
        <v>1179</v>
      </c>
    </row>
    <row r="2274" spans="6:7" x14ac:dyDescent="0.25">
      <c r="F2274" s="17" t="s">
        <v>3169</v>
      </c>
      <c r="G2274" s="17" t="s">
        <v>1179</v>
      </c>
    </row>
    <row r="2275" spans="6:7" x14ac:dyDescent="0.25">
      <c r="F2275" s="17" t="s">
        <v>3170</v>
      </c>
      <c r="G2275" s="17" t="s">
        <v>1179</v>
      </c>
    </row>
    <row r="2276" spans="6:7" x14ac:dyDescent="0.25">
      <c r="F2276" s="17" t="s">
        <v>3171</v>
      </c>
      <c r="G2276" s="17" t="s">
        <v>1179</v>
      </c>
    </row>
    <row r="2277" spans="6:7" x14ac:dyDescent="0.25">
      <c r="F2277" s="17" t="s">
        <v>3172</v>
      </c>
      <c r="G2277" s="17" t="s">
        <v>1179</v>
      </c>
    </row>
    <row r="2278" spans="6:7" x14ac:dyDescent="0.25">
      <c r="F2278" s="17" t="s">
        <v>3173</v>
      </c>
      <c r="G2278" s="17" t="s">
        <v>1179</v>
      </c>
    </row>
    <row r="2279" spans="6:7" x14ac:dyDescent="0.25">
      <c r="F2279" s="17" t="s">
        <v>3174</v>
      </c>
      <c r="G2279" s="17" t="s">
        <v>1179</v>
      </c>
    </row>
    <row r="2280" spans="6:7" x14ac:dyDescent="0.25">
      <c r="F2280" s="17" t="s">
        <v>3175</v>
      </c>
      <c r="G2280" s="17" t="s">
        <v>1179</v>
      </c>
    </row>
    <row r="2281" spans="6:7" x14ac:dyDescent="0.25">
      <c r="F2281" s="17" t="s">
        <v>3176</v>
      </c>
      <c r="G2281" s="17" t="s">
        <v>1179</v>
      </c>
    </row>
    <row r="2282" spans="6:7" x14ac:dyDescent="0.25">
      <c r="F2282" s="17" t="s">
        <v>3177</v>
      </c>
      <c r="G2282" s="17" t="s">
        <v>1179</v>
      </c>
    </row>
    <row r="2283" spans="6:7" x14ac:dyDescent="0.25">
      <c r="F2283" s="17" t="s">
        <v>3178</v>
      </c>
      <c r="G2283" s="17" t="s">
        <v>1179</v>
      </c>
    </row>
    <row r="2284" spans="6:7" x14ac:dyDescent="0.25">
      <c r="F2284" s="17" t="s">
        <v>3179</v>
      </c>
      <c r="G2284" s="17" t="s">
        <v>191</v>
      </c>
    </row>
    <row r="2285" spans="6:7" x14ac:dyDescent="0.25">
      <c r="F2285" s="17" t="s">
        <v>3180</v>
      </c>
      <c r="G2285" s="17" t="s">
        <v>191</v>
      </c>
    </row>
    <row r="2286" spans="6:7" x14ac:dyDescent="0.25">
      <c r="F2286" s="17" t="s">
        <v>3181</v>
      </c>
      <c r="G2286" s="17" t="s">
        <v>191</v>
      </c>
    </row>
    <row r="2287" spans="6:7" x14ac:dyDescent="0.25">
      <c r="F2287" s="17" t="s">
        <v>961</v>
      </c>
      <c r="G2287" s="17" t="s">
        <v>191</v>
      </c>
    </row>
    <row r="2288" spans="6:7" x14ac:dyDescent="0.25">
      <c r="F2288" s="17" t="s">
        <v>3182</v>
      </c>
      <c r="G2288" s="17" t="s">
        <v>191</v>
      </c>
    </row>
    <row r="2289" spans="6:7" x14ac:dyDescent="0.25">
      <c r="F2289" s="17" t="s">
        <v>3183</v>
      </c>
      <c r="G2289" s="17" t="s">
        <v>191</v>
      </c>
    </row>
    <row r="2290" spans="6:7" x14ac:dyDescent="0.25">
      <c r="F2290" s="17" t="s">
        <v>3184</v>
      </c>
      <c r="G2290" s="17" t="s">
        <v>191</v>
      </c>
    </row>
    <row r="2291" spans="6:7" x14ac:dyDescent="0.25">
      <c r="F2291" s="17" t="s">
        <v>3185</v>
      </c>
      <c r="G2291" s="17" t="s">
        <v>1179</v>
      </c>
    </row>
    <row r="2292" spans="6:7" x14ac:dyDescent="0.25">
      <c r="F2292" s="17" t="s">
        <v>3186</v>
      </c>
      <c r="G2292" s="17" t="s">
        <v>1179</v>
      </c>
    </row>
    <row r="2293" spans="6:7" x14ac:dyDescent="0.25">
      <c r="F2293" s="17" t="s">
        <v>3187</v>
      </c>
      <c r="G2293" s="17" t="s">
        <v>1179</v>
      </c>
    </row>
    <row r="2294" spans="6:7" x14ac:dyDescent="0.25">
      <c r="F2294" s="17" t="s">
        <v>3188</v>
      </c>
      <c r="G2294" s="17" t="s">
        <v>1179</v>
      </c>
    </row>
    <row r="2295" spans="6:7" x14ac:dyDescent="0.25">
      <c r="F2295" s="17" t="s">
        <v>3189</v>
      </c>
      <c r="G2295" s="17" t="s">
        <v>1179</v>
      </c>
    </row>
    <row r="2296" spans="6:7" x14ac:dyDescent="0.25">
      <c r="F2296" s="17" t="s">
        <v>3190</v>
      </c>
      <c r="G2296" s="17" t="s">
        <v>1179</v>
      </c>
    </row>
    <row r="2297" spans="6:7" x14ac:dyDescent="0.25">
      <c r="F2297" s="17" t="s">
        <v>3191</v>
      </c>
      <c r="G2297" s="17" t="s">
        <v>1179</v>
      </c>
    </row>
    <row r="2298" spans="6:7" x14ac:dyDescent="0.25">
      <c r="F2298" s="17" t="s">
        <v>3192</v>
      </c>
      <c r="G2298" s="17" t="s">
        <v>1179</v>
      </c>
    </row>
    <row r="2299" spans="6:7" x14ac:dyDescent="0.25">
      <c r="F2299" s="17" t="s">
        <v>3193</v>
      </c>
      <c r="G2299" s="17" t="s">
        <v>1179</v>
      </c>
    </row>
    <row r="2300" spans="6:7" x14ac:dyDescent="0.25">
      <c r="F2300" s="17" t="s">
        <v>3194</v>
      </c>
      <c r="G2300" s="17" t="s">
        <v>1179</v>
      </c>
    </row>
    <row r="2301" spans="6:7" x14ac:dyDescent="0.25">
      <c r="F2301" s="17" t="s">
        <v>3195</v>
      </c>
      <c r="G2301" s="17" t="s">
        <v>1179</v>
      </c>
    </row>
    <row r="2302" spans="6:7" x14ac:dyDescent="0.25">
      <c r="F2302" s="17" t="s">
        <v>3196</v>
      </c>
      <c r="G2302" s="17" t="s">
        <v>1179</v>
      </c>
    </row>
    <row r="2303" spans="6:7" x14ac:dyDescent="0.25">
      <c r="F2303" s="17" t="s">
        <v>3197</v>
      </c>
      <c r="G2303" s="17" t="s">
        <v>1179</v>
      </c>
    </row>
    <row r="2304" spans="6:7" x14ac:dyDescent="0.25">
      <c r="F2304" s="17" t="s">
        <v>3198</v>
      </c>
      <c r="G2304" s="17" t="s">
        <v>1179</v>
      </c>
    </row>
    <row r="2305" spans="6:7" x14ac:dyDescent="0.25">
      <c r="F2305" s="17" t="s">
        <v>3199</v>
      </c>
      <c r="G2305" s="17" t="s">
        <v>1179</v>
      </c>
    </row>
    <row r="2306" spans="6:7" x14ac:dyDescent="0.25">
      <c r="F2306" s="17" t="s">
        <v>3200</v>
      </c>
      <c r="G2306" s="17" t="s">
        <v>1179</v>
      </c>
    </row>
    <row r="2307" spans="6:7" x14ac:dyDescent="0.25">
      <c r="F2307" s="17" t="s">
        <v>3201</v>
      </c>
      <c r="G2307" s="17" t="s">
        <v>1179</v>
      </c>
    </row>
    <row r="2308" spans="6:7" x14ac:dyDescent="0.25">
      <c r="F2308" s="17" t="s">
        <v>3202</v>
      </c>
      <c r="G2308" s="17" t="s">
        <v>191</v>
      </c>
    </row>
    <row r="2309" spans="6:7" x14ac:dyDescent="0.25">
      <c r="F2309" s="17" t="s">
        <v>641</v>
      </c>
      <c r="G2309" s="17" t="s">
        <v>191</v>
      </c>
    </row>
    <row r="2310" spans="6:7" x14ac:dyDescent="0.25">
      <c r="F2310" s="17" t="s">
        <v>3203</v>
      </c>
      <c r="G2310" s="17" t="s">
        <v>191</v>
      </c>
    </row>
    <row r="2311" spans="6:7" x14ac:dyDescent="0.25">
      <c r="F2311" s="17" t="s">
        <v>3204</v>
      </c>
      <c r="G2311" s="17" t="s">
        <v>191</v>
      </c>
    </row>
    <row r="2312" spans="6:7" x14ac:dyDescent="0.25">
      <c r="F2312" s="17" t="s">
        <v>3205</v>
      </c>
      <c r="G2312" s="17" t="s">
        <v>191</v>
      </c>
    </row>
    <row r="2313" spans="6:7" x14ac:dyDescent="0.25">
      <c r="F2313" s="17" t="s">
        <v>3206</v>
      </c>
      <c r="G2313" s="17" t="s">
        <v>191</v>
      </c>
    </row>
    <row r="2314" spans="6:7" x14ac:dyDescent="0.25">
      <c r="F2314" s="17" t="s">
        <v>3207</v>
      </c>
      <c r="G2314" s="17" t="s">
        <v>191</v>
      </c>
    </row>
    <row r="2315" spans="6:7" x14ac:dyDescent="0.25">
      <c r="F2315" s="17" t="s">
        <v>3208</v>
      </c>
      <c r="G2315" s="17" t="s">
        <v>191</v>
      </c>
    </row>
    <row r="2316" spans="6:7" x14ac:dyDescent="0.25">
      <c r="F2316" s="17" t="s">
        <v>3209</v>
      </c>
      <c r="G2316" s="17" t="s">
        <v>1179</v>
      </c>
    </row>
    <row r="2317" spans="6:7" x14ac:dyDescent="0.25">
      <c r="F2317" s="17" t="s">
        <v>3210</v>
      </c>
      <c r="G2317" s="17" t="s">
        <v>1179</v>
      </c>
    </row>
    <row r="2318" spans="6:7" x14ac:dyDescent="0.25">
      <c r="F2318" s="17" t="s">
        <v>3211</v>
      </c>
      <c r="G2318" s="17" t="s">
        <v>1179</v>
      </c>
    </row>
    <row r="2319" spans="6:7" x14ac:dyDescent="0.25">
      <c r="F2319" s="17" t="s">
        <v>3212</v>
      </c>
      <c r="G2319" s="17" t="s">
        <v>1179</v>
      </c>
    </row>
    <row r="2320" spans="6:7" x14ac:dyDescent="0.25">
      <c r="F2320" s="17" t="s">
        <v>3213</v>
      </c>
      <c r="G2320" s="17" t="s">
        <v>1179</v>
      </c>
    </row>
    <row r="2321" spans="6:7" x14ac:dyDescent="0.25">
      <c r="F2321" s="17" t="s">
        <v>3214</v>
      </c>
      <c r="G2321" s="17" t="s">
        <v>1179</v>
      </c>
    </row>
    <row r="2322" spans="6:7" x14ac:dyDescent="0.25">
      <c r="F2322" s="17" t="s">
        <v>3215</v>
      </c>
      <c r="G2322" s="17" t="s">
        <v>1179</v>
      </c>
    </row>
    <row r="2323" spans="6:7" x14ac:dyDescent="0.25">
      <c r="F2323" s="17" t="s">
        <v>3216</v>
      </c>
      <c r="G2323" s="17" t="s">
        <v>1179</v>
      </c>
    </row>
    <row r="2324" spans="6:7" x14ac:dyDescent="0.25">
      <c r="F2324" s="17" t="s">
        <v>3217</v>
      </c>
      <c r="G2324" s="17" t="s">
        <v>1179</v>
      </c>
    </row>
    <row r="2325" spans="6:7" x14ac:dyDescent="0.25">
      <c r="F2325" s="17" t="s">
        <v>3218</v>
      </c>
      <c r="G2325" s="17" t="s">
        <v>1179</v>
      </c>
    </row>
    <row r="2326" spans="6:7" x14ac:dyDescent="0.25">
      <c r="F2326" s="17" t="s">
        <v>3219</v>
      </c>
      <c r="G2326" s="17" t="s">
        <v>1179</v>
      </c>
    </row>
    <row r="2327" spans="6:7" x14ac:dyDescent="0.25">
      <c r="F2327" s="17" t="s">
        <v>3220</v>
      </c>
      <c r="G2327" s="17" t="s">
        <v>1179</v>
      </c>
    </row>
    <row r="2328" spans="6:7" x14ac:dyDescent="0.25">
      <c r="F2328" s="17" t="s">
        <v>3221</v>
      </c>
      <c r="G2328" s="17" t="s">
        <v>1179</v>
      </c>
    </row>
    <row r="2329" spans="6:7" x14ac:dyDescent="0.25">
      <c r="F2329" s="17" t="s">
        <v>3222</v>
      </c>
      <c r="G2329" s="17" t="s">
        <v>1179</v>
      </c>
    </row>
    <row r="2330" spans="6:7" x14ac:dyDescent="0.25">
      <c r="F2330" s="17" t="s">
        <v>3223</v>
      </c>
      <c r="G2330" s="17" t="s">
        <v>1179</v>
      </c>
    </row>
    <row r="2331" spans="6:7" x14ac:dyDescent="0.25">
      <c r="F2331" s="17" t="s">
        <v>3224</v>
      </c>
      <c r="G2331" s="17" t="s">
        <v>1179</v>
      </c>
    </row>
    <row r="2332" spans="6:7" x14ac:dyDescent="0.25">
      <c r="F2332" s="17" t="s">
        <v>3225</v>
      </c>
      <c r="G2332" s="17" t="s">
        <v>1179</v>
      </c>
    </row>
    <row r="2333" spans="6:7" x14ac:dyDescent="0.25">
      <c r="F2333" s="17" t="s">
        <v>3226</v>
      </c>
      <c r="G2333" s="17" t="s">
        <v>1179</v>
      </c>
    </row>
    <row r="2334" spans="6:7" x14ac:dyDescent="0.25">
      <c r="F2334" s="17" t="s">
        <v>3227</v>
      </c>
      <c r="G2334" s="17" t="s">
        <v>1179</v>
      </c>
    </row>
    <row r="2335" spans="6:7" x14ac:dyDescent="0.25">
      <c r="F2335" s="17" t="s">
        <v>3228</v>
      </c>
      <c r="G2335" s="17" t="s">
        <v>193</v>
      </c>
    </row>
    <row r="2336" spans="6:7" x14ac:dyDescent="0.25">
      <c r="F2336" s="17" t="s">
        <v>3229</v>
      </c>
      <c r="G2336" s="17" t="s">
        <v>193</v>
      </c>
    </row>
    <row r="2337" spans="6:7" x14ac:dyDescent="0.25">
      <c r="F2337" s="17" t="s">
        <v>666</v>
      </c>
      <c r="G2337" s="17" t="s">
        <v>193</v>
      </c>
    </row>
    <row r="2338" spans="6:7" x14ac:dyDescent="0.25">
      <c r="F2338" s="17" t="s">
        <v>3230</v>
      </c>
      <c r="G2338" s="17" t="s">
        <v>193</v>
      </c>
    </row>
    <row r="2339" spans="6:7" x14ac:dyDescent="0.25">
      <c r="F2339" s="17" t="s">
        <v>3231</v>
      </c>
      <c r="G2339" s="17" t="s">
        <v>193</v>
      </c>
    </row>
    <row r="2340" spans="6:7" x14ac:dyDescent="0.25">
      <c r="F2340" s="17" t="s">
        <v>3232</v>
      </c>
      <c r="G2340" s="17" t="s">
        <v>193</v>
      </c>
    </row>
    <row r="2341" spans="6:7" x14ac:dyDescent="0.25">
      <c r="F2341" s="17" t="s">
        <v>3233</v>
      </c>
      <c r="G2341" s="17" t="s">
        <v>193</v>
      </c>
    </row>
    <row r="2342" spans="6:7" x14ac:dyDescent="0.25">
      <c r="F2342" s="17" t="s">
        <v>899</v>
      </c>
      <c r="G2342" s="17" t="s">
        <v>193</v>
      </c>
    </row>
    <row r="2343" spans="6:7" x14ac:dyDescent="0.25">
      <c r="F2343" s="17" t="s">
        <v>3234</v>
      </c>
      <c r="G2343" s="17" t="s">
        <v>193</v>
      </c>
    </row>
    <row r="2344" spans="6:7" x14ac:dyDescent="0.25">
      <c r="F2344" s="17" t="s">
        <v>3235</v>
      </c>
      <c r="G2344" s="17" t="s">
        <v>193</v>
      </c>
    </row>
    <row r="2345" spans="6:7" x14ac:dyDescent="0.25">
      <c r="F2345" s="17" t="s">
        <v>3236</v>
      </c>
      <c r="G2345" s="17" t="s">
        <v>193</v>
      </c>
    </row>
    <row r="2346" spans="6:7" x14ac:dyDescent="0.25">
      <c r="F2346" s="17" t="s">
        <v>3237</v>
      </c>
      <c r="G2346" s="17" t="s">
        <v>193</v>
      </c>
    </row>
    <row r="2347" spans="6:7" x14ac:dyDescent="0.25">
      <c r="F2347" s="17" t="s">
        <v>424</v>
      </c>
      <c r="G2347" s="17" t="s">
        <v>193</v>
      </c>
    </row>
    <row r="2348" spans="6:7" x14ac:dyDescent="0.25">
      <c r="F2348" s="17" t="s">
        <v>3238</v>
      </c>
      <c r="G2348" s="17" t="s">
        <v>193</v>
      </c>
    </row>
    <row r="2349" spans="6:7" x14ac:dyDescent="0.25">
      <c r="F2349" s="17" t="s">
        <v>3239</v>
      </c>
      <c r="G2349" s="17" t="s">
        <v>193</v>
      </c>
    </row>
    <row r="2350" spans="6:7" x14ac:dyDescent="0.25">
      <c r="F2350" s="17" t="s">
        <v>570</v>
      </c>
      <c r="G2350" s="17" t="s">
        <v>193</v>
      </c>
    </row>
    <row r="2351" spans="6:7" x14ac:dyDescent="0.25">
      <c r="F2351" s="17" t="s">
        <v>3240</v>
      </c>
      <c r="G2351" s="17" t="s">
        <v>191</v>
      </c>
    </row>
    <row r="2352" spans="6:7" x14ac:dyDescent="0.25">
      <c r="F2352" s="17" t="s">
        <v>3241</v>
      </c>
      <c r="G2352" s="17" t="s">
        <v>191</v>
      </c>
    </row>
    <row r="2353" spans="6:7" x14ac:dyDescent="0.25">
      <c r="F2353" s="17" t="s">
        <v>352</v>
      </c>
      <c r="G2353" s="17" t="s">
        <v>193</v>
      </c>
    </row>
    <row r="2354" spans="6:7" x14ac:dyDescent="0.25">
      <c r="F2354" s="17" t="s">
        <v>517</v>
      </c>
      <c r="G2354" s="17" t="s">
        <v>193</v>
      </c>
    </row>
    <row r="2355" spans="6:7" x14ac:dyDescent="0.25">
      <c r="F2355" s="17" t="s">
        <v>3242</v>
      </c>
      <c r="G2355" s="17" t="s">
        <v>193</v>
      </c>
    </row>
    <row r="2356" spans="6:7" x14ac:dyDescent="0.25">
      <c r="F2356" s="17" t="s">
        <v>3243</v>
      </c>
      <c r="G2356" s="17" t="s">
        <v>193</v>
      </c>
    </row>
    <row r="2357" spans="6:7" x14ac:dyDescent="0.25">
      <c r="F2357" s="17" t="s">
        <v>3244</v>
      </c>
      <c r="G2357" s="17" t="s">
        <v>193</v>
      </c>
    </row>
    <row r="2358" spans="6:7" x14ac:dyDescent="0.25">
      <c r="F2358" s="17" t="s">
        <v>3245</v>
      </c>
      <c r="G2358" s="17" t="s">
        <v>193</v>
      </c>
    </row>
    <row r="2359" spans="6:7" x14ac:dyDescent="0.25">
      <c r="F2359" s="17" t="s">
        <v>3246</v>
      </c>
      <c r="G2359" s="17" t="s">
        <v>193</v>
      </c>
    </row>
    <row r="2360" spans="6:7" x14ac:dyDescent="0.25">
      <c r="F2360" s="17" t="s">
        <v>605</v>
      </c>
      <c r="G2360" s="17" t="s">
        <v>193</v>
      </c>
    </row>
    <row r="2361" spans="6:7" x14ac:dyDescent="0.25">
      <c r="F2361" s="17" t="s">
        <v>3247</v>
      </c>
      <c r="G2361" s="17" t="s">
        <v>193</v>
      </c>
    </row>
    <row r="2362" spans="6:7" x14ac:dyDescent="0.25">
      <c r="F2362" s="17" t="s">
        <v>3248</v>
      </c>
      <c r="G2362" s="17" t="s">
        <v>193</v>
      </c>
    </row>
    <row r="2363" spans="6:7" x14ac:dyDescent="0.25">
      <c r="F2363" s="17" t="s">
        <v>440</v>
      </c>
      <c r="G2363" s="17" t="s">
        <v>193</v>
      </c>
    </row>
    <row r="2364" spans="6:7" x14ac:dyDescent="0.25">
      <c r="F2364" s="17" t="s">
        <v>3249</v>
      </c>
      <c r="G2364" s="17" t="s">
        <v>193</v>
      </c>
    </row>
    <row r="2365" spans="6:7" x14ac:dyDescent="0.25">
      <c r="F2365" s="17" t="s">
        <v>3250</v>
      </c>
      <c r="G2365" s="17" t="s">
        <v>193</v>
      </c>
    </row>
    <row r="2366" spans="6:7" x14ac:dyDescent="0.25">
      <c r="F2366" s="17" t="s">
        <v>3251</v>
      </c>
      <c r="G2366" s="17" t="s">
        <v>193</v>
      </c>
    </row>
    <row r="2367" spans="6:7" x14ac:dyDescent="0.25">
      <c r="F2367" s="17" t="s">
        <v>3252</v>
      </c>
      <c r="G2367" s="17" t="s">
        <v>193</v>
      </c>
    </row>
    <row r="2368" spans="6:7" x14ac:dyDescent="0.25">
      <c r="F2368" s="17" t="s">
        <v>3253</v>
      </c>
      <c r="G2368" s="17" t="s">
        <v>1179</v>
      </c>
    </row>
    <row r="2369" spans="6:7" x14ac:dyDescent="0.25">
      <c r="F2369" s="17" t="s">
        <v>3254</v>
      </c>
      <c r="G2369" s="17" t="s">
        <v>1179</v>
      </c>
    </row>
    <row r="2370" spans="6:7" x14ac:dyDescent="0.25">
      <c r="F2370" s="17" t="s">
        <v>3255</v>
      </c>
      <c r="G2370" s="17" t="s">
        <v>1179</v>
      </c>
    </row>
    <row r="2371" spans="6:7" x14ac:dyDescent="0.25">
      <c r="F2371" s="17" t="s">
        <v>3256</v>
      </c>
      <c r="G2371" s="17" t="s">
        <v>193</v>
      </c>
    </row>
    <row r="2372" spans="6:7" x14ac:dyDescent="0.25">
      <c r="F2372" s="17" t="s">
        <v>3257</v>
      </c>
      <c r="G2372" s="17" t="s">
        <v>193</v>
      </c>
    </row>
    <row r="2373" spans="6:7" x14ac:dyDescent="0.25">
      <c r="F2373" s="17" t="s">
        <v>3258</v>
      </c>
      <c r="G2373" s="17" t="s">
        <v>1179</v>
      </c>
    </row>
    <row r="2374" spans="6:7" x14ac:dyDescent="0.25">
      <c r="F2374" s="17" t="s">
        <v>3259</v>
      </c>
      <c r="G2374" s="17" t="s">
        <v>1179</v>
      </c>
    </row>
    <row r="2375" spans="6:7" x14ac:dyDescent="0.25">
      <c r="F2375" s="17" t="s">
        <v>3260</v>
      </c>
      <c r="G2375" s="17" t="s">
        <v>193</v>
      </c>
    </row>
    <row r="2376" spans="6:7" x14ac:dyDescent="0.25">
      <c r="F2376" s="17" t="s">
        <v>3261</v>
      </c>
      <c r="G2376" s="17" t="s">
        <v>193</v>
      </c>
    </row>
    <row r="2377" spans="6:7" x14ac:dyDescent="0.25">
      <c r="F2377" s="17" t="s">
        <v>897</v>
      </c>
      <c r="G2377" s="17" t="s">
        <v>193</v>
      </c>
    </row>
    <row r="2378" spans="6:7" x14ac:dyDescent="0.25">
      <c r="F2378" s="17" t="s">
        <v>3262</v>
      </c>
      <c r="G2378" s="17" t="s">
        <v>193</v>
      </c>
    </row>
    <row r="2379" spans="6:7" x14ac:dyDescent="0.25">
      <c r="F2379" s="17" t="s">
        <v>3263</v>
      </c>
      <c r="G2379" s="17" t="s">
        <v>193</v>
      </c>
    </row>
    <row r="2380" spans="6:7" x14ac:dyDescent="0.25">
      <c r="F2380" s="17" t="s">
        <v>3264</v>
      </c>
      <c r="G2380" s="17" t="s">
        <v>193</v>
      </c>
    </row>
    <row r="2381" spans="6:7" x14ac:dyDescent="0.25">
      <c r="F2381" s="17" t="s">
        <v>3265</v>
      </c>
      <c r="G2381" s="17" t="s">
        <v>193</v>
      </c>
    </row>
    <row r="2382" spans="6:7" x14ac:dyDescent="0.25">
      <c r="F2382" s="17" t="s">
        <v>3266</v>
      </c>
      <c r="G2382" s="17" t="s">
        <v>193</v>
      </c>
    </row>
    <row r="2383" spans="6:7" x14ac:dyDescent="0.25">
      <c r="F2383" s="17" t="s">
        <v>3267</v>
      </c>
      <c r="G2383" s="17" t="s">
        <v>193</v>
      </c>
    </row>
    <row r="2384" spans="6:7" x14ac:dyDescent="0.25">
      <c r="F2384" s="17" t="s">
        <v>3268</v>
      </c>
      <c r="G2384" s="17" t="s">
        <v>193</v>
      </c>
    </row>
    <row r="2385" spans="6:7" x14ac:dyDescent="0.25">
      <c r="F2385" s="17" t="s">
        <v>609</v>
      </c>
      <c r="G2385" s="17" t="s">
        <v>193</v>
      </c>
    </row>
    <row r="2386" spans="6:7" x14ac:dyDescent="0.25">
      <c r="F2386" s="17" t="s">
        <v>3269</v>
      </c>
      <c r="G2386" s="17" t="s">
        <v>193</v>
      </c>
    </row>
    <row r="2387" spans="6:7" x14ac:dyDescent="0.25">
      <c r="F2387" s="17" t="s">
        <v>3270</v>
      </c>
      <c r="G2387" s="17" t="s">
        <v>1179</v>
      </c>
    </row>
    <row r="2388" spans="6:7" x14ac:dyDescent="0.25">
      <c r="F2388" s="17" t="s">
        <v>3271</v>
      </c>
      <c r="G2388" s="17" t="s">
        <v>1179</v>
      </c>
    </row>
    <row r="2389" spans="6:7" x14ac:dyDescent="0.25">
      <c r="F2389" s="17" t="s">
        <v>3272</v>
      </c>
      <c r="G2389" s="17" t="s">
        <v>1179</v>
      </c>
    </row>
    <row r="2390" spans="6:7" x14ac:dyDescent="0.25">
      <c r="F2390" s="17" t="s">
        <v>3273</v>
      </c>
      <c r="G2390" s="17" t="s">
        <v>1179</v>
      </c>
    </row>
    <row r="2391" spans="6:7" x14ac:dyDescent="0.25">
      <c r="F2391" s="17" t="s">
        <v>3274</v>
      </c>
      <c r="G2391" s="17" t="s">
        <v>1179</v>
      </c>
    </row>
    <row r="2392" spans="6:7" x14ac:dyDescent="0.25">
      <c r="F2392" s="17" t="s">
        <v>3275</v>
      </c>
      <c r="G2392" s="17" t="s">
        <v>1179</v>
      </c>
    </row>
    <row r="2393" spans="6:7" x14ac:dyDescent="0.25">
      <c r="F2393" s="17" t="s">
        <v>947</v>
      </c>
      <c r="G2393" s="17" t="s">
        <v>193</v>
      </c>
    </row>
    <row r="2394" spans="6:7" x14ac:dyDescent="0.25">
      <c r="F2394" s="17" t="s">
        <v>3276</v>
      </c>
      <c r="G2394" s="17" t="s">
        <v>193</v>
      </c>
    </row>
    <row r="2395" spans="6:7" x14ac:dyDescent="0.25">
      <c r="F2395" s="17" t="s">
        <v>3277</v>
      </c>
      <c r="G2395" s="17" t="s">
        <v>193</v>
      </c>
    </row>
    <row r="2396" spans="6:7" x14ac:dyDescent="0.25">
      <c r="F2396" s="17" t="s">
        <v>472</v>
      </c>
      <c r="G2396" s="17" t="s">
        <v>193</v>
      </c>
    </row>
    <row r="2397" spans="6:7" x14ac:dyDescent="0.25">
      <c r="F2397" s="17" t="s">
        <v>3278</v>
      </c>
      <c r="G2397" s="17" t="s">
        <v>193</v>
      </c>
    </row>
    <row r="2398" spans="6:7" x14ac:dyDescent="0.25">
      <c r="F2398" s="17" t="s">
        <v>3279</v>
      </c>
      <c r="G2398" s="17" t="s">
        <v>193</v>
      </c>
    </row>
    <row r="2399" spans="6:7" x14ac:dyDescent="0.25">
      <c r="F2399" s="17" t="s">
        <v>3280</v>
      </c>
      <c r="G2399" s="17" t="s">
        <v>193</v>
      </c>
    </row>
    <row r="2400" spans="6:7" x14ac:dyDescent="0.25">
      <c r="F2400" s="17" t="s">
        <v>3281</v>
      </c>
      <c r="G2400" s="17" t="s">
        <v>193</v>
      </c>
    </row>
    <row r="2401" spans="6:7" x14ac:dyDescent="0.25">
      <c r="F2401" s="17" t="s">
        <v>3282</v>
      </c>
      <c r="G2401" s="17" t="s">
        <v>193</v>
      </c>
    </row>
    <row r="2402" spans="6:7" x14ac:dyDescent="0.25">
      <c r="F2402" s="17" t="s">
        <v>3283</v>
      </c>
      <c r="G2402" s="17" t="s">
        <v>193</v>
      </c>
    </row>
    <row r="2403" spans="6:7" x14ac:dyDescent="0.25">
      <c r="F2403" s="17" t="s">
        <v>3284</v>
      </c>
      <c r="G2403" s="17" t="s">
        <v>193</v>
      </c>
    </row>
    <row r="2404" spans="6:7" x14ac:dyDescent="0.25">
      <c r="F2404" s="17" t="s">
        <v>3285</v>
      </c>
      <c r="G2404" s="17" t="s">
        <v>193</v>
      </c>
    </row>
    <row r="2405" spans="6:7" x14ac:dyDescent="0.25">
      <c r="F2405" s="17" t="s">
        <v>3286</v>
      </c>
      <c r="G2405" s="17" t="s">
        <v>1179</v>
      </c>
    </row>
    <row r="2406" spans="6:7" x14ac:dyDescent="0.25">
      <c r="F2406" s="17" t="s">
        <v>3287</v>
      </c>
      <c r="G2406" s="17" t="s">
        <v>193</v>
      </c>
    </row>
    <row r="2407" spans="6:7" x14ac:dyDescent="0.25">
      <c r="F2407" s="17" t="s">
        <v>3288</v>
      </c>
      <c r="G2407" s="17" t="s">
        <v>193</v>
      </c>
    </row>
    <row r="2408" spans="6:7" x14ac:dyDescent="0.25">
      <c r="F2408" s="17" t="s">
        <v>3289</v>
      </c>
      <c r="G2408" s="17" t="s">
        <v>193</v>
      </c>
    </row>
    <row r="2409" spans="6:7" x14ac:dyDescent="0.25">
      <c r="F2409" s="17" t="s">
        <v>592</v>
      </c>
      <c r="G2409" s="17" t="s">
        <v>193</v>
      </c>
    </row>
    <row r="2410" spans="6:7" x14ac:dyDescent="0.25">
      <c r="F2410" s="17" t="s">
        <v>3290</v>
      </c>
      <c r="G2410" s="17" t="s">
        <v>193</v>
      </c>
    </row>
    <row r="2411" spans="6:7" x14ac:dyDescent="0.25">
      <c r="F2411" s="17" t="s">
        <v>3291</v>
      </c>
      <c r="G2411" s="17" t="s">
        <v>193</v>
      </c>
    </row>
    <row r="2412" spans="6:7" x14ac:dyDescent="0.25">
      <c r="F2412" s="17" t="s">
        <v>3292</v>
      </c>
      <c r="G2412" s="17" t="s">
        <v>193</v>
      </c>
    </row>
    <row r="2413" spans="6:7" x14ac:dyDescent="0.25">
      <c r="F2413" s="17" t="s">
        <v>3293</v>
      </c>
      <c r="G2413" s="17" t="s">
        <v>193</v>
      </c>
    </row>
    <row r="2414" spans="6:7" x14ac:dyDescent="0.25">
      <c r="F2414" s="17" t="s">
        <v>3294</v>
      </c>
      <c r="G2414" s="17" t="s">
        <v>193</v>
      </c>
    </row>
    <row r="2415" spans="6:7" x14ac:dyDescent="0.25">
      <c r="F2415" s="17" t="s">
        <v>3295</v>
      </c>
      <c r="G2415" s="17" t="s">
        <v>193</v>
      </c>
    </row>
    <row r="2416" spans="6:7" x14ac:dyDescent="0.25">
      <c r="F2416" s="17" t="s">
        <v>3296</v>
      </c>
      <c r="G2416" s="17" t="s">
        <v>193</v>
      </c>
    </row>
    <row r="2417" spans="6:7" x14ac:dyDescent="0.25">
      <c r="F2417" s="17" t="s">
        <v>3297</v>
      </c>
      <c r="G2417" s="17" t="s">
        <v>193</v>
      </c>
    </row>
    <row r="2418" spans="6:7" x14ac:dyDescent="0.25">
      <c r="F2418" s="17" t="s">
        <v>3298</v>
      </c>
      <c r="G2418" s="17" t="s">
        <v>193</v>
      </c>
    </row>
    <row r="2419" spans="6:7" x14ac:dyDescent="0.25">
      <c r="F2419" s="17" t="s">
        <v>832</v>
      </c>
      <c r="G2419" s="17" t="s">
        <v>193</v>
      </c>
    </row>
    <row r="2420" spans="6:7" x14ac:dyDescent="0.25">
      <c r="F2420" s="17" t="s">
        <v>459</v>
      </c>
      <c r="G2420" s="17" t="s">
        <v>193</v>
      </c>
    </row>
    <row r="2421" spans="6:7" x14ac:dyDescent="0.25">
      <c r="F2421" s="17" t="s">
        <v>3299</v>
      </c>
      <c r="G2421" s="17" t="s">
        <v>193</v>
      </c>
    </row>
    <row r="2422" spans="6:7" x14ac:dyDescent="0.25">
      <c r="F2422" s="17" t="s">
        <v>3300</v>
      </c>
      <c r="G2422" s="17" t="s">
        <v>193</v>
      </c>
    </row>
    <row r="2423" spans="6:7" x14ac:dyDescent="0.25">
      <c r="F2423" s="17" t="s">
        <v>3301</v>
      </c>
      <c r="G2423" s="17" t="s">
        <v>193</v>
      </c>
    </row>
    <row r="2424" spans="6:7" x14ac:dyDescent="0.25">
      <c r="F2424" s="17" t="s">
        <v>3302</v>
      </c>
      <c r="G2424" s="17" t="s">
        <v>193</v>
      </c>
    </row>
    <row r="2425" spans="6:7" x14ac:dyDescent="0.25">
      <c r="F2425" s="17" t="s">
        <v>3303</v>
      </c>
      <c r="G2425" s="17" t="s">
        <v>193</v>
      </c>
    </row>
    <row r="2426" spans="6:7" x14ac:dyDescent="0.25">
      <c r="F2426" s="17" t="s">
        <v>3304</v>
      </c>
      <c r="G2426" s="17" t="s">
        <v>193</v>
      </c>
    </row>
    <row r="2427" spans="6:7" x14ac:dyDescent="0.25">
      <c r="F2427" s="17" t="s">
        <v>3305</v>
      </c>
      <c r="G2427" s="17" t="s">
        <v>193</v>
      </c>
    </row>
    <row r="2428" spans="6:7" x14ac:dyDescent="0.25">
      <c r="F2428" s="17" t="s">
        <v>3306</v>
      </c>
      <c r="G2428" s="17" t="s">
        <v>193</v>
      </c>
    </row>
    <row r="2429" spans="6:7" x14ac:dyDescent="0.25">
      <c r="F2429" s="17" t="s">
        <v>3307</v>
      </c>
      <c r="G2429" s="17" t="s">
        <v>193</v>
      </c>
    </row>
    <row r="2430" spans="6:7" x14ac:dyDescent="0.25">
      <c r="F2430" s="17" t="s">
        <v>3308</v>
      </c>
      <c r="G2430" s="17" t="s">
        <v>193</v>
      </c>
    </row>
    <row r="2431" spans="6:7" x14ac:dyDescent="0.25">
      <c r="F2431" s="17" t="s">
        <v>526</v>
      </c>
      <c r="G2431" s="17" t="s">
        <v>193</v>
      </c>
    </row>
    <row r="2432" spans="6:7" x14ac:dyDescent="0.25">
      <c r="F2432" s="17" t="s">
        <v>3309</v>
      </c>
      <c r="G2432" s="17" t="s">
        <v>193</v>
      </c>
    </row>
    <row r="2433" spans="6:7" x14ac:dyDescent="0.25">
      <c r="F2433" s="17" t="s">
        <v>3310</v>
      </c>
      <c r="G2433" s="17" t="s">
        <v>193</v>
      </c>
    </row>
    <row r="2434" spans="6:7" x14ac:dyDescent="0.25">
      <c r="F2434" s="17" t="s">
        <v>3311</v>
      </c>
      <c r="G2434" s="17" t="s">
        <v>193</v>
      </c>
    </row>
    <row r="2435" spans="6:7" x14ac:dyDescent="0.25">
      <c r="F2435" s="17" t="s">
        <v>628</v>
      </c>
      <c r="G2435" s="17" t="s">
        <v>193</v>
      </c>
    </row>
    <row r="2436" spans="6:7" x14ac:dyDescent="0.25">
      <c r="F2436" s="17" t="s">
        <v>3312</v>
      </c>
      <c r="G2436" s="17" t="s">
        <v>193</v>
      </c>
    </row>
    <row r="2437" spans="6:7" x14ac:dyDescent="0.25">
      <c r="F2437" s="17" t="s">
        <v>900</v>
      </c>
      <c r="G2437" s="17" t="s">
        <v>193</v>
      </c>
    </row>
    <row r="2438" spans="6:7" x14ac:dyDescent="0.25">
      <c r="F2438" s="17" t="s">
        <v>3313</v>
      </c>
      <c r="G2438" s="17" t="s">
        <v>193</v>
      </c>
    </row>
    <row r="2439" spans="6:7" x14ac:dyDescent="0.25">
      <c r="F2439" s="17" t="s">
        <v>3314</v>
      </c>
      <c r="G2439" s="17" t="s">
        <v>193</v>
      </c>
    </row>
    <row r="2440" spans="6:7" x14ac:dyDescent="0.25">
      <c r="F2440" s="17" t="s">
        <v>3315</v>
      </c>
      <c r="G2440" s="17" t="s">
        <v>193</v>
      </c>
    </row>
    <row r="2441" spans="6:7" x14ac:dyDescent="0.25">
      <c r="F2441" s="17" t="s">
        <v>998</v>
      </c>
      <c r="G2441" s="17" t="s">
        <v>193</v>
      </c>
    </row>
    <row r="2442" spans="6:7" x14ac:dyDescent="0.25">
      <c r="F2442" s="17" t="s">
        <v>3316</v>
      </c>
      <c r="G2442" s="17" t="s">
        <v>193</v>
      </c>
    </row>
    <row r="2443" spans="6:7" x14ac:dyDescent="0.25">
      <c r="F2443" s="17" t="s">
        <v>3317</v>
      </c>
      <c r="G2443" s="17" t="s">
        <v>193</v>
      </c>
    </row>
    <row r="2444" spans="6:7" x14ac:dyDescent="0.25">
      <c r="F2444" s="17" t="s">
        <v>3318</v>
      </c>
      <c r="G2444" s="17" t="s">
        <v>193</v>
      </c>
    </row>
    <row r="2445" spans="6:7" x14ac:dyDescent="0.25">
      <c r="F2445" s="17" t="s">
        <v>3319</v>
      </c>
      <c r="G2445" s="17" t="s">
        <v>193</v>
      </c>
    </row>
    <row r="2446" spans="6:7" x14ac:dyDescent="0.25">
      <c r="F2446" s="17" t="s">
        <v>3320</v>
      </c>
      <c r="G2446" s="17" t="s">
        <v>193</v>
      </c>
    </row>
    <row r="2447" spans="6:7" x14ac:dyDescent="0.25">
      <c r="F2447" s="17" t="s">
        <v>3321</v>
      </c>
      <c r="G2447" s="17" t="s">
        <v>193</v>
      </c>
    </row>
    <row r="2448" spans="6:7" x14ac:dyDescent="0.25">
      <c r="F2448" s="17" t="s">
        <v>3322</v>
      </c>
      <c r="G2448" s="17" t="s">
        <v>193</v>
      </c>
    </row>
    <row r="2449" spans="6:7" x14ac:dyDescent="0.25">
      <c r="F2449" s="17" t="s">
        <v>3323</v>
      </c>
      <c r="G2449" s="17" t="s">
        <v>193</v>
      </c>
    </row>
    <row r="2450" spans="6:7" x14ac:dyDescent="0.25">
      <c r="F2450" s="17" t="s">
        <v>3324</v>
      </c>
      <c r="G2450" s="17" t="s">
        <v>193</v>
      </c>
    </row>
    <row r="2451" spans="6:7" x14ac:dyDescent="0.25">
      <c r="F2451" s="17" t="s">
        <v>3325</v>
      </c>
      <c r="G2451" s="17" t="s">
        <v>193</v>
      </c>
    </row>
    <row r="2452" spans="6:7" x14ac:dyDescent="0.25">
      <c r="F2452" s="17" t="s">
        <v>3326</v>
      </c>
      <c r="G2452" s="17" t="s">
        <v>193</v>
      </c>
    </row>
    <row r="2453" spans="6:7" x14ac:dyDescent="0.25">
      <c r="F2453" s="17" t="s">
        <v>909</v>
      </c>
      <c r="G2453" s="17" t="s">
        <v>193</v>
      </c>
    </row>
    <row r="2454" spans="6:7" x14ac:dyDescent="0.25">
      <c r="F2454" s="17" t="s">
        <v>960</v>
      </c>
      <c r="G2454" s="17" t="s">
        <v>193</v>
      </c>
    </row>
    <row r="2455" spans="6:7" x14ac:dyDescent="0.25">
      <c r="F2455" s="17" t="s">
        <v>3327</v>
      </c>
      <c r="G2455" s="17" t="s">
        <v>193</v>
      </c>
    </row>
    <row r="2456" spans="6:7" x14ac:dyDescent="0.25">
      <c r="F2456" s="17" t="s">
        <v>3328</v>
      </c>
      <c r="G2456" s="17" t="s">
        <v>193</v>
      </c>
    </row>
    <row r="2457" spans="6:7" x14ac:dyDescent="0.25">
      <c r="F2457" s="17" t="s">
        <v>3329</v>
      </c>
      <c r="G2457" s="17" t="s">
        <v>193</v>
      </c>
    </row>
    <row r="2458" spans="6:7" x14ac:dyDescent="0.25">
      <c r="F2458" s="17" t="s">
        <v>3330</v>
      </c>
      <c r="G2458" s="17" t="s">
        <v>193</v>
      </c>
    </row>
    <row r="2459" spans="6:7" x14ac:dyDescent="0.25">
      <c r="F2459" s="17" t="s">
        <v>3331</v>
      </c>
      <c r="G2459" s="17" t="s">
        <v>193</v>
      </c>
    </row>
    <row r="2460" spans="6:7" x14ac:dyDescent="0.25">
      <c r="F2460" s="17" t="s">
        <v>688</v>
      </c>
      <c r="G2460" s="17" t="s">
        <v>193</v>
      </c>
    </row>
    <row r="2461" spans="6:7" x14ac:dyDescent="0.25">
      <c r="F2461" s="17" t="s">
        <v>839</v>
      </c>
      <c r="G2461" s="17" t="s">
        <v>193</v>
      </c>
    </row>
    <row r="2462" spans="6:7" x14ac:dyDescent="0.25">
      <c r="F2462" s="17" t="s">
        <v>781</v>
      </c>
      <c r="G2462" s="17" t="s">
        <v>193</v>
      </c>
    </row>
    <row r="2463" spans="6:7" x14ac:dyDescent="0.25">
      <c r="F2463" s="17" t="s">
        <v>3332</v>
      </c>
      <c r="G2463" s="17" t="s">
        <v>193</v>
      </c>
    </row>
    <row r="2464" spans="6:7" x14ac:dyDescent="0.25">
      <c r="F2464" s="17" t="s">
        <v>3333</v>
      </c>
      <c r="G2464" s="17" t="s">
        <v>193</v>
      </c>
    </row>
    <row r="2465" spans="6:7" x14ac:dyDescent="0.25">
      <c r="F2465" s="17" t="s">
        <v>3334</v>
      </c>
      <c r="G2465" s="17" t="s">
        <v>193</v>
      </c>
    </row>
    <row r="2466" spans="6:7" x14ac:dyDescent="0.25">
      <c r="F2466" s="17" t="s">
        <v>3335</v>
      </c>
      <c r="G2466" s="17" t="s">
        <v>217</v>
      </c>
    </row>
    <row r="2467" spans="6:7" x14ac:dyDescent="0.25">
      <c r="F2467" s="17" t="s">
        <v>3336</v>
      </c>
      <c r="G2467" s="17" t="s">
        <v>217</v>
      </c>
    </row>
    <row r="2468" spans="6:7" x14ac:dyDescent="0.25">
      <c r="F2468" s="17" t="s">
        <v>3337</v>
      </c>
      <c r="G2468" s="17" t="s">
        <v>193</v>
      </c>
    </row>
    <row r="2469" spans="6:7" x14ac:dyDescent="0.25">
      <c r="F2469" s="17" t="s">
        <v>3338</v>
      </c>
      <c r="G2469" s="17" t="s">
        <v>193</v>
      </c>
    </row>
    <row r="2470" spans="6:7" x14ac:dyDescent="0.25">
      <c r="F2470" s="17" t="s">
        <v>3339</v>
      </c>
      <c r="G2470" s="17" t="s">
        <v>193</v>
      </c>
    </row>
    <row r="2471" spans="6:7" x14ac:dyDescent="0.25">
      <c r="F2471" s="17" t="s">
        <v>649</v>
      </c>
      <c r="G2471" s="17" t="s">
        <v>193</v>
      </c>
    </row>
    <row r="2472" spans="6:7" x14ac:dyDescent="0.25">
      <c r="F2472" s="17" t="s">
        <v>460</v>
      </c>
      <c r="G2472" s="17" t="s">
        <v>193</v>
      </c>
    </row>
    <row r="2473" spans="6:7" x14ac:dyDescent="0.25">
      <c r="F2473" s="17" t="s">
        <v>3340</v>
      </c>
      <c r="G2473" s="17" t="s">
        <v>193</v>
      </c>
    </row>
    <row r="2474" spans="6:7" x14ac:dyDescent="0.25">
      <c r="F2474" s="17" t="s">
        <v>901</v>
      </c>
      <c r="G2474" s="17" t="s">
        <v>193</v>
      </c>
    </row>
    <row r="2475" spans="6:7" x14ac:dyDescent="0.25">
      <c r="F2475" s="17" t="s">
        <v>3341</v>
      </c>
      <c r="G2475" s="17" t="s">
        <v>193</v>
      </c>
    </row>
    <row r="2476" spans="6:7" x14ac:dyDescent="0.25">
      <c r="F2476" s="17" t="s">
        <v>3342</v>
      </c>
      <c r="G2476" s="17" t="s">
        <v>193</v>
      </c>
    </row>
    <row r="2477" spans="6:7" x14ac:dyDescent="0.25">
      <c r="F2477" s="17" t="s">
        <v>3343</v>
      </c>
      <c r="G2477" s="17" t="s">
        <v>217</v>
      </c>
    </row>
    <row r="2478" spans="6:7" x14ac:dyDescent="0.25">
      <c r="F2478" s="17" t="s">
        <v>3344</v>
      </c>
      <c r="G2478" s="17" t="s">
        <v>217</v>
      </c>
    </row>
    <row r="2479" spans="6:7" x14ac:dyDescent="0.25">
      <c r="F2479" s="17" t="s">
        <v>501</v>
      </c>
      <c r="G2479" s="17" t="s">
        <v>217</v>
      </c>
    </row>
    <row r="2480" spans="6:7" x14ac:dyDescent="0.25">
      <c r="F2480" s="17" t="s">
        <v>3345</v>
      </c>
      <c r="G2480" s="17" t="s">
        <v>217</v>
      </c>
    </row>
    <row r="2481" spans="6:7" x14ac:dyDescent="0.25">
      <c r="F2481" s="17" t="s">
        <v>3346</v>
      </c>
      <c r="G2481" s="17" t="s">
        <v>217</v>
      </c>
    </row>
    <row r="2482" spans="6:7" x14ac:dyDescent="0.25">
      <c r="F2482" s="17" t="s">
        <v>3347</v>
      </c>
      <c r="G2482" s="17" t="s">
        <v>217</v>
      </c>
    </row>
    <row r="2483" spans="6:7" x14ac:dyDescent="0.25">
      <c r="F2483" s="17" t="s">
        <v>285</v>
      </c>
      <c r="G2483" s="17" t="s">
        <v>217</v>
      </c>
    </row>
    <row r="2484" spans="6:7" x14ac:dyDescent="0.25">
      <c r="F2484" s="17" t="s">
        <v>3348</v>
      </c>
      <c r="G2484" s="17" t="s">
        <v>201</v>
      </c>
    </row>
    <row r="2485" spans="6:7" x14ac:dyDescent="0.25">
      <c r="F2485" s="17" t="s">
        <v>3349</v>
      </c>
      <c r="G2485" s="17" t="s">
        <v>86</v>
      </c>
    </row>
    <row r="2486" spans="6:7" x14ac:dyDescent="0.25">
      <c r="F2486" s="17" t="s">
        <v>3350</v>
      </c>
      <c r="G2486" s="17" t="s">
        <v>201</v>
      </c>
    </row>
    <row r="2487" spans="6:7" x14ac:dyDescent="0.25">
      <c r="F2487" s="17" t="s">
        <v>3351</v>
      </c>
      <c r="G2487" s="17" t="s">
        <v>86</v>
      </c>
    </row>
    <row r="2488" spans="6:7" x14ac:dyDescent="0.25">
      <c r="F2488" s="17" t="s">
        <v>3352</v>
      </c>
      <c r="G2488" s="17" t="s">
        <v>86</v>
      </c>
    </row>
    <row r="2489" spans="6:7" x14ac:dyDescent="0.25">
      <c r="F2489" s="17" t="s">
        <v>3353</v>
      </c>
      <c r="G2489" s="17" t="s">
        <v>86</v>
      </c>
    </row>
    <row r="2490" spans="6:7" x14ac:dyDescent="0.25">
      <c r="F2490" s="17" t="s">
        <v>505</v>
      </c>
      <c r="G2490" s="17" t="s">
        <v>86</v>
      </c>
    </row>
    <row r="2491" spans="6:7" x14ac:dyDescent="0.25">
      <c r="F2491" s="17" t="s">
        <v>3354</v>
      </c>
      <c r="G2491" s="17" t="s">
        <v>86</v>
      </c>
    </row>
    <row r="2492" spans="6:7" x14ac:dyDescent="0.25">
      <c r="F2492" s="17" t="s">
        <v>3355</v>
      </c>
      <c r="G2492" s="17" t="s">
        <v>86</v>
      </c>
    </row>
    <row r="2493" spans="6:7" x14ac:dyDescent="0.25">
      <c r="F2493" s="17" t="s">
        <v>3356</v>
      </c>
      <c r="G2493" s="17" t="s">
        <v>86</v>
      </c>
    </row>
    <row r="2494" spans="6:7" x14ac:dyDescent="0.25">
      <c r="F2494" s="17" t="s">
        <v>3357</v>
      </c>
      <c r="G2494" s="17" t="s">
        <v>86</v>
      </c>
    </row>
    <row r="2495" spans="6:7" x14ac:dyDescent="0.25">
      <c r="F2495" s="17" t="s">
        <v>3358</v>
      </c>
      <c r="G2495" s="17" t="s">
        <v>86</v>
      </c>
    </row>
    <row r="2496" spans="6:7" x14ac:dyDescent="0.25">
      <c r="F2496" s="17" t="s">
        <v>3359</v>
      </c>
      <c r="G2496" s="17" t="s">
        <v>86</v>
      </c>
    </row>
    <row r="2497" spans="6:7" x14ac:dyDescent="0.25">
      <c r="F2497" s="17" t="s">
        <v>3360</v>
      </c>
      <c r="G2497" s="17" t="s">
        <v>86</v>
      </c>
    </row>
    <row r="2498" spans="6:7" x14ac:dyDescent="0.25">
      <c r="F2498" s="17" t="s">
        <v>3361</v>
      </c>
      <c r="G2498" s="17" t="s">
        <v>86</v>
      </c>
    </row>
    <row r="2499" spans="6:7" x14ac:dyDescent="0.25">
      <c r="F2499" s="17" t="s">
        <v>3362</v>
      </c>
      <c r="G2499" s="17" t="s">
        <v>86</v>
      </c>
    </row>
    <row r="2500" spans="6:7" x14ac:dyDescent="0.25">
      <c r="F2500" s="17" t="s">
        <v>3363</v>
      </c>
      <c r="G2500" s="17" t="s">
        <v>86</v>
      </c>
    </row>
    <row r="2501" spans="6:7" x14ac:dyDescent="0.25">
      <c r="F2501" s="17" t="s">
        <v>3364</v>
      </c>
      <c r="G2501" s="17" t="s">
        <v>86</v>
      </c>
    </row>
    <row r="2502" spans="6:7" x14ac:dyDescent="0.25">
      <c r="F2502" s="17" t="s">
        <v>3365</v>
      </c>
      <c r="G2502" s="17" t="s">
        <v>86</v>
      </c>
    </row>
    <row r="2503" spans="6:7" x14ac:dyDescent="0.25">
      <c r="F2503" s="17" t="s">
        <v>3366</v>
      </c>
      <c r="G2503" s="17" t="s">
        <v>86</v>
      </c>
    </row>
    <row r="2504" spans="6:7" x14ac:dyDescent="0.25">
      <c r="F2504" s="17" t="s">
        <v>3367</v>
      </c>
      <c r="G2504" s="17" t="s">
        <v>201</v>
      </c>
    </row>
    <row r="2505" spans="6:7" x14ac:dyDescent="0.25">
      <c r="F2505" s="17" t="s">
        <v>3368</v>
      </c>
      <c r="G2505" s="17" t="s">
        <v>201</v>
      </c>
    </row>
    <row r="2506" spans="6:7" x14ac:dyDescent="0.25">
      <c r="F2506" s="17" t="s">
        <v>3369</v>
      </c>
      <c r="G2506" s="17" t="s">
        <v>201</v>
      </c>
    </row>
    <row r="2507" spans="6:7" x14ac:dyDescent="0.25">
      <c r="F2507" s="17" t="s">
        <v>3370</v>
      </c>
      <c r="G2507" s="17" t="s">
        <v>86</v>
      </c>
    </row>
    <row r="2508" spans="6:7" x14ac:dyDescent="0.25">
      <c r="F2508" s="17" t="s">
        <v>3371</v>
      </c>
      <c r="G2508" s="17" t="s">
        <v>201</v>
      </c>
    </row>
    <row r="2509" spans="6:7" x14ac:dyDescent="0.25">
      <c r="F2509" s="17" t="s">
        <v>3372</v>
      </c>
      <c r="G2509" s="17" t="s">
        <v>201</v>
      </c>
    </row>
    <row r="2510" spans="6:7" x14ac:dyDescent="0.25">
      <c r="F2510" s="17" t="s">
        <v>3373</v>
      </c>
      <c r="G2510" s="17" t="s">
        <v>201</v>
      </c>
    </row>
    <row r="2511" spans="6:7" x14ac:dyDescent="0.25">
      <c r="F2511" s="17" t="s">
        <v>741</v>
      </c>
      <c r="G2511" s="17" t="s">
        <v>201</v>
      </c>
    </row>
    <row r="2512" spans="6:7" x14ac:dyDescent="0.25">
      <c r="F2512" s="17" t="s">
        <v>3374</v>
      </c>
      <c r="G2512" s="17" t="s">
        <v>201</v>
      </c>
    </row>
    <row r="2513" spans="6:7" x14ac:dyDescent="0.25">
      <c r="F2513" s="17" t="s">
        <v>3375</v>
      </c>
      <c r="G2513" s="17" t="s">
        <v>201</v>
      </c>
    </row>
    <row r="2514" spans="6:7" x14ac:dyDescent="0.25">
      <c r="F2514" s="17" t="s">
        <v>3376</v>
      </c>
      <c r="G2514" s="17" t="s">
        <v>201</v>
      </c>
    </row>
    <row r="2515" spans="6:7" x14ac:dyDescent="0.25">
      <c r="F2515" s="17" t="s">
        <v>3377</v>
      </c>
      <c r="G2515" s="17" t="s">
        <v>201</v>
      </c>
    </row>
    <row r="2516" spans="6:7" x14ac:dyDescent="0.25">
      <c r="F2516" s="17" t="s">
        <v>3378</v>
      </c>
      <c r="G2516" s="17" t="s">
        <v>201</v>
      </c>
    </row>
    <row r="2517" spans="6:7" x14ac:dyDescent="0.25">
      <c r="F2517" s="17" t="s">
        <v>3379</v>
      </c>
      <c r="G2517" s="17" t="s">
        <v>86</v>
      </c>
    </row>
    <row r="2518" spans="6:7" x14ac:dyDescent="0.25">
      <c r="F2518" s="17" t="s">
        <v>550</v>
      </c>
      <c r="G2518" s="17" t="s">
        <v>86</v>
      </c>
    </row>
    <row r="2519" spans="6:7" x14ac:dyDescent="0.25">
      <c r="F2519" s="17" t="s">
        <v>3380</v>
      </c>
      <c r="G2519" s="17" t="s">
        <v>201</v>
      </c>
    </row>
    <row r="2520" spans="6:7" x14ac:dyDescent="0.25">
      <c r="F2520" s="17" t="s">
        <v>3381</v>
      </c>
      <c r="G2520" s="17" t="s">
        <v>201</v>
      </c>
    </row>
    <row r="2521" spans="6:7" x14ac:dyDescent="0.25">
      <c r="F2521" s="17" t="s">
        <v>3382</v>
      </c>
      <c r="G2521" s="17" t="s">
        <v>201</v>
      </c>
    </row>
    <row r="2522" spans="6:7" x14ac:dyDescent="0.25">
      <c r="F2522" s="17" t="s">
        <v>3383</v>
      </c>
      <c r="G2522" s="17" t="s">
        <v>201</v>
      </c>
    </row>
    <row r="2523" spans="6:7" x14ac:dyDescent="0.25">
      <c r="F2523" s="17" t="s">
        <v>837</v>
      </c>
      <c r="G2523" s="17" t="s">
        <v>86</v>
      </c>
    </row>
    <row r="2524" spans="6:7" x14ac:dyDescent="0.25">
      <c r="F2524" s="17" t="s">
        <v>3384</v>
      </c>
      <c r="G2524" s="17" t="s">
        <v>217</v>
      </c>
    </row>
    <row r="2525" spans="6:7" x14ac:dyDescent="0.25">
      <c r="F2525" s="17" t="s">
        <v>3385</v>
      </c>
      <c r="G2525" s="17" t="s">
        <v>217</v>
      </c>
    </row>
    <row r="2526" spans="6:7" x14ac:dyDescent="0.25">
      <c r="F2526" s="17" t="s">
        <v>3386</v>
      </c>
      <c r="G2526" s="17" t="s">
        <v>217</v>
      </c>
    </row>
    <row r="2527" spans="6:7" x14ac:dyDescent="0.25">
      <c r="F2527" s="17" t="s">
        <v>3387</v>
      </c>
      <c r="G2527" s="17" t="s">
        <v>217</v>
      </c>
    </row>
    <row r="2528" spans="6:7" x14ac:dyDescent="0.25">
      <c r="F2528" s="17" t="s">
        <v>3388</v>
      </c>
      <c r="G2528" s="17" t="s">
        <v>217</v>
      </c>
    </row>
    <row r="2529" spans="6:7" x14ac:dyDescent="0.25">
      <c r="F2529" s="17" t="s">
        <v>3389</v>
      </c>
      <c r="G2529" s="17" t="s">
        <v>217</v>
      </c>
    </row>
    <row r="2530" spans="6:7" x14ac:dyDescent="0.25">
      <c r="F2530" s="17" t="s">
        <v>3390</v>
      </c>
      <c r="G2530" s="17" t="s">
        <v>217</v>
      </c>
    </row>
    <row r="2531" spans="6:7" x14ac:dyDescent="0.25">
      <c r="F2531" s="17" t="s">
        <v>3391</v>
      </c>
      <c r="G2531" s="17" t="s">
        <v>217</v>
      </c>
    </row>
    <row r="2532" spans="6:7" x14ac:dyDescent="0.25">
      <c r="F2532" s="17" t="s">
        <v>3392</v>
      </c>
      <c r="G2532" s="17" t="s">
        <v>217</v>
      </c>
    </row>
    <row r="2533" spans="6:7" x14ac:dyDescent="0.25">
      <c r="F2533" s="17" t="s">
        <v>3393</v>
      </c>
      <c r="G2533" s="17" t="s">
        <v>217</v>
      </c>
    </row>
    <row r="2534" spans="6:7" x14ac:dyDescent="0.25">
      <c r="F2534" s="17" t="s">
        <v>3394</v>
      </c>
      <c r="G2534" s="17" t="s">
        <v>217</v>
      </c>
    </row>
    <row r="2535" spans="6:7" x14ac:dyDescent="0.25">
      <c r="F2535" s="17" t="s">
        <v>835</v>
      </c>
      <c r="G2535" s="17" t="s">
        <v>86</v>
      </c>
    </row>
    <row r="2536" spans="6:7" x14ac:dyDescent="0.25">
      <c r="F2536" s="17" t="s">
        <v>3395</v>
      </c>
      <c r="G2536" s="17" t="s">
        <v>201</v>
      </c>
    </row>
    <row r="2537" spans="6:7" x14ac:dyDescent="0.25">
      <c r="F2537" s="17" t="s">
        <v>970</v>
      </c>
      <c r="G2537" s="17" t="s">
        <v>201</v>
      </c>
    </row>
    <row r="2538" spans="6:7" x14ac:dyDescent="0.25">
      <c r="F2538" s="17" t="s">
        <v>3396</v>
      </c>
      <c r="G2538" s="17" t="s">
        <v>201</v>
      </c>
    </row>
    <row r="2539" spans="6:7" x14ac:dyDescent="0.25">
      <c r="F2539" s="17" t="s">
        <v>3397</v>
      </c>
      <c r="G2539" s="17" t="s">
        <v>201</v>
      </c>
    </row>
    <row r="2540" spans="6:7" x14ac:dyDescent="0.25">
      <c r="F2540" s="17" t="s">
        <v>3398</v>
      </c>
      <c r="G2540" s="17" t="s">
        <v>201</v>
      </c>
    </row>
    <row r="2541" spans="6:7" x14ac:dyDescent="0.25">
      <c r="F2541" s="17" t="s">
        <v>3399</v>
      </c>
      <c r="G2541" s="17" t="s">
        <v>201</v>
      </c>
    </row>
    <row r="2542" spans="6:7" x14ac:dyDescent="0.25">
      <c r="F2542" s="17" t="s">
        <v>3400</v>
      </c>
      <c r="G2542" s="17" t="s">
        <v>201</v>
      </c>
    </row>
    <row r="2543" spans="6:7" x14ac:dyDescent="0.25">
      <c r="F2543" s="17" t="s">
        <v>3401</v>
      </c>
      <c r="G2543" s="17" t="s">
        <v>201</v>
      </c>
    </row>
    <row r="2544" spans="6:7" x14ac:dyDescent="0.25">
      <c r="F2544" s="17" t="s">
        <v>3402</v>
      </c>
      <c r="G2544" s="17" t="s">
        <v>201</v>
      </c>
    </row>
    <row r="2545" spans="6:7" x14ac:dyDescent="0.25">
      <c r="F2545" s="17" t="s">
        <v>3403</v>
      </c>
      <c r="G2545" s="17" t="s">
        <v>201</v>
      </c>
    </row>
    <row r="2546" spans="6:7" x14ac:dyDescent="0.25">
      <c r="F2546" s="17" t="s">
        <v>603</v>
      </c>
      <c r="G2546" s="17" t="s">
        <v>201</v>
      </c>
    </row>
    <row r="2547" spans="6:7" x14ac:dyDescent="0.25">
      <c r="F2547" s="17" t="s">
        <v>632</v>
      </c>
      <c r="G2547" s="17" t="s">
        <v>201</v>
      </c>
    </row>
    <row r="2548" spans="6:7" x14ac:dyDescent="0.25">
      <c r="F2548" s="17" t="s">
        <v>3404</v>
      </c>
      <c r="G2548" s="17" t="s">
        <v>201</v>
      </c>
    </row>
    <row r="2549" spans="6:7" x14ac:dyDescent="0.25">
      <c r="F2549" s="17" t="s">
        <v>3405</v>
      </c>
      <c r="G2549" s="17" t="s">
        <v>217</v>
      </c>
    </row>
    <row r="2550" spans="6:7" x14ac:dyDescent="0.25">
      <c r="F2550" s="17" t="s">
        <v>3406</v>
      </c>
      <c r="G2550" s="17" t="s">
        <v>217</v>
      </c>
    </row>
    <row r="2551" spans="6:7" x14ac:dyDescent="0.25">
      <c r="F2551" s="17" t="s">
        <v>3407</v>
      </c>
      <c r="G2551" s="17" t="s">
        <v>201</v>
      </c>
    </row>
    <row r="2552" spans="6:7" x14ac:dyDescent="0.25">
      <c r="F2552" s="17" t="s">
        <v>3408</v>
      </c>
      <c r="G2552" s="17" t="s">
        <v>201</v>
      </c>
    </row>
    <row r="2553" spans="6:7" x14ac:dyDescent="0.25">
      <c r="F2553" s="17" t="s">
        <v>3409</v>
      </c>
      <c r="G2553" s="17" t="s">
        <v>217</v>
      </c>
    </row>
    <row r="2554" spans="6:7" x14ac:dyDescent="0.25">
      <c r="F2554" s="17" t="s">
        <v>3410</v>
      </c>
      <c r="G2554" s="17" t="s">
        <v>217</v>
      </c>
    </row>
    <row r="2555" spans="6:7" x14ac:dyDescent="0.25">
      <c r="F2555" s="17" t="s">
        <v>3411</v>
      </c>
      <c r="G2555" s="17" t="s">
        <v>217</v>
      </c>
    </row>
    <row r="2556" spans="6:7" x14ac:dyDescent="0.25">
      <c r="F2556" s="17" t="s">
        <v>3412</v>
      </c>
      <c r="G2556" s="17" t="s">
        <v>217</v>
      </c>
    </row>
    <row r="2557" spans="6:7" x14ac:dyDescent="0.25">
      <c r="F2557" s="17" t="s">
        <v>3413</v>
      </c>
      <c r="G2557" s="17" t="s">
        <v>217</v>
      </c>
    </row>
    <row r="2558" spans="6:7" x14ac:dyDescent="0.25">
      <c r="F2558" s="17" t="s">
        <v>3414</v>
      </c>
      <c r="G2558" s="17" t="s">
        <v>217</v>
      </c>
    </row>
    <row r="2559" spans="6:7" x14ac:dyDescent="0.25">
      <c r="F2559" s="17" t="s">
        <v>490</v>
      </c>
      <c r="G2559" s="17" t="s">
        <v>217</v>
      </c>
    </row>
    <row r="2560" spans="6:7" x14ac:dyDescent="0.25">
      <c r="F2560" s="17" t="s">
        <v>3415</v>
      </c>
      <c r="G2560" s="17" t="s">
        <v>217</v>
      </c>
    </row>
    <row r="2561" spans="6:7" x14ac:dyDescent="0.25">
      <c r="F2561" s="17" t="s">
        <v>3416</v>
      </c>
      <c r="G2561" s="17" t="s">
        <v>217</v>
      </c>
    </row>
    <row r="2562" spans="6:7" x14ac:dyDescent="0.25">
      <c r="F2562" s="17" t="s">
        <v>3417</v>
      </c>
      <c r="G2562" s="17" t="s">
        <v>201</v>
      </c>
    </row>
    <row r="2563" spans="6:7" x14ac:dyDescent="0.25">
      <c r="F2563" s="17" t="s">
        <v>3418</v>
      </c>
      <c r="G2563" s="17" t="s">
        <v>201</v>
      </c>
    </row>
    <row r="2564" spans="6:7" x14ac:dyDescent="0.25">
      <c r="F2564" s="17" t="s">
        <v>3419</v>
      </c>
      <c r="G2564" s="17" t="s">
        <v>201</v>
      </c>
    </row>
    <row r="2565" spans="6:7" x14ac:dyDescent="0.25">
      <c r="F2565" s="17" t="s">
        <v>3420</v>
      </c>
      <c r="G2565" s="17" t="s">
        <v>201</v>
      </c>
    </row>
    <row r="2566" spans="6:7" x14ac:dyDescent="0.25">
      <c r="F2566" s="17" t="s">
        <v>3421</v>
      </c>
      <c r="G2566" s="17" t="s">
        <v>201</v>
      </c>
    </row>
    <row r="2567" spans="6:7" x14ac:dyDescent="0.25">
      <c r="F2567" s="17" t="s">
        <v>3422</v>
      </c>
      <c r="G2567" s="17" t="s">
        <v>201</v>
      </c>
    </row>
    <row r="2568" spans="6:7" x14ac:dyDescent="0.25">
      <c r="F2568" s="17" t="s">
        <v>3423</v>
      </c>
      <c r="G2568" s="17" t="s">
        <v>201</v>
      </c>
    </row>
    <row r="2569" spans="6:7" x14ac:dyDescent="0.25">
      <c r="F2569" s="17" t="s">
        <v>3424</v>
      </c>
      <c r="G2569" s="17" t="s">
        <v>201</v>
      </c>
    </row>
    <row r="2570" spans="6:7" x14ac:dyDescent="0.25">
      <c r="F2570" s="17" t="s">
        <v>3425</v>
      </c>
      <c r="G2570" s="17" t="s">
        <v>201</v>
      </c>
    </row>
    <row r="2571" spans="6:7" x14ac:dyDescent="0.25">
      <c r="F2571" s="17" t="s">
        <v>3426</v>
      </c>
      <c r="G2571" s="17" t="s">
        <v>201</v>
      </c>
    </row>
    <row r="2572" spans="6:7" x14ac:dyDescent="0.25">
      <c r="F2572" s="17" t="s">
        <v>3427</v>
      </c>
      <c r="G2572" s="17" t="s">
        <v>201</v>
      </c>
    </row>
    <row r="2573" spans="6:7" x14ac:dyDescent="0.25">
      <c r="F2573" s="17" t="s">
        <v>3428</v>
      </c>
      <c r="G2573" s="17" t="s">
        <v>201</v>
      </c>
    </row>
    <row r="2574" spans="6:7" x14ac:dyDescent="0.25">
      <c r="F2574" s="17" t="s">
        <v>3429</v>
      </c>
      <c r="G2574" s="17" t="s">
        <v>217</v>
      </c>
    </row>
    <row r="2575" spans="6:7" x14ac:dyDescent="0.25">
      <c r="F2575" s="17" t="s">
        <v>3430</v>
      </c>
      <c r="G2575" s="17" t="s">
        <v>217</v>
      </c>
    </row>
    <row r="2576" spans="6:7" x14ac:dyDescent="0.25">
      <c r="F2576" s="17" t="s">
        <v>3431</v>
      </c>
      <c r="G2576" s="17" t="s">
        <v>217</v>
      </c>
    </row>
    <row r="2577" spans="6:7" x14ac:dyDescent="0.25">
      <c r="F2577" s="17" t="s">
        <v>3432</v>
      </c>
      <c r="G2577" s="17" t="s">
        <v>217</v>
      </c>
    </row>
    <row r="2578" spans="6:7" x14ac:dyDescent="0.25">
      <c r="F2578" s="17" t="s">
        <v>3433</v>
      </c>
      <c r="G2578" s="17" t="s">
        <v>217</v>
      </c>
    </row>
    <row r="2579" spans="6:7" x14ac:dyDescent="0.25">
      <c r="F2579" s="17" t="s">
        <v>3434</v>
      </c>
      <c r="G2579" s="17" t="s">
        <v>217</v>
      </c>
    </row>
    <row r="2580" spans="6:7" x14ac:dyDescent="0.25">
      <c r="F2580" s="17" t="s">
        <v>3435</v>
      </c>
      <c r="G2580" s="17" t="s">
        <v>217</v>
      </c>
    </row>
    <row r="2581" spans="6:7" x14ac:dyDescent="0.25">
      <c r="F2581" s="17" t="s">
        <v>3436</v>
      </c>
      <c r="G2581" s="17" t="s">
        <v>217</v>
      </c>
    </row>
    <row r="2582" spans="6:7" x14ac:dyDescent="0.25">
      <c r="F2582" s="17" t="s">
        <v>3437</v>
      </c>
      <c r="G2582" s="17" t="s">
        <v>217</v>
      </c>
    </row>
    <row r="2583" spans="6:7" x14ac:dyDescent="0.25">
      <c r="F2583" s="17" t="s">
        <v>3438</v>
      </c>
      <c r="G2583" s="17" t="s">
        <v>217</v>
      </c>
    </row>
    <row r="2584" spans="6:7" x14ac:dyDescent="0.25">
      <c r="F2584" s="17" t="s">
        <v>3439</v>
      </c>
      <c r="G2584" s="17" t="s">
        <v>217</v>
      </c>
    </row>
    <row r="2585" spans="6:7" x14ac:dyDescent="0.25">
      <c r="F2585" s="17" t="s">
        <v>3440</v>
      </c>
      <c r="G2585" s="17" t="s">
        <v>217</v>
      </c>
    </row>
    <row r="2586" spans="6:7" x14ac:dyDescent="0.25">
      <c r="F2586" s="17" t="s">
        <v>3441</v>
      </c>
      <c r="G2586" s="17" t="s">
        <v>217</v>
      </c>
    </row>
    <row r="2587" spans="6:7" x14ac:dyDescent="0.25">
      <c r="F2587" s="17" t="s">
        <v>3442</v>
      </c>
      <c r="G2587" s="17" t="s">
        <v>217</v>
      </c>
    </row>
    <row r="2588" spans="6:7" x14ac:dyDescent="0.25">
      <c r="F2588" s="17" t="s">
        <v>3443</v>
      </c>
      <c r="G2588" s="17" t="s">
        <v>217</v>
      </c>
    </row>
    <row r="2589" spans="6:7" x14ac:dyDescent="0.25">
      <c r="F2589" s="17" t="s">
        <v>3444</v>
      </c>
      <c r="G2589" s="17" t="s">
        <v>217</v>
      </c>
    </row>
    <row r="2590" spans="6:7" x14ac:dyDescent="0.25">
      <c r="F2590" s="17" t="s">
        <v>3445</v>
      </c>
      <c r="G2590" s="17" t="s">
        <v>217</v>
      </c>
    </row>
    <row r="2591" spans="6:7" x14ac:dyDescent="0.25">
      <c r="F2591" s="17" t="s">
        <v>3446</v>
      </c>
      <c r="G2591" s="17" t="s">
        <v>217</v>
      </c>
    </row>
    <row r="2592" spans="6:7" x14ac:dyDescent="0.25">
      <c r="F2592" s="17" t="s">
        <v>3447</v>
      </c>
      <c r="G2592" s="17" t="s">
        <v>217</v>
      </c>
    </row>
    <row r="2593" spans="6:7" x14ac:dyDescent="0.25">
      <c r="F2593" s="17" t="s">
        <v>3448</v>
      </c>
      <c r="G2593" s="17" t="s">
        <v>217</v>
      </c>
    </row>
    <row r="2594" spans="6:7" x14ac:dyDescent="0.25">
      <c r="F2594" s="17" t="s">
        <v>3449</v>
      </c>
      <c r="G2594" s="17" t="s">
        <v>217</v>
      </c>
    </row>
    <row r="2595" spans="6:7" x14ac:dyDescent="0.25">
      <c r="F2595" s="17" t="s">
        <v>3450</v>
      </c>
      <c r="G2595" s="17" t="s">
        <v>217</v>
      </c>
    </row>
    <row r="2596" spans="6:7" x14ac:dyDescent="0.25">
      <c r="F2596" s="17" t="s">
        <v>370</v>
      </c>
      <c r="G2596" s="17" t="s">
        <v>201</v>
      </c>
    </row>
    <row r="2597" spans="6:7" x14ac:dyDescent="0.25">
      <c r="F2597" s="17" t="s">
        <v>3451</v>
      </c>
      <c r="G2597" s="17" t="s">
        <v>201</v>
      </c>
    </row>
    <row r="2598" spans="6:7" x14ac:dyDescent="0.25">
      <c r="F2598" s="17" t="s">
        <v>636</v>
      </c>
      <c r="G2598" s="17" t="s">
        <v>201</v>
      </c>
    </row>
    <row r="2599" spans="6:7" x14ac:dyDescent="0.25">
      <c r="F2599" s="17" t="s">
        <v>3452</v>
      </c>
      <c r="G2599" s="17" t="s">
        <v>201</v>
      </c>
    </row>
    <row r="2600" spans="6:7" x14ac:dyDescent="0.25">
      <c r="F2600" s="17" t="s">
        <v>3453</v>
      </c>
      <c r="G2600" s="17" t="s">
        <v>201</v>
      </c>
    </row>
    <row r="2601" spans="6:7" x14ac:dyDescent="0.25">
      <c r="F2601" s="17" t="s">
        <v>3454</v>
      </c>
      <c r="G2601" s="17" t="s">
        <v>217</v>
      </c>
    </row>
    <row r="2602" spans="6:7" x14ac:dyDescent="0.25">
      <c r="F2602" s="17" t="s">
        <v>3455</v>
      </c>
      <c r="G2602" s="17" t="s">
        <v>201</v>
      </c>
    </row>
    <row r="2603" spans="6:7" x14ac:dyDescent="0.25">
      <c r="F2603" s="17" t="s">
        <v>679</v>
      </c>
      <c r="G2603" s="17" t="s">
        <v>201</v>
      </c>
    </row>
    <row r="2604" spans="6:7" x14ac:dyDescent="0.25">
      <c r="F2604" s="17" t="s">
        <v>368</v>
      </c>
      <c r="G2604" s="17" t="s">
        <v>201</v>
      </c>
    </row>
    <row r="2605" spans="6:7" x14ac:dyDescent="0.25">
      <c r="F2605" s="17" t="s">
        <v>3456</v>
      </c>
      <c r="G2605" s="17" t="s">
        <v>201</v>
      </c>
    </row>
    <row r="2606" spans="6:7" x14ac:dyDescent="0.25">
      <c r="F2606" s="17" t="s">
        <v>3457</v>
      </c>
      <c r="G2606" s="17" t="s">
        <v>201</v>
      </c>
    </row>
    <row r="2607" spans="6:7" x14ac:dyDescent="0.25">
      <c r="F2607" s="17" t="s">
        <v>3458</v>
      </c>
      <c r="G2607" s="17" t="s">
        <v>201</v>
      </c>
    </row>
    <row r="2608" spans="6:7" x14ac:dyDescent="0.25">
      <c r="F2608" s="17" t="s">
        <v>3459</v>
      </c>
      <c r="G2608" s="17" t="s">
        <v>201</v>
      </c>
    </row>
    <row r="2609" spans="6:7" x14ac:dyDescent="0.25">
      <c r="F2609" s="17" t="s">
        <v>3460</v>
      </c>
      <c r="G2609" s="17" t="s">
        <v>217</v>
      </c>
    </row>
    <row r="2610" spans="6:7" x14ac:dyDescent="0.25">
      <c r="F2610" s="17" t="s">
        <v>3461</v>
      </c>
      <c r="G2610" s="17" t="s">
        <v>217</v>
      </c>
    </row>
    <row r="2611" spans="6:7" x14ac:dyDescent="0.25">
      <c r="F2611" s="17" t="s">
        <v>3462</v>
      </c>
      <c r="G2611" s="17" t="s">
        <v>217</v>
      </c>
    </row>
    <row r="2612" spans="6:7" x14ac:dyDescent="0.25">
      <c r="F2612" s="17" t="s">
        <v>3463</v>
      </c>
      <c r="G2612" s="17" t="s">
        <v>217</v>
      </c>
    </row>
    <row r="2613" spans="6:7" x14ac:dyDescent="0.25">
      <c r="F2613" s="17" t="s">
        <v>3464</v>
      </c>
      <c r="G2613" s="17" t="s">
        <v>217</v>
      </c>
    </row>
    <row r="2614" spans="6:7" x14ac:dyDescent="0.25">
      <c r="F2614" s="17" t="s">
        <v>478</v>
      </c>
      <c r="G2614" s="17" t="s">
        <v>201</v>
      </c>
    </row>
    <row r="2615" spans="6:7" x14ac:dyDescent="0.25">
      <c r="F2615" s="17" t="s">
        <v>3465</v>
      </c>
      <c r="G2615" s="17" t="s">
        <v>217</v>
      </c>
    </row>
    <row r="2616" spans="6:7" x14ac:dyDescent="0.25">
      <c r="F2616" s="17" t="s">
        <v>3466</v>
      </c>
      <c r="G2616" s="17" t="s">
        <v>217</v>
      </c>
    </row>
    <row r="2617" spans="6:7" x14ac:dyDescent="0.25">
      <c r="F2617" s="17" t="s">
        <v>3467</v>
      </c>
      <c r="G2617" s="17" t="s">
        <v>217</v>
      </c>
    </row>
    <row r="2618" spans="6:7" x14ac:dyDescent="0.25">
      <c r="F2618" s="17" t="s">
        <v>3468</v>
      </c>
      <c r="G2618" s="17" t="s">
        <v>217</v>
      </c>
    </row>
    <row r="2619" spans="6:7" x14ac:dyDescent="0.25">
      <c r="F2619" s="17" t="s">
        <v>3469</v>
      </c>
      <c r="G2619" s="17" t="s">
        <v>217</v>
      </c>
    </row>
    <row r="2620" spans="6:7" x14ac:dyDescent="0.25">
      <c r="F2620" s="17" t="s">
        <v>3470</v>
      </c>
      <c r="G2620" s="17" t="s">
        <v>217</v>
      </c>
    </row>
    <row r="2621" spans="6:7" x14ac:dyDescent="0.25">
      <c r="F2621" s="17" t="s">
        <v>3471</v>
      </c>
      <c r="G2621" s="17" t="s">
        <v>217</v>
      </c>
    </row>
    <row r="2622" spans="6:7" x14ac:dyDescent="0.25">
      <c r="F2622" s="17" t="s">
        <v>3472</v>
      </c>
      <c r="G2622" s="17" t="s">
        <v>217</v>
      </c>
    </row>
    <row r="2623" spans="6:7" x14ac:dyDescent="0.25">
      <c r="F2623" s="17" t="s">
        <v>3473</v>
      </c>
      <c r="G2623" s="17" t="s">
        <v>217</v>
      </c>
    </row>
    <row r="2624" spans="6:7" x14ac:dyDescent="0.25">
      <c r="F2624" s="17" t="s">
        <v>3474</v>
      </c>
      <c r="G2624" s="17" t="s">
        <v>217</v>
      </c>
    </row>
    <row r="2625" spans="6:7" x14ac:dyDescent="0.25">
      <c r="F2625" s="17" t="s">
        <v>586</v>
      </c>
      <c r="G2625" s="17" t="s">
        <v>217</v>
      </c>
    </row>
    <row r="2626" spans="6:7" x14ac:dyDescent="0.25">
      <c r="F2626" s="17" t="s">
        <v>3475</v>
      </c>
      <c r="G2626" s="17" t="s">
        <v>217</v>
      </c>
    </row>
    <row r="2627" spans="6:7" x14ac:dyDescent="0.25">
      <c r="F2627" s="17" t="s">
        <v>3476</v>
      </c>
      <c r="G2627" s="17" t="s">
        <v>217</v>
      </c>
    </row>
    <row r="2628" spans="6:7" x14ac:dyDescent="0.25">
      <c r="F2628" s="17" t="s">
        <v>529</v>
      </c>
      <c r="G2628" s="17" t="s">
        <v>217</v>
      </c>
    </row>
    <row r="2629" spans="6:7" x14ac:dyDescent="0.25">
      <c r="F2629" s="17" t="s">
        <v>604</v>
      </c>
      <c r="G2629" s="17" t="s">
        <v>217</v>
      </c>
    </row>
    <row r="2630" spans="6:7" x14ac:dyDescent="0.25">
      <c r="F2630" s="17" t="s">
        <v>3477</v>
      </c>
      <c r="G2630" s="17" t="s">
        <v>217</v>
      </c>
    </row>
    <row r="2631" spans="6:7" x14ac:dyDescent="0.25">
      <c r="F2631" s="17" t="s">
        <v>3478</v>
      </c>
      <c r="G2631" s="17" t="s">
        <v>217</v>
      </c>
    </row>
    <row r="2632" spans="6:7" x14ac:dyDescent="0.25">
      <c r="F2632" s="17" t="s">
        <v>725</v>
      </c>
      <c r="G2632" s="17" t="s">
        <v>217</v>
      </c>
    </row>
    <row r="2633" spans="6:7" x14ac:dyDescent="0.25">
      <c r="F2633" s="17" t="s">
        <v>3479</v>
      </c>
      <c r="G2633" s="17" t="s">
        <v>217</v>
      </c>
    </row>
    <row r="2634" spans="6:7" x14ac:dyDescent="0.25">
      <c r="F2634" s="17" t="s">
        <v>3480</v>
      </c>
      <c r="G2634" s="17" t="s">
        <v>217</v>
      </c>
    </row>
    <row r="2635" spans="6:7" x14ac:dyDescent="0.25">
      <c r="F2635" s="17" t="s">
        <v>3481</v>
      </c>
      <c r="G2635" s="17" t="s">
        <v>217</v>
      </c>
    </row>
    <row r="2636" spans="6:7" x14ac:dyDescent="0.25">
      <c r="F2636" s="17" t="s">
        <v>3482</v>
      </c>
      <c r="G2636" s="17" t="s">
        <v>217</v>
      </c>
    </row>
    <row r="2637" spans="6:7" x14ac:dyDescent="0.25">
      <c r="F2637" s="17" t="s">
        <v>3483</v>
      </c>
      <c r="G2637" s="17" t="s">
        <v>217</v>
      </c>
    </row>
    <row r="2638" spans="6:7" x14ac:dyDescent="0.25">
      <c r="F2638" s="17" t="s">
        <v>426</v>
      </c>
      <c r="G2638" s="17" t="s">
        <v>217</v>
      </c>
    </row>
    <row r="2639" spans="6:7" x14ac:dyDescent="0.25">
      <c r="F2639" s="17" t="s">
        <v>3484</v>
      </c>
      <c r="G2639" s="17" t="s">
        <v>201</v>
      </c>
    </row>
    <row r="2640" spans="6:7" x14ac:dyDescent="0.25">
      <c r="F2640" s="17" t="s">
        <v>3485</v>
      </c>
      <c r="G2640" s="17" t="s">
        <v>201</v>
      </c>
    </row>
    <row r="2641" spans="6:7" x14ac:dyDescent="0.25">
      <c r="F2641" s="17" t="s">
        <v>3486</v>
      </c>
      <c r="G2641" s="17" t="s">
        <v>201</v>
      </c>
    </row>
    <row r="2642" spans="6:7" x14ac:dyDescent="0.25">
      <c r="F2642" s="17" t="s">
        <v>548</v>
      </c>
      <c r="G2642" s="17" t="s">
        <v>201</v>
      </c>
    </row>
    <row r="2643" spans="6:7" x14ac:dyDescent="0.25">
      <c r="F2643" s="17" t="s">
        <v>871</v>
      </c>
      <c r="G2643" s="17" t="s">
        <v>201</v>
      </c>
    </row>
    <row r="2644" spans="6:7" x14ac:dyDescent="0.25">
      <c r="F2644" s="17" t="s">
        <v>3487</v>
      </c>
      <c r="G2644" s="17" t="s">
        <v>201</v>
      </c>
    </row>
    <row r="2645" spans="6:7" x14ac:dyDescent="0.25">
      <c r="F2645" s="17" t="s">
        <v>3488</v>
      </c>
      <c r="G2645" s="17" t="s">
        <v>201</v>
      </c>
    </row>
    <row r="2646" spans="6:7" x14ac:dyDescent="0.25">
      <c r="F2646" s="17" t="s">
        <v>3489</v>
      </c>
      <c r="G2646" s="17" t="s">
        <v>201</v>
      </c>
    </row>
    <row r="2647" spans="6:7" x14ac:dyDescent="0.25">
      <c r="F2647" s="17" t="s">
        <v>3490</v>
      </c>
      <c r="G2647" s="17" t="s">
        <v>201</v>
      </c>
    </row>
    <row r="2648" spans="6:7" x14ac:dyDescent="0.25">
      <c r="F2648" s="17" t="s">
        <v>3491</v>
      </c>
      <c r="G2648" s="17" t="s">
        <v>86</v>
      </c>
    </row>
    <row r="2649" spans="6:7" x14ac:dyDescent="0.25">
      <c r="F2649" s="17" t="s">
        <v>3492</v>
      </c>
      <c r="G2649" s="17" t="s">
        <v>86</v>
      </c>
    </row>
    <row r="2650" spans="6:7" x14ac:dyDescent="0.25">
      <c r="F2650" s="17" t="s">
        <v>3493</v>
      </c>
      <c r="G2650" s="17" t="s">
        <v>201</v>
      </c>
    </row>
    <row r="2651" spans="6:7" x14ac:dyDescent="0.25">
      <c r="F2651" s="17" t="s">
        <v>316</v>
      </c>
      <c r="G2651" s="17" t="s">
        <v>201</v>
      </c>
    </row>
    <row r="2652" spans="6:7" x14ac:dyDescent="0.25">
      <c r="F2652" s="17" t="s">
        <v>463</v>
      </c>
      <c r="G2652" s="17" t="s">
        <v>201</v>
      </c>
    </row>
    <row r="2653" spans="6:7" x14ac:dyDescent="0.25">
      <c r="F2653" s="17" t="s">
        <v>3494</v>
      </c>
      <c r="G2653" s="17" t="s">
        <v>201</v>
      </c>
    </row>
    <row r="2654" spans="6:7" x14ac:dyDescent="0.25">
      <c r="F2654" s="17" t="s">
        <v>3495</v>
      </c>
      <c r="G2654" s="17" t="s">
        <v>201</v>
      </c>
    </row>
    <row r="2655" spans="6:7" x14ac:dyDescent="0.25">
      <c r="F2655" s="17" t="s">
        <v>3496</v>
      </c>
      <c r="G2655" s="17" t="s">
        <v>201</v>
      </c>
    </row>
    <row r="2656" spans="6:7" x14ac:dyDescent="0.25">
      <c r="F2656" s="17" t="s">
        <v>3497</v>
      </c>
      <c r="G2656" s="17" t="s">
        <v>201</v>
      </c>
    </row>
    <row r="2657" spans="6:7" x14ac:dyDescent="0.25">
      <c r="F2657" s="17" t="s">
        <v>3498</v>
      </c>
      <c r="G2657" s="17" t="s">
        <v>201</v>
      </c>
    </row>
    <row r="2658" spans="6:7" x14ac:dyDescent="0.25">
      <c r="F2658" s="17" t="s">
        <v>286</v>
      </c>
      <c r="G2658" s="17" t="s">
        <v>201</v>
      </c>
    </row>
    <row r="2659" spans="6:7" x14ac:dyDescent="0.25">
      <c r="F2659" s="17" t="s">
        <v>3499</v>
      </c>
      <c r="G2659" s="17" t="s">
        <v>201</v>
      </c>
    </row>
    <row r="2660" spans="6:7" x14ac:dyDescent="0.25">
      <c r="F2660" s="17" t="s">
        <v>3500</v>
      </c>
      <c r="G2660" s="17" t="s">
        <v>201</v>
      </c>
    </row>
    <row r="2661" spans="6:7" x14ac:dyDescent="0.25">
      <c r="F2661" s="17" t="s">
        <v>3501</v>
      </c>
      <c r="G2661" s="17" t="s">
        <v>201</v>
      </c>
    </row>
    <row r="2662" spans="6:7" x14ac:dyDescent="0.25">
      <c r="F2662" s="17" t="s">
        <v>906</v>
      </c>
      <c r="G2662" s="17" t="s">
        <v>201</v>
      </c>
    </row>
    <row r="2663" spans="6:7" x14ac:dyDescent="0.25">
      <c r="F2663" s="17" t="s">
        <v>722</v>
      </c>
      <c r="G2663" s="17" t="s">
        <v>201</v>
      </c>
    </row>
    <row r="2664" spans="6:7" x14ac:dyDescent="0.25">
      <c r="F2664" s="17" t="s">
        <v>659</v>
      </c>
      <c r="G2664" s="17" t="s">
        <v>201</v>
      </c>
    </row>
    <row r="2665" spans="6:7" x14ac:dyDescent="0.25">
      <c r="F2665" s="17" t="s">
        <v>3502</v>
      </c>
      <c r="G2665" s="17" t="s">
        <v>201</v>
      </c>
    </row>
    <row r="2666" spans="6:7" x14ac:dyDescent="0.25">
      <c r="F2666" s="17" t="s">
        <v>568</v>
      </c>
      <c r="G2666" s="17" t="s">
        <v>201</v>
      </c>
    </row>
    <row r="2667" spans="6:7" x14ac:dyDescent="0.25">
      <c r="F2667" s="17" t="s">
        <v>512</v>
      </c>
      <c r="G2667" s="17" t="s">
        <v>201</v>
      </c>
    </row>
    <row r="2668" spans="6:7" x14ac:dyDescent="0.25">
      <c r="F2668" s="17" t="s">
        <v>465</v>
      </c>
      <c r="G2668" s="17" t="s">
        <v>201</v>
      </c>
    </row>
    <row r="2669" spans="6:7" x14ac:dyDescent="0.25">
      <c r="F2669" s="17" t="s">
        <v>312</v>
      </c>
      <c r="G2669" s="17" t="s">
        <v>201</v>
      </c>
    </row>
    <row r="2670" spans="6:7" x14ac:dyDescent="0.25">
      <c r="F2670" s="17" t="s">
        <v>280</v>
      </c>
      <c r="G2670" s="17" t="s">
        <v>201</v>
      </c>
    </row>
    <row r="2671" spans="6:7" x14ac:dyDescent="0.25">
      <c r="F2671" s="17" t="s">
        <v>3503</v>
      </c>
      <c r="G2671" s="17" t="s">
        <v>201</v>
      </c>
    </row>
    <row r="2672" spans="6:7" x14ac:dyDescent="0.25">
      <c r="F2672" s="17" t="s">
        <v>3504</v>
      </c>
      <c r="G2672" s="17" t="s">
        <v>201</v>
      </c>
    </row>
    <row r="2673" spans="6:7" x14ac:dyDescent="0.25">
      <c r="F2673" s="17" t="s">
        <v>3505</v>
      </c>
      <c r="G2673" s="17" t="s">
        <v>201</v>
      </c>
    </row>
    <row r="2674" spans="6:7" x14ac:dyDescent="0.25">
      <c r="F2674" s="17" t="s">
        <v>3506</v>
      </c>
      <c r="G2674" s="17" t="s">
        <v>201</v>
      </c>
    </row>
    <row r="2675" spans="6:7" x14ac:dyDescent="0.25">
      <c r="F2675" s="17" t="s">
        <v>3507</v>
      </c>
      <c r="G2675" s="17" t="s">
        <v>201</v>
      </c>
    </row>
    <row r="2676" spans="6:7" x14ac:dyDescent="0.25">
      <c r="F2676" s="17" t="s">
        <v>3508</v>
      </c>
      <c r="G2676" s="17" t="s">
        <v>201</v>
      </c>
    </row>
    <row r="2677" spans="6:7" x14ac:dyDescent="0.25">
      <c r="F2677" s="17" t="s">
        <v>3509</v>
      </c>
      <c r="G2677" s="17" t="s">
        <v>201</v>
      </c>
    </row>
    <row r="2678" spans="6:7" x14ac:dyDescent="0.25">
      <c r="F2678" s="17" t="s">
        <v>3510</v>
      </c>
      <c r="G2678" s="17" t="s">
        <v>201</v>
      </c>
    </row>
    <row r="2679" spans="6:7" x14ac:dyDescent="0.25">
      <c r="F2679" s="17" t="s">
        <v>3511</v>
      </c>
      <c r="G2679" s="17" t="s">
        <v>201</v>
      </c>
    </row>
    <row r="2680" spans="6:7" x14ac:dyDescent="0.25">
      <c r="F2680" s="17" t="s">
        <v>3512</v>
      </c>
      <c r="G2680" s="17" t="s">
        <v>201</v>
      </c>
    </row>
    <row r="2681" spans="6:7" x14ac:dyDescent="0.25">
      <c r="F2681" s="17" t="s">
        <v>653</v>
      </c>
      <c r="G2681" s="17" t="s">
        <v>201</v>
      </c>
    </row>
    <row r="2682" spans="6:7" x14ac:dyDescent="0.25">
      <c r="F2682" s="17" t="s">
        <v>257</v>
      </c>
      <c r="G2682" s="17" t="s">
        <v>86</v>
      </c>
    </row>
    <row r="2683" spans="6:7" x14ac:dyDescent="0.25">
      <c r="F2683" s="17" t="s">
        <v>3513</v>
      </c>
      <c r="G2683" s="17" t="s">
        <v>86</v>
      </c>
    </row>
    <row r="2684" spans="6:7" x14ac:dyDescent="0.25">
      <c r="F2684" s="17" t="s">
        <v>3514</v>
      </c>
      <c r="G2684" s="17" t="s">
        <v>86</v>
      </c>
    </row>
    <row r="2685" spans="6:7" x14ac:dyDescent="0.25">
      <c r="F2685" s="17" t="s">
        <v>3515</v>
      </c>
      <c r="G2685" s="17" t="s">
        <v>86</v>
      </c>
    </row>
    <row r="2686" spans="6:7" x14ac:dyDescent="0.25">
      <c r="F2686" s="17" t="s">
        <v>3516</v>
      </c>
      <c r="G2686" s="17" t="s">
        <v>86</v>
      </c>
    </row>
    <row r="2687" spans="6:7" x14ac:dyDescent="0.25">
      <c r="F2687" s="17" t="s">
        <v>449</v>
      </c>
      <c r="G2687" s="17" t="s">
        <v>201</v>
      </c>
    </row>
    <row r="2688" spans="6:7" x14ac:dyDescent="0.25">
      <c r="F2688" s="17" t="s">
        <v>3517</v>
      </c>
      <c r="G2688" s="17" t="s">
        <v>201</v>
      </c>
    </row>
    <row r="2689" spans="6:7" x14ac:dyDescent="0.25">
      <c r="F2689" s="17" t="s">
        <v>3518</v>
      </c>
      <c r="G2689" s="17" t="s">
        <v>201</v>
      </c>
    </row>
    <row r="2690" spans="6:7" x14ac:dyDescent="0.25">
      <c r="F2690" s="17" t="s">
        <v>3519</v>
      </c>
      <c r="G2690" s="17" t="s">
        <v>201</v>
      </c>
    </row>
    <row r="2691" spans="6:7" x14ac:dyDescent="0.25">
      <c r="F2691" s="17" t="s">
        <v>3520</v>
      </c>
      <c r="G2691" s="17" t="s">
        <v>201</v>
      </c>
    </row>
    <row r="2692" spans="6:7" x14ac:dyDescent="0.25">
      <c r="F2692" s="17" t="s">
        <v>3521</v>
      </c>
      <c r="G2692" s="17" t="s">
        <v>201</v>
      </c>
    </row>
    <row r="2693" spans="6:7" x14ac:dyDescent="0.25">
      <c r="F2693" s="17" t="s">
        <v>3522</v>
      </c>
      <c r="G2693" s="17" t="s">
        <v>201</v>
      </c>
    </row>
    <row r="2694" spans="6:7" x14ac:dyDescent="0.25">
      <c r="F2694" s="17" t="s">
        <v>3523</v>
      </c>
      <c r="G2694" s="17" t="s">
        <v>201</v>
      </c>
    </row>
    <row r="2695" spans="6:7" x14ac:dyDescent="0.25">
      <c r="F2695" s="17" t="s">
        <v>3524</v>
      </c>
      <c r="G2695" s="17" t="s">
        <v>201</v>
      </c>
    </row>
    <row r="2696" spans="6:7" x14ac:dyDescent="0.25">
      <c r="F2696" s="17" t="s">
        <v>3525</v>
      </c>
      <c r="G2696" s="17" t="s">
        <v>201</v>
      </c>
    </row>
    <row r="2697" spans="6:7" x14ac:dyDescent="0.25">
      <c r="F2697" s="17" t="s">
        <v>3526</v>
      </c>
      <c r="G2697" s="17" t="s">
        <v>201</v>
      </c>
    </row>
    <row r="2698" spans="6:7" x14ac:dyDescent="0.25">
      <c r="F2698" s="17" t="s">
        <v>3527</v>
      </c>
      <c r="G2698" s="17" t="s">
        <v>201</v>
      </c>
    </row>
    <row r="2699" spans="6:7" x14ac:dyDescent="0.25">
      <c r="F2699" s="17" t="s">
        <v>3528</v>
      </c>
      <c r="G2699" s="17" t="s">
        <v>201</v>
      </c>
    </row>
    <row r="2700" spans="6:7" x14ac:dyDescent="0.25">
      <c r="F2700" s="17" t="s">
        <v>3529</v>
      </c>
      <c r="G2700" s="17" t="s">
        <v>201</v>
      </c>
    </row>
    <row r="2701" spans="6:7" x14ac:dyDescent="0.25">
      <c r="F2701" s="17" t="s">
        <v>3530</v>
      </c>
      <c r="G2701" s="17" t="s">
        <v>201</v>
      </c>
    </row>
    <row r="2702" spans="6:7" x14ac:dyDescent="0.25">
      <c r="F2702" s="17" t="s">
        <v>3531</v>
      </c>
      <c r="G2702" s="17" t="s">
        <v>201</v>
      </c>
    </row>
    <row r="2703" spans="6:7" x14ac:dyDescent="0.25">
      <c r="F2703" s="17" t="s">
        <v>3532</v>
      </c>
      <c r="G2703" s="17" t="s">
        <v>201</v>
      </c>
    </row>
    <row r="2704" spans="6:7" x14ac:dyDescent="0.25">
      <c r="F2704" s="17" t="s">
        <v>3533</v>
      </c>
      <c r="G2704" s="17" t="s">
        <v>201</v>
      </c>
    </row>
    <row r="2705" spans="6:7" x14ac:dyDescent="0.25">
      <c r="F2705" s="17" t="s">
        <v>3534</v>
      </c>
      <c r="G2705" s="17" t="s">
        <v>201</v>
      </c>
    </row>
    <row r="2706" spans="6:7" x14ac:dyDescent="0.25">
      <c r="F2706" s="17" t="s">
        <v>3535</v>
      </c>
      <c r="G2706" s="17" t="s">
        <v>201</v>
      </c>
    </row>
    <row r="2707" spans="6:7" x14ac:dyDescent="0.25">
      <c r="F2707" s="17" t="s">
        <v>3536</v>
      </c>
      <c r="G2707" s="17" t="s">
        <v>201</v>
      </c>
    </row>
    <row r="2708" spans="6:7" x14ac:dyDescent="0.25">
      <c r="F2708" s="17" t="s">
        <v>3537</v>
      </c>
      <c r="G2708" s="17" t="s">
        <v>201</v>
      </c>
    </row>
    <row r="2709" spans="6:7" x14ac:dyDescent="0.25">
      <c r="F2709" s="17" t="s">
        <v>3538</v>
      </c>
      <c r="G2709" s="17" t="s">
        <v>201</v>
      </c>
    </row>
    <row r="2710" spans="6:7" x14ac:dyDescent="0.25">
      <c r="F2710" s="17" t="s">
        <v>3539</v>
      </c>
      <c r="G2710" s="17" t="s">
        <v>201</v>
      </c>
    </row>
    <row r="2711" spans="6:7" x14ac:dyDescent="0.25">
      <c r="F2711" s="17" t="s">
        <v>3540</v>
      </c>
      <c r="G2711" s="17" t="s">
        <v>201</v>
      </c>
    </row>
    <row r="2712" spans="6:7" x14ac:dyDescent="0.25">
      <c r="F2712" s="17" t="s">
        <v>3541</v>
      </c>
      <c r="G2712" s="17" t="s">
        <v>191</v>
      </c>
    </row>
    <row r="2713" spans="6:7" x14ac:dyDescent="0.25">
      <c r="F2713" s="17" t="s">
        <v>3542</v>
      </c>
      <c r="G2713" s="17" t="s">
        <v>191</v>
      </c>
    </row>
    <row r="2714" spans="6:7" x14ac:dyDescent="0.25">
      <c r="F2714" s="17" t="s">
        <v>3543</v>
      </c>
      <c r="G2714" s="17" t="s">
        <v>201</v>
      </c>
    </row>
    <row r="2715" spans="6:7" x14ac:dyDescent="0.25">
      <c r="F2715" s="17" t="s">
        <v>3544</v>
      </c>
      <c r="G2715" s="17" t="s">
        <v>191</v>
      </c>
    </row>
    <row r="2716" spans="6:7" x14ac:dyDescent="0.25">
      <c r="F2716" s="17" t="s">
        <v>3545</v>
      </c>
      <c r="G2716" s="17" t="s">
        <v>191</v>
      </c>
    </row>
    <row r="2717" spans="6:7" x14ac:dyDescent="0.25">
      <c r="F2717" s="17" t="s">
        <v>3546</v>
      </c>
      <c r="G2717" s="17" t="s">
        <v>201</v>
      </c>
    </row>
    <row r="2718" spans="6:7" x14ac:dyDescent="0.25">
      <c r="F2718" s="17" t="s">
        <v>3547</v>
      </c>
      <c r="G2718" s="17" t="s">
        <v>201</v>
      </c>
    </row>
    <row r="2719" spans="6:7" x14ac:dyDescent="0.25">
      <c r="F2719" s="17" t="s">
        <v>3548</v>
      </c>
      <c r="G2719" s="17" t="s">
        <v>201</v>
      </c>
    </row>
    <row r="2720" spans="6:7" x14ac:dyDescent="0.25">
      <c r="F2720" s="17" t="s">
        <v>466</v>
      </c>
      <c r="G2720" s="17" t="s">
        <v>201</v>
      </c>
    </row>
    <row r="2721" spans="6:7" x14ac:dyDescent="0.25">
      <c r="F2721" s="17" t="s">
        <v>3549</v>
      </c>
      <c r="G2721" s="17" t="s">
        <v>191</v>
      </c>
    </row>
    <row r="2722" spans="6:7" x14ac:dyDescent="0.25">
      <c r="F2722" s="17" t="s">
        <v>3550</v>
      </c>
      <c r="G2722" s="17" t="s">
        <v>191</v>
      </c>
    </row>
    <row r="2723" spans="6:7" x14ac:dyDescent="0.25">
      <c r="F2723" s="17" t="s">
        <v>3551</v>
      </c>
      <c r="G2723" s="17" t="s">
        <v>191</v>
      </c>
    </row>
    <row r="2724" spans="6:7" x14ac:dyDescent="0.25">
      <c r="F2724" s="17" t="s">
        <v>3552</v>
      </c>
      <c r="G2724" s="17" t="s">
        <v>191</v>
      </c>
    </row>
    <row r="2725" spans="6:7" x14ac:dyDescent="0.25">
      <c r="F2725" s="17" t="s">
        <v>645</v>
      </c>
      <c r="G2725" s="17" t="s">
        <v>201</v>
      </c>
    </row>
    <row r="2726" spans="6:7" x14ac:dyDescent="0.25">
      <c r="F2726" s="17" t="s">
        <v>3553</v>
      </c>
      <c r="G2726" s="17" t="s">
        <v>201</v>
      </c>
    </row>
    <row r="2727" spans="6:7" x14ac:dyDescent="0.25">
      <c r="F2727" s="17" t="s">
        <v>3554</v>
      </c>
      <c r="G2727" s="17" t="s">
        <v>201</v>
      </c>
    </row>
    <row r="2728" spans="6:7" x14ac:dyDescent="0.25">
      <c r="F2728" s="17" t="s">
        <v>3555</v>
      </c>
      <c r="G2728" s="17" t="s">
        <v>201</v>
      </c>
    </row>
    <row r="2729" spans="6:7" x14ac:dyDescent="0.25">
      <c r="F2729" s="17" t="s">
        <v>3556</v>
      </c>
      <c r="G2729" s="17" t="s">
        <v>201</v>
      </c>
    </row>
    <row r="2730" spans="6:7" x14ac:dyDescent="0.25">
      <c r="F2730" s="17" t="s">
        <v>3557</v>
      </c>
      <c r="G2730" s="17" t="s">
        <v>201</v>
      </c>
    </row>
    <row r="2731" spans="6:7" x14ac:dyDescent="0.25">
      <c r="F2731" s="17" t="s">
        <v>3558</v>
      </c>
      <c r="G2731" s="17" t="s">
        <v>201</v>
      </c>
    </row>
    <row r="2732" spans="6:7" x14ac:dyDescent="0.25">
      <c r="F2732" s="17" t="s">
        <v>3559</v>
      </c>
      <c r="G2732" s="17" t="s">
        <v>201</v>
      </c>
    </row>
    <row r="2733" spans="6:7" x14ac:dyDescent="0.25">
      <c r="F2733" s="17" t="s">
        <v>660</v>
      </c>
      <c r="G2733" s="17" t="s">
        <v>201</v>
      </c>
    </row>
    <row r="2734" spans="6:7" x14ac:dyDescent="0.25">
      <c r="F2734" s="17" t="s">
        <v>690</v>
      </c>
      <c r="G2734" s="17" t="s">
        <v>201</v>
      </c>
    </row>
    <row r="2735" spans="6:7" x14ac:dyDescent="0.25">
      <c r="F2735" s="17" t="s">
        <v>3560</v>
      </c>
      <c r="G2735" s="17" t="s">
        <v>201</v>
      </c>
    </row>
    <row r="2736" spans="6:7" x14ac:dyDescent="0.25">
      <c r="F2736" s="17" t="s">
        <v>458</v>
      </c>
      <c r="G2736" s="17" t="s">
        <v>201</v>
      </c>
    </row>
    <row r="2737" spans="6:7" x14ac:dyDescent="0.25">
      <c r="F2737" s="17" t="s">
        <v>3561</v>
      </c>
      <c r="G2737" s="17" t="s">
        <v>201</v>
      </c>
    </row>
    <row r="2738" spans="6:7" x14ac:dyDescent="0.25">
      <c r="F2738" s="17" t="s">
        <v>3562</v>
      </c>
      <c r="G2738" s="17" t="s">
        <v>201</v>
      </c>
    </row>
    <row r="2739" spans="6:7" x14ac:dyDescent="0.25">
      <c r="F2739" s="17" t="s">
        <v>3563</v>
      </c>
      <c r="G2739" s="17" t="s">
        <v>201</v>
      </c>
    </row>
    <row r="2740" spans="6:7" x14ac:dyDescent="0.25">
      <c r="F2740" s="17" t="s">
        <v>3564</v>
      </c>
      <c r="G2740" s="17" t="s">
        <v>201</v>
      </c>
    </row>
    <row r="2741" spans="6:7" x14ac:dyDescent="0.25">
      <c r="F2741" s="17" t="s">
        <v>3565</v>
      </c>
      <c r="G2741" s="17" t="s">
        <v>201</v>
      </c>
    </row>
    <row r="2742" spans="6:7" x14ac:dyDescent="0.25">
      <c r="F2742" s="17" t="s">
        <v>979</v>
      </c>
      <c r="G2742" s="17" t="s">
        <v>201</v>
      </c>
    </row>
    <row r="2743" spans="6:7" x14ac:dyDescent="0.25">
      <c r="F2743" s="17" t="s">
        <v>3566</v>
      </c>
      <c r="G2743" s="17" t="s">
        <v>201</v>
      </c>
    </row>
    <row r="2744" spans="6:7" x14ac:dyDescent="0.25">
      <c r="F2744" s="17" t="s">
        <v>398</v>
      </c>
      <c r="G2744" s="17" t="s">
        <v>201</v>
      </c>
    </row>
    <row r="2745" spans="6:7" x14ac:dyDescent="0.25">
      <c r="F2745" s="17" t="s">
        <v>3567</v>
      </c>
      <c r="G2745" s="17" t="s">
        <v>201</v>
      </c>
    </row>
    <row r="2746" spans="6:7" x14ac:dyDescent="0.25">
      <c r="F2746" s="17" t="s">
        <v>3568</v>
      </c>
      <c r="G2746" s="17" t="s">
        <v>201</v>
      </c>
    </row>
    <row r="2747" spans="6:7" x14ac:dyDescent="0.25">
      <c r="F2747" s="17" t="s">
        <v>650</v>
      </c>
      <c r="G2747" s="17" t="s">
        <v>201</v>
      </c>
    </row>
    <row r="2748" spans="6:7" x14ac:dyDescent="0.25">
      <c r="F2748" s="17" t="s">
        <v>3569</v>
      </c>
      <c r="G2748" s="17" t="s">
        <v>201</v>
      </c>
    </row>
    <row r="2749" spans="6:7" x14ac:dyDescent="0.25">
      <c r="F2749" s="17" t="s">
        <v>305</v>
      </c>
      <c r="G2749" s="17" t="s">
        <v>201</v>
      </c>
    </row>
    <row r="2750" spans="6:7" x14ac:dyDescent="0.25">
      <c r="F2750" s="17" t="s">
        <v>3570</v>
      </c>
      <c r="G2750" s="17" t="s">
        <v>201</v>
      </c>
    </row>
    <row r="2751" spans="6:7" x14ac:dyDescent="0.25">
      <c r="F2751" s="17" t="s">
        <v>3571</v>
      </c>
      <c r="G2751" s="17" t="s">
        <v>201</v>
      </c>
    </row>
    <row r="2752" spans="6:7" x14ac:dyDescent="0.25">
      <c r="F2752" s="17" t="s">
        <v>3572</v>
      </c>
      <c r="G2752" s="17" t="s">
        <v>201</v>
      </c>
    </row>
    <row r="2753" spans="6:7" x14ac:dyDescent="0.25">
      <c r="F2753" s="17" t="s">
        <v>3573</v>
      </c>
      <c r="G2753" s="17" t="s">
        <v>201</v>
      </c>
    </row>
    <row r="2754" spans="6:7" x14ac:dyDescent="0.25">
      <c r="F2754" s="17" t="s">
        <v>3574</v>
      </c>
      <c r="G2754" s="17" t="s">
        <v>201</v>
      </c>
    </row>
    <row r="2755" spans="6:7" x14ac:dyDescent="0.25">
      <c r="F2755" s="17" t="s">
        <v>3575</v>
      </c>
      <c r="G2755" s="17" t="s">
        <v>201</v>
      </c>
    </row>
    <row r="2756" spans="6:7" x14ac:dyDescent="0.25">
      <c r="F2756" s="17" t="s">
        <v>3576</v>
      </c>
      <c r="G2756" s="17" t="s">
        <v>201</v>
      </c>
    </row>
    <row r="2757" spans="6:7" x14ac:dyDescent="0.25">
      <c r="F2757" s="17" t="s">
        <v>3577</v>
      </c>
      <c r="G2757" s="17" t="s">
        <v>201</v>
      </c>
    </row>
    <row r="2758" spans="6:7" x14ac:dyDescent="0.25">
      <c r="F2758" s="17" t="s">
        <v>3578</v>
      </c>
      <c r="G2758" s="17" t="s">
        <v>217</v>
      </c>
    </row>
    <row r="2759" spans="6:7" x14ac:dyDescent="0.25">
      <c r="F2759" s="17" t="s">
        <v>3579</v>
      </c>
      <c r="G2759" s="17" t="s">
        <v>191</v>
      </c>
    </row>
    <row r="2760" spans="6:7" x14ac:dyDescent="0.25">
      <c r="F2760" s="17" t="s">
        <v>3580</v>
      </c>
      <c r="G2760" s="17" t="s">
        <v>201</v>
      </c>
    </row>
    <row r="2761" spans="6:7" x14ac:dyDescent="0.25">
      <c r="F2761" s="17" t="s">
        <v>3581</v>
      </c>
      <c r="G2761" s="17" t="s">
        <v>217</v>
      </c>
    </row>
    <row r="2762" spans="6:7" x14ac:dyDescent="0.25">
      <c r="F2762" s="17" t="s">
        <v>3582</v>
      </c>
      <c r="G2762" s="17" t="s">
        <v>191</v>
      </c>
    </row>
    <row r="2763" spans="6:7" x14ac:dyDescent="0.25">
      <c r="F2763" s="17" t="s">
        <v>3583</v>
      </c>
      <c r="G2763" s="17" t="s">
        <v>191</v>
      </c>
    </row>
    <row r="2764" spans="6:7" x14ac:dyDescent="0.25">
      <c r="F2764" s="17" t="s">
        <v>3584</v>
      </c>
      <c r="G2764" s="17" t="s">
        <v>201</v>
      </c>
    </row>
    <row r="2765" spans="6:7" x14ac:dyDescent="0.25">
      <c r="F2765" s="17" t="s">
        <v>3585</v>
      </c>
      <c r="G2765" s="17" t="s">
        <v>201</v>
      </c>
    </row>
    <row r="2766" spans="6:7" x14ac:dyDescent="0.25">
      <c r="F2766" s="17" t="s">
        <v>3586</v>
      </c>
      <c r="G2766" s="17" t="s">
        <v>201</v>
      </c>
    </row>
    <row r="2767" spans="6:7" x14ac:dyDescent="0.25">
      <c r="F2767" s="17" t="s">
        <v>3587</v>
      </c>
      <c r="G2767" s="17" t="s">
        <v>201</v>
      </c>
    </row>
    <row r="2768" spans="6:7" x14ac:dyDescent="0.25">
      <c r="F2768" s="17" t="s">
        <v>3588</v>
      </c>
      <c r="G2768" s="17" t="s">
        <v>201</v>
      </c>
    </row>
    <row r="2769" spans="6:7" x14ac:dyDescent="0.25">
      <c r="F2769" s="17" t="s">
        <v>3589</v>
      </c>
      <c r="G2769" s="17" t="s">
        <v>201</v>
      </c>
    </row>
    <row r="2770" spans="6:7" x14ac:dyDescent="0.25">
      <c r="F2770" s="17" t="s">
        <v>3590</v>
      </c>
      <c r="G2770" s="17" t="s">
        <v>201</v>
      </c>
    </row>
    <row r="2771" spans="6:7" x14ac:dyDescent="0.25">
      <c r="F2771" s="17" t="s">
        <v>3591</v>
      </c>
      <c r="G2771" s="17" t="s">
        <v>201</v>
      </c>
    </row>
    <row r="2772" spans="6:7" x14ac:dyDescent="0.25">
      <c r="F2772" s="17" t="s">
        <v>3592</v>
      </c>
      <c r="G2772" s="17" t="s">
        <v>201</v>
      </c>
    </row>
    <row r="2773" spans="6:7" x14ac:dyDescent="0.25">
      <c r="F2773" s="17" t="s">
        <v>3593</v>
      </c>
      <c r="G2773" s="17" t="s">
        <v>201</v>
      </c>
    </row>
    <row r="2774" spans="6:7" x14ac:dyDescent="0.25">
      <c r="F2774" s="17" t="s">
        <v>3594</v>
      </c>
      <c r="G2774" s="17" t="s">
        <v>201</v>
      </c>
    </row>
    <row r="2775" spans="6:7" x14ac:dyDescent="0.25">
      <c r="F2775" s="17" t="s">
        <v>3595</v>
      </c>
      <c r="G2775" s="17" t="s">
        <v>201</v>
      </c>
    </row>
    <row r="2776" spans="6:7" x14ac:dyDescent="0.25">
      <c r="F2776" s="17" t="s">
        <v>3596</v>
      </c>
      <c r="G2776" s="17" t="s">
        <v>201</v>
      </c>
    </row>
    <row r="2777" spans="6:7" x14ac:dyDescent="0.25">
      <c r="F2777" s="17" t="s">
        <v>3597</v>
      </c>
      <c r="G2777" s="17" t="s">
        <v>201</v>
      </c>
    </row>
    <row r="2778" spans="6:7" x14ac:dyDescent="0.25">
      <c r="F2778" s="17" t="s">
        <v>3598</v>
      </c>
      <c r="G2778" s="17" t="s">
        <v>201</v>
      </c>
    </row>
    <row r="2779" spans="6:7" x14ac:dyDescent="0.25">
      <c r="F2779" s="17" t="s">
        <v>3599</v>
      </c>
      <c r="G2779" s="17" t="s">
        <v>201</v>
      </c>
    </row>
    <row r="2780" spans="6:7" x14ac:dyDescent="0.25">
      <c r="F2780" s="17" t="s">
        <v>3600</v>
      </c>
      <c r="G2780" s="17" t="s">
        <v>201</v>
      </c>
    </row>
    <row r="2781" spans="6:7" x14ac:dyDescent="0.25">
      <c r="F2781" s="17" t="s">
        <v>3601</v>
      </c>
      <c r="G2781" s="17" t="s">
        <v>201</v>
      </c>
    </row>
    <row r="2782" spans="6:7" x14ac:dyDescent="0.25">
      <c r="F2782" s="17" t="s">
        <v>3602</v>
      </c>
      <c r="G2782" s="17" t="s">
        <v>201</v>
      </c>
    </row>
    <row r="2783" spans="6:7" x14ac:dyDescent="0.25">
      <c r="F2783" s="17" t="s">
        <v>777</v>
      </c>
      <c r="G2783" s="17" t="s">
        <v>201</v>
      </c>
    </row>
    <row r="2784" spans="6:7" x14ac:dyDescent="0.25">
      <c r="F2784" s="17" t="s">
        <v>3603</v>
      </c>
      <c r="G2784" s="17" t="s">
        <v>201</v>
      </c>
    </row>
    <row r="2785" spans="6:7" x14ac:dyDescent="0.25">
      <c r="F2785" s="17" t="s">
        <v>3604</v>
      </c>
      <c r="G2785" s="17" t="s">
        <v>201</v>
      </c>
    </row>
    <row r="2786" spans="6:7" x14ac:dyDescent="0.25">
      <c r="F2786" s="17" t="s">
        <v>3605</v>
      </c>
      <c r="G2786" s="17" t="s">
        <v>201</v>
      </c>
    </row>
    <row r="2787" spans="6:7" x14ac:dyDescent="0.25">
      <c r="F2787" s="17" t="s">
        <v>3606</v>
      </c>
      <c r="G2787" s="17" t="s">
        <v>201</v>
      </c>
    </row>
    <row r="2788" spans="6:7" x14ac:dyDescent="0.25">
      <c r="F2788" s="17" t="s">
        <v>3607</v>
      </c>
      <c r="G2788" s="17" t="s">
        <v>201</v>
      </c>
    </row>
    <row r="2789" spans="6:7" x14ac:dyDescent="0.25">
      <c r="F2789" s="17" t="s">
        <v>3608</v>
      </c>
      <c r="G2789" s="17" t="s">
        <v>201</v>
      </c>
    </row>
    <row r="2790" spans="6:7" x14ac:dyDescent="0.25">
      <c r="F2790" s="17" t="s">
        <v>3609</v>
      </c>
      <c r="G2790" s="17" t="s">
        <v>201</v>
      </c>
    </row>
    <row r="2791" spans="6:7" x14ac:dyDescent="0.25">
      <c r="F2791" s="17" t="s">
        <v>3610</v>
      </c>
      <c r="G2791" s="17" t="s">
        <v>201</v>
      </c>
    </row>
    <row r="2792" spans="6:7" x14ac:dyDescent="0.25">
      <c r="F2792" s="17" t="s">
        <v>3611</v>
      </c>
      <c r="G2792" s="17" t="s">
        <v>201</v>
      </c>
    </row>
    <row r="2793" spans="6:7" x14ac:dyDescent="0.25">
      <c r="F2793" s="17" t="s">
        <v>3612</v>
      </c>
      <c r="G2793" s="17" t="s">
        <v>201</v>
      </c>
    </row>
    <row r="2794" spans="6:7" x14ac:dyDescent="0.25">
      <c r="F2794" s="17" t="s">
        <v>3613</v>
      </c>
      <c r="G2794" s="17" t="s">
        <v>201</v>
      </c>
    </row>
    <row r="2795" spans="6:7" x14ac:dyDescent="0.25">
      <c r="F2795" s="17" t="s">
        <v>3614</v>
      </c>
      <c r="G2795" s="17" t="s">
        <v>201</v>
      </c>
    </row>
    <row r="2796" spans="6:7" x14ac:dyDescent="0.25">
      <c r="F2796" s="17" t="s">
        <v>3615</v>
      </c>
      <c r="G2796" s="17" t="s">
        <v>201</v>
      </c>
    </row>
    <row r="2797" spans="6:7" x14ac:dyDescent="0.25">
      <c r="F2797" s="17" t="s">
        <v>3616</v>
      </c>
      <c r="G2797" s="17" t="s">
        <v>201</v>
      </c>
    </row>
    <row r="2798" spans="6:7" x14ac:dyDescent="0.25">
      <c r="F2798" s="17" t="s">
        <v>870</v>
      </c>
      <c r="G2798" s="17" t="s">
        <v>201</v>
      </c>
    </row>
    <row r="2799" spans="6:7" x14ac:dyDescent="0.25">
      <c r="F2799" s="17" t="s">
        <v>3617</v>
      </c>
      <c r="G2799" s="17" t="s">
        <v>201</v>
      </c>
    </row>
    <row r="2800" spans="6:7" x14ac:dyDescent="0.25">
      <c r="F2800" s="17" t="s">
        <v>3618</v>
      </c>
      <c r="G2800" s="17" t="s">
        <v>217</v>
      </c>
    </row>
    <row r="2801" spans="6:7" x14ac:dyDescent="0.25">
      <c r="F2801" s="17" t="s">
        <v>3619</v>
      </c>
      <c r="G2801" s="17" t="s">
        <v>2925</v>
      </c>
    </row>
    <row r="2802" spans="6:7" x14ac:dyDescent="0.25">
      <c r="F2802" s="17" t="s">
        <v>3620</v>
      </c>
      <c r="G2802" s="17" t="s">
        <v>2925</v>
      </c>
    </row>
    <row r="2803" spans="6:7" x14ac:dyDescent="0.25">
      <c r="F2803" s="17" t="s">
        <v>3621</v>
      </c>
      <c r="G2803" s="17" t="s">
        <v>86</v>
      </c>
    </row>
    <row r="2804" spans="6:7" x14ac:dyDescent="0.25">
      <c r="F2804" s="17" t="s">
        <v>3622</v>
      </c>
      <c r="G2804" s="17" t="s">
        <v>2915</v>
      </c>
    </row>
    <row r="2805" spans="6:7" x14ac:dyDescent="0.25">
      <c r="F2805" s="17" t="s">
        <v>3623</v>
      </c>
      <c r="G2805" s="17" t="s">
        <v>3624</v>
      </c>
    </row>
    <row r="2806" spans="6:7" x14ac:dyDescent="0.25">
      <c r="F2806" s="17" t="s">
        <v>3625</v>
      </c>
      <c r="G2806" s="17" t="s">
        <v>2311</v>
      </c>
    </row>
    <row r="2807" spans="6:7" x14ac:dyDescent="0.25">
      <c r="F2807" s="17" t="s">
        <v>3626</v>
      </c>
      <c r="G2807" s="17" t="s">
        <v>2925</v>
      </c>
    </row>
    <row r="2808" spans="6:7" x14ac:dyDescent="0.25">
      <c r="F2808" s="17" t="s">
        <v>3627</v>
      </c>
      <c r="G2808" s="17" t="s">
        <v>2925</v>
      </c>
    </row>
    <row r="2809" spans="6:7" x14ac:dyDescent="0.25">
      <c r="F2809" s="17" t="s">
        <v>3628</v>
      </c>
      <c r="G2809" s="17" t="s">
        <v>2925</v>
      </c>
    </row>
    <row r="2810" spans="6:7" x14ac:dyDescent="0.25">
      <c r="F2810" s="17" t="s">
        <v>3629</v>
      </c>
      <c r="G2810" s="17" t="s">
        <v>2925</v>
      </c>
    </row>
    <row r="2811" spans="6:7" x14ac:dyDescent="0.25">
      <c r="F2811" s="17" t="s">
        <v>3630</v>
      </c>
      <c r="G2811" s="17" t="s">
        <v>2925</v>
      </c>
    </row>
    <row r="2812" spans="6:7" x14ac:dyDescent="0.25">
      <c r="F2812" s="17" t="s">
        <v>3631</v>
      </c>
      <c r="G2812" s="17" t="s">
        <v>2925</v>
      </c>
    </row>
    <row r="2813" spans="6:7" x14ac:dyDescent="0.25">
      <c r="F2813" s="17" t="s">
        <v>3632</v>
      </c>
      <c r="G2813" s="17" t="s">
        <v>2925</v>
      </c>
    </row>
    <row r="2814" spans="6:7" x14ac:dyDescent="0.25">
      <c r="F2814" s="17" t="s">
        <v>3633</v>
      </c>
      <c r="G2814" s="17" t="s">
        <v>2925</v>
      </c>
    </row>
    <row r="2815" spans="6:7" x14ac:dyDescent="0.25">
      <c r="F2815" s="17" t="s">
        <v>3634</v>
      </c>
      <c r="G2815" s="17" t="s">
        <v>2925</v>
      </c>
    </row>
    <row r="2816" spans="6:7" x14ac:dyDescent="0.25">
      <c r="F2816" s="17" t="s">
        <v>3635</v>
      </c>
      <c r="G2816" s="17" t="s">
        <v>2925</v>
      </c>
    </row>
    <row r="2817" spans="6:7" x14ac:dyDescent="0.25">
      <c r="F2817" s="17" t="s">
        <v>3636</v>
      </c>
      <c r="G2817" s="17" t="s">
        <v>3624</v>
      </c>
    </row>
    <row r="2818" spans="6:7" x14ac:dyDescent="0.25">
      <c r="F2818" s="17" t="s">
        <v>3637</v>
      </c>
      <c r="G2818" s="17" t="s">
        <v>3624</v>
      </c>
    </row>
    <row r="2819" spans="6:7" x14ac:dyDescent="0.25">
      <c r="F2819" s="17" t="s">
        <v>3638</v>
      </c>
      <c r="G2819" s="17" t="s">
        <v>3624</v>
      </c>
    </row>
    <row r="2820" spans="6:7" x14ac:dyDescent="0.25">
      <c r="F2820" s="17" t="s">
        <v>3639</v>
      </c>
      <c r="G2820" s="17" t="s">
        <v>3624</v>
      </c>
    </row>
    <row r="2821" spans="6:7" x14ac:dyDescent="0.25">
      <c r="F2821" s="17" t="s">
        <v>3640</v>
      </c>
      <c r="G2821" s="17" t="s">
        <v>3624</v>
      </c>
    </row>
    <row r="2822" spans="6:7" x14ac:dyDescent="0.25">
      <c r="F2822" s="17" t="s">
        <v>3641</v>
      </c>
      <c r="G2822" s="17" t="s">
        <v>3624</v>
      </c>
    </row>
    <row r="2823" spans="6:7" x14ac:dyDescent="0.25">
      <c r="F2823" s="17" t="s">
        <v>3642</v>
      </c>
      <c r="G2823" s="17" t="s">
        <v>3624</v>
      </c>
    </row>
    <row r="2824" spans="6:7" x14ac:dyDescent="0.25">
      <c r="F2824" s="17" t="s">
        <v>3643</v>
      </c>
      <c r="G2824" s="17" t="s">
        <v>3624</v>
      </c>
    </row>
    <row r="2825" spans="6:7" x14ac:dyDescent="0.25">
      <c r="F2825" s="17" t="s">
        <v>3644</v>
      </c>
      <c r="G2825" s="17" t="s">
        <v>3624</v>
      </c>
    </row>
    <row r="2826" spans="6:7" x14ac:dyDescent="0.25">
      <c r="F2826" s="17" t="s">
        <v>3645</v>
      </c>
      <c r="G2826" s="17" t="s">
        <v>3624</v>
      </c>
    </row>
    <row r="2827" spans="6:7" x14ac:dyDescent="0.25">
      <c r="F2827" s="17" t="s">
        <v>3646</v>
      </c>
      <c r="G2827" s="17" t="s">
        <v>3624</v>
      </c>
    </row>
    <row r="2828" spans="6:7" x14ac:dyDescent="0.25">
      <c r="F2828" s="17" t="s">
        <v>3647</v>
      </c>
      <c r="G2828" s="17" t="s">
        <v>3624</v>
      </c>
    </row>
    <row r="2829" spans="6:7" x14ac:dyDescent="0.25">
      <c r="F2829" s="17" t="s">
        <v>3648</v>
      </c>
      <c r="G2829" s="17" t="s">
        <v>3624</v>
      </c>
    </row>
    <row r="2830" spans="6:7" x14ac:dyDescent="0.25">
      <c r="F2830" s="17" t="s">
        <v>3649</v>
      </c>
      <c r="G2830" s="17" t="s">
        <v>3624</v>
      </c>
    </row>
    <row r="2831" spans="6:7" x14ac:dyDescent="0.25">
      <c r="F2831" s="17" t="s">
        <v>3650</v>
      </c>
      <c r="G2831" s="17" t="s">
        <v>3624</v>
      </c>
    </row>
    <row r="2832" spans="6:7" x14ac:dyDescent="0.25">
      <c r="F2832" s="17" t="s">
        <v>3651</v>
      </c>
      <c r="G2832" s="17" t="s">
        <v>3624</v>
      </c>
    </row>
    <row r="2833" spans="6:7" x14ac:dyDescent="0.25">
      <c r="F2833" s="17" t="s">
        <v>3652</v>
      </c>
      <c r="G2833" s="17" t="s">
        <v>3624</v>
      </c>
    </row>
    <row r="2834" spans="6:7" x14ac:dyDescent="0.25">
      <c r="F2834" s="17" t="s">
        <v>534</v>
      </c>
      <c r="G2834" s="17" t="s">
        <v>86</v>
      </c>
    </row>
    <row r="2835" spans="6:7" x14ac:dyDescent="0.25">
      <c r="F2835" s="17" t="s">
        <v>3653</v>
      </c>
      <c r="G2835" s="17" t="s">
        <v>3624</v>
      </c>
    </row>
    <row r="2836" spans="6:7" x14ac:dyDescent="0.25">
      <c r="F2836" s="17" t="s">
        <v>3654</v>
      </c>
      <c r="G2836" s="17" t="s">
        <v>3624</v>
      </c>
    </row>
    <row r="2837" spans="6:7" x14ac:dyDescent="0.25">
      <c r="F2837" s="17" t="s">
        <v>3655</v>
      </c>
      <c r="G2837" s="17" t="s">
        <v>3624</v>
      </c>
    </row>
    <row r="2838" spans="6:7" x14ac:dyDescent="0.25">
      <c r="F2838" s="17" t="s">
        <v>3656</v>
      </c>
      <c r="G2838" s="17" t="s">
        <v>3624</v>
      </c>
    </row>
    <row r="2839" spans="6:7" x14ac:dyDescent="0.25">
      <c r="F2839" s="17" t="s">
        <v>3657</v>
      </c>
      <c r="G2839" s="17" t="s">
        <v>3624</v>
      </c>
    </row>
    <row r="2840" spans="6:7" x14ac:dyDescent="0.25">
      <c r="F2840" s="17" t="s">
        <v>3658</v>
      </c>
      <c r="G2840" s="17" t="s">
        <v>3624</v>
      </c>
    </row>
    <row r="2841" spans="6:7" x14ac:dyDescent="0.25">
      <c r="F2841" s="17" t="s">
        <v>3659</v>
      </c>
      <c r="G2841" s="17" t="s">
        <v>3624</v>
      </c>
    </row>
    <row r="2842" spans="6:7" x14ac:dyDescent="0.25">
      <c r="F2842" s="17" t="s">
        <v>3660</v>
      </c>
      <c r="G2842" s="17" t="s">
        <v>3624</v>
      </c>
    </row>
    <row r="2843" spans="6:7" x14ac:dyDescent="0.25">
      <c r="F2843" s="17" t="s">
        <v>3661</v>
      </c>
      <c r="G2843" s="17" t="s">
        <v>3624</v>
      </c>
    </row>
    <row r="2844" spans="6:7" x14ac:dyDescent="0.25">
      <c r="F2844" s="17" t="s">
        <v>3662</v>
      </c>
      <c r="G2844" s="17" t="s">
        <v>2309</v>
      </c>
    </row>
    <row r="2845" spans="6:7" x14ac:dyDescent="0.25">
      <c r="F2845" s="17" t="s">
        <v>3663</v>
      </c>
      <c r="G2845" s="17" t="s">
        <v>86</v>
      </c>
    </row>
    <row r="2846" spans="6:7" x14ac:dyDescent="0.25">
      <c r="F2846" s="17" t="s">
        <v>549</v>
      </c>
      <c r="G2846" s="17" t="s">
        <v>86</v>
      </c>
    </row>
    <row r="2847" spans="6:7" x14ac:dyDescent="0.25">
      <c r="F2847" s="17" t="s">
        <v>3664</v>
      </c>
      <c r="G2847" s="17" t="s">
        <v>86</v>
      </c>
    </row>
    <row r="2848" spans="6:7" x14ac:dyDescent="0.25">
      <c r="F2848" s="17" t="s">
        <v>3665</v>
      </c>
      <c r="G2848" s="17" t="s">
        <v>86</v>
      </c>
    </row>
    <row r="2849" spans="6:7" x14ac:dyDescent="0.25">
      <c r="F2849" s="17" t="s">
        <v>3666</v>
      </c>
      <c r="G2849" s="17" t="s">
        <v>86</v>
      </c>
    </row>
    <row r="2850" spans="6:7" x14ac:dyDescent="0.25">
      <c r="F2850" s="17" t="s">
        <v>377</v>
      </c>
      <c r="G2850" s="17" t="s">
        <v>86</v>
      </c>
    </row>
    <row r="2851" spans="6:7" x14ac:dyDescent="0.25">
      <c r="F2851" s="17" t="s">
        <v>350</v>
      </c>
      <c r="G2851" s="17" t="s">
        <v>86</v>
      </c>
    </row>
    <row r="2852" spans="6:7" x14ac:dyDescent="0.25">
      <c r="F2852" s="17" t="s">
        <v>3667</v>
      </c>
      <c r="G2852" s="17" t="s">
        <v>86</v>
      </c>
    </row>
    <row r="2853" spans="6:7" x14ac:dyDescent="0.25">
      <c r="F2853" s="17" t="s">
        <v>3668</v>
      </c>
      <c r="G2853" s="17" t="s">
        <v>86</v>
      </c>
    </row>
    <row r="2854" spans="6:7" x14ac:dyDescent="0.25">
      <c r="F2854" s="17" t="s">
        <v>3669</v>
      </c>
      <c r="G2854" s="17" t="s">
        <v>86</v>
      </c>
    </row>
    <row r="2855" spans="6:7" x14ac:dyDescent="0.25">
      <c r="F2855" s="17" t="s">
        <v>3670</v>
      </c>
      <c r="G2855" s="17" t="s">
        <v>86</v>
      </c>
    </row>
    <row r="2856" spans="6:7" x14ac:dyDescent="0.25">
      <c r="F2856" s="17" t="s">
        <v>3671</v>
      </c>
      <c r="G2856" s="17" t="s">
        <v>86</v>
      </c>
    </row>
    <row r="2857" spans="6:7" x14ac:dyDescent="0.25">
      <c r="F2857" s="17" t="s">
        <v>3672</v>
      </c>
      <c r="G2857" s="17" t="s">
        <v>86</v>
      </c>
    </row>
    <row r="2858" spans="6:7" x14ac:dyDescent="0.25">
      <c r="F2858" s="17" t="s">
        <v>267</v>
      </c>
      <c r="G2858" s="17" t="s">
        <v>86</v>
      </c>
    </row>
    <row r="2859" spans="6:7" x14ac:dyDescent="0.25">
      <c r="F2859" s="17" t="s">
        <v>3673</v>
      </c>
      <c r="G2859" s="17" t="s">
        <v>86</v>
      </c>
    </row>
    <row r="2860" spans="6:7" x14ac:dyDescent="0.25">
      <c r="F2860" s="17" t="s">
        <v>3674</v>
      </c>
      <c r="G2860" s="17" t="s">
        <v>2311</v>
      </c>
    </row>
    <row r="2861" spans="6:7" x14ac:dyDescent="0.25">
      <c r="F2861" s="17" t="s">
        <v>3675</v>
      </c>
      <c r="G2861" s="17" t="s">
        <v>2311</v>
      </c>
    </row>
    <row r="2862" spans="6:7" x14ac:dyDescent="0.25">
      <c r="F2862" s="17" t="s">
        <v>3676</v>
      </c>
      <c r="G2862" s="17" t="s">
        <v>3624</v>
      </c>
    </row>
    <row r="2863" spans="6:7" x14ac:dyDescent="0.25">
      <c r="F2863" s="17" t="s">
        <v>3677</v>
      </c>
      <c r="G2863" s="17" t="s">
        <v>217</v>
      </c>
    </row>
    <row r="2864" spans="6:7" x14ac:dyDescent="0.25">
      <c r="F2864" s="17" t="s">
        <v>3678</v>
      </c>
      <c r="G2864" s="17" t="s">
        <v>201</v>
      </c>
    </row>
    <row r="2865" spans="6:7" x14ac:dyDescent="0.25">
      <c r="F2865" s="17" t="s">
        <v>3679</v>
      </c>
      <c r="G2865" s="17" t="s">
        <v>3624</v>
      </c>
    </row>
    <row r="2866" spans="6:7" x14ac:dyDescent="0.25">
      <c r="F2866" s="17" t="s">
        <v>360</v>
      </c>
      <c r="G2866" s="17" t="s">
        <v>86</v>
      </c>
    </row>
    <row r="2867" spans="6:7" x14ac:dyDescent="0.25">
      <c r="F2867" s="17" t="s">
        <v>3680</v>
      </c>
      <c r="G2867" s="17" t="s">
        <v>86</v>
      </c>
    </row>
    <row r="2868" spans="6:7" x14ac:dyDescent="0.25">
      <c r="F2868" s="17" t="s">
        <v>3681</v>
      </c>
      <c r="G2868" s="17" t="s">
        <v>86</v>
      </c>
    </row>
    <row r="2869" spans="6:7" x14ac:dyDescent="0.25">
      <c r="F2869" s="17" t="s">
        <v>674</v>
      </c>
      <c r="G2869" s="17" t="s">
        <v>86</v>
      </c>
    </row>
    <row r="2870" spans="6:7" x14ac:dyDescent="0.25">
      <c r="F2870" s="17" t="s">
        <v>530</v>
      </c>
      <c r="G2870" s="17" t="s">
        <v>86</v>
      </c>
    </row>
    <row r="2871" spans="6:7" x14ac:dyDescent="0.25">
      <c r="F2871" s="17" t="s">
        <v>776</v>
      </c>
      <c r="G2871" s="17" t="s">
        <v>86</v>
      </c>
    </row>
    <row r="2872" spans="6:7" x14ac:dyDescent="0.25">
      <c r="F2872" s="17" t="s">
        <v>3682</v>
      </c>
      <c r="G2872" s="17" t="s">
        <v>86</v>
      </c>
    </row>
    <row r="2873" spans="6:7" x14ac:dyDescent="0.25">
      <c r="F2873" s="17" t="s">
        <v>436</v>
      </c>
      <c r="G2873" s="17" t="s">
        <v>86</v>
      </c>
    </row>
    <row r="2874" spans="6:7" x14ac:dyDescent="0.25">
      <c r="F2874" s="17" t="s">
        <v>564</v>
      </c>
      <c r="G2874" s="17" t="s">
        <v>86</v>
      </c>
    </row>
    <row r="2875" spans="6:7" x14ac:dyDescent="0.25">
      <c r="F2875" s="17" t="s">
        <v>615</v>
      </c>
      <c r="G2875" s="17" t="s">
        <v>86</v>
      </c>
    </row>
    <row r="2876" spans="6:7" x14ac:dyDescent="0.25">
      <c r="F2876" s="17" t="s">
        <v>380</v>
      </c>
      <c r="G2876" s="17" t="s">
        <v>86</v>
      </c>
    </row>
    <row r="2877" spans="6:7" x14ac:dyDescent="0.25">
      <c r="F2877" s="17" t="s">
        <v>3683</v>
      </c>
      <c r="G2877" s="17" t="s">
        <v>86</v>
      </c>
    </row>
    <row r="2878" spans="6:7" x14ac:dyDescent="0.25">
      <c r="F2878" s="17" t="s">
        <v>3684</v>
      </c>
      <c r="G2878" s="17" t="s">
        <v>3624</v>
      </c>
    </row>
    <row r="2879" spans="6:7" x14ac:dyDescent="0.25">
      <c r="F2879" s="17" t="s">
        <v>3685</v>
      </c>
      <c r="G2879" s="17" t="s">
        <v>3624</v>
      </c>
    </row>
    <row r="2880" spans="6:7" x14ac:dyDescent="0.25">
      <c r="F2880" s="17" t="s">
        <v>3686</v>
      </c>
      <c r="G2880" s="17" t="s">
        <v>3624</v>
      </c>
    </row>
    <row r="2881" spans="6:7" x14ac:dyDescent="0.25">
      <c r="F2881" s="17" t="s">
        <v>3687</v>
      </c>
      <c r="G2881" s="17" t="s">
        <v>3624</v>
      </c>
    </row>
    <row r="2882" spans="6:7" x14ac:dyDescent="0.25">
      <c r="F2882" s="17" t="s">
        <v>3688</v>
      </c>
      <c r="G2882" s="17" t="s">
        <v>3624</v>
      </c>
    </row>
    <row r="2883" spans="6:7" x14ac:dyDescent="0.25">
      <c r="F2883" s="17" t="s">
        <v>3689</v>
      </c>
      <c r="G2883" s="17" t="s">
        <v>2311</v>
      </c>
    </row>
    <row r="2884" spans="6:7" x14ac:dyDescent="0.25">
      <c r="F2884" s="17" t="s">
        <v>3690</v>
      </c>
      <c r="G2884" s="17" t="s">
        <v>2311</v>
      </c>
    </row>
    <row r="2885" spans="6:7" x14ac:dyDescent="0.25">
      <c r="F2885" s="17" t="s">
        <v>3691</v>
      </c>
      <c r="G2885" s="17" t="s">
        <v>2311</v>
      </c>
    </row>
    <row r="2886" spans="6:7" x14ac:dyDescent="0.25">
      <c r="F2886" s="17" t="s">
        <v>3692</v>
      </c>
      <c r="G2886" s="17" t="s">
        <v>2311</v>
      </c>
    </row>
    <row r="2887" spans="6:7" x14ac:dyDescent="0.25">
      <c r="F2887" s="17" t="s">
        <v>3693</v>
      </c>
      <c r="G2887" s="17" t="s">
        <v>2311</v>
      </c>
    </row>
    <row r="2888" spans="6:7" x14ac:dyDescent="0.25">
      <c r="F2888" s="17" t="s">
        <v>3694</v>
      </c>
      <c r="G2888" s="17" t="s">
        <v>2309</v>
      </c>
    </row>
    <row r="2889" spans="6:7" x14ac:dyDescent="0.25">
      <c r="F2889" s="17" t="s">
        <v>3695</v>
      </c>
      <c r="G2889" s="17" t="s">
        <v>2309</v>
      </c>
    </row>
    <row r="2890" spans="6:7" x14ac:dyDescent="0.25">
      <c r="F2890" s="17" t="s">
        <v>3696</v>
      </c>
      <c r="G2890" s="17" t="s">
        <v>2309</v>
      </c>
    </row>
    <row r="2891" spans="6:7" x14ac:dyDescent="0.25">
      <c r="F2891" s="17" t="s">
        <v>3697</v>
      </c>
      <c r="G2891" s="17" t="s">
        <v>2309</v>
      </c>
    </row>
    <row r="2892" spans="6:7" x14ac:dyDescent="0.25">
      <c r="F2892" s="17" t="s">
        <v>3698</v>
      </c>
      <c r="G2892" s="17" t="s">
        <v>2309</v>
      </c>
    </row>
    <row r="2893" spans="6:7" x14ac:dyDescent="0.25">
      <c r="F2893" s="17" t="s">
        <v>3699</v>
      </c>
      <c r="G2893" s="17" t="s">
        <v>2309</v>
      </c>
    </row>
    <row r="2894" spans="6:7" x14ac:dyDescent="0.25">
      <c r="F2894" s="17" t="s">
        <v>382</v>
      </c>
      <c r="G2894" s="17" t="s">
        <v>86</v>
      </c>
    </row>
    <row r="2895" spans="6:7" x14ac:dyDescent="0.25">
      <c r="F2895" s="17" t="s">
        <v>3700</v>
      </c>
      <c r="G2895" s="17" t="s">
        <v>86</v>
      </c>
    </row>
    <row r="2896" spans="6:7" x14ac:dyDescent="0.25">
      <c r="F2896" s="17" t="s">
        <v>3701</v>
      </c>
      <c r="G2896" s="17" t="s">
        <v>86</v>
      </c>
    </row>
    <row r="2897" spans="6:7" x14ac:dyDescent="0.25">
      <c r="F2897" s="17" t="s">
        <v>276</v>
      </c>
      <c r="G2897" s="17" t="s">
        <v>86</v>
      </c>
    </row>
    <row r="2898" spans="6:7" x14ac:dyDescent="0.25">
      <c r="F2898" s="17" t="s">
        <v>442</v>
      </c>
      <c r="G2898" s="17" t="s">
        <v>86</v>
      </c>
    </row>
    <row r="2899" spans="6:7" x14ac:dyDescent="0.25">
      <c r="F2899" s="17" t="s">
        <v>3702</v>
      </c>
      <c r="G2899" s="17" t="s">
        <v>86</v>
      </c>
    </row>
    <row r="2900" spans="6:7" x14ac:dyDescent="0.25">
      <c r="F2900" s="17" t="s">
        <v>3703</v>
      </c>
      <c r="G2900" s="17" t="s">
        <v>86</v>
      </c>
    </row>
    <row r="2901" spans="6:7" x14ac:dyDescent="0.25">
      <c r="F2901" s="17" t="s">
        <v>880</v>
      </c>
      <c r="G2901" s="17" t="s">
        <v>86</v>
      </c>
    </row>
    <row r="2902" spans="6:7" x14ac:dyDescent="0.25">
      <c r="F2902" s="17" t="s">
        <v>509</v>
      </c>
      <c r="G2902" s="17" t="s">
        <v>86</v>
      </c>
    </row>
    <row r="2903" spans="6:7" x14ac:dyDescent="0.25">
      <c r="F2903" s="17" t="s">
        <v>264</v>
      </c>
      <c r="G2903" s="17" t="s">
        <v>86</v>
      </c>
    </row>
    <row r="2904" spans="6:7" x14ac:dyDescent="0.25">
      <c r="F2904" s="17" t="s">
        <v>585</v>
      </c>
      <c r="G2904" s="17" t="s">
        <v>86</v>
      </c>
    </row>
    <row r="2905" spans="6:7" x14ac:dyDescent="0.25">
      <c r="F2905" s="17" t="s">
        <v>422</v>
      </c>
      <c r="G2905" s="17" t="s">
        <v>86</v>
      </c>
    </row>
    <row r="2906" spans="6:7" x14ac:dyDescent="0.25">
      <c r="F2906" s="17" t="s">
        <v>569</v>
      </c>
      <c r="G2906" s="17" t="s">
        <v>86</v>
      </c>
    </row>
    <row r="2907" spans="6:7" x14ac:dyDescent="0.25">
      <c r="F2907" s="17" t="s">
        <v>922</v>
      </c>
      <c r="G2907" s="17" t="s">
        <v>86</v>
      </c>
    </row>
    <row r="2908" spans="6:7" x14ac:dyDescent="0.25">
      <c r="F2908" s="17" t="s">
        <v>304</v>
      </c>
      <c r="G2908" s="17" t="s">
        <v>86</v>
      </c>
    </row>
    <row r="2909" spans="6:7" x14ac:dyDescent="0.25">
      <c r="F2909" s="17" t="s">
        <v>3704</v>
      </c>
      <c r="G2909" s="17" t="s">
        <v>86</v>
      </c>
    </row>
    <row r="2910" spans="6:7" x14ac:dyDescent="0.25">
      <c r="F2910" s="17" t="s">
        <v>234</v>
      </c>
      <c r="G2910" s="17" t="s">
        <v>86</v>
      </c>
    </row>
    <row r="2911" spans="6:7" x14ac:dyDescent="0.25">
      <c r="F2911" s="17" t="s">
        <v>3705</v>
      </c>
      <c r="G2911" s="17" t="s">
        <v>86</v>
      </c>
    </row>
    <row r="2912" spans="6:7" x14ac:dyDescent="0.25">
      <c r="F2912" s="17" t="s">
        <v>3706</v>
      </c>
      <c r="G2912" s="17" t="s">
        <v>86</v>
      </c>
    </row>
    <row r="2913" spans="6:7" x14ac:dyDescent="0.25">
      <c r="F2913" s="17" t="s">
        <v>3707</v>
      </c>
      <c r="G2913" s="17" t="s">
        <v>3624</v>
      </c>
    </row>
    <row r="2914" spans="6:7" x14ac:dyDescent="0.25">
      <c r="F2914" s="17" t="s">
        <v>329</v>
      </c>
      <c r="G2914" s="17" t="s">
        <v>86</v>
      </c>
    </row>
    <row r="2915" spans="6:7" x14ac:dyDescent="0.25">
      <c r="F2915" s="17" t="s">
        <v>3708</v>
      </c>
      <c r="G2915" s="17" t="s">
        <v>86</v>
      </c>
    </row>
    <row r="2916" spans="6:7" x14ac:dyDescent="0.25">
      <c r="F2916" s="17" t="s">
        <v>3709</v>
      </c>
      <c r="G2916" s="17" t="s">
        <v>86</v>
      </c>
    </row>
    <row r="2917" spans="6:7" x14ac:dyDescent="0.25">
      <c r="F2917" s="17" t="s">
        <v>3710</v>
      </c>
      <c r="G2917" s="17" t="s">
        <v>86</v>
      </c>
    </row>
    <row r="2918" spans="6:7" x14ac:dyDescent="0.25">
      <c r="F2918" s="17" t="s">
        <v>3711</v>
      </c>
      <c r="G2918" s="17" t="s">
        <v>86</v>
      </c>
    </row>
    <row r="2919" spans="6:7" x14ac:dyDescent="0.25">
      <c r="F2919" s="17" t="s">
        <v>477</v>
      </c>
      <c r="G2919" s="17" t="s">
        <v>86</v>
      </c>
    </row>
    <row r="2920" spans="6:7" x14ac:dyDescent="0.25">
      <c r="F2920" s="17" t="s">
        <v>3712</v>
      </c>
      <c r="G2920" s="17" t="s">
        <v>86</v>
      </c>
    </row>
    <row r="2921" spans="6:7" x14ac:dyDescent="0.25">
      <c r="F2921" s="17" t="s">
        <v>3713</v>
      </c>
      <c r="G2921" s="17" t="s">
        <v>3624</v>
      </c>
    </row>
    <row r="2922" spans="6:7" x14ac:dyDescent="0.25">
      <c r="F2922" s="17" t="s">
        <v>3714</v>
      </c>
      <c r="G2922" s="17" t="s">
        <v>3624</v>
      </c>
    </row>
    <row r="2923" spans="6:7" x14ac:dyDescent="0.25">
      <c r="F2923" s="17" t="s">
        <v>3715</v>
      </c>
      <c r="G2923" s="17" t="s">
        <v>3624</v>
      </c>
    </row>
    <row r="2924" spans="6:7" x14ac:dyDescent="0.25">
      <c r="F2924" s="17" t="s">
        <v>3716</v>
      </c>
      <c r="G2924" s="17" t="s">
        <v>3624</v>
      </c>
    </row>
    <row r="2925" spans="6:7" x14ac:dyDescent="0.25">
      <c r="F2925" s="17" t="s">
        <v>3717</v>
      </c>
      <c r="G2925" s="17" t="s">
        <v>3624</v>
      </c>
    </row>
    <row r="2926" spans="6:7" x14ac:dyDescent="0.25">
      <c r="F2926" s="17" t="s">
        <v>3718</v>
      </c>
      <c r="G2926" s="17" t="s">
        <v>3624</v>
      </c>
    </row>
    <row r="2927" spans="6:7" x14ac:dyDescent="0.25">
      <c r="F2927" s="17" t="s">
        <v>3719</v>
      </c>
      <c r="G2927" s="17" t="s">
        <v>3624</v>
      </c>
    </row>
    <row r="2928" spans="6:7" x14ac:dyDescent="0.25">
      <c r="F2928" s="17" t="s">
        <v>3720</v>
      </c>
      <c r="G2928" s="17" t="s">
        <v>3624</v>
      </c>
    </row>
    <row r="2929" spans="6:7" x14ac:dyDescent="0.25">
      <c r="F2929" s="17" t="s">
        <v>3721</v>
      </c>
      <c r="G2929" s="17" t="s">
        <v>3624</v>
      </c>
    </row>
    <row r="2930" spans="6:7" x14ac:dyDescent="0.25">
      <c r="F2930" s="17" t="s">
        <v>3722</v>
      </c>
      <c r="G2930" s="17" t="s">
        <v>3624</v>
      </c>
    </row>
    <row r="2931" spans="6:7" x14ac:dyDescent="0.25">
      <c r="F2931" s="17" t="s">
        <v>3723</v>
      </c>
      <c r="G2931" s="17" t="s">
        <v>86</v>
      </c>
    </row>
    <row r="2932" spans="6:7" x14ac:dyDescent="0.25">
      <c r="F2932" s="17" t="s">
        <v>3724</v>
      </c>
      <c r="G2932" s="17" t="s">
        <v>86</v>
      </c>
    </row>
    <row r="2933" spans="6:7" x14ac:dyDescent="0.25">
      <c r="F2933" s="17" t="s">
        <v>3725</v>
      </c>
      <c r="G2933" s="17" t="s">
        <v>86</v>
      </c>
    </row>
    <row r="2934" spans="6:7" x14ac:dyDescent="0.25">
      <c r="F2934" s="17" t="s">
        <v>3726</v>
      </c>
      <c r="G2934" s="17" t="s">
        <v>86</v>
      </c>
    </row>
    <row r="2935" spans="6:7" x14ac:dyDescent="0.25">
      <c r="F2935" s="17" t="s">
        <v>3727</v>
      </c>
      <c r="G2935" s="17" t="s">
        <v>2311</v>
      </c>
    </row>
    <row r="2936" spans="6:7" x14ac:dyDescent="0.25">
      <c r="F2936" s="17" t="s">
        <v>3728</v>
      </c>
      <c r="G2936" s="17" t="s">
        <v>2311</v>
      </c>
    </row>
    <row r="2937" spans="6:7" x14ac:dyDescent="0.25">
      <c r="F2937" s="17" t="s">
        <v>3729</v>
      </c>
      <c r="G2937" s="17" t="s">
        <v>2311</v>
      </c>
    </row>
    <row r="2938" spans="6:7" x14ac:dyDescent="0.25">
      <c r="F2938" s="17" t="s">
        <v>3730</v>
      </c>
      <c r="G2938" s="17" t="s">
        <v>2311</v>
      </c>
    </row>
    <row r="2939" spans="6:7" x14ac:dyDescent="0.25">
      <c r="F2939" s="17" t="s">
        <v>3731</v>
      </c>
      <c r="G2939" s="17" t="s">
        <v>2311</v>
      </c>
    </row>
    <row r="2940" spans="6:7" x14ac:dyDescent="0.25">
      <c r="F2940" s="17" t="s">
        <v>3732</v>
      </c>
      <c r="G2940" s="17" t="s">
        <v>2311</v>
      </c>
    </row>
    <row r="2941" spans="6:7" x14ac:dyDescent="0.25">
      <c r="F2941" s="17" t="s">
        <v>834</v>
      </c>
      <c r="G2941" s="17" t="s">
        <v>217</v>
      </c>
    </row>
    <row r="2942" spans="6:7" x14ac:dyDescent="0.25">
      <c r="F2942" s="17" t="s">
        <v>3733</v>
      </c>
      <c r="G2942" s="17" t="s">
        <v>217</v>
      </c>
    </row>
    <row r="2943" spans="6:7" x14ac:dyDescent="0.25">
      <c r="F2943" s="17" t="s">
        <v>946</v>
      </c>
      <c r="G2943" s="17" t="s">
        <v>217</v>
      </c>
    </row>
    <row r="2944" spans="6:7" x14ac:dyDescent="0.25">
      <c r="F2944" s="17" t="s">
        <v>775</v>
      </c>
      <c r="G2944" s="17" t="s">
        <v>217</v>
      </c>
    </row>
    <row r="2945" spans="6:7" x14ac:dyDescent="0.25">
      <c r="F2945" s="17" t="s">
        <v>3734</v>
      </c>
      <c r="G2945" s="17" t="s">
        <v>217</v>
      </c>
    </row>
    <row r="2946" spans="6:7" x14ac:dyDescent="0.25">
      <c r="F2946" s="17" t="s">
        <v>3735</v>
      </c>
      <c r="G2946" s="17" t="s">
        <v>217</v>
      </c>
    </row>
    <row r="2947" spans="6:7" x14ac:dyDescent="0.25">
      <c r="F2947" s="17" t="s">
        <v>3736</v>
      </c>
      <c r="G2947" s="17" t="s">
        <v>217</v>
      </c>
    </row>
    <row r="2948" spans="6:7" x14ac:dyDescent="0.25">
      <c r="F2948" s="17" t="s">
        <v>3737</v>
      </c>
      <c r="G2948" s="17" t="s">
        <v>217</v>
      </c>
    </row>
    <row r="2949" spans="6:7" x14ac:dyDescent="0.25">
      <c r="F2949" s="17" t="s">
        <v>804</v>
      </c>
      <c r="G2949" s="17" t="s">
        <v>217</v>
      </c>
    </row>
    <row r="2950" spans="6:7" x14ac:dyDescent="0.25">
      <c r="F2950" s="17" t="s">
        <v>3738</v>
      </c>
      <c r="G2950" s="17" t="s">
        <v>217</v>
      </c>
    </row>
    <row r="2951" spans="6:7" x14ac:dyDescent="0.25">
      <c r="F2951" s="17" t="s">
        <v>3739</v>
      </c>
      <c r="G2951" s="17" t="s">
        <v>217</v>
      </c>
    </row>
    <row r="2952" spans="6:7" x14ac:dyDescent="0.25">
      <c r="F2952" s="17" t="s">
        <v>893</v>
      </c>
      <c r="G2952" s="17" t="s">
        <v>217</v>
      </c>
    </row>
    <row r="2953" spans="6:7" x14ac:dyDescent="0.25">
      <c r="F2953" s="17" t="s">
        <v>3740</v>
      </c>
      <c r="G2953" s="17" t="s">
        <v>217</v>
      </c>
    </row>
    <row r="2954" spans="6:7" x14ac:dyDescent="0.25">
      <c r="F2954" s="17" t="s">
        <v>3741</v>
      </c>
      <c r="G2954" s="17" t="s">
        <v>217</v>
      </c>
    </row>
    <row r="2955" spans="6:7" x14ac:dyDescent="0.25">
      <c r="F2955" s="17" t="s">
        <v>953</v>
      </c>
      <c r="G2955" s="17" t="s">
        <v>217</v>
      </c>
    </row>
    <row r="2956" spans="6:7" x14ac:dyDescent="0.25">
      <c r="F2956" s="17" t="s">
        <v>3742</v>
      </c>
      <c r="G2956" s="17" t="s">
        <v>217</v>
      </c>
    </row>
    <row r="2957" spans="6:7" x14ac:dyDescent="0.25">
      <c r="F2957" s="17" t="s">
        <v>3743</v>
      </c>
      <c r="G2957" s="17" t="s">
        <v>86</v>
      </c>
    </row>
    <row r="2958" spans="6:7" x14ac:dyDescent="0.25">
      <c r="F2958" s="17" t="s">
        <v>3744</v>
      </c>
      <c r="G2958" s="17" t="s">
        <v>217</v>
      </c>
    </row>
    <row r="2959" spans="6:7" x14ac:dyDescent="0.25">
      <c r="F2959" s="17" t="s">
        <v>372</v>
      </c>
      <c r="G2959" s="17" t="s">
        <v>217</v>
      </c>
    </row>
    <row r="2960" spans="6:7" x14ac:dyDescent="0.25">
      <c r="F2960" s="17" t="s">
        <v>3745</v>
      </c>
      <c r="G2960" s="17" t="s">
        <v>217</v>
      </c>
    </row>
    <row r="2961" spans="6:7" x14ac:dyDescent="0.25">
      <c r="F2961" s="17" t="s">
        <v>991</v>
      </c>
      <c r="G2961" s="17" t="s">
        <v>217</v>
      </c>
    </row>
    <row r="2962" spans="6:7" x14ac:dyDescent="0.25">
      <c r="F2962" s="17" t="s">
        <v>939</v>
      </c>
      <c r="G2962" s="17" t="s">
        <v>217</v>
      </c>
    </row>
    <row r="2963" spans="6:7" x14ac:dyDescent="0.25">
      <c r="F2963" s="17" t="s">
        <v>3746</v>
      </c>
      <c r="G2963" s="17" t="s">
        <v>217</v>
      </c>
    </row>
    <row r="2964" spans="6:7" x14ac:dyDescent="0.25">
      <c r="F2964" s="17" t="s">
        <v>967</v>
      </c>
      <c r="G2964" s="17" t="s">
        <v>217</v>
      </c>
    </row>
    <row r="2965" spans="6:7" x14ac:dyDescent="0.25">
      <c r="F2965" s="17" t="s">
        <v>3747</v>
      </c>
      <c r="G2965" s="17" t="s">
        <v>217</v>
      </c>
    </row>
    <row r="2966" spans="6:7" x14ac:dyDescent="0.25">
      <c r="F2966" s="17" t="s">
        <v>3748</v>
      </c>
      <c r="G2966" s="17" t="s">
        <v>217</v>
      </c>
    </row>
    <row r="2967" spans="6:7" x14ac:dyDescent="0.25">
      <c r="F2967" s="17" t="s">
        <v>3749</v>
      </c>
      <c r="G2967" s="17" t="s">
        <v>217</v>
      </c>
    </row>
    <row r="2968" spans="6:7" x14ac:dyDescent="0.25">
      <c r="F2968" s="17" t="s">
        <v>3750</v>
      </c>
      <c r="G2968" s="17" t="s">
        <v>86</v>
      </c>
    </row>
    <row r="2969" spans="6:7" x14ac:dyDescent="0.25">
      <c r="F2969" s="17" t="s">
        <v>3751</v>
      </c>
      <c r="G2969" s="17" t="s">
        <v>86</v>
      </c>
    </row>
    <row r="2970" spans="6:7" x14ac:dyDescent="0.25">
      <c r="F2970" s="17" t="s">
        <v>541</v>
      </c>
      <c r="G2970" s="17" t="s">
        <v>217</v>
      </c>
    </row>
    <row r="2971" spans="6:7" x14ac:dyDescent="0.25">
      <c r="F2971" s="17" t="s">
        <v>3752</v>
      </c>
      <c r="G2971" s="17" t="s">
        <v>2309</v>
      </c>
    </row>
    <row r="2972" spans="6:7" x14ac:dyDescent="0.25">
      <c r="F2972" s="17" t="s">
        <v>3753</v>
      </c>
      <c r="G2972" s="17" t="s">
        <v>2309</v>
      </c>
    </row>
    <row r="2973" spans="6:7" x14ac:dyDescent="0.25">
      <c r="F2973" s="17" t="s">
        <v>3754</v>
      </c>
      <c r="G2973" s="17" t="s">
        <v>2309</v>
      </c>
    </row>
    <row r="2974" spans="6:7" x14ac:dyDescent="0.25">
      <c r="F2974" s="17" t="s">
        <v>3755</v>
      </c>
      <c r="G2974" s="17" t="s">
        <v>2309</v>
      </c>
    </row>
    <row r="2975" spans="6:7" x14ac:dyDescent="0.25">
      <c r="F2975" s="17" t="s">
        <v>3756</v>
      </c>
      <c r="G2975" s="17" t="s">
        <v>2309</v>
      </c>
    </row>
    <row r="2976" spans="6:7" x14ac:dyDescent="0.25">
      <c r="F2976" s="17" t="s">
        <v>3757</v>
      </c>
      <c r="G2976" s="17" t="s">
        <v>2309</v>
      </c>
    </row>
    <row r="2977" spans="6:7" x14ac:dyDescent="0.25">
      <c r="F2977" s="17" t="s">
        <v>3758</v>
      </c>
      <c r="G2977" s="17" t="s">
        <v>2309</v>
      </c>
    </row>
    <row r="2978" spans="6:7" x14ac:dyDescent="0.25">
      <c r="F2978" s="17" t="s">
        <v>3759</v>
      </c>
      <c r="G2978" s="17" t="s">
        <v>2309</v>
      </c>
    </row>
    <row r="2979" spans="6:7" x14ac:dyDescent="0.25">
      <c r="F2979" s="17" t="s">
        <v>3760</v>
      </c>
      <c r="G2979" s="17" t="s">
        <v>86</v>
      </c>
    </row>
    <row r="2980" spans="6:7" x14ac:dyDescent="0.25">
      <c r="F2980" s="17" t="s">
        <v>3761</v>
      </c>
      <c r="G2980" s="17" t="s">
        <v>217</v>
      </c>
    </row>
    <row r="2981" spans="6:7" x14ac:dyDescent="0.25">
      <c r="F2981" s="17" t="s">
        <v>3762</v>
      </c>
      <c r="G2981" s="17" t="s">
        <v>217</v>
      </c>
    </row>
    <row r="2982" spans="6:7" x14ac:dyDescent="0.25">
      <c r="F2982" s="17" t="s">
        <v>3763</v>
      </c>
      <c r="G2982" s="17" t="s">
        <v>217</v>
      </c>
    </row>
    <row r="2983" spans="6:7" x14ac:dyDescent="0.25">
      <c r="F2983" s="17" t="s">
        <v>3764</v>
      </c>
      <c r="G2983" s="17" t="s">
        <v>217</v>
      </c>
    </row>
    <row r="2984" spans="6:7" x14ac:dyDescent="0.25">
      <c r="F2984" s="17" t="s">
        <v>3765</v>
      </c>
      <c r="G2984" s="17" t="s">
        <v>217</v>
      </c>
    </row>
    <row r="2985" spans="6:7" x14ac:dyDescent="0.25">
      <c r="F2985" s="17" t="s">
        <v>3766</v>
      </c>
      <c r="G2985" s="17" t="s">
        <v>217</v>
      </c>
    </row>
    <row r="2986" spans="6:7" x14ac:dyDescent="0.25">
      <c r="F2986" s="17" t="s">
        <v>3767</v>
      </c>
      <c r="G2986" s="17" t="s">
        <v>217</v>
      </c>
    </row>
    <row r="2987" spans="6:7" x14ac:dyDescent="0.25">
      <c r="F2987" s="17" t="s">
        <v>3768</v>
      </c>
      <c r="G2987" s="17" t="s">
        <v>217</v>
      </c>
    </row>
    <row r="2988" spans="6:7" x14ac:dyDescent="0.25">
      <c r="F2988" s="17" t="s">
        <v>3769</v>
      </c>
      <c r="G2988" s="17" t="s">
        <v>217</v>
      </c>
    </row>
    <row r="2989" spans="6:7" x14ac:dyDescent="0.25">
      <c r="F2989" s="17" t="s">
        <v>3770</v>
      </c>
      <c r="G2989" s="17" t="s">
        <v>217</v>
      </c>
    </row>
    <row r="2990" spans="6:7" x14ac:dyDescent="0.25">
      <c r="F2990" s="17" t="s">
        <v>3771</v>
      </c>
      <c r="G2990" s="17" t="s">
        <v>217</v>
      </c>
    </row>
    <row r="2991" spans="6:7" x14ac:dyDescent="0.25">
      <c r="F2991" s="17" t="s">
        <v>3772</v>
      </c>
      <c r="G2991" s="17" t="s">
        <v>86</v>
      </c>
    </row>
    <row r="2992" spans="6:7" x14ac:dyDescent="0.25">
      <c r="F2992" s="17" t="s">
        <v>3773</v>
      </c>
      <c r="G2992" s="17" t="s">
        <v>86</v>
      </c>
    </row>
    <row r="2993" spans="6:7" x14ac:dyDescent="0.25">
      <c r="F2993" s="17" t="s">
        <v>3774</v>
      </c>
      <c r="G2993" s="17" t="s">
        <v>86</v>
      </c>
    </row>
    <row r="2994" spans="6:7" x14ac:dyDescent="0.25">
      <c r="F2994" s="17" t="s">
        <v>3775</v>
      </c>
      <c r="G2994" s="17" t="s">
        <v>86</v>
      </c>
    </row>
    <row r="2995" spans="6:7" x14ac:dyDescent="0.25">
      <c r="F2995" s="17" t="s">
        <v>3776</v>
      </c>
      <c r="G2995" s="17" t="s">
        <v>86</v>
      </c>
    </row>
    <row r="2996" spans="6:7" x14ac:dyDescent="0.25">
      <c r="F2996" s="17" t="s">
        <v>3777</v>
      </c>
      <c r="G2996" s="17" t="s">
        <v>86</v>
      </c>
    </row>
    <row r="2997" spans="6:7" x14ac:dyDescent="0.25">
      <c r="F2997" s="17" t="s">
        <v>3778</v>
      </c>
      <c r="G2997" s="17" t="s">
        <v>86</v>
      </c>
    </row>
    <row r="2998" spans="6:7" x14ac:dyDescent="0.25">
      <c r="F2998" s="17" t="s">
        <v>3779</v>
      </c>
      <c r="G2998" s="17" t="s">
        <v>86</v>
      </c>
    </row>
    <row r="2999" spans="6:7" x14ac:dyDescent="0.25">
      <c r="F2999" s="17" t="s">
        <v>3780</v>
      </c>
      <c r="G2999" s="17" t="s">
        <v>86</v>
      </c>
    </row>
    <row r="3000" spans="6:7" x14ac:dyDescent="0.25">
      <c r="F3000" s="17" t="s">
        <v>3781</v>
      </c>
      <c r="G3000" s="17" t="s">
        <v>86</v>
      </c>
    </row>
    <row r="3001" spans="6:7" x14ac:dyDescent="0.25">
      <c r="F3001" s="17" t="s">
        <v>3782</v>
      </c>
      <c r="G3001" s="17" t="s">
        <v>86</v>
      </c>
    </row>
    <row r="3002" spans="6:7" x14ac:dyDescent="0.25">
      <c r="F3002" s="17" t="s">
        <v>3783</v>
      </c>
      <c r="G3002" s="17" t="s">
        <v>86</v>
      </c>
    </row>
    <row r="3003" spans="6:7" x14ac:dyDescent="0.25">
      <c r="F3003" s="17" t="s">
        <v>265</v>
      </c>
      <c r="G3003" s="17" t="s">
        <v>217</v>
      </c>
    </row>
    <row r="3004" spans="6:7" x14ac:dyDescent="0.25">
      <c r="F3004" s="17" t="s">
        <v>3784</v>
      </c>
      <c r="G3004" s="17" t="s">
        <v>86</v>
      </c>
    </row>
    <row r="3005" spans="6:7" x14ac:dyDescent="0.25">
      <c r="F3005" s="17" t="s">
        <v>3785</v>
      </c>
      <c r="G3005" s="17" t="s">
        <v>86</v>
      </c>
    </row>
    <row r="3006" spans="6:7" x14ac:dyDescent="0.25">
      <c r="F3006" s="17" t="s">
        <v>3786</v>
      </c>
      <c r="G3006" s="17" t="s">
        <v>86</v>
      </c>
    </row>
    <row r="3007" spans="6:7" x14ac:dyDescent="0.25">
      <c r="F3007" s="17" t="s">
        <v>3787</v>
      </c>
      <c r="G3007" s="17" t="s">
        <v>86</v>
      </c>
    </row>
    <row r="3008" spans="6:7" x14ac:dyDescent="0.25">
      <c r="F3008" s="17" t="s">
        <v>3788</v>
      </c>
      <c r="G3008" s="17" t="s">
        <v>86</v>
      </c>
    </row>
    <row r="3009" spans="6:7" x14ac:dyDescent="0.25">
      <c r="F3009" s="17" t="s">
        <v>3789</v>
      </c>
      <c r="G3009" s="17" t="s">
        <v>86</v>
      </c>
    </row>
    <row r="3010" spans="6:7" x14ac:dyDescent="0.25">
      <c r="F3010" s="17" t="s">
        <v>3790</v>
      </c>
      <c r="G3010" s="17" t="s">
        <v>86</v>
      </c>
    </row>
    <row r="3011" spans="6:7" x14ac:dyDescent="0.25">
      <c r="F3011" s="17" t="s">
        <v>3791</v>
      </c>
      <c r="G3011" s="17" t="s">
        <v>86</v>
      </c>
    </row>
    <row r="3012" spans="6:7" x14ac:dyDescent="0.25">
      <c r="F3012" s="17" t="s">
        <v>3792</v>
      </c>
      <c r="G3012" s="17" t="s">
        <v>86</v>
      </c>
    </row>
    <row r="3013" spans="6:7" x14ac:dyDescent="0.25">
      <c r="F3013" s="17" t="s">
        <v>497</v>
      </c>
      <c r="G3013" s="17" t="s">
        <v>86</v>
      </c>
    </row>
    <row r="3014" spans="6:7" x14ac:dyDescent="0.25">
      <c r="F3014" s="17" t="s">
        <v>3793</v>
      </c>
      <c r="G3014" s="17" t="s">
        <v>2290</v>
      </c>
    </row>
    <row r="3015" spans="6:7" x14ac:dyDescent="0.25">
      <c r="F3015" s="17" t="s">
        <v>3794</v>
      </c>
      <c r="G3015" s="17" t="s">
        <v>2290</v>
      </c>
    </row>
    <row r="3016" spans="6:7" x14ac:dyDescent="0.25">
      <c r="F3016" s="17" t="s">
        <v>3795</v>
      </c>
      <c r="G3016" s="17" t="s">
        <v>217</v>
      </c>
    </row>
    <row r="3017" spans="6:7" x14ac:dyDescent="0.25">
      <c r="F3017" s="17" t="s">
        <v>3796</v>
      </c>
      <c r="G3017" s="17" t="s">
        <v>217</v>
      </c>
    </row>
    <row r="3018" spans="6:7" x14ac:dyDescent="0.25">
      <c r="F3018" s="17" t="s">
        <v>3797</v>
      </c>
      <c r="G3018" s="17" t="s">
        <v>217</v>
      </c>
    </row>
    <row r="3019" spans="6:7" x14ac:dyDescent="0.25">
      <c r="F3019" s="17" t="s">
        <v>3798</v>
      </c>
      <c r="G3019" s="17" t="s">
        <v>217</v>
      </c>
    </row>
    <row r="3020" spans="6:7" x14ac:dyDescent="0.25">
      <c r="F3020" s="17" t="s">
        <v>3799</v>
      </c>
      <c r="G3020" s="17" t="s">
        <v>217</v>
      </c>
    </row>
    <row r="3021" spans="6:7" x14ac:dyDescent="0.25">
      <c r="F3021" s="17" t="s">
        <v>3800</v>
      </c>
      <c r="G3021" s="17" t="s">
        <v>217</v>
      </c>
    </row>
    <row r="3022" spans="6:7" x14ac:dyDescent="0.25">
      <c r="F3022" s="17" t="s">
        <v>3801</v>
      </c>
      <c r="G3022" s="17" t="s">
        <v>217</v>
      </c>
    </row>
    <row r="3023" spans="6:7" x14ac:dyDescent="0.25">
      <c r="F3023" s="17" t="s">
        <v>3802</v>
      </c>
      <c r="G3023" s="17" t="s">
        <v>217</v>
      </c>
    </row>
    <row r="3024" spans="6:7" x14ac:dyDescent="0.25">
      <c r="F3024" s="17" t="s">
        <v>3803</v>
      </c>
      <c r="G3024" s="17" t="s">
        <v>217</v>
      </c>
    </row>
    <row r="3025" spans="6:7" x14ac:dyDescent="0.25">
      <c r="F3025" s="17" t="s">
        <v>3804</v>
      </c>
      <c r="G3025" s="17" t="s">
        <v>217</v>
      </c>
    </row>
    <row r="3026" spans="6:7" x14ac:dyDescent="0.25">
      <c r="F3026" s="17" t="s">
        <v>3805</v>
      </c>
      <c r="G3026" s="17" t="s">
        <v>217</v>
      </c>
    </row>
    <row r="3027" spans="6:7" x14ac:dyDescent="0.25">
      <c r="F3027" s="17" t="s">
        <v>3806</v>
      </c>
      <c r="G3027" s="17" t="s">
        <v>217</v>
      </c>
    </row>
    <row r="3028" spans="6:7" x14ac:dyDescent="0.25">
      <c r="F3028" s="17" t="s">
        <v>3807</v>
      </c>
      <c r="G3028" s="17" t="s">
        <v>217</v>
      </c>
    </row>
    <row r="3029" spans="6:7" x14ac:dyDescent="0.25">
      <c r="F3029" s="17" t="s">
        <v>3808</v>
      </c>
      <c r="G3029" s="17" t="s">
        <v>193</v>
      </c>
    </row>
    <row r="3030" spans="6:7" x14ac:dyDescent="0.25">
      <c r="F3030" s="17" t="s">
        <v>3809</v>
      </c>
      <c r="G3030" s="17" t="s">
        <v>193</v>
      </c>
    </row>
    <row r="3031" spans="6:7" x14ac:dyDescent="0.25">
      <c r="F3031" s="17" t="s">
        <v>3810</v>
      </c>
      <c r="G3031" s="17" t="s">
        <v>193</v>
      </c>
    </row>
    <row r="3032" spans="6:7" x14ac:dyDescent="0.25">
      <c r="F3032" s="17" t="s">
        <v>3811</v>
      </c>
      <c r="G3032" s="17" t="s">
        <v>193</v>
      </c>
    </row>
    <row r="3033" spans="6:7" x14ac:dyDescent="0.25">
      <c r="F3033" s="17" t="s">
        <v>3812</v>
      </c>
      <c r="G3033" s="17" t="s">
        <v>191</v>
      </c>
    </row>
    <row r="3034" spans="6:7" x14ac:dyDescent="0.25">
      <c r="F3034" s="17" t="s">
        <v>3813</v>
      </c>
      <c r="G3034" s="17" t="s">
        <v>217</v>
      </c>
    </row>
    <row r="3035" spans="6:7" x14ac:dyDescent="0.25">
      <c r="F3035" s="17" t="s">
        <v>3814</v>
      </c>
      <c r="G3035" s="17" t="s">
        <v>217</v>
      </c>
    </row>
    <row r="3036" spans="6:7" x14ac:dyDescent="0.25">
      <c r="F3036" s="17" t="s">
        <v>3815</v>
      </c>
      <c r="G3036" s="17" t="s">
        <v>217</v>
      </c>
    </row>
    <row r="3037" spans="6:7" x14ac:dyDescent="0.25">
      <c r="F3037" s="17" t="s">
        <v>3816</v>
      </c>
      <c r="G3037" s="17" t="s">
        <v>217</v>
      </c>
    </row>
    <row r="3038" spans="6:7" x14ac:dyDescent="0.25">
      <c r="F3038" s="17" t="s">
        <v>3817</v>
      </c>
      <c r="G3038" s="17" t="s">
        <v>217</v>
      </c>
    </row>
    <row r="3039" spans="6:7" x14ac:dyDescent="0.25">
      <c r="F3039" s="17" t="s">
        <v>3818</v>
      </c>
      <c r="G3039" s="17" t="s">
        <v>217</v>
      </c>
    </row>
    <row r="3040" spans="6:7" x14ac:dyDescent="0.25">
      <c r="F3040" s="17" t="s">
        <v>3819</v>
      </c>
      <c r="G3040" s="17" t="s">
        <v>217</v>
      </c>
    </row>
    <row r="3041" spans="6:7" x14ac:dyDescent="0.25">
      <c r="F3041" s="17" t="s">
        <v>3820</v>
      </c>
      <c r="G3041" s="17" t="s">
        <v>217</v>
      </c>
    </row>
    <row r="3042" spans="6:7" x14ac:dyDescent="0.25">
      <c r="F3042" s="17" t="s">
        <v>3821</v>
      </c>
      <c r="G3042" s="17" t="s">
        <v>217</v>
      </c>
    </row>
    <row r="3043" spans="6:7" x14ac:dyDescent="0.25">
      <c r="F3043" s="17" t="s">
        <v>838</v>
      </c>
      <c r="G3043" s="17" t="s">
        <v>217</v>
      </c>
    </row>
    <row r="3044" spans="6:7" x14ac:dyDescent="0.25">
      <c r="F3044" s="17" t="s">
        <v>923</v>
      </c>
      <c r="G3044" s="17" t="s">
        <v>217</v>
      </c>
    </row>
    <row r="3045" spans="6:7" x14ac:dyDescent="0.25">
      <c r="F3045" s="17" t="s">
        <v>3822</v>
      </c>
      <c r="G3045" s="17" t="s">
        <v>217</v>
      </c>
    </row>
    <row r="3046" spans="6:7" x14ac:dyDescent="0.25">
      <c r="F3046" s="17" t="s">
        <v>3823</v>
      </c>
      <c r="G3046" s="17" t="s">
        <v>217</v>
      </c>
    </row>
    <row r="3047" spans="6:7" x14ac:dyDescent="0.25">
      <c r="F3047" s="17" t="s">
        <v>3824</v>
      </c>
      <c r="G3047" s="17" t="s">
        <v>201</v>
      </c>
    </row>
    <row r="3048" spans="6:7" x14ac:dyDescent="0.25">
      <c r="F3048" s="17" t="s">
        <v>3825</v>
      </c>
      <c r="G3048" s="17" t="s">
        <v>217</v>
      </c>
    </row>
    <row r="3049" spans="6:7" x14ac:dyDescent="0.25">
      <c r="F3049" s="17" t="s">
        <v>3826</v>
      </c>
      <c r="G3049" s="17" t="s">
        <v>201</v>
      </c>
    </row>
    <row r="3050" spans="6:7" x14ac:dyDescent="0.25">
      <c r="F3050" s="17" t="s">
        <v>3827</v>
      </c>
      <c r="G3050" s="17" t="s">
        <v>201</v>
      </c>
    </row>
    <row r="3051" spans="6:7" x14ac:dyDescent="0.25">
      <c r="F3051" s="17" t="s">
        <v>3828</v>
      </c>
      <c r="G3051" s="17" t="s">
        <v>217</v>
      </c>
    </row>
    <row r="3052" spans="6:7" x14ac:dyDescent="0.25">
      <c r="F3052" s="17" t="s">
        <v>3829</v>
      </c>
      <c r="G3052" s="17" t="s">
        <v>201</v>
      </c>
    </row>
    <row r="3053" spans="6:7" x14ac:dyDescent="0.25">
      <c r="F3053" s="17" t="s">
        <v>898</v>
      </c>
      <c r="G3053" s="17" t="s">
        <v>217</v>
      </c>
    </row>
    <row r="3054" spans="6:7" x14ac:dyDescent="0.25">
      <c r="F3054" s="17" t="s">
        <v>3830</v>
      </c>
      <c r="G3054" s="17" t="s">
        <v>217</v>
      </c>
    </row>
    <row r="3055" spans="6:7" x14ac:dyDescent="0.25">
      <c r="F3055" s="17" t="s">
        <v>3831</v>
      </c>
      <c r="G3055" s="17" t="s">
        <v>217</v>
      </c>
    </row>
    <row r="3056" spans="6:7" x14ac:dyDescent="0.25">
      <c r="F3056" s="17" t="s">
        <v>3832</v>
      </c>
      <c r="G3056" s="17" t="s">
        <v>217</v>
      </c>
    </row>
    <row r="3057" spans="6:7" x14ac:dyDescent="0.25">
      <c r="F3057" s="17" t="s">
        <v>3833</v>
      </c>
      <c r="G3057" s="17" t="s">
        <v>217</v>
      </c>
    </row>
    <row r="3058" spans="6:7" x14ac:dyDescent="0.25">
      <c r="F3058" s="17" t="s">
        <v>3834</v>
      </c>
      <c r="G3058" s="17" t="s">
        <v>217</v>
      </c>
    </row>
    <row r="3059" spans="6:7" x14ac:dyDescent="0.25">
      <c r="F3059" s="17" t="s">
        <v>3835</v>
      </c>
      <c r="G3059" s="17" t="s">
        <v>217</v>
      </c>
    </row>
    <row r="3060" spans="6:7" x14ac:dyDescent="0.25">
      <c r="F3060" s="17" t="s">
        <v>3836</v>
      </c>
      <c r="G3060" s="17" t="s">
        <v>217</v>
      </c>
    </row>
    <row r="3061" spans="6:7" x14ac:dyDescent="0.25">
      <c r="F3061" s="17" t="s">
        <v>3837</v>
      </c>
      <c r="G3061" s="17" t="s">
        <v>217</v>
      </c>
    </row>
    <row r="3062" spans="6:7" x14ac:dyDescent="0.25">
      <c r="F3062" s="17" t="s">
        <v>3838</v>
      </c>
      <c r="G3062" s="17" t="s">
        <v>217</v>
      </c>
    </row>
    <row r="3063" spans="6:7" x14ac:dyDescent="0.25">
      <c r="F3063" s="17" t="s">
        <v>3839</v>
      </c>
      <c r="G3063" s="17" t="s">
        <v>217</v>
      </c>
    </row>
    <row r="3064" spans="6:7" x14ac:dyDescent="0.25">
      <c r="F3064" s="17" t="s">
        <v>3840</v>
      </c>
      <c r="G3064" s="17" t="s">
        <v>217</v>
      </c>
    </row>
    <row r="3065" spans="6:7" x14ac:dyDescent="0.25">
      <c r="F3065" s="17" t="s">
        <v>3841</v>
      </c>
      <c r="G3065" s="17" t="s">
        <v>217</v>
      </c>
    </row>
    <row r="3066" spans="6:7" x14ac:dyDescent="0.25">
      <c r="F3066" s="17" t="s">
        <v>3842</v>
      </c>
      <c r="G3066" s="17" t="s">
        <v>217</v>
      </c>
    </row>
    <row r="3067" spans="6:7" x14ac:dyDescent="0.25">
      <c r="F3067" s="17" t="s">
        <v>3843</v>
      </c>
      <c r="G3067" s="17" t="s">
        <v>217</v>
      </c>
    </row>
    <row r="3068" spans="6:7" x14ac:dyDescent="0.25">
      <c r="F3068" s="17" t="s">
        <v>3844</v>
      </c>
      <c r="G3068" s="17" t="s">
        <v>217</v>
      </c>
    </row>
    <row r="3069" spans="6:7" x14ac:dyDescent="0.25">
      <c r="F3069" s="17" t="s">
        <v>3845</v>
      </c>
      <c r="G3069" s="17" t="s">
        <v>217</v>
      </c>
    </row>
    <row r="3070" spans="6:7" x14ac:dyDescent="0.25">
      <c r="F3070" s="17" t="s">
        <v>3846</v>
      </c>
      <c r="G3070" s="17" t="s">
        <v>217</v>
      </c>
    </row>
    <row r="3071" spans="6:7" x14ac:dyDescent="0.25">
      <c r="F3071" s="17" t="s">
        <v>3847</v>
      </c>
      <c r="G3071" s="17" t="s">
        <v>217</v>
      </c>
    </row>
    <row r="3072" spans="6:7" x14ac:dyDescent="0.25">
      <c r="F3072" s="17" t="s">
        <v>3848</v>
      </c>
      <c r="G3072" s="17" t="s">
        <v>217</v>
      </c>
    </row>
    <row r="3073" spans="6:7" x14ac:dyDescent="0.25">
      <c r="F3073" s="17" t="s">
        <v>3849</v>
      </c>
      <c r="G3073" s="17" t="s">
        <v>217</v>
      </c>
    </row>
    <row r="3074" spans="6:7" x14ac:dyDescent="0.25">
      <c r="F3074" s="17" t="s">
        <v>3850</v>
      </c>
      <c r="G3074" s="17" t="s">
        <v>191</v>
      </c>
    </row>
    <row r="3075" spans="6:7" x14ac:dyDescent="0.25">
      <c r="F3075" s="17" t="s">
        <v>3851</v>
      </c>
      <c r="G3075" s="17" t="s">
        <v>217</v>
      </c>
    </row>
    <row r="3076" spans="6:7" x14ac:dyDescent="0.25">
      <c r="F3076" s="17" t="s">
        <v>3852</v>
      </c>
      <c r="G3076" s="17" t="s">
        <v>217</v>
      </c>
    </row>
    <row r="3077" spans="6:7" x14ac:dyDescent="0.25">
      <c r="F3077" s="17" t="s">
        <v>3853</v>
      </c>
      <c r="G3077" s="17" t="s">
        <v>217</v>
      </c>
    </row>
    <row r="3078" spans="6:7" x14ac:dyDescent="0.25">
      <c r="F3078" s="17" t="s">
        <v>3854</v>
      </c>
      <c r="G3078" s="17" t="s">
        <v>217</v>
      </c>
    </row>
    <row r="3079" spans="6:7" x14ac:dyDescent="0.25">
      <c r="F3079" s="17" t="s">
        <v>3855</v>
      </c>
      <c r="G3079" s="17" t="s">
        <v>217</v>
      </c>
    </row>
    <row r="3080" spans="6:7" x14ac:dyDescent="0.25">
      <c r="F3080" s="17" t="s">
        <v>3856</v>
      </c>
      <c r="G3080" s="17" t="s">
        <v>217</v>
      </c>
    </row>
    <row r="3081" spans="6:7" x14ac:dyDescent="0.25">
      <c r="F3081" s="17" t="s">
        <v>3857</v>
      </c>
      <c r="G3081" s="17" t="s">
        <v>217</v>
      </c>
    </row>
    <row r="3082" spans="6:7" x14ac:dyDescent="0.25">
      <c r="F3082" s="17" t="s">
        <v>3858</v>
      </c>
      <c r="G3082" s="17" t="s">
        <v>217</v>
      </c>
    </row>
    <row r="3083" spans="6:7" x14ac:dyDescent="0.25">
      <c r="F3083" s="17" t="s">
        <v>3859</v>
      </c>
      <c r="G3083" s="17" t="s">
        <v>217</v>
      </c>
    </row>
    <row r="3084" spans="6:7" x14ac:dyDescent="0.25">
      <c r="F3084" s="17" t="s">
        <v>3860</v>
      </c>
      <c r="G3084" s="17" t="s">
        <v>217</v>
      </c>
    </row>
    <row r="3085" spans="6:7" x14ac:dyDescent="0.25">
      <c r="F3085" s="17" t="s">
        <v>3861</v>
      </c>
      <c r="G3085" s="17" t="s">
        <v>217</v>
      </c>
    </row>
    <row r="3086" spans="6:7" x14ac:dyDescent="0.25">
      <c r="F3086" s="17" t="s">
        <v>3862</v>
      </c>
      <c r="G3086" s="17" t="s">
        <v>217</v>
      </c>
    </row>
    <row r="3087" spans="6:7" x14ac:dyDescent="0.25">
      <c r="F3087" s="17" t="s">
        <v>3863</v>
      </c>
      <c r="G3087" s="17" t="s">
        <v>217</v>
      </c>
    </row>
    <row r="3088" spans="6:7" x14ac:dyDescent="0.25">
      <c r="F3088" s="17" t="s">
        <v>3864</v>
      </c>
      <c r="G3088" s="17" t="s">
        <v>217</v>
      </c>
    </row>
    <row r="3089" spans="6:7" x14ac:dyDescent="0.25">
      <c r="F3089" s="17" t="s">
        <v>3865</v>
      </c>
      <c r="G3089" s="17" t="s">
        <v>217</v>
      </c>
    </row>
    <row r="3090" spans="6:7" x14ac:dyDescent="0.25">
      <c r="F3090" s="17" t="s">
        <v>3866</v>
      </c>
      <c r="G3090" s="17" t="s">
        <v>217</v>
      </c>
    </row>
    <row r="3091" spans="6:7" x14ac:dyDescent="0.25">
      <c r="F3091" s="17" t="s">
        <v>3867</v>
      </c>
      <c r="G3091" s="17" t="s">
        <v>217</v>
      </c>
    </row>
    <row r="3092" spans="6:7" x14ac:dyDescent="0.25">
      <c r="F3092" s="17" t="s">
        <v>3868</v>
      </c>
      <c r="G3092" s="17" t="s">
        <v>217</v>
      </c>
    </row>
    <row r="3093" spans="6:7" x14ac:dyDescent="0.25">
      <c r="F3093" s="17" t="s">
        <v>3869</v>
      </c>
      <c r="G3093" s="17" t="s">
        <v>217</v>
      </c>
    </row>
    <row r="3094" spans="6:7" x14ac:dyDescent="0.25">
      <c r="F3094" s="17" t="s">
        <v>3870</v>
      </c>
      <c r="G3094" s="17" t="s">
        <v>217</v>
      </c>
    </row>
    <row r="3095" spans="6:7" x14ac:dyDescent="0.25">
      <c r="F3095" s="17" t="s">
        <v>3871</v>
      </c>
      <c r="G3095" s="17" t="s">
        <v>217</v>
      </c>
    </row>
    <row r="3096" spans="6:7" x14ac:dyDescent="0.25">
      <c r="F3096" s="17" t="s">
        <v>3872</v>
      </c>
      <c r="G3096" s="17" t="s">
        <v>217</v>
      </c>
    </row>
    <row r="3097" spans="6:7" x14ac:dyDescent="0.25">
      <c r="F3097" s="17" t="s">
        <v>3873</v>
      </c>
      <c r="G3097" s="17" t="s">
        <v>217</v>
      </c>
    </row>
    <row r="3098" spans="6:7" x14ac:dyDescent="0.25">
      <c r="F3098" s="17" t="s">
        <v>3874</v>
      </c>
      <c r="G3098" s="17" t="s">
        <v>217</v>
      </c>
    </row>
    <row r="3099" spans="6:7" x14ac:dyDescent="0.25">
      <c r="F3099" s="17" t="s">
        <v>3875</v>
      </c>
      <c r="G3099" s="17" t="s">
        <v>217</v>
      </c>
    </row>
    <row r="3100" spans="6:7" x14ac:dyDescent="0.25">
      <c r="F3100" s="17" t="s">
        <v>3876</v>
      </c>
      <c r="G3100" s="17" t="s">
        <v>217</v>
      </c>
    </row>
    <row r="3101" spans="6:7" x14ac:dyDescent="0.25">
      <c r="F3101" s="17" t="s">
        <v>3877</v>
      </c>
      <c r="G3101" s="17" t="s">
        <v>217</v>
      </c>
    </row>
    <row r="3102" spans="6:7" x14ac:dyDescent="0.25">
      <c r="F3102" s="17" t="s">
        <v>3878</v>
      </c>
      <c r="G3102" s="17" t="s">
        <v>217</v>
      </c>
    </row>
    <row r="3103" spans="6:7" x14ac:dyDescent="0.25">
      <c r="F3103" s="17" t="s">
        <v>3879</v>
      </c>
      <c r="G3103" s="17" t="s">
        <v>217</v>
      </c>
    </row>
    <row r="3104" spans="6:7" x14ac:dyDescent="0.25">
      <c r="F3104" s="17" t="s">
        <v>3880</v>
      </c>
      <c r="G3104" s="17" t="s">
        <v>217</v>
      </c>
    </row>
    <row r="3105" spans="6:7" x14ac:dyDescent="0.25">
      <c r="F3105" s="17" t="s">
        <v>3881</v>
      </c>
      <c r="G3105" s="17" t="s">
        <v>217</v>
      </c>
    </row>
    <row r="3106" spans="6:7" x14ac:dyDescent="0.25">
      <c r="F3106" s="17" t="s">
        <v>3882</v>
      </c>
      <c r="G3106" s="17" t="s">
        <v>217</v>
      </c>
    </row>
    <row r="3107" spans="6:7" x14ac:dyDescent="0.25">
      <c r="F3107" s="17" t="s">
        <v>3883</v>
      </c>
      <c r="G3107" s="17" t="s">
        <v>217</v>
      </c>
    </row>
    <row r="3108" spans="6:7" x14ac:dyDescent="0.25">
      <c r="F3108" s="17" t="s">
        <v>3884</v>
      </c>
      <c r="G3108" s="17" t="s">
        <v>217</v>
      </c>
    </row>
    <row r="3109" spans="6:7" x14ac:dyDescent="0.25">
      <c r="F3109" s="17" t="s">
        <v>3885</v>
      </c>
      <c r="G3109" s="17" t="s">
        <v>217</v>
      </c>
    </row>
    <row r="3110" spans="6:7" x14ac:dyDescent="0.25">
      <c r="F3110" s="17" t="s">
        <v>3886</v>
      </c>
      <c r="G3110" s="17" t="s">
        <v>217</v>
      </c>
    </row>
    <row r="3111" spans="6:7" x14ac:dyDescent="0.25">
      <c r="F3111" s="17" t="s">
        <v>3887</v>
      </c>
      <c r="G3111" s="17" t="s">
        <v>217</v>
      </c>
    </row>
    <row r="3112" spans="6:7" x14ac:dyDescent="0.25">
      <c r="F3112" s="17" t="s">
        <v>3888</v>
      </c>
      <c r="G3112" s="17" t="s">
        <v>217</v>
      </c>
    </row>
    <row r="3113" spans="6:7" x14ac:dyDescent="0.25">
      <c r="F3113" s="17" t="s">
        <v>3889</v>
      </c>
      <c r="G3113" s="17" t="s">
        <v>217</v>
      </c>
    </row>
    <row r="3114" spans="6:7" x14ac:dyDescent="0.25">
      <c r="F3114" s="17" t="s">
        <v>3890</v>
      </c>
      <c r="G3114" s="17" t="s">
        <v>217</v>
      </c>
    </row>
    <row r="3115" spans="6:7" x14ac:dyDescent="0.25">
      <c r="F3115" s="17" t="s">
        <v>3891</v>
      </c>
      <c r="G3115" s="17" t="s">
        <v>217</v>
      </c>
    </row>
    <row r="3116" spans="6:7" x14ac:dyDescent="0.25">
      <c r="F3116" s="17" t="s">
        <v>3892</v>
      </c>
      <c r="G3116" s="17" t="s">
        <v>217</v>
      </c>
    </row>
    <row r="3117" spans="6:7" x14ac:dyDescent="0.25">
      <c r="F3117" s="17" t="s">
        <v>3893</v>
      </c>
      <c r="G3117" s="17" t="s">
        <v>217</v>
      </c>
    </row>
    <row r="3118" spans="6:7" x14ac:dyDescent="0.25">
      <c r="F3118" s="17" t="s">
        <v>3894</v>
      </c>
      <c r="G3118" s="17" t="s">
        <v>217</v>
      </c>
    </row>
    <row r="3119" spans="6:7" x14ac:dyDescent="0.25">
      <c r="F3119" s="17" t="s">
        <v>3895</v>
      </c>
      <c r="G3119" s="17" t="s">
        <v>217</v>
      </c>
    </row>
    <row r="3120" spans="6:7" x14ac:dyDescent="0.25">
      <c r="F3120" s="17" t="s">
        <v>3896</v>
      </c>
      <c r="G3120" s="17" t="s">
        <v>217</v>
      </c>
    </row>
    <row r="3121" spans="6:7" x14ac:dyDescent="0.25">
      <c r="F3121" s="17" t="s">
        <v>3897</v>
      </c>
      <c r="G3121" s="17" t="s">
        <v>217</v>
      </c>
    </row>
    <row r="3122" spans="6:7" x14ac:dyDescent="0.25">
      <c r="F3122" s="17" t="s">
        <v>3898</v>
      </c>
      <c r="G3122" s="17" t="s">
        <v>217</v>
      </c>
    </row>
    <row r="3123" spans="6:7" x14ac:dyDescent="0.25">
      <c r="F3123" s="17" t="s">
        <v>3899</v>
      </c>
      <c r="G3123" s="17" t="s">
        <v>217</v>
      </c>
    </row>
    <row r="3124" spans="6:7" x14ac:dyDescent="0.25">
      <c r="F3124" s="17" t="s">
        <v>3900</v>
      </c>
      <c r="G3124" s="17" t="s">
        <v>217</v>
      </c>
    </row>
    <row r="3125" spans="6:7" x14ac:dyDescent="0.25">
      <c r="F3125" s="17" t="s">
        <v>3901</v>
      </c>
      <c r="G3125" s="17" t="s">
        <v>217</v>
      </c>
    </row>
    <row r="3126" spans="6:7" x14ac:dyDescent="0.25">
      <c r="F3126" s="17" t="s">
        <v>3902</v>
      </c>
      <c r="G3126" s="17" t="s">
        <v>217</v>
      </c>
    </row>
    <row r="3127" spans="6:7" x14ac:dyDescent="0.25">
      <c r="F3127" s="17" t="s">
        <v>3903</v>
      </c>
      <c r="G3127" s="17" t="s">
        <v>217</v>
      </c>
    </row>
    <row r="3128" spans="6:7" x14ac:dyDescent="0.25">
      <c r="F3128" s="17" t="s">
        <v>3904</v>
      </c>
      <c r="G3128" s="17" t="s">
        <v>217</v>
      </c>
    </row>
    <row r="3129" spans="6:7" x14ac:dyDescent="0.25">
      <c r="F3129" s="17" t="s">
        <v>3905</v>
      </c>
      <c r="G3129" s="17" t="s">
        <v>217</v>
      </c>
    </row>
    <row r="3130" spans="6:7" x14ac:dyDescent="0.25">
      <c r="F3130" s="17" t="s">
        <v>3906</v>
      </c>
      <c r="G3130" s="17" t="s">
        <v>217</v>
      </c>
    </row>
    <row r="3131" spans="6:7" x14ac:dyDescent="0.25">
      <c r="F3131" s="17" t="s">
        <v>3907</v>
      </c>
      <c r="G3131" s="17" t="s">
        <v>217</v>
      </c>
    </row>
    <row r="3132" spans="6:7" x14ac:dyDescent="0.25">
      <c r="F3132" s="17" t="s">
        <v>262</v>
      </c>
      <c r="G3132" s="17" t="s">
        <v>217</v>
      </c>
    </row>
    <row r="3133" spans="6:7" x14ac:dyDescent="0.25">
      <c r="F3133" s="17" t="s">
        <v>3908</v>
      </c>
      <c r="G3133" s="17" t="s">
        <v>217</v>
      </c>
    </row>
    <row r="3134" spans="6:7" x14ac:dyDescent="0.25">
      <c r="F3134" s="17" t="s">
        <v>3909</v>
      </c>
      <c r="G3134" s="17" t="s">
        <v>217</v>
      </c>
    </row>
    <row r="3135" spans="6:7" x14ac:dyDescent="0.25">
      <c r="F3135" s="17" t="s">
        <v>3910</v>
      </c>
      <c r="G3135" s="17" t="s">
        <v>217</v>
      </c>
    </row>
    <row r="3136" spans="6:7" x14ac:dyDescent="0.25">
      <c r="F3136" s="17" t="s">
        <v>3911</v>
      </c>
      <c r="G3136" s="17" t="s">
        <v>217</v>
      </c>
    </row>
    <row r="3137" spans="6:7" x14ac:dyDescent="0.25">
      <c r="F3137" s="17" t="s">
        <v>3912</v>
      </c>
      <c r="G3137" s="17" t="s">
        <v>217</v>
      </c>
    </row>
    <row r="3138" spans="6:7" x14ac:dyDescent="0.25">
      <c r="F3138" s="17" t="s">
        <v>3913</v>
      </c>
      <c r="G3138" s="17" t="s">
        <v>217</v>
      </c>
    </row>
    <row r="3139" spans="6:7" x14ac:dyDescent="0.25">
      <c r="F3139" s="17" t="s">
        <v>3914</v>
      </c>
      <c r="G3139" s="17" t="s">
        <v>217</v>
      </c>
    </row>
    <row r="3140" spans="6:7" x14ac:dyDescent="0.25">
      <c r="F3140" s="17" t="s">
        <v>3915</v>
      </c>
      <c r="G3140" s="17" t="s">
        <v>217</v>
      </c>
    </row>
    <row r="3141" spans="6:7" x14ac:dyDescent="0.25">
      <c r="F3141" s="17" t="s">
        <v>3916</v>
      </c>
      <c r="G3141" s="17" t="s">
        <v>217</v>
      </c>
    </row>
    <row r="3142" spans="6:7" x14ac:dyDescent="0.25">
      <c r="F3142" s="17" t="s">
        <v>3917</v>
      </c>
      <c r="G3142" s="17" t="s">
        <v>217</v>
      </c>
    </row>
    <row r="3143" spans="6:7" x14ac:dyDescent="0.25">
      <c r="F3143" s="17" t="s">
        <v>3918</v>
      </c>
      <c r="G3143" s="17" t="s">
        <v>217</v>
      </c>
    </row>
    <row r="3144" spans="6:7" x14ac:dyDescent="0.25">
      <c r="F3144" s="17" t="s">
        <v>3919</v>
      </c>
      <c r="G3144" s="17" t="s">
        <v>217</v>
      </c>
    </row>
    <row r="3145" spans="6:7" x14ac:dyDescent="0.25">
      <c r="F3145" s="17" t="s">
        <v>3920</v>
      </c>
      <c r="G3145" s="17" t="s">
        <v>217</v>
      </c>
    </row>
    <row r="3146" spans="6:7" x14ac:dyDescent="0.25">
      <c r="F3146" s="17" t="s">
        <v>3921</v>
      </c>
      <c r="G3146" s="17" t="s">
        <v>217</v>
      </c>
    </row>
    <row r="3147" spans="6:7" x14ac:dyDescent="0.25">
      <c r="F3147" s="17" t="s">
        <v>3922</v>
      </c>
      <c r="G3147" s="17" t="s">
        <v>217</v>
      </c>
    </row>
    <row r="3148" spans="6:7" x14ac:dyDescent="0.25">
      <c r="F3148" s="17" t="s">
        <v>3923</v>
      </c>
      <c r="G3148" s="17" t="s">
        <v>217</v>
      </c>
    </row>
    <row r="3149" spans="6:7" x14ac:dyDescent="0.25">
      <c r="F3149" s="17" t="s">
        <v>3924</v>
      </c>
      <c r="G3149" s="17" t="s">
        <v>217</v>
      </c>
    </row>
    <row r="3150" spans="6:7" x14ac:dyDescent="0.25">
      <c r="F3150" s="17" t="s">
        <v>3925</v>
      </c>
      <c r="G3150" s="17" t="s">
        <v>217</v>
      </c>
    </row>
    <row r="3151" spans="6:7" x14ac:dyDescent="0.25">
      <c r="F3151" s="17" t="s">
        <v>3926</v>
      </c>
      <c r="G3151" s="17" t="s">
        <v>217</v>
      </c>
    </row>
    <row r="3152" spans="6:7" x14ac:dyDescent="0.25">
      <c r="F3152" s="17" t="s">
        <v>3927</v>
      </c>
      <c r="G3152" s="17" t="s">
        <v>217</v>
      </c>
    </row>
    <row r="3153" spans="6:7" x14ac:dyDescent="0.25">
      <c r="F3153" s="17" t="s">
        <v>3928</v>
      </c>
      <c r="G3153" s="17" t="s">
        <v>217</v>
      </c>
    </row>
    <row r="3154" spans="6:7" x14ac:dyDescent="0.25">
      <c r="F3154" s="17" t="s">
        <v>3929</v>
      </c>
      <c r="G3154" s="17" t="s">
        <v>217</v>
      </c>
    </row>
    <row r="3155" spans="6:7" x14ac:dyDescent="0.25">
      <c r="F3155" s="17" t="s">
        <v>3930</v>
      </c>
      <c r="G3155" s="17" t="s">
        <v>217</v>
      </c>
    </row>
    <row r="3156" spans="6:7" x14ac:dyDescent="0.25">
      <c r="F3156" s="17" t="s">
        <v>3931</v>
      </c>
      <c r="G3156" s="17" t="s">
        <v>217</v>
      </c>
    </row>
    <row r="3157" spans="6:7" x14ac:dyDescent="0.25">
      <c r="F3157" s="17" t="s">
        <v>3932</v>
      </c>
      <c r="G3157" s="17" t="s">
        <v>217</v>
      </c>
    </row>
    <row r="3158" spans="6:7" x14ac:dyDescent="0.25">
      <c r="F3158" s="17" t="s">
        <v>3933</v>
      </c>
      <c r="G3158" s="17" t="s">
        <v>217</v>
      </c>
    </row>
    <row r="3159" spans="6:7" x14ac:dyDescent="0.25">
      <c r="F3159" s="17" t="s">
        <v>3934</v>
      </c>
      <c r="G3159" s="17" t="s">
        <v>217</v>
      </c>
    </row>
    <row r="3160" spans="6:7" x14ac:dyDescent="0.25">
      <c r="F3160" s="17" t="s">
        <v>3935</v>
      </c>
      <c r="G3160" s="17" t="s">
        <v>217</v>
      </c>
    </row>
    <row r="3161" spans="6:7" x14ac:dyDescent="0.25">
      <c r="F3161" s="17" t="s">
        <v>3936</v>
      </c>
      <c r="G3161" s="17" t="s">
        <v>217</v>
      </c>
    </row>
    <row r="3162" spans="6:7" x14ac:dyDescent="0.25">
      <c r="F3162" s="17" t="s">
        <v>3937</v>
      </c>
      <c r="G3162" s="17" t="s">
        <v>217</v>
      </c>
    </row>
    <row r="3163" spans="6:7" x14ac:dyDescent="0.25">
      <c r="F3163" s="17" t="s">
        <v>3938</v>
      </c>
      <c r="G3163" s="17" t="s">
        <v>217</v>
      </c>
    </row>
    <row r="3164" spans="6:7" x14ac:dyDescent="0.25">
      <c r="F3164" s="17" t="s">
        <v>3939</v>
      </c>
      <c r="G3164" s="17" t="s">
        <v>217</v>
      </c>
    </row>
    <row r="3165" spans="6:7" x14ac:dyDescent="0.25">
      <c r="F3165" s="17" t="s">
        <v>3940</v>
      </c>
      <c r="G3165" s="17" t="s">
        <v>217</v>
      </c>
    </row>
    <row r="3166" spans="6:7" x14ac:dyDescent="0.25">
      <c r="F3166" s="17" t="s">
        <v>3941</v>
      </c>
      <c r="G3166" s="17" t="s">
        <v>217</v>
      </c>
    </row>
    <row r="3167" spans="6:7" x14ac:dyDescent="0.25">
      <c r="F3167" s="17" t="s">
        <v>3942</v>
      </c>
      <c r="G3167" s="17" t="s">
        <v>217</v>
      </c>
    </row>
    <row r="3168" spans="6:7" x14ac:dyDescent="0.25">
      <c r="F3168" s="17" t="s">
        <v>3943</v>
      </c>
      <c r="G3168" s="17" t="s">
        <v>217</v>
      </c>
    </row>
    <row r="3169" spans="6:7" x14ac:dyDescent="0.25">
      <c r="F3169" s="17" t="s">
        <v>3944</v>
      </c>
      <c r="G3169" s="17" t="s">
        <v>217</v>
      </c>
    </row>
    <row r="3170" spans="6:7" x14ac:dyDescent="0.25">
      <c r="F3170" s="17" t="s">
        <v>3945</v>
      </c>
      <c r="G3170" s="17" t="s">
        <v>217</v>
      </c>
    </row>
    <row r="3171" spans="6:7" x14ac:dyDescent="0.25">
      <c r="F3171" s="17" t="s">
        <v>3946</v>
      </c>
      <c r="G3171" s="17" t="s">
        <v>217</v>
      </c>
    </row>
    <row r="3172" spans="6:7" x14ac:dyDescent="0.25">
      <c r="F3172" s="17" t="s">
        <v>3947</v>
      </c>
      <c r="G3172" s="17" t="s">
        <v>217</v>
      </c>
    </row>
    <row r="3173" spans="6:7" x14ac:dyDescent="0.25">
      <c r="F3173" s="17" t="s">
        <v>3948</v>
      </c>
      <c r="G3173" s="17" t="s">
        <v>217</v>
      </c>
    </row>
    <row r="3174" spans="6:7" x14ac:dyDescent="0.25">
      <c r="F3174" s="17" t="s">
        <v>3949</v>
      </c>
      <c r="G3174" s="17" t="s">
        <v>217</v>
      </c>
    </row>
    <row r="3175" spans="6:7" x14ac:dyDescent="0.25">
      <c r="F3175" s="17" t="s">
        <v>3950</v>
      </c>
      <c r="G3175" s="17" t="s">
        <v>217</v>
      </c>
    </row>
    <row r="3176" spans="6:7" x14ac:dyDescent="0.25">
      <c r="F3176" s="17" t="s">
        <v>3951</v>
      </c>
      <c r="G3176" s="17" t="s">
        <v>217</v>
      </c>
    </row>
    <row r="3177" spans="6:7" x14ac:dyDescent="0.25">
      <c r="F3177" s="17" t="s">
        <v>3952</v>
      </c>
      <c r="G3177" s="17" t="s">
        <v>217</v>
      </c>
    </row>
    <row r="3178" spans="6:7" x14ac:dyDescent="0.25">
      <c r="F3178" s="17" t="s">
        <v>3953</v>
      </c>
      <c r="G3178" s="17" t="s">
        <v>217</v>
      </c>
    </row>
    <row r="3179" spans="6:7" x14ac:dyDescent="0.25">
      <c r="F3179" s="17" t="s">
        <v>3954</v>
      </c>
      <c r="G3179" s="17" t="s">
        <v>217</v>
      </c>
    </row>
    <row r="3180" spans="6:7" x14ac:dyDescent="0.25">
      <c r="F3180" s="17" t="s">
        <v>3955</v>
      </c>
      <c r="G3180" s="17" t="s">
        <v>217</v>
      </c>
    </row>
    <row r="3181" spans="6:7" x14ac:dyDescent="0.25">
      <c r="F3181" s="17" t="s">
        <v>3956</v>
      </c>
      <c r="G3181" s="17" t="s">
        <v>217</v>
      </c>
    </row>
    <row r="3182" spans="6:7" x14ac:dyDescent="0.25">
      <c r="F3182" s="17" t="s">
        <v>3957</v>
      </c>
      <c r="G3182" s="17" t="s">
        <v>217</v>
      </c>
    </row>
    <row r="3183" spans="6:7" x14ac:dyDescent="0.25">
      <c r="F3183" s="17" t="s">
        <v>3958</v>
      </c>
      <c r="G3183" s="17" t="s">
        <v>217</v>
      </c>
    </row>
    <row r="3184" spans="6:7" x14ac:dyDescent="0.25">
      <c r="F3184" s="17" t="s">
        <v>3959</v>
      </c>
      <c r="G3184" s="17" t="s">
        <v>217</v>
      </c>
    </row>
    <row r="3185" spans="6:7" x14ac:dyDescent="0.25">
      <c r="F3185" s="17" t="s">
        <v>3960</v>
      </c>
      <c r="G3185" s="17" t="s">
        <v>217</v>
      </c>
    </row>
    <row r="3186" spans="6:7" x14ac:dyDescent="0.25">
      <c r="F3186" s="17" t="s">
        <v>3961</v>
      </c>
      <c r="G3186" s="17" t="s">
        <v>217</v>
      </c>
    </row>
    <row r="3187" spans="6:7" x14ac:dyDescent="0.25">
      <c r="F3187" s="17" t="s">
        <v>3962</v>
      </c>
      <c r="G3187" s="17" t="s">
        <v>217</v>
      </c>
    </row>
    <row r="3188" spans="6:7" x14ac:dyDescent="0.25">
      <c r="F3188" s="17" t="s">
        <v>3963</v>
      </c>
      <c r="G3188" s="17" t="s">
        <v>217</v>
      </c>
    </row>
    <row r="3189" spans="6:7" x14ac:dyDescent="0.25">
      <c r="F3189" s="17" t="s">
        <v>3964</v>
      </c>
      <c r="G3189" s="17" t="s">
        <v>217</v>
      </c>
    </row>
    <row r="3190" spans="6:7" x14ac:dyDescent="0.25">
      <c r="F3190" s="17" t="s">
        <v>3965</v>
      </c>
      <c r="G3190" s="17" t="s">
        <v>217</v>
      </c>
    </row>
    <row r="3191" spans="6:7" x14ac:dyDescent="0.25">
      <c r="F3191" s="17" t="s">
        <v>3966</v>
      </c>
      <c r="G3191" s="17" t="s">
        <v>217</v>
      </c>
    </row>
    <row r="3192" spans="6:7" x14ac:dyDescent="0.25">
      <c r="F3192" s="17" t="s">
        <v>3967</v>
      </c>
      <c r="G3192" s="17" t="s">
        <v>217</v>
      </c>
    </row>
    <row r="3193" spans="6:7" x14ac:dyDescent="0.25">
      <c r="F3193" s="17" t="s">
        <v>3968</v>
      </c>
      <c r="G3193" s="17" t="s">
        <v>217</v>
      </c>
    </row>
    <row r="3194" spans="6:7" x14ac:dyDescent="0.25">
      <c r="F3194" s="17" t="s">
        <v>3969</v>
      </c>
      <c r="G3194" s="17" t="s">
        <v>217</v>
      </c>
    </row>
    <row r="3195" spans="6:7" x14ac:dyDescent="0.25">
      <c r="F3195" s="17" t="s">
        <v>3970</v>
      </c>
      <c r="G3195" s="17" t="s">
        <v>217</v>
      </c>
    </row>
    <row r="3196" spans="6:7" x14ac:dyDescent="0.25">
      <c r="F3196" s="17" t="s">
        <v>3971</v>
      </c>
      <c r="G3196" s="17" t="s">
        <v>217</v>
      </c>
    </row>
    <row r="3197" spans="6:7" x14ac:dyDescent="0.25">
      <c r="F3197" s="17" t="s">
        <v>3972</v>
      </c>
      <c r="G3197" s="17" t="s">
        <v>217</v>
      </c>
    </row>
    <row r="3198" spans="6:7" x14ac:dyDescent="0.25">
      <c r="F3198" s="17" t="s">
        <v>3973</v>
      </c>
      <c r="G3198" s="17" t="s">
        <v>217</v>
      </c>
    </row>
    <row r="3199" spans="6:7" x14ac:dyDescent="0.25">
      <c r="F3199" s="17" t="s">
        <v>3974</v>
      </c>
      <c r="G3199" s="17" t="s">
        <v>217</v>
      </c>
    </row>
    <row r="3200" spans="6:7" x14ac:dyDescent="0.25">
      <c r="F3200" s="17" t="s">
        <v>3975</v>
      </c>
      <c r="G3200" s="17" t="s">
        <v>217</v>
      </c>
    </row>
    <row r="3201" spans="6:7" x14ac:dyDescent="0.25">
      <c r="F3201" s="17" t="s">
        <v>3976</v>
      </c>
      <c r="G3201" s="17" t="s">
        <v>217</v>
      </c>
    </row>
    <row r="3202" spans="6:7" x14ac:dyDescent="0.25">
      <c r="F3202" s="17" t="s">
        <v>3977</v>
      </c>
      <c r="G3202" s="17" t="s">
        <v>217</v>
      </c>
    </row>
    <row r="3203" spans="6:7" x14ac:dyDescent="0.25">
      <c r="F3203" s="17" t="s">
        <v>3978</v>
      </c>
      <c r="G3203" s="17" t="s">
        <v>217</v>
      </c>
    </row>
    <row r="3204" spans="6:7" x14ac:dyDescent="0.25">
      <c r="F3204" s="17" t="s">
        <v>3979</v>
      </c>
      <c r="G3204" s="17" t="s">
        <v>217</v>
      </c>
    </row>
    <row r="3205" spans="6:7" x14ac:dyDescent="0.25">
      <c r="F3205" s="17" t="s">
        <v>3980</v>
      </c>
      <c r="G3205" s="17" t="s">
        <v>217</v>
      </c>
    </row>
    <row r="3206" spans="6:7" x14ac:dyDescent="0.25">
      <c r="F3206" s="17" t="s">
        <v>3981</v>
      </c>
      <c r="G3206" s="17" t="s">
        <v>217</v>
      </c>
    </row>
    <row r="3207" spans="6:7" x14ac:dyDescent="0.25">
      <c r="F3207" s="17" t="s">
        <v>3982</v>
      </c>
      <c r="G3207" s="17" t="s">
        <v>217</v>
      </c>
    </row>
    <row r="3208" spans="6:7" x14ac:dyDescent="0.25">
      <c r="F3208" s="17" t="s">
        <v>3983</v>
      </c>
      <c r="G3208" s="17" t="s">
        <v>217</v>
      </c>
    </row>
    <row r="3209" spans="6:7" x14ac:dyDescent="0.25">
      <c r="F3209" s="17" t="s">
        <v>3984</v>
      </c>
      <c r="G3209" s="17" t="s">
        <v>217</v>
      </c>
    </row>
    <row r="3210" spans="6:7" x14ac:dyDescent="0.25">
      <c r="F3210" s="17" t="s">
        <v>3985</v>
      </c>
      <c r="G3210" s="17" t="s">
        <v>217</v>
      </c>
    </row>
    <row r="3211" spans="6:7" x14ac:dyDescent="0.25">
      <c r="F3211" s="17" t="s">
        <v>3986</v>
      </c>
      <c r="G3211" s="17" t="s">
        <v>217</v>
      </c>
    </row>
    <row r="3212" spans="6:7" x14ac:dyDescent="0.25">
      <c r="F3212" s="17" t="s">
        <v>3987</v>
      </c>
      <c r="G3212" s="17" t="s">
        <v>217</v>
      </c>
    </row>
    <row r="3213" spans="6:7" x14ac:dyDescent="0.25">
      <c r="F3213" s="17" t="s">
        <v>3988</v>
      </c>
      <c r="G3213" s="17" t="s">
        <v>217</v>
      </c>
    </row>
    <row r="3214" spans="6:7" x14ac:dyDescent="0.25">
      <c r="F3214" s="17" t="s">
        <v>3989</v>
      </c>
      <c r="G3214" s="17" t="s">
        <v>217</v>
      </c>
    </row>
    <row r="3215" spans="6:7" x14ac:dyDescent="0.25">
      <c r="F3215" s="17" t="s">
        <v>3990</v>
      </c>
      <c r="G3215" s="17" t="s">
        <v>217</v>
      </c>
    </row>
    <row r="3216" spans="6:7" x14ac:dyDescent="0.25">
      <c r="F3216" s="17" t="s">
        <v>3991</v>
      </c>
      <c r="G3216" s="17" t="s">
        <v>217</v>
      </c>
    </row>
    <row r="3217" spans="6:7" x14ac:dyDescent="0.25">
      <c r="F3217" s="17" t="s">
        <v>3992</v>
      </c>
      <c r="G3217" s="17" t="s">
        <v>217</v>
      </c>
    </row>
    <row r="3218" spans="6:7" x14ac:dyDescent="0.25">
      <c r="F3218" s="17" t="s">
        <v>3993</v>
      </c>
      <c r="G3218" s="17" t="s">
        <v>217</v>
      </c>
    </row>
    <row r="3219" spans="6:7" x14ac:dyDescent="0.25">
      <c r="F3219" s="17" t="s">
        <v>3994</v>
      </c>
      <c r="G3219" s="17" t="s">
        <v>217</v>
      </c>
    </row>
    <row r="3220" spans="6:7" x14ac:dyDescent="0.25">
      <c r="F3220" s="17" t="s">
        <v>3995</v>
      </c>
      <c r="G3220" s="17" t="s">
        <v>217</v>
      </c>
    </row>
    <row r="3221" spans="6:7" x14ac:dyDescent="0.25">
      <c r="F3221" s="17" t="s">
        <v>3996</v>
      </c>
      <c r="G3221" s="17" t="s">
        <v>217</v>
      </c>
    </row>
    <row r="3222" spans="6:7" x14ac:dyDescent="0.25">
      <c r="F3222" s="17" t="s">
        <v>3997</v>
      </c>
      <c r="G3222" s="17" t="s">
        <v>217</v>
      </c>
    </row>
    <row r="3223" spans="6:7" x14ac:dyDescent="0.25">
      <c r="F3223" s="17" t="s">
        <v>3998</v>
      </c>
      <c r="G3223" s="17" t="s">
        <v>217</v>
      </c>
    </row>
    <row r="3224" spans="6:7" x14ac:dyDescent="0.25">
      <c r="F3224" s="17" t="s">
        <v>3999</v>
      </c>
      <c r="G3224" s="17" t="s">
        <v>217</v>
      </c>
    </row>
    <row r="3225" spans="6:7" x14ac:dyDescent="0.25">
      <c r="F3225" s="17" t="s">
        <v>4000</v>
      </c>
      <c r="G3225" s="17" t="s">
        <v>217</v>
      </c>
    </row>
    <row r="3226" spans="6:7" x14ac:dyDescent="0.25">
      <c r="F3226" s="17" t="s">
        <v>4001</v>
      </c>
      <c r="G3226" s="17" t="s">
        <v>217</v>
      </c>
    </row>
    <row r="3227" spans="6:7" x14ac:dyDescent="0.25">
      <c r="F3227" s="17" t="s">
        <v>4002</v>
      </c>
      <c r="G3227" s="17" t="s">
        <v>217</v>
      </c>
    </row>
    <row r="3228" spans="6:7" x14ac:dyDescent="0.25">
      <c r="F3228" s="17" t="s">
        <v>4003</v>
      </c>
      <c r="G3228" s="17" t="s">
        <v>217</v>
      </c>
    </row>
    <row r="3229" spans="6:7" x14ac:dyDescent="0.25">
      <c r="F3229" s="17" t="s">
        <v>4004</v>
      </c>
      <c r="G3229" s="17" t="s">
        <v>217</v>
      </c>
    </row>
    <row r="3230" spans="6:7" x14ac:dyDescent="0.25">
      <c r="F3230" s="17" t="s">
        <v>4005</v>
      </c>
      <c r="G3230" s="17" t="s">
        <v>217</v>
      </c>
    </row>
    <row r="3231" spans="6:7" x14ac:dyDescent="0.25">
      <c r="F3231" s="17" t="s">
        <v>4006</v>
      </c>
      <c r="G3231" s="17" t="s">
        <v>217</v>
      </c>
    </row>
    <row r="3232" spans="6:7" x14ac:dyDescent="0.25">
      <c r="F3232" s="17" t="s">
        <v>4007</v>
      </c>
      <c r="G3232" s="17" t="s">
        <v>217</v>
      </c>
    </row>
    <row r="3233" spans="6:7" x14ac:dyDescent="0.25">
      <c r="F3233" s="17" t="s">
        <v>4008</v>
      </c>
      <c r="G3233" s="17" t="s">
        <v>217</v>
      </c>
    </row>
    <row r="3234" spans="6:7" x14ac:dyDescent="0.25">
      <c r="F3234" s="17" t="s">
        <v>4009</v>
      </c>
      <c r="G3234" s="17" t="s">
        <v>217</v>
      </c>
    </row>
    <row r="3235" spans="6:7" x14ac:dyDescent="0.25">
      <c r="F3235" s="17" t="s">
        <v>4010</v>
      </c>
      <c r="G3235" s="17" t="s">
        <v>217</v>
      </c>
    </row>
    <row r="3236" spans="6:7" x14ac:dyDescent="0.25">
      <c r="F3236" s="17" t="s">
        <v>4011</v>
      </c>
      <c r="G3236" s="17" t="s">
        <v>217</v>
      </c>
    </row>
    <row r="3237" spans="6:7" x14ac:dyDescent="0.25">
      <c r="F3237" s="17" t="s">
        <v>4012</v>
      </c>
      <c r="G3237" s="17" t="s">
        <v>217</v>
      </c>
    </row>
    <row r="3238" spans="6:7" x14ac:dyDescent="0.25">
      <c r="F3238" s="17" t="s">
        <v>4013</v>
      </c>
      <c r="G3238" s="17" t="s">
        <v>217</v>
      </c>
    </row>
    <row r="3239" spans="6:7" x14ac:dyDescent="0.25">
      <c r="F3239" s="17" t="s">
        <v>4014</v>
      </c>
      <c r="G3239" s="17" t="s">
        <v>217</v>
      </c>
    </row>
    <row r="3240" spans="6:7" x14ac:dyDescent="0.25">
      <c r="F3240" s="17" t="s">
        <v>4015</v>
      </c>
      <c r="G3240" s="17" t="s">
        <v>217</v>
      </c>
    </row>
    <row r="3241" spans="6:7" x14ac:dyDescent="0.25">
      <c r="F3241" s="17" t="s">
        <v>4016</v>
      </c>
      <c r="G3241" s="17" t="s">
        <v>217</v>
      </c>
    </row>
    <row r="3242" spans="6:7" x14ac:dyDescent="0.25">
      <c r="F3242" s="17" t="s">
        <v>4017</v>
      </c>
      <c r="G3242" s="17" t="s">
        <v>217</v>
      </c>
    </row>
    <row r="3243" spans="6:7" x14ac:dyDescent="0.25">
      <c r="F3243" s="17" t="s">
        <v>4018</v>
      </c>
      <c r="G3243" s="17" t="s">
        <v>217</v>
      </c>
    </row>
    <row r="3244" spans="6:7" x14ac:dyDescent="0.25">
      <c r="F3244" s="17" t="s">
        <v>4019</v>
      </c>
      <c r="G3244" s="17" t="s">
        <v>217</v>
      </c>
    </row>
    <row r="3245" spans="6:7" x14ac:dyDescent="0.25">
      <c r="F3245" s="17" t="s">
        <v>4020</v>
      </c>
      <c r="G3245" s="17" t="s">
        <v>217</v>
      </c>
    </row>
    <row r="3246" spans="6:7" x14ac:dyDescent="0.25">
      <c r="F3246" s="17" t="s">
        <v>4021</v>
      </c>
      <c r="G3246" s="17" t="s">
        <v>217</v>
      </c>
    </row>
    <row r="3247" spans="6:7" x14ac:dyDescent="0.25">
      <c r="F3247" s="17" t="s">
        <v>4022</v>
      </c>
      <c r="G3247" s="17" t="s">
        <v>217</v>
      </c>
    </row>
    <row r="3248" spans="6:7" x14ac:dyDescent="0.25">
      <c r="F3248" s="17" t="s">
        <v>4023</v>
      </c>
      <c r="G3248" s="17" t="s">
        <v>217</v>
      </c>
    </row>
    <row r="3249" spans="6:7" x14ac:dyDescent="0.25">
      <c r="F3249" s="17" t="s">
        <v>4024</v>
      </c>
      <c r="G3249" s="17" t="s">
        <v>217</v>
      </c>
    </row>
    <row r="3250" spans="6:7" x14ac:dyDescent="0.25">
      <c r="F3250" s="17" t="s">
        <v>4025</v>
      </c>
      <c r="G3250" s="17" t="s">
        <v>217</v>
      </c>
    </row>
    <row r="3251" spans="6:7" x14ac:dyDescent="0.25">
      <c r="F3251" s="17" t="s">
        <v>4026</v>
      </c>
      <c r="G3251" s="17" t="s">
        <v>217</v>
      </c>
    </row>
    <row r="3252" spans="6:7" x14ac:dyDescent="0.25">
      <c r="F3252" s="17" t="s">
        <v>4027</v>
      </c>
      <c r="G3252" s="17" t="s">
        <v>217</v>
      </c>
    </row>
    <row r="3253" spans="6:7" x14ac:dyDescent="0.25">
      <c r="F3253" s="17" t="s">
        <v>4028</v>
      </c>
      <c r="G3253" s="17" t="s">
        <v>217</v>
      </c>
    </row>
    <row r="3254" spans="6:7" x14ac:dyDescent="0.25">
      <c r="F3254" s="17" t="s">
        <v>4029</v>
      </c>
      <c r="G3254" s="17" t="s">
        <v>217</v>
      </c>
    </row>
    <row r="3255" spans="6:7" x14ac:dyDescent="0.25">
      <c r="F3255" s="17" t="s">
        <v>4030</v>
      </c>
      <c r="G3255" s="17" t="s">
        <v>217</v>
      </c>
    </row>
    <row r="3256" spans="6:7" x14ac:dyDescent="0.25">
      <c r="F3256" s="17" t="s">
        <v>4031</v>
      </c>
      <c r="G3256" s="17" t="s">
        <v>217</v>
      </c>
    </row>
    <row r="3257" spans="6:7" x14ac:dyDescent="0.25">
      <c r="F3257" s="17" t="s">
        <v>4032</v>
      </c>
      <c r="G3257" s="17" t="s">
        <v>217</v>
      </c>
    </row>
    <row r="3258" spans="6:7" x14ac:dyDescent="0.25">
      <c r="F3258" s="17" t="s">
        <v>4033</v>
      </c>
      <c r="G3258" s="17" t="s">
        <v>217</v>
      </c>
    </row>
    <row r="3259" spans="6:7" x14ac:dyDescent="0.25">
      <c r="F3259" s="17" t="s">
        <v>4034</v>
      </c>
      <c r="G3259" s="17" t="s">
        <v>217</v>
      </c>
    </row>
    <row r="3260" spans="6:7" x14ac:dyDescent="0.25">
      <c r="F3260" s="17" t="s">
        <v>4035</v>
      </c>
      <c r="G3260" s="17" t="s">
        <v>217</v>
      </c>
    </row>
    <row r="3261" spans="6:7" x14ac:dyDescent="0.25">
      <c r="F3261" s="17" t="s">
        <v>4036</v>
      </c>
      <c r="G3261" s="17" t="s">
        <v>217</v>
      </c>
    </row>
    <row r="3262" spans="6:7" x14ac:dyDescent="0.25">
      <c r="F3262" s="17" t="s">
        <v>4037</v>
      </c>
      <c r="G3262" s="17" t="s">
        <v>217</v>
      </c>
    </row>
    <row r="3263" spans="6:7" x14ac:dyDescent="0.25">
      <c r="F3263" s="17" t="s">
        <v>974</v>
      </c>
      <c r="G3263" s="17" t="s">
        <v>217</v>
      </c>
    </row>
    <row r="3264" spans="6:7" x14ac:dyDescent="0.25">
      <c r="F3264" s="17" t="s">
        <v>565</v>
      </c>
      <c r="G3264" s="17" t="s">
        <v>217</v>
      </c>
    </row>
    <row r="3265" spans="6:7" x14ac:dyDescent="0.25">
      <c r="F3265" s="17" t="s">
        <v>4038</v>
      </c>
      <c r="G3265" s="17" t="s">
        <v>217</v>
      </c>
    </row>
    <row r="3266" spans="6:7" x14ac:dyDescent="0.25">
      <c r="F3266" s="17" t="s">
        <v>952</v>
      </c>
      <c r="G3266" s="17" t="s">
        <v>217</v>
      </c>
    </row>
    <row r="3267" spans="6:7" x14ac:dyDescent="0.25">
      <c r="F3267" s="17" t="s">
        <v>574</v>
      </c>
      <c r="G3267" s="17" t="s">
        <v>217</v>
      </c>
    </row>
    <row r="3268" spans="6:7" x14ac:dyDescent="0.25">
      <c r="F3268" s="17" t="s">
        <v>4039</v>
      </c>
      <c r="G3268" s="17" t="s">
        <v>217</v>
      </c>
    </row>
    <row r="3269" spans="6:7" x14ac:dyDescent="0.25">
      <c r="F3269" s="17" t="s">
        <v>4040</v>
      </c>
      <c r="G3269" s="17" t="s">
        <v>217</v>
      </c>
    </row>
    <row r="3270" spans="6:7" x14ac:dyDescent="0.25">
      <c r="F3270" s="17" t="s">
        <v>4041</v>
      </c>
      <c r="G3270" s="17" t="s">
        <v>217</v>
      </c>
    </row>
    <row r="3271" spans="6:7" x14ac:dyDescent="0.25">
      <c r="F3271" s="17" t="s">
        <v>4042</v>
      </c>
      <c r="G3271" s="17" t="s">
        <v>217</v>
      </c>
    </row>
    <row r="3272" spans="6:7" x14ac:dyDescent="0.25">
      <c r="F3272" s="17" t="s">
        <v>4043</v>
      </c>
      <c r="G3272" s="17" t="s">
        <v>217</v>
      </c>
    </row>
    <row r="3273" spans="6:7" x14ac:dyDescent="0.25">
      <c r="F3273" s="17" t="s">
        <v>4044</v>
      </c>
      <c r="G3273" s="17" t="s">
        <v>217</v>
      </c>
    </row>
    <row r="3274" spans="6:7" x14ac:dyDescent="0.25">
      <c r="F3274" s="17" t="s">
        <v>4045</v>
      </c>
      <c r="G3274" s="17" t="s">
        <v>217</v>
      </c>
    </row>
    <row r="3275" spans="6:7" x14ac:dyDescent="0.25">
      <c r="F3275" s="17" t="s">
        <v>4046</v>
      </c>
      <c r="G3275" s="17" t="s">
        <v>217</v>
      </c>
    </row>
    <row r="3276" spans="6:7" x14ac:dyDescent="0.25">
      <c r="F3276" s="17" t="s">
        <v>4047</v>
      </c>
      <c r="G3276" s="17" t="s">
        <v>217</v>
      </c>
    </row>
    <row r="3277" spans="6:7" x14ac:dyDescent="0.25">
      <c r="F3277" s="17" t="s">
        <v>4048</v>
      </c>
      <c r="G3277" s="17" t="s">
        <v>217</v>
      </c>
    </row>
    <row r="3278" spans="6:7" x14ac:dyDescent="0.25">
      <c r="F3278" s="17" t="s">
        <v>4049</v>
      </c>
      <c r="G3278" s="17" t="s">
        <v>217</v>
      </c>
    </row>
    <row r="3279" spans="6:7" x14ac:dyDescent="0.25">
      <c r="F3279" s="17" t="s">
        <v>4050</v>
      </c>
      <c r="G3279" s="17" t="s">
        <v>217</v>
      </c>
    </row>
    <row r="3280" spans="6:7" x14ac:dyDescent="0.25">
      <c r="F3280" s="17" t="s">
        <v>4051</v>
      </c>
      <c r="G3280" s="17" t="s">
        <v>217</v>
      </c>
    </row>
    <row r="3281" spans="6:7" x14ac:dyDescent="0.25">
      <c r="F3281" s="17" t="s">
        <v>4052</v>
      </c>
      <c r="G3281" s="17" t="s">
        <v>217</v>
      </c>
    </row>
    <row r="3282" spans="6:7" x14ac:dyDescent="0.25">
      <c r="F3282" s="17" t="s">
        <v>4053</v>
      </c>
      <c r="G3282" s="17" t="s">
        <v>217</v>
      </c>
    </row>
    <row r="3283" spans="6:7" x14ac:dyDescent="0.25">
      <c r="F3283" s="17" t="s">
        <v>4054</v>
      </c>
      <c r="G3283" s="17" t="s">
        <v>217</v>
      </c>
    </row>
    <row r="3284" spans="6:7" x14ac:dyDescent="0.25">
      <c r="F3284" s="17" t="s">
        <v>4055</v>
      </c>
      <c r="G3284" s="17" t="s">
        <v>217</v>
      </c>
    </row>
    <row r="3285" spans="6:7" x14ac:dyDescent="0.25">
      <c r="F3285" s="17" t="s">
        <v>4056</v>
      </c>
      <c r="G3285" s="17" t="s">
        <v>217</v>
      </c>
    </row>
    <row r="3286" spans="6:7" x14ac:dyDescent="0.25">
      <c r="F3286" s="17" t="s">
        <v>4057</v>
      </c>
      <c r="G3286" s="17" t="s">
        <v>217</v>
      </c>
    </row>
    <row r="3287" spans="6:7" x14ac:dyDescent="0.25">
      <c r="F3287" s="17" t="s">
        <v>4058</v>
      </c>
      <c r="G3287" s="17" t="s">
        <v>217</v>
      </c>
    </row>
    <row r="3288" spans="6:7" x14ac:dyDescent="0.25">
      <c r="F3288" s="17" t="s">
        <v>4059</v>
      </c>
      <c r="G3288" s="17" t="s">
        <v>217</v>
      </c>
    </row>
    <row r="3289" spans="6:7" x14ac:dyDescent="0.25">
      <c r="F3289" s="17" t="s">
        <v>4060</v>
      </c>
      <c r="G3289" s="17" t="s">
        <v>217</v>
      </c>
    </row>
    <row r="3290" spans="6:7" x14ac:dyDescent="0.25">
      <c r="F3290" s="17" t="s">
        <v>4061</v>
      </c>
      <c r="G3290" s="17" t="s">
        <v>217</v>
      </c>
    </row>
    <row r="3291" spans="6:7" x14ac:dyDescent="0.25">
      <c r="F3291" s="17" t="s">
        <v>4062</v>
      </c>
      <c r="G3291" s="17" t="s">
        <v>217</v>
      </c>
    </row>
    <row r="3292" spans="6:7" x14ac:dyDescent="0.25">
      <c r="F3292" s="17" t="s">
        <v>4063</v>
      </c>
      <c r="G3292" s="17" t="s">
        <v>217</v>
      </c>
    </row>
    <row r="3293" spans="6:7" x14ac:dyDescent="0.25">
      <c r="F3293" s="17" t="s">
        <v>4064</v>
      </c>
      <c r="G3293" s="17" t="s">
        <v>217</v>
      </c>
    </row>
    <row r="3294" spans="6:7" x14ac:dyDescent="0.25">
      <c r="F3294" s="17" t="s">
        <v>4065</v>
      </c>
      <c r="G3294" s="17" t="s">
        <v>217</v>
      </c>
    </row>
    <row r="3295" spans="6:7" x14ac:dyDescent="0.25">
      <c r="F3295" s="17" t="s">
        <v>4066</v>
      </c>
      <c r="G3295" s="17" t="s">
        <v>217</v>
      </c>
    </row>
    <row r="3296" spans="6:7" x14ac:dyDescent="0.25">
      <c r="F3296" s="17" t="s">
        <v>4067</v>
      </c>
      <c r="G3296" s="17" t="s">
        <v>217</v>
      </c>
    </row>
    <row r="3297" spans="6:7" x14ac:dyDescent="0.25">
      <c r="F3297" s="17" t="s">
        <v>4068</v>
      </c>
      <c r="G3297" s="17" t="s">
        <v>217</v>
      </c>
    </row>
    <row r="3298" spans="6:7" x14ac:dyDescent="0.25">
      <c r="F3298" s="17" t="s">
        <v>4069</v>
      </c>
      <c r="G3298" s="17" t="s">
        <v>217</v>
      </c>
    </row>
    <row r="3299" spans="6:7" x14ac:dyDescent="0.25">
      <c r="F3299" s="17" t="s">
        <v>4070</v>
      </c>
      <c r="G3299" s="17" t="s">
        <v>217</v>
      </c>
    </row>
    <row r="3300" spans="6:7" x14ac:dyDescent="0.25">
      <c r="F3300" s="17" t="s">
        <v>4071</v>
      </c>
      <c r="G3300" s="17" t="s">
        <v>217</v>
      </c>
    </row>
    <row r="3301" spans="6:7" x14ac:dyDescent="0.25">
      <c r="F3301" s="17" t="s">
        <v>4072</v>
      </c>
      <c r="G3301" s="17" t="s">
        <v>217</v>
      </c>
    </row>
    <row r="3302" spans="6:7" x14ac:dyDescent="0.25">
      <c r="F3302" s="17" t="s">
        <v>4073</v>
      </c>
      <c r="G3302" s="17" t="s">
        <v>217</v>
      </c>
    </row>
    <row r="3303" spans="6:7" x14ac:dyDescent="0.25">
      <c r="F3303" s="17" t="s">
        <v>4074</v>
      </c>
      <c r="G3303" s="17" t="s">
        <v>217</v>
      </c>
    </row>
    <row r="3304" spans="6:7" x14ac:dyDescent="0.25">
      <c r="F3304" s="17" t="s">
        <v>4075</v>
      </c>
      <c r="G3304" s="17" t="s">
        <v>217</v>
      </c>
    </row>
    <row r="3305" spans="6:7" x14ac:dyDescent="0.25">
      <c r="F3305" s="17" t="s">
        <v>4076</v>
      </c>
      <c r="G3305" s="17" t="s">
        <v>215</v>
      </c>
    </row>
    <row r="3306" spans="6:7" x14ac:dyDescent="0.25">
      <c r="F3306" s="17" t="s">
        <v>4077</v>
      </c>
      <c r="G3306" s="17" t="s">
        <v>217</v>
      </c>
    </row>
    <row r="3307" spans="6:7" x14ac:dyDescent="0.25">
      <c r="F3307" s="17" t="s">
        <v>4078</v>
      </c>
      <c r="G3307" s="17" t="s">
        <v>217</v>
      </c>
    </row>
    <row r="3308" spans="6:7" x14ac:dyDescent="0.25">
      <c r="F3308" s="17" t="s">
        <v>4079</v>
      </c>
      <c r="G3308" s="17" t="s">
        <v>217</v>
      </c>
    </row>
    <row r="3309" spans="6:7" x14ac:dyDescent="0.25">
      <c r="F3309" s="17" t="s">
        <v>4080</v>
      </c>
      <c r="G3309" s="17" t="s">
        <v>217</v>
      </c>
    </row>
    <row r="3310" spans="6:7" x14ac:dyDescent="0.25">
      <c r="F3310" s="17" t="s">
        <v>4081</v>
      </c>
      <c r="G3310" s="17" t="s">
        <v>215</v>
      </c>
    </row>
    <row r="3311" spans="6:7" x14ac:dyDescent="0.25">
      <c r="F3311" s="17" t="s">
        <v>4082</v>
      </c>
      <c r="G3311" s="17" t="s">
        <v>215</v>
      </c>
    </row>
    <row r="3312" spans="6:7" x14ac:dyDescent="0.25">
      <c r="F3312" s="17" t="s">
        <v>4083</v>
      </c>
      <c r="G3312" s="17" t="s">
        <v>215</v>
      </c>
    </row>
    <row r="3313" spans="6:7" x14ac:dyDescent="0.25">
      <c r="F3313" s="17" t="s">
        <v>4084</v>
      </c>
      <c r="G3313" s="17" t="s">
        <v>215</v>
      </c>
    </row>
    <row r="3314" spans="6:7" x14ac:dyDescent="0.25">
      <c r="F3314" s="17" t="s">
        <v>4085</v>
      </c>
      <c r="G3314" s="17" t="s">
        <v>215</v>
      </c>
    </row>
    <row r="3315" spans="6:7" x14ac:dyDescent="0.25">
      <c r="F3315" s="17" t="s">
        <v>4086</v>
      </c>
      <c r="G3315" s="17" t="s">
        <v>215</v>
      </c>
    </row>
    <row r="3316" spans="6:7" x14ac:dyDescent="0.25">
      <c r="F3316" s="17" t="s">
        <v>4087</v>
      </c>
      <c r="G3316" s="17" t="s">
        <v>215</v>
      </c>
    </row>
    <row r="3317" spans="6:7" x14ac:dyDescent="0.25">
      <c r="F3317" s="17" t="s">
        <v>4088</v>
      </c>
      <c r="G3317" s="17" t="s">
        <v>215</v>
      </c>
    </row>
    <row r="3318" spans="6:7" x14ac:dyDescent="0.25">
      <c r="F3318" s="17" t="s">
        <v>4089</v>
      </c>
      <c r="G3318" s="17" t="s">
        <v>215</v>
      </c>
    </row>
    <row r="3319" spans="6:7" x14ac:dyDescent="0.25">
      <c r="F3319" s="17" t="s">
        <v>4090</v>
      </c>
      <c r="G3319" s="17" t="s">
        <v>217</v>
      </c>
    </row>
    <row r="3320" spans="6:7" x14ac:dyDescent="0.25">
      <c r="F3320" s="17" t="s">
        <v>4091</v>
      </c>
      <c r="G3320" s="17" t="s">
        <v>215</v>
      </c>
    </row>
    <row r="3321" spans="6:7" x14ac:dyDescent="0.25">
      <c r="F3321" s="17" t="s">
        <v>4092</v>
      </c>
      <c r="G3321" s="17" t="s">
        <v>215</v>
      </c>
    </row>
    <row r="3322" spans="6:7" x14ac:dyDescent="0.25">
      <c r="F3322" s="17" t="s">
        <v>4093</v>
      </c>
      <c r="G3322" s="17" t="s">
        <v>215</v>
      </c>
    </row>
    <row r="3323" spans="6:7" x14ac:dyDescent="0.25">
      <c r="F3323" s="17" t="s">
        <v>4094</v>
      </c>
      <c r="G3323" s="17" t="s">
        <v>217</v>
      </c>
    </row>
    <row r="3324" spans="6:7" x14ac:dyDescent="0.25">
      <c r="F3324" s="17" t="s">
        <v>4095</v>
      </c>
      <c r="G3324" s="17" t="s">
        <v>217</v>
      </c>
    </row>
    <row r="3325" spans="6:7" x14ac:dyDescent="0.25">
      <c r="F3325" s="17" t="s">
        <v>4096</v>
      </c>
      <c r="G3325" s="17" t="s">
        <v>217</v>
      </c>
    </row>
    <row r="3326" spans="6:7" x14ac:dyDescent="0.25">
      <c r="F3326" s="17" t="s">
        <v>4097</v>
      </c>
      <c r="G3326" s="17" t="s">
        <v>217</v>
      </c>
    </row>
    <row r="3327" spans="6:7" x14ac:dyDescent="0.25">
      <c r="F3327" s="17" t="s">
        <v>4098</v>
      </c>
      <c r="G3327" s="17" t="s">
        <v>217</v>
      </c>
    </row>
    <row r="3328" spans="6:7" x14ac:dyDescent="0.25">
      <c r="F3328" s="17" t="s">
        <v>4099</v>
      </c>
      <c r="G3328" s="17" t="s">
        <v>217</v>
      </c>
    </row>
    <row r="3329" spans="6:7" x14ac:dyDescent="0.25">
      <c r="F3329" s="17" t="s">
        <v>4100</v>
      </c>
      <c r="G3329" s="17" t="s">
        <v>217</v>
      </c>
    </row>
    <row r="3330" spans="6:7" x14ac:dyDescent="0.25">
      <c r="F3330" s="17" t="s">
        <v>4101</v>
      </c>
      <c r="G3330" s="17" t="s">
        <v>217</v>
      </c>
    </row>
    <row r="3331" spans="6:7" x14ac:dyDescent="0.25">
      <c r="F3331" s="17" t="s">
        <v>4102</v>
      </c>
      <c r="G3331" s="17" t="s">
        <v>217</v>
      </c>
    </row>
    <row r="3332" spans="6:7" x14ac:dyDescent="0.25">
      <c r="F3332" s="17" t="s">
        <v>4103</v>
      </c>
      <c r="G3332" s="17" t="s">
        <v>217</v>
      </c>
    </row>
    <row r="3333" spans="6:7" x14ac:dyDescent="0.25">
      <c r="F3333" s="17" t="s">
        <v>4104</v>
      </c>
      <c r="G3333" s="17" t="s">
        <v>217</v>
      </c>
    </row>
    <row r="3334" spans="6:7" x14ac:dyDescent="0.25">
      <c r="F3334" s="17" t="s">
        <v>4105</v>
      </c>
      <c r="G3334" s="17" t="s">
        <v>217</v>
      </c>
    </row>
    <row r="3335" spans="6:7" x14ac:dyDescent="0.25">
      <c r="F3335" s="17" t="s">
        <v>446</v>
      </c>
      <c r="G3335" s="17" t="s">
        <v>217</v>
      </c>
    </row>
    <row r="3336" spans="6:7" x14ac:dyDescent="0.25">
      <c r="F3336" s="17" t="s">
        <v>4106</v>
      </c>
      <c r="G3336" s="17" t="s">
        <v>217</v>
      </c>
    </row>
    <row r="3337" spans="6:7" x14ac:dyDescent="0.25">
      <c r="F3337" s="17" t="s">
        <v>4107</v>
      </c>
      <c r="G3337" s="17" t="s">
        <v>217</v>
      </c>
    </row>
    <row r="3338" spans="6:7" x14ac:dyDescent="0.25">
      <c r="F3338" s="17" t="s">
        <v>4108</v>
      </c>
      <c r="G3338" s="17" t="s">
        <v>217</v>
      </c>
    </row>
    <row r="3339" spans="6:7" x14ac:dyDescent="0.25">
      <c r="F3339" s="17" t="s">
        <v>4109</v>
      </c>
      <c r="G3339" s="17" t="s">
        <v>217</v>
      </c>
    </row>
    <row r="3340" spans="6:7" x14ac:dyDescent="0.25">
      <c r="F3340" s="17" t="s">
        <v>704</v>
      </c>
      <c r="G3340" s="17" t="s">
        <v>217</v>
      </c>
    </row>
    <row r="3341" spans="6:7" x14ac:dyDescent="0.25">
      <c r="F3341" s="17" t="s">
        <v>4110</v>
      </c>
      <c r="G3341" s="17" t="s">
        <v>217</v>
      </c>
    </row>
    <row r="3342" spans="6:7" x14ac:dyDescent="0.25">
      <c r="F3342" s="17" t="s">
        <v>4111</v>
      </c>
      <c r="G3342" s="17" t="s">
        <v>217</v>
      </c>
    </row>
    <row r="3343" spans="6:7" x14ac:dyDescent="0.25">
      <c r="F3343" s="17" t="s">
        <v>4112</v>
      </c>
      <c r="G3343" s="17" t="s">
        <v>217</v>
      </c>
    </row>
    <row r="3344" spans="6:7" x14ac:dyDescent="0.25">
      <c r="F3344" s="17" t="s">
        <v>4113</v>
      </c>
      <c r="G3344" s="17" t="s">
        <v>217</v>
      </c>
    </row>
    <row r="3345" spans="6:7" x14ac:dyDescent="0.25">
      <c r="F3345" s="17" t="s">
        <v>4114</v>
      </c>
      <c r="G3345" s="17" t="s">
        <v>217</v>
      </c>
    </row>
    <row r="3346" spans="6:7" x14ac:dyDescent="0.25">
      <c r="F3346" s="17" t="s">
        <v>4115</v>
      </c>
      <c r="G3346" s="17" t="s">
        <v>217</v>
      </c>
    </row>
    <row r="3347" spans="6:7" x14ac:dyDescent="0.25">
      <c r="F3347" s="17" t="s">
        <v>4116</v>
      </c>
      <c r="G3347" s="17" t="s">
        <v>195</v>
      </c>
    </row>
    <row r="3348" spans="6:7" x14ac:dyDescent="0.25">
      <c r="F3348" s="17" t="s">
        <v>4117</v>
      </c>
      <c r="G3348" s="17" t="s">
        <v>217</v>
      </c>
    </row>
    <row r="3349" spans="6:7" x14ac:dyDescent="0.25">
      <c r="F3349" s="17" t="s">
        <v>4118</v>
      </c>
      <c r="G3349" s="17" t="s">
        <v>217</v>
      </c>
    </row>
    <row r="3350" spans="6:7" x14ac:dyDescent="0.25">
      <c r="F3350" s="17" t="s">
        <v>4119</v>
      </c>
      <c r="G3350" s="17" t="s">
        <v>217</v>
      </c>
    </row>
    <row r="3351" spans="6:7" x14ac:dyDescent="0.25">
      <c r="F3351" s="17" t="s">
        <v>4120</v>
      </c>
      <c r="G3351" s="17" t="s">
        <v>217</v>
      </c>
    </row>
    <row r="3352" spans="6:7" x14ac:dyDescent="0.25">
      <c r="F3352" s="17" t="s">
        <v>4121</v>
      </c>
      <c r="G3352" s="17" t="s">
        <v>217</v>
      </c>
    </row>
    <row r="3353" spans="6:7" x14ac:dyDescent="0.25">
      <c r="F3353" s="17" t="s">
        <v>4122</v>
      </c>
      <c r="G3353" s="17" t="s">
        <v>217</v>
      </c>
    </row>
    <row r="3354" spans="6:7" x14ac:dyDescent="0.25">
      <c r="F3354" s="17" t="s">
        <v>4123</v>
      </c>
      <c r="G3354" s="17" t="s">
        <v>217</v>
      </c>
    </row>
    <row r="3355" spans="6:7" x14ac:dyDescent="0.25">
      <c r="F3355" s="17" t="s">
        <v>4124</v>
      </c>
      <c r="G3355" s="17" t="s">
        <v>217</v>
      </c>
    </row>
    <row r="3356" spans="6:7" x14ac:dyDescent="0.25">
      <c r="F3356" s="17" t="s">
        <v>4125</v>
      </c>
      <c r="G3356" s="17" t="s">
        <v>217</v>
      </c>
    </row>
    <row r="3357" spans="6:7" x14ac:dyDescent="0.25">
      <c r="F3357" s="17" t="s">
        <v>4126</v>
      </c>
      <c r="G3357" s="17" t="s">
        <v>217</v>
      </c>
    </row>
    <row r="3358" spans="6:7" x14ac:dyDescent="0.25">
      <c r="F3358" s="17" t="s">
        <v>4127</v>
      </c>
      <c r="G3358" s="17" t="s">
        <v>217</v>
      </c>
    </row>
    <row r="3359" spans="6:7" x14ac:dyDescent="0.25">
      <c r="F3359" s="17" t="s">
        <v>4128</v>
      </c>
      <c r="G3359" s="17" t="s">
        <v>193</v>
      </c>
    </row>
    <row r="3360" spans="6:7" x14ac:dyDescent="0.25">
      <c r="F3360" s="17" t="s">
        <v>981</v>
      </c>
      <c r="G3360" s="17" t="s">
        <v>217</v>
      </c>
    </row>
    <row r="3361" spans="6:7" x14ac:dyDescent="0.25">
      <c r="F3361" s="17" t="s">
        <v>4129</v>
      </c>
      <c r="G3361" s="17" t="s">
        <v>217</v>
      </c>
    </row>
    <row r="3362" spans="6:7" x14ac:dyDescent="0.25">
      <c r="F3362" s="17" t="s">
        <v>627</v>
      </c>
      <c r="G3362" s="17" t="s">
        <v>217</v>
      </c>
    </row>
    <row r="3363" spans="6:7" x14ac:dyDescent="0.25">
      <c r="F3363" s="17" t="s">
        <v>4130</v>
      </c>
      <c r="G3363" s="17" t="s">
        <v>217</v>
      </c>
    </row>
    <row r="3364" spans="6:7" x14ac:dyDescent="0.25">
      <c r="F3364" s="17" t="s">
        <v>4131</v>
      </c>
      <c r="G3364" s="17" t="s">
        <v>217</v>
      </c>
    </row>
    <row r="3365" spans="6:7" x14ac:dyDescent="0.25">
      <c r="F3365" s="17" t="s">
        <v>4132</v>
      </c>
      <c r="G3365" s="17" t="s">
        <v>217</v>
      </c>
    </row>
    <row r="3366" spans="6:7" x14ac:dyDescent="0.25">
      <c r="F3366" s="17" t="s">
        <v>4133</v>
      </c>
      <c r="G3366" s="17" t="s">
        <v>217</v>
      </c>
    </row>
    <row r="3367" spans="6:7" x14ac:dyDescent="0.25">
      <c r="F3367" s="17" t="s">
        <v>4134</v>
      </c>
      <c r="G3367" s="17" t="s">
        <v>217</v>
      </c>
    </row>
    <row r="3368" spans="6:7" x14ac:dyDescent="0.25">
      <c r="F3368" s="17" t="s">
        <v>4135</v>
      </c>
      <c r="G3368" s="17" t="s">
        <v>217</v>
      </c>
    </row>
    <row r="3369" spans="6:7" x14ac:dyDescent="0.25">
      <c r="F3369" s="17" t="s">
        <v>4136</v>
      </c>
      <c r="G3369" s="17" t="s">
        <v>217</v>
      </c>
    </row>
    <row r="3370" spans="6:7" x14ac:dyDescent="0.25">
      <c r="F3370" s="17" t="s">
        <v>4137</v>
      </c>
      <c r="G3370" s="17" t="s">
        <v>217</v>
      </c>
    </row>
    <row r="3371" spans="6:7" x14ac:dyDescent="0.25">
      <c r="F3371" s="17" t="s">
        <v>4138</v>
      </c>
      <c r="G3371" s="17" t="s">
        <v>217</v>
      </c>
    </row>
    <row r="3372" spans="6:7" x14ac:dyDescent="0.25">
      <c r="F3372" s="17" t="s">
        <v>4139</v>
      </c>
      <c r="G3372" s="17" t="s">
        <v>217</v>
      </c>
    </row>
    <row r="3373" spans="6:7" x14ac:dyDescent="0.25">
      <c r="F3373" s="17" t="s">
        <v>4140</v>
      </c>
      <c r="G3373" s="17" t="s">
        <v>217</v>
      </c>
    </row>
    <row r="3374" spans="6:7" x14ac:dyDescent="0.25">
      <c r="F3374" s="17" t="s">
        <v>4141</v>
      </c>
      <c r="G3374" s="17" t="s">
        <v>217</v>
      </c>
    </row>
    <row r="3375" spans="6:7" x14ac:dyDescent="0.25">
      <c r="F3375" s="17" t="s">
        <v>4142</v>
      </c>
      <c r="G3375" s="17" t="s">
        <v>217</v>
      </c>
    </row>
    <row r="3376" spans="6:7" x14ac:dyDescent="0.25">
      <c r="F3376" s="17" t="s">
        <v>4143</v>
      </c>
      <c r="G3376" s="17" t="s">
        <v>217</v>
      </c>
    </row>
    <row r="3377" spans="6:7" x14ac:dyDescent="0.25">
      <c r="F3377" s="17" t="s">
        <v>4144</v>
      </c>
      <c r="G3377" s="17" t="s">
        <v>217</v>
      </c>
    </row>
    <row r="3378" spans="6:7" x14ac:dyDescent="0.25">
      <c r="F3378" s="17" t="s">
        <v>4145</v>
      </c>
      <c r="G3378" s="17" t="s">
        <v>217</v>
      </c>
    </row>
    <row r="3379" spans="6:7" x14ac:dyDescent="0.25">
      <c r="F3379" s="17" t="s">
        <v>4146</v>
      </c>
      <c r="G3379" s="17" t="s">
        <v>217</v>
      </c>
    </row>
    <row r="3380" spans="6:7" x14ac:dyDescent="0.25">
      <c r="F3380" s="17" t="s">
        <v>4147</v>
      </c>
      <c r="G3380" s="17" t="s">
        <v>217</v>
      </c>
    </row>
    <row r="3381" spans="6:7" x14ac:dyDescent="0.25">
      <c r="F3381" s="17" t="s">
        <v>4148</v>
      </c>
      <c r="G3381" s="17" t="s">
        <v>217</v>
      </c>
    </row>
    <row r="3382" spans="6:7" x14ac:dyDescent="0.25">
      <c r="F3382" s="17" t="s">
        <v>4149</v>
      </c>
      <c r="G3382" s="17" t="s">
        <v>217</v>
      </c>
    </row>
    <row r="3383" spans="6:7" x14ac:dyDescent="0.25">
      <c r="F3383" s="17" t="s">
        <v>4150</v>
      </c>
      <c r="G3383" s="17" t="s">
        <v>217</v>
      </c>
    </row>
    <row r="3384" spans="6:7" x14ac:dyDescent="0.25">
      <c r="F3384" s="17" t="s">
        <v>4151</v>
      </c>
      <c r="G3384" s="17" t="s">
        <v>217</v>
      </c>
    </row>
    <row r="3385" spans="6:7" x14ac:dyDescent="0.25">
      <c r="F3385" s="17" t="s">
        <v>4152</v>
      </c>
      <c r="G3385" s="17" t="s">
        <v>217</v>
      </c>
    </row>
    <row r="3386" spans="6:7" x14ac:dyDescent="0.25">
      <c r="F3386" s="17" t="s">
        <v>4153</v>
      </c>
      <c r="G3386" s="17" t="s">
        <v>217</v>
      </c>
    </row>
    <row r="3387" spans="6:7" x14ac:dyDescent="0.25">
      <c r="F3387" s="17" t="s">
        <v>4154</v>
      </c>
      <c r="G3387" s="17" t="s">
        <v>217</v>
      </c>
    </row>
    <row r="3388" spans="6:7" x14ac:dyDescent="0.25">
      <c r="F3388" s="17" t="s">
        <v>563</v>
      </c>
      <c r="G3388" s="17" t="s">
        <v>217</v>
      </c>
    </row>
    <row r="3389" spans="6:7" x14ac:dyDescent="0.25">
      <c r="F3389" s="17" t="s">
        <v>4155</v>
      </c>
      <c r="G3389" s="17" t="s">
        <v>217</v>
      </c>
    </row>
    <row r="3390" spans="6:7" x14ac:dyDescent="0.25">
      <c r="F3390" s="17" t="s">
        <v>4156</v>
      </c>
      <c r="G3390" s="17" t="s">
        <v>217</v>
      </c>
    </row>
    <row r="3391" spans="6:7" x14ac:dyDescent="0.25">
      <c r="F3391" s="17" t="s">
        <v>4157</v>
      </c>
      <c r="G3391" s="17" t="s">
        <v>217</v>
      </c>
    </row>
    <row r="3392" spans="6:7" x14ac:dyDescent="0.25">
      <c r="F3392" s="17" t="s">
        <v>462</v>
      </c>
      <c r="G3392" s="17" t="s">
        <v>217</v>
      </c>
    </row>
    <row r="3393" spans="6:7" x14ac:dyDescent="0.25">
      <c r="F3393" s="17" t="s">
        <v>4158</v>
      </c>
      <c r="G3393" s="17" t="s">
        <v>217</v>
      </c>
    </row>
    <row r="3394" spans="6:7" x14ac:dyDescent="0.25">
      <c r="F3394" s="17" t="s">
        <v>729</v>
      </c>
      <c r="G3394" s="17" t="s">
        <v>217</v>
      </c>
    </row>
    <row r="3395" spans="6:7" x14ac:dyDescent="0.25">
      <c r="F3395" s="17" t="s">
        <v>4159</v>
      </c>
      <c r="G3395" s="17" t="s">
        <v>217</v>
      </c>
    </row>
    <row r="3396" spans="6:7" x14ac:dyDescent="0.25">
      <c r="F3396" s="17" t="s">
        <v>4160</v>
      </c>
      <c r="G3396" s="17" t="s">
        <v>217</v>
      </c>
    </row>
    <row r="3397" spans="6:7" x14ac:dyDescent="0.25">
      <c r="F3397" s="17" t="s">
        <v>4161</v>
      </c>
      <c r="G3397" s="17" t="s">
        <v>217</v>
      </c>
    </row>
    <row r="3398" spans="6:7" x14ac:dyDescent="0.25">
      <c r="F3398" s="17" t="s">
        <v>587</v>
      </c>
      <c r="G3398" s="17" t="s">
        <v>217</v>
      </c>
    </row>
    <row r="3399" spans="6:7" x14ac:dyDescent="0.25">
      <c r="F3399" s="17" t="s">
        <v>4162</v>
      </c>
      <c r="G3399" s="17" t="s">
        <v>217</v>
      </c>
    </row>
    <row r="3400" spans="6:7" x14ac:dyDescent="0.25">
      <c r="F3400" s="17" t="s">
        <v>4163</v>
      </c>
      <c r="G3400" s="17" t="s">
        <v>217</v>
      </c>
    </row>
    <row r="3401" spans="6:7" x14ac:dyDescent="0.25">
      <c r="F3401" s="17" t="s">
        <v>4164</v>
      </c>
      <c r="G3401" s="17" t="s">
        <v>195</v>
      </c>
    </row>
    <row r="3402" spans="6:7" x14ac:dyDescent="0.25">
      <c r="F3402" s="17" t="s">
        <v>4165</v>
      </c>
      <c r="G3402" s="17" t="s">
        <v>217</v>
      </c>
    </row>
    <row r="3403" spans="6:7" x14ac:dyDescent="0.25">
      <c r="F3403" s="17" t="s">
        <v>4166</v>
      </c>
      <c r="G3403" s="17" t="s">
        <v>217</v>
      </c>
    </row>
    <row r="3404" spans="6:7" x14ac:dyDescent="0.25">
      <c r="F3404" s="17" t="s">
        <v>408</v>
      </c>
      <c r="G3404" s="17" t="s">
        <v>217</v>
      </c>
    </row>
    <row r="3405" spans="6:7" x14ac:dyDescent="0.25">
      <c r="F3405" s="17" t="s">
        <v>429</v>
      </c>
      <c r="G3405" s="17" t="s">
        <v>217</v>
      </c>
    </row>
    <row r="3406" spans="6:7" x14ac:dyDescent="0.25">
      <c r="F3406" s="17" t="s">
        <v>4167</v>
      </c>
      <c r="G3406" s="17" t="s">
        <v>217</v>
      </c>
    </row>
    <row r="3407" spans="6:7" x14ac:dyDescent="0.25">
      <c r="F3407" s="17" t="s">
        <v>4168</v>
      </c>
      <c r="G3407" s="17" t="s">
        <v>217</v>
      </c>
    </row>
    <row r="3408" spans="6:7" x14ac:dyDescent="0.25">
      <c r="F3408" s="17" t="s">
        <v>4169</v>
      </c>
      <c r="G3408" s="17" t="s">
        <v>217</v>
      </c>
    </row>
    <row r="3409" spans="6:7" x14ac:dyDescent="0.25">
      <c r="F3409" s="17" t="s">
        <v>4170</v>
      </c>
      <c r="G3409" s="17" t="s">
        <v>217</v>
      </c>
    </row>
    <row r="3410" spans="6:7" x14ac:dyDescent="0.25">
      <c r="F3410" s="17" t="s">
        <v>4171</v>
      </c>
      <c r="G3410" s="17" t="s">
        <v>217</v>
      </c>
    </row>
    <row r="3411" spans="6:7" x14ac:dyDescent="0.25">
      <c r="F3411" s="17" t="s">
        <v>4172</v>
      </c>
      <c r="G3411" s="17" t="s">
        <v>217</v>
      </c>
    </row>
    <row r="3412" spans="6:7" x14ac:dyDescent="0.25">
      <c r="F3412" s="17" t="s">
        <v>4173</v>
      </c>
      <c r="G3412" s="17" t="s">
        <v>217</v>
      </c>
    </row>
    <row r="3413" spans="6:7" x14ac:dyDescent="0.25">
      <c r="F3413" s="17" t="s">
        <v>4174</v>
      </c>
      <c r="G3413" s="17" t="s">
        <v>217</v>
      </c>
    </row>
    <row r="3414" spans="6:7" x14ac:dyDescent="0.25">
      <c r="F3414" s="17" t="s">
        <v>4175</v>
      </c>
      <c r="G3414" s="17" t="s">
        <v>217</v>
      </c>
    </row>
    <row r="3415" spans="6:7" x14ac:dyDescent="0.25">
      <c r="F3415" s="17" t="s">
        <v>4176</v>
      </c>
      <c r="G3415" s="17" t="s">
        <v>217</v>
      </c>
    </row>
    <row r="3416" spans="6:7" x14ac:dyDescent="0.25">
      <c r="F3416" s="17" t="s">
        <v>4177</v>
      </c>
      <c r="G3416" s="17" t="s">
        <v>217</v>
      </c>
    </row>
    <row r="3417" spans="6:7" x14ac:dyDescent="0.25">
      <c r="F3417" s="17" t="s">
        <v>4178</v>
      </c>
      <c r="G3417" s="17" t="s">
        <v>217</v>
      </c>
    </row>
    <row r="3418" spans="6:7" x14ac:dyDescent="0.25">
      <c r="F3418" s="17" t="s">
        <v>805</v>
      </c>
      <c r="G3418" s="17" t="s">
        <v>217</v>
      </c>
    </row>
    <row r="3419" spans="6:7" x14ac:dyDescent="0.25">
      <c r="F3419" s="17" t="s">
        <v>4179</v>
      </c>
      <c r="G3419" s="17" t="s">
        <v>217</v>
      </c>
    </row>
    <row r="3420" spans="6:7" x14ac:dyDescent="0.25">
      <c r="F3420" s="17" t="s">
        <v>4180</v>
      </c>
      <c r="G3420" s="17" t="s">
        <v>217</v>
      </c>
    </row>
    <row r="3421" spans="6:7" x14ac:dyDescent="0.25">
      <c r="F3421" s="17" t="s">
        <v>4181</v>
      </c>
      <c r="G3421" s="17" t="s">
        <v>217</v>
      </c>
    </row>
    <row r="3422" spans="6:7" x14ac:dyDescent="0.25">
      <c r="F3422" s="17" t="s">
        <v>4182</v>
      </c>
      <c r="G3422" s="17" t="s">
        <v>217</v>
      </c>
    </row>
    <row r="3423" spans="6:7" x14ac:dyDescent="0.25">
      <c r="F3423" s="17" t="s">
        <v>4183</v>
      </c>
      <c r="G3423" s="17" t="s">
        <v>217</v>
      </c>
    </row>
    <row r="3424" spans="6:7" x14ac:dyDescent="0.25">
      <c r="F3424" s="17" t="s">
        <v>4184</v>
      </c>
      <c r="G3424" s="17" t="s">
        <v>217</v>
      </c>
    </row>
    <row r="3425" spans="6:7" x14ac:dyDescent="0.25">
      <c r="F3425" s="17" t="s">
        <v>4185</v>
      </c>
      <c r="G3425" s="17" t="s">
        <v>217</v>
      </c>
    </row>
    <row r="3426" spans="6:7" x14ac:dyDescent="0.25">
      <c r="F3426" s="17" t="s">
        <v>4186</v>
      </c>
      <c r="G3426" s="17" t="s">
        <v>217</v>
      </c>
    </row>
    <row r="3427" spans="6:7" x14ac:dyDescent="0.25">
      <c r="F3427" s="17" t="s">
        <v>4187</v>
      </c>
      <c r="G3427" s="17" t="s">
        <v>217</v>
      </c>
    </row>
    <row r="3428" spans="6:7" x14ac:dyDescent="0.25">
      <c r="F3428" s="17" t="s">
        <v>4188</v>
      </c>
      <c r="G3428" s="17" t="s">
        <v>217</v>
      </c>
    </row>
    <row r="3429" spans="6:7" x14ac:dyDescent="0.25">
      <c r="F3429" s="17" t="s">
        <v>4189</v>
      </c>
      <c r="G3429" s="17" t="s">
        <v>217</v>
      </c>
    </row>
    <row r="3430" spans="6:7" x14ac:dyDescent="0.25">
      <c r="F3430" s="17" t="s">
        <v>4190</v>
      </c>
      <c r="G3430" s="17" t="s">
        <v>217</v>
      </c>
    </row>
    <row r="3431" spans="6:7" x14ac:dyDescent="0.25">
      <c r="F3431" s="17" t="s">
        <v>4191</v>
      </c>
      <c r="G3431" s="17" t="s">
        <v>217</v>
      </c>
    </row>
    <row r="3432" spans="6:7" x14ac:dyDescent="0.25">
      <c r="F3432" s="17" t="s">
        <v>4192</v>
      </c>
      <c r="G3432" s="17" t="s">
        <v>217</v>
      </c>
    </row>
    <row r="3433" spans="6:7" x14ac:dyDescent="0.25">
      <c r="F3433" s="17" t="s">
        <v>4193</v>
      </c>
      <c r="G3433" s="17" t="s">
        <v>217</v>
      </c>
    </row>
    <row r="3434" spans="6:7" x14ac:dyDescent="0.25">
      <c r="F3434" s="17" t="s">
        <v>4194</v>
      </c>
      <c r="G3434" s="17" t="s">
        <v>217</v>
      </c>
    </row>
    <row r="3435" spans="6:7" x14ac:dyDescent="0.25">
      <c r="F3435" s="17" t="s">
        <v>4195</v>
      </c>
      <c r="G3435" s="17" t="s">
        <v>217</v>
      </c>
    </row>
    <row r="3436" spans="6:7" x14ac:dyDescent="0.25">
      <c r="F3436" s="17" t="s">
        <v>4196</v>
      </c>
      <c r="G3436" s="17" t="s">
        <v>217</v>
      </c>
    </row>
    <row r="3437" spans="6:7" x14ac:dyDescent="0.25">
      <c r="F3437" s="17" t="s">
        <v>4197</v>
      </c>
      <c r="G3437" s="17" t="s">
        <v>217</v>
      </c>
    </row>
    <row r="3438" spans="6:7" x14ac:dyDescent="0.25">
      <c r="F3438" s="17" t="s">
        <v>4198</v>
      </c>
      <c r="G3438" s="17" t="s">
        <v>217</v>
      </c>
    </row>
    <row r="3439" spans="6:7" x14ac:dyDescent="0.25">
      <c r="F3439" s="17" t="s">
        <v>4199</v>
      </c>
      <c r="G3439" s="17" t="s">
        <v>217</v>
      </c>
    </row>
    <row r="3440" spans="6:7" x14ac:dyDescent="0.25">
      <c r="F3440" s="17" t="s">
        <v>4200</v>
      </c>
      <c r="G3440" s="17" t="s">
        <v>217</v>
      </c>
    </row>
    <row r="3441" spans="6:7" x14ac:dyDescent="0.25">
      <c r="F3441" s="17" t="s">
        <v>4201</v>
      </c>
      <c r="G3441" s="17" t="s">
        <v>217</v>
      </c>
    </row>
    <row r="3442" spans="6:7" x14ac:dyDescent="0.25">
      <c r="F3442" s="17" t="s">
        <v>4202</v>
      </c>
      <c r="G3442" s="17" t="s">
        <v>217</v>
      </c>
    </row>
    <row r="3443" spans="6:7" x14ac:dyDescent="0.25">
      <c r="F3443" s="17" t="s">
        <v>4203</v>
      </c>
      <c r="G3443" s="17" t="s">
        <v>217</v>
      </c>
    </row>
    <row r="3444" spans="6:7" x14ac:dyDescent="0.25">
      <c r="F3444" s="17" t="s">
        <v>4204</v>
      </c>
      <c r="G3444" s="17" t="s">
        <v>217</v>
      </c>
    </row>
    <row r="3445" spans="6:7" x14ac:dyDescent="0.25">
      <c r="F3445" s="17" t="s">
        <v>4205</v>
      </c>
      <c r="G3445" s="17" t="s">
        <v>217</v>
      </c>
    </row>
    <row r="3446" spans="6:7" x14ac:dyDescent="0.25">
      <c r="F3446" s="17" t="s">
        <v>4206</v>
      </c>
      <c r="G3446" s="17" t="s">
        <v>217</v>
      </c>
    </row>
    <row r="3447" spans="6:7" x14ac:dyDescent="0.25">
      <c r="F3447" s="17" t="s">
        <v>4207</v>
      </c>
      <c r="G3447" s="17" t="s">
        <v>217</v>
      </c>
    </row>
    <row r="3448" spans="6:7" x14ac:dyDescent="0.25">
      <c r="F3448" s="17" t="s">
        <v>4208</v>
      </c>
      <c r="G3448" s="17" t="s">
        <v>217</v>
      </c>
    </row>
    <row r="3449" spans="6:7" x14ac:dyDescent="0.25">
      <c r="F3449" s="17" t="s">
        <v>4209</v>
      </c>
      <c r="G3449" s="17" t="s">
        <v>217</v>
      </c>
    </row>
    <row r="3450" spans="6:7" x14ac:dyDescent="0.25">
      <c r="F3450" s="17" t="s">
        <v>4210</v>
      </c>
      <c r="G3450" s="17" t="s">
        <v>217</v>
      </c>
    </row>
    <row r="3451" spans="6:7" x14ac:dyDescent="0.25">
      <c r="F3451" s="17" t="s">
        <v>4211</v>
      </c>
      <c r="G3451" s="17" t="s">
        <v>217</v>
      </c>
    </row>
    <row r="3452" spans="6:7" x14ac:dyDescent="0.25">
      <c r="F3452" s="17" t="s">
        <v>4212</v>
      </c>
      <c r="G3452" s="17" t="s">
        <v>217</v>
      </c>
    </row>
    <row r="3453" spans="6:7" x14ac:dyDescent="0.25">
      <c r="F3453" s="17" t="s">
        <v>4213</v>
      </c>
      <c r="G3453" s="17" t="s">
        <v>217</v>
      </c>
    </row>
    <row r="3454" spans="6:7" x14ac:dyDescent="0.25">
      <c r="F3454" s="17" t="s">
        <v>4214</v>
      </c>
      <c r="G3454" s="17" t="s">
        <v>217</v>
      </c>
    </row>
    <row r="3455" spans="6:7" x14ac:dyDescent="0.25">
      <c r="F3455" s="17" t="s">
        <v>4215</v>
      </c>
      <c r="G3455" s="17" t="s">
        <v>217</v>
      </c>
    </row>
    <row r="3456" spans="6:7" x14ac:dyDescent="0.25">
      <c r="F3456" s="17" t="s">
        <v>4216</v>
      </c>
      <c r="G3456" s="17" t="s">
        <v>217</v>
      </c>
    </row>
    <row r="3457" spans="6:7" x14ac:dyDescent="0.25">
      <c r="F3457" s="17" t="s">
        <v>635</v>
      </c>
      <c r="G3457" s="17" t="s">
        <v>217</v>
      </c>
    </row>
    <row r="3458" spans="6:7" x14ac:dyDescent="0.25">
      <c r="F3458" s="17" t="s">
        <v>4217</v>
      </c>
      <c r="G3458" s="17" t="s">
        <v>217</v>
      </c>
    </row>
    <row r="3459" spans="6:7" x14ac:dyDescent="0.25">
      <c r="F3459" s="17" t="s">
        <v>4218</v>
      </c>
      <c r="G3459" s="17" t="s">
        <v>217</v>
      </c>
    </row>
    <row r="3460" spans="6:7" x14ac:dyDescent="0.25">
      <c r="F3460" s="17" t="s">
        <v>4219</v>
      </c>
      <c r="G3460" s="17" t="s">
        <v>217</v>
      </c>
    </row>
    <row r="3461" spans="6:7" x14ac:dyDescent="0.25">
      <c r="F3461" s="17" t="s">
        <v>4220</v>
      </c>
      <c r="G3461" s="17" t="s">
        <v>217</v>
      </c>
    </row>
    <row r="3462" spans="6:7" x14ac:dyDescent="0.25">
      <c r="F3462" s="17" t="s">
        <v>4221</v>
      </c>
      <c r="G3462" s="17" t="s">
        <v>217</v>
      </c>
    </row>
    <row r="3463" spans="6:7" x14ac:dyDescent="0.25">
      <c r="F3463" s="17" t="s">
        <v>4222</v>
      </c>
      <c r="G3463" s="17" t="s">
        <v>217</v>
      </c>
    </row>
    <row r="3464" spans="6:7" x14ac:dyDescent="0.25">
      <c r="F3464" s="17" t="s">
        <v>4223</v>
      </c>
      <c r="G3464" s="17" t="s">
        <v>217</v>
      </c>
    </row>
    <row r="3465" spans="6:7" x14ac:dyDescent="0.25">
      <c r="F3465" s="17" t="s">
        <v>4224</v>
      </c>
      <c r="G3465" s="17" t="s">
        <v>217</v>
      </c>
    </row>
    <row r="3466" spans="6:7" x14ac:dyDescent="0.25">
      <c r="F3466" s="17" t="s">
        <v>4225</v>
      </c>
      <c r="G3466" s="17" t="s">
        <v>217</v>
      </c>
    </row>
    <row r="3467" spans="6:7" x14ac:dyDescent="0.25">
      <c r="F3467" s="17" t="s">
        <v>4226</v>
      </c>
      <c r="G3467" s="17" t="s">
        <v>217</v>
      </c>
    </row>
    <row r="3468" spans="6:7" x14ac:dyDescent="0.25">
      <c r="F3468" s="17" t="s">
        <v>4227</v>
      </c>
      <c r="G3468" s="17" t="s">
        <v>217</v>
      </c>
    </row>
    <row r="3469" spans="6:7" x14ac:dyDescent="0.25">
      <c r="F3469" s="17" t="s">
        <v>4228</v>
      </c>
      <c r="G3469" s="17" t="s">
        <v>217</v>
      </c>
    </row>
    <row r="3470" spans="6:7" x14ac:dyDescent="0.25">
      <c r="F3470" s="17" t="s">
        <v>925</v>
      </c>
      <c r="G3470" s="17" t="s">
        <v>217</v>
      </c>
    </row>
    <row r="3471" spans="6:7" x14ac:dyDescent="0.25">
      <c r="F3471" s="17" t="s">
        <v>4229</v>
      </c>
      <c r="G3471" s="17" t="s">
        <v>217</v>
      </c>
    </row>
    <row r="3472" spans="6:7" x14ac:dyDescent="0.25">
      <c r="F3472" s="17" t="s">
        <v>4230</v>
      </c>
      <c r="G3472" s="17" t="s">
        <v>217</v>
      </c>
    </row>
    <row r="3473" spans="6:7" x14ac:dyDescent="0.25">
      <c r="F3473" s="17" t="s">
        <v>4231</v>
      </c>
      <c r="G3473" s="17" t="s">
        <v>217</v>
      </c>
    </row>
    <row r="3474" spans="6:7" x14ac:dyDescent="0.25">
      <c r="F3474" s="17" t="s">
        <v>4232</v>
      </c>
      <c r="G3474" s="17" t="s">
        <v>217</v>
      </c>
    </row>
    <row r="3475" spans="6:7" x14ac:dyDescent="0.25">
      <c r="F3475" s="17" t="s">
        <v>4233</v>
      </c>
      <c r="G3475" s="17" t="s">
        <v>217</v>
      </c>
    </row>
    <row r="3476" spans="6:7" x14ac:dyDescent="0.25">
      <c r="F3476" s="17" t="s">
        <v>4234</v>
      </c>
      <c r="G3476" s="17" t="s">
        <v>217</v>
      </c>
    </row>
    <row r="3477" spans="6:7" x14ac:dyDescent="0.25">
      <c r="F3477" s="17" t="s">
        <v>4235</v>
      </c>
      <c r="G3477" s="17" t="s">
        <v>217</v>
      </c>
    </row>
    <row r="3478" spans="6:7" x14ac:dyDescent="0.25">
      <c r="F3478" s="17" t="s">
        <v>4236</v>
      </c>
      <c r="G3478" s="17" t="s">
        <v>217</v>
      </c>
    </row>
    <row r="3479" spans="6:7" x14ac:dyDescent="0.25">
      <c r="F3479" s="17" t="s">
        <v>4237</v>
      </c>
      <c r="G3479" s="17" t="s">
        <v>217</v>
      </c>
    </row>
    <row r="3480" spans="6:7" x14ac:dyDescent="0.25">
      <c r="F3480" s="17" t="s">
        <v>4238</v>
      </c>
      <c r="G3480" s="17" t="s">
        <v>217</v>
      </c>
    </row>
    <row r="3481" spans="6:7" x14ac:dyDescent="0.25">
      <c r="F3481" s="17" t="s">
        <v>4239</v>
      </c>
      <c r="G3481" s="17" t="s">
        <v>217</v>
      </c>
    </row>
    <row r="3482" spans="6:7" x14ac:dyDescent="0.25">
      <c r="F3482" s="17" t="s">
        <v>4240</v>
      </c>
      <c r="G3482" s="17" t="s">
        <v>217</v>
      </c>
    </row>
    <row r="3483" spans="6:7" x14ac:dyDescent="0.25">
      <c r="F3483" s="17" t="s">
        <v>4241</v>
      </c>
      <c r="G3483" s="17" t="s">
        <v>217</v>
      </c>
    </row>
    <row r="3484" spans="6:7" x14ac:dyDescent="0.25">
      <c r="F3484" s="17" t="s">
        <v>4242</v>
      </c>
      <c r="G3484" s="17" t="s">
        <v>217</v>
      </c>
    </row>
    <row r="3485" spans="6:7" x14ac:dyDescent="0.25">
      <c r="F3485" s="17" t="s">
        <v>4243</v>
      </c>
      <c r="G3485" s="17" t="s">
        <v>217</v>
      </c>
    </row>
    <row r="3486" spans="6:7" x14ac:dyDescent="0.25">
      <c r="F3486" s="17" t="s">
        <v>825</v>
      </c>
      <c r="G3486" s="17" t="s">
        <v>217</v>
      </c>
    </row>
    <row r="3487" spans="6:7" x14ac:dyDescent="0.25">
      <c r="F3487" s="17" t="s">
        <v>4244</v>
      </c>
      <c r="G3487" s="17" t="s">
        <v>217</v>
      </c>
    </row>
    <row r="3488" spans="6:7" x14ac:dyDescent="0.25">
      <c r="F3488" s="17" t="s">
        <v>614</v>
      </c>
      <c r="G3488" s="17" t="s">
        <v>217</v>
      </c>
    </row>
    <row r="3489" spans="6:7" x14ac:dyDescent="0.25">
      <c r="F3489" s="17" t="s">
        <v>4245</v>
      </c>
      <c r="G3489" s="17" t="s">
        <v>217</v>
      </c>
    </row>
    <row r="3490" spans="6:7" x14ac:dyDescent="0.25">
      <c r="F3490" s="17" t="s">
        <v>4246</v>
      </c>
      <c r="G3490" s="17" t="s">
        <v>217</v>
      </c>
    </row>
    <row r="3491" spans="6:7" x14ac:dyDescent="0.25">
      <c r="F3491" s="17" t="s">
        <v>4247</v>
      </c>
      <c r="G3491" s="17" t="s">
        <v>217</v>
      </c>
    </row>
    <row r="3492" spans="6:7" x14ac:dyDescent="0.25">
      <c r="F3492" s="17" t="s">
        <v>464</v>
      </c>
      <c r="G3492" s="17" t="s">
        <v>217</v>
      </c>
    </row>
    <row r="3493" spans="6:7" x14ac:dyDescent="0.25">
      <c r="F3493" s="17" t="s">
        <v>4248</v>
      </c>
      <c r="G3493" s="17" t="s">
        <v>217</v>
      </c>
    </row>
    <row r="3494" spans="6:7" x14ac:dyDescent="0.25">
      <c r="F3494" s="17" t="s">
        <v>4249</v>
      </c>
      <c r="G3494" s="17" t="s">
        <v>217</v>
      </c>
    </row>
    <row r="3495" spans="6:7" x14ac:dyDescent="0.25">
      <c r="F3495" s="17" t="s">
        <v>437</v>
      </c>
      <c r="G3495" s="17" t="s">
        <v>217</v>
      </c>
    </row>
    <row r="3496" spans="6:7" x14ac:dyDescent="0.25">
      <c r="F3496" s="17" t="s">
        <v>4250</v>
      </c>
      <c r="G3496" s="17" t="s">
        <v>217</v>
      </c>
    </row>
    <row r="3497" spans="6:7" x14ac:dyDescent="0.25">
      <c r="F3497" s="17" t="s">
        <v>560</v>
      </c>
      <c r="G3497" s="17" t="s">
        <v>217</v>
      </c>
    </row>
    <row r="3498" spans="6:7" x14ac:dyDescent="0.25">
      <c r="F3498" s="17" t="s">
        <v>4251</v>
      </c>
      <c r="G3498" s="17" t="s">
        <v>217</v>
      </c>
    </row>
    <row r="3499" spans="6:7" x14ac:dyDescent="0.25">
      <c r="F3499" s="17" t="s">
        <v>4252</v>
      </c>
      <c r="G3499" s="17" t="s">
        <v>217</v>
      </c>
    </row>
    <row r="3500" spans="6:7" x14ac:dyDescent="0.25">
      <c r="F3500" s="17" t="s">
        <v>4253</v>
      </c>
      <c r="G3500" s="17" t="s">
        <v>217</v>
      </c>
    </row>
    <row r="3501" spans="6:7" x14ac:dyDescent="0.25">
      <c r="F3501" s="17" t="s">
        <v>4254</v>
      </c>
      <c r="G3501" s="17" t="s">
        <v>217</v>
      </c>
    </row>
    <row r="3502" spans="6:7" x14ac:dyDescent="0.25">
      <c r="F3502" s="17" t="s">
        <v>4255</v>
      </c>
      <c r="G3502" s="17" t="s">
        <v>217</v>
      </c>
    </row>
    <row r="3503" spans="6:7" x14ac:dyDescent="0.25">
      <c r="F3503" s="17" t="s">
        <v>4256</v>
      </c>
      <c r="G3503" s="17" t="s">
        <v>217</v>
      </c>
    </row>
    <row r="3504" spans="6:7" x14ac:dyDescent="0.25">
      <c r="F3504" s="17" t="s">
        <v>4257</v>
      </c>
      <c r="G3504" s="17" t="s">
        <v>217</v>
      </c>
    </row>
    <row r="3505" spans="6:7" x14ac:dyDescent="0.25">
      <c r="F3505" s="17" t="s">
        <v>4258</v>
      </c>
      <c r="G3505" s="17" t="s">
        <v>217</v>
      </c>
    </row>
    <row r="3506" spans="6:7" x14ac:dyDescent="0.25">
      <c r="F3506" s="17" t="s">
        <v>4259</v>
      </c>
      <c r="G3506" s="17" t="s">
        <v>217</v>
      </c>
    </row>
    <row r="3507" spans="6:7" x14ac:dyDescent="0.25">
      <c r="F3507" s="17" t="s">
        <v>4260</v>
      </c>
      <c r="G3507" s="17" t="s">
        <v>217</v>
      </c>
    </row>
    <row r="3508" spans="6:7" x14ac:dyDescent="0.25">
      <c r="F3508" s="17" t="s">
        <v>4261</v>
      </c>
      <c r="G3508" s="17" t="s">
        <v>217</v>
      </c>
    </row>
    <row r="3509" spans="6:7" x14ac:dyDescent="0.25">
      <c r="F3509" s="17" t="s">
        <v>4262</v>
      </c>
      <c r="G3509" s="17" t="s">
        <v>217</v>
      </c>
    </row>
    <row r="3510" spans="6:7" x14ac:dyDescent="0.25">
      <c r="F3510" s="17" t="s">
        <v>4263</v>
      </c>
      <c r="G3510" s="17" t="s">
        <v>217</v>
      </c>
    </row>
    <row r="3511" spans="6:7" x14ac:dyDescent="0.25">
      <c r="F3511" s="17" t="s">
        <v>4264</v>
      </c>
      <c r="G3511" s="17" t="s">
        <v>217</v>
      </c>
    </row>
    <row r="3512" spans="6:7" x14ac:dyDescent="0.25">
      <c r="F3512" s="17" t="s">
        <v>4265</v>
      </c>
      <c r="G3512" s="17" t="s">
        <v>217</v>
      </c>
    </row>
    <row r="3513" spans="6:7" x14ac:dyDescent="0.25">
      <c r="F3513" s="17" t="s">
        <v>4266</v>
      </c>
      <c r="G3513" s="17" t="s">
        <v>217</v>
      </c>
    </row>
    <row r="3514" spans="6:7" x14ac:dyDescent="0.25">
      <c r="F3514" s="17" t="s">
        <v>4267</v>
      </c>
      <c r="G3514" s="17" t="s">
        <v>217</v>
      </c>
    </row>
    <row r="3515" spans="6:7" x14ac:dyDescent="0.25">
      <c r="F3515" s="17" t="s">
        <v>4268</v>
      </c>
      <c r="G3515" s="17" t="s">
        <v>217</v>
      </c>
    </row>
    <row r="3516" spans="6:7" x14ac:dyDescent="0.25">
      <c r="F3516" s="17" t="s">
        <v>4269</v>
      </c>
      <c r="G3516" s="17" t="s">
        <v>217</v>
      </c>
    </row>
    <row r="3517" spans="6:7" x14ac:dyDescent="0.25">
      <c r="F3517" s="17" t="s">
        <v>4270</v>
      </c>
      <c r="G3517" s="17" t="s">
        <v>217</v>
      </c>
    </row>
    <row r="3518" spans="6:7" x14ac:dyDescent="0.25">
      <c r="F3518" s="17" t="s">
        <v>4271</v>
      </c>
      <c r="G3518" s="17" t="s">
        <v>217</v>
      </c>
    </row>
    <row r="3519" spans="6:7" x14ac:dyDescent="0.25">
      <c r="F3519" s="17" t="s">
        <v>4272</v>
      </c>
      <c r="G3519" s="17" t="s">
        <v>217</v>
      </c>
    </row>
    <row r="3520" spans="6:7" x14ac:dyDescent="0.25">
      <c r="F3520" s="17" t="s">
        <v>4273</v>
      </c>
      <c r="G3520" s="17" t="s">
        <v>217</v>
      </c>
    </row>
    <row r="3521" spans="6:7" x14ac:dyDescent="0.25">
      <c r="F3521" s="17" t="s">
        <v>4274</v>
      </c>
      <c r="G3521" s="17" t="s">
        <v>217</v>
      </c>
    </row>
    <row r="3522" spans="6:7" x14ac:dyDescent="0.25">
      <c r="F3522" s="17" t="s">
        <v>4275</v>
      </c>
      <c r="G3522" s="17" t="s">
        <v>217</v>
      </c>
    </row>
    <row r="3523" spans="6:7" x14ac:dyDescent="0.25">
      <c r="F3523" s="17" t="s">
        <v>4276</v>
      </c>
      <c r="G3523" s="17" t="s">
        <v>217</v>
      </c>
    </row>
    <row r="3524" spans="6:7" x14ac:dyDescent="0.25">
      <c r="F3524" s="17" t="s">
        <v>4277</v>
      </c>
      <c r="G3524" s="17" t="s">
        <v>217</v>
      </c>
    </row>
    <row r="3525" spans="6:7" x14ac:dyDescent="0.25">
      <c r="F3525" s="17" t="s">
        <v>4278</v>
      </c>
      <c r="G3525" s="17" t="s">
        <v>217</v>
      </c>
    </row>
    <row r="3526" spans="6:7" x14ac:dyDescent="0.25">
      <c r="F3526" s="17" t="s">
        <v>4279</v>
      </c>
      <c r="G3526" s="17" t="s">
        <v>217</v>
      </c>
    </row>
    <row r="3527" spans="6:7" x14ac:dyDescent="0.25">
      <c r="F3527" s="17" t="s">
        <v>4280</v>
      </c>
      <c r="G3527" s="17" t="s">
        <v>217</v>
      </c>
    </row>
    <row r="3528" spans="6:7" x14ac:dyDescent="0.25">
      <c r="F3528" s="17" t="s">
        <v>4281</v>
      </c>
      <c r="G3528" s="17" t="s">
        <v>217</v>
      </c>
    </row>
    <row r="3529" spans="6:7" x14ac:dyDescent="0.25">
      <c r="F3529" s="17" t="s">
        <v>616</v>
      </c>
      <c r="G3529" s="17" t="s">
        <v>217</v>
      </c>
    </row>
    <row r="3530" spans="6:7" x14ac:dyDescent="0.25">
      <c r="F3530" s="17" t="s">
        <v>4282</v>
      </c>
      <c r="G3530" s="17" t="s">
        <v>217</v>
      </c>
    </row>
    <row r="3531" spans="6:7" x14ac:dyDescent="0.25">
      <c r="F3531" s="17" t="s">
        <v>612</v>
      </c>
      <c r="G3531" s="17" t="s">
        <v>217</v>
      </c>
    </row>
    <row r="3532" spans="6:7" x14ac:dyDescent="0.25">
      <c r="F3532" s="17" t="s">
        <v>4283</v>
      </c>
      <c r="G3532" s="17" t="s">
        <v>217</v>
      </c>
    </row>
    <row r="3533" spans="6:7" x14ac:dyDescent="0.25">
      <c r="F3533" s="17" t="s">
        <v>788</v>
      </c>
      <c r="G3533" s="17" t="s">
        <v>217</v>
      </c>
    </row>
    <row r="3534" spans="6:7" x14ac:dyDescent="0.25">
      <c r="F3534" s="17" t="s">
        <v>4284</v>
      </c>
      <c r="G3534" s="17" t="s">
        <v>217</v>
      </c>
    </row>
    <row r="3535" spans="6:7" x14ac:dyDescent="0.25">
      <c r="F3535" s="17" t="s">
        <v>4285</v>
      </c>
      <c r="G3535" s="17" t="s">
        <v>217</v>
      </c>
    </row>
    <row r="3536" spans="6:7" x14ac:dyDescent="0.25">
      <c r="F3536" s="17" t="s">
        <v>4286</v>
      </c>
      <c r="G3536" s="17" t="s">
        <v>217</v>
      </c>
    </row>
    <row r="3537" spans="6:7" x14ac:dyDescent="0.25">
      <c r="F3537" s="17" t="s">
        <v>4287</v>
      </c>
      <c r="G3537" s="17" t="s">
        <v>217</v>
      </c>
    </row>
    <row r="3538" spans="6:7" x14ac:dyDescent="0.25">
      <c r="F3538" s="17" t="s">
        <v>4288</v>
      </c>
      <c r="G3538" s="17" t="s">
        <v>217</v>
      </c>
    </row>
    <row r="3539" spans="6:7" x14ac:dyDescent="0.25">
      <c r="F3539" s="17" t="s">
        <v>4289</v>
      </c>
      <c r="G3539" s="17" t="s">
        <v>217</v>
      </c>
    </row>
    <row r="3540" spans="6:7" x14ac:dyDescent="0.25">
      <c r="F3540" s="17" t="s">
        <v>4290</v>
      </c>
      <c r="G3540" s="17" t="s">
        <v>217</v>
      </c>
    </row>
    <row r="3541" spans="6:7" x14ac:dyDescent="0.25">
      <c r="F3541" s="17" t="s">
        <v>4291</v>
      </c>
      <c r="G3541" s="17" t="s">
        <v>217</v>
      </c>
    </row>
    <row r="3542" spans="6:7" x14ac:dyDescent="0.25">
      <c r="F3542" s="17" t="s">
        <v>4292</v>
      </c>
      <c r="G3542" s="17" t="s">
        <v>217</v>
      </c>
    </row>
    <row r="3543" spans="6:7" x14ac:dyDescent="0.25">
      <c r="F3543" s="17" t="s">
        <v>4293</v>
      </c>
      <c r="G3543" s="17" t="s">
        <v>217</v>
      </c>
    </row>
    <row r="3544" spans="6:7" x14ac:dyDescent="0.25">
      <c r="F3544" s="17" t="s">
        <v>4294</v>
      </c>
      <c r="G3544" s="17" t="s">
        <v>217</v>
      </c>
    </row>
    <row r="3545" spans="6:7" x14ac:dyDescent="0.25">
      <c r="F3545" s="17" t="s">
        <v>4295</v>
      </c>
      <c r="G3545" s="17" t="s">
        <v>217</v>
      </c>
    </row>
    <row r="3546" spans="6:7" x14ac:dyDescent="0.25">
      <c r="F3546" s="17" t="s">
        <v>4296</v>
      </c>
      <c r="G3546" s="17" t="s">
        <v>217</v>
      </c>
    </row>
    <row r="3547" spans="6:7" x14ac:dyDescent="0.25">
      <c r="F3547" s="17" t="s">
        <v>4297</v>
      </c>
      <c r="G3547" s="17" t="s">
        <v>217</v>
      </c>
    </row>
    <row r="3548" spans="6:7" x14ac:dyDescent="0.25">
      <c r="F3548" s="17" t="s">
        <v>4298</v>
      </c>
      <c r="G3548" s="17" t="s">
        <v>217</v>
      </c>
    </row>
    <row r="3549" spans="6:7" x14ac:dyDescent="0.25">
      <c r="F3549" s="17" t="s">
        <v>4299</v>
      </c>
      <c r="G3549" s="17" t="s">
        <v>217</v>
      </c>
    </row>
    <row r="3550" spans="6:7" x14ac:dyDescent="0.25">
      <c r="F3550" s="17" t="s">
        <v>4300</v>
      </c>
      <c r="G3550" s="17" t="s">
        <v>217</v>
      </c>
    </row>
    <row r="3551" spans="6:7" x14ac:dyDescent="0.25">
      <c r="F3551" s="17" t="s">
        <v>4301</v>
      </c>
      <c r="G3551" s="17" t="s">
        <v>217</v>
      </c>
    </row>
    <row r="3552" spans="6:7" x14ac:dyDescent="0.25">
      <c r="F3552" s="17" t="s">
        <v>4302</v>
      </c>
      <c r="G3552" s="17" t="s">
        <v>217</v>
      </c>
    </row>
    <row r="3553" spans="6:7" x14ac:dyDescent="0.25">
      <c r="F3553" s="17" t="s">
        <v>4303</v>
      </c>
      <c r="G3553" s="17" t="s">
        <v>217</v>
      </c>
    </row>
    <row r="3554" spans="6:7" x14ac:dyDescent="0.25">
      <c r="F3554" s="17" t="s">
        <v>4304</v>
      </c>
      <c r="G3554" s="17" t="s">
        <v>217</v>
      </c>
    </row>
    <row r="3555" spans="6:7" x14ac:dyDescent="0.25">
      <c r="F3555" s="17" t="s">
        <v>4305</v>
      </c>
      <c r="G3555" s="17" t="s">
        <v>217</v>
      </c>
    </row>
    <row r="3556" spans="6:7" x14ac:dyDescent="0.25">
      <c r="F3556" s="17" t="s">
        <v>892</v>
      </c>
      <c r="G3556" s="17" t="s">
        <v>217</v>
      </c>
    </row>
    <row r="3557" spans="6:7" x14ac:dyDescent="0.25">
      <c r="F3557" s="17" t="s">
        <v>625</v>
      </c>
      <c r="G3557" s="17" t="s">
        <v>217</v>
      </c>
    </row>
    <row r="3558" spans="6:7" x14ac:dyDescent="0.25">
      <c r="F3558" s="17" t="s">
        <v>4306</v>
      </c>
      <c r="G3558" s="17" t="s">
        <v>217</v>
      </c>
    </row>
    <row r="3559" spans="6:7" x14ac:dyDescent="0.25">
      <c r="F3559" s="17" t="s">
        <v>929</v>
      </c>
      <c r="G3559" s="17" t="s">
        <v>217</v>
      </c>
    </row>
    <row r="3560" spans="6:7" x14ac:dyDescent="0.25">
      <c r="F3560" s="17" t="s">
        <v>4307</v>
      </c>
      <c r="G3560" s="17" t="s">
        <v>217</v>
      </c>
    </row>
    <row r="3561" spans="6:7" x14ac:dyDescent="0.25">
      <c r="F3561" s="17" t="s">
        <v>4308</v>
      </c>
      <c r="G3561" s="17" t="s">
        <v>217</v>
      </c>
    </row>
    <row r="3562" spans="6:7" x14ac:dyDescent="0.25">
      <c r="F3562" s="17" t="s">
        <v>4309</v>
      </c>
      <c r="G3562" s="17" t="s">
        <v>217</v>
      </c>
    </row>
    <row r="3563" spans="6:7" x14ac:dyDescent="0.25">
      <c r="F3563" s="17" t="s">
        <v>4310</v>
      </c>
      <c r="G3563" s="17" t="s">
        <v>217</v>
      </c>
    </row>
    <row r="3564" spans="6:7" x14ac:dyDescent="0.25">
      <c r="F3564" s="17" t="s">
        <v>4311</v>
      </c>
      <c r="G3564" s="17" t="s">
        <v>217</v>
      </c>
    </row>
    <row r="3565" spans="6:7" x14ac:dyDescent="0.25">
      <c r="F3565" s="17" t="s">
        <v>4312</v>
      </c>
      <c r="G3565" s="17" t="s">
        <v>217</v>
      </c>
    </row>
    <row r="3566" spans="6:7" x14ac:dyDescent="0.25">
      <c r="F3566" s="17" t="s">
        <v>4313</v>
      </c>
      <c r="G3566" s="17" t="s">
        <v>217</v>
      </c>
    </row>
    <row r="3567" spans="6:7" x14ac:dyDescent="0.25">
      <c r="F3567" s="17" t="s">
        <v>4314</v>
      </c>
      <c r="G3567" s="17" t="s">
        <v>217</v>
      </c>
    </row>
    <row r="3568" spans="6:7" x14ac:dyDescent="0.25">
      <c r="F3568" s="17" t="s">
        <v>4315</v>
      </c>
      <c r="G3568" s="17" t="s">
        <v>217</v>
      </c>
    </row>
    <row r="3569" spans="6:7" x14ac:dyDescent="0.25">
      <c r="F3569" s="17" t="s">
        <v>4316</v>
      </c>
      <c r="G3569" s="17" t="s">
        <v>217</v>
      </c>
    </row>
    <row r="3570" spans="6:7" x14ac:dyDescent="0.25">
      <c r="F3570" s="17" t="s">
        <v>4317</v>
      </c>
      <c r="G3570" s="17" t="s">
        <v>217</v>
      </c>
    </row>
    <row r="3571" spans="6:7" x14ac:dyDescent="0.25">
      <c r="F3571" s="17" t="s">
        <v>4318</v>
      </c>
      <c r="G3571" s="17" t="s">
        <v>217</v>
      </c>
    </row>
    <row r="3572" spans="6:7" x14ac:dyDescent="0.25">
      <c r="F3572" s="17" t="s">
        <v>745</v>
      </c>
      <c r="G3572" s="17" t="s">
        <v>217</v>
      </c>
    </row>
    <row r="3573" spans="6:7" x14ac:dyDescent="0.25">
      <c r="F3573" s="17" t="s">
        <v>4319</v>
      </c>
      <c r="G3573" s="17" t="s">
        <v>217</v>
      </c>
    </row>
    <row r="3574" spans="6:7" x14ac:dyDescent="0.25">
      <c r="F3574" s="17" t="s">
        <v>4320</v>
      </c>
      <c r="G3574" s="17" t="s">
        <v>217</v>
      </c>
    </row>
    <row r="3575" spans="6:7" x14ac:dyDescent="0.25">
      <c r="F3575" s="17" t="s">
        <v>4321</v>
      </c>
      <c r="G3575" s="17" t="s">
        <v>217</v>
      </c>
    </row>
    <row r="3576" spans="6:7" x14ac:dyDescent="0.25">
      <c r="F3576" s="17" t="s">
        <v>4322</v>
      </c>
      <c r="G3576" s="17" t="s">
        <v>217</v>
      </c>
    </row>
    <row r="3577" spans="6:7" x14ac:dyDescent="0.25">
      <c r="F3577" s="17" t="s">
        <v>4323</v>
      </c>
      <c r="G3577" s="17" t="s">
        <v>217</v>
      </c>
    </row>
    <row r="3578" spans="6:7" x14ac:dyDescent="0.25">
      <c r="F3578" s="17" t="s">
        <v>4324</v>
      </c>
      <c r="G3578" s="17" t="s">
        <v>217</v>
      </c>
    </row>
    <row r="3579" spans="6:7" x14ac:dyDescent="0.25">
      <c r="F3579" s="17" t="s">
        <v>4325</v>
      </c>
      <c r="G3579" s="17" t="s">
        <v>217</v>
      </c>
    </row>
    <row r="3580" spans="6:7" x14ac:dyDescent="0.25">
      <c r="F3580" s="17" t="s">
        <v>339</v>
      </c>
      <c r="G3580" s="17" t="s">
        <v>217</v>
      </c>
    </row>
    <row r="3581" spans="6:7" x14ac:dyDescent="0.25">
      <c r="F3581" s="17" t="s">
        <v>4326</v>
      </c>
      <c r="G3581" s="17" t="s">
        <v>217</v>
      </c>
    </row>
    <row r="3582" spans="6:7" x14ac:dyDescent="0.25">
      <c r="F3582" s="17" t="s">
        <v>4327</v>
      </c>
      <c r="G3582" s="17" t="s">
        <v>217</v>
      </c>
    </row>
    <row r="3583" spans="6:7" x14ac:dyDescent="0.25">
      <c r="F3583" s="17" t="s">
        <v>4328</v>
      </c>
      <c r="G3583" s="17" t="s">
        <v>217</v>
      </c>
    </row>
    <row r="3584" spans="6:7" x14ac:dyDescent="0.25">
      <c r="F3584" s="17" t="s">
        <v>4329</v>
      </c>
      <c r="G3584" s="17" t="s">
        <v>217</v>
      </c>
    </row>
    <row r="3585" spans="6:7" x14ac:dyDescent="0.25">
      <c r="F3585" s="17" t="s">
        <v>4330</v>
      </c>
      <c r="G3585" s="17" t="s">
        <v>217</v>
      </c>
    </row>
    <row r="3586" spans="6:7" x14ac:dyDescent="0.25">
      <c r="F3586" s="17" t="s">
        <v>4331</v>
      </c>
      <c r="G3586" s="17" t="s">
        <v>217</v>
      </c>
    </row>
    <row r="3587" spans="6:7" x14ac:dyDescent="0.25">
      <c r="F3587" s="17" t="s">
        <v>4332</v>
      </c>
      <c r="G3587" s="17" t="s">
        <v>217</v>
      </c>
    </row>
    <row r="3588" spans="6:7" x14ac:dyDescent="0.25">
      <c r="F3588" s="17" t="s">
        <v>4333</v>
      </c>
      <c r="G3588" s="17" t="s">
        <v>217</v>
      </c>
    </row>
    <row r="3589" spans="6:7" x14ac:dyDescent="0.25">
      <c r="F3589" s="17" t="s">
        <v>4334</v>
      </c>
      <c r="G3589" s="17" t="s">
        <v>217</v>
      </c>
    </row>
    <row r="3590" spans="6:7" x14ac:dyDescent="0.25">
      <c r="F3590" s="17" t="s">
        <v>928</v>
      </c>
      <c r="G3590" s="17" t="s">
        <v>217</v>
      </c>
    </row>
    <row r="3591" spans="6:7" x14ac:dyDescent="0.25">
      <c r="F3591" s="17" t="s">
        <v>4335</v>
      </c>
      <c r="G3591" s="17" t="s">
        <v>217</v>
      </c>
    </row>
    <row r="3592" spans="6:7" x14ac:dyDescent="0.25">
      <c r="F3592" s="17" t="s">
        <v>4336</v>
      </c>
      <c r="G3592" s="17" t="s">
        <v>217</v>
      </c>
    </row>
    <row r="3593" spans="6:7" x14ac:dyDescent="0.25">
      <c r="F3593" s="17" t="s">
        <v>4337</v>
      </c>
      <c r="G3593" s="17" t="s">
        <v>217</v>
      </c>
    </row>
    <row r="3594" spans="6:7" x14ac:dyDescent="0.25">
      <c r="F3594" s="17" t="s">
        <v>4338</v>
      </c>
      <c r="G3594" s="17" t="s">
        <v>217</v>
      </c>
    </row>
    <row r="3595" spans="6:7" x14ac:dyDescent="0.25">
      <c r="F3595" s="17" t="s">
        <v>4339</v>
      </c>
      <c r="G3595" s="17" t="s">
        <v>217</v>
      </c>
    </row>
    <row r="3596" spans="6:7" x14ac:dyDescent="0.25">
      <c r="F3596" s="17" t="s">
        <v>4340</v>
      </c>
      <c r="G3596" s="17" t="s">
        <v>217</v>
      </c>
    </row>
    <row r="3597" spans="6:7" x14ac:dyDescent="0.25">
      <c r="F3597" s="17" t="s">
        <v>4341</v>
      </c>
      <c r="G3597" s="17" t="s">
        <v>217</v>
      </c>
    </row>
    <row r="3598" spans="6:7" x14ac:dyDescent="0.25">
      <c r="F3598" s="17" t="s">
        <v>4342</v>
      </c>
      <c r="G3598" s="17" t="s">
        <v>217</v>
      </c>
    </row>
    <row r="3599" spans="6:7" x14ac:dyDescent="0.25">
      <c r="F3599" s="17" t="s">
        <v>4343</v>
      </c>
      <c r="G3599" s="17" t="s">
        <v>217</v>
      </c>
    </row>
    <row r="3600" spans="6:7" x14ac:dyDescent="0.25">
      <c r="F3600" s="17" t="s">
        <v>4344</v>
      </c>
      <c r="G3600" s="17" t="s">
        <v>217</v>
      </c>
    </row>
    <row r="3601" spans="6:7" x14ac:dyDescent="0.25">
      <c r="F3601" s="17" t="s">
        <v>4345</v>
      </c>
      <c r="G3601" s="17" t="s">
        <v>217</v>
      </c>
    </row>
    <row r="3602" spans="6:7" x14ac:dyDescent="0.25">
      <c r="F3602" s="17" t="s">
        <v>4346</v>
      </c>
      <c r="G3602" s="17" t="s">
        <v>217</v>
      </c>
    </row>
    <row r="3603" spans="6:7" x14ac:dyDescent="0.25">
      <c r="F3603" s="17" t="s">
        <v>4347</v>
      </c>
      <c r="G3603" s="17" t="s">
        <v>217</v>
      </c>
    </row>
    <row r="3604" spans="6:7" x14ac:dyDescent="0.25">
      <c r="F3604" s="17" t="s">
        <v>4348</v>
      </c>
      <c r="G3604" s="17" t="s">
        <v>217</v>
      </c>
    </row>
    <row r="3605" spans="6:7" x14ac:dyDescent="0.25">
      <c r="F3605" s="17" t="s">
        <v>4349</v>
      </c>
      <c r="G3605" s="17" t="s">
        <v>217</v>
      </c>
    </row>
    <row r="3606" spans="6:7" x14ac:dyDescent="0.25">
      <c r="F3606" s="17" t="s">
        <v>4350</v>
      </c>
      <c r="G3606" s="17" t="s">
        <v>217</v>
      </c>
    </row>
    <row r="3607" spans="6:7" x14ac:dyDescent="0.25">
      <c r="F3607" s="17" t="s">
        <v>4351</v>
      </c>
      <c r="G3607" s="17" t="s">
        <v>217</v>
      </c>
    </row>
    <row r="3608" spans="6:7" x14ac:dyDescent="0.25">
      <c r="F3608" s="17" t="s">
        <v>4352</v>
      </c>
      <c r="G3608" s="17" t="s">
        <v>217</v>
      </c>
    </row>
    <row r="3609" spans="6:7" x14ac:dyDescent="0.25">
      <c r="F3609" s="17" t="s">
        <v>4353</v>
      </c>
      <c r="G3609" s="17" t="s">
        <v>217</v>
      </c>
    </row>
    <row r="3610" spans="6:7" x14ac:dyDescent="0.25">
      <c r="F3610" s="17" t="s">
        <v>4354</v>
      </c>
      <c r="G3610" s="17" t="s">
        <v>217</v>
      </c>
    </row>
    <row r="3611" spans="6:7" x14ac:dyDescent="0.25">
      <c r="F3611" s="17" t="s">
        <v>4355</v>
      </c>
      <c r="G3611" s="17" t="s">
        <v>217</v>
      </c>
    </row>
    <row r="3612" spans="6:7" x14ac:dyDescent="0.25">
      <c r="F3612" s="17" t="s">
        <v>4356</v>
      </c>
      <c r="G3612" s="17" t="s">
        <v>217</v>
      </c>
    </row>
    <row r="3613" spans="6:7" x14ac:dyDescent="0.25">
      <c r="F3613" s="17" t="s">
        <v>4357</v>
      </c>
      <c r="G3613" s="17" t="s">
        <v>217</v>
      </c>
    </row>
    <row r="3614" spans="6:7" x14ac:dyDescent="0.25">
      <c r="F3614" s="17" t="s">
        <v>4358</v>
      </c>
      <c r="G3614" s="17" t="s">
        <v>217</v>
      </c>
    </row>
    <row r="3615" spans="6:7" x14ac:dyDescent="0.25">
      <c r="F3615" s="17" t="s">
        <v>4359</v>
      </c>
      <c r="G3615" s="17" t="s">
        <v>217</v>
      </c>
    </row>
    <row r="3616" spans="6:7" x14ac:dyDescent="0.25">
      <c r="F3616" s="17" t="s">
        <v>4360</v>
      </c>
      <c r="G3616" s="17" t="s">
        <v>217</v>
      </c>
    </row>
    <row r="3617" spans="6:7" x14ac:dyDescent="0.25">
      <c r="F3617" s="17" t="s">
        <v>4361</v>
      </c>
      <c r="G3617" s="17" t="s">
        <v>217</v>
      </c>
    </row>
    <row r="3618" spans="6:7" x14ac:dyDescent="0.25">
      <c r="F3618" s="17" t="s">
        <v>4362</v>
      </c>
      <c r="G3618" s="17" t="s">
        <v>217</v>
      </c>
    </row>
    <row r="3619" spans="6:7" x14ac:dyDescent="0.25">
      <c r="F3619" s="17" t="s">
        <v>4363</v>
      </c>
      <c r="G3619" s="17" t="s">
        <v>217</v>
      </c>
    </row>
    <row r="3620" spans="6:7" x14ac:dyDescent="0.25">
      <c r="F3620" s="17" t="s">
        <v>4364</v>
      </c>
      <c r="G3620" s="17" t="s">
        <v>217</v>
      </c>
    </row>
    <row r="3621" spans="6:7" x14ac:dyDescent="0.25">
      <c r="F3621" s="17" t="s">
        <v>4365</v>
      </c>
      <c r="G3621" s="17" t="s">
        <v>217</v>
      </c>
    </row>
    <row r="3622" spans="6:7" x14ac:dyDescent="0.25">
      <c r="F3622" s="17" t="s">
        <v>4366</v>
      </c>
      <c r="G3622" s="17" t="s">
        <v>217</v>
      </c>
    </row>
    <row r="3623" spans="6:7" x14ac:dyDescent="0.25">
      <c r="F3623" s="17" t="s">
        <v>4367</v>
      </c>
      <c r="G3623" s="17" t="s">
        <v>217</v>
      </c>
    </row>
    <row r="3624" spans="6:7" x14ac:dyDescent="0.25">
      <c r="F3624" s="17" t="s">
        <v>4368</v>
      </c>
      <c r="G3624" s="17" t="s">
        <v>217</v>
      </c>
    </row>
    <row r="3625" spans="6:7" x14ac:dyDescent="0.25">
      <c r="F3625" s="17" t="s">
        <v>4369</v>
      </c>
      <c r="G3625" s="17" t="s">
        <v>217</v>
      </c>
    </row>
    <row r="3626" spans="6:7" x14ac:dyDescent="0.25">
      <c r="F3626" s="17" t="s">
        <v>4370</v>
      </c>
      <c r="G3626" s="17" t="s">
        <v>217</v>
      </c>
    </row>
    <row r="3627" spans="6:7" x14ac:dyDescent="0.25">
      <c r="F3627" s="17" t="s">
        <v>4371</v>
      </c>
      <c r="G3627" s="17" t="s">
        <v>217</v>
      </c>
    </row>
    <row r="3628" spans="6:7" x14ac:dyDescent="0.25">
      <c r="F3628" s="17" t="s">
        <v>4372</v>
      </c>
      <c r="G3628" s="17" t="s">
        <v>217</v>
      </c>
    </row>
    <row r="3629" spans="6:7" x14ac:dyDescent="0.25">
      <c r="F3629" s="17" t="s">
        <v>4373</v>
      </c>
      <c r="G3629" s="17" t="s">
        <v>217</v>
      </c>
    </row>
    <row r="3630" spans="6:7" x14ac:dyDescent="0.25">
      <c r="F3630" s="17" t="s">
        <v>4374</v>
      </c>
      <c r="G3630" s="17" t="s">
        <v>217</v>
      </c>
    </row>
    <row r="3631" spans="6:7" x14ac:dyDescent="0.25">
      <c r="F3631" s="17" t="s">
        <v>4375</v>
      </c>
      <c r="G3631" s="17" t="s">
        <v>217</v>
      </c>
    </row>
    <row r="3632" spans="6:7" x14ac:dyDescent="0.25">
      <c r="F3632" s="17" t="s">
        <v>4376</v>
      </c>
      <c r="G3632" s="17" t="s">
        <v>217</v>
      </c>
    </row>
    <row r="3633" spans="6:7" x14ac:dyDescent="0.25">
      <c r="F3633" s="17" t="s">
        <v>4377</v>
      </c>
      <c r="G3633" s="17" t="s">
        <v>217</v>
      </c>
    </row>
    <row r="3634" spans="6:7" x14ac:dyDescent="0.25">
      <c r="F3634" s="17" t="s">
        <v>4378</v>
      </c>
      <c r="G3634" s="17" t="s">
        <v>217</v>
      </c>
    </row>
    <row r="3635" spans="6:7" x14ac:dyDescent="0.25">
      <c r="F3635" s="17" t="s">
        <v>4379</v>
      </c>
      <c r="G3635" s="17" t="s">
        <v>217</v>
      </c>
    </row>
    <row r="3636" spans="6:7" x14ac:dyDescent="0.25">
      <c r="F3636" s="17" t="s">
        <v>4380</v>
      </c>
      <c r="G3636" s="17" t="s">
        <v>217</v>
      </c>
    </row>
    <row r="3637" spans="6:7" x14ac:dyDescent="0.25">
      <c r="F3637" s="17" t="s">
        <v>4381</v>
      </c>
      <c r="G3637" s="17" t="s">
        <v>217</v>
      </c>
    </row>
    <row r="3638" spans="6:7" x14ac:dyDescent="0.25">
      <c r="F3638" s="17" t="s">
        <v>4382</v>
      </c>
      <c r="G3638" s="17" t="s">
        <v>217</v>
      </c>
    </row>
    <row r="3639" spans="6:7" x14ac:dyDescent="0.25">
      <c r="F3639" s="17" t="s">
        <v>4383</v>
      </c>
      <c r="G3639" s="17" t="s">
        <v>217</v>
      </c>
    </row>
    <row r="3640" spans="6:7" x14ac:dyDescent="0.25">
      <c r="F3640" s="17" t="s">
        <v>4384</v>
      </c>
      <c r="G3640" s="17" t="s">
        <v>217</v>
      </c>
    </row>
    <row r="3641" spans="6:7" x14ac:dyDescent="0.25">
      <c r="F3641" s="17" t="s">
        <v>4385</v>
      </c>
      <c r="G3641" s="17" t="s">
        <v>217</v>
      </c>
    </row>
    <row r="3642" spans="6:7" x14ac:dyDescent="0.25">
      <c r="F3642" s="17" t="s">
        <v>4386</v>
      </c>
      <c r="G3642" s="17" t="s">
        <v>217</v>
      </c>
    </row>
    <row r="3643" spans="6:7" x14ac:dyDescent="0.25">
      <c r="F3643" s="17" t="s">
        <v>4387</v>
      </c>
      <c r="G3643" s="17" t="s">
        <v>217</v>
      </c>
    </row>
    <row r="3644" spans="6:7" x14ac:dyDescent="0.25">
      <c r="F3644" s="17" t="s">
        <v>4388</v>
      </c>
      <c r="G3644" s="17" t="s">
        <v>217</v>
      </c>
    </row>
    <row r="3645" spans="6:7" x14ac:dyDescent="0.25">
      <c r="F3645" s="17" t="s">
        <v>4389</v>
      </c>
      <c r="G3645" s="17" t="s">
        <v>217</v>
      </c>
    </row>
    <row r="3646" spans="6:7" x14ac:dyDescent="0.25">
      <c r="F3646" s="17" t="s">
        <v>4390</v>
      </c>
      <c r="G3646" s="17" t="s">
        <v>217</v>
      </c>
    </row>
    <row r="3647" spans="6:7" x14ac:dyDescent="0.25">
      <c r="F3647" s="17" t="s">
        <v>4391</v>
      </c>
      <c r="G3647" s="17" t="s">
        <v>217</v>
      </c>
    </row>
    <row r="3648" spans="6:7" x14ac:dyDescent="0.25">
      <c r="F3648" s="17" t="s">
        <v>4392</v>
      </c>
      <c r="G3648" s="17" t="s">
        <v>217</v>
      </c>
    </row>
    <row r="3649" spans="6:7" x14ac:dyDescent="0.25">
      <c r="F3649" s="17" t="s">
        <v>4393</v>
      </c>
      <c r="G3649" s="17" t="s">
        <v>217</v>
      </c>
    </row>
    <row r="3650" spans="6:7" x14ac:dyDescent="0.25">
      <c r="F3650" s="17" t="s">
        <v>4394</v>
      </c>
      <c r="G3650" s="17" t="s">
        <v>217</v>
      </c>
    </row>
    <row r="3651" spans="6:7" x14ac:dyDescent="0.25">
      <c r="F3651" s="17" t="s">
        <v>4395</v>
      </c>
      <c r="G3651" s="17" t="s">
        <v>217</v>
      </c>
    </row>
    <row r="3652" spans="6:7" x14ac:dyDescent="0.25">
      <c r="F3652" s="17" t="s">
        <v>4396</v>
      </c>
      <c r="G3652" s="17" t="s">
        <v>217</v>
      </c>
    </row>
    <row r="3653" spans="6:7" x14ac:dyDescent="0.25">
      <c r="F3653" s="17" t="s">
        <v>4397</v>
      </c>
      <c r="G3653" s="17" t="s">
        <v>217</v>
      </c>
    </row>
    <row r="3654" spans="6:7" x14ac:dyDescent="0.25">
      <c r="F3654" s="17" t="s">
        <v>4398</v>
      </c>
      <c r="G3654" s="17" t="s">
        <v>217</v>
      </c>
    </row>
    <row r="3655" spans="6:7" x14ac:dyDescent="0.25">
      <c r="F3655" s="17" t="s">
        <v>4399</v>
      </c>
      <c r="G3655" s="17" t="s">
        <v>217</v>
      </c>
    </row>
    <row r="3656" spans="6:7" x14ac:dyDescent="0.25">
      <c r="F3656" s="17" t="s">
        <v>4400</v>
      </c>
      <c r="G3656" s="17" t="s">
        <v>217</v>
      </c>
    </row>
    <row r="3657" spans="6:7" x14ac:dyDescent="0.25">
      <c r="F3657" s="17" t="s">
        <v>4401</v>
      </c>
      <c r="G3657" s="17" t="s">
        <v>217</v>
      </c>
    </row>
    <row r="3658" spans="6:7" x14ac:dyDescent="0.25">
      <c r="F3658" s="17" t="s">
        <v>4402</v>
      </c>
      <c r="G3658" s="17" t="s">
        <v>217</v>
      </c>
    </row>
    <row r="3659" spans="6:7" x14ac:dyDescent="0.25">
      <c r="F3659" s="17" t="s">
        <v>4403</v>
      </c>
      <c r="G3659" s="17" t="s">
        <v>217</v>
      </c>
    </row>
    <row r="3660" spans="6:7" x14ac:dyDescent="0.25">
      <c r="F3660" s="17" t="s">
        <v>4404</v>
      </c>
      <c r="G3660" s="17" t="s">
        <v>217</v>
      </c>
    </row>
    <row r="3661" spans="6:7" x14ac:dyDescent="0.25">
      <c r="F3661" s="17" t="s">
        <v>4405</v>
      </c>
      <c r="G3661" s="17" t="s">
        <v>217</v>
      </c>
    </row>
    <row r="3662" spans="6:7" x14ac:dyDescent="0.25">
      <c r="F3662" s="17" t="s">
        <v>4406</v>
      </c>
      <c r="G3662" s="17" t="s">
        <v>217</v>
      </c>
    </row>
    <row r="3663" spans="6:7" x14ac:dyDescent="0.25">
      <c r="F3663" s="17" t="s">
        <v>4407</v>
      </c>
      <c r="G3663" s="17" t="s">
        <v>217</v>
      </c>
    </row>
    <row r="3664" spans="6:7" x14ac:dyDescent="0.25">
      <c r="F3664" s="17" t="s">
        <v>4408</v>
      </c>
      <c r="G3664" s="17" t="s">
        <v>217</v>
      </c>
    </row>
    <row r="3665" spans="6:7" x14ac:dyDescent="0.25">
      <c r="F3665" s="17" t="s">
        <v>4409</v>
      </c>
      <c r="G3665" s="17" t="s">
        <v>217</v>
      </c>
    </row>
    <row r="3666" spans="6:7" x14ac:dyDescent="0.25">
      <c r="F3666" s="17" t="s">
        <v>4410</v>
      </c>
      <c r="G3666" s="17" t="s">
        <v>217</v>
      </c>
    </row>
    <row r="3667" spans="6:7" x14ac:dyDescent="0.25">
      <c r="F3667" s="17" t="s">
        <v>4411</v>
      </c>
      <c r="G3667" s="17" t="s">
        <v>217</v>
      </c>
    </row>
    <row r="3668" spans="6:7" x14ac:dyDescent="0.25">
      <c r="F3668" s="17" t="s">
        <v>4412</v>
      </c>
      <c r="G3668" s="17" t="s">
        <v>217</v>
      </c>
    </row>
    <row r="3669" spans="6:7" x14ac:dyDescent="0.25">
      <c r="F3669" s="17" t="s">
        <v>4413</v>
      </c>
      <c r="G3669" s="17" t="s">
        <v>217</v>
      </c>
    </row>
    <row r="3670" spans="6:7" x14ac:dyDescent="0.25">
      <c r="F3670" s="17" t="s">
        <v>4414</v>
      </c>
      <c r="G3670" s="17" t="s">
        <v>217</v>
      </c>
    </row>
    <row r="3671" spans="6:7" x14ac:dyDescent="0.25">
      <c r="F3671" s="17" t="s">
        <v>4415</v>
      </c>
      <c r="G3671" s="17" t="s">
        <v>217</v>
      </c>
    </row>
    <row r="3672" spans="6:7" x14ac:dyDescent="0.25">
      <c r="F3672" s="17" t="s">
        <v>4416</v>
      </c>
      <c r="G3672" s="17" t="s">
        <v>217</v>
      </c>
    </row>
    <row r="3673" spans="6:7" x14ac:dyDescent="0.25">
      <c r="F3673" s="17" t="s">
        <v>4417</v>
      </c>
      <c r="G3673" s="17" t="s">
        <v>217</v>
      </c>
    </row>
    <row r="3674" spans="6:7" x14ac:dyDescent="0.25">
      <c r="F3674" s="17" t="s">
        <v>4418</v>
      </c>
      <c r="G3674" s="17" t="s">
        <v>217</v>
      </c>
    </row>
    <row r="3675" spans="6:7" x14ac:dyDescent="0.25">
      <c r="F3675" s="17" t="s">
        <v>4419</v>
      </c>
      <c r="G3675" s="17" t="s">
        <v>217</v>
      </c>
    </row>
    <row r="3676" spans="6:7" x14ac:dyDescent="0.25">
      <c r="F3676" s="17" t="s">
        <v>4420</v>
      </c>
      <c r="G3676" s="17" t="s">
        <v>217</v>
      </c>
    </row>
    <row r="3677" spans="6:7" x14ac:dyDescent="0.25">
      <c r="F3677" s="17" t="s">
        <v>4421</v>
      </c>
      <c r="G3677" s="17" t="s">
        <v>217</v>
      </c>
    </row>
    <row r="3678" spans="6:7" x14ac:dyDescent="0.25">
      <c r="F3678" s="17" t="s">
        <v>4422</v>
      </c>
      <c r="G3678" s="17" t="s">
        <v>217</v>
      </c>
    </row>
    <row r="3679" spans="6:7" x14ac:dyDescent="0.25">
      <c r="F3679" s="17" t="s">
        <v>4423</v>
      </c>
      <c r="G3679" s="17" t="s">
        <v>217</v>
      </c>
    </row>
    <row r="3680" spans="6:7" x14ac:dyDescent="0.25">
      <c r="F3680" s="17" t="s">
        <v>4424</v>
      </c>
      <c r="G3680" s="17" t="s">
        <v>217</v>
      </c>
    </row>
    <row r="3681" spans="6:7" x14ac:dyDescent="0.25">
      <c r="F3681" s="17" t="s">
        <v>4425</v>
      </c>
      <c r="G3681" s="17" t="s">
        <v>217</v>
      </c>
    </row>
    <row r="3682" spans="6:7" x14ac:dyDescent="0.25">
      <c r="F3682" s="17" t="s">
        <v>4426</v>
      </c>
      <c r="G3682" s="17" t="s">
        <v>217</v>
      </c>
    </row>
    <row r="3683" spans="6:7" x14ac:dyDescent="0.25">
      <c r="F3683" s="17" t="s">
        <v>4427</v>
      </c>
      <c r="G3683" s="17" t="s">
        <v>217</v>
      </c>
    </row>
    <row r="3684" spans="6:7" x14ac:dyDescent="0.25">
      <c r="F3684" s="17" t="s">
        <v>4428</v>
      </c>
      <c r="G3684" s="17" t="s">
        <v>217</v>
      </c>
    </row>
    <row r="3685" spans="6:7" x14ac:dyDescent="0.25">
      <c r="F3685" s="17" t="s">
        <v>4429</v>
      </c>
      <c r="G3685" s="17" t="s">
        <v>217</v>
      </c>
    </row>
    <row r="3686" spans="6:7" x14ac:dyDescent="0.25">
      <c r="F3686" s="17" t="s">
        <v>4430</v>
      </c>
      <c r="G3686" s="17" t="s">
        <v>217</v>
      </c>
    </row>
    <row r="3687" spans="6:7" x14ac:dyDescent="0.25">
      <c r="F3687" s="17" t="s">
        <v>4431</v>
      </c>
      <c r="G3687" s="17" t="s">
        <v>217</v>
      </c>
    </row>
    <row r="3688" spans="6:7" x14ac:dyDescent="0.25">
      <c r="F3688" s="17" t="s">
        <v>4432</v>
      </c>
      <c r="G3688" s="17" t="s">
        <v>217</v>
      </c>
    </row>
    <row r="3689" spans="6:7" x14ac:dyDescent="0.25">
      <c r="F3689" s="17" t="s">
        <v>4433</v>
      </c>
      <c r="G3689" s="17" t="s">
        <v>217</v>
      </c>
    </row>
    <row r="3690" spans="6:7" x14ac:dyDescent="0.25">
      <c r="F3690" s="17" t="s">
        <v>420</v>
      </c>
      <c r="G3690" s="17" t="s">
        <v>217</v>
      </c>
    </row>
    <row r="3691" spans="6:7" x14ac:dyDescent="0.25">
      <c r="F3691" s="17" t="s">
        <v>4434</v>
      </c>
      <c r="G3691" s="17" t="s">
        <v>217</v>
      </c>
    </row>
    <row r="3692" spans="6:7" x14ac:dyDescent="0.25">
      <c r="F3692" s="17" t="s">
        <v>4435</v>
      </c>
      <c r="G3692" s="17" t="s">
        <v>217</v>
      </c>
    </row>
    <row r="3693" spans="6:7" x14ac:dyDescent="0.25">
      <c r="F3693" s="17" t="s">
        <v>4436</v>
      </c>
      <c r="G3693" s="17" t="s">
        <v>217</v>
      </c>
    </row>
    <row r="3694" spans="6:7" x14ac:dyDescent="0.25">
      <c r="F3694" s="17" t="s">
        <v>4437</v>
      </c>
      <c r="G3694" s="17" t="s">
        <v>217</v>
      </c>
    </row>
    <row r="3695" spans="6:7" x14ac:dyDescent="0.25">
      <c r="F3695" s="17" t="s">
        <v>4438</v>
      </c>
      <c r="G3695" s="17" t="s">
        <v>217</v>
      </c>
    </row>
    <row r="3696" spans="6:7" x14ac:dyDescent="0.25">
      <c r="F3696" s="17" t="s">
        <v>4439</v>
      </c>
      <c r="G3696" s="17" t="s">
        <v>217</v>
      </c>
    </row>
    <row r="3697" spans="6:7" x14ac:dyDescent="0.25">
      <c r="F3697" s="17" t="s">
        <v>4440</v>
      </c>
      <c r="G3697" s="17" t="s">
        <v>217</v>
      </c>
    </row>
    <row r="3698" spans="6:7" x14ac:dyDescent="0.25">
      <c r="F3698" s="17" t="s">
        <v>4441</v>
      </c>
      <c r="G3698" s="17" t="s">
        <v>217</v>
      </c>
    </row>
    <row r="3699" spans="6:7" x14ac:dyDescent="0.25">
      <c r="F3699" s="17" t="s">
        <v>4442</v>
      </c>
      <c r="G3699" s="17" t="s">
        <v>217</v>
      </c>
    </row>
    <row r="3700" spans="6:7" x14ac:dyDescent="0.25">
      <c r="F3700" s="17" t="s">
        <v>4443</v>
      </c>
      <c r="G3700" s="17" t="s">
        <v>217</v>
      </c>
    </row>
    <row r="3701" spans="6:7" x14ac:dyDescent="0.25">
      <c r="F3701" s="17" t="s">
        <v>4444</v>
      </c>
      <c r="G3701" s="17" t="s">
        <v>217</v>
      </c>
    </row>
    <row r="3702" spans="6:7" x14ac:dyDescent="0.25">
      <c r="F3702" s="17" t="s">
        <v>4445</v>
      </c>
      <c r="G3702" s="17" t="s">
        <v>217</v>
      </c>
    </row>
    <row r="3703" spans="6:7" x14ac:dyDescent="0.25">
      <c r="F3703" s="17" t="s">
        <v>4446</v>
      </c>
      <c r="G3703" s="17" t="s">
        <v>217</v>
      </c>
    </row>
    <row r="3704" spans="6:7" x14ac:dyDescent="0.25">
      <c r="F3704" s="17" t="s">
        <v>4447</v>
      </c>
      <c r="G3704" s="17" t="s">
        <v>217</v>
      </c>
    </row>
    <row r="3705" spans="6:7" x14ac:dyDescent="0.25">
      <c r="F3705" s="17" t="s">
        <v>4448</v>
      </c>
      <c r="G3705" s="17" t="s">
        <v>217</v>
      </c>
    </row>
    <row r="3706" spans="6:7" x14ac:dyDescent="0.25">
      <c r="F3706" s="17" t="s">
        <v>4449</v>
      </c>
      <c r="G3706" s="17" t="s">
        <v>217</v>
      </c>
    </row>
    <row r="3707" spans="6:7" x14ac:dyDescent="0.25">
      <c r="F3707" s="17" t="s">
        <v>4450</v>
      </c>
      <c r="G3707" s="17" t="s">
        <v>217</v>
      </c>
    </row>
    <row r="3708" spans="6:7" x14ac:dyDescent="0.25">
      <c r="F3708" s="17" t="s">
        <v>4451</v>
      </c>
      <c r="G3708" s="17" t="s">
        <v>217</v>
      </c>
    </row>
    <row r="3709" spans="6:7" x14ac:dyDescent="0.25">
      <c r="F3709" s="17" t="s">
        <v>4452</v>
      </c>
      <c r="G3709" s="17" t="s">
        <v>217</v>
      </c>
    </row>
    <row r="3710" spans="6:7" x14ac:dyDescent="0.25">
      <c r="F3710" s="17" t="s">
        <v>4453</v>
      </c>
      <c r="G3710" s="17" t="s">
        <v>217</v>
      </c>
    </row>
    <row r="3711" spans="6:7" x14ac:dyDescent="0.25">
      <c r="F3711" s="17" t="s">
        <v>4454</v>
      </c>
      <c r="G3711" s="17" t="s">
        <v>217</v>
      </c>
    </row>
    <row r="3712" spans="6:7" x14ac:dyDescent="0.25">
      <c r="F3712" s="17" t="s">
        <v>4455</v>
      </c>
      <c r="G3712" s="17" t="s">
        <v>217</v>
      </c>
    </row>
    <row r="3713" spans="6:7" x14ac:dyDescent="0.25">
      <c r="F3713" s="17" t="s">
        <v>4456</v>
      </c>
      <c r="G3713" s="17" t="s">
        <v>217</v>
      </c>
    </row>
    <row r="3714" spans="6:7" x14ac:dyDescent="0.25">
      <c r="F3714" s="17" t="s">
        <v>4457</v>
      </c>
      <c r="G3714" s="17" t="s">
        <v>217</v>
      </c>
    </row>
    <row r="3715" spans="6:7" x14ac:dyDescent="0.25">
      <c r="F3715" s="17" t="s">
        <v>4458</v>
      </c>
      <c r="G3715" s="17" t="s">
        <v>217</v>
      </c>
    </row>
    <row r="3716" spans="6:7" x14ac:dyDescent="0.25">
      <c r="F3716" s="17" t="s">
        <v>4459</v>
      </c>
      <c r="G3716" s="17" t="s">
        <v>217</v>
      </c>
    </row>
    <row r="3717" spans="6:7" x14ac:dyDescent="0.25">
      <c r="F3717" s="17" t="s">
        <v>4460</v>
      </c>
      <c r="G3717" s="17" t="s">
        <v>86</v>
      </c>
    </row>
    <row r="3718" spans="6:7" x14ac:dyDescent="0.25">
      <c r="F3718" s="17" t="s">
        <v>716</v>
      </c>
      <c r="G3718" s="17" t="s">
        <v>86</v>
      </c>
    </row>
    <row r="3719" spans="6:7" x14ac:dyDescent="0.25">
      <c r="F3719" s="17" t="s">
        <v>4461</v>
      </c>
      <c r="G3719" s="17" t="s">
        <v>2311</v>
      </c>
    </row>
    <row r="3720" spans="6:7" x14ac:dyDescent="0.25">
      <c r="F3720" s="17" t="s">
        <v>4462</v>
      </c>
      <c r="G3720" s="17" t="s">
        <v>2309</v>
      </c>
    </row>
    <row r="3721" spans="6:7" x14ac:dyDescent="0.25">
      <c r="F3721" s="17" t="s">
        <v>430</v>
      </c>
      <c r="G3721" s="17" t="s">
        <v>217</v>
      </c>
    </row>
    <row r="3722" spans="6:7" x14ac:dyDescent="0.25">
      <c r="F3722" s="17" t="s">
        <v>4463</v>
      </c>
      <c r="G3722" s="17" t="s">
        <v>217</v>
      </c>
    </row>
    <row r="3723" spans="6:7" x14ac:dyDescent="0.25">
      <c r="F3723" s="17" t="s">
        <v>606</v>
      </c>
      <c r="G3723" s="17" t="s">
        <v>217</v>
      </c>
    </row>
    <row r="3724" spans="6:7" x14ac:dyDescent="0.25">
      <c r="F3724" s="17" t="s">
        <v>4464</v>
      </c>
      <c r="G3724" s="17" t="s">
        <v>217</v>
      </c>
    </row>
    <row r="3725" spans="6:7" x14ac:dyDescent="0.25">
      <c r="F3725" s="17" t="s">
        <v>496</v>
      </c>
      <c r="G3725" s="17" t="s">
        <v>217</v>
      </c>
    </row>
    <row r="3726" spans="6:7" x14ac:dyDescent="0.25">
      <c r="F3726" s="17" t="s">
        <v>4465</v>
      </c>
      <c r="G3726" s="17" t="s">
        <v>217</v>
      </c>
    </row>
    <row r="3727" spans="6:7" x14ac:dyDescent="0.25">
      <c r="F3727" s="17" t="s">
        <v>4466</v>
      </c>
      <c r="G3727" s="17" t="s">
        <v>217</v>
      </c>
    </row>
    <row r="3728" spans="6:7" x14ac:dyDescent="0.25">
      <c r="F3728" s="17" t="s">
        <v>4467</v>
      </c>
      <c r="G3728" s="17" t="s">
        <v>217</v>
      </c>
    </row>
    <row r="3729" spans="6:7" x14ac:dyDescent="0.25">
      <c r="F3729" s="17" t="s">
        <v>4468</v>
      </c>
      <c r="G3729" s="17" t="s">
        <v>217</v>
      </c>
    </row>
    <row r="3730" spans="6:7" x14ac:dyDescent="0.25">
      <c r="F3730" s="17" t="s">
        <v>581</v>
      </c>
      <c r="G3730" s="17" t="s">
        <v>217</v>
      </c>
    </row>
    <row r="3731" spans="6:7" x14ac:dyDescent="0.25">
      <c r="F3731" s="17" t="s">
        <v>433</v>
      </c>
      <c r="G3731" s="17" t="s">
        <v>217</v>
      </c>
    </row>
    <row r="3732" spans="6:7" x14ac:dyDescent="0.25">
      <c r="F3732" s="17" t="s">
        <v>4469</v>
      </c>
      <c r="G3732" s="17" t="s">
        <v>217</v>
      </c>
    </row>
    <row r="3733" spans="6:7" x14ac:dyDescent="0.25">
      <c r="F3733" s="17" t="s">
        <v>597</v>
      </c>
      <c r="G3733" s="17" t="s">
        <v>217</v>
      </c>
    </row>
    <row r="3734" spans="6:7" x14ac:dyDescent="0.25">
      <c r="F3734" s="17" t="s">
        <v>364</v>
      </c>
      <c r="G3734" s="17" t="s">
        <v>217</v>
      </c>
    </row>
    <row r="3735" spans="6:7" x14ac:dyDescent="0.25">
      <c r="F3735" s="17" t="s">
        <v>4470</v>
      </c>
      <c r="G3735" s="17" t="s">
        <v>217</v>
      </c>
    </row>
    <row r="3736" spans="6:7" x14ac:dyDescent="0.25">
      <c r="F3736" s="17" t="s">
        <v>4471</v>
      </c>
      <c r="G3736" s="17" t="s">
        <v>217</v>
      </c>
    </row>
    <row r="3737" spans="6:7" x14ac:dyDescent="0.25">
      <c r="F3737" s="17" t="s">
        <v>915</v>
      </c>
      <c r="G3737" s="17" t="s">
        <v>217</v>
      </c>
    </row>
    <row r="3738" spans="6:7" x14ac:dyDescent="0.25">
      <c r="F3738" s="17" t="s">
        <v>4472</v>
      </c>
      <c r="G3738" s="17" t="s">
        <v>217</v>
      </c>
    </row>
    <row r="3739" spans="6:7" x14ac:dyDescent="0.25">
      <c r="F3739" s="17" t="s">
        <v>4473</v>
      </c>
      <c r="G3739" s="17" t="s">
        <v>217</v>
      </c>
    </row>
    <row r="3740" spans="6:7" x14ac:dyDescent="0.25">
      <c r="F3740" s="17" t="s">
        <v>4474</v>
      </c>
      <c r="G3740" s="17" t="s">
        <v>217</v>
      </c>
    </row>
    <row r="3741" spans="6:7" x14ac:dyDescent="0.25">
      <c r="F3741" s="17" t="s">
        <v>4475</v>
      </c>
      <c r="G3741" s="17" t="s">
        <v>217</v>
      </c>
    </row>
    <row r="3742" spans="6:7" x14ac:dyDescent="0.25">
      <c r="F3742" s="17" t="s">
        <v>487</v>
      </c>
      <c r="G3742" s="17" t="s">
        <v>217</v>
      </c>
    </row>
    <row r="3743" spans="6:7" x14ac:dyDescent="0.25">
      <c r="F3743" s="17" t="s">
        <v>4476</v>
      </c>
      <c r="G3743" s="17" t="s">
        <v>217</v>
      </c>
    </row>
    <row r="3744" spans="6:7" x14ac:dyDescent="0.25">
      <c r="F3744" s="17" t="s">
        <v>320</v>
      </c>
      <c r="G3744" s="17" t="s">
        <v>217</v>
      </c>
    </row>
    <row r="3745" spans="6:7" x14ac:dyDescent="0.25">
      <c r="F3745" s="17" t="s">
        <v>4477</v>
      </c>
      <c r="G3745" s="17" t="s">
        <v>217</v>
      </c>
    </row>
    <row r="3746" spans="6:7" x14ac:dyDescent="0.25">
      <c r="F3746" s="17" t="s">
        <v>4478</v>
      </c>
      <c r="G3746" s="17" t="s">
        <v>217</v>
      </c>
    </row>
    <row r="3747" spans="6:7" x14ac:dyDescent="0.25">
      <c r="F3747" s="17" t="s">
        <v>4479</v>
      </c>
      <c r="G3747" s="17" t="s">
        <v>217</v>
      </c>
    </row>
    <row r="3748" spans="6:7" x14ac:dyDescent="0.25">
      <c r="F3748" s="17" t="s">
        <v>742</v>
      </c>
      <c r="G3748" s="17" t="s">
        <v>217</v>
      </c>
    </row>
    <row r="3749" spans="6:7" x14ac:dyDescent="0.25">
      <c r="F3749" s="17" t="s">
        <v>4480</v>
      </c>
      <c r="G3749" s="17" t="s">
        <v>217</v>
      </c>
    </row>
    <row r="3750" spans="6:7" x14ac:dyDescent="0.25">
      <c r="F3750" s="17" t="s">
        <v>619</v>
      </c>
      <c r="G3750" s="17" t="s">
        <v>217</v>
      </c>
    </row>
    <row r="3751" spans="6:7" x14ac:dyDescent="0.25">
      <c r="F3751" s="17" t="s">
        <v>4481</v>
      </c>
      <c r="G3751" s="17" t="s">
        <v>217</v>
      </c>
    </row>
    <row r="3752" spans="6:7" x14ac:dyDescent="0.25">
      <c r="F3752" s="17" t="s">
        <v>4482</v>
      </c>
      <c r="G3752" s="17" t="s">
        <v>217</v>
      </c>
    </row>
    <row r="3753" spans="6:7" x14ac:dyDescent="0.25">
      <c r="F3753" s="17" t="s">
        <v>4483</v>
      </c>
      <c r="G3753" s="17" t="s">
        <v>217</v>
      </c>
    </row>
    <row r="3754" spans="6:7" x14ac:dyDescent="0.25">
      <c r="F3754" s="17" t="s">
        <v>536</v>
      </c>
      <c r="G3754" s="17" t="s">
        <v>217</v>
      </c>
    </row>
    <row r="3755" spans="6:7" x14ac:dyDescent="0.25">
      <c r="F3755" s="17" t="s">
        <v>4484</v>
      </c>
      <c r="G3755" s="17" t="s">
        <v>217</v>
      </c>
    </row>
    <row r="3756" spans="6:7" x14ac:dyDescent="0.25">
      <c r="F3756" s="17" t="s">
        <v>4485</v>
      </c>
      <c r="G3756" s="17" t="s">
        <v>217</v>
      </c>
    </row>
    <row r="3757" spans="6:7" x14ac:dyDescent="0.25">
      <c r="F3757" s="17" t="s">
        <v>715</v>
      </c>
      <c r="G3757" s="17" t="s">
        <v>217</v>
      </c>
    </row>
    <row r="3758" spans="6:7" x14ac:dyDescent="0.25">
      <c r="F3758" s="17" t="s">
        <v>4486</v>
      </c>
      <c r="G3758" s="17" t="s">
        <v>217</v>
      </c>
    </row>
    <row r="3759" spans="6:7" x14ac:dyDescent="0.25">
      <c r="F3759" s="17" t="s">
        <v>4487</v>
      </c>
      <c r="G3759" s="17" t="s">
        <v>86</v>
      </c>
    </row>
    <row r="3760" spans="6:7" x14ac:dyDescent="0.25">
      <c r="F3760" s="17" t="s">
        <v>4488</v>
      </c>
      <c r="G3760" s="17" t="s">
        <v>217</v>
      </c>
    </row>
    <row r="3761" spans="6:7" x14ac:dyDescent="0.25">
      <c r="F3761" s="17" t="s">
        <v>310</v>
      </c>
      <c r="G3761" s="17" t="s">
        <v>217</v>
      </c>
    </row>
    <row r="3762" spans="6:7" x14ac:dyDescent="0.25">
      <c r="F3762" s="17" t="s">
        <v>4489</v>
      </c>
      <c r="G3762" s="17" t="s">
        <v>217</v>
      </c>
    </row>
    <row r="3763" spans="6:7" x14ac:dyDescent="0.25">
      <c r="F3763" s="17" t="s">
        <v>571</v>
      </c>
      <c r="G3763" s="17" t="s">
        <v>217</v>
      </c>
    </row>
    <row r="3764" spans="6:7" x14ac:dyDescent="0.25">
      <c r="F3764" s="17" t="s">
        <v>4490</v>
      </c>
      <c r="G3764" s="17" t="s">
        <v>217</v>
      </c>
    </row>
    <row r="3765" spans="6:7" x14ac:dyDescent="0.25">
      <c r="F3765" s="17" t="s">
        <v>4491</v>
      </c>
      <c r="G3765" s="17" t="s">
        <v>217</v>
      </c>
    </row>
    <row r="3766" spans="6:7" x14ac:dyDescent="0.25">
      <c r="F3766" s="17" t="s">
        <v>4492</v>
      </c>
      <c r="G3766" s="17" t="s">
        <v>217</v>
      </c>
    </row>
    <row r="3767" spans="6:7" x14ac:dyDescent="0.25">
      <c r="F3767" s="17" t="s">
        <v>4493</v>
      </c>
      <c r="G3767" s="17" t="s">
        <v>217</v>
      </c>
    </row>
    <row r="3768" spans="6:7" x14ac:dyDescent="0.25">
      <c r="F3768" s="17" t="s">
        <v>4494</v>
      </c>
      <c r="G3768" s="17" t="s">
        <v>217</v>
      </c>
    </row>
    <row r="3769" spans="6:7" x14ac:dyDescent="0.25">
      <c r="F3769" s="17" t="s">
        <v>4495</v>
      </c>
      <c r="G3769" s="17" t="s">
        <v>217</v>
      </c>
    </row>
    <row r="3770" spans="6:7" x14ac:dyDescent="0.25">
      <c r="F3770" s="17" t="s">
        <v>4496</v>
      </c>
      <c r="G3770" s="17" t="s">
        <v>217</v>
      </c>
    </row>
    <row r="3771" spans="6:7" x14ac:dyDescent="0.25">
      <c r="F3771" s="17" t="s">
        <v>4497</v>
      </c>
      <c r="G3771" s="17" t="s">
        <v>217</v>
      </c>
    </row>
    <row r="3772" spans="6:7" x14ac:dyDescent="0.25">
      <c r="F3772" s="17" t="s">
        <v>4498</v>
      </c>
      <c r="G3772" s="17" t="s">
        <v>217</v>
      </c>
    </row>
    <row r="3773" spans="6:7" x14ac:dyDescent="0.25">
      <c r="F3773" s="17" t="s">
        <v>4499</v>
      </c>
      <c r="G3773" s="17" t="s">
        <v>86</v>
      </c>
    </row>
    <row r="3774" spans="6:7" x14ac:dyDescent="0.25">
      <c r="F3774" s="17" t="s">
        <v>4500</v>
      </c>
      <c r="G3774" s="17" t="s">
        <v>86</v>
      </c>
    </row>
    <row r="3775" spans="6:7" x14ac:dyDescent="0.25">
      <c r="F3775" s="17" t="s">
        <v>4501</v>
      </c>
      <c r="G3775" s="17" t="s">
        <v>86</v>
      </c>
    </row>
    <row r="3776" spans="6:7" x14ac:dyDescent="0.25">
      <c r="F3776" s="17" t="s">
        <v>4502</v>
      </c>
      <c r="G3776" s="17" t="s">
        <v>86</v>
      </c>
    </row>
    <row r="3777" spans="6:7" x14ac:dyDescent="0.25">
      <c r="F3777" s="17" t="s">
        <v>4503</v>
      </c>
      <c r="G3777" s="17" t="s">
        <v>86</v>
      </c>
    </row>
    <row r="3778" spans="6:7" x14ac:dyDescent="0.25">
      <c r="F3778" s="17" t="s">
        <v>504</v>
      </c>
      <c r="G3778" s="17" t="s">
        <v>86</v>
      </c>
    </row>
    <row r="3779" spans="6:7" x14ac:dyDescent="0.25">
      <c r="F3779" s="17" t="s">
        <v>4504</v>
      </c>
      <c r="G3779" s="17" t="s">
        <v>86</v>
      </c>
    </row>
    <row r="3780" spans="6:7" x14ac:dyDescent="0.25">
      <c r="F3780" s="17" t="s">
        <v>4505</v>
      </c>
      <c r="G3780" s="17" t="s">
        <v>86</v>
      </c>
    </row>
    <row r="3781" spans="6:7" x14ac:dyDescent="0.25">
      <c r="F3781" s="17" t="s">
        <v>4506</v>
      </c>
      <c r="G3781" s="17" t="s">
        <v>86</v>
      </c>
    </row>
    <row r="3782" spans="6:7" x14ac:dyDescent="0.25">
      <c r="F3782" s="17" t="s">
        <v>4507</v>
      </c>
      <c r="G3782" s="17" t="s">
        <v>86</v>
      </c>
    </row>
    <row r="3783" spans="6:7" x14ac:dyDescent="0.25">
      <c r="F3783" s="17" t="s">
        <v>717</v>
      </c>
      <c r="G3783" s="17" t="s">
        <v>86</v>
      </c>
    </row>
    <row r="3784" spans="6:7" x14ac:dyDescent="0.25">
      <c r="F3784" s="17" t="s">
        <v>4508</v>
      </c>
      <c r="G3784" s="17" t="s">
        <v>209</v>
      </c>
    </row>
    <row r="3785" spans="6:7" x14ac:dyDescent="0.25">
      <c r="F3785" s="17" t="s">
        <v>4509</v>
      </c>
      <c r="G3785" s="17" t="s">
        <v>209</v>
      </c>
    </row>
    <row r="3786" spans="6:7" x14ac:dyDescent="0.25">
      <c r="F3786" s="17" t="s">
        <v>4510</v>
      </c>
      <c r="G3786" s="17" t="s">
        <v>209</v>
      </c>
    </row>
    <row r="3787" spans="6:7" x14ac:dyDescent="0.25">
      <c r="F3787" s="17" t="s">
        <v>856</v>
      </c>
      <c r="G3787" s="17" t="s">
        <v>209</v>
      </c>
    </row>
    <row r="3788" spans="6:7" x14ac:dyDescent="0.25">
      <c r="F3788" s="17" t="s">
        <v>4511</v>
      </c>
      <c r="G3788" s="17" t="s">
        <v>209</v>
      </c>
    </row>
    <row r="3789" spans="6:7" x14ac:dyDescent="0.25">
      <c r="F3789" s="17" t="s">
        <v>576</v>
      </c>
      <c r="G3789" s="17" t="s">
        <v>86</v>
      </c>
    </row>
    <row r="3790" spans="6:7" x14ac:dyDescent="0.25">
      <c r="F3790" s="17" t="s">
        <v>4512</v>
      </c>
      <c r="G3790" s="17" t="s">
        <v>86</v>
      </c>
    </row>
    <row r="3791" spans="6:7" x14ac:dyDescent="0.25">
      <c r="F3791" s="17" t="s">
        <v>4513</v>
      </c>
      <c r="G3791" s="17" t="s">
        <v>217</v>
      </c>
    </row>
    <row r="3792" spans="6:7" x14ac:dyDescent="0.25">
      <c r="F3792" s="17" t="s">
        <v>4514</v>
      </c>
      <c r="G3792" s="17" t="s">
        <v>86</v>
      </c>
    </row>
    <row r="3793" spans="6:7" x14ac:dyDescent="0.25">
      <c r="F3793" s="17" t="s">
        <v>4515</v>
      </c>
      <c r="G3793" s="17" t="s">
        <v>86</v>
      </c>
    </row>
    <row r="3794" spans="6:7" x14ac:dyDescent="0.25">
      <c r="F3794" s="17" t="s">
        <v>4516</v>
      </c>
      <c r="G3794" s="17" t="s">
        <v>86</v>
      </c>
    </row>
    <row r="3795" spans="6:7" x14ac:dyDescent="0.25">
      <c r="F3795" s="17" t="s">
        <v>4517</v>
      </c>
      <c r="G3795" s="17" t="s">
        <v>86</v>
      </c>
    </row>
    <row r="3796" spans="6:7" x14ac:dyDescent="0.25">
      <c r="F3796" s="17" t="s">
        <v>4518</v>
      </c>
      <c r="G3796" s="17" t="s">
        <v>217</v>
      </c>
    </row>
    <row r="3797" spans="6:7" x14ac:dyDescent="0.25">
      <c r="F3797" s="17" t="s">
        <v>270</v>
      </c>
      <c r="G3797" s="17" t="s">
        <v>217</v>
      </c>
    </row>
    <row r="3798" spans="6:7" x14ac:dyDescent="0.25">
      <c r="F3798" s="17" t="s">
        <v>829</v>
      </c>
      <c r="G3798" s="17" t="s">
        <v>217</v>
      </c>
    </row>
    <row r="3799" spans="6:7" x14ac:dyDescent="0.25">
      <c r="F3799" s="17" t="s">
        <v>4519</v>
      </c>
      <c r="G3799" s="17" t="s">
        <v>217</v>
      </c>
    </row>
    <row r="3800" spans="6:7" x14ac:dyDescent="0.25">
      <c r="F3800" s="17" t="s">
        <v>4520</v>
      </c>
      <c r="G3800" s="17" t="s">
        <v>217</v>
      </c>
    </row>
    <row r="3801" spans="6:7" x14ac:dyDescent="0.25">
      <c r="F3801" s="17" t="s">
        <v>4521</v>
      </c>
      <c r="G3801" s="17" t="s">
        <v>217</v>
      </c>
    </row>
    <row r="3802" spans="6:7" x14ac:dyDescent="0.25">
      <c r="F3802" s="17" t="s">
        <v>4522</v>
      </c>
      <c r="G3802" s="17" t="s">
        <v>217</v>
      </c>
    </row>
    <row r="3803" spans="6:7" x14ac:dyDescent="0.25">
      <c r="F3803" s="17" t="s">
        <v>4523</v>
      </c>
      <c r="G3803" s="17" t="s">
        <v>217</v>
      </c>
    </row>
    <row r="3804" spans="6:7" x14ac:dyDescent="0.25">
      <c r="F3804" s="17" t="s">
        <v>4524</v>
      </c>
      <c r="G3804" s="17" t="s">
        <v>217</v>
      </c>
    </row>
    <row r="3805" spans="6:7" x14ac:dyDescent="0.25">
      <c r="F3805" s="17" t="s">
        <v>4525</v>
      </c>
      <c r="G3805" s="17" t="s">
        <v>217</v>
      </c>
    </row>
    <row r="3806" spans="6:7" x14ac:dyDescent="0.25">
      <c r="F3806" s="17" t="s">
        <v>4526</v>
      </c>
      <c r="G3806" s="17" t="s">
        <v>217</v>
      </c>
    </row>
    <row r="3807" spans="6:7" x14ac:dyDescent="0.25">
      <c r="F3807" s="17" t="s">
        <v>4527</v>
      </c>
      <c r="G3807" s="17" t="s">
        <v>217</v>
      </c>
    </row>
    <row r="3808" spans="6:7" x14ac:dyDescent="0.25">
      <c r="F3808" s="17" t="s">
        <v>4528</v>
      </c>
      <c r="G3808" s="17" t="s">
        <v>217</v>
      </c>
    </row>
    <row r="3809" spans="6:7" x14ac:dyDescent="0.25">
      <c r="F3809" s="17" t="s">
        <v>4529</v>
      </c>
      <c r="G3809" s="17" t="s">
        <v>217</v>
      </c>
    </row>
    <row r="3810" spans="6:7" x14ac:dyDescent="0.25">
      <c r="F3810" s="17" t="s">
        <v>4530</v>
      </c>
      <c r="G3810" s="17" t="s">
        <v>217</v>
      </c>
    </row>
    <row r="3811" spans="6:7" x14ac:dyDescent="0.25">
      <c r="F3811" s="17" t="s">
        <v>4531</v>
      </c>
      <c r="G3811" s="17" t="s">
        <v>217</v>
      </c>
    </row>
    <row r="3812" spans="6:7" x14ac:dyDescent="0.25">
      <c r="F3812" s="17" t="s">
        <v>4532</v>
      </c>
      <c r="G3812" s="17" t="s">
        <v>217</v>
      </c>
    </row>
    <row r="3813" spans="6:7" x14ac:dyDescent="0.25">
      <c r="F3813" s="17" t="s">
        <v>698</v>
      </c>
      <c r="G3813" s="17" t="s">
        <v>217</v>
      </c>
    </row>
    <row r="3814" spans="6:7" x14ac:dyDescent="0.25">
      <c r="F3814" s="17" t="s">
        <v>4533</v>
      </c>
      <c r="G3814" s="17" t="s">
        <v>217</v>
      </c>
    </row>
    <row r="3815" spans="6:7" x14ac:dyDescent="0.25">
      <c r="F3815" s="17" t="s">
        <v>4534</v>
      </c>
      <c r="G3815" s="17" t="s">
        <v>217</v>
      </c>
    </row>
    <row r="3816" spans="6:7" x14ac:dyDescent="0.25">
      <c r="F3816" s="17" t="s">
        <v>4535</v>
      </c>
      <c r="G3816" s="17" t="s">
        <v>217</v>
      </c>
    </row>
    <row r="3817" spans="6:7" x14ac:dyDescent="0.25">
      <c r="F3817" s="17" t="s">
        <v>883</v>
      </c>
      <c r="G3817" s="17" t="s">
        <v>217</v>
      </c>
    </row>
    <row r="3818" spans="6:7" x14ac:dyDescent="0.25">
      <c r="F3818" s="17" t="s">
        <v>518</v>
      </c>
      <c r="G3818" s="17" t="s">
        <v>217</v>
      </c>
    </row>
    <row r="3819" spans="6:7" x14ac:dyDescent="0.25">
      <c r="F3819" s="17" t="s">
        <v>519</v>
      </c>
      <c r="G3819" s="17" t="s">
        <v>217</v>
      </c>
    </row>
    <row r="3820" spans="6:7" x14ac:dyDescent="0.25">
      <c r="F3820" s="17" t="s">
        <v>4536</v>
      </c>
      <c r="G3820" s="17" t="s">
        <v>217</v>
      </c>
    </row>
    <row r="3821" spans="6:7" x14ac:dyDescent="0.25">
      <c r="F3821" s="17" t="s">
        <v>4537</v>
      </c>
      <c r="G3821" s="17" t="s">
        <v>217</v>
      </c>
    </row>
    <row r="3822" spans="6:7" x14ac:dyDescent="0.25">
      <c r="F3822" s="17" t="s">
        <v>631</v>
      </c>
      <c r="G3822" s="17" t="s">
        <v>217</v>
      </c>
    </row>
    <row r="3823" spans="6:7" x14ac:dyDescent="0.25">
      <c r="F3823" s="17" t="s">
        <v>421</v>
      </c>
      <c r="G3823" s="17" t="s">
        <v>217</v>
      </c>
    </row>
    <row r="3824" spans="6:7" x14ac:dyDescent="0.25">
      <c r="F3824" s="17" t="s">
        <v>4538</v>
      </c>
      <c r="G3824" s="17" t="s">
        <v>217</v>
      </c>
    </row>
    <row r="3825" spans="6:7" x14ac:dyDescent="0.25">
      <c r="F3825" s="17" t="s">
        <v>4539</v>
      </c>
      <c r="G3825" s="17" t="s">
        <v>217</v>
      </c>
    </row>
    <row r="3826" spans="6:7" x14ac:dyDescent="0.25">
      <c r="F3826" s="17" t="s">
        <v>4540</v>
      </c>
      <c r="G3826" s="17" t="s">
        <v>217</v>
      </c>
    </row>
    <row r="3827" spans="6:7" x14ac:dyDescent="0.25">
      <c r="F3827" s="17" t="s">
        <v>930</v>
      </c>
      <c r="G3827" s="17" t="s">
        <v>217</v>
      </c>
    </row>
    <row r="3828" spans="6:7" x14ac:dyDescent="0.25">
      <c r="F3828" s="17" t="s">
        <v>4541</v>
      </c>
      <c r="G3828" s="17" t="s">
        <v>217</v>
      </c>
    </row>
    <row r="3829" spans="6:7" x14ac:dyDescent="0.25">
      <c r="F3829" s="17" t="s">
        <v>4542</v>
      </c>
      <c r="G3829" s="17" t="s">
        <v>217</v>
      </c>
    </row>
    <row r="3830" spans="6:7" x14ac:dyDescent="0.25">
      <c r="F3830" s="17" t="s">
        <v>855</v>
      </c>
      <c r="G3830" s="17" t="s">
        <v>217</v>
      </c>
    </row>
    <row r="3831" spans="6:7" x14ac:dyDescent="0.25">
      <c r="F3831" s="17" t="s">
        <v>507</v>
      </c>
      <c r="G3831" s="17" t="s">
        <v>211</v>
      </c>
    </row>
    <row r="3832" spans="6:7" x14ac:dyDescent="0.25">
      <c r="F3832" s="17" t="s">
        <v>307</v>
      </c>
      <c r="G3832" s="17" t="s">
        <v>211</v>
      </c>
    </row>
    <row r="3833" spans="6:7" x14ac:dyDescent="0.25">
      <c r="F3833" s="17" t="s">
        <v>748</v>
      </c>
      <c r="G3833" s="17" t="s">
        <v>211</v>
      </c>
    </row>
    <row r="3834" spans="6:7" x14ac:dyDescent="0.25">
      <c r="F3834" s="17" t="s">
        <v>687</v>
      </c>
      <c r="G3834" s="17" t="s">
        <v>217</v>
      </c>
    </row>
    <row r="3835" spans="6:7" x14ac:dyDescent="0.25">
      <c r="F3835" s="17" t="s">
        <v>4543</v>
      </c>
      <c r="G3835" s="17" t="s">
        <v>217</v>
      </c>
    </row>
    <row r="3836" spans="6:7" x14ac:dyDescent="0.25">
      <c r="F3836" s="17" t="s">
        <v>4544</v>
      </c>
      <c r="G3836" s="17" t="s">
        <v>217</v>
      </c>
    </row>
    <row r="3837" spans="6:7" x14ac:dyDescent="0.25">
      <c r="F3837" s="17" t="s">
        <v>4545</v>
      </c>
      <c r="G3837" s="17" t="s">
        <v>217</v>
      </c>
    </row>
    <row r="3838" spans="6:7" x14ac:dyDescent="0.25">
      <c r="F3838" s="17" t="s">
        <v>289</v>
      </c>
      <c r="G3838" s="17" t="s">
        <v>217</v>
      </c>
    </row>
    <row r="3839" spans="6:7" x14ac:dyDescent="0.25">
      <c r="F3839" s="17" t="s">
        <v>4546</v>
      </c>
      <c r="G3839" s="17" t="s">
        <v>217</v>
      </c>
    </row>
    <row r="3840" spans="6:7" x14ac:dyDescent="0.25">
      <c r="F3840" s="17" t="s">
        <v>4547</v>
      </c>
      <c r="G3840" s="17" t="s">
        <v>209</v>
      </c>
    </row>
    <row r="3841" spans="6:7" x14ac:dyDescent="0.25">
      <c r="F3841" s="17" t="s">
        <v>4548</v>
      </c>
      <c r="G3841" s="17" t="s">
        <v>86</v>
      </c>
    </row>
    <row r="3842" spans="6:7" x14ac:dyDescent="0.25">
      <c r="F3842" s="17" t="s">
        <v>4549</v>
      </c>
      <c r="G3842" s="17" t="s">
        <v>217</v>
      </c>
    </row>
    <row r="3843" spans="6:7" x14ac:dyDescent="0.25">
      <c r="F3843" s="17" t="s">
        <v>4550</v>
      </c>
      <c r="G3843" s="17" t="s">
        <v>217</v>
      </c>
    </row>
    <row r="3844" spans="6:7" x14ac:dyDescent="0.25">
      <c r="F3844" s="17" t="s">
        <v>626</v>
      </c>
      <c r="G3844" s="17" t="s">
        <v>217</v>
      </c>
    </row>
    <row r="3845" spans="6:7" x14ac:dyDescent="0.25">
      <c r="F3845" s="17" t="s">
        <v>713</v>
      </c>
      <c r="G3845" s="17" t="s">
        <v>217</v>
      </c>
    </row>
    <row r="3846" spans="6:7" x14ac:dyDescent="0.25">
      <c r="F3846" s="17" t="s">
        <v>4551</v>
      </c>
      <c r="G3846" s="17" t="s">
        <v>217</v>
      </c>
    </row>
    <row r="3847" spans="6:7" x14ac:dyDescent="0.25">
      <c r="F3847" s="17" t="s">
        <v>4552</v>
      </c>
      <c r="G3847" s="17" t="s">
        <v>217</v>
      </c>
    </row>
    <row r="3848" spans="6:7" x14ac:dyDescent="0.25">
      <c r="F3848" s="17" t="s">
        <v>4553</v>
      </c>
      <c r="G3848" s="17" t="s">
        <v>217</v>
      </c>
    </row>
    <row r="3849" spans="6:7" x14ac:dyDescent="0.25">
      <c r="F3849" s="17" t="s">
        <v>4554</v>
      </c>
      <c r="G3849" s="17" t="s">
        <v>217</v>
      </c>
    </row>
    <row r="3850" spans="6:7" x14ac:dyDescent="0.25">
      <c r="F3850" s="17" t="s">
        <v>4555</v>
      </c>
      <c r="G3850" s="17" t="s">
        <v>217</v>
      </c>
    </row>
    <row r="3851" spans="6:7" x14ac:dyDescent="0.25">
      <c r="F3851" s="17" t="s">
        <v>4556</v>
      </c>
      <c r="G3851" s="17" t="s">
        <v>217</v>
      </c>
    </row>
    <row r="3852" spans="6:7" x14ac:dyDescent="0.25">
      <c r="F3852" s="17" t="s">
        <v>4557</v>
      </c>
      <c r="G3852" s="17" t="s">
        <v>217</v>
      </c>
    </row>
    <row r="3853" spans="6:7" x14ac:dyDescent="0.25">
      <c r="F3853" s="17" t="s">
        <v>443</v>
      </c>
      <c r="G3853" s="17" t="s">
        <v>217</v>
      </c>
    </row>
    <row r="3854" spans="6:7" x14ac:dyDescent="0.25">
      <c r="F3854" s="17" t="s">
        <v>4558</v>
      </c>
      <c r="G3854" s="17" t="s">
        <v>217</v>
      </c>
    </row>
    <row r="3855" spans="6:7" x14ac:dyDescent="0.25">
      <c r="F3855" s="17" t="s">
        <v>4559</v>
      </c>
      <c r="G3855" s="17" t="s">
        <v>217</v>
      </c>
    </row>
    <row r="3856" spans="6:7" x14ac:dyDescent="0.25">
      <c r="F3856" s="17" t="s">
        <v>4560</v>
      </c>
      <c r="G3856" s="17" t="s">
        <v>217</v>
      </c>
    </row>
    <row r="3857" spans="6:7" x14ac:dyDescent="0.25">
      <c r="F3857" s="17" t="s">
        <v>4561</v>
      </c>
      <c r="G3857" s="17" t="s">
        <v>217</v>
      </c>
    </row>
    <row r="3858" spans="6:7" x14ac:dyDescent="0.25">
      <c r="F3858" s="17" t="s">
        <v>4562</v>
      </c>
      <c r="G3858" s="17" t="s">
        <v>217</v>
      </c>
    </row>
    <row r="3859" spans="6:7" x14ac:dyDescent="0.25">
      <c r="F3859" s="17" t="s">
        <v>4563</v>
      </c>
      <c r="G3859" s="17" t="s">
        <v>217</v>
      </c>
    </row>
    <row r="3860" spans="6:7" x14ac:dyDescent="0.25">
      <c r="F3860" s="17" t="s">
        <v>4564</v>
      </c>
      <c r="G3860" s="17" t="s">
        <v>209</v>
      </c>
    </row>
    <row r="3861" spans="6:7" x14ac:dyDescent="0.25">
      <c r="F3861" s="17" t="s">
        <v>4565</v>
      </c>
      <c r="G3861" s="17" t="s">
        <v>209</v>
      </c>
    </row>
    <row r="3862" spans="6:7" x14ac:dyDescent="0.25">
      <c r="F3862" s="17" t="s">
        <v>411</v>
      </c>
      <c r="G3862" s="17" t="s">
        <v>209</v>
      </c>
    </row>
    <row r="3863" spans="6:7" x14ac:dyDescent="0.25">
      <c r="F3863" s="17" t="s">
        <v>546</v>
      </c>
      <c r="G3863" s="17" t="s">
        <v>209</v>
      </c>
    </row>
    <row r="3864" spans="6:7" x14ac:dyDescent="0.25">
      <c r="F3864" s="17" t="s">
        <v>284</v>
      </c>
      <c r="G3864" s="17" t="s">
        <v>209</v>
      </c>
    </row>
    <row r="3865" spans="6:7" x14ac:dyDescent="0.25">
      <c r="F3865" s="17" t="s">
        <v>4566</v>
      </c>
      <c r="G3865" s="17" t="s">
        <v>209</v>
      </c>
    </row>
    <row r="3866" spans="6:7" x14ac:dyDescent="0.25">
      <c r="F3866" s="17" t="s">
        <v>4567</v>
      </c>
      <c r="G3866" s="17" t="s">
        <v>209</v>
      </c>
    </row>
    <row r="3867" spans="6:7" x14ac:dyDescent="0.25">
      <c r="F3867" s="17" t="s">
        <v>4568</v>
      </c>
      <c r="G3867" s="17" t="s">
        <v>209</v>
      </c>
    </row>
    <row r="3868" spans="6:7" x14ac:dyDescent="0.25">
      <c r="F3868" s="17" t="s">
        <v>4569</v>
      </c>
      <c r="G3868" s="17" t="s">
        <v>209</v>
      </c>
    </row>
    <row r="3869" spans="6:7" x14ac:dyDescent="0.25">
      <c r="F3869" s="17" t="s">
        <v>4570</v>
      </c>
      <c r="G3869" s="17" t="s">
        <v>209</v>
      </c>
    </row>
    <row r="3870" spans="6:7" x14ac:dyDescent="0.25">
      <c r="F3870" s="17" t="s">
        <v>4571</v>
      </c>
      <c r="G3870" s="17" t="s">
        <v>209</v>
      </c>
    </row>
    <row r="3871" spans="6:7" x14ac:dyDescent="0.25">
      <c r="F3871" s="17" t="s">
        <v>4572</v>
      </c>
      <c r="G3871" s="17" t="s">
        <v>209</v>
      </c>
    </row>
    <row r="3872" spans="6:7" x14ac:dyDescent="0.25">
      <c r="F3872" s="17" t="s">
        <v>334</v>
      </c>
      <c r="G3872" s="17" t="s">
        <v>209</v>
      </c>
    </row>
    <row r="3873" spans="6:7" x14ac:dyDescent="0.25">
      <c r="F3873" s="17" t="s">
        <v>314</v>
      </c>
      <c r="G3873" s="17" t="s">
        <v>209</v>
      </c>
    </row>
    <row r="3874" spans="6:7" x14ac:dyDescent="0.25">
      <c r="F3874" s="17" t="s">
        <v>514</v>
      </c>
      <c r="G3874" s="17" t="s">
        <v>209</v>
      </c>
    </row>
    <row r="3875" spans="6:7" x14ac:dyDescent="0.25">
      <c r="F3875" s="17" t="s">
        <v>4573</v>
      </c>
      <c r="G3875" s="17" t="s">
        <v>209</v>
      </c>
    </row>
    <row r="3876" spans="6:7" x14ac:dyDescent="0.25">
      <c r="F3876" s="17" t="s">
        <v>327</v>
      </c>
      <c r="G3876" s="17" t="s">
        <v>211</v>
      </c>
    </row>
    <row r="3877" spans="6:7" x14ac:dyDescent="0.25">
      <c r="F3877" s="17" t="s">
        <v>456</v>
      </c>
      <c r="G3877" s="17" t="s">
        <v>211</v>
      </c>
    </row>
    <row r="3878" spans="6:7" x14ac:dyDescent="0.25">
      <c r="F3878" s="17" t="s">
        <v>299</v>
      </c>
      <c r="G3878" s="17" t="s">
        <v>211</v>
      </c>
    </row>
    <row r="3879" spans="6:7" x14ac:dyDescent="0.25">
      <c r="F3879" s="17" t="s">
        <v>747</v>
      </c>
      <c r="G3879" s="17" t="s">
        <v>211</v>
      </c>
    </row>
    <row r="3880" spans="6:7" x14ac:dyDescent="0.25">
      <c r="F3880" s="17" t="s">
        <v>4574</v>
      </c>
      <c r="G3880" s="17" t="s">
        <v>209</v>
      </c>
    </row>
    <row r="3881" spans="6:7" x14ac:dyDescent="0.25">
      <c r="F3881" s="17" t="s">
        <v>4575</v>
      </c>
      <c r="G3881" s="17" t="s">
        <v>211</v>
      </c>
    </row>
    <row r="3882" spans="6:7" x14ac:dyDescent="0.25">
      <c r="F3882" s="17" t="s">
        <v>387</v>
      </c>
      <c r="G3882" s="17" t="s">
        <v>211</v>
      </c>
    </row>
    <row r="3883" spans="6:7" x14ac:dyDescent="0.25">
      <c r="F3883" s="17" t="s">
        <v>328</v>
      </c>
      <c r="G3883" s="17" t="s">
        <v>209</v>
      </c>
    </row>
    <row r="3884" spans="6:7" x14ac:dyDescent="0.25">
      <c r="F3884" s="17" t="s">
        <v>919</v>
      </c>
      <c r="G3884" s="17" t="s">
        <v>209</v>
      </c>
    </row>
    <row r="3885" spans="6:7" x14ac:dyDescent="0.25">
      <c r="F3885" s="17" t="s">
        <v>4576</v>
      </c>
      <c r="G3885" s="17" t="s">
        <v>209</v>
      </c>
    </row>
    <row r="3886" spans="6:7" x14ac:dyDescent="0.25">
      <c r="F3886" s="17" t="s">
        <v>882</v>
      </c>
      <c r="G3886" s="17" t="s">
        <v>209</v>
      </c>
    </row>
    <row r="3887" spans="6:7" x14ac:dyDescent="0.25">
      <c r="F3887" s="17" t="s">
        <v>4577</v>
      </c>
      <c r="G3887" s="17" t="s">
        <v>209</v>
      </c>
    </row>
    <row r="3888" spans="6:7" x14ac:dyDescent="0.25">
      <c r="F3888" s="17" t="s">
        <v>4578</v>
      </c>
      <c r="G3888" s="17" t="s">
        <v>209</v>
      </c>
    </row>
    <row r="3889" spans="6:7" x14ac:dyDescent="0.25">
      <c r="F3889" s="17" t="s">
        <v>4579</v>
      </c>
      <c r="G3889" s="17" t="s">
        <v>209</v>
      </c>
    </row>
    <row r="3890" spans="6:7" x14ac:dyDescent="0.25">
      <c r="F3890" s="17" t="s">
        <v>4580</v>
      </c>
      <c r="G3890" s="17" t="s">
        <v>209</v>
      </c>
    </row>
    <row r="3891" spans="6:7" x14ac:dyDescent="0.25">
      <c r="F3891" s="17" t="s">
        <v>4581</v>
      </c>
      <c r="G3891" s="17" t="s">
        <v>209</v>
      </c>
    </row>
    <row r="3892" spans="6:7" x14ac:dyDescent="0.25">
      <c r="F3892" s="17" t="s">
        <v>760</v>
      </c>
      <c r="G3892" s="17" t="s">
        <v>209</v>
      </c>
    </row>
    <row r="3893" spans="6:7" x14ac:dyDescent="0.25">
      <c r="F3893" s="17" t="s">
        <v>4582</v>
      </c>
      <c r="G3893" s="17" t="s">
        <v>209</v>
      </c>
    </row>
    <row r="3894" spans="6:7" x14ac:dyDescent="0.25">
      <c r="F3894" s="17" t="s">
        <v>4583</v>
      </c>
      <c r="G3894" s="17" t="s">
        <v>209</v>
      </c>
    </row>
    <row r="3895" spans="6:7" x14ac:dyDescent="0.25">
      <c r="F3895" s="17" t="s">
        <v>4584</v>
      </c>
      <c r="G3895" s="17" t="s">
        <v>209</v>
      </c>
    </row>
    <row r="3896" spans="6:7" x14ac:dyDescent="0.25">
      <c r="F3896" s="17" t="s">
        <v>727</v>
      </c>
      <c r="G3896" s="17" t="s">
        <v>209</v>
      </c>
    </row>
    <row r="3897" spans="6:7" x14ac:dyDescent="0.25">
      <c r="F3897" s="17" t="s">
        <v>4585</v>
      </c>
      <c r="G3897" s="17" t="s">
        <v>209</v>
      </c>
    </row>
    <row r="3898" spans="6:7" x14ac:dyDescent="0.25">
      <c r="F3898" s="17" t="s">
        <v>4586</v>
      </c>
      <c r="G3898" s="17" t="s">
        <v>209</v>
      </c>
    </row>
    <row r="3899" spans="6:7" x14ac:dyDescent="0.25">
      <c r="F3899" s="17" t="s">
        <v>4587</v>
      </c>
      <c r="G3899" s="17" t="s">
        <v>209</v>
      </c>
    </row>
    <row r="3900" spans="6:7" x14ac:dyDescent="0.25">
      <c r="F3900" s="17" t="s">
        <v>4588</v>
      </c>
      <c r="G3900" s="17" t="s">
        <v>209</v>
      </c>
    </row>
    <row r="3901" spans="6:7" x14ac:dyDescent="0.25">
      <c r="F3901" s="17" t="s">
        <v>4589</v>
      </c>
      <c r="G3901" s="17" t="s">
        <v>209</v>
      </c>
    </row>
    <row r="3902" spans="6:7" x14ac:dyDescent="0.25">
      <c r="F3902" s="17" t="s">
        <v>4590</v>
      </c>
      <c r="G3902" s="17" t="s">
        <v>209</v>
      </c>
    </row>
    <row r="3903" spans="6:7" x14ac:dyDescent="0.25">
      <c r="F3903" s="17" t="s">
        <v>4591</v>
      </c>
      <c r="G3903" s="17" t="s">
        <v>217</v>
      </c>
    </row>
    <row r="3904" spans="6:7" x14ac:dyDescent="0.25">
      <c r="F3904" s="17" t="s">
        <v>4592</v>
      </c>
      <c r="G3904" s="17" t="s">
        <v>217</v>
      </c>
    </row>
    <row r="3905" spans="6:7" x14ac:dyDescent="0.25">
      <c r="F3905" s="17" t="s">
        <v>4593</v>
      </c>
      <c r="G3905" s="17" t="s">
        <v>217</v>
      </c>
    </row>
    <row r="3906" spans="6:7" x14ac:dyDescent="0.25">
      <c r="F3906" s="17" t="s">
        <v>4594</v>
      </c>
      <c r="G3906" s="17" t="s">
        <v>217</v>
      </c>
    </row>
    <row r="3907" spans="6:7" x14ac:dyDescent="0.25">
      <c r="F3907" s="17" t="s">
        <v>4595</v>
      </c>
      <c r="G3907" s="17" t="s">
        <v>217</v>
      </c>
    </row>
    <row r="3908" spans="6:7" x14ac:dyDescent="0.25">
      <c r="F3908" s="17" t="s">
        <v>4596</v>
      </c>
      <c r="G3908" s="17" t="s">
        <v>217</v>
      </c>
    </row>
    <row r="3909" spans="6:7" x14ac:dyDescent="0.25">
      <c r="F3909" s="17" t="s">
        <v>4597</v>
      </c>
      <c r="G3909" s="17" t="s">
        <v>217</v>
      </c>
    </row>
    <row r="3910" spans="6:7" x14ac:dyDescent="0.25">
      <c r="F3910" s="17" t="s">
        <v>985</v>
      </c>
      <c r="G3910" s="17" t="s">
        <v>217</v>
      </c>
    </row>
    <row r="3911" spans="6:7" x14ac:dyDescent="0.25">
      <c r="F3911" s="17" t="s">
        <v>4598</v>
      </c>
      <c r="G3911" s="17" t="s">
        <v>217</v>
      </c>
    </row>
    <row r="3912" spans="6:7" x14ac:dyDescent="0.25">
      <c r="F3912" s="17" t="s">
        <v>4599</v>
      </c>
      <c r="G3912" s="17" t="s">
        <v>217</v>
      </c>
    </row>
    <row r="3913" spans="6:7" x14ac:dyDescent="0.25">
      <c r="F3913" s="17" t="s">
        <v>4600</v>
      </c>
      <c r="G3913" s="17" t="s">
        <v>217</v>
      </c>
    </row>
    <row r="3914" spans="6:7" x14ac:dyDescent="0.25">
      <c r="F3914" s="17" t="s">
        <v>4601</v>
      </c>
      <c r="G3914" s="17" t="s">
        <v>217</v>
      </c>
    </row>
    <row r="3915" spans="6:7" x14ac:dyDescent="0.25">
      <c r="F3915" s="17" t="s">
        <v>4602</v>
      </c>
      <c r="G3915" s="17" t="s">
        <v>217</v>
      </c>
    </row>
    <row r="3916" spans="6:7" x14ac:dyDescent="0.25">
      <c r="F3916" s="17" t="s">
        <v>4603</v>
      </c>
      <c r="G3916" s="17" t="s">
        <v>217</v>
      </c>
    </row>
    <row r="3917" spans="6:7" x14ac:dyDescent="0.25">
      <c r="F3917" s="17" t="s">
        <v>4604</v>
      </c>
      <c r="G3917" s="17" t="s">
        <v>217</v>
      </c>
    </row>
    <row r="3918" spans="6:7" x14ac:dyDescent="0.25">
      <c r="F3918" s="17" t="s">
        <v>4605</v>
      </c>
      <c r="G3918" s="17" t="s">
        <v>217</v>
      </c>
    </row>
    <row r="3919" spans="6:7" x14ac:dyDescent="0.25">
      <c r="F3919" s="17" t="s">
        <v>4606</v>
      </c>
      <c r="G3919" s="17" t="s">
        <v>217</v>
      </c>
    </row>
    <row r="3920" spans="6:7" x14ac:dyDescent="0.25">
      <c r="F3920" s="17" t="s">
        <v>4607</v>
      </c>
      <c r="G3920" s="17" t="s">
        <v>217</v>
      </c>
    </row>
    <row r="3921" spans="6:7" x14ac:dyDescent="0.25">
      <c r="F3921" s="17" t="s">
        <v>4608</v>
      </c>
      <c r="G3921" s="17" t="s">
        <v>217</v>
      </c>
    </row>
    <row r="3922" spans="6:7" x14ac:dyDescent="0.25">
      <c r="F3922" s="17" t="s">
        <v>4609</v>
      </c>
      <c r="G3922" s="17" t="s">
        <v>217</v>
      </c>
    </row>
    <row r="3923" spans="6:7" x14ac:dyDescent="0.25">
      <c r="F3923" s="17" t="s">
        <v>4610</v>
      </c>
      <c r="G3923" s="17" t="s">
        <v>217</v>
      </c>
    </row>
    <row r="3924" spans="6:7" x14ac:dyDescent="0.25">
      <c r="F3924" s="17" t="s">
        <v>4611</v>
      </c>
      <c r="G3924" s="17" t="s">
        <v>217</v>
      </c>
    </row>
    <row r="3925" spans="6:7" x14ac:dyDescent="0.25">
      <c r="F3925" s="17" t="s">
        <v>4612</v>
      </c>
      <c r="G3925" s="17" t="s">
        <v>217</v>
      </c>
    </row>
    <row r="3926" spans="6:7" x14ac:dyDescent="0.25">
      <c r="F3926" s="17" t="s">
        <v>4613</v>
      </c>
      <c r="G3926" s="17" t="s">
        <v>217</v>
      </c>
    </row>
    <row r="3927" spans="6:7" x14ac:dyDescent="0.25">
      <c r="F3927" s="17" t="s">
        <v>4614</v>
      </c>
      <c r="G3927" s="17" t="s">
        <v>217</v>
      </c>
    </row>
    <row r="3928" spans="6:7" x14ac:dyDescent="0.25">
      <c r="F3928" s="17" t="s">
        <v>4615</v>
      </c>
      <c r="G3928" s="17" t="s">
        <v>217</v>
      </c>
    </row>
    <row r="3929" spans="6:7" x14ac:dyDescent="0.25">
      <c r="F3929" s="17" t="s">
        <v>4616</v>
      </c>
      <c r="G3929" s="17" t="s">
        <v>217</v>
      </c>
    </row>
    <row r="3930" spans="6:7" x14ac:dyDescent="0.25">
      <c r="F3930" s="17" t="s">
        <v>4617</v>
      </c>
      <c r="G3930" s="17" t="s">
        <v>217</v>
      </c>
    </row>
    <row r="3931" spans="6:7" x14ac:dyDescent="0.25">
      <c r="F3931" s="17" t="s">
        <v>4618</v>
      </c>
      <c r="G3931" s="17" t="s">
        <v>217</v>
      </c>
    </row>
    <row r="3932" spans="6:7" x14ac:dyDescent="0.25">
      <c r="F3932" s="17" t="s">
        <v>4619</v>
      </c>
      <c r="G3932" s="17" t="s">
        <v>217</v>
      </c>
    </row>
    <row r="3933" spans="6:7" x14ac:dyDescent="0.25">
      <c r="F3933" s="17" t="s">
        <v>4620</v>
      </c>
      <c r="G3933" s="17" t="s">
        <v>217</v>
      </c>
    </row>
    <row r="3934" spans="6:7" x14ac:dyDescent="0.25">
      <c r="F3934" s="17" t="s">
        <v>4621</v>
      </c>
      <c r="G3934" s="17" t="s">
        <v>217</v>
      </c>
    </row>
    <row r="3935" spans="6:7" x14ac:dyDescent="0.25">
      <c r="F3935" s="17" t="s">
        <v>4622</v>
      </c>
      <c r="G3935" s="17" t="s">
        <v>217</v>
      </c>
    </row>
    <row r="3936" spans="6:7" x14ac:dyDescent="0.25">
      <c r="F3936" s="17" t="s">
        <v>4623</v>
      </c>
      <c r="G3936" s="17" t="s">
        <v>217</v>
      </c>
    </row>
    <row r="3937" spans="6:7" x14ac:dyDescent="0.25">
      <c r="F3937" s="17" t="s">
        <v>4624</v>
      </c>
      <c r="G3937" s="17" t="s">
        <v>217</v>
      </c>
    </row>
    <row r="3938" spans="6:7" x14ac:dyDescent="0.25">
      <c r="F3938" s="17" t="s">
        <v>4625</v>
      </c>
      <c r="G3938" s="17" t="s">
        <v>217</v>
      </c>
    </row>
    <row r="3939" spans="6:7" x14ac:dyDescent="0.25">
      <c r="F3939" s="17" t="s">
        <v>4626</v>
      </c>
      <c r="G3939" s="17" t="s">
        <v>217</v>
      </c>
    </row>
    <row r="3940" spans="6:7" x14ac:dyDescent="0.25">
      <c r="F3940" s="17" t="s">
        <v>4627</v>
      </c>
      <c r="G3940" s="17" t="s">
        <v>217</v>
      </c>
    </row>
    <row r="3941" spans="6:7" x14ac:dyDescent="0.25">
      <c r="F3941" s="17" t="s">
        <v>4628</v>
      </c>
      <c r="G3941" s="17" t="s">
        <v>217</v>
      </c>
    </row>
    <row r="3942" spans="6:7" x14ac:dyDescent="0.25">
      <c r="F3942" s="17" t="s">
        <v>4629</v>
      </c>
      <c r="G3942" s="17" t="s">
        <v>217</v>
      </c>
    </row>
    <row r="3943" spans="6:7" x14ac:dyDescent="0.25">
      <c r="F3943" s="17" t="s">
        <v>4630</v>
      </c>
      <c r="G3943" s="17" t="s">
        <v>217</v>
      </c>
    </row>
    <row r="3944" spans="6:7" x14ac:dyDescent="0.25">
      <c r="F3944" s="17" t="s">
        <v>4631</v>
      </c>
      <c r="G3944" s="17" t="s">
        <v>217</v>
      </c>
    </row>
    <row r="3945" spans="6:7" x14ac:dyDescent="0.25">
      <c r="F3945" s="17" t="s">
        <v>4632</v>
      </c>
      <c r="G3945" s="17" t="s">
        <v>217</v>
      </c>
    </row>
    <row r="3946" spans="6:7" x14ac:dyDescent="0.25">
      <c r="F3946" s="17" t="s">
        <v>4633</v>
      </c>
      <c r="G3946" s="17" t="s">
        <v>217</v>
      </c>
    </row>
    <row r="3947" spans="6:7" x14ac:dyDescent="0.25">
      <c r="F3947" s="17" t="s">
        <v>4634</v>
      </c>
      <c r="G3947" s="17" t="s">
        <v>217</v>
      </c>
    </row>
    <row r="3948" spans="6:7" x14ac:dyDescent="0.25">
      <c r="F3948" s="17" t="s">
        <v>4635</v>
      </c>
      <c r="G3948" s="17" t="s">
        <v>217</v>
      </c>
    </row>
    <row r="3949" spans="6:7" x14ac:dyDescent="0.25">
      <c r="F3949" s="17" t="s">
        <v>4636</v>
      </c>
      <c r="G3949" s="17" t="s">
        <v>217</v>
      </c>
    </row>
    <row r="3950" spans="6:7" x14ac:dyDescent="0.25">
      <c r="F3950" s="17" t="s">
        <v>4637</v>
      </c>
      <c r="G3950" s="17" t="s">
        <v>217</v>
      </c>
    </row>
    <row r="3951" spans="6:7" x14ac:dyDescent="0.25">
      <c r="F3951" s="17" t="s">
        <v>4638</v>
      </c>
      <c r="G3951" s="17" t="s">
        <v>217</v>
      </c>
    </row>
    <row r="3952" spans="6:7" x14ac:dyDescent="0.25">
      <c r="F3952" s="17" t="s">
        <v>4639</v>
      </c>
      <c r="G3952" s="17" t="s">
        <v>217</v>
      </c>
    </row>
    <row r="3953" spans="6:7" x14ac:dyDescent="0.25">
      <c r="F3953" s="17" t="s">
        <v>4640</v>
      </c>
      <c r="G3953" s="17" t="s">
        <v>217</v>
      </c>
    </row>
    <row r="3954" spans="6:7" x14ac:dyDescent="0.25">
      <c r="F3954" s="17" t="s">
        <v>4641</v>
      </c>
      <c r="G3954" s="17" t="s">
        <v>217</v>
      </c>
    </row>
    <row r="3955" spans="6:7" x14ac:dyDescent="0.25">
      <c r="F3955" s="17" t="s">
        <v>4642</v>
      </c>
      <c r="G3955" s="17" t="s">
        <v>217</v>
      </c>
    </row>
    <row r="3956" spans="6:7" x14ac:dyDescent="0.25">
      <c r="F3956" s="17" t="s">
        <v>4643</v>
      </c>
      <c r="G3956" s="17" t="s">
        <v>217</v>
      </c>
    </row>
    <row r="3957" spans="6:7" x14ac:dyDescent="0.25">
      <c r="F3957" s="17" t="s">
        <v>4644</v>
      </c>
      <c r="G3957" s="17" t="s">
        <v>217</v>
      </c>
    </row>
    <row r="3958" spans="6:7" x14ac:dyDescent="0.25">
      <c r="F3958" s="17" t="s">
        <v>4645</v>
      </c>
      <c r="G3958" s="17" t="s">
        <v>217</v>
      </c>
    </row>
    <row r="3959" spans="6:7" x14ac:dyDescent="0.25">
      <c r="F3959" s="17" t="s">
        <v>4646</v>
      </c>
      <c r="G3959" s="17" t="s">
        <v>217</v>
      </c>
    </row>
    <row r="3960" spans="6:7" x14ac:dyDescent="0.25">
      <c r="F3960" s="17" t="s">
        <v>4647</v>
      </c>
      <c r="G3960" s="17" t="s">
        <v>217</v>
      </c>
    </row>
    <row r="3961" spans="6:7" x14ac:dyDescent="0.25">
      <c r="F3961" s="17" t="s">
        <v>4648</v>
      </c>
      <c r="G3961" s="17" t="s">
        <v>217</v>
      </c>
    </row>
    <row r="3962" spans="6:7" x14ac:dyDescent="0.25">
      <c r="F3962" s="17" t="s">
        <v>4649</v>
      </c>
      <c r="G3962" s="17" t="s">
        <v>217</v>
      </c>
    </row>
    <row r="3963" spans="6:7" x14ac:dyDescent="0.25">
      <c r="F3963" s="17" t="s">
        <v>4650</v>
      </c>
      <c r="G3963" s="17" t="s">
        <v>217</v>
      </c>
    </row>
    <row r="3964" spans="6:7" x14ac:dyDescent="0.25">
      <c r="F3964" s="17" t="s">
        <v>4651</v>
      </c>
      <c r="G3964" s="17" t="s">
        <v>217</v>
      </c>
    </row>
    <row r="3965" spans="6:7" x14ac:dyDescent="0.25">
      <c r="F3965" s="17" t="s">
        <v>4652</v>
      </c>
      <c r="G3965" s="17" t="s">
        <v>217</v>
      </c>
    </row>
    <row r="3966" spans="6:7" x14ac:dyDescent="0.25">
      <c r="F3966" s="17" t="s">
        <v>4653</v>
      </c>
      <c r="G3966" s="17" t="s">
        <v>217</v>
      </c>
    </row>
    <row r="3967" spans="6:7" x14ac:dyDescent="0.25">
      <c r="F3967" s="17" t="s">
        <v>4654</v>
      </c>
      <c r="G3967" s="17" t="s">
        <v>217</v>
      </c>
    </row>
    <row r="3968" spans="6:7" x14ac:dyDescent="0.25">
      <c r="F3968" s="17" t="s">
        <v>4655</v>
      </c>
      <c r="G3968" s="17" t="s">
        <v>217</v>
      </c>
    </row>
    <row r="3969" spans="6:7" x14ac:dyDescent="0.25">
      <c r="F3969" s="17" t="s">
        <v>4656</v>
      </c>
      <c r="G3969" s="17" t="s">
        <v>217</v>
      </c>
    </row>
    <row r="3970" spans="6:7" x14ac:dyDescent="0.25">
      <c r="F3970" s="17" t="s">
        <v>4657</v>
      </c>
      <c r="G3970" s="17" t="s">
        <v>217</v>
      </c>
    </row>
    <row r="3971" spans="6:7" x14ac:dyDescent="0.25">
      <c r="F3971" s="17" t="s">
        <v>4658</v>
      </c>
      <c r="G3971" s="17" t="s">
        <v>217</v>
      </c>
    </row>
    <row r="3972" spans="6:7" x14ac:dyDescent="0.25">
      <c r="F3972" s="17" t="s">
        <v>4659</v>
      </c>
      <c r="G3972" s="17" t="s">
        <v>217</v>
      </c>
    </row>
    <row r="3973" spans="6:7" x14ac:dyDescent="0.25">
      <c r="F3973" s="17" t="s">
        <v>4660</v>
      </c>
      <c r="G3973" s="17" t="s">
        <v>217</v>
      </c>
    </row>
    <row r="3974" spans="6:7" x14ac:dyDescent="0.25">
      <c r="F3974" s="17" t="s">
        <v>4661</v>
      </c>
      <c r="G3974" s="17" t="s">
        <v>217</v>
      </c>
    </row>
    <row r="3975" spans="6:7" x14ac:dyDescent="0.25">
      <c r="F3975" s="17" t="s">
        <v>4662</v>
      </c>
      <c r="G3975" s="17" t="s">
        <v>217</v>
      </c>
    </row>
    <row r="3976" spans="6:7" x14ac:dyDescent="0.25">
      <c r="F3976" s="17" t="s">
        <v>4663</v>
      </c>
      <c r="G3976" s="17" t="s">
        <v>217</v>
      </c>
    </row>
    <row r="3977" spans="6:7" x14ac:dyDescent="0.25">
      <c r="F3977" s="17" t="s">
        <v>4664</v>
      </c>
      <c r="G3977" s="17" t="s">
        <v>217</v>
      </c>
    </row>
    <row r="3978" spans="6:7" x14ac:dyDescent="0.25">
      <c r="F3978" s="17" t="s">
        <v>4665</v>
      </c>
      <c r="G3978" s="17" t="s">
        <v>217</v>
      </c>
    </row>
    <row r="3979" spans="6:7" x14ac:dyDescent="0.25">
      <c r="F3979" s="17" t="s">
        <v>4666</v>
      </c>
      <c r="G3979" s="17" t="s">
        <v>217</v>
      </c>
    </row>
    <row r="3980" spans="6:7" x14ac:dyDescent="0.25">
      <c r="F3980" s="17" t="s">
        <v>4667</v>
      </c>
      <c r="G3980" s="17" t="s">
        <v>217</v>
      </c>
    </row>
    <row r="3981" spans="6:7" x14ac:dyDescent="0.25">
      <c r="F3981" s="17" t="s">
        <v>4668</v>
      </c>
      <c r="G3981" s="17" t="s">
        <v>217</v>
      </c>
    </row>
    <row r="3982" spans="6:7" x14ac:dyDescent="0.25">
      <c r="F3982" s="17" t="s">
        <v>4669</v>
      </c>
      <c r="G3982" s="17" t="s">
        <v>217</v>
      </c>
    </row>
    <row r="3983" spans="6:7" x14ac:dyDescent="0.25">
      <c r="F3983" s="17" t="s">
        <v>4670</v>
      </c>
      <c r="G3983" s="17" t="s">
        <v>217</v>
      </c>
    </row>
    <row r="3984" spans="6:7" x14ac:dyDescent="0.25">
      <c r="F3984" s="17" t="s">
        <v>4671</v>
      </c>
      <c r="G3984" s="17" t="s">
        <v>217</v>
      </c>
    </row>
    <row r="3985" spans="6:7" x14ac:dyDescent="0.25">
      <c r="F3985" s="17" t="s">
        <v>4672</v>
      </c>
      <c r="G3985" s="17" t="s">
        <v>217</v>
      </c>
    </row>
    <row r="3986" spans="6:7" x14ac:dyDescent="0.25">
      <c r="F3986" s="17" t="s">
        <v>4673</v>
      </c>
      <c r="G3986" s="17" t="s">
        <v>217</v>
      </c>
    </row>
    <row r="3987" spans="6:7" x14ac:dyDescent="0.25">
      <c r="F3987" s="17" t="s">
        <v>4674</v>
      </c>
      <c r="G3987" s="17" t="s">
        <v>217</v>
      </c>
    </row>
    <row r="3988" spans="6:7" x14ac:dyDescent="0.25">
      <c r="F3988" s="17" t="s">
        <v>4675</v>
      </c>
      <c r="G3988" s="17" t="s">
        <v>217</v>
      </c>
    </row>
    <row r="3989" spans="6:7" x14ac:dyDescent="0.25">
      <c r="F3989" s="17" t="s">
        <v>4676</v>
      </c>
      <c r="G3989" s="17" t="s">
        <v>217</v>
      </c>
    </row>
    <row r="3990" spans="6:7" x14ac:dyDescent="0.25">
      <c r="F3990" s="17" t="s">
        <v>524</v>
      </c>
      <c r="G3990" s="17" t="s">
        <v>217</v>
      </c>
    </row>
    <row r="3991" spans="6:7" x14ac:dyDescent="0.25">
      <c r="F3991" s="17" t="s">
        <v>4677</v>
      </c>
      <c r="G3991" s="17" t="s">
        <v>217</v>
      </c>
    </row>
    <row r="3992" spans="6:7" x14ac:dyDescent="0.25">
      <c r="F3992" s="17" t="s">
        <v>4678</v>
      </c>
      <c r="G3992" s="17" t="s">
        <v>217</v>
      </c>
    </row>
    <row r="3993" spans="6:7" x14ac:dyDescent="0.25">
      <c r="F3993" s="17" t="s">
        <v>4679</v>
      </c>
      <c r="G3993" s="17" t="s">
        <v>217</v>
      </c>
    </row>
    <row r="3994" spans="6:7" x14ac:dyDescent="0.25">
      <c r="F3994" s="17" t="s">
        <v>4680</v>
      </c>
      <c r="G3994" s="17" t="s">
        <v>217</v>
      </c>
    </row>
    <row r="3995" spans="6:7" x14ac:dyDescent="0.25">
      <c r="F3995" s="17" t="s">
        <v>4681</v>
      </c>
      <c r="G3995" s="17" t="s">
        <v>217</v>
      </c>
    </row>
    <row r="3996" spans="6:7" x14ac:dyDescent="0.25">
      <c r="F3996" s="17" t="s">
        <v>4682</v>
      </c>
      <c r="G3996" s="17" t="s">
        <v>217</v>
      </c>
    </row>
    <row r="3997" spans="6:7" x14ac:dyDescent="0.25">
      <c r="F3997" s="17" t="s">
        <v>4683</v>
      </c>
      <c r="G3997" s="17" t="s">
        <v>217</v>
      </c>
    </row>
    <row r="3998" spans="6:7" x14ac:dyDescent="0.25">
      <c r="F3998" s="17" t="s">
        <v>4684</v>
      </c>
      <c r="G3998" s="17" t="s">
        <v>217</v>
      </c>
    </row>
    <row r="3999" spans="6:7" x14ac:dyDescent="0.25">
      <c r="F3999" s="17" t="s">
        <v>4685</v>
      </c>
      <c r="G3999" s="17" t="s">
        <v>217</v>
      </c>
    </row>
    <row r="4000" spans="6:7" x14ac:dyDescent="0.25">
      <c r="F4000" s="17" t="s">
        <v>4686</v>
      </c>
      <c r="G4000" s="17" t="s">
        <v>217</v>
      </c>
    </row>
    <row r="4001" spans="6:7" x14ac:dyDescent="0.25">
      <c r="F4001" s="17" t="s">
        <v>4687</v>
      </c>
      <c r="G4001" s="17" t="s">
        <v>217</v>
      </c>
    </row>
    <row r="4002" spans="6:7" x14ac:dyDescent="0.25">
      <c r="F4002" s="17" t="s">
        <v>4688</v>
      </c>
      <c r="G4002" s="17" t="s">
        <v>217</v>
      </c>
    </row>
    <row r="4003" spans="6:7" x14ac:dyDescent="0.25">
      <c r="F4003" s="17" t="s">
        <v>4689</v>
      </c>
      <c r="G4003" s="17" t="s">
        <v>217</v>
      </c>
    </row>
    <row r="4004" spans="6:7" x14ac:dyDescent="0.25">
      <c r="F4004" s="17" t="s">
        <v>4690</v>
      </c>
      <c r="G4004" s="17" t="s">
        <v>217</v>
      </c>
    </row>
    <row r="4005" spans="6:7" x14ac:dyDescent="0.25">
      <c r="F4005" s="17" t="s">
        <v>4691</v>
      </c>
      <c r="G4005" s="17" t="s">
        <v>217</v>
      </c>
    </row>
    <row r="4006" spans="6:7" x14ac:dyDescent="0.25">
      <c r="F4006" s="17" t="s">
        <v>4692</v>
      </c>
      <c r="G4006" s="17" t="s">
        <v>217</v>
      </c>
    </row>
    <row r="4007" spans="6:7" x14ac:dyDescent="0.25">
      <c r="F4007" s="17" t="s">
        <v>4693</v>
      </c>
      <c r="G4007" s="17" t="s">
        <v>217</v>
      </c>
    </row>
    <row r="4008" spans="6:7" x14ac:dyDescent="0.25">
      <c r="F4008" s="17" t="s">
        <v>4694</v>
      </c>
      <c r="G4008" s="17" t="s">
        <v>217</v>
      </c>
    </row>
    <row r="4009" spans="6:7" x14ac:dyDescent="0.25">
      <c r="F4009" s="17" t="s">
        <v>4695</v>
      </c>
      <c r="G4009" s="17" t="s">
        <v>217</v>
      </c>
    </row>
    <row r="4010" spans="6:7" x14ac:dyDescent="0.25">
      <c r="F4010" s="17" t="s">
        <v>4696</v>
      </c>
      <c r="G4010" s="17" t="s">
        <v>217</v>
      </c>
    </row>
    <row r="4011" spans="6:7" x14ac:dyDescent="0.25">
      <c r="F4011" s="17" t="s">
        <v>4697</v>
      </c>
      <c r="G4011" s="17" t="s">
        <v>217</v>
      </c>
    </row>
    <row r="4012" spans="6:7" x14ac:dyDescent="0.25">
      <c r="F4012" s="17" t="s">
        <v>4698</v>
      </c>
      <c r="G4012" s="17" t="s">
        <v>217</v>
      </c>
    </row>
    <row r="4013" spans="6:7" x14ac:dyDescent="0.25">
      <c r="F4013" s="17" t="s">
        <v>4699</v>
      </c>
      <c r="G4013" s="17" t="s">
        <v>217</v>
      </c>
    </row>
    <row r="4014" spans="6:7" x14ac:dyDescent="0.25">
      <c r="F4014" s="17" t="s">
        <v>4700</v>
      </c>
      <c r="G4014" s="17" t="s">
        <v>217</v>
      </c>
    </row>
    <row r="4015" spans="6:7" x14ac:dyDescent="0.25">
      <c r="F4015" s="17" t="s">
        <v>4701</v>
      </c>
      <c r="G4015" s="17" t="s">
        <v>217</v>
      </c>
    </row>
    <row r="4016" spans="6:7" x14ac:dyDescent="0.25">
      <c r="F4016" s="17" t="s">
        <v>4702</v>
      </c>
      <c r="G4016" s="17" t="s">
        <v>217</v>
      </c>
    </row>
    <row r="4017" spans="6:7" x14ac:dyDescent="0.25">
      <c r="F4017" s="17" t="s">
        <v>4703</v>
      </c>
      <c r="G4017" s="17" t="s">
        <v>217</v>
      </c>
    </row>
    <row r="4018" spans="6:7" x14ac:dyDescent="0.25">
      <c r="F4018" s="17" t="s">
        <v>4704</v>
      </c>
      <c r="G4018" s="17" t="s">
        <v>217</v>
      </c>
    </row>
    <row r="4019" spans="6:7" x14ac:dyDescent="0.25">
      <c r="F4019" s="17" t="s">
        <v>4705</v>
      </c>
      <c r="G4019" s="17" t="s">
        <v>217</v>
      </c>
    </row>
    <row r="4020" spans="6:7" x14ac:dyDescent="0.25">
      <c r="F4020" s="17" t="s">
        <v>4706</v>
      </c>
      <c r="G4020" s="17" t="s">
        <v>217</v>
      </c>
    </row>
    <row r="4021" spans="6:7" x14ac:dyDescent="0.25">
      <c r="F4021" s="17" t="s">
        <v>4707</v>
      </c>
      <c r="G4021" s="17" t="s">
        <v>217</v>
      </c>
    </row>
    <row r="4022" spans="6:7" x14ac:dyDescent="0.25">
      <c r="F4022" s="17" t="s">
        <v>4708</v>
      </c>
      <c r="G4022" s="17" t="s">
        <v>217</v>
      </c>
    </row>
    <row r="4023" spans="6:7" x14ac:dyDescent="0.25">
      <c r="F4023" s="17" t="s">
        <v>4709</v>
      </c>
      <c r="G4023" s="17" t="s">
        <v>217</v>
      </c>
    </row>
    <row r="4024" spans="6:7" x14ac:dyDescent="0.25">
      <c r="F4024" s="17" t="s">
        <v>4710</v>
      </c>
      <c r="G4024" s="17" t="s">
        <v>217</v>
      </c>
    </row>
    <row r="4025" spans="6:7" x14ac:dyDescent="0.25">
      <c r="F4025" s="17" t="s">
        <v>4711</v>
      </c>
      <c r="G4025" s="17" t="s">
        <v>217</v>
      </c>
    </row>
    <row r="4026" spans="6:7" x14ac:dyDescent="0.25">
      <c r="F4026" s="17" t="s">
        <v>4712</v>
      </c>
      <c r="G4026" s="17" t="s">
        <v>217</v>
      </c>
    </row>
    <row r="4027" spans="6:7" x14ac:dyDescent="0.25">
      <c r="F4027" s="17" t="s">
        <v>4713</v>
      </c>
      <c r="G4027" s="17" t="s">
        <v>217</v>
      </c>
    </row>
    <row r="4028" spans="6:7" x14ac:dyDescent="0.25">
      <c r="F4028" s="17" t="s">
        <v>4714</v>
      </c>
      <c r="G4028" s="17" t="s">
        <v>217</v>
      </c>
    </row>
    <row r="4029" spans="6:7" x14ac:dyDescent="0.25">
      <c r="F4029" s="17" t="s">
        <v>4715</v>
      </c>
      <c r="G4029" s="17" t="s">
        <v>217</v>
      </c>
    </row>
    <row r="4030" spans="6:7" x14ac:dyDescent="0.25">
      <c r="F4030" s="17" t="s">
        <v>4716</v>
      </c>
      <c r="G4030" s="17" t="s">
        <v>217</v>
      </c>
    </row>
    <row r="4031" spans="6:7" x14ac:dyDescent="0.25">
      <c r="F4031" s="17" t="s">
        <v>4717</v>
      </c>
      <c r="G4031" s="17" t="s">
        <v>217</v>
      </c>
    </row>
    <row r="4032" spans="6:7" x14ac:dyDescent="0.25">
      <c r="F4032" s="17" t="s">
        <v>4718</v>
      </c>
      <c r="G4032" s="17" t="s">
        <v>217</v>
      </c>
    </row>
    <row r="4033" spans="6:7" x14ac:dyDescent="0.25">
      <c r="F4033" s="17" t="s">
        <v>4719</v>
      </c>
      <c r="G4033" s="17" t="s">
        <v>217</v>
      </c>
    </row>
    <row r="4034" spans="6:7" x14ac:dyDescent="0.25">
      <c r="F4034" s="17" t="s">
        <v>4720</v>
      </c>
      <c r="G4034" s="17" t="s">
        <v>217</v>
      </c>
    </row>
    <row r="4035" spans="6:7" x14ac:dyDescent="0.25">
      <c r="F4035" s="17" t="s">
        <v>4721</v>
      </c>
      <c r="G4035" s="17" t="s">
        <v>217</v>
      </c>
    </row>
    <row r="4036" spans="6:7" x14ac:dyDescent="0.25">
      <c r="F4036" s="17" t="s">
        <v>4722</v>
      </c>
      <c r="G4036" s="17" t="s">
        <v>217</v>
      </c>
    </row>
    <row r="4037" spans="6:7" x14ac:dyDescent="0.25">
      <c r="F4037" s="17" t="s">
        <v>4723</v>
      </c>
      <c r="G4037" s="17" t="s">
        <v>217</v>
      </c>
    </row>
    <row r="4038" spans="6:7" x14ac:dyDescent="0.25">
      <c r="F4038" s="17" t="s">
        <v>4724</v>
      </c>
      <c r="G4038" s="17" t="s">
        <v>217</v>
      </c>
    </row>
    <row r="4039" spans="6:7" x14ac:dyDescent="0.25">
      <c r="F4039" s="17" t="s">
        <v>4725</v>
      </c>
      <c r="G4039" s="17" t="s">
        <v>217</v>
      </c>
    </row>
    <row r="4040" spans="6:7" x14ac:dyDescent="0.25">
      <c r="F4040" s="17" t="s">
        <v>376</v>
      </c>
      <c r="G4040" s="17" t="s">
        <v>217</v>
      </c>
    </row>
    <row r="4041" spans="6:7" x14ac:dyDescent="0.25">
      <c r="F4041" s="17" t="s">
        <v>4726</v>
      </c>
      <c r="G4041" s="17" t="s">
        <v>215</v>
      </c>
    </row>
    <row r="4042" spans="6:7" x14ac:dyDescent="0.25">
      <c r="F4042" s="17" t="s">
        <v>4727</v>
      </c>
      <c r="G4042" s="17" t="s">
        <v>217</v>
      </c>
    </row>
    <row r="4043" spans="6:7" x14ac:dyDescent="0.25">
      <c r="F4043" s="17" t="s">
        <v>4728</v>
      </c>
      <c r="G4043" s="17" t="s">
        <v>217</v>
      </c>
    </row>
    <row r="4044" spans="6:7" x14ac:dyDescent="0.25">
      <c r="F4044" s="17" t="s">
        <v>4729</v>
      </c>
      <c r="G4044" s="17" t="s">
        <v>217</v>
      </c>
    </row>
    <row r="4045" spans="6:7" x14ac:dyDescent="0.25">
      <c r="F4045" s="17" t="s">
        <v>4730</v>
      </c>
      <c r="G4045" s="17" t="s">
        <v>217</v>
      </c>
    </row>
    <row r="4046" spans="6:7" x14ac:dyDescent="0.25">
      <c r="F4046" s="17" t="s">
        <v>4731</v>
      </c>
      <c r="G4046" s="17" t="s">
        <v>215</v>
      </c>
    </row>
    <row r="4047" spans="6:7" x14ac:dyDescent="0.25">
      <c r="F4047" s="17" t="s">
        <v>4732</v>
      </c>
      <c r="G4047" s="17" t="s">
        <v>215</v>
      </c>
    </row>
    <row r="4048" spans="6:7" x14ac:dyDescent="0.25">
      <c r="F4048" s="17" t="s">
        <v>4733</v>
      </c>
      <c r="G4048" s="17" t="s">
        <v>217</v>
      </c>
    </row>
    <row r="4049" spans="6:7" x14ac:dyDescent="0.25">
      <c r="F4049" s="17" t="s">
        <v>4734</v>
      </c>
      <c r="G4049" s="17" t="s">
        <v>217</v>
      </c>
    </row>
    <row r="4050" spans="6:7" x14ac:dyDescent="0.25">
      <c r="F4050" s="17" t="s">
        <v>4735</v>
      </c>
      <c r="G4050" s="17" t="s">
        <v>217</v>
      </c>
    </row>
    <row r="4051" spans="6:7" x14ac:dyDescent="0.25">
      <c r="F4051" s="17" t="s">
        <v>4736</v>
      </c>
      <c r="G4051" s="17" t="s">
        <v>217</v>
      </c>
    </row>
    <row r="4052" spans="6:7" x14ac:dyDescent="0.25">
      <c r="F4052" s="17" t="s">
        <v>4737</v>
      </c>
      <c r="G4052" s="17" t="s">
        <v>217</v>
      </c>
    </row>
    <row r="4053" spans="6:7" x14ac:dyDescent="0.25">
      <c r="F4053" s="17" t="s">
        <v>4738</v>
      </c>
      <c r="G4053" s="17" t="s">
        <v>217</v>
      </c>
    </row>
    <row r="4054" spans="6:7" x14ac:dyDescent="0.25">
      <c r="F4054" s="17" t="s">
        <v>4739</v>
      </c>
      <c r="G4054" s="17" t="s">
        <v>217</v>
      </c>
    </row>
    <row r="4055" spans="6:7" x14ac:dyDescent="0.25">
      <c r="F4055" s="17" t="s">
        <v>4740</v>
      </c>
      <c r="G4055" s="17" t="s">
        <v>217</v>
      </c>
    </row>
    <row r="4056" spans="6:7" x14ac:dyDescent="0.25">
      <c r="F4056" s="17" t="s">
        <v>4741</v>
      </c>
      <c r="G4056" s="17" t="s">
        <v>217</v>
      </c>
    </row>
    <row r="4057" spans="6:7" x14ac:dyDescent="0.25">
      <c r="F4057" s="17" t="s">
        <v>4742</v>
      </c>
      <c r="G4057" s="17" t="s">
        <v>217</v>
      </c>
    </row>
    <row r="4058" spans="6:7" x14ac:dyDescent="0.25">
      <c r="F4058" s="17" t="s">
        <v>4743</v>
      </c>
      <c r="G4058" s="17" t="s">
        <v>217</v>
      </c>
    </row>
    <row r="4059" spans="6:7" x14ac:dyDescent="0.25">
      <c r="F4059" s="17" t="s">
        <v>4744</v>
      </c>
      <c r="G4059" s="17" t="s">
        <v>217</v>
      </c>
    </row>
    <row r="4060" spans="6:7" x14ac:dyDescent="0.25">
      <c r="F4060" s="17" t="s">
        <v>4745</v>
      </c>
      <c r="G4060" s="17" t="s">
        <v>217</v>
      </c>
    </row>
    <row r="4061" spans="6:7" x14ac:dyDescent="0.25">
      <c r="F4061" s="17" t="s">
        <v>4746</v>
      </c>
      <c r="G4061" s="17" t="s">
        <v>217</v>
      </c>
    </row>
    <row r="4062" spans="6:7" x14ac:dyDescent="0.25">
      <c r="F4062" s="17" t="s">
        <v>818</v>
      </c>
      <c r="G4062" s="17" t="s">
        <v>199</v>
      </c>
    </row>
    <row r="4063" spans="6:7" x14ac:dyDescent="0.25">
      <c r="F4063" s="17" t="s">
        <v>772</v>
      </c>
      <c r="G4063" s="17" t="s">
        <v>199</v>
      </c>
    </row>
    <row r="4064" spans="6:7" x14ac:dyDescent="0.25">
      <c r="F4064" s="17" t="s">
        <v>4747</v>
      </c>
      <c r="G4064" s="17" t="s">
        <v>199</v>
      </c>
    </row>
    <row r="4065" spans="6:7" x14ac:dyDescent="0.25">
      <c r="F4065" s="17" t="s">
        <v>4748</v>
      </c>
      <c r="G4065" s="17" t="s">
        <v>199</v>
      </c>
    </row>
    <row r="4066" spans="6:7" x14ac:dyDescent="0.25">
      <c r="F4066" s="17" t="s">
        <v>4749</v>
      </c>
      <c r="G4066" s="17" t="s">
        <v>199</v>
      </c>
    </row>
    <row r="4067" spans="6:7" x14ac:dyDescent="0.25">
      <c r="F4067" s="17" t="s">
        <v>791</v>
      </c>
      <c r="G4067" s="17" t="s">
        <v>199</v>
      </c>
    </row>
    <row r="4068" spans="6:7" x14ac:dyDescent="0.25">
      <c r="F4068" s="17" t="s">
        <v>542</v>
      </c>
      <c r="G4068" s="17" t="s">
        <v>199</v>
      </c>
    </row>
    <row r="4069" spans="6:7" x14ac:dyDescent="0.25">
      <c r="F4069" s="17" t="s">
        <v>4750</v>
      </c>
      <c r="G4069" s="17" t="s">
        <v>199</v>
      </c>
    </row>
    <row r="4070" spans="6:7" x14ac:dyDescent="0.25">
      <c r="F4070" s="17" t="s">
        <v>4751</v>
      </c>
      <c r="G4070" s="17" t="s">
        <v>199</v>
      </c>
    </row>
    <row r="4071" spans="6:7" x14ac:dyDescent="0.25">
      <c r="F4071" s="17" t="s">
        <v>4752</v>
      </c>
      <c r="G4071" s="17" t="s">
        <v>199</v>
      </c>
    </row>
    <row r="4072" spans="6:7" x14ac:dyDescent="0.25">
      <c r="F4072" s="17" t="s">
        <v>4753</v>
      </c>
      <c r="G4072" s="17" t="s">
        <v>199</v>
      </c>
    </row>
    <row r="4073" spans="6:7" x14ac:dyDescent="0.25">
      <c r="F4073" s="17" t="s">
        <v>4754</v>
      </c>
      <c r="G4073" s="17" t="s">
        <v>199</v>
      </c>
    </row>
    <row r="4074" spans="6:7" x14ac:dyDescent="0.25">
      <c r="F4074" s="17" t="s">
        <v>467</v>
      </c>
      <c r="G4074" s="17" t="s">
        <v>199</v>
      </c>
    </row>
    <row r="4075" spans="6:7" x14ac:dyDescent="0.25">
      <c r="F4075" s="17" t="s">
        <v>4755</v>
      </c>
      <c r="G4075" s="17" t="s">
        <v>1257</v>
      </c>
    </row>
    <row r="4076" spans="6:7" x14ac:dyDescent="0.25">
      <c r="F4076" s="17" t="s">
        <v>4756</v>
      </c>
      <c r="G4076" s="17" t="s">
        <v>1257</v>
      </c>
    </row>
    <row r="4077" spans="6:7" x14ac:dyDescent="0.25">
      <c r="F4077" s="17" t="s">
        <v>4757</v>
      </c>
      <c r="G4077" s="17" t="s">
        <v>1257</v>
      </c>
    </row>
    <row r="4078" spans="6:7" x14ac:dyDescent="0.25">
      <c r="F4078" s="17" t="s">
        <v>4758</v>
      </c>
      <c r="G4078" s="17" t="s">
        <v>1257</v>
      </c>
    </row>
    <row r="4079" spans="6:7" x14ac:dyDescent="0.25">
      <c r="F4079" s="17" t="s">
        <v>4759</v>
      </c>
      <c r="G4079" s="17" t="s">
        <v>1257</v>
      </c>
    </row>
    <row r="4080" spans="6:7" x14ac:dyDescent="0.25">
      <c r="F4080" s="17" t="s">
        <v>4760</v>
      </c>
      <c r="G4080" s="17" t="s">
        <v>1257</v>
      </c>
    </row>
    <row r="4081" spans="6:7" x14ac:dyDescent="0.25">
      <c r="F4081" s="17" t="s">
        <v>4761</v>
      </c>
      <c r="G4081" s="17" t="s">
        <v>1257</v>
      </c>
    </row>
    <row r="4082" spans="6:7" x14ac:dyDescent="0.25">
      <c r="F4082" s="17" t="s">
        <v>4762</v>
      </c>
      <c r="G4082" s="17" t="s">
        <v>1257</v>
      </c>
    </row>
    <row r="4083" spans="6:7" x14ac:dyDescent="0.25">
      <c r="F4083" s="17" t="s">
        <v>4763</v>
      </c>
      <c r="G4083" s="17" t="s">
        <v>1257</v>
      </c>
    </row>
    <row r="4084" spans="6:7" x14ac:dyDescent="0.25">
      <c r="F4084" s="17" t="s">
        <v>4764</v>
      </c>
      <c r="G4084" s="17" t="s">
        <v>1257</v>
      </c>
    </row>
    <row r="4085" spans="6:7" x14ac:dyDescent="0.25">
      <c r="F4085" s="17" t="s">
        <v>4765</v>
      </c>
      <c r="G4085" s="17" t="s">
        <v>1257</v>
      </c>
    </row>
    <row r="4086" spans="6:7" x14ac:dyDescent="0.25">
      <c r="F4086" s="17" t="s">
        <v>4766</v>
      </c>
      <c r="G4086" s="17" t="s">
        <v>1257</v>
      </c>
    </row>
    <row r="4087" spans="6:7" x14ac:dyDescent="0.25">
      <c r="F4087" s="17" t="s">
        <v>4767</v>
      </c>
      <c r="G4087" s="17" t="s">
        <v>1257</v>
      </c>
    </row>
    <row r="4088" spans="6:7" x14ac:dyDescent="0.25">
      <c r="F4088" s="17" t="s">
        <v>4768</v>
      </c>
      <c r="G4088" s="17" t="s">
        <v>1257</v>
      </c>
    </row>
    <row r="4089" spans="6:7" x14ac:dyDescent="0.25">
      <c r="F4089" s="17" t="s">
        <v>4769</v>
      </c>
      <c r="G4089" s="17" t="s">
        <v>1257</v>
      </c>
    </row>
    <row r="4090" spans="6:7" x14ac:dyDescent="0.25">
      <c r="F4090" s="17" t="s">
        <v>4770</v>
      </c>
      <c r="G4090" s="17" t="s">
        <v>1257</v>
      </c>
    </row>
    <row r="4091" spans="6:7" x14ac:dyDescent="0.25">
      <c r="F4091" s="17" t="s">
        <v>4771</v>
      </c>
      <c r="G4091" s="17" t="s">
        <v>1257</v>
      </c>
    </row>
    <row r="4092" spans="6:7" x14ac:dyDescent="0.25">
      <c r="F4092" s="17" t="s">
        <v>4772</v>
      </c>
      <c r="G4092" s="17" t="s">
        <v>1257</v>
      </c>
    </row>
    <row r="4093" spans="6:7" x14ac:dyDescent="0.25">
      <c r="F4093" s="17" t="s">
        <v>4773</v>
      </c>
      <c r="G4093" s="17" t="s">
        <v>1257</v>
      </c>
    </row>
    <row r="4094" spans="6:7" x14ac:dyDescent="0.25">
      <c r="F4094" s="17" t="s">
        <v>4774</v>
      </c>
      <c r="G4094" s="17" t="s">
        <v>1257</v>
      </c>
    </row>
    <row r="4095" spans="6:7" x14ac:dyDescent="0.25">
      <c r="F4095" s="17" t="s">
        <v>4775</v>
      </c>
      <c r="G4095" s="17" t="s">
        <v>1257</v>
      </c>
    </row>
    <row r="4096" spans="6:7" x14ac:dyDescent="0.25">
      <c r="F4096" s="17" t="s">
        <v>4776</v>
      </c>
      <c r="G4096" s="17" t="s">
        <v>1257</v>
      </c>
    </row>
    <row r="4097" spans="6:7" x14ac:dyDescent="0.25">
      <c r="F4097" s="17" t="s">
        <v>4777</v>
      </c>
      <c r="G4097" s="17" t="s">
        <v>1257</v>
      </c>
    </row>
    <row r="4098" spans="6:7" x14ac:dyDescent="0.25">
      <c r="F4098" s="17" t="s">
        <v>4778</v>
      </c>
      <c r="G4098" s="17" t="s">
        <v>1257</v>
      </c>
    </row>
    <row r="4099" spans="6:7" x14ac:dyDescent="0.25">
      <c r="F4099" s="17" t="s">
        <v>4779</v>
      </c>
      <c r="G4099" s="17" t="s">
        <v>1257</v>
      </c>
    </row>
    <row r="4100" spans="6:7" x14ac:dyDescent="0.25">
      <c r="F4100" s="17" t="s">
        <v>4780</v>
      </c>
      <c r="G4100" s="17" t="s">
        <v>1257</v>
      </c>
    </row>
    <row r="4101" spans="6:7" x14ac:dyDescent="0.25">
      <c r="F4101" s="17" t="s">
        <v>4781</v>
      </c>
      <c r="G4101" s="17" t="s">
        <v>1257</v>
      </c>
    </row>
    <row r="4102" spans="6:7" x14ac:dyDescent="0.25">
      <c r="F4102" s="17" t="s">
        <v>4782</v>
      </c>
      <c r="G4102" s="17" t="s">
        <v>1257</v>
      </c>
    </row>
    <row r="4103" spans="6:7" x14ac:dyDescent="0.25">
      <c r="F4103" s="17" t="s">
        <v>4783</v>
      </c>
      <c r="G4103" s="17" t="s">
        <v>1257</v>
      </c>
    </row>
    <row r="4104" spans="6:7" x14ac:dyDescent="0.25">
      <c r="F4104" s="17" t="s">
        <v>4784</v>
      </c>
      <c r="G4104" s="17" t="s">
        <v>1257</v>
      </c>
    </row>
    <row r="4105" spans="6:7" x14ac:dyDescent="0.25">
      <c r="F4105" s="17" t="s">
        <v>4785</v>
      </c>
      <c r="G4105" s="17" t="s">
        <v>1257</v>
      </c>
    </row>
    <row r="4106" spans="6:7" x14ac:dyDescent="0.25">
      <c r="F4106" s="17" t="s">
        <v>4786</v>
      </c>
      <c r="G4106" s="17" t="s">
        <v>1257</v>
      </c>
    </row>
    <row r="4107" spans="6:7" x14ac:dyDescent="0.25">
      <c r="F4107" s="17" t="s">
        <v>4787</v>
      </c>
      <c r="G4107" s="17" t="s">
        <v>1257</v>
      </c>
    </row>
    <row r="4108" spans="6:7" x14ac:dyDescent="0.25">
      <c r="F4108" s="17" t="s">
        <v>4788</v>
      </c>
      <c r="G4108" s="17" t="s">
        <v>1257</v>
      </c>
    </row>
    <row r="4109" spans="6:7" x14ac:dyDescent="0.25">
      <c r="F4109" s="17" t="s">
        <v>4789</v>
      </c>
      <c r="G4109" s="17" t="s">
        <v>1257</v>
      </c>
    </row>
    <row r="4110" spans="6:7" x14ac:dyDescent="0.25">
      <c r="F4110" s="17" t="s">
        <v>4790</v>
      </c>
      <c r="G4110" s="17" t="s">
        <v>1257</v>
      </c>
    </row>
    <row r="4111" spans="6:7" x14ac:dyDescent="0.25">
      <c r="F4111" s="17" t="s">
        <v>4791</v>
      </c>
      <c r="G4111" s="17" t="s">
        <v>1257</v>
      </c>
    </row>
    <row r="4112" spans="6:7" x14ac:dyDescent="0.25">
      <c r="F4112" s="17" t="s">
        <v>4792</v>
      </c>
      <c r="G4112" s="17" t="s">
        <v>1257</v>
      </c>
    </row>
    <row r="4113" spans="6:7" x14ac:dyDescent="0.25">
      <c r="F4113" s="17" t="s">
        <v>4793</v>
      </c>
      <c r="G4113" s="17" t="s">
        <v>1257</v>
      </c>
    </row>
    <row r="4114" spans="6:7" x14ac:dyDescent="0.25">
      <c r="F4114" s="17" t="s">
        <v>4794</v>
      </c>
      <c r="G4114" s="17" t="s">
        <v>1257</v>
      </c>
    </row>
    <row r="4115" spans="6:7" x14ac:dyDescent="0.25">
      <c r="F4115" s="17" t="s">
        <v>4795</v>
      </c>
      <c r="G4115" s="17" t="s">
        <v>1257</v>
      </c>
    </row>
    <row r="4116" spans="6:7" x14ac:dyDescent="0.25">
      <c r="F4116" s="17" t="s">
        <v>4796</v>
      </c>
      <c r="G4116" s="17" t="s">
        <v>1257</v>
      </c>
    </row>
    <row r="4117" spans="6:7" x14ac:dyDescent="0.25">
      <c r="F4117" s="17" t="s">
        <v>4797</v>
      </c>
      <c r="G4117" s="17" t="s">
        <v>1257</v>
      </c>
    </row>
    <row r="4118" spans="6:7" x14ac:dyDescent="0.25">
      <c r="F4118" s="17" t="s">
        <v>4798</v>
      </c>
      <c r="G4118" s="17" t="s">
        <v>1257</v>
      </c>
    </row>
    <row r="4119" spans="6:7" x14ac:dyDescent="0.25">
      <c r="F4119" s="17" t="s">
        <v>4799</v>
      </c>
      <c r="G4119" s="17" t="s">
        <v>1257</v>
      </c>
    </row>
    <row r="4120" spans="6:7" x14ac:dyDescent="0.25">
      <c r="F4120" s="17" t="s">
        <v>4800</v>
      </c>
      <c r="G4120" s="17" t="s">
        <v>1257</v>
      </c>
    </row>
    <row r="4121" spans="6:7" x14ac:dyDescent="0.25">
      <c r="F4121" s="17" t="s">
        <v>4801</v>
      </c>
      <c r="G4121" s="17" t="s">
        <v>1257</v>
      </c>
    </row>
    <row r="4122" spans="6:7" x14ac:dyDescent="0.25">
      <c r="F4122" s="17" t="s">
        <v>4802</v>
      </c>
      <c r="G4122" s="17" t="s">
        <v>1257</v>
      </c>
    </row>
    <row r="4123" spans="6:7" x14ac:dyDescent="0.25">
      <c r="F4123" s="17" t="s">
        <v>4803</v>
      </c>
      <c r="G4123" s="17" t="s">
        <v>1257</v>
      </c>
    </row>
    <row r="4124" spans="6:7" x14ac:dyDescent="0.25">
      <c r="F4124" s="17" t="s">
        <v>4804</v>
      </c>
      <c r="G4124" s="17" t="s">
        <v>1257</v>
      </c>
    </row>
    <row r="4125" spans="6:7" x14ac:dyDescent="0.25">
      <c r="F4125" s="17" t="s">
        <v>4805</v>
      </c>
      <c r="G4125" s="17" t="s">
        <v>1257</v>
      </c>
    </row>
    <row r="4126" spans="6:7" x14ac:dyDescent="0.25">
      <c r="F4126" s="17" t="s">
        <v>4806</v>
      </c>
      <c r="G4126" s="17" t="s">
        <v>1257</v>
      </c>
    </row>
    <row r="4127" spans="6:7" x14ac:dyDescent="0.25">
      <c r="F4127" s="17" t="s">
        <v>4807</v>
      </c>
      <c r="G4127" s="17" t="s">
        <v>1257</v>
      </c>
    </row>
    <row r="4128" spans="6:7" x14ac:dyDescent="0.25">
      <c r="F4128" s="17" t="s">
        <v>4808</v>
      </c>
      <c r="G4128" s="17" t="s">
        <v>1257</v>
      </c>
    </row>
    <row r="4129" spans="6:7" x14ac:dyDescent="0.25">
      <c r="F4129" s="17" t="s">
        <v>4809</v>
      </c>
      <c r="G4129" s="17" t="s">
        <v>1257</v>
      </c>
    </row>
    <row r="4130" spans="6:7" x14ac:dyDescent="0.25">
      <c r="F4130" s="17" t="s">
        <v>4810</v>
      </c>
      <c r="G4130" s="17" t="s">
        <v>1257</v>
      </c>
    </row>
    <row r="4131" spans="6:7" x14ac:dyDescent="0.25">
      <c r="F4131" s="17" t="s">
        <v>4811</v>
      </c>
      <c r="G4131" s="17" t="s">
        <v>1257</v>
      </c>
    </row>
    <row r="4132" spans="6:7" x14ac:dyDescent="0.25">
      <c r="F4132" s="17" t="s">
        <v>4812</v>
      </c>
      <c r="G4132" s="17" t="s">
        <v>1257</v>
      </c>
    </row>
    <row r="4133" spans="6:7" x14ac:dyDescent="0.25">
      <c r="F4133" s="17" t="s">
        <v>4813</v>
      </c>
      <c r="G4133" s="17" t="s">
        <v>1257</v>
      </c>
    </row>
    <row r="4134" spans="6:7" x14ac:dyDescent="0.25">
      <c r="F4134" s="17" t="s">
        <v>4814</v>
      </c>
      <c r="G4134" s="17" t="s">
        <v>1257</v>
      </c>
    </row>
    <row r="4135" spans="6:7" x14ac:dyDescent="0.25">
      <c r="F4135" s="17" t="s">
        <v>4815</v>
      </c>
      <c r="G4135" s="17" t="s">
        <v>1257</v>
      </c>
    </row>
    <row r="4136" spans="6:7" x14ac:dyDescent="0.25">
      <c r="F4136" s="17" t="s">
        <v>4816</v>
      </c>
      <c r="G4136" s="17" t="s">
        <v>1257</v>
      </c>
    </row>
    <row r="4137" spans="6:7" x14ac:dyDescent="0.25">
      <c r="F4137" s="17" t="s">
        <v>4817</v>
      </c>
      <c r="G4137" s="17" t="s">
        <v>1257</v>
      </c>
    </row>
    <row r="4138" spans="6:7" x14ac:dyDescent="0.25">
      <c r="F4138" s="17" t="s">
        <v>4818</v>
      </c>
      <c r="G4138" s="17" t="s">
        <v>1257</v>
      </c>
    </row>
    <row r="4139" spans="6:7" x14ac:dyDescent="0.25">
      <c r="F4139" s="17" t="s">
        <v>4819</v>
      </c>
      <c r="G4139" s="17" t="s">
        <v>1257</v>
      </c>
    </row>
    <row r="4140" spans="6:7" x14ac:dyDescent="0.25">
      <c r="F4140" s="17" t="s">
        <v>4820</v>
      </c>
      <c r="G4140" s="17" t="s">
        <v>1257</v>
      </c>
    </row>
    <row r="4141" spans="6:7" x14ac:dyDescent="0.25">
      <c r="F4141" s="17" t="s">
        <v>4821</v>
      </c>
      <c r="G4141" s="17" t="s">
        <v>1257</v>
      </c>
    </row>
    <row r="4142" spans="6:7" x14ac:dyDescent="0.25">
      <c r="F4142" s="17" t="s">
        <v>4822</v>
      </c>
      <c r="G4142" s="17" t="s">
        <v>1257</v>
      </c>
    </row>
    <row r="4143" spans="6:7" x14ac:dyDescent="0.25">
      <c r="F4143" s="17" t="s">
        <v>4823</v>
      </c>
      <c r="G4143" s="17" t="s">
        <v>1257</v>
      </c>
    </row>
    <row r="4144" spans="6:7" x14ac:dyDescent="0.25">
      <c r="F4144" s="17" t="s">
        <v>4824</v>
      </c>
      <c r="G4144" s="17" t="s">
        <v>1257</v>
      </c>
    </row>
    <row r="4145" spans="6:7" x14ac:dyDescent="0.25">
      <c r="F4145" s="17" t="s">
        <v>4825</v>
      </c>
      <c r="G4145" s="17" t="s">
        <v>1257</v>
      </c>
    </row>
    <row r="4146" spans="6:7" x14ac:dyDescent="0.25">
      <c r="F4146" s="17" t="s">
        <v>4826</v>
      </c>
      <c r="G4146" s="17" t="s">
        <v>1257</v>
      </c>
    </row>
    <row r="4147" spans="6:7" x14ac:dyDescent="0.25">
      <c r="F4147" s="17" t="s">
        <v>4827</v>
      </c>
      <c r="G4147" s="17" t="s">
        <v>1257</v>
      </c>
    </row>
    <row r="4148" spans="6:7" x14ac:dyDescent="0.25">
      <c r="F4148" s="17" t="s">
        <v>4828</v>
      </c>
      <c r="G4148" s="17" t="s">
        <v>1257</v>
      </c>
    </row>
    <row r="4149" spans="6:7" x14ac:dyDescent="0.25">
      <c r="F4149" s="17" t="s">
        <v>4829</v>
      </c>
      <c r="G4149" s="17" t="s">
        <v>1257</v>
      </c>
    </row>
    <row r="4150" spans="6:7" x14ac:dyDescent="0.25">
      <c r="F4150" s="17" t="s">
        <v>4830</v>
      </c>
      <c r="G4150" s="17" t="s">
        <v>1257</v>
      </c>
    </row>
    <row r="4151" spans="6:7" x14ac:dyDescent="0.25">
      <c r="F4151" s="17" t="s">
        <v>4831</v>
      </c>
      <c r="G4151" s="17" t="s">
        <v>1257</v>
      </c>
    </row>
    <row r="4152" spans="6:7" x14ac:dyDescent="0.25">
      <c r="F4152" s="17" t="s">
        <v>4832</v>
      </c>
      <c r="G4152" s="17" t="s">
        <v>1257</v>
      </c>
    </row>
    <row r="4153" spans="6:7" x14ac:dyDescent="0.25">
      <c r="F4153" s="17" t="s">
        <v>4833</v>
      </c>
      <c r="G4153" s="17" t="s">
        <v>1257</v>
      </c>
    </row>
    <row r="4154" spans="6:7" x14ac:dyDescent="0.25">
      <c r="F4154" s="17" t="s">
        <v>4834</v>
      </c>
      <c r="G4154" s="17" t="s">
        <v>1257</v>
      </c>
    </row>
    <row r="4155" spans="6:7" x14ac:dyDescent="0.25">
      <c r="F4155" s="17" t="s">
        <v>4835</v>
      </c>
      <c r="G4155" s="17" t="s">
        <v>1257</v>
      </c>
    </row>
    <row r="4156" spans="6:7" x14ac:dyDescent="0.25">
      <c r="F4156" s="17" t="s">
        <v>4836</v>
      </c>
      <c r="G4156" s="17" t="s">
        <v>1257</v>
      </c>
    </row>
    <row r="4157" spans="6:7" x14ac:dyDescent="0.25">
      <c r="F4157" s="17" t="s">
        <v>4837</v>
      </c>
      <c r="G4157" s="17" t="s">
        <v>1257</v>
      </c>
    </row>
    <row r="4158" spans="6:7" x14ac:dyDescent="0.25">
      <c r="F4158" s="17" t="s">
        <v>4838</v>
      </c>
      <c r="G4158" s="17" t="s">
        <v>1257</v>
      </c>
    </row>
    <row r="4159" spans="6:7" x14ac:dyDescent="0.25">
      <c r="F4159" s="17" t="s">
        <v>4839</v>
      </c>
      <c r="G4159" s="17" t="s">
        <v>1257</v>
      </c>
    </row>
    <row r="4160" spans="6:7" x14ac:dyDescent="0.25">
      <c r="F4160" s="17" t="s">
        <v>4840</v>
      </c>
      <c r="G4160" s="17" t="s">
        <v>1257</v>
      </c>
    </row>
    <row r="4161" spans="6:7" x14ac:dyDescent="0.25">
      <c r="F4161" s="17" t="s">
        <v>4841</v>
      </c>
      <c r="G4161" s="17" t="s">
        <v>1257</v>
      </c>
    </row>
    <row r="4162" spans="6:7" x14ac:dyDescent="0.25">
      <c r="F4162" s="17" t="s">
        <v>4842</v>
      </c>
      <c r="G4162" s="17" t="s">
        <v>1257</v>
      </c>
    </row>
    <row r="4163" spans="6:7" x14ac:dyDescent="0.25">
      <c r="F4163" s="17" t="s">
        <v>4843</v>
      </c>
      <c r="G4163" s="17" t="s">
        <v>1257</v>
      </c>
    </row>
    <row r="4164" spans="6:7" x14ac:dyDescent="0.25">
      <c r="F4164" s="17" t="s">
        <v>4844</v>
      </c>
      <c r="G4164" s="17" t="s">
        <v>1257</v>
      </c>
    </row>
    <row r="4165" spans="6:7" x14ac:dyDescent="0.25">
      <c r="F4165" s="17" t="s">
        <v>4845</v>
      </c>
      <c r="G4165" s="17" t="s">
        <v>1257</v>
      </c>
    </row>
    <row r="4166" spans="6:7" x14ac:dyDescent="0.25">
      <c r="F4166" s="17" t="s">
        <v>4846</v>
      </c>
      <c r="G4166" s="17" t="s">
        <v>1257</v>
      </c>
    </row>
    <row r="4167" spans="6:7" x14ac:dyDescent="0.25">
      <c r="F4167" s="17" t="s">
        <v>4847</v>
      </c>
      <c r="G4167" s="17" t="s">
        <v>1257</v>
      </c>
    </row>
    <row r="4168" spans="6:7" x14ac:dyDescent="0.25">
      <c r="F4168" s="17" t="s">
        <v>4848</v>
      </c>
      <c r="G4168" s="17" t="s">
        <v>1257</v>
      </c>
    </row>
    <row r="4169" spans="6:7" x14ac:dyDescent="0.25">
      <c r="F4169" s="17" t="s">
        <v>4849</v>
      </c>
      <c r="G4169" s="17" t="s">
        <v>1257</v>
      </c>
    </row>
    <row r="4170" spans="6:7" x14ac:dyDescent="0.25">
      <c r="F4170" s="17" t="s">
        <v>4850</v>
      </c>
      <c r="G4170" s="17" t="s">
        <v>1257</v>
      </c>
    </row>
    <row r="4171" spans="6:7" x14ac:dyDescent="0.25">
      <c r="F4171" s="17" t="s">
        <v>976</v>
      </c>
      <c r="G4171" s="17" t="s">
        <v>199</v>
      </c>
    </row>
    <row r="4172" spans="6:7" x14ac:dyDescent="0.25">
      <c r="F4172" s="17" t="s">
        <v>392</v>
      </c>
      <c r="G4172" s="17" t="s">
        <v>199</v>
      </c>
    </row>
    <row r="4173" spans="6:7" x14ac:dyDescent="0.25">
      <c r="F4173" s="17" t="s">
        <v>4851</v>
      </c>
      <c r="G4173" s="17" t="s">
        <v>199</v>
      </c>
    </row>
    <row r="4174" spans="6:7" x14ac:dyDescent="0.25">
      <c r="F4174" s="17" t="s">
        <v>830</v>
      </c>
      <c r="G4174" s="17" t="s">
        <v>199</v>
      </c>
    </row>
    <row r="4175" spans="6:7" x14ac:dyDescent="0.25">
      <c r="F4175" s="17" t="s">
        <v>4852</v>
      </c>
      <c r="G4175" s="17" t="s">
        <v>199</v>
      </c>
    </row>
    <row r="4176" spans="6:7" x14ac:dyDescent="0.25">
      <c r="F4176" s="17" t="s">
        <v>4853</v>
      </c>
      <c r="G4176" s="17" t="s">
        <v>199</v>
      </c>
    </row>
    <row r="4177" spans="6:7" x14ac:dyDescent="0.25">
      <c r="F4177" s="17" t="s">
        <v>417</v>
      </c>
      <c r="G4177" s="17" t="s">
        <v>199</v>
      </c>
    </row>
    <row r="4178" spans="6:7" x14ac:dyDescent="0.25">
      <c r="F4178" s="17" t="s">
        <v>4854</v>
      </c>
      <c r="G4178" s="17" t="s">
        <v>199</v>
      </c>
    </row>
    <row r="4179" spans="6:7" x14ac:dyDescent="0.25">
      <c r="F4179" s="17" t="s">
        <v>4855</v>
      </c>
      <c r="G4179" s="17" t="s">
        <v>199</v>
      </c>
    </row>
    <row r="4180" spans="6:7" x14ac:dyDescent="0.25">
      <c r="F4180" s="17" t="s">
        <v>4856</v>
      </c>
      <c r="G4180" s="17" t="s">
        <v>199</v>
      </c>
    </row>
    <row r="4181" spans="6:7" x14ac:dyDescent="0.25">
      <c r="F4181" s="17" t="s">
        <v>4857</v>
      </c>
      <c r="G4181" s="17" t="s">
        <v>199</v>
      </c>
    </row>
    <row r="4182" spans="6:7" x14ac:dyDescent="0.25">
      <c r="F4182" s="17" t="s">
        <v>4858</v>
      </c>
      <c r="G4182" s="17" t="s">
        <v>199</v>
      </c>
    </row>
    <row r="4183" spans="6:7" x14ac:dyDescent="0.25">
      <c r="F4183" s="17" t="s">
        <v>4859</v>
      </c>
      <c r="G4183" s="17" t="s">
        <v>199</v>
      </c>
    </row>
    <row r="4184" spans="6:7" x14ac:dyDescent="0.25">
      <c r="F4184" s="17" t="s">
        <v>4860</v>
      </c>
      <c r="G4184" s="17" t="s">
        <v>199</v>
      </c>
    </row>
    <row r="4185" spans="6:7" x14ac:dyDescent="0.25">
      <c r="F4185" s="17" t="s">
        <v>4861</v>
      </c>
      <c r="G4185" s="17" t="s">
        <v>199</v>
      </c>
    </row>
    <row r="4186" spans="6:7" x14ac:dyDescent="0.25">
      <c r="F4186" s="17" t="s">
        <v>4862</v>
      </c>
      <c r="G4186" s="17" t="s">
        <v>199</v>
      </c>
    </row>
    <row r="4187" spans="6:7" x14ac:dyDescent="0.25">
      <c r="F4187" s="17" t="s">
        <v>439</v>
      </c>
      <c r="G4187" s="17" t="s">
        <v>199</v>
      </c>
    </row>
    <row r="4188" spans="6:7" x14ac:dyDescent="0.25">
      <c r="F4188" s="17" t="s">
        <v>4863</v>
      </c>
      <c r="G4188" s="17" t="s">
        <v>1257</v>
      </c>
    </row>
    <row r="4189" spans="6:7" x14ac:dyDescent="0.25">
      <c r="F4189" s="17" t="s">
        <v>4864</v>
      </c>
      <c r="G4189" s="17" t="s">
        <v>1257</v>
      </c>
    </row>
    <row r="4190" spans="6:7" x14ac:dyDescent="0.25">
      <c r="F4190" s="17" t="s">
        <v>4865</v>
      </c>
      <c r="G4190" s="17" t="s">
        <v>1257</v>
      </c>
    </row>
    <row r="4191" spans="6:7" x14ac:dyDescent="0.25">
      <c r="F4191" s="17" t="s">
        <v>4866</v>
      </c>
      <c r="G4191" s="17" t="s">
        <v>1257</v>
      </c>
    </row>
    <row r="4192" spans="6:7" x14ac:dyDescent="0.25">
      <c r="F4192" s="17" t="s">
        <v>4867</v>
      </c>
      <c r="G4192" s="17" t="s">
        <v>1257</v>
      </c>
    </row>
    <row r="4193" spans="6:7" x14ac:dyDescent="0.25">
      <c r="F4193" s="17" t="s">
        <v>4868</v>
      </c>
      <c r="G4193" s="17" t="s">
        <v>1257</v>
      </c>
    </row>
    <row r="4194" spans="6:7" x14ac:dyDescent="0.25">
      <c r="F4194" s="17" t="s">
        <v>4869</v>
      </c>
      <c r="G4194" s="17" t="s">
        <v>1257</v>
      </c>
    </row>
    <row r="4195" spans="6:7" x14ac:dyDescent="0.25">
      <c r="F4195" s="17" t="s">
        <v>4870</v>
      </c>
      <c r="G4195" s="17" t="s">
        <v>1257</v>
      </c>
    </row>
    <row r="4196" spans="6:7" x14ac:dyDescent="0.25">
      <c r="F4196" s="17" t="s">
        <v>4871</v>
      </c>
      <c r="G4196" s="17" t="s">
        <v>1257</v>
      </c>
    </row>
    <row r="4197" spans="6:7" x14ac:dyDescent="0.25">
      <c r="F4197" s="17" t="s">
        <v>4872</v>
      </c>
      <c r="G4197" s="17" t="s">
        <v>1257</v>
      </c>
    </row>
    <row r="4198" spans="6:7" x14ac:dyDescent="0.25">
      <c r="F4198" s="17" t="s">
        <v>4873</v>
      </c>
      <c r="G4198" s="17" t="s">
        <v>1257</v>
      </c>
    </row>
    <row r="4199" spans="6:7" x14ac:dyDescent="0.25">
      <c r="F4199" s="17" t="s">
        <v>4874</v>
      </c>
      <c r="G4199" s="17" t="s">
        <v>1257</v>
      </c>
    </row>
    <row r="4200" spans="6:7" x14ac:dyDescent="0.25">
      <c r="F4200" s="17" t="s">
        <v>4875</v>
      </c>
      <c r="G4200" s="17" t="s">
        <v>1257</v>
      </c>
    </row>
    <row r="4201" spans="6:7" x14ac:dyDescent="0.25">
      <c r="F4201" s="17" t="s">
        <v>4876</v>
      </c>
      <c r="G4201" s="17" t="s">
        <v>1257</v>
      </c>
    </row>
    <row r="4202" spans="6:7" x14ac:dyDescent="0.25">
      <c r="F4202" s="17" t="s">
        <v>4877</v>
      </c>
      <c r="G4202" s="17" t="s">
        <v>1257</v>
      </c>
    </row>
    <row r="4203" spans="6:7" x14ac:dyDescent="0.25">
      <c r="F4203" s="17" t="s">
        <v>4878</v>
      </c>
      <c r="G4203" s="17" t="s">
        <v>1257</v>
      </c>
    </row>
    <row r="4204" spans="6:7" x14ac:dyDescent="0.25">
      <c r="F4204" s="17" t="s">
        <v>4879</v>
      </c>
      <c r="G4204" s="17" t="s">
        <v>1257</v>
      </c>
    </row>
    <row r="4205" spans="6:7" x14ac:dyDescent="0.25">
      <c r="F4205" s="17" t="s">
        <v>4880</v>
      </c>
      <c r="G4205" s="17" t="s">
        <v>1257</v>
      </c>
    </row>
    <row r="4206" spans="6:7" x14ac:dyDescent="0.25">
      <c r="F4206" s="17" t="s">
        <v>4881</v>
      </c>
      <c r="G4206" s="17" t="s">
        <v>1257</v>
      </c>
    </row>
    <row r="4207" spans="6:7" x14ac:dyDescent="0.25">
      <c r="F4207" s="17" t="s">
        <v>4882</v>
      </c>
      <c r="G4207" s="17" t="s">
        <v>1257</v>
      </c>
    </row>
    <row r="4208" spans="6:7" x14ac:dyDescent="0.25">
      <c r="F4208" s="17" t="s">
        <v>4883</v>
      </c>
      <c r="G4208" s="17" t="s">
        <v>1257</v>
      </c>
    </row>
    <row r="4209" spans="6:7" x14ac:dyDescent="0.25">
      <c r="F4209" s="17" t="s">
        <v>4884</v>
      </c>
      <c r="G4209" s="17" t="s">
        <v>1257</v>
      </c>
    </row>
    <row r="4210" spans="6:7" x14ac:dyDescent="0.25">
      <c r="F4210" s="17" t="s">
        <v>4885</v>
      </c>
      <c r="G4210" s="17" t="s">
        <v>1257</v>
      </c>
    </row>
    <row r="4211" spans="6:7" x14ac:dyDescent="0.25">
      <c r="F4211" s="17" t="s">
        <v>4886</v>
      </c>
      <c r="G4211" s="17" t="s">
        <v>1257</v>
      </c>
    </row>
    <row r="4212" spans="6:7" x14ac:dyDescent="0.25">
      <c r="F4212" s="17" t="s">
        <v>4887</v>
      </c>
      <c r="G4212" s="17" t="s">
        <v>1257</v>
      </c>
    </row>
    <row r="4213" spans="6:7" x14ac:dyDescent="0.25">
      <c r="F4213" s="17" t="s">
        <v>4888</v>
      </c>
      <c r="G4213" s="17" t="s">
        <v>1257</v>
      </c>
    </row>
    <row r="4214" spans="6:7" x14ac:dyDescent="0.25">
      <c r="F4214" s="17" t="s">
        <v>4889</v>
      </c>
      <c r="G4214" s="17" t="s">
        <v>1257</v>
      </c>
    </row>
    <row r="4215" spans="6:7" x14ac:dyDescent="0.25">
      <c r="F4215" s="17" t="s">
        <v>4890</v>
      </c>
      <c r="G4215" s="17" t="s">
        <v>1257</v>
      </c>
    </row>
    <row r="4216" spans="6:7" x14ac:dyDescent="0.25">
      <c r="F4216" s="17" t="s">
        <v>4891</v>
      </c>
      <c r="G4216" s="17" t="s">
        <v>199</v>
      </c>
    </row>
    <row r="4217" spans="6:7" x14ac:dyDescent="0.25">
      <c r="F4217" s="17" t="s">
        <v>4892</v>
      </c>
      <c r="G4217" s="17" t="s">
        <v>199</v>
      </c>
    </row>
    <row r="4218" spans="6:7" x14ac:dyDescent="0.25">
      <c r="F4218" s="17" t="s">
        <v>795</v>
      </c>
      <c r="G4218" s="17" t="s">
        <v>199</v>
      </c>
    </row>
    <row r="4219" spans="6:7" x14ac:dyDescent="0.25">
      <c r="F4219" s="17" t="s">
        <v>4893</v>
      </c>
      <c r="G4219" s="17" t="s">
        <v>1257</v>
      </c>
    </row>
    <row r="4220" spans="6:7" x14ac:dyDescent="0.25">
      <c r="F4220" s="17" t="s">
        <v>4894</v>
      </c>
      <c r="G4220" s="17" t="s">
        <v>1257</v>
      </c>
    </row>
    <row r="4221" spans="6:7" x14ac:dyDescent="0.25">
      <c r="F4221" s="17" t="s">
        <v>4895</v>
      </c>
      <c r="G4221" s="17" t="s">
        <v>1257</v>
      </c>
    </row>
    <row r="4222" spans="6:7" x14ac:dyDescent="0.25">
      <c r="F4222" s="17" t="s">
        <v>4896</v>
      </c>
      <c r="G4222" s="17" t="s">
        <v>1257</v>
      </c>
    </row>
    <row r="4223" spans="6:7" x14ac:dyDescent="0.25">
      <c r="F4223" s="17" t="s">
        <v>4897</v>
      </c>
      <c r="G4223" s="17" t="s">
        <v>1257</v>
      </c>
    </row>
    <row r="4224" spans="6:7" x14ac:dyDescent="0.25">
      <c r="F4224" s="17" t="s">
        <v>4898</v>
      </c>
      <c r="G4224" s="17" t="s">
        <v>1257</v>
      </c>
    </row>
    <row r="4225" spans="6:7" x14ac:dyDescent="0.25">
      <c r="F4225" s="17" t="s">
        <v>4899</v>
      </c>
      <c r="G4225" s="17" t="s">
        <v>1257</v>
      </c>
    </row>
    <row r="4226" spans="6:7" x14ac:dyDescent="0.25">
      <c r="F4226" s="17" t="s">
        <v>4900</v>
      </c>
      <c r="G4226" s="17" t="s">
        <v>1257</v>
      </c>
    </row>
    <row r="4227" spans="6:7" x14ac:dyDescent="0.25">
      <c r="F4227" s="17" t="s">
        <v>4901</v>
      </c>
      <c r="G4227" s="17" t="s">
        <v>1257</v>
      </c>
    </row>
    <row r="4228" spans="6:7" x14ac:dyDescent="0.25">
      <c r="F4228" s="17" t="s">
        <v>4902</v>
      </c>
      <c r="G4228" s="17" t="s">
        <v>1257</v>
      </c>
    </row>
    <row r="4229" spans="6:7" x14ac:dyDescent="0.25">
      <c r="F4229" s="17" t="s">
        <v>4903</v>
      </c>
      <c r="G4229" s="17" t="s">
        <v>1257</v>
      </c>
    </row>
    <row r="4230" spans="6:7" x14ac:dyDescent="0.25">
      <c r="F4230" s="17" t="s">
        <v>4904</v>
      </c>
      <c r="G4230" s="17" t="s">
        <v>1257</v>
      </c>
    </row>
    <row r="4231" spans="6:7" x14ac:dyDescent="0.25">
      <c r="F4231" s="17" t="s">
        <v>4905</v>
      </c>
      <c r="G4231" s="17" t="s">
        <v>1257</v>
      </c>
    </row>
    <row r="4232" spans="6:7" x14ac:dyDescent="0.25">
      <c r="F4232" s="17" t="s">
        <v>4906</v>
      </c>
      <c r="G4232" s="17" t="s">
        <v>1257</v>
      </c>
    </row>
    <row r="4233" spans="6:7" x14ac:dyDescent="0.25">
      <c r="F4233" s="17" t="s">
        <v>4907</v>
      </c>
      <c r="G4233" s="17" t="s">
        <v>1257</v>
      </c>
    </row>
    <row r="4234" spans="6:7" x14ac:dyDescent="0.25">
      <c r="F4234" s="17" t="s">
        <v>4908</v>
      </c>
      <c r="G4234" s="17" t="s">
        <v>1257</v>
      </c>
    </row>
    <row r="4235" spans="6:7" x14ac:dyDescent="0.25">
      <c r="F4235" s="17" t="s">
        <v>4909</v>
      </c>
      <c r="G4235" s="17" t="s">
        <v>1257</v>
      </c>
    </row>
    <row r="4236" spans="6:7" x14ac:dyDescent="0.25">
      <c r="F4236" s="17" t="s">
        <v>4910</v>
      </c>
      <c r="G4236" s="17" t="s">
        <v>1257</v>
      </c>
    </row>
    <row r="4237" spans="6:7" x14ac:dyDescent="0.25">
      <c r="F4237" s="17" t="s">
        <v>4911</v>
      </c>
      <c r="G4237" s="17" t="s">
        <v>1257</v>
      </c>
    </row>
    <row r="4238" spans="6:7" x14ac:dyDescent="0.25">
      <c r="F4238" s="17" t="s">
        <v>4912</v>
      </c>
      <c r="G4238" s="17" t="s">
        <v>1257</v>
      </c>
    </row>
    <row r="4239" spans="6:7" x14ac:dyDescent="0.25">
      <c r="F4239" s="17" t="s">
        <v>4913</v>
      </c>
      <c r="G4239" s="17" t="s">
        <v>1257</v>
      </c>
    </row>
    <row r="4240" spans="6:7" x14ac:dyDescent="0.25">
      <c r="F4240" s="17" t="s">
        <v>4914</v>
      </c>
      <c r="G4240" s="17" t="s">
        <v>1257</v>
      </c>
    </row>
    <row r="4241" spans="6:7" x14ac:dyDescent="0.25">
      <c r="F4241" s="17" t="s">
        <v>4915</v>
      </c>
      <c r="G4241" s="17" t="s">
        <v>1257</v>
      </c>
    </row>
    <row r="4242" spans="6:7" x14ac:dyDescent="0.25">
      <c r="F4242" s="17" t="s">
        <v>4916</v>
      </c>
      <c r="G4242" s="17" t="s">
        <v>199</v>
      </c>
    </row>
    <row r="4243" spans="6:7" x14ac:dyDescent="0.25">
      <c r="F4243" s="17" t="s">
        <v>4917</v>
      </c>
      <c r="G4243" s="17" t="s">
        <v>1257</v>
      </c>
    </row>
    <row r="4244" spans="6:7" x14ac:dyDescent="0.25">
      <c r="F4244" s="17" t="s">
        <v>4918</v>
      </c>
      <c r="G4244" s="17" t="s">
        <v>199</v>
      </c>
    </row>
    <row r="4245" spans="6:7" x14ac:dyDescent="0.25">
      <c r="F4245" s="17" t="s">
        <v>4919</v>
      </c>
      <c r="G4245" s="17" t="s">
        <v>199</v>
      </c>
    </row>
    <row r="4246" spans="6:7" x14ac:dyDescent="0.25">
      <c r="F4246" s="17" t="s">
        <v>4920</v>
      </c>
      <c r="G4246" s="17" t="s">
        <v>199</v>
      </c>
    </row>
    <row r="4247" spans="6:7" x14ac:dyDescent="0.25">
      <c r="F4247" s="17" t="s">
        <v>945</v>
      </c>
      <c r="G4247" s="17" t="s">
        <v>199</v>
      </c>
    </row>
    <row r="4248" spans="6:7" x14ac:dyDescent="0.25">
      <c r="F4248" s="17" t="s">
        <v>4921</v>
      </c>
      <c r="G4248" s="17" t="s">
        <v>199</v>
      </c>
    </row>
    <row r="4249" spans="6:7" x14ac:dyDescent="0.25">
      <c r="F4249" s="17" t="s">
        <v>4922</v>
      </c>
      <c r="G4249" s="17" t="s">
        <v>1257</v>
      </c>
    </row>
    <row r="4250" spans="6:7" x14ac:dyDescent="0.25">
      <c r="F4250" s="17" t="s">
        <v>4923</v>
      </c>
      <c r="G4250" s="17" t="s">
        <v>199</v>
      </c>
    </row>
    <row r="4251" spans="6:7" x14ac:dyDescent="0.25">
      <c r="F4251" s="17" t="s">
        <v>4924</v>
      </c>
      <c r="G4251" s="17" t="s">
        <v>1257</v>
      </c>
    </row>
    <row r="4252" spans="6:7" x14ac:dyDescent="0.25">
      <c r="F4252" s="17" t="s">
        <v>4925</v>
      </c>
      <c r="G4252" s="17" t="s">
        <v>1257</v>
      </c>
    </row>
    <row r="4253" spans="6:7" x14ac:dyDescent="0.25">
      <c r="F4253" s="17" t="s">
        <v>4926</v>
      </c>
      <c r="G4253" s="17" t="s">
        <v>199</v>
      </c>
    </row>
    <row r="4254" spans="6:7" x14ac:dyDescent="0.25">
      <c r="F4254" s="17" t="s">
        <v>4927</v>
      </c>
      <c r="G4254" s="17" t="s">
        <v>199</v>
      </c>
    </row>
    <row r="4255" spans="6:7" x14ac:dyDescent="0.25">
      <c r="F4255" s="17" t="s">
        <v>4928</v>
      </c>
      <c r="G4255" s="17" t="s">
        <v>199</v>
      </c>
    </row>
    <row r="4256" spans="6:7" x14ac:dyDescent="0.25">
      <c r="F4256" s="17" t="s">
        <v>4929</v>
      </c>
      <c r="G4256" s="17" t="s">
        <v>1257</v>
      </c>
    </row>
    <row r="4257" spans="6:7" x14ac:dyDescent="0.25">
      <c r="F4257" s="17" t="s">
        <v>4930</v>
      </c>
      <c r="G4257" s="17" t="s">
        <v>1257</v>
      </c>
    </row>
    <row r="4258" spans="6:7" x14ac:dyDescent="0.25">
      <c r="F4258" s="17" t="s">
        <v>4931</v>
      </c>
      <c r="G4258" s="17" t="s">
        <v>1257</v>
      </c>
    </row>
    <row r="4259" spans="6:7" x14ac:dyDescent="0.25">
      <c r="F4259" s="17" t="s">
        <v>4932</v>
      </c>
      <c r="G4259" s="17" t="s">
        <v>1257</v>
      </c>
    </row>
    <row r="4260" spans="6:7" x14ac:dyDescent="0.25">
      <c r="F4260" s="17" t="s">
        <v>4933</v>
      </c>
      <c r="G4260" s="17" t="s">
        <v>1257</v>
      </c>
    </row>
    <row r="4261" spans="6:7" x14ac:dyDescent="0.25">
      <c r="F4261" s="17" t="s">
        <v>4934</v>
      </c>
      <c r="G4261" s="17" t="s">
        <v>1257</v>
      </c>
    </row>
    <row r="4262" spans="6:7" x14ac:dyDescent="0.25">
      <c r="F4262" s="17" t="s">
        <v>4935</v>
      </c>
      <c r="G4262" s="17" t="s">
        <v>1257</v>
      </c>
    </row>
    <row r="4263" spans="6:7" x14ac:dyDescent="0.25">
      <c r="F4263" s="17" t="s">
        <v>4936</v>
      </c>
      <c r="G4263" s="17" t="s">
        <v>1257</v>
      </c>
    </row>
    <row r="4264" spans="6:7" x14ac:dyDescent="0.25">
      <c r="F4264" s="17" t="s">
        <v>4937</v>
      </c>
      <c r="G4264" s="17" t="s">
        <v>1257</v>
      </c>
    </row>
    <row r="4265" spans="6:7" x14ac:dyDescent="0.25">
      <c r="F4265" s="17" t="s">
        <v>4938</v>
      </c>
      <c r="G4265" s="17" t="s">
        <v>1257</v>
      </c>
    </row>
    <row r="4266" spans="6:7" x14ac:dyDescent="0.25">
      <c r="F4266" s="17" t="s">
        <v>4939</v>
      </c>
      <c r="G4266" s="17" t="s">
        <v>1257</v>
      </c>
    </row>
    <row r="4267" spans="6:7" x14ac:dyDescent="0.25">
      <c r="F4267" s="17" t="s">
        <v>4940</v>
      </c>
      <c r="G4267" s="17" t="s">
        <v>1257</v>
      </c>
    </row>
    <row r="4268" spans="6:7" x14ac:dyDescent="0.25">
      <c r="F4268" s="17" t="s">
        <v>4941</v>
      </c>
      <c r="G4268" s="17" t="s">
        <v>1257</v>
      </c>
    </row>
    <row r="4269" spans="6:7" x14ac:dyDescent="0.25">
      <c r="F4269" s="17" t="s">
        <v>4942</v>
      </c>
      <c r="G4269" s="17" t="s">
        <v>1257</v>
      </c>
    </row>
    <row r="4270" spans="6:7" x14ac:dyDescent="0.25">
      <c r="F4270" s="17" t="s">
        <v>4943</v>
      </c>
      <c r="G4270" s="17" t="s">
        <v>1257</v>
      </c>
    </row>
    <row r="4271" spans="6:7" x14ac:dyDescent="0.25">
      <c r="F4271" s="17" t="s">
        <v>4944</v>
      </c>
      <c r="G4271" s="17" t="s">
        <v>1257</v>
      </c>
    </row>
    <row r="4272" spans="6:7" x14ac:dyDescent="0.25">
      <c r="F4272" s="17" t="s">
        <v>4945</v>
      </c>
      <c r="G4272" s="17" t="s">
        <v>1257</v>
      </c>
    </row>
    <row r="4273" spans="6:7" x14ac:dyDescent="0.25">
      <c r="F4273" s="17" t="s">
        <v>4946</v>
      </c>
      <c r="G4273" s="17" t="s">
        <v>1257</v>
      </c>
    </row>
    <row r="4274" spans="6:7" x14ac:dyDescent="0.25">
      <c r="F4274" s="17" t="s">
        <v>4947</v>
      </c>
      <c r="G4274" s="17" t="s">
        <v>1257</v>
      </c>
    </row>
    <row r="4275" spans="6:7" x14ac:dyDescent="0.25">
      <c r="F4275" s="17" t="s">
        <v>4948</v>
      </c>
      <c r="G4275" s="17" t="s">
        <v>1257</v>
      </c>
    </row>
    <row r="4276" spans="6:7" x14ac:dyDescent="0.25">
      <c r="F4276" s="17" t="s">
        <v>4949</v>
      </c>
      <c r="G4276" s="17" t="s">
        <v>1257</v>
      </c>
    </row>
    <row r="4277" spans="6:7" x14ac:dyDescent="0.25">
      <c r="F4277" s="17" t="s">
        <v>4950</v>
      </c>
      <c r="G4277" s="17" t="s">
        <v>1257</v>
      </c>
    </row>
    <row r="4278" spans="6:7" x14ac:dyDescent="0.25">
      <c r="F4278" s="17" t="s">
        <v>4951</v>
      </c>
      <c r="G4278" s="17" t="s">
        <v>1257</v>
      </c>
    </row>
    <row r="4279" spans="6:7" x14ac:dyDescent="0.25">
      <c r="F4279" s="17" t="s">
        <v>4952</v>
      </c>
      <c r="G4279" s="17" t="s">
        <v>1257</v>
      </c>
    </row>
    <row r="4280" spans="6:7" x14ac:dyDescent="0.25">
      <c r="F4280" s="17" t="s">
        <v>4953</v>
      </c>
      <c r="G4280" s="17" t="s">
        <v>1257</v>
      </c>
    </row>
    <row r="4281" spans="6:7" x14ac:dyDescent="0.25">
      <c r="F4281" s="17" t="s">
        <v>4954</v>
      </c>
      <c r="G4281" s="17" t="s">
        <v>1257</v>
      </c>
    </row>
    <row r="4282" spans="6:7" x14ac:dyDescent="0.25">
      <c r="F4282" s="17" t="s">
        <v>4955</v>
      </c>
      <c r="G4282" s="17" t="s">
        <v>1257</v>
      </c>
    </row>
    <row r="4283" spans="6:7" x14ac:dyDescent="0.25">
      <c r="F4283" s="17" t="s">
        <v>4956</v>
      </c>
      <c r="G4283" s="17" t="s">
        <v>1257</v>
      </c>
    </row>
    <row r="4284" spans="6:7" x14ac:dyDescent="0.25">
      <c r="F4284" s="17" t="s">
        <v>4957</v>
      </c>
      <c r="G4284" s="17" t="s">
        <v>1257</v>
      </c>
    </row>
    <row r="4285" spans="6:7" x14ac:dyDescent="0.25">
      <c r="F4285" s="17" t="s">
        <v>4958</v>
      </c>
      <c r="G4285" s="17" t="s">
        <v>1627</v>
      </c>
    </row>
    <row r="4286" spans="6:7" x14ac:dyDescent="0.25">
      <c r="F4286" s="17" t="s">
        <v>4959</v>
      </c>
      <c r="G4286" s="17" t="s">
        <v>1627</v>
      </c>
    </row>
    <row r="4287" spans="6:7" x14ac:dyDescent="0.25">
      <c r="F4287" s="17" t="s">
        <v>4960</v>
      </c>
      <c r="G4287" s="17" t="s">
        <v>1627</v>
      </c>
    </row>
    <row r="4288" spans="6:7" x14ac:dyDescent="0.25">
      <c r="F4288" s="17" t="s">
        <v>4961</v>
      </c>
      <c r="G4288" s="17" t="s">
        <v>1627</v>
      </c>
    </row>
    <row r="4289" spans="6:7" x14ac:dyDescent="0.25">
      <c r="F4289" s="17" t="s">
        <v>4962</v>
      </c>
      <c r="G4289" s="17" t="s">
        <v>1627</v>
      </c>
    </row>
    <row r="4290" spans="6:7" x14ac:dyDescent="0.25">
      <c r="F4290" s="17" t="s">
        <v>4963</v>
      </c>
      <c r="G4290" s="17" t="s">
        <v>1627</v>
      </c>
    </row>
    <row r="4291" spans="6:7" x14ac:dyDescent="0.25">
      <c r="F4291" s="17" t="s">
        <v>4964</v>
      </c>
      <c r="G4291" s="17" t="s">
        <v>1627</v>
      </c>
    </row>
    <row r="4292" spans="6:7" x14ac:dyDescent="0.25">
      <c r="F4292" s="17" t="s">
        <v>4965</v>
      </c>
      <c r="G4292" s="17" t="s">
        <v>1627</v>
      </c>
    </row>
    <row r="4293" spans="6:7" x14ac:dyDescent="0.25">
      <c r="F4293" s="17" t="s">
        <v>4966</v>
      </c>
      <c r="G4293" s="17" t="s">
        <v>1627</v>
      </c>
    </row>
    <row r="4294" spans="6:7" x14ac:dyDescent="0.25">
      <c r="F4294" s="17" t="s">
        <v>4967</v>
      </c>
      <c r="G4294" s="17" t="s">
        <v>1627</v>
      </c>
    </row>
    <row r="4295" spans="6:7" x14ac:dyDescent="0.25">
      <c r="F4295" s="17" t="s">
        <v>4968</v>
      </c>
      <c r="G4295" s="17" t="s">
        <v>1627</v>
      </c>
    </row>
    <row r="4296" spans="6:7" x14ac:dyDescent="0.25">
      <c r="F4296" s="17" t="s">
        <v>4969</v>
      </c>
      <c r="G4296" s="17" t="s">
        <v>1627</v>
      </c>
    </row>
    <row r="4297" spans="6:7" x14ac:dyDescent="0.25">
      <c r="F4297" s="17" t="s">
        <v>4970</v>
      </c>
      <c r="G4297" s="17" t="s">
        <v>1627</v>
      </c>
    </row>
    <row r="4298" spans="6:7" x14ac:dyDescent="0.25">
      <c r="F4298" s="17" t="s">
        <v>4971</v>
      </c>
      <c r="G4298" s="17" t="s">
        <v>1627</v>
      </c>
    </row>
    <row r="4299" spans="6:7" x14ac:dyDescent="0.25">
      <c r="F4299" s="17" t="s">
        <v>4972</v>
      </c>
      <c r="G4299" s="17" t="s">
        <v>1627</v>
      </c>
    </row>
    <row r="4300" spans="6:7" x14ac:dyDescent="0.25">
      <c r="F4300" s="17" t="s">
        <v>4973</v>
      </c>
      <c r="G4300" s="17" t="s">
        <v>1627</v>
      </c>
    </row>
    <row r="4301" spans="6:7" x14ac:dyDescent="0.25">
      <c r="F4301" s="17" t="s">
        <v>4974</v>
      </c>
      <c r="G4301" s="17" t="s">
        <v>1627</v>
      </c>
    </row>
    <row r="4302" spans="6:7" x14ac:dyDescent="0.25">
      <c r="F4302" s="17" t="s">
        <v>4975</v>
      </c>
      <c r="G4302" s="17" t="s">
        <v>1627</v>
      </c>
    </row>
    <row r="4303" spans="6:7" x14ac:dyDescent="0.25">
      <c r="F4303" s="17" t="s">
        <v>995</v>
      </c>
      <c r="G4303" s="17" t="s">
        <v>197</v>
      </c>
    </row>
    <row r="4304" spans="6:7" x14ac:dyDescent="0.25">
      <c r="F4304" s="17" t="s">
        <v>4976</v>
      </c>
      <c r="G4304" s="17" t="s">
        <v>197</v>
      </c>
    </row>
    <row r="4305" spans="6:7" x14ac:dyDescent="0.25">
      <c r="F4305" s="17" t="s">
        <v>792</v>
      </c>
      <c r="G4305" s="17" t="s">
        <v>197</v>
      </c>
    </row>
    <row r="4306" spans="6:7" x14ac:dyDescent="0.25">
      <c r="F4306" s="17" t="s">
        <v>782</v>
      </c>
      <c r="G4306" s="17" t="s">
        <v>197</v>
      </c>
    </row>
    <row r="4307" spans="6:7" x14ac:dyDescent="0.25">
      <c r="F4307" s="17" t="s">
        <v>4977</v>
      </c>
      <c r="G4307" s="17" t="s">
        <v>197</v>
      </c>
    </row>
    <row r="4308" spans="6:7" x14ac:dyDescent="0.25">
      <c r="F4308" s="17" t="s">
        <v>4978</v>
      </c>
      <c r="G4308" s="17" t="s">
        <v>197</v>
      </c>
    </row>
    <row r="4309" spans="6:7" x14ac:dyDescent="0.25">
      <c r="F4309" s="17" t="s">
        <v>378</v>
      </c>
      <c r="G4309" s="17" t="s">
        <v>197</v>
      </c>
    </row>
    <row r="4310" spans="6:7" x14ac:dyDescent="0.25">
      <c r="F4310" s="17" t="s">
        <v>4979</v>
      </c>
      <c r="G4310" s="17" t="s">
        <v>197</v>
      </c>
    </row>
    <row r="4311" spans="6:7" x14ac:dyDescent="0.25">
      <c r="F4311" s="17" t="s">
        <v>4980</v>
      </c>
      <c r="G4311" s="17" t="s">
        <v>197</v>
      </c>
    </row>
    <row r="4312" spans="6:7" x14ac:dyDescent="0.25">
      <c r="F4312" s="17" t="s">
        <v>4981</v>
      </c>
      <c r="G4312" s="17" t="s">
        <v>197</v>
      </c>
    </row>
    <row r="4313" spans="6:7" x14ac:dyDescent="0.25">
      <c r="F4313" s="17" t="s">
        <v>996</v>
      </c>
      <c r="G4313" s="17" t="s">
        <v>197</v>
      </c>
    </row>
    <row r="4314" spans="6:7" x14ac:dyDescent="0.25">
      <c r="F4314" s="17" t="s">
        <v>4982</v>
      </c>
      <c r="G4314" s="17" t="s">
        <v>197</v>
      </c>
    </row>
    <row r="4315" spans="6:7" x14ac:dyDescent="0.25">
      <c r="F4315" s="17" t="s">
        <v>4983</v>
      </c>
      <c r="G4315" s="17" t="s">
        <v>1627</v>
      </c>
    </row>
    <row r="4316" spans="6:7" x14ac:dyDescent="0.25">
      <c r="F4316" s="17" t="s">
        <v>4984</v>
      </c>
      <c r="G4316" s="17" t="s">
        <v>1627</v>
      </c>
    </row>
    <row r="4317" spans="6:7" x14ac:dyDescent="0.25">
      <c r="F4317" s="17" t="s">
        <v>4985</v>
      </c>
      <c r="G4317" s="17" t="s">
        <v>1627</v>
      </c>
    </row>
    <row r="4318" spans="6:7" x14ac:dyDescent="0.25">
      <c r="F4318" s="17" t="s">
        <v>4986</v>
      </c>
      <c r="G4318" s="17" t="s">
        <v>1627</v>
      </c>
    </row>
    <row r="4319" spans="6:7" x14ac:dyDescent="0.25">
      <c r="F4319" s="17" t="s">
        <v>4987</v>
      </c>
      <c r="G4319" s="17" t="s">
        <v>1627</v>
      </c>
    </row>
    <row r="4320" spans="6:7" x14ac:dyDescent="0.25">
      <c r="F4320" s="17" t="s">
        <v>4988</v>
      </c>
      <c r="G4320" s="17" t="s">
        <v>1627</v>
      </c>
    </row>
    <row r="4321" spans="6:7" x14ac:dyDescent="0.25">
      <c r="F4321" s="17" t="s">
        <v>4989</v>
      </c>
      <c r="G4321" s="17" t="s">
        <v>1627</v>
      </c>
    </row>
    <row r="4322" spans="6:7" x14ac:dyDescent="0.25">
      <c r="F4322" s="17" t="s">
        <v>4990</v>
      </c>
      <c r="G4322" s="17" t="s">
        <v>1627</v>
      </c>
    </row>
    <row r="4323" spans="6:7" x14ac:dyDescent="0.25">
      <c r="F4323" s="17" t="s">
        <v>4991</v>
      </c>
      <c r="G4323" s="17" t="s">
        <v>1627</v>
      </c>
    </row>
    <row r="4324" spans="6:7" x14ac:dyDescent="0.25">
      <c r="F4324" s="17" t="s">
        <v>4992</v>
      </c>
      <c r="G4324" s="17" t="s">
        <v>1627</v>
      </c>
    </row>
    <row r="4325" spans="6:7" x14ac:dyDescent="0.25">
      <c r="F4325" s="17" t="s">
        <v>4993</v>
      </c>
      <c r="G4325" s="17" t="s">
        <v>1627</v>
      </c>
    </row>
    <row r="4326" spans="6:7" x14ac:dyDescent="0.25">
      <c r="F4326" s="17" t="s">
        <v>4994</v>
      </c>
      <c r="G4326" s="17" t="s">
        <v>1627</v>
      </c>
    </row>
    <row r="4327" spans="6:7" x14ac:dyDescent="0.25">
      <c r="F4327" s="17" t="s">
        <v>4995</v>
      </c>
      <c r="G4327" s="17" t="s">
        <v>1627</v>
      </c>
    </row>
    <row r="4328" spans="6:7" x14ac:dyDescent="0.25">
      <c r="F4328" s="17" t="s">
        <v>4996</v>
      </c>
      <c r="G4328" s="17" t="s">
        <v>1627</v>
      </c>
    </row>
    <row r="4329" spans="6:7" x14ac:dyDescent="0.25">
      <c r="F4329" s="17" t="s">
        <v>4997</v>
      </c>
      <c r="G4329" s="17" t="s">
        <v>1627</v>
      </c>
    </row>
    <row r="4330" spans="6:7" x14ac:dyDescent="0.25">
      <c r="F4330" s="17" t="s">
        <v>4998</v>
      </c>
      <c r="G4330" s="17" t="s">
        <v>1627</v>
      </c>
    </row>
    <row r="4331" spans="6:7" x14ac:dyDescent="0.25">
      <c r="F4331" s="17" t="s">
        <v>4999</v>
      </c>
      <c r="G4331" s="17" t="s">
        <v>197</v>
      </c>
    </row>
    <row r="4332" spans="6:7" x14ac:dyDescent="0.25">
      <c r="F4332" s="17" t="s">
        <v>5000</v>
      </c>
      <c r="G4332" s="17" t="s">
        <v>197</v>
      </c>
    </row>
    <row r="4333" spans="6:7" x14ac:dyDescent="0.25">
      <c r="F4333" s="17" t="s">
        <v>5001</v>
      </c>
      <c r="G4333" s="17" t="s">
        <v>197</v>
      </c>
    </row>
    <row r="4334" spans="6:7" x14ac:dyDescent="0.25">
      <c r="F4334" s="17" t="s">
        <v>5002</v>
      </c>
      <c r="G4334" s="17" t="s">
        <v>197</v>
      </c>
    </row>
    <row r="4335" spans="6:7" x14ac:dyDescent="0.25">
      <c r="F4335" s="17" t="s">
        <v>5003</v>
      </c>
      <c r="G4335" s="17" t="s">
        <v>197</v>
      </c>
    </row>
    <row r="4336" spans="6:7" x14ac:dyDescent="0.25">
      <c r="F4336" s="17" t="s">
        <v>5004</v>
      </c>
      <c r="G4336" s="17" t="s">
        <v>197</v>
      </c>
    </row>
    <row r="4337" spans="6:7" x14ac:dyDescent="0.25">
      <c r="F4337" s="17" t="s">
        <v>5005</v>
      </c>
      <c r="G4337" s="17" t="s">
        <v>197</v>
      </c>
    </row>
    <row r="4338" spans="6:7" x14ac:dyDescent="0.25">
      <c r="F4338" s="17" t="s">
        <v>5006</v>
      </c>
      <c r="G4338" s="17" t="s">
        <v>197</v>
      </c>
    </row>
    <row r="4339" spans="6:7" x14ac:dyDescent="0.25">
      <c r="F4339" s="17" t="s">
        <v>5007</v>
      </c>
      <c r="G4339" s="17" t="s">
        <v>197</v>
      </c>
    </row>
    <row r="4340" spans="6:7" x14ac:dyDescent="0.25">
      <c r="F4340" s="17" t="s">
        <v>5008</v>
      </c>
      <c r="G4340" s="17" t="s">
        <v>197</v>
      </c>
    </row>
    <row r="4341" spans="6:7" x14ac:dyDescent="0.25">
      <c r="F4341" s="17" t="s">
        <v>5009</v>
      </c>
      <c r="G4341" s="17" t="s">
        <v>197</v>
      </c>
    </row>
    <row r="4342" spans="6:7" x14ac:dyDescent="0.25">
      <c r="F4342" s="17" t="s">
        <v>5010</v>
      </c>
      <c r="G4342" s="17" t="s">
        <v>197</v>
      </c>
    </row>
    <row r="4343" spans="6:7" x14ac:dyDescent="0.25">
      <c r="F4343" s="17" t="s">
        <v>5011</v>
      </c>
      <c r="G4343" s="17" t="s">
        <v>197</v>
      </c>
    </row>
    <row r="4344" spans="6:7" x14ac:dyDescent="0.25">
      <c r="F4344" s="17" t="s">
        <v>5012</v>
      </c>
      <c r="G4344" s="17" t="s">
        <v>1627</v>
      </c>
    </row>
    <row r="4345" spans="6:7" x14ac:dyDescent="0.25">
      <c r="F4345" s="17" t="s">
        <v>5013</v>
      </c>
      <c r="G4345" s="17" t="s">
        <v>1627</v>
      </c>
    </row>
    <row r="4346" spans="6:7" x14ac:dyDescent="0.25">
      <c r="F4346" s="17" t="s">
        <v>5014</v>
      </c>
      <c r="G4346" s="17" t="s">
        <v>1627</v>
      </c>
    </row>
    <row r="4347" spans="6:7" x14ac:dyDescent="0.25">
      <c r="F4347" s="17" t="s">
        <v>5015</v>
      </c>
      <c r="G4347" s="17" t="s">
        <v>1627</v>
      </c>
    </row>
    <row r="4348" spans="6:7" x14ac:dyDescent="0.25">
      <c r="F4348" s="17" t="s">
        <v>5016</v>
      </c>
      <c r="G4348" s="17" t="s">
        <v>1627</v>
      </c>
    </row>
    <row r="4349" spans="6:7" x14ac:dyDescent="0.25">
      <c r="F4349" s="17" t="s">
        <v>5017</v>
      </c>
      <c r="G4349" s="17" t="s">
        <v>1627</v>
      </c>
    </row>
    <row r="4350" spans="6:7" x14ac:dyDescent="0.25">
      <c r="F4350" s="17" t="s">
        <v>5018</v>
      </c>
      <c r="G4350" s="17" t="s">
        <v>1627</v>
      </c>
    </row>
    <row r="4351" spans="6:7" x14ac:dyDescent="0.25">
      <c r="F4351" s="17" t="s">
        <v>5019</v>
      </c>
      <c r="G4351" s="17" t="s">
        <v>1627</v>
      </c>
    </row>
    <row r="4352" spans="6:7" x14ac:dyDescent="0.25">
      <c r="F4352" s="17" t="s">
        <v>5020</v>
      </c>
      <c r="G4352" s="17" t="s">
        <v>1627</v>
      </c>
    </row>
    <row r="4353" spans="6:7" x14ac:dyDescent="0.25">
      <c r="F4353" s="17" t="s">
        <v>5021</v>
      </c>
      <c r="G4353" s="17" t="s">
        <v>1627</v>
      </c>
    </row>
    <row r="4354" spans="6:7" x14ac:dyDescent="0.25">
      <c r="F4354" s="17" t="s">
        <v>5022</v>
      </c>
      <c r="G4354" s="17" t="s">
        <v>1627</v>
      </c>
    </row>
    <row r="4355" spans="6:7" x14ac:dyDescent="0.25">
      <c r="F4355" s="17" t="s">
        <v>5023</v>
      </c>
      <c r="G4355" s="17" t="s">
        <v>1627</v>
      </c>
    </row>
    <row r="4356" spans="6:7" x14ac:dyDescent="0.25">
      <c r="F4356" s="17" t="s">
        <v>5024</v>
      </c>
      <c r="G4356" s="17" t="s">
        <v>1627</v>
      </c>
    </row>
    <row r="4357" spans="6:7" x14ac:dyDescent="0.25">
      <c r="F4357" s="17" t="s">
        <v>5025</v>
      </c>
      <c r="G4357" s="17" t="s">
        <v>1627</v>
      </c>
    </row>
    <row r="4358" spans="6:7" x14ac:dyDescent="0.25">
      <c r="F4358" s="17" t="s">
        <v>5026</v>
      </c>
      <c r="G4358" s="17" t="s">
        <v>1627</v>
      </c>
    </row>
    <row r="4359" spans="6:7" x14ac:dyDescent="0.25">
      <c r="F4359" s="17" t="s">
        <v>5027</v>
      </c>
      <c r="G4359" s="17" t="s">
        <v>217</v>
      </c>
    </row>
    <row r="4360" spans="6:7" x14ac:dyDescent="0.25">
      <c r="F4360" s="17" t="s">
        <v>5028</v>
      </c>
      <c r="G4360" s="17" t="s">
        <v>217</v>
      </c>
    </row>
    <row r="4361" spans="6:7" x14ac:dyDescent="0.25">
      <c r="F4361" s="17" t="s">
        <v>5029</v>
      </c>
      <c r="G4361" s="17" t="s">
        <v>217</v>
      </c>
    </row>
    <row r="4362" spans="6:7" x14ac:dyDescent="0.25">
      <c r="F4362" s="17" t="s">
        <v>5030</v>
      </c>
      <c r="G4362" s="17" t="s">
        <v>217</v>
      </c>
    </row>
    <row r="4363" spans="6:7" x14ac:dyDescent="0.25">
      <c r="F4363" s="17" t="s">
        <v>764</v>
      </c>
      <c r="G4363" s="17" t="s">
        <v>217</v>
      </c>
    </row>
    <row r="4364" spans="6:7" x14ac:dyDescent="0.25">
      <c r="F4364" s="17" t="s">
        <v>5031</v>
      </c>
      <c r="G4364" s="17" t="s">
        <v>217</v>
      </c>
    </row>
    <row r="4365" spans="6:7" x14ac:dyDescent="0.25">
      <c r="F4365" s="17" t="s">
        <v>5032</v>
      </c>
      <c r="G4365" s="17" t="s">
        <v>217</v>
      </c>
    </row>
    <row r="4366" spans="6:7" x14ac:dyDescent="0.25">
      <c r="F4366" s="17" t="s">
        <v>5033</v>
      </c>
      <c r="G4366" s="17" t="s">
        <v>217</v>
      </c>
    </row>
    <row r="4367" spans="6:7" x14ac:dyDescent="0.25">
      <c r="F4367" s="17" t="s">
        <v>5034</v>
      </c>
      <c r="G4367" s="17" t="s">
        <v>217</v>
      </c>
    </row>
    <row r="4368" spans="6:7" x14ac:dyDescent="0.25">
      <c r="F4368" s="17" t="s">
        <v>5035</v>
      </c>
      <c r="G4368" s="17" t="s">
        <v>217</v>
      </c>
    </row>
    <row r="4369" spans="6:7" x14ac:dyDescent="0.25">
      <c r="F4369" s="17" t="s">
        <v>756</v>
      </c>
      <c r="G4369" s="17" t="s">
        <v>217</v>
      </c>
    </row>
    <row r="4370" spans="6:7" x14ac:dyDescent="0.25">
      <c r="F4370" s="17" t="s">
        <v>5036</v>
      </c>
      <c r="G4370" s="17" t="s">
        <v>217</v>
      </c>
    </row>
    <row r="4371" spans="6:7" x14ac:dyDescent="0.25">
      <c r="F4371" s="17" t="s">
        <v>5037</v>
      </c>
      <c r="G4371" s="17" t="s">
        <v>217</v>
      </c>
    </row>
    <row r="4372" spans="6:7" x14ac:dyDescent="0.25">
      <c r="F4372" s="17" t="s">
        <v>5038</v>
      </c>
      <c r="G4372" s="17" t="s">
        <v>217</v>
      </c>
    </row>
    <row r="4373" spans="6:7" x14ac:dyDescent="0.25">
      <c r="F4373" s="17" t="s">
        <v>5039</v>
      </c>
      <c r="G4373" s="17" t="s">
        <v>217</v>
      </c>
    </row>
    <row r="4374" spans="6:7" x14ac:dyDescent="0.25">
      <c r="F4374" s="17" t="s">
        <v>5040</v>
      </c>
      <c r="G4374" s="17" t="s">
        <v>217</v>
      </c>
    </row>
    <row r="4375" spans="6:7" x14ac:dyDescent="0.25">
      <c r="F4375" s="17" t="s">
        <v>5041</v>
      </c>
      <c r="G4375" s="17" t="s">
        <v>217</v>
      </c>
    </row>
    <row r="4376" spans="6:7" x14ac:dyDescent="0.25">
      <c r="F4376" s="17" t="s">
        <v>5042</v>
      </c>
      <c r="G4376" s="17" t="s">
        <v>217</v>
      </c>
    </row>
    <row r="4377" spans="6:7" x14ac:dyDescent="0.25">
      <c r="F4377" s="17" t="s">
        <v>5043</v>
      </c>
      <c r="G4377" s="17" t="s">
        <v>217</v>
      </c>
    </row>
    <row r="4378" spans="6:7" x14ac:dyDescent="0.25">
      <c r="F4378" s="17" t="s">
        <v>5044</v>
      </c>
      <c r="G4378" s="17" t="s">
        <v>217</v>
      </c>
    </row>
    <row r="4379" spans="6:7" x14ac:dyDescent="0.25">
      <c r="F4379" s="17" t="s">
        <v>5045</v>
      </c>
      <c r="G4379" s="17" t="s">
        <v>217</v>
      </c>
    </row>
    <row r="4380" spans="6:7" x14ac:dyDescent="0.25">
      <c r="F4380" s="17" t="s">
        <v>5046</v>
      </c>
      <c r="G4380" s="17" t="s">
        <v>217</v>
      </c>
    </row>
    <row r="4381" spans="6:7" x14ac:dyDescent="0.25">
      <c r="F4381" s="17" t="s">
        <v>5047</v>
      </c>
      <c r="G4381" s="17" t="s">
        <v>217</v>
      </c>
    </row>
    <row r="4382" spans="6:7" x14ac:dyDescent="0.25">
      <c r="F4382" s="17" t="s">
        <v>5048</v>
      </c>
      <c r="G4382" s="17" t="s">
        <v>217</v>
      </c>
    </row>
    <row r="4383" spans="6:7" x14ac:dyDescent="0.25">
      <c r="F4383" s="17" t="s">
        <v>5049</v>
      </c>
      <c r="G4383" s="17" t="s">
        <v>217</v>
      </c>
    </row>
    <row r="4384" spans="6:7" x14ac:dyDescent="0.25">
      <c r="F4384" s="17" t="s">
        <v>5050</v>
      </c>
      <c r="G4384" s="17" t="s">
        <v>217</v>
      </c>
    </row>
    <row r="4385" spans="6:7" x14ac:dyDescent="0.25">
      <c r="F4385" s="17" t="s">
        <v>5051</v>
      </c>
      <c r="G4385" s="17" t="s">
        <v>217</v>
      </c>
    </row>
    <row r="4386" spans="6:7" x14ac:dyDescent="0.25">
      <c r="F4386" s="17" t="s">
        <v>5052</v>
      </c>
      <c r="G4386" s="17" t="s">
        <v>217</v>
      </c>
    </row>
    <row r="4387" spans="6:7" x14ac:dyDescent="0.25">
      <c r="F4387" s="17" t="s">
        <v>5053</v>
      </c>
      <c r="G4387" s="17" t="s">
        <v>217</v>
      </c>
    </row>
    <row r="4388" spans="6:7" x14ac:dyDescent="0.25">
      <c r="F4388" s="17" t="s">
        <v>5054</v>
      </c>
      <c r="G4388" s="17" t="s">
        <v>217</v>
      </c>
    </row>
    <row r="4389" spans="6:7" x14ac:dyDescent="0.25">
      <c r="F4389" s="17" t="s">
        <v>5055</v>
      </c>
      <c r="G4389" s="17" t="s">
        <v>217</v>
      </c>
    </row>
    <row r="4390" spans="6:7" x14ac:dyDescent="0.25">
      <c r="F4390" s="17" t="s">
        <v>5056</v>
      </c>
      <c r="G4390" s="17" t="s">
        <v>217</v>
      </c>
    </row>
    <row r="4391" spans="6:7" x14ac:dyDescent="0.25">
      <c r="F4391" s="17" t="s">
        <v>5057</v>
      </c>
      <c r="G4391" s="17" t="s">
        <v>217</v>
      </c>
    </row>
    <row r="4392" spans="6:7" x14ac:dyDescent="0.25">
      <c r="F4392" s="17" t="s">
        <v>5058</v>
      </c>
      <c r="G4392" s="17" t="s">
        <v>217</v>
      </c>
    </row>
    <row r="4393" spans="6:7" x14ac:dyDescent="0.25">
      <c r="F4393" s="17" t="s">
        <v>5059</v>
      </c>
      <c r="G4393" s="17" t="s">
        <v>217</v>
      </c>
    </row>
    <row r="4394" spans="6:7" x14ac:dyDescent="0.25">
      <c r="F4394" s="17" t="s">
        <v>5060</v>
      </c>
      <c r="G4394" s="17" t="s">
        <v>217</v>
      </c>
    </row>
    <row r="4395" spans="6:7" x14ac:dyDescent="0.25">
      <c r="F4395" s="17" t="s">
        <v>5061</v>
      </c>
      <c r="G4395" s="17" t="s">
        <v>217</v>
      </c>
    </row>
    <row r="4396" spans="6:7" x14ac:dyDescent="0.25">
      <c r="F4396" s="17" t="s">
        <v>5062</v>
      </c>
      <c r="G4396" s="17" t="s">
        <v>217</v>
      </c>
    </row>
    <row r="4397" spans="6:7" x14ac:dyDescent="0.25">
      <c r="F4397" s="17" t="s">
        <v>5063</v>
      </c>
      <c r="G4397" s="17" t="s">
        <v>217</v>
      </c>
    </row>
    <row r="4398" spans="6:7" x14ac:dyDescent="0.25">
      <c r="F4398" s="17" t="s">
        <v>5064</v>
      </c>
      <c r="G4398" s="17" t="s">
        <v>217</v>
      </c>
    </row>
    <row r="4399" spans="6:7" x14ac:dyDescent="0.25">
      <c r="F4399" s="17" t="s">
        <v>5065</v>
      </c>
      <c r="G4399" s="17" t="s">
        <v>217</v>
      </c>
    </row>
    <row r="4400" spans="6:7" x14ac:dyDescent="0.25">
      <c r="F4400" s="17" t="s">
        <v>5066</v>
      </c>
      <c r="G4400" s="17" t="s">
        <v>217</v>
      </c>
    </row>
    <row r="4401" spans="6:7" x14ac:dyDescent="0.25">
      <c r="F4401" s="17" t="s">
        <v>5067</v>
      </c>
      <c r="G4401" s="17" t="s">
        <v>217</v>
      </c>
    </row>
    <row r="4402" spans="6:7" x14ac:dyDescent="0.25">
      <c r="F4402" s="17" t="s">
        <v>5068</v>
      </c>
      <c r="G4402" s="17" t="s">
        <v>217</v>
      </c>
    </row>
    <row r="4403" spans="6:7" x14ac:dyDescent="0.25">
      <c r="F4403" s="17" t="s">
        <v>5069</v>
      </c>
      <c r="G4403" s="17" t="s">
        <v>217</v>
      </c>
    </row>
    <row r="4404" spans="6:7" x14ac:dyDescent="0.25">
      <c r="F4404" s="17" t="s">
        <v>733</v>
      </c>
      <c r="G4404" s="17" t="s">
        <v>217</v>
      </c>
    </row>
    <row r="4405" spans="6:7" x14ac:dyDescent="0.25">
      <c r="F4405" s="17" t="s">
        <v>5070</v>
      </c>
      <c r="G4405" s="17" t="s">
        <v>217</v>
      </c>
    </row>
    <row r="4406" spans="6:7" x14ac:dyDescent="0.25">
      <c r="F4406" s="17" t="s">
        <v>5071</v>
      </c>
      <c r="G4406" s="17" t="s">
        <v>217</v>
      </c>
    </row>
    <row r="4407" spans="6:7" x14ac:dyDescent="0.25">
      <c r="F4407" s="17" t="s">
        <v>5072</v>
      </c>
      <c r="G4407" s="17" t="s">
        <v>217</v>
      </c>
    </row>
    <row r="4408" spans="6:7" x14ac:dyDescent="0.25">
      <c r="F4408" s="17" t="s">
        <v>5073</v>
      </c>
      <c r="G4408" s="17" t="s">
        <v>217</v>
      </c>
    </row>
    <row r="4409" spans="6:7" x14ac:dyDescent="0.25">
      <c r="F4409" s="17" t="s">
        <v>5074</v>
      </c>
      <c r="G4409" s="17" t="s">
        <v>217</v>
      </c>
    </row>
    <row r="4410" spans="6:7" x14ac:dyDescent="0.25">
      <c r="F4410" s="17" t="s">
        <v>5075</v>
      </c>
      <c r="G4410" s="17" t="s">
        <v>217</v>
      </c>
    </row>
    <row r="4411" spans="6:7" x14ac:dyDescent="0.25">
      <c r="F4411" s="17" t="s">
        <v>5076</v>
      </c>
      <c r="G4411" s="17" t="s">
        <v>217</v>
      </c>
    </row>
    <row r="4412" spans="6:7" x14ac:dyDescent="0.25">
      <c r="F4412" s="17" t="s">
        <v>5077</v>
      </c>
      <c r="G4412" s="17" t="s">
        <v>217</v>
      </c>
    </row>
    <row r="4413" spans="6:7" x14ac:dyDescent="0.25">
      <c r="F4413" s="17" t="s">
        <v>5078</v>
      </c>
      <c r="G4413" s="17" t="s">
        <v>217</v>
      </c>
    </row>
    <row r="4414" spans="6:7" x14ac:dyDescent="0.25">
      <c r="F4414" s="17" t="s">
        <v>5079</v>
      </c>
      <c r="G4414" s="17" t="s">
        <v>217</v>
      </c>
    </row>
    <row r="4415" spans="6:7" x14ac:dyDescent="0.25">
      <c r="F4415" s="17" t="s">
        <v>5080</v>
      </c>
      <c r="G4415" s="17" t="s">
        <v>217</v>
      </c>
    </row>
    <row r="4416" spans="6:7" x14ac:dyDescent="0.25">
      <c r="F4416" s="17" t="s">
        <v>5081</v>
      </c>
      <c r="G4416" s="17" t="s">
        <v>217</v>
      </c>
    </row>
    <row r="4417" spans="6:7" x14ac:dyDescent="0.25">
      <c r="F4417" s="17" t="s">
        <v>5082</v>
      </c>
      <c r="G4417" s="17" t="s">
        <v>217</v>
      </c>
    </row>
    <row r="4418" spans="6:7" x14ac:dyDescent="0.25">
      <c r="F4418" s="17" t="s">
        <v>5083</v>
      </c>
      <c r="G4418" s="17" t="s">
        <v>217</v>
      </c>
    </row>
    <row r="4419" spans="6:7" x14ac:dyDescent="0.25">
      <c r="F4419" s="17" t="s">
        <v>5084</v>
      </c>
      <c r="G4419" s="17" t="s">
        <v>217</v>
      </c>
    </row>
    <row r="4420" spans="6:7" x14ac:dyDescent="0.25">
      <c r="F4420" s="17" t="s">
        <v>5085</v>
      </c>
      <c r="G4420" s="17" t="s">
        <v>217</v>
      </c>
    </row>
    <row r="4421" spans="6:7" x14ac:dyDescent="0.25">
      <c r="F4421" s="17" t="s">
        <v>5086</v>
      </c>
      <c r="G4421" s="17" t="s">
        <v>217</v>
      </c>
    </row>
    <row r="4422" spans="6:7" x14ac:dyDescent="0.25">
      <c r="F4422" s="17" t="s">
        <v>5087</v>
      </c>
      <c r="G4422" s="17" t="s">
        <v>217</v>
      </c>
    </row>
    <row r="4423" spans="6:7" x14ac:dyDescent="0.25">
      <c r="F4423" s="17" t="s">
        <v>5088</v>
      </c>
      <c r="G4423" s="17" t="s">
        <v>217</v>
      </c>
    </row>
    <row r="4424" spans="6:7" x14ac:dyDescent="0.25">
      <c r="F4424" s="17" t="s">
        <v>975</v>
      </c>
      <c r="G4424" s="17" t="s">
        <v>217</v>
      </c>
    </row>
    <row r="4425" spans="6:7" x14ac:dyDescent="0.25">
      <c r="F4425" s="17" t="s">
        <v>5089</v>
      </c>
      <c r="G4425" s="17" t="s">
        <v>217</v>
      </c>
    </row>
    <row r="4426" spans="6:7" x14ac:dyDescent="0.25">
      <c r="F4426" s="17" t="s">
        <v>5090</v>
      </c>
      <c r="G4426" s="17" t="s">
        <v>217</v>
      </c>
    </row>
    <row r="4427" spans="6:7" x14ac:dyDescent="0.25">
      <c r="F4427" s="17" t="s">
        <v>812</v>
      </c>
      <c r="G4427" s="17" t="s">
        <v>217</v>
      </c>
    </row>
    <row r="4428" spans="6:7" x14ac:dyDescent="0.25">
      <c r="F4428" s="17" t="s">
        <v>5091</v>
      </c>
      <c r="G4428" s="17" t="s">
        <v>217</v>
      </c>
    </row>
    <row r="4429" spans="6:7" x14ac:dyDescent="0.25">
      <c r="F4429" s="17" t="s">
        <v>5092</v>
      </c>
      <c r="G4429" s="17" t="s">
        <v>217</v>
      </c>
    </row>
    <row r="4430" spans="6:7" x14ac:dyDescent="0.25">
      <c r="F4430" s="17" t="s">
        <v>5093</v>
      </c>
      <c r="G4430" s="17" t="s">
        <v>217</v>
      </c>
    </row>
    <row r="4431" spans="6:7" x14ac:dyDescent="0.25">
      <c r="F4431" s="17" t="s">
        <v>5094</v>
      </c>
      <c r="G4431" s="17" t="s">
        <v>217</v>
      </c>
    </row>
    <row r="4432" spans="6:7" x14ac:dyDescent="0.25">
      <c r="F4432" s="17" t="s">
        <v>911</v>
      </c>
      <c r="G4432" s="17" t="s">
        <v>217</v>
      </c>
    </row>
    <row r="4433" spans="6:7" x14ac:dyDescent="0.25">
      <c r="F4433" s="17" t="s">
        <v>5095</v>
      </c>
      <c r="G4433" s="17" t="s">
        <v>217</v>
      </c>
    </row>
    <row r="4434" spans="6:7" x14ac:dyDescent="0.25">
      <c r="F4434" s="17" t="s">
        <v>5096</v>
      </c>
      <c r="G4434" s="17" t="s">
        <v>217</v>
      </c>
    </row>
    <row r="4435" spans="6:7" x14ac:dyDescent="0.25">
      <c r="F4435" s="17" t="s">
        <v>5097</v>
      </c>
      <c r="G4435" s="17" t="s">
        <v>217</v>
      </c>
    </row>
    <row r="4436" spans="6:7" x14ac:dyDescent="0.25">
      <c r="F4436" s="17" t="s">
        <v>5098</v>
      </c>
      <c r="G4436" s="17" t="s">
        <v>217</v>
      </c>
    </row>
    <row r="4437" spans="6:7" x14ac:dyDescent="0.25">
      <c r="F4437" s="17" t="s">
        <v>5099</v>
      </c>
      <c r="G4437" s="17" t="s">
        <v>217</v>
      </c>
    </row>
    <row r="4438" spans="6:7" x14ac:dyDescent="0.25">
      <c r="F4438" s="17" t="s">
        <v>5100</v>
      </c>
      <c r="G4438" s="17" t="s">
        <v>217</v>
      </c>
    </row>
    <row r="4439" spans="6:7" x14ac:dyDescent="0.25">
      <c r="F4439" s="17" t="s">
        <v>5101</v>
      </c>
      <c r="G4439" s="17" t="s">
        <v>217</v>
      </c>
    </row>
    <row r="4440" spans="6:7" x14ac:dyDescent="0.25">
      <c r="F4440" s="17" t="s">
        <v>5102</v>
      </c>
      <c r="G4440" s="17" t="s">
        <v>217</v>
      </c>
    </row>
    <row r="4441" spans="6:7" x14ac:dyDescent="0.25">
      <c r="F4441" s="17" t="s">
        <v>5103</v>
      </c>
      <c r="G4441" s="17" t="s">
        <v>199</v>
      </c>
    </row>
    <row r="4442" spans="6:7" x14ac:dyDescent="0.25">
      <c r="F4442" s="17" t="s">
        <v>5104</v>
      </c>
      <c r="G4442" s="17" t="s">
        <v>199</v>
      </c>
    </row>
    <row r="4443" spans="6:7" x14ac:dyDescent="0.25">
      <c r="F4443" s="17" t="s">
        <v>5105</v>
      </c>
      <c r="G4443" s="17" t="s">
        <v>199</v>
      </c>
    </row>
    <row r="4444" spans="6:7" x14ac:dyDescent="0.25">
      <c r="F4444" s="17" t="s">
        <v>5106</v>
      </c>
      <c r="G4444" s="17" t="s">
        <v>199</v>
      </c>
    </row>
    <row r="4445" spans="6:7" x14ac:dyDescent="0.25">
      <c r="F4445" s="17" t="s">
        <v>515</v>
      </c>
      <c r="G4445" s="17" t="s">
        <v>217</v>
      </c>
    </row>
    <row r="4446" spans="6:7" x14ac:dyDescent="0.25">
      <c r="F4446" s="17" t="s">
        <v>455</v>
      </c>
      <c r="G4446" s="17" t="s">
        <v>217</v>
      </c>
    </row>
    <row r="4447" spans="6:7" x14ac:dyDescent="0.25">
      <c r="F4447" s="17" t="s">
        <v>384</v>
      </c>
      <c r="G4447" s="17" t="s">
        <v>217</v>
      </c>
    </row>
    <row r="4448" spans="6:7" x14ac:dyDescent="0.25">
      <c r="F4448" s="17" t="s">
        <v>5107</v>
      </c>
      <c r="G4448" s="17" t="s">
        <v>217</v>
      </c>
    </row>
    <row r="4449" spans="6:7" x14ac:dyDescent="0.25">
      <c r="F4449" s="17" t="s">
        <v>5108</v>
      </c>
      <c r="G4449" s="17" t="s">
        <v>217</v>
      </c>
    </row>
    <row r="4450" spans="6:7" x14ac:dyDescent="0.25">
      <c r="F4450" s="17" t="s">
        <v>958</v>
      </c>
      <c r="G4450" s="17" t="s">
        <v>217</v>
      </c>
    </row>
    <row r="4451" spans="6:7" x14ac:dyDescent="0.25">
      <c r="F4451" s="17" t="s">
        <v>5109</v>
      </c>
      <c r="G4451" s="17" t="s">
        <v>217</v>
      </c>
    </row>
    <row r="4452" spans="6:7" x14ac:dyDescent="0.25">
      <c r="F4452" s="17" t="s">
        <v>5110</v>
      </c>
      <c r="G4452" s="17" t="s">
        <v>217</v>
      </c>
    </row>
    <row r="4453" spans="6:7" x14ac:dyDescent="0.25">
      <c r="F4453" s="17" t="s">
        <v>5111</v>
      </c>
      <c r="G4453" s="17" t="s">
        <v>217</v>
      </c>
    </row>
    <row r="4454" spans="6:7" x14ac:dyDescent="0.25">
      <c r="F4454" s="17" t="s">
        <v>910</v>
      </c>
      <c r="G4454" s="17" t="s">
        <v>217</v>
      </c>
    </row>
    <row r="4455" spans="6:7" x14ac:dyDescent="0.25">
      <c r="F4455" s="17" t="s">
        <v>5112</v>
      </c>
      <c r="G4455" s="17" t="s">
        <v>217</v>
      </c>
    </row>
    <row r="4456" spans="6:7" x14ac:dyDescent="0.25">
      <c r="F4456" s="17" t="s">
        <v>5113</v>
      </c>
      <c r="G4456" s="17" t="s">
        <v>217</v>
      </c>
    </row>
    <row r="4457" spans="6:7" x14ac:dyDescent="0.25">
      <c r="F4457" s="17" t="s">
        <v>5114</v>
      </c>
      <c r="G4457" s="17" t="s">
        <v>217</v>
      </c>
    </row>
    <row r="4458" spans="6:7" x14ac:dyDescent="0.25">
      <c r="F4458" s="17" t="s">
        <v>5115</v>
      </c>
      <c r="G4458" s="17" t="s">
        <v>217</v>
      </c>
    </row>
    <row r="4459" spans="6:7" x14ac:dyDescent="0.25">
      <c r="F4459" s="17" t="s">
        <v>5116</v>
      </c>
      <c r="G4459" s="17" t="s">
        <v>217</v>
      </c>
    </row>
    <row r="4460" spans="6:7" x14ac:dyDescent="0.25">
      <c r="F4460" s="17" t="s">
        <v>5117</v>
      </c>
      <c r="G4460" s="17" t="s">
        <v>217</v>
      </c>
    </row>
    <row r="4461" spans="6:7" x14ac:dyDescent="0.25">
      <c r="F4461" s="17" t="s">
        <v>5118</v>
      </c>
      <c r="G4461" s="17" t="s">
        <v>217</v>
      </c>
    </row>
    <row r="4462" spans="6:7" x14ac:dyDescent="0.25">
      <c r="F4462" s="17" t="s">
        <v>5119</v>
      </c>
      <c r="G4462" s="17" t="s">
        <v>217</v>
      </c>
    </row>
    <row r="4463" spans="6:7" x14ac:dyDescent="0.25">
      <c r="F4463" s="17" t="s">
        <v>5120</v>
      </c>
      <c r="G4463" s="17" t="s">
        <v>217</v>
      </c>
    </row>
    <row r="4464" spans="6:7" x14ac:dyDescent="0.25">
      <c r="F4464" s="17" t="s">
        <v>677</v>
      </c>
      <c r="G4464" s="17" t="s">
        <v>217</v>
      </c>
    </row>
    <row r="4465" spans="6:7" x14ac:dyDescent="0.25">
      <c r="F4465" s="17" t="s">
        <v>389</v>
      </c>
      <c r="G4465" s="17" t="s">
        <v>217</v>
      </c>
    </row>
    <row r="4466" spans="6:7" x14ac:dyDescent="0.25">
      <c r="F4466" s="17" t="s">
        <v>629</v>
      </c>
      <c r="G4466" s="17" t="s">
        <v>217</v>
      </c>
    </row>
    <row r="4467" spans="6:7" x14ac:dyDescent="0.25">
      <c r="F4467" s="17" t="s">
        <v>5121</v>
      </c>
      <c r="G4467" s="17" t="s">
        <v>217</v>
      </c>
    </row>
    <row r="4468" spans="6:7" x14ac:dyDescent="0.25">
      <c r="F4468" s="17" t="s">
        <v>5122</v>
      </c>
      <c r="G4468" s="17" t="s">
        <v>217</v>
      </c>
    </row>
    <row r="4469" spans="6:7" x14ac:dyDescent="0.25">
      <c r="F4469" s="17" t="s">
        <v>944</v>
      </c>
      <c r="G4469" s="17" t="s">
        <v>217</v>
      </c>
    </row>
    <row r="4470" spans="6:7" x14ac:dyDescent="0.25">
      <c r="F4470" s="17" t="s">
        <v>948</v>
      </c>
      <c r="G4470" s="17" t="s">
        <v>217</v>
      </c>
    </row>
    <row r="4471" spans="6:7" x14ac:dyDescent="0.25">
      <c r="F4471" s="17" t="s">
        <v>5123</v>
      </c>
      <c r="G4471" s="17" t="s">
        <v>217</v>
      </c>
    </row>
    <row r="4472" spans="6:7" x14ac:dyDescent="0.25">
      <c r="F4472" s="17" t="s">
        <v>5124</v>
      </c>
      <c r="G4472" s="17" t="s">
        <v>217</v>
      </c>
    </row>
    <row r="4473" spans="6:7" x14ac:dyDescent="0.25">
      <c r="F4473" s="17" t="s">
        <v>890</v>
      </c>
      <c r="G4473" s="17" t="s">
        <v>217</v>
      </c>
    </row>
    <row r="4474" spans="6:7" x14ac:dyDescent="0.25">
      <c r="F4474" s="17" t="s">
        <v>5125</v>
      </c>
      <c r="G4474" s="17" t="s">
        <v>217</v>
      </c>
    </row>
    <row r="4475" spans="6:7" x14ac:dyDescent="0.25">
      <c r="F4475" s="17" t="s">
        <v>5126</v>
      </c>
      <c r="G4475" s="17" t="s">
        <v>217</v>
      </c>
    </row>
    <row r="4476" spans="6:7" x14ac:dyDescent="0.25">
      <c r="F4476" s="17" t="s">
        <v>5127</v>
      </c>
      <c r="G4476" s="17" t="s">
        <v>217</v>
      </c>
    </row>
    <row r="4477" spans="6:7" x14ac:dyDescent="0.25">
      <c r="F4477" s="17" t="s">
        <v>5128</v>
      </c>
      <c r="G4477" s="17" t="s">
        <v>217</v>
      </c>
    </row>
    <row r="4478" spans="6:7" x14ac:dyDescent="0.25">
      <c r="F4478" s="17" t="s">
        <v>5129</v>
      </c>
      <c r="G4478" s="17" t="s">
        <v>217</v>
      </c>
    </row>
    <row r="4479" spans="6:7" x14ac:dyDescent="0.25">
      <c r="F4479" s="17" t="s">
        <v>5130</v>
      </c>
      <c r="G4479" s="17" t="s">
        <v>217</v>
      </c>
    </row>
    <row r="4480" spans="6:7" x14ac:dyDescent="0.25">
      <c r="F4480" s="17" t="s">
        <v>5131</v>
      </c>
      <c r="G4480" s="17" t="s">
        <v>217</v>
      </c>
    </row>
    <row r="4481" spans="6:7" x14ac:dyDescent="0.25">
      <c r="F4481" s="17" t="s">
        <v>5132</v>
      </c>
      <c r="G4481" s="17" t="s">
        <v>217</v>
      </c>
    </row>
    <row r="4482" spans="6:7" x14ac:dyDescent="0.25">
      <c r="F4482" s="17" t="s">
        <v>5133</v>
      </c>
      <c r="G4482" s="17" t="s">
        <v>217</v>
      </c>
    </row>
    <row r="4483" spans="6:7" x14ac:dyDescent="0.25">
      <c r="F4483" s="17" t="s">
        <v>5134</v>
      </c>
      <c r="G4483" s="17" t="s">
        <v>217</v>
      </c>
    </row>
    <row r="4484" spans="6:7" x14ac:dyDescent="0.25">
      <c r="F4484" s="17" t="s">
        <v>5135</v>
      </c>
      <c r="G4484" s="17" t="s">
        <v>217</v>
      </c>
    </row>
    <row r="4485" spans="6:7" x14ac:dyDescent="0.25">
      <c r="F4485" s="17" t="s">
        <v>5136</v>
      </c>
      <c r="G4485" s="17" t="s">
        <v>217</v>
      </c>
    </row>
    <row r="4486" spans="6:7" x14ac:dyDescent="0.25">
      <c r="F4486" s="17" t="s">
        <v>5137</v>
      </c>
      <c r="G4486" s="17" t="s">
        <v>217</v>
      </c>
    </row>
    <row r="4487" spans="6:7" x14ac:dyDescent="0.25">
      <c r="F4487" s="17" t="s">
        <v>739</v>
      </c>
      <c r="G4487" s="17" t="s">
        <v>217</v>
      </c>
    </row>
    <row r="4488" spans="6:7" x14ac:dyDescent="0.25">
      <c r="F4488" s="17" t="s">
        <v>5138</v>
      </c>
      <c r="G4488" s="17" t="s">
        <v>217</v>
      </c>
    </row>
    <row r="4489" spans="6:7" x14ac:dyDescent="0.25">
      <c r="F4489" s="17" t="s">
        <v>5139</v>
      </c>
      <c r="G4489" s="17" t="s">
        <v>217</v>
      </c>
    </row>
    <row r="4490" spans="6:7" x14ac:dyDescent="0.25">
      <c r="F4490" s="17" t="s">
        <v>5140</v>
      </c>
      <c r="G4490" s="17" t="s">
        <v>217</v>
      </c>
    </row>
    <row r="4491" spans="6:7" x14ac:dyDescent="0.25">
      <c r="F4491" s="17" t="s">
        <v>5141</v>
      </c>
      <c r="G4491" s="17" t="s">
        <v>217</v>
      </c>
    </row>
    <row r="4492" spans="6:7" x14ac:dyDescent="0.25">
      <c r="F4492" s="17" t="s">
        <v>5142</v>
      </c>
      <c r="G4492" s="17" t="s">
        <v>199</v>
      </c>
    </row>
    <row r="4493" spans="6:7" x14ac:dyDescent="0.25">
      <c r="F4493" s="17" t="s">
        <v>5143</v>
      </c>
      <c r="G4493" s="17" t="s">
        <v>199</v>
      </c>
    </row>
    <row r="4494" spans="6:7" x14ac:dyDescent="0.25">
      <c r="F4494" s="17" t="s">
        <v>5144</v>
      </c>
      <c r="G4494" s="17" t="s">
        <v>199</v>
      </c>
    </row>
    <row r="4495" spans="6:7" x14ac:dyDescent="0.25">
      <c r="F4495" s="17" t="s">
        <v>5145</v>
      </c>
      <c r="G4495" s="17" t="s">
        <v>199</v>
      </c>
    </row>
    <row r="4496" spans="6:7" x14ac:dyDescent="0.25">
      <c r="F4496" s="17" t="s">
        <v>5146</v>
      </c>
      <c r="G4496" s="17" t="s">
        <v>199</v>
      </c>
    </row>
    <row r="4497" spans="6:7" x14ac:dyDescent="0.25">
      <c r="F4497" s="17" t="s">
        <v>5147</v>
      </c>
      <c r="G4497" s="17" t="s">
        <v>199</v>
      </c>
    </row>
    <row r="4498" spans="6:7" x14ac:dyDescent="0.25">
      <c r="F4498" s="17" t="s">
        <v>5148</v>
      </c>
      <c r="G4498" s="17" t="s">
        <v>199</v>
      </c>
    </row>
    <row r="4499" spans="6:7" x14ac:dyDescent="0.25">
      <c r="F4499" s="17" t="s">
        <v>5149</v>
      </c>
      <c r="G4499" s="17" t="s">
        <v>199</v>
      </c>
    </row>
    <row r="4500" spans="6:7" x14ac:dyDescent="0.25">
      <c r="F4500" s="17" t="s">
        <v>5150</v>
      </c>
      <c r="G4500" s="17" t="s">
        <v>217</v>
      </c>
    </row>
    <row r="4501" spans="6:7" x14ac:dyDescent="0.25">
      <c r="F4501" s="17" t="s">
        <v>889</v>
      </c>
      <c r="G4501" s="17" t="s">
        <v>217</v>
      </c>
    </row>
    <row r="4502" spans="6:7" x14ac:dyDescent="0.25">
      <c r="F4502" s="17" t="s">
        <v>5151</v>
      </c>
      <c r="G4502" s="17" t="s">
        <v>217</v>
      </c>
    </row>
    <row r="4503" spans="6:7" x14ac:dyDescent="0.25">
      <c r="F4503" s="17" t="s">
        <v>5152</v>
      </c>
      <c r="G4503" s="17" t="s">
        <v>217</v>
      </c>
    </row>
    <row r="4504" spans="6:7" x14ac:dyDescent="0.25">
      <c r="F4504" s="17" t="s">
        <v>5153</v>
      </c>
      <c r="G4504" s="17" t="s">
        <v>217</v>
      </c>
    </row>
    <row r="4505" spans="6:7" x14ac:dyDescent="0.25">
      <c r="F4505" s="17" t="s">
        <v>554</v>
      </c>
      <c r="G4505" s="17" t="s">
        <v>217</v>
      </c>
    </row>
    <row r="4506" spans="6:7" x14ac:dyDescent="0.25">
      <c r="F4506" s="17" t="s">
        <v>5154</v>
      </c>
      <c r="G4506" s="17" t="s">
        <v>217</v>
      </c>
    </row>
    <row r="4507" spans="6:7" x14ac:dyDescent="0.25">
      <c r="F4507" s="17" t="s">
        <v>5155</v>
      </c>
      <c r="G4507" s="17" t="s">
        <v>217</v>
      </c>
    </row>
    <row r="4508" spans="6:7" x14ac:dyDescent="0.25">
      <c r="F4508" s="17" t="s">
        <v>5156</v>
      </c>
      <c r="G4508" s="17" t="s">
        <v>217</v>
      </c>
    </row>
    <row r="4509" spans="6:7" x14ac:dyDescent="0.25">
      <c r="F4509" s="17" t="s">
        <v>5157</v>
      </c>
      <c r="G4509" s="17" t="s">
        <v>217</v>
      </c>
    </row>
    <row r="4510" spans="6:7" x14ac:dyDescent="0.25">
      <c r="F4510" s="17" t="s">
        <v>5158</v>
      </c>
      <c r="G4510" s="17" t="s">
        <v>217</v>
      </c>
    </row>
    <row r="4511" spans="6:7" x14ac:dyDescent="0.25">
      <c r="F4511" s="17" t="s">
        <v>5159</v>
      </c>
      <c r="G4511" s="17" t="s">
        <v>217</v>
      </c>
    </row>
    <row r="4512" spans="6:7" x14ac:dyDescent="0.25">
      <c r="F4512" s="17" t="s">
        <v>600</v>
      </c>
      <c r="G4512" s="17" t="s">
        <v>217</v>
      </c>
    </row>
    <row r="4513" spans="6:7" x14ac:dyDescent="0.25">
      <c r="F4513" s="17" t="s">
        <v>706</v>
      </c>
      <c r="G4513" s="17" t="s">
        <v>217</v>
      </c>
    </row>
    <row r="4514" spans="6:7" x14ac:dyDescent="0.25">
      <c r="F4514" s="17" t="s">
        <v>5160</v>
      </c>
      <c r="G4514" s="17" t="s">
        <v>217</v>
      </c>
    </row>
    <row r="4515" spans="6:7" x14ac:dyDescent="0.25">
      <c r="F4515" s="17" t="s">
        <v>5161</v>
      </c>
      <c r="G4515" s="17" t="s">
        <v>217</v>
      </c>
    </row>
    <row r="4516" spans="6:7" x14ac:dyDescent="0.25">
      <c r="F4516" s="17" t="s">
        <v>5162</v>
      </c>
      <c r="G4516" s="17" t="s">
        <v>217</v>
      </c>
    </row>
    <row r="4517" spans="6:7" x14ac:dyDescent="0.25">
      <c r="F4517" s="17" t="s">
        <v>5163</v>
      </c>
      <c r="G4517" s="17" t="s">
        <v>217</v>
      </c>
    </row>
    <row r="4518" spans="6:7" x14ac:dyDescent="0.25">
      <c r="F4518" s="17" t="s">
        <v>714</v>
      </c>
      <c r="G4518" s="17" t="s">
        <v>217</v>
      </c>
    </row>
    <row r="4519" spans="6:7" x14ac:dyDescent="0.25">
      <c r="F4519" s="17" t="s">
        <v>5164</v>
      </c>
      <c r="G4519" s="17" t="s">
        <v>217</v>
      </c>
    </row>
    <row r="4520" spans="6:7" x14ac:dyDescent="0.25">
      <c r="F4520" s="17" t="s">
        <v>5165</v>
      </c>
      <c r="G4520" s="17" t="s">
        <v>217</v>
      </c>
    </row>
    <row r="4521" spans="6:7" x14ac:dyDescent="0.25">
      <c r="F4521" s="17" t="s">
        <v>5166</v>
      </c>
      <c r="G4521" s="17" t="s">
        <v>217</v>
      </c>
    </row>
    <row r="4522" spans="6:7" x14ac:dyDescent="0.25">
      <c r="F4522" s="17" t="s">
        <v>611</v>
      </c>
      <c r="G4522" s="17" t="s">
        <v>217</v>
      </c>
    </row>
    <row r="4523" spans="6:7" x14ac:dyDescent="0.25">
      <c r="F4523" s="17" t="s">
        <v>5167</v>
      </c>
      <c r="G4523" s="17" t="s">
        <v>217</v>
      </c>
    </row>
    <row r="4524" spans="6:7" x14ac:dyDescent="0.25">
      <c r="F4524" s="17" t="s">
        <v>5168</v>
      </c>
      <c r="G4524" s="17" t="s">
        <v>217</v>
      </c>
    </row>
    <row r="4525" spans="6:7" x14ac:dyDescent="0.25">
      <c r="F4525" s="17" t="s">
        <v>5169</v>
      </c>
      <c r="G4525" s="17" t="s">
        <v>217</v>
      </c>
    </row>
    <row r="4526" spans="6:7" x14ac:dyDescent="0.25">
      <c r="F4526" s="17" t="s">
        <v>5170</v>
      </c>
      <c r="G4526" s="17" t="s">
        <v>217</v>
      </c>
    </row>
    <row r="4527" spans="6:7" x14ac:dyDescent="0.25">
      <c r="F4527" s="17" t="s">
        <v>5171</v>
      </c>
      <c r="G4527" s="17" t="s">
        <v>217</v>
      </c>
    </row>
    <row r="4528" spans="6:7" x14ac:dyDescent="0.25">
      <c r="F4528" s="17" t="s">
        <v>5172</v>
      </c>
      <c r="G4528" s="17" t="s">
        <v>197</v>
      </c>
    </row>
    <row r="4529" spans="6:7" x14ac:dyDescent="0.25">
      <c r="F4529" s="17" t="s">
        <v>5173</v>
      </c>
      <c r="G4529" s="17" t="s">
        <v>217</v>
      </c>
    </row>
    <row r="4530" spans="6:7" x14ac:dyDescent="0.25">
      <c r="F4530" s="17" t="s">
        <v>5174</v>
      </c>
      <c r="G4530" s="17" t="s">
        <v>217</v>
      </c>
    </row>
    <row r="4531" spans="6:7" x14ac:dyDescent="0.25">
      <c r="F4531" s="17" t="s">
        <v>5175</v>
      </c>
      <c r="G4531" s="17" t="s">
        <v>217</v>
      </c>
    </row>
    <row r="4532" spans="6:7" x14ac:dyDescent="0.25">
      <c r="F4532" s="17" t="s">
        <v>5176</v>
      </c>
      <c r="G4532" s="17" t="s">
        <v>217</v>
      </c>
    </row>
    <row r="4533" spans="6:7" x14ac:dyDescent="0.25">
      <c r="F4533" s="17" t="s">
        <v>5177</v>
      </c>
      <c r="G4533" s="17" t="s">
        <v>217</v>
      </c>
    </row>
    <row r="4534" spans="6:7" x14ac:dyDescent="0.25">
      <c r="F4534" s="17" t="s">
        <v>5178</v>
      </c>
      <c r="G4534" s="17" t="s">
        <v>217</v>
      </c>
    </row>
    <row r="4535" spans="6:7" x14ac:dyDescent="0.25">
      <c r="F4535" s="17" t="s">
        <v>5179</v>
      </c>
      <c r="G4535" s="17" t="s">
        <v>217</v>
      </c>
    </row>
    <row r="4536" spans="6:7" x14ac:dyDescent="0.25">
      <c r="F4536" s="17" t="s">
        <v>5180</v>
      </c>
      <c r="G4536" s="17" t="s">
        <v>217</v>
      </c>
    </row>
    <row r="4537" spans="6:7" x14ac:dyDescent="0.25">
      <c r="F4537" s="17" t="s">
        <v>5181</v>
      </c>
      <c r="G4537" s="17" t="s">
        <v>217</v>
      </c>
    </row>
    <row r="4538" spans="6:7" x14ac:dyDescent="0.25">
      <c r="F4538" s="17" t="s">
        <v>5182</v>
      </c>
      <c r="G4538" s="17" t="s">
        <v>197</v>
      </c>
    </row>
    <row r="4539" spans="6:7" x14ac:dyDescent="0.25">
      <c r="F4539" s="17" t="s">
        <v>5183</v>
      </c>
      <c r="G4539" s="17" t="s">
        <v>197</v>
      </c>
    </row>
    <row r="4540" spans="6:7" x14ac:dyDescent="0.25">
      <c r="F4540" s="17" t="s">
        <v>5184</v>
      </c>
      <c r="G4540" s="17" t="s">
        <v>197</v>
      </c>
    </row>
    <row r="4541" spans="6:7" x14ac:dyDescent="0.25">
      <c r="F4541" s="17" t="s">
        <v>5185</v>
      </c>
      <c r="G4541" s="17" t="s">
        <v>197</v>
      </c>
    </row>
    <row r="4542" spans="6:7" x14ac:dyDescent="0.25">
      <c r="F4542" s="17" t="s">
        <v>5186</v>
      </c>
      <c r="G4542" s="17" t="s">
        <v>197</v>
      </c>
    </row>
    <row r="4543" spans="6:7" x14ac:dyDescent="0.25">
      <c r="F4543" s="17" t="s">
        <v>5187</v>
      </c>
      <c r="G4543" s="17" t="s">
        <v>197</v>
      </c>
    </row>
    <row r="4544" spans="6:7" x14ac:dyDescent="0.25">
      <c r="F4544" s="17" t="s">
        <v>5188</v>
      </c>
      <c r="G4544" s="17" t="s">
        <v>217</v>
      </c>
    </row>
    <row r="4545" spans="6:7" x14ac:dyDescent="0.25">
      <c r="F4545" s="17" t="s">
        <v>5189</v>
      </c>
      <c r="G4545" s="17" t="s">
        <v>197</v>
      </c>
    </row>
    <row r="4546" spans="6:7" x14ac:dyDescent="0.25">
      <c r="F4546" s="17" t="s">
        <v>5190</v>
      </c>
      <c r="G4546" s="17" t="s">
        <v>197</v>
      </c>
    </row>
    <row r="4547" spans="6:7" x14ac:dyDescent="0.25">
      <c r="F4547" s="17" t="s">
        <v>5191</v>
      </c>
      <c r="G4547" s="17" t="s">
        <v>197</v>
      </c>
    </row>
    <row r="4548" spans="6:7" x14ac:dyDescent="0.25">
      <c r="F4548" s="17" t="s">
        <v>5192</v>
      </c>
      <c r="G4548" s="17" t="s">
        <v>197</v>
      </c>
    </row>
    <row r="4549" spans="6:7" x14ac:dyDescent="0.25">
      <c r="F4549" s="17" t="s">
        <v>5193</v>
      </c>
      <c r="G4549" s="17" t="s">
        <v>197</v>
      </c>
    </row>
    <row r="4550" spans="6:7" x14ac:dyDescent="0.25">
      <c r="F4550" s="17" t="s">
        <v>5194</v>
      </c>
      <c r="G4550" s="17" t="s">
        <v>197</v>
      </c>
    </row>
    <row r="4551" spans="6:7" x14ac:dyDescent="0.25">
      <c r="F4551" s="17" t="s">
        <v>5195</v>
      </c>
      <c r="G4551" s="17" t="s">
        <v>197</v>
      </c>
    </row>
    <row r="4552" spans="6:7" x14ac:dyDescent="0.25">
      <c r="F4552" s="17" t="s">
        <v>5196</v>
      </c>
      <c r="G4552" s="17" t="s">
        <v>197</v>
      </c>
    </row>
    <row r="4553" spans="6:7" x14ac:dyDescent="0.25">
      <c r="F4553" s="17" t="s">
        <v>5197</v>
      </c>
      <c r="G4553" s="17" t="s">
        <v>197</v>
      </c>
    </row>
    <row r="4554" spans="6:7" x14ac:dyDescent="0.25">
      <c r="F4554" s="17" t="s">
        <v>5198</v>
      </c>
      <c r="G4554" s="17" t="s">
        <v>197</v>
      </c>
    </row>
    <row r="4555" spans="6:7" x14ac:dyDescent="0.25">
      <c r="F4555" s="17" t="s">
        <v>5199</v>
      </c>
      <c r="G4555" s="17" t="s">
        <v>197</v>
      </c>
    </row>
    <row r="4556" spans="6:7" x14ac:dyDescent="0.25">
      <c r="F4556" s="17" t="s">
        <v>5200</v>
      </c>
      <c r="G4556" s="17" t="s">
        <v>197</v>
      </c>
    </row>
    <row r="4557" spans="6:7" x14ac:dyDescent="0.25">
      <c r="F4557" s="17" t="s">
        <v>5201</v>
      </c>
      <c r="G4557" s="17" t="s">
        <v>197</v>
      </c>
    </row>
    <row r="4558" spans="6:7" x14ac:dyDescent="0.25">
      <c r="F4558" s="17" t="s">
        <v>806</v>
      </c>
      <c r="G4558" s="17" t="s">
        <v>197</v>
      </c>
    </row>
    <row r="4559" spans="6:7" x14ac:dyDescent="0.25">
      <c r="F4559" s="17" t="s">
        <v>5202</v>
      </c>
      <c r="G4559" s="17" t="s">
        <v>197</v>
      </c>
    </row>
    <row r="4560" spans="6:7" x14ac:dyDescent="0.25">
      <c r="F4560" s="17" t="s">
        <v>5203</v>
      </c>
      <c r="G4560" s="17" t="s">
        <v>197</v>
      </c>
    </row>
    <row r="4561" spans="6:7" x14ac:dyDescent="0.25">
      <c r="F4561" s="17" t="s">
        <v>5204</v>
      </c>
      <c r="G4561" s="17" t="s">
        <v>197</v>
      </c>
    </row>
    <row r="4562" spans="6:7" x14ac:dyDescent="0.25">
      <c r="F4562" s="17" t="s">
        <v>926</v>
      </c>
      <c r="G4562" s="17" t="s">
        <v>197</v>
      </c>
    </row>
    <row r="4563" spans="6:7" x14ac:dyDescent="0.25">
      <c r="F4563" s="17" t="s">
        <v>5205</v>
      </c>
      <c r="G4563" s="17" t="s">
        <v>197</v>
      </c>
    </row>
    <row r="4564" spans="6:7" x14ac:dyDescent="0.25">
      <c r="F4564" s="17" t="s">
        <v>5206</v>
      </c>
      <c r="G4564" s="17" t="s">
        <v>197</v>
      </c>
    </row>
    <row r="4565" spans="6:7" x14ac:dyDescent="0.25">
      <c r="F4565" s="17" t="s">
        <v>5207</v>
      </c>
      <c r="G4565" s="17" t="s">
        <v>197</v>
      </c>
    </row>
    <row r="4566" spans="6:7" x14ac:dyDescent="0.25">
      <c r="F4566" s="17" t="s">
        <v>5208</v>
      </c>
      <c r="G4566" s="17" t="s">
        <v>197</v>
      </c>
    </row>
    <row r="4567" spans="6:7" x14ac:dyDescent="0.25">
      <c r="F4567" s="17" t="s">
        <v>623</v>
      </c>
      <c r="G4567" s="17" t="s">
        <v>197</v>
      </c>
    </row>
    <row r="4568" spans="6:7" x14ac:dyDescent="0.25">
      <c r="F4568" s="17" t="s">
        <v>5209</v>
      </c>
      <c r="G4568" s="17" t="s">
        <v>197</v>
      </c>
    </row>
    <row r="4569" spans="6:7" x14ac:dyDescent="0.25">
      <c r="F4569" s="17" t="s">
        <v>5210</v>
      </c>
      <c r="G4569" s="17" t="s">
        <v>197</v>
      </c>
    </row>
    <row r="4570" spans="6:7" x14ac:dyDescent="0.25">
      <c r="F4570" s="17" t="s">
        <v>412</v>
      </c>
      <c r="G4570" s="17" t="s">
        <v>197</v>
      </c>
    </row>
    <row r="4571" spans="6:7" x14ac:dyDescent="0.25">
      <c r="F4571" s="17" t="s">
        <v>5211</v>
      </c>
      <c r="G4571" s="17" t="s">
        <v>197</v>
      </c>
    </row>
    <row r="4572" spans="6:7" x14ac:dyDescent="0.25">
      <c r="F4572" s="17" t="s">
        <v>5212</v>
      </c>
      <c r="G4572" s="17" t="s">
        <v>197</v>
      </c>
    </row>
    <row r="4573" spans="6:7" x14ac:dyDescent="0.25">
      <c r="F4573" s="17" t="s">
        <v>5213</v>
      </c>
      <c r="G4573" s="17" t="s">
        <v>197</v>
      </c>
    </row>
    <row r="4574" spans="6:7" x14ac:dyDescent="0.25">
      <c r="F4574" s="17" t="s">
        <v>924</v>
      </c>
      <c r="G4574" s="17" t="s">
        <v>197</v>
      </c>
    </row>
    <row r="4575" spans="6:7" x14ac:dyDescent="0.25">
      <c r="F4575" s="17" t="s">
        <v>5214</v>
      </c>
      <c r="G4575" s="17" t="s">
        <v>197</v>
      </c>
    </row>
    <row r="4576" spans="6:7" x14ac:dyDescent="0.25">
      <c r="F4576" s="17" t="s">
        <v>5215</v>
      </c>
      <c r="G4576" s="17" t="s">
        <v>197</v>
      </c>
    </row>
    <row r="4577" spans="6:7" x14ac:dyDescent="0.25">
      <c r="F4577" s="17" t="s">
        <v>471</v>
      </c>
      <c r="G4577" s="17" t="s">
        <v>197</v>
      </c>
    </row>
    <row r="4578" spans="6:7" x14ac:dyDescent="0.25">
      <c r="F4578" s="17" t="s">
        <v>5216</v>
      </c>
      <c r="G4578" s="17" t="s">
        <v>197</v>
      </c>
    </row>
    <row r="4579" spans="6:7" x14ac:dyDescent="0.25">
      <c r="F4579" s="17" t="s">
        <v>5217</v>
      </c>
      <c r="G4579" s="17" t="s">
        <v>197</v>
      </c>
    </row>
    <row r="4580" spans="6:7" x14ac:dyDescent="0.25">
      <c r="F4580" s="17" t="s">
        <v>620</v>
      </c>
      <c r="G4580" s="17" t="s">
        <v>197</v>
      </c>
    </row>
    <row r="4581" spans="6:7" x14ac:dyDescent="0.25">
      <c r="F4581" s="17" t="s">
        <v>5218</v>
      </c>
      <c r="G4581" s="17" t="s">
        <v>215</v>
      </c>
    </row>
    <row r="4582" spans="6:7" x14ac:dyDescent="0.25">
      <c r="F4582" s="17" t="s">
        <v>5219</v>
      </c>
      <c r="G4582" s="17" t="s">
        <v>215</v>
      </c>
    </row>
    <row r="4583" spans="6:7" x14ac:dyDescent="0.25">
      <c r="F4583" s="17" t="s">
        <v>5220</v>
      </c>
      <c r="G4583" s="17" t="s">
        <v>215</v>
      </c>
    </row>
    <row r="4584" spans="6:7" x14ac:dyDescent="0.25">
      <c r="F4584" s="17" t="s">
        <v>5221</v>
      </c>
      <c r="G4584" s="17" t="s">
        <v>215</v>
      </c>
    </row>
    <row r="4585" spans="6:7" x14ac:dyDescent="0.25">
      <c r="F4585" s="17" t="s">
        <v>5222</v>
      </c>
      <c r="G4585" s="17" t="s">
        <v>215</v>
      </c>
    </row>
    <row r="4586" spans="6:7" x14ac:dyDescent="0.25">
      <c r="F4586" s="17" t="s">
        <v>5223</v>
      </c>
      <c r="G4586" s="17" t="s">
        <v>215</v>
      </c>
    </row>
    <row r="4587" spans="6:7" x14ac:dyDescent="0.25">
      <c r="F4587" s="17" t="s">
        <v>5224</v>
      </c>
      <c r="G4587" s="17" t="s">
        <v>215</v>
      </c>
    </row>
    <row r="4588" spans="6:7" x14ac:dyDescent="0.25">
      <c r="F4588" s="17" t="s">
        <v>5225</v>
      </c>
      <c r="G4588" s="17" t="s">
        <v>215</v>
      </c>
    </row>
    <row r="4589" spans="6:7" x14ac:dyDescent="0.25">
      <c r="F4589" s="17" t="s">
        <v>5226</v>
      </c>
      <c r="G4589" s="17" t="s">
        <v>215</v>
      </c>
    </row>
    <row r="4590" spans="6:7" x14ac:dyDescent="0.25">
      <c r="F4590" s="17" t="s">
        <v>5227</v>
      </c>
      <c r="G4590" s="17" t="s">
        <v>215</v>
      </c>
    </row>
    <row r="4591" spans="6:7" x14ac:dyDescent="0.25">
      <c r="F4591" s="17" t="s">
        <v>5228</v>
      </c>
      <c r="G4591" s="17" t="s">
        <v>215</v>
      </c>
    </row>
    <row r="4592" spans="6:7" x14ac:dyDescent="0.25">
      <c r="F4592" s="17" t="s">
        <v>5229</v>
      </c>
      <c r="G4592" s="17" t="s">
        <v>215</v>
      </c>
    </row>
    <row r="4593" spans="6:7" x14ac:dyDescent="0.25">
      <c r="F4593" s="17" t="s">
        <v>5230</v>
      </c>
      <c r="G4593" s="17" t="s">
        <v>215</v>
      </c>
    </row>
    <row r="4594" spans="6:7" x14ac:dyDescent="0.25">
      <c r="F4594" s="17" t="s">
        <v>5231</v>
      </c>
      <c r="G4594" s="17" t="s">
        <v>215</v>
      </c>
    </row>
    <row r="4595" spans="6:7" x14ac:dyDescent="0.25">
      <c r="F4595" s="17" t="s">
        <v>5232</v>
      </c>
      <c r="G4595" s="17" t="s">
        <v>215</v>
      </c>
    </row>
    <row r="4596" spans="6:7" x14ac:dyDescent="0.25">
      <c r="F4596" s="17" t="s">
        <v>5233</v>
      </c>
      <c r="G4596" s="17" t="s">
        <v>215</v>
      </c>
    </row>
    <row r="4597" spans="6:7" x14ac:dyDescent="0.25">
      <c r="F4597" s="17" t="s">
        <v>5234</v>
      </c>
      <c r="G4597" s="17" t="s">
        <v>215</v>
      </c>
    </row>
    <row r="4598" spans="6:7" x14ac:dyDescent="0.25">
      <c r="F4598" s="17" t="s">
        <v>5235</v>
      </c>
      <c r="G4598" s="17" t="s">
        <v>215</v>
      </c>
    </row>
    <row r="4599" spans="6:7" x14ac:dyDescent="0.25">
      <c r="F4599" s="17" t="s">
        <v>361</v>
      </c>
      <c r="G4599" s="17" t="s">
        <v>215</v>
      </c>
    </row>
    <row r="4600" spans="6:7" x14ac:dyDescent="0.25">
      <c r="F4600" s="17" t="s">
        <v>5236</v>
      </c>
      <c r="G4600" s="17" t="s">
        <v>215</v>
      </c>
    </row>
    <row r="4601" spans="6:7" x14ac:dyDescent="0.25">
      <c r="F4601" s="17" t="s">
        <v>5237</v>
      </c>
      <c r="G4601" s="17" t="s">
        <v>215</v>
      </c>
    </row>
    <row r="4602" spans="6:7" x14ac:dyDescent="0.25">
      <c r="F4602" s="17" t="s">
        <v>5238</v>
      </c>
      <c r="G4602" s="17" t="s">
        <v>215</v>
      </c>
    </row>
    <row r="4603" spans="6:7" x14ac:dyDescent="0.25">
      <c r="F4603" s="17" t="s">
        <v>5239</v>
      </c>
      <c r="G4603" s="17" t="s">
        <v>215</v>
      </c>
    </row>
    <row r="4604" spans="6:7" x14ac:dyDescent="0.25">
      <c r="F4604" s="17" t="s">
        <v>5240</v>
      </c>
      <c r="G4604" s="17" t="s">
        <v>215</v>
      </c>
    </row>
    <row r="4605" spans="6:7" x14ac:dyDescent="0.25">
      <c r="F4605" s="17" t="s">
        <v>5241</v>
      </c>
      <c r="G4605" s="17" t="s">
        <v>215</v>
      </c>
    </row>
    <row r="4606" spans="6:7" x14ac:dyDescent="0.25">
      <c r="F4606" s="17" t="s">
        <v>5242</v>
      </c>
      <c r="G4606" s="17" t="s">
        <v>215</v>
      </c>
    </row>
    <row r="4607" spans="6:7" x14ac:dyDescent="0.25">
      <c r="F4607" s="17" t="s">
        <v>5243</v>
      </c>
      <c r="G4607" s="17" t="s">
        <v>215</v>
      </c>
    </row>
    <row r="4608" spans="6:7" x14ac:dyDescent="0.25">
      <c r="F4608" s="17" t="s">
        <v>297</v>
      </c>
      <c r="G4608" s="17" t="s">
        <v>215</v>
      </c>
    </row>
    <row r="4609" spans="6:7" x14ac:dyDescent="0.25">
      <c r="F4609" s="17" t="s">
        <v>5244</v>
      </c>
      <c r="G4609" s="17" t="s">
        <v>215</v>
      </c>
    </row>
    <row r="4610" spans="6:7" x14ac:dyDescent="0.25">
      <c r="F4610" s="17" t="s">
        <v>5245</v>
      </c>
      <c r="G4610" s="17" t="s">
        <v>215</v>
      </c>
    </row>
    <row r="4611" spans="6:7" x14ac:dyDescent="0.25">
      <c r="F4611" s="17" t="s">
        <v>5246</v>
      </c>
      <c r="G4611" s="17" t="s">
        <v>215</v>
      </c>
    </row>
    <row r="4612" spans="6:7" x14ac:dyDescent="0.25">
      <c r="F4612" s="17" t="s">
        <v>5247</v>
      </c>
      <c r="G4612" s="17" t="s">
        <v>215</v>
      </c>
    </row>
    <row r="4613" spans="6:7" x14ac:dyDescent="0.25">
      <c r="F4613" s="17" t="s">
        <v>876</v>
      </c>
      <c r="G4613" s="17" t="s">
        <v>215</v>
      </c>
    </row>
    <row r="4614" spans="6:7" x14ac:dyDescent="0.25">
      <c r="F4614" s="17" t="s">
        <v>558</v>
      </c>
      <c r="G4614" s="17" t="s">
        <v>215</v>
      </c>
    </row>
    <row r="4615" spans="6:7" x14ac:dyDescent="0.25">
      <c r="F4615" s="17" t="s">
        <v>5248</v>
      </c>
      <c r="G4615" s="17" t="s">
        <v>215</v>
      </c>
    </row>
    <row r="4616" spans="6:7" x14ac:dyDescent="0.25">
      <c r="F4616" s="17" t="s">
        <v>5249</v>
      </c>
      <c r="G4616" s="17" t="s">
        <v>215</v>
      </c>
    </row>
    <row r="4617" spans="6:7" x14ac:dyDescent="0.25">
      <c r="F4617" s="17" t="s">
        <v>5250</v>
      </c>
      <c r="G4617" s="17" t="s">
        <v>215</v>
      </c>
    </row>
    <row r="4618" spans="6:7" x14ac:dyDescent="0.25">
      <c r="F4618" s="17" t="s">
        <v>5251</v>
      </c>
      <c r="G4618" s="17" t="s">
        <v>215</v>
      </c>
    </row>
    <row r="4619" spans="6:7" x14ac:dyDescent="0.25">
      <c r="F4619" s="17" t="s">
        <v>5252</v>
      </c>
      <c r="G4619" s="17" t="s">
        <v>215</v>
      </c>
    </row>
    <row r="4620" spans="6:7" x14ac:dyDescent="0.25">
      <c r="F4620" s="17" t="s">
        <v>5253</v>
      </c>
      <c r="G4620" s="17" t="s">
        <v>215</v>
      </c>
    </row>
    <row r="4621" spans="6:7" x14ac:dyDescent="0.25">
      <c r="F4621" s="17" t="s">
        <v>5254</v>
      </c>
      <c r="G4621" s="17" t="s">
        <v>215</v>
      </c>
    </row>
    <row r="4622" spans="6:7" x14ac:dyDescent="0.25">
      <c r="F4622" s="17" t="s">
        <v>5255</v>
      </c>
      <c r="G4622" s="17" t="s">
        <v>215</v>
      </c>
    </row>
    <row r="4623" spans="6:7" x14ac:dyDescent="0.25">
      <c r="F4623" s="17" t="s">
        <v>5256</v>
      </c>
      <c r="G4623" s="17" t="s">
        <v>215</v>
      </c>
    </row>
    <row r="4624" spans="6:7" x14ac:dyDescent="0.25">
      <c r="F4624" s="17" t="s">
        <v>5257</v>
      </c>
      <c r="G4624" s="17" t="s">
        <v>215</v>
      </c>
    </row>
    <row r="4625" spans="6:7" x14ac:dyDescent="0.25">
      <c r="F4625" s="17" t="s">
        <v>5258</v>
      </c>
      <c r="G4625" s="17" t="s">
        <v>215</v>
      </c>
    </row>
    <row r="4626" spans="6:7" x14ac:dyDescent="0.25">
      <c r="F4626" s="17" t="s">
        <v>5259</v>
      </c>
      <c r="G4626" s="17" t="s">
        <v>215</v>
      </c>
    </row>
    <row r="4627" spans="6:7" x14ac:dyDescent="0.25">
      <c r="F4627" s="17" t="s">
        <v>582</v>
      </c>
      <c r="G4627" s="17" t="s">
        <v>215</v>
      </c>
    </row>
    <row r="4628" spans="6:7" x14ac:dyDescent="0.25">
      <c r="F4628" s="17" t="s">
        <v>5260</v>
      </c>
      <c r="G4628" s="17" t="s">
        <v>215</v>
      </c>
    </row>
    <row r="4629" spans="6:7" x14ac:dyDescent="0.25">
      <c r="F4629" s="17" t="s">
        <v>5261</v>
      </c>
      <c r="G4629" s="17" t="s">
        <v>215</v>
      </c>
    </row>
    <row r="4630" spans="6:7" x14ac:dyDescent="0.25">
      <c r="F4630" s="17" t="s">
        <v>831</v>
      </c>
      <c r="G4630" s="17" t="s">
        <v>215</v>
      </c>
    </row>
    <row r="4631" spans="6:7" x14ac:dyDescent="0.25">
      <c r="F4631" s="17" t="s">
        <v>5262</v>
      </c>
      <c r="G4631" s="17" t="s">
        <v>215</v>
      </c>
    </row>
    <row r="4632" spans="6:7" x14ac:dyDescent="0.25">
      <c r="F4632" s="17" t="s">
        <v>5263</v>
      </c>
      <c r="G4632" s="17" t="s">
        <v>215</v>
      </c>
    </row>
    <row r="4633" spans="6:7" x14ac:dyDescent="0.25">
      <c r="F4633" s="17" t="s">
        <v>761</v>
      </c>
      <c r="G4633" s="17" t="s">
        <v>215</v>
      </c>
    </row>
    <row r="4634" spans="6:7" x14ac:dyDescent="0.25">
      <c r="F4634" s="17" t="s">
        <v>537</v>
      </c>
      <c r="G4634" s="17" t="s">
        <v>215</v>
      </c>
    </row>
    <row r="4635" spans="6:7" x14ac:dyDescent="0.25">
      <c r="F4635" s="17" t="s">
        <v>884</v>
      </c>
      <c r="G4635" s="17" t="s">
        <v>215</v>
      </c>
    </row>
    <row r="4636" spans="6:7" x14ac:dyDescent="0.25">
      <c r="F4636" s="17" t="s">
        <v>5264</v>
      </c>
      <c r="G4636" s="17" t="s">
        <v>215</v>
      </c>
    </row>
    <row r="4637" spans="6:7" x14ac:dyDescent="0.25">
      <c r="F4637" s="17" t="s">
        <v>765</v>
      </c>
      <c r="G4637" s="17" t="s">
        <v>215</v>
      </c>
    </row>
    <row r="4638" spans="6:7" x14ac:dyDescent="0.25">
      <c r="F4638" s="17" t="s">
        <v>5265</v>
      </c>
      <c r="G4638" s="17" t="s">
        <v>215</v>
      </c>
    </row>
    <row r="4639" spans="6:7" x14ac:dyDescent="0.25">
      <c r="F4639" s="17" t="s">
        <v>5266</v>
      </c>
      <c r="G4639" s="17" t="s">
        <v>215</v>
      </c>
    </row>
    <row r="4640" spans="6:7" x14ac:dyDescent="0.25">
      <c r="F4640" s="17" t="s">
        <v>5267</v>
      </c>
      <c r="G4640" s="17" t="s">
        <v>215</v>
      </c>
    </row>
    <row r="4641" spans="6:7" x14ac:dyDescent="0.25">
      <c r="F4641" s="17" t="s">
        <v>508</v>
      </c>
      <c r="G4641" s="17" t="s">
        <v>215</v>
      </c>
    </row>
    <row r="4642" spans="6:7" x14ac:dyDescent="0.25">
      <c r="F4642" s="17" t="s">
        <v>5268</v>
      </c>
      <c r="G4642" s="17" t="s">
        <v>215</v>
      </c>
    </row>
    <row r="4643" spans="6:7" x14ac:dyDescent="0.25">
      <c r="F4643" s="17" t="s">
        <v>5269</v>
      </c>
      <c r="G4643" s="17" t="s">
        <v>215</v>
      </c>
    </row>
    <row r="4644" spans="6:7" x14ac:dyDescent="0.25">
      <c r="F4644" s="17" t="s">
        <v>710</v>
      </c>
      <c r="G4644" s="17" t="s">
        <v>215</v>
      </c>
    </row>
    <row r="4645" spans="6:7" x14ac:dyDescent="0.25">
      <c r="F4645" s="17" t="s">
        <v>5270</v>
      </c>
      <c r="G4645" s="17" t="s">
        <v>217</v>
      </c>
    </row>
    <row r="4646" spans="6:7" x14ac:dyDescent="0.25">
      <c r="F4646" s="17" t="s">
        <v>5271</v>
      </c>
      <c r="G4646" s="17" t="s">
        <v>217</v>
      </c>
    </row>
    <row r="4647" spans="6:7" x14ac:dyDescent="0.25">
      <c r="F4647" s="17" t="s">
        <v>5272</v>
      </c>
      <c r="G4647" s="17" t="s">
        <v>197</v>
      </c>
    </row>
    <row r="4648" spans="6:7" x14ac:dyDescent="0.25">
      <c r="F4648" s="17" t="s">
        <v>5273</v>
      </c>
      <c r="G4648" s="17" t="s">
        <v>217</v>
      </c>
    </row>
    <row r="4649" spans="6:7" x14ac:dyDescent="0.25">
      <c r="F4649" s="17" t="s">
        <v>5274</v>
      </c>
      <c r="G4649" s="17" t="s">
        <v>217</v>
      </c>
    </row>
    <row r="4650" spans="6:7" x14ac:dyDescent="0.25">
      <c r="F4650" s="17" t="s">
        <v>5275</v>
      </c>
      <c r="G4650" s="17" t="s">
        <v>215</v>
      </c>
    </row>
    <row r="4651" spans="6:7" x14ac:dyDescent="0.25">
      <c r="F4651" s="17" t="s">
        <v>5276</v>
      </c>
      <c r="G4651" s="17" t="s">
        <v>217</v>
      </c>
    </row>
    <row r="4652" spans="6:7" x14ac:dyDescent="0.25">
      <c r="F4652" s="17" t="s">
        <v>5277</v>
      </c>
      <c r="G4652" s="17" t="s">
        <v>217</v>
      </c>
    </row>
    <row r="4653" spans="6:7" x14ac:dyDescent="0.25">
      <c r="F4653" s="17" t="s">
        <v>5278</v>
      </c>
      <c r="G4653" s="17" t="s">
        <v>217</v>
      </c>
    </row>
    <row r="4654" spans="6:7" x14ac:dyDescent="0.25">
      <c r="F4654" s="17" t="s">
        <v>5279</v>
      </c>
      <c r="G4654" s="17" t="s">
        <v>197</v>
      </c>
    </row>
    <row r="4655" spans="6:7" x14ac:dyDescent="0.25">
      <c r="F4655" s="17" t="s">
        <v>5280</v>
      </c>
      <c r="G4655" s="17" t="s">
        <v>217</v>
      </c>
    </row>
    <row r="4656" spans="6:7" x14ac:dyDescent="0.25">
      <c r="F4656" s="17" t="s">
        <v>5281</v>
      </c>
      <c r="G4656" s="17" t="s">
        <v>217</v>
      </c>
    </row>
    <row r="4657" spans="6:7" x14ac:dyDescent="0.25">
      <c r="F4657" s="17" t="s">
        <v>5282</v>
      </c>
      <c r="G4657" s="17" t="s">
        <v>217</v>
      </c>
    </row>
    <row r="4658" spans="6:7" x14ac:dyDescent="0.25">
      <c r="F4658" s="17" t="s">
        <v>5283</v>
      </c>
      <c r="G4658" s="17" t="s">
        <v>217</v>
      </c>
    </row>
    <row r="4659" spans="6:7" x14ac:dyDescent="0.25">
      <c r="F4659" s="17" t="s">
        <v>5284</v>
      </c>
      <c r="G4659" s="17" t="s">
        <v>217</v>
      </c>
    </row>
    <row r="4660" spans="6:7" x14ac:dyDescent="0.25">
      <c r="F4660" s="17" t="s">
        <v>5285</v>
      </c>
      <c r="G4660" s="17" t="s">
        <v>217</v>
      </c>
    </row>
    <row r="4661" spans="6:7" x14ac:dyDescent="0.25">
      <c r="F4661" s="17" t="s">
        <v>5286</v>
      </c>
      <c r="G4661" s="17" t="s">
        <v>217</v>
      </c>
    </row>
    <row r="4662" spans="6:7" x14ac:dyDescent="0.25">
      <c r="F4662" s="17" t="s">
        <v>5287</v>
      </c>
      <c r="G4662" s="17" t="s">
        <v>217</v>
      </c>
    </row>
    <row r="4663" spans="6:7" x14ac:dyDescent="0.25">
      <c r="F4663" s="17" t="s">
        <v>5288</v>
      </c>
      <c r="G4663" s="17" t="s">
        <v>217</v>
      </c>
    </row>
    <row r="4664" spans="6:7" x14ac:dyDescent="0.25">
      <c r="F4664" s="17" t="s">
        <v>5289</v>
      </c>
      <c r="G4664" s="17" t="s">
        <v>217</v>
      </c>
    </row>
    <row r="4665" spans="6:7" x14ac:dyDescent="0.25">
      <c r="F4665" s="17" t="s">
        <v>5290</v>
      </c>
      <c r="G4665" s="17" t="s">
        <v>217</v>
      </c>
    </row>
    <row r="4666" spans="6:7" x14ac:dyDescent="0.25">
      <c r="F4666" s="17" t="s">
        <v>5291</v>
      </c>
      <c r="G4666" s="17" t="s">
        <v>215</v>
      </c>
    </row>
    <row r="4667" spans="6:7" x14ac:dyDescent="0.25">
      <c r="F4667" s="17" t="s">
        <v>5292</v>
      </c>
      <c r="G4667" s="17" t="s">
        <v>215</v>
      </c>
    </row>
    <row r="4668" spans="6:7" x14ac:dyDescent="0.25">
      <c r="F4668" s="17" t="s">
        <v>5293</v>
      </c>
      <c r="G4668" s="17" t="s">
        <v>215</v>
      </c>
    </row>
    <row r="4669" spans="6:7" x14ac:dyDescent="0.25">
      <c r="F4669" s="17" t="s">
        <v>5294</v>
      </c>
      <c r="G4669" s="17" t="s">
        <v>215</v>
      </c>
    </row>
    <row r="4670" spans="6:7" x14ac:dyDescent="0.25">
      <c r="F4670" s="17" t="s">
        <v>5295</v>
      </c>
      <c r="G4670" s="17" t="s">
        <v>215</v>
      </c>
    </row>
    <row r="4671" spans="6:7" x14ac:dyDescent="0.25">
      <c r="F4671" s="17" t="s">
        <v>5296</v>
      </c>
      <c r="G4671" s="17" t="s">
        <v>215</v>
      </c>
    </row>
    <row r="4672" spans="6:7" x14ac:dyDescent="0.25">
      <c r="F4672" s="17" t="s">
        <v>5297</v>
      </c>
      <c r="G4672" s="17" t="s">
        <v>215</v>
      </c>
    </row>
    <row r="4673" spans="6:7" x14ac:dyDescent="0.25">
      <c r="F4673" s="17" t="s">
        <v>5298</v>
      </c>
      <c r="G4673" s="17" t="s">
        <v>215</v>
      </c>
    </row>
    <row r="4674" spans="6:7" x14ac:dyDescent="0.25">
      <c r="F4674" s="17" t="s">
        <v>5299</v>
      </c>
      <c r="G4674" s="17" t="s">
        <v>215</v>
      </c>
    </row>
    <row r="4675" spans="6:7" x14ac:dyDescent="0.25">
      <c r="F4675" s="17" t="s">
        <v>5300</v>
      </c>
      <c r="G4675" s="17" t="s">
        <v>215</v>
      </c>
    </row>
    <row r="4676" spans="6:7" x14ac:dyDescent="0.25">
      <c r="F4676" s="17" t="s">
        <v>5301</v>
      </c>
      <c r="G4676" s="17" t="s">
        <v>215</v>
      </c>
    </row>
    <row r="4677" spans="6:7" x14ac:dyDescent="0.25">
      <c r="F4677" s="17" t="s">
        <v>5302</v>
      </c>
      <c r="G4677" s="17" t="s">
        <v>215</v>
      </c>
    </row>
    <row r="4678" spans="6:7" x14ac:dyDescent="0.25">
      <c r="F4678" s="17" t="s">
        <v>5303</v>
      </c>
      <c r="G4678" s="17" t="s">
        <v>215</v>
      </c>
    </row>
    <row r="4679" spans="6:7" x14ac:dyDescent="0.25">
      <c r="F4679" s="17" t="s">
        <v>5304</v>
      </c>
      <c r="G4679" s="17" t="s">
        <v>215</v>
      </c>
    </row>
    <row r="4680" spans="6:7" x14ac:dyDescent="0.25">
      <c r="F4680" s="17" t="s">
        <v>5305</v>
      </c>
      <c r="G4680" s="17" t="s">
        <v>215</v>
      </c>
    </row>
    <row r="4681" spans="6:7" x14ac:dyDescent="0.25">
      <c r="F4681" s="17" t="s">
        <v>355</v>
      </c>
      <c r="G4681" s="17" t="s">
        <v>215</v>
      </c>
    </row>
    <row r="4682" spans="6:7" x14ac:dyDescent="0.25">
      <c r="F4682" s="17" t="s">
        <v>755</v>
      </c>
      <c r="G4682" s="17" t="s">
        <v>215</v>
      </c>
    </row>
    <row r="4683" spans="6:7" x14ac:dyDescent="0.25">
      <c r="F4683" s="17" t="s">
        <v>5306</v>
      </c>
      <c r="G4683" s="17" t="s">
        <v>215</v>
      </c>
    </row>
    <row r="4684" spans="6:7" x14ac:dyDescent="0.25">
      <c r="F4684" s="17" t="s">
        <v>5307</v>
      </c>
      <c r="G4684" s="17" t="s">
        <v>215</v>
      </c>
    </row>
    <row r="4685" spans="6:7" x14ac:dyDescent="0.25">
      <c r="F4685" s="17" t="s">
        <v>5308</v>
      </c>
      <c r="G4685" s="17" t="s">
        <v>215</v>
      </c>
    </row>
    <row r="4686" spans="6:7" x14ac:dyDescent="0.25">
      <c r="F4686" s="17" t="s">
        <v>5309</v>
      </c>
      <c r="G4686" s="17" t="s">
        <v>215</v>
      </c>
    </row>
    <row r="4687" spans="6:7" x14ac:dyDescent="0.25">
      <c r="F4687" s="17" t="s">
        <v>754</v>
      </c>
      <c r="G4687" s="17" t="s">
        <v>215</v>
      </c>
    </row>
    <row r="4688" spans="6:7" x14ac:dyDescent="0.25">
      <c r="F4688" s="17" t="s">
        <v>5310</v>
      </c>
      <c r="G4688" s="17" t="s">
        <v>215</v>
      </c>
    </row>
    <row r="4689" spans="6:7" x14ac:dyDescent="0.25">
      <c r="F4689" s="17" t="s">
        <v>5311</v>
      </c>
      <c r="G4689" s="17" t="s">
        <v>215</v>
      </c>
    </row>
    <row r="4690" spans="6:7" x14ac:dyDescent="0.25">
      <c r="F4690" s="17" t="s">
        <v>5312</v>
      </c>
      <c r="G4690" s="17" t="s">
        <v>215</v>
      </c>
    </row>
    <row r="4691" spans="6:7" x14ac:dyDescent="0.25">
      <c r="F4691" s="17" t="s">
        <v>5313</v>
      </c>
      <c r="G4691" s="17" t="s">
        <v>215</v>
      </c>
    </row>
    <row r="4692" spans="6:7" x14ac:dyDescent="0.25">
      <c r="F4692" s="17" t="s">
        <v>682</v>
      </c>
      <c r="G4692" s="17" t="s">
        <v>215</v>
      </c>
    </row>
    <row r="4693" spans="6:7" x14ac:dyDescent="0.25">
      <c r="F4693" s="17" t="s">
        <v>5314</v>
      </c>
      <c r="G4693" s="17" t="s">
        <v>215</v>
      </c>
    </row>
    <row r="4694" spans="6:7" x14ac:dyDescent="0.25">
      <c r="F4694" s="17" t="s">
        <v>5315</v>
      </c>
      <c r="G4694" s="17" t="s">
        <v>215</v>
      </c>
    </row>
    <row r="4695" spans="6:7" x14ac:dyDescent="0.25">
      <c r="F4695" s="17" t="s">
        <v>5316</v>
      </c>
      <c r="G4695" s="17" t="s">
        <v>215</v>
      </c>
    </row>
    <row r="4696" spans="6:7" x14ac:dyDescent="0.25">
      <c r="F4696" s="17" t="s">
        <v>5317</v>
      </c>
      <c r="G4696" s="17" t="s">
        <v>215</v>
      </c>
    </row>
    <row r="4697" spans="6:7" x14ac:dyDescent="0.25">
      <c r="F4697" s="17" t="s">
        <v>5318</v>
      </c>
      <c r="G4697" s="17" t="s">
        <v>215</v>
      </c>
    </row>
    <row r="4698" spans="6:7" x14ac:dyDescent="0.25">
      <c r="F4698" s="17" t="s">
        <v>5319</v>
      </c>
      <c r="G4698" s="17" t="s">
        <v>215</v>
      </c>
    </row>
    <row r="4699" spans="6:7" x14ac:dyDescent="0.25">
      <c r="F4699" s="17" t="s">
        <v>5320</v>
      </c>
      <c r="G4699" s="17" t="s">
        <v>215</v>
      </c>
    </row>
    <row r="4700" spans="6:7" x14ac:dyDescent="0.25">
      <c r="F4700" s="17" t="s">
        <v>5321</v>
      </c>
      <c r="G4700" s="17" t="s">
        <v>1257</v>
      </c>
    </row>
    <row r="4701" spans="6:7" x14ac:dyDescent="0.25">
      <c r="F4701" s="17" t="s">
        <v>5322</v>
      </c>
      <c r="G4701" s="17" t="s">
        <v>199</v>
      </c>
    </row>
    <row r="4702" spans="6:7" x14ac:dyDescent="0.25">
      <c r="F4702" s="17" t="s">
        <v>5323</v>
      </c>
      <c r="G4702" s="17" t="s">
        <v>199</v>
      </c>
    </row>
    <row r="4703" spans="6:7" x14ac:dyDescent="0.25">
      <c r="F4703" s="17" t="s">
        <v>5324</v>
      </c>
      <c r="G4703" s="17" t="s">
        <v>199</v>
      </c>
    </row>
    <row r="4704" spans="6:7" x14ac:dyDescent="0.25">
      <c r="F4704" s="17" t="s">
        <v>5325</v>
      </c>
      <c r="G4704" s="17" t="s">
        <v>199</v>
      </c>
    </row>
    <row r="4705" spans="6:7" x14ac:dyDescent="0.25">
      <c r="F4705" s="17" t="s">
        <v>5326</v>
      </c>
      <c r="G4705" s="17" t="s">
        <v>199</v>
      </c>
    </row>
    <row r="4706" spans="6:7" x14ac:dyDescent="0.25">
      <c r="F4706" s="17" t="s">
        <v>5327</v>
      </c>
      <c r="G4706" s="17" t="s">
        <v>199</v>
      </c>
    </row>
    <row r="4707" spans="6:7" x14ac:dyDescent="0.25">
      <c r="F4707" s="17" t="s">
        <v>5328</v>
      </c>
      <c r="G4707" s="17" t="s">
        <v>217</v>
      </c>
    </row>
    <row r="4708" spans="6:7" x14ac:dyDescent="0.25">
      <c r="F4708" s="17" t="s">
        <v>5329</v>
      </c>
      <c r="G4708" s="17" t="s">
        <v>199</v>
      </c>
    </row>
    <row r="4709" spans="6:7" x14ac:dyDescent="0.25">
      <c r="F4709" s="17" t="s">
        <v>5330</v>
      </c>
      <c r="G4709" s="17" t="s">
        <v>199</v>
      </c>
    </row>
    <row r="4710" spans="6:7" x14ac:dyDescent="0.25">
      <c r="F4710" s="17" t="s">
        <v>5331</v>
      </c>
      <c r="G4710" s="17" t="s">
        <v>215</v>
      </c>
    </row>
    <row r="4711" spans="6:7" x14ac:dyDescent="0.25">
      <c r="F4711" s="17" t="s">
        <v>5332</v>
      </c>
      <c r="G4711" s="17" t="s">
        <v>215</v>
      </c>
    </row>
    <row r="4712" spans="6:7" x14ac:dyDescent="0.25">
      <c r="F4712" s="17" t="s">
        <v>5333</v>
      </c>
      <c r="G4712" s="17" t="s">
        <v>215</v>
      </c>
    </row>
    <row r="4713" spans="6:7" x14ac:dyDescent="0.25">
      <c r="F4713" s="17" t="s">
        <v>5334</v>
      </c>
      <c r="G4713" s="17" t="s">
        <v>215</v>
      </c>
    </row>
    <row r="4714" spans="6:7" x14ac:dyDescent="0.25">
      <c r="F4714" s="17" t="s">
        <v>5335</v>
      </c>
      <c r="G4714" s="17" t="s">
        <v>215</v>
      </c>
    </row>
    <row r="4715" spans="6:7" x14ac:dyDescent="0.25">
      <c r="F4715" s="17" t="s">
        <v>5336</v>
      </c>
      <c r="G4715" s="17" t="s">
        <v>215</v>
      </c>
    </row>
    <row r="4716" spans="6:7" x14ac:dyDescent="0.25">
      <c r="F4716" s="17" t="s">
        <v>5337</v>
      </c>
      <c r="G4716" s="17" t="s">
        <v>215</v>
      </c>
    </row>
    <row r="4717" spans="6:7" x14ac:dyDescent="0.25">
      <c r="F4717" s="17" t="s">
        <v>5338</v>
      </c>
      <c r="G4717" s="17" t="s">
        <v>215</v>
      </c>
    </row>
    <row r="4718" spans="6:7" x14ac:dyDescent="0.25">
      <c r="F4718" s="17" t="s">
        <v>5339</v>
      </c>
      <c r="G4718" s="17" t="s">
        <v>215</v>
      </c>
    </row>
    <row r="4719" spans="6:7" x14ac:dyDescent="0.25">
      <c r="F4719" s="17" t="s">
        <v>5340</v>
      </c>
      <c r="G4719" s="17" t="s">
        <v>215</v>
      </c>
    </row>
    <row r="4720" spans="6:7" x14ac:dyDescent="0.25">
      <c r="F4720" s="17" t="s">
        <v>5341</v>
      </c>
      <c r="G4720" s="17" t="s">
        <v>215</v>
      </c>
    </row>
    <row r="4721" spans="6:7" x14ac:dyDescent="0.25">
      <c r="F4721" s="17" t="s">
        <v>5342</v>
      </c>
      <c r="G4721" s="17" t="s">
        <v>215</v>
      </c>
    </row>
    <row r="4722" spans="6:7" x14ac:dyDescent="0.25">
      <c r="F4722" s="17" t="s">
        <v>610</v>
      </c>
      <c r="G4722" s="17" t="s">
        <v>215</v>
      </c>
    </row>
    <row r="4723" spans="6:7" x14ac:dyDescent="0.25">
      <c r="F4723" s="17" t="s">
        <v>444</v>
      </c>
      <c r="G4723" s="17" t="s">
        <v>215</v>
      </c>
    </row>
    <row r="4724" spans="6:7" x14ac:dyDescent="0.25">
      <c r="F4724" s="17" t="s">
        <v>371</v>
      </c>
      <c r="G4724" s="17" t="s">
        <v>215</v>
      </c>
    </row>
    <row r="4725" spans="6:7" x14ac:dyDescent="0.25">
      <c r="F4725" s="17" t="s">
        <v>5343</v>
      </c>
      <c r="G4725" s="17" t="s">
        <v>215</v>
      </c>
    </row>
    <row r="4726" spans="6:7" x14ac:dyDescent="0.25">
      <c r="F4726" s="17" t="s">
        <v>842</v>
      </c>
      <c r="G4726" s="17" t="s">
        <v>215</v>
      </c>
    </row>
    <row r="4727" spans="6:7" x14ac:dyDescent="0.25">
      <c r="F4727" s="17" t="s">
        <v>540</v>
      </c>
      <c r="G4727" s="17" t="s">
        <v>215</v>
      </c>
    </row>
    <row r="4728" spans="6:7" x14ac:dyDescent="0.25">
      <c r="F4728" s="17" t="s">
        <v>5344</v>
      </c>
      <c r="G4728" s="17" t="s">
        <v>215</v>
      </c>
    </row>
    <row r="4729" spans="6:7" x14ac:dyDescent="0.25">
      <c r="F4729" s="17" t="s">
        <v>5345</v>
      </c>
      <c r="G4729" s="17" t="s">
        <v>215</v>
      </c>
    </row>
    <row r="4730" spans="6:7" x14ac:dyDescent="0.25">
      <c r="F4730" s="17" t="s">
        <v>5346</v>
      </c>
      <c r="G4730" s="17" t="s">
        <v>215</v>
      </c>
    </row>
    <row r="4731" spans="6:7" x14ac:dyDescent="0.25">
      <c r="F4731" s="17" t="s">
        <v>5347</v>
      </c>
      <c r="G4731" s="17" t="s">
        <v>215</v>
      </c>
    </row>
    <row r="4732" spans="6:7" x14ac:dyDescent="0.25">
      <c r="F4732" s="17" t="s">
        <v>5348</v>
      </c>
      <c r="G4732" s="17" t="s">
        <v>215</v>
      </c>
    </row>
    <row r="4733" spans="6:7" x14ac:dyDescent="0.25">
      <c r="F4733" s="17" t="s">
        <v>5349</v>
      </c>
      <c r="G4733" s="17" t="s">
        <v>215</v>
      </c>
    </row>
    <row r="4734" spans="6:7" x14ac:dyDescent="0.25">
      <c r="F4734" s="17" t="s">
        <v>5350</v>
      </c>
      <c r="G4734" s="17" t="s">
        <v>215</v>
      </c>
    </row>
    <row r="4735" spans="6:7" x14ac:dyDescent="0.25">
      <c r="F4735" s="17" t="s">
        <v>5351</v>
      </c>
      <c r="G4735" s="17" t="s">
        <v>215</v>
      </c>
    </row>
    <row r="4736" spans="6:7" x14ac:dyDescent="0.25">
      <c r="F4736" s="17" t="s">
        <v>5352</v>
      </c>
      <c r="G4736" s="17" t="s">
        <v>215</v>
      </c>
    </row>
    <row r="4737" spans="6:7" x14ac:dyDescent="0.25">
      <c r="F4737" s="17" t="s">
        <v>5353</v>
      </c>
      <c r="G4737" s="17" t="s">
        <v>215</v>
      </c>
    </row>
    <row r="4738" spans="6:7" x14ac:dyDescent="0.25">
      <c r="F4738" s="17" t="s">
        <v>5354</v>
      </c>
      <c r="G4738" s="17" t="s">
        <v>215</v>
      </c>
    </row>
    <row r="4739" spans="6:7" x14ac:dyDescent="0.25">
      <c r="F4739" s="17" t="s">
        <v>5355</v>
      </c>
      <c r="G4739" s="17" t="s">
        <v>215</v>
      </c>
    </row>
    <row r="4740" spans="6:7" x14ac:dyDescent="0.25">
      <c r="F4740" s="17" t="s">
        <v>5356</v>
      </c>
      <c r="G4740" s="17" t="s">
        <v>215</v>
      </c>
    </row>
    <row r="4741" spans="6:7" x14ac:dyDescent="0.25">
      <c r="F4741" s="17" t="s">
        <v>959</v>
      </c>
      <c r="G4741" s="17" t="s">
        <v>215</v>
      </c>
    </row>
    <row r="4742" spans="6:7" x14ac:dyDescent="0.25">
      <c r="F4742" s="17" t="s">
        <v>685</v>
      </c>
      <c r="G4742" s="17" t="s">
        <v>215</v>
      </c>
    </row>
    <row r="4743" spans="6:7" x14ac:dyDescent="0.25">
      <c r="F4743" s="17" t="s">
        <v>407</v>
      </c>
      <c r="G4743" s="17" t="s">
        <v>215</v>
      </c>
    </row>
    <row r="4744" spans="6:7" x14ac:dyDescent="0.25">
      <c r="F4744" s="17" t="s">
        <v>5357</v>
      </c>
      <c r="G4744" s="17" t="s">
        <v>215</v>
      </c>
    </row>
    <row r="4745" spans="6:7" x14ac:dyDescent="0.25">
      <c r="F4745" s="17" t="s">
        <v>5358</v>
      </c>
      <c r="G4745" s="17" t="s">
        <v>215</v>
      </c>
    </row>
    <row r="4746" spans="6:7" x14ac:dyDescent="0.25">
      <c r="F4746" s="17" t="s">
        <v>5359</v>
      </c>
      <c r="G4746" s="17" t="s">
        <v>197</v>
      </c>
    </row>
    <row r="4747" spans="6:7" x14ac:dyDescent="0.25">
      <c r="F4747" s="17" t="s">
        <v>5360</v>
      </c>
      <c r="G4747" s="17" t="s">
        <v>217</v>
      </c>
    </row>
    <row r="4748" spans="6:7" x14ac:dyDescent="0.25">
      <c r="F4748" s="17" t="s">
        <v>5361</v>
      </c>
      <c r="G4748" s="17" t="s">
        <v>217</v>
      </c>
    </row>
    <row r="4749" spans="6:7" x14ac:dyDescent="0.25">
      <c r="F4749" s="17" t="s">
        <v>5362</v>
      </c>
      <c r="G4749" s="17" t="s">
        <v>217</v>
      </c>
    </row>
    <row r="4750" spans="6:7" x14ac:dyDescent="0.25">
      <c r="F4750" s="17" t="s">
        <v>5363</v>
      </c>
      <c r="G4750" s="17" t="s">
        <v>197</v>
      </c>
    </row>
    <row r="4751" spans="6:7" x14ac:dyDescent="0.25">
      <c r="F4751" s="17" t="s">
        <v>5364</v>
      </c>
      <c r="G4751" s="17" t="s">
        <v>217</v>
      </c>
    </row>
    <row r="4752" spans="6:7" x14ac:dyDescent="0.25">
      <c r="F4752" s="17" t="s">
        <v>5365</v>
      </c>
      <c r="G4752" s="17" t="s">
        <v>217</v>
      </c>
    </row>
    <row r="4753" spans="6:7" x14ac:dyDescent="0.25">
      <c r="F4753" s="17" t="s">
        <v>5366</v>
      </c>
      <c r="G4753" s="17" t="s">
        <v>217</v>
      </c>
    </row>
    <row r="4754" spans="6:7" x14ac:dyDescent="0.25">
      <c r="F4754" s="17" t="s">
        <v>5367</v>
      </c>
      <c r="G4754" s="17" t="s">
        <v>215</v>
      </c>
    </row>
    <row r="4755" spans="6:7" x14ac:dyDescent="0.25">
      <c r="F4755" s="17" t="s">
        <v>5368</v>
      </c>
      <c r="G4755" s="17" t="s">
        <v>215</v>
      </c>
    </row>
    <row r="4756" spans="6:7" x14ac:dyDescent="0.25">
      <c r="F4756" s="17" t="s">
        <v>5369</v>
      </c>
      <c r="G4756" s="17" t="s">
        <v>215</v>
      </c>
    </row>
    <row r="4757" spans="6:7" x14ac:dyDescent="0.25">
      <c r="F4757" s="17" t="s">
        <v>5370</v>
      </c>
      <c r="G4757" s="17" t="s">
        <v>215</v>
      </c>
    </row>
    <row r="4758" spans="6:7" x14ac:dyDescent="0.25">
      <c r="F4758" s="17" t="s">
        <v>5371</v>
      </c>
      <c r="G4758" s="17" t="s">
        <v>215</v>
      </c>
    </row>
    <row r="4759" spans="6:7" x14ac:dyDescent="0.25">
      <c r="F4759" s="17" t="s">
        <v>651</v>
      </c>
      <c r="G4759" s="17" t="s">
        <v>215</v>
      </c>
    </row>
    <row r="4760" spans="6:7" x14ac:dyDescent="0.25">
      <c r="F4760" s="17" t="s">
        <v>5372</v>
      </c>
      <c r="G4760" s="17" t="s">
        <v>215</v>
      </c>
    </row>
    <row r="4761" spans="6:7" x14ac:dyDescent="0.25">
      <c r="F4761" s="17" t="s">
        <v>5373</v>
      </c>
      <c r="G4761" s="17" t="s">
        <v>215</v>
      </c>
    </row>
    <row r="4762" spans="6:7" x14ac:dyDescent="0.25">
      <c r="F4762" s="17" t="s">
        <v>5374</v>
      </c>
      <c r="G4762" s="17" t="s">
        <v>215</v>
      </c>
    </row>
    <row r="4763" spans="6:7" x14ac:dyDescent="0.25">
      <c r="F4763" s="17" t="s">
        <v>5375</v>
      </c>
      <c r="G4763" s="17" t="s">
        <v>215</v>
      </c>
    </row>
    <row r="4764" spans="6:7" x14ac:dyDescent="0.25">
      <c r="F4764" s="17" t="s">
        <v>5376</v>
      </c>
      <c r="G4764" s="17" t="s">
        <v>215</v>
      </c>
    </row>
    <row r="4765" spans="6:7" x14ac:dyDescent="0.25">
      <c r="F4765" s="17" t="s">
        <v>5377</v>
      </c>
      <c r="G4765" s="17" t="s">
        <v>215</v>
      </c>
    </row>
    <row r="4766" spans="6:7" x14ac:dyDescent="0.25">
      <c r="F4766" s="17" t="s">
        <v>718</v>
      </c>
      <c r="G4766" s="17" t="s">
        <v>215</v>
      </c>
    </row>
    <row r="4767" spans="6:7" x14ac:dyDescent="0.25">
      <c r="F4767" s="17" t="s">
        <v>5378</v>
      </c>
      <c r="G4767" s="17" t="s">
        <v>215</v>
      </c>
    </row>
    <row r="4768" spans="6:7" x14ac:dyDescent="0.25">
      <c r="F4768" s="17" t="s">
        <v>5379</v>
      </c>
      <c r="G4768" s="17" t="s">
        <v>215</v>
      </c>
    </row>
    <row r="4769" spans="6:7" x14ac:dyDescent="0.25">
      <c r="F4769" s="17" t="s">
        <v>5380</v>
      </c>
      <c r="G4769" s="17" t="s">
        <v>215</v>
      </c>
    </row>
    <row r="4770" spans="6:7" x14ac:dyDescent="0.25">
      <c r="F4770" s="17" t="s">
        <v>5381</v>
      </c>
      <c r="G4770" s="17" t="s">
        <v>215</v>
      </c>
    </row>
    <row r="4771" spans="6:7" x14ac:dyDescent="0.25">
      <c r="F4771" s="17" t="s">
        <v>5382</v>
      </c>
      <c r="G4771" s="17" t="s">
        <v>215</v>
      </c>
    </row>
    <row r="4772" spans="6:7" x14ac:dyDescent="0.25">
      <c r="F4772" s="17" t="s">
        <v>5383</v>
      </c>
      <c r="G4772" s="17" t="s">
        <v>215</v>
      </c>
    </row>
    <row r="4773" spans="6:7" x14ac:dyDescent="0.25">
      <c r="F4773" s="17" t="s">
        <v>5384</v>
      </c>
      <c r="G4773" s="17" t="s">
        <v>215</v>
      </c>
    </row>
    <row r="4774" spans="6:7" x14ac:dyDescent="0.25">
      <c r="F4774" s="17" t="s">
        <v>5385</v>
      </c>
      <c r="G4774" s="17" t="s">
        <v>215</v>
      </c>
    </row>
    <row r="4775" spans="6:7" x14ac:dyDescent="0.25">
      <c r="F4775" s="17" t="s">
        <v>708</v>
      </c>
      <c r="G4775" s="17" t="s">
        <v>215</v>
      </c>
    </row>
    <row r="4776" spans="6:7" x14ac:dyDescent="0.25">
      <c r="F4776" s="17" t="s">
        <v>5386</v>
      </c>
      <c r="G4776" s="17" t="s">
        <v>215</v>
      </c>
    </row>
    <row r="4777" spans="6:7" x14ac:dyDescent="0.25">
      <c r="F4777" s="17" t="s">
        <v>824</v>
      </c>
      <c r="G4777" s="17" t="s">
        <v>215</v>
      </c>
    </row>
    <row r="4778" spans="6:7" x14ac:dyDescent="0.25">
      <c r="F4778" s="17" t="s">
        <v>5387</v>
      </c>
      <c r="G4778" s="17" t="s">
        <v>215</v>
      </c>
    </row>
    <row r="4779" spans="6:7" x14ac:dyDescent="0.25">
      <c r="F4779" s="17" t="s">
        <v>5388</v>
      </c>
      <c r="G4779" s="17" t="s">
        <v>215</v>
      </c>
    </row>
    <row r="4780" spans="6:7" x14ac:dyDescent="0.25">
      <c r="F4780" s="17" t="s">
        <v>5389</v>
      </c>
      <c r="G4780" s="17" t="s">
        <v>215</v>
      </c>
    </row>
    <row r="4781" spans="6:7" x14ac:dyDescent="0.25">
      <c r="F4781" s="17" t="s">
        <v>5390</v>
      </c>
      <c r="G4781" s="17" t="s">
        <v>215</v>
      </c>
    </row>
    <row r="4782" spans="6:7" x14ac:dyDescent="0.25">
      <c r="F4782" s="17" t="s">
        <v>5391</v>
      </c>
      <c r="G4782" s="17" t="s">
        <v>217</v>
      </c>
    </row>
    <row r="4783" spans="6:7" x14ac:dyDescent="0.25">
      <c r="F4783" s="17" t="s">
        <v>5392</v>
      </c>
      <c r="G4783" s="17" t="s">
        <v>217</v>
      </c>
    </row>
    <row r="4784" spans="6:7" x14ac:dyDescent="0.25">
      <c r="F4784" s="17" t="s">
        <v>5393</v>
      </c>
      <c r="G4784" s="17" t="s">
        <v>217</v>
      </c>
    </row>
    <row r="4785" spans="6:7" x14ac:dyDescent="0.25">
      <c r="F4785" s="17" t="s">
        <v>5394</v>
      </c>
      <c r="G4785" s="17" t="s">
        <v>217</v>
      </c>
    </row>
    <row r="4786" spans="6:7" x14ac:dyDescent="0.25">
      <c r="F4786" s="17" t="s">
        <v>425</v>
      </c>
      <c r="G4786" s="17" t="s">
        <v>217</v>
      </c>
    </row>
    <row r="4787" spans="6:7" x14ac:dyDescent="0.25">
      <c r="F4787" s="17" t="s">
        <v>5395</v>
      </c>
      <c r="G4787" s="17" t="s">
        <v>217</v>
      </c>
    </row>
    <row r="4788" spans="6:7" x14ac:dyDescent="0.25">
      <c r="F4788" s="17" t="s">
        <v>5396</v>
      </c>
      <c r="G4788" s="17" t="s">
        <v>217</v>
      </c>
    </row>
    <row r="4789" spans="6:7" x14ac:dyDescent="0.25">
      <c r="F4789" s="17" t="s">
        <v>5397</v>
      </c>
      <c r="G4789" s="17" t="s">
        <v>217</v>
      </c>
    </row>
    <row r="4790" spans="6:7" x14ac:dyDescent="0.25">
      <c r="F4790" s="17" t="s">
        <v>5398</v>
      </c>
      <c r="G4790" s="17" t="s">
        <v>217</v>
      </c>
    </row>
    <row r="4791" spans="6:7" x14ac:dyDescent="0.25">
      <c r="F4791" s="17" t="s">
        <v>5399</v>
      </c>
      <c r="G4791" s="17" t="s">
        <v>217</v>
      </c>
    </row>
    <row r="4792" spans="6:7" x14ac:dyDescent="0.25">
      <c r="F4792" s="17" t="s">
        <v>5400</v>
      </c>
      <c r="G4792" s="17" t="s">
        <v>217</v>
      </c>
    </row>
    <row r="4793" spans="6:7" x14ac:dyDescent="0.25">
      <c r="F4793" s="17" t="s">
        <v>5401</v>
      </c>
      <c r="G4793" s="17" t="s">
        <v>217</v>
      </c>
    </row>
    <row r="4794" spans="6:7" x14ac:dyDescent="0.25">
      <c r="F4794" s="17" t="s">
        <v>5402</v>
      </c>
      <c r="G4794" s="17" t="s">
        <v>217</v>
      </c>
    </row>
    <row r="4795" spans="6:7" x14ac:dyDescent="0.25">
      <c r="F4795" s="17" t="s">
        <v>5403</v>
      </c>
      <c r="G4795" s="17" t="s">
        <v>217</v>
      </c>
    </row>
    <row r="4796" spans="6:7" x14ac:dyDescent="0.25">
      <c r="F4796" s="17" t="s">
        <v>5404</v>
      </c>
      <c r="G4796" s="17" t="s">
        <v>217</v>
      </c>
    </row>
    <row r="4797" spans="6:7" x14ac:dyDescent="0.25">
      <c r="F4797" s="17" t="s">
        <v>5405</v>
      </c>
      <c r="G4797" s="17" t="s">
        <v>217</v>
      </c>
    </row>
    <row r="4798" spans="6:7" x14ac:dyDescent="0.25">
      <c r="F4798" s="17" t="s">
        <v>5406</v>
      </c>
      <c r="G4798" s="17" t="s">
        <v>217</v>
      </c>
    </row>
    <row r="4799" spans="6:7" x14ac:dyDescent="0.25">
      <c r="F4799" s="17" t="s">
        <v>5407</v>
      </c>
      <c r="G4799" s="17" t="s">
        <v>217</v>
      </c>
    </row>
    <row r="4800" spans="6:7" x14ac:dyDescent="0.25">
      <c r="F4800" s="17" t="s">
        <v>5408</v>
      </c>
      <c r="G4800" s="17" t="s">
        <v>217</v>
      </c>
    </row>
    <row r="4801" spans="6:7" x14ac:dyDescent="0.25">
      <c r="F4801" s="17" t="s">
        <v>5409</v>
      </c>
      <c r="G4801" s="17" t="s">
        <v>217</v>
      </c>
    </row>
    <row r="4802" spans="6:7" x14ac:dyDescent="0.25">
      <c r="F4802" s="17" t="s">
        <v>5410</v>
      </c>
      <c r="G4802" s="17" t="s">
        <v>217</v>
      </c>
    </row>
    <row r="4803" spans="6:7" x14ac:dyDescent="0.25">
      <c r="F4803" s="17" t="s">
        <v>5411</v>
      </c>
      <c r="G4803" s="17" t="s">
        <v>217</v>
      </c>
    </row>
    <row r="4804" spans="6:7" x14ac:dyDescent="0.25">
      <c r="F4804" s="17" t="s">
        <v>5412</v>
      </c>
      <c r="G4804" s="17" t="s">
        <v>217</v>
      </c>
    </row>
    <row r="4805" spans="6:7" x14ac:dyDescent="0.25">
      <c r="F4805" s="17" t="s">
        <v>5413</v>
      </c>
      <c r="G4805" s="17" t="s">
        <v>217</v>
      </c>
    </row>
    <row r="4806" spans="6:7" x14ac:dyDescent="0.25">
      <c r="F4806" s="17" t="s">
        <v>5414</v>
      </c>
      <c r="G4806" s="17" t="s">
        <v>217</v>
      </c>
    </row>
    <row r="4807" spans="6:7" x14ac:dyDescent="0.25">
      <c r="F4807" s="17" t="s">
        <v>927</v>
      </c>
      <c r="G4807" s="17" t="s">
        <v>217</v>
      </c>
    </row>
    <row r="4808" spans="6:7" x14ac:dyDescent="0.25">
      <c r="F4808" s="17" t="s">
        <v>784</v>
      </c>
      <c r="G4808" s="17" t="s">
        <v>217</v>
      </c>
    </row>
    <row r="4809" spans="6:7" x14ac:dyDescent="0.25">
      <c r="F4809" s="17" t="s">
        <v>5415</v>
      </c>
      <c r="G4809" s="17" t="s">
        <v>217</v>
      </c>
    </row>
    <row r="4810" spans="6:7" x14ac:dyDescent="0.25">
      <c r="F4810" s="17" t="s">
        <v>885</v>
      </c>
      <c r="G4810" s="17" t="s">
        <v>217</v>
      </c>
    </row>
    <row r="4811" spans="6:7" x14ac:dyDescent="0.25">
      <c r="F4811" s="17" t="s">
        <v>966</v>
      </c>
      <c r="G4811" s="17" t="s">
        <v>217</v>
      </c>
    </row>
    <row r="4812" spans="6:7" x14ac:dyDescent="0.25">
      <c r="F4812" s="17" t="s">
        <v>5416</v>
      </c>
      <c r="G4812" s="17" t="s">
        <v>217</v>
      </c>
    </row>
    <row r="4813" spans="6:7" x14ac:dyDescent="0.25">
      <c r="F4813" s="17" t="s">
        <v>5417</v>
      </c>
      <c r="G4813" s="17" t="s">
        <v>217</v>
      </c>
    </row>
    <row r="4814" spans="6:7" x14ac:dyDescent="0.25">
      <c r="F4814" s="17" t="s">
        <v>978</v>
      </c>
      <c r="G4814" s="17" t="s">
        <v>217</v>
      </c>
    </row>
    <row r="4815" spans="6:7" x14ac:dyDescent="0.25">
      <c r="F4815" s="17" t="s">
        <v>5418</v>
      </c>
      <c r="G4815" s="17" t="s">
        <v>217</v>
      </c>
    </row>
    <row r="4816" spans="6:7" x14ac:dyDescent="0.25">
      <c r="F4816" s="17" t="s">
        <v>5419</v>
      </c>
      <c r="G4816" s="17" t="s">
        <v>217</v>
      </c>
    </row>
    <row r="4817" spans="6:7" x14ac:dyDescent="0.25">
      <c r="F4817" s="17" t="s">
        <v>5420</v>
      </c>
      <c r="G4817" s="17" t="s">
        <v>217</v>
      </c>
    </row>
    <row r="4818" spans="6:7" x14ac:dyDescent="0.25">
      <c r="F4818" s="17" t="s">
        <v>5421</v>
      </c>
      <c r="G4818" s="17" t="s">
        <v>217</v>
      </c>
    </row>
    <row r="4819" spans="6:7" x14ac:dyDescent="0.25">
      <c r="F4819" s="17" t="s">
        <v>5422</v>
      </c>
      <c r="G4819" s="17" t="s">
        <v>217</v>
      </c>
    </row>
    <row r="4820" spans="6:7" x14ac:dyDescent="0.25">
      <c r="F4820" s="17" t="s">
        <v>544</v>
      </c>
      <c r="G4820" s="17" t="s">
        <v>217</v>
      </c>
    </row>
    <row r="4821" spans="6:7" x14ac:dyDescent="0.25">
      <c r="F4821" s="17" t="s">
        <v>663</v>
      </c>
      <c r="G4821" s="17" t="s">
        <v>217</v>
      </c>
    </row>
    <row r="4822" spans="6:7" x14ac:dyDescent="0.25">
      <c r="F4822" s="17" t="s">
        <v>5423</v>
      </c>
      <c r="G4822" s="17" t="s">
        <v>217</v>
      </c>
    </row>
    <row r="4823" spans="6:7" x14ac:dyDescent="0.25">
      <c r="F4823" s="17" t="s">
        <v>5424</v>
      </c>
      <c r="G4823" s="17" t="s">
        <v>217</v>
      </c>
    </row>
    <row r="4824" spans="6:7" x14ac:dyDescent="0.25">
      <c r="F4824" s="17" t="s">
        <v>702</v>
      </c>
      <c r="G4824" s="17" t="s">
        <v>217</v>
      </c>
    </row>
    <row r="4825" spans="6:7" x14ac:dyDescent="0.25">
      <c r="F4825" s="17" t="s">
        <v>891</v>
      </c>
      <c r="G4825" s="17" t="s">
        <v>217</v>
      </c>
    </row>
    <row r="4826" spans="6:7" x14ac:dyDescent="0.25">
      <c r="F4826" s="17" t="s">
        <v>5425</v>
      </c>
      <c r="G4826" s="17" t="s">
        <v>217</v>
      </c>
    </row>
    <row r="4827" spans="6:7" x14ac:dyDescent="0.25">
      <c r="F4827" s="17" t="s">
        <v>5426</v>
      </c>
      <c r="G4827" s="17" t="s">
        <v>217</v>
      </c>
    </row>
    <row r="4828" spans="6:7" x14ac:dyDescent="0.25">
      <c r="F4828" s="17" t="s">
        <v>484</v>
      </c>
      <c r="G4828" s="17" t="s">
        <v>217</v>
      </c>
    </row>
    <row r="4829" spans="6:7" x14ac:dyDescent="0.25">
      <c r="F4829" s="17" t="s">
        <v>5427</v>
      </c>
      <c r="G4829" s="17" t="s">
        <v>217</v>
      </c>
    </row>
    <row r="4830" spans="6:7" x14ac:dyDescent="0.25">
      <c r="F4830" s="17" t="s">
        <v>5428</v>
      </c>
      <c r="G4830" s="17" t="s">
        <v>217</v>
      </c>
    </row>
    <row r="4831" spans="6:7" x14ac:dyDescent="0.25">
      <c r="F4831" s="17" t="s">
        <v>5429</v>
      </c>
      <c r="G4831" s="17" t="s">
        <v>217</v>
      </c>
    </row>
    <row r="4832" spans="6:7" x14ac:dyDescent="0.25">
      <c r="F4832" s="17" t="s">
        <v>5430</v>
      </c>
      <c r="G4832" s="17" t="s">
        <v>217</v>
      </c>
    </row>
    <row r="4833" spans="6:7" x14ac:dyDescent="0.25">
      <c r="F4833" s="17" t="s">
        <v>5431</v>
      </c>
      <c r="G4833" s="17" t="s">
        <v>217</v>
      </c>
    </row>
    <row r="4834" spans="6:7" x14ac:dyDescent="0.25">
      <c r="F4834" s="17" t="s">
        <v>5432</v>
      </c>
      <c r="G4834" s="17" t="s">
        <v>217</v>
      </c>
    </row>
    <row r="4835" spans="6:7" x14ac:dyDescent="0.25">
      <c r="F4835" s="17" t="s">
        <v>879</v>
      </c>
      <c r="G4835" s="17" t="s">
        <v>217</v>
      </c>
    </row>
    <row r="4836" spans="6:7" x14ac:dyDescent="0.25">
      <c r="F4836" s="17" t="s">
        <v>5433</v>
      </c>
      <c r="G4836" s="17" t="s">
        <v>217</v>
      </c>
    </row>
    <row r="4837" spans="6:7" x14ac:dyDescent="0.25">
      <c r="F4837" s="17" t="s">
        <v>5434</v>
      </c>
      <c r="G4837" s="17" t="s">
        <v>217</v>
      </c>
    </row>
    <row r="4838" spans="6:7" x14ac:dyDescent="0.25">
      <c r="F4838" s="17" t="s">
        <v>5435</v>
      </c>
      <c r="G4838" s="17" t="s">
        <v>217</v>
      </c>
    </row>
    <row r="4839" spans="6:7" x14ac:dyDescent="0.25">
      <c r="F4839" s="17" t="s">
        <v>5436</v>
      </c>
      <c r="G4839" s="17" t="s">
        <v>217</v>
      </c>
    </row>
    <row r="4840" spans="6:7" x14ac:dyDescent="0.25">
      <c r="F4840" s="17" t="s">
        <v>5437</v>
      </c>
      <c r="G4840" s="17" t="s">
        <v>217</v>
      </c>
    </row>
    <row r="4841" spans="6:7" x14ac:dyDescent="0.25">
      <c r="F4841" s="17" t="s">
        <v>817</v>
      </c>
      <c r="G4841" s="17" t="s">
        <v>217</v>
      </c>
    </row>
    <row r="4842" spans="6:7" x14ac:dyDescent="0.25">
      <c r="F4842" s="17" t="s">
        <v>5438</v>
      </c>
      <c r="G4842" s="17" t="s">
        <v>217</v>
      </c>
    </row>
    <row r="4843" spans="6:7" x14ac:dyDescent="0.25">
      <c r="F4843" s="17" t="s">
        <v>341</v>
      </c>
      <c r="G4843" s="17" t="s">
        <v>217</v>
      </c>
    </row>
    <row r="4844" spans="6:7" x14ac:dyDescent="0.25">
      <c r="F4844" s="17" t="s">
        <v>5439</v>
      </c>
      <c r="G4844" s="17" t="s">
        <v>217</v>
      </c>
    </row>
    <row r="4845" spans="6:7" x14ac:dyDescent="0.25">
      <c r="F4845" s="17" t="s">
        <v>5440</v>
      </c>
      <c r="G4845" s="17" t="s">
        <v>217</v>
      </c>
    </row>
    <row r="4846" spans="6:7" x14ac:dyDescent="0.25">
      <c r="F4846" s="17" t="s">
        <v>5441</v>
      </c>
      <c r="G4846" s="17" t="s">
        <v>217</v>
      </c>
    </row>
    <row r="4847" spans="6:7" x14ac:dyDescent="0.25">
      <c r="F4847" s="17" t="s">
        <v>5442</v>
      </c>
      <c r="G4847" s="17" t="s">
        <v>217</v>
      </c>
    </row>
    <row r="4848" spans="6:7" x14ac:dyDescent="0.25">
      <c r="F4848" s="17" t="s">
        <v>5443</v>
      </c>
      <c r="G4848" s="17" t="s">
        <v>217</v>
      </c>
    </row>
    <row r="4849" spans="6:7" x14ac:dyDescent="0.25">
      <c r="F4849" s="17" t="s">
        <v>5444</v>
      </c>
      <c r="G4849" s="17" t="s">
        <v>217</v>
      </c>
    </row>
    <row r="4850" spans="6:7" x14ac:dyDescent="0.25">
      <c r="F4850" s="17" t="s">
        <v>5445</v>
      </c>
      <c r="G4850" s="17" t="s">
        <v>217</v>
      </c>
    </row>
    <row r="4851" spans="6:7" x14ac:dyDescent="0.25">
      <c r="F4851" s="17" t="s">
        <v>5446</v>
      </c>
      <c r="G4851" s="17" t="s">
        <v>217</v>
      </c>
    </row>
    <row r="4852" spans="6:7" x14ac:dyDescent="0.25">
      <c r="F4852" s="17" t="s">
        <v>5447</v>
      </c>
      <c r="G4852" s="17" t="s">
        <v>217</v>
      </c>
    </row>
    <row r="4853" spans="6:7" x14ac:dyDescent="0.25">
      <c r="F4853" s="17" t="s">
        <v>5448</v>
      </c>
      <c r="G4853" s="17" t="s">
        <v>217</v>
      </c>
    </row>
    <row r="4854" spans="6:7" x14ac:dyDescent="0.25">
      <c r="F4854" s="17" t="s">
        <v>5449</v>
      </c>
      <c r="G4854" s="17" t="s">
        <v>217</v>
      </c>
    </row>
    <row r="4855" spans="6:7" x14ac:dyDescent="0.25">
      <c r="F4855" s="17" t="s">
        <v>5450</v>
      </c>
      <c r="G4855" s="17" t="s">
        <v>217</v>
      </c>
    </row>
    <row r="4856" spans="6:7" x14ac:dyDescent="0.25">
      <c r="F4856" s="17" t="s">
        <v>5451</v>
      </c>
      <c r="G4856" s="17" t="s">
        <v>217</v>
      </c>
    </row>
    <row r="4857" spans="6:7" x14ac:dyDescent="0.25">
      <c r="F4857" s="17" t="s">
        <v>5452</v>
      </c>
      <c r="G4857" s="17" t="s">
        <v>217</v>
      </c>
    </row>
    <row r="4858" spans="6:7" x14ac:dyDescent="0.25">
      <c r="F4858" s="17" t="s">
        <v>5453</v>
      </c>
      <c r="G4858" s="17" t="s">
        <v>217</v>
      </c>
    </row>
    <row r="4859" spans="6:7" x14ac:dyDescent="0.25">
      <c r="F4859" s="17" t="s">
        <v>5454</v>
      </c>
      <c r="G4859" s="17" t="s">
        <v>217</v>
      </c>
    </row>
    <row r="4860" spans="6:7" x14ac:dyDescent="0.25">
      <c r="F4860" s="17" t="s">
        <v>602</v>
      </c>
      <c r="G4860" s="17" t="s">
        <v>217</v>
      </c>
    </row>
    <row r="4861" spans="6:7" x14ac:dyDescent="0.25">
      <c r="F4861" s="17" t="s">
        <v>5455</v>
      </c>
      <c r="G4861" s="17" t="s">
        <v>217</v>
      </c>
    </row>
    <row r="4862" spans="6:7" x14ac:dyDescent="0.25">
      <c r="F4862" s="17" t="s">
        <v>5456</v>
      </c>
      <c r="G4862" s="17" t="s">
        <v>217</v>
      </c>
    </row>
    <row r="4863" spans="6:7" x14ac:dyDescent="0.25">
      <c r="F4863" s="17" t="s">
        <v>5457</v>
      </c>
      <c r="G4863" s="17" t="s">
        <v>217</v>
      </c>
    </row>
    <row r="4864" spans="6:7" x14ac:dyDescent="0.25">
      <c r="F4864" s="17" t="s">
        <v>5458</v>
      </c>
      <c r="G4864" s="17" t="s">
        <v>217</v>
      </c>
    </row>
    <row r="4865" spans="6:7" x14ac:dyDescent="0.25">
      <c r="F4865" s="17" t="s">
        <v>5459</v>
      </c>
      <c r="G4865" s="17" t="s">
        <v>211</v>
      </c>
    </row>
    <row r="4866" spans="6:7" x14ac:dyDescent="0.25">
      <c r="F4866" s="17" t="s">
        <v>5460</v>
      </c>
      <c r="G4866" s="17" t="s">
        <v>211</v>
      </c>
    </row>
    <row r="4867" spans="6:7" x14ac:dyDescent="0.25">
      <c r="F4867" s="17" t="s">
        <v>5461</v>
      </c>
      <c r="G4867" s="17" t="s">
        <v>211</v>
      </c>
    </row>
    <row r="4868" spans="6:7" x14ac:dyDescent="0.25">
      <c r="F4868" s="17" t="s">
        <v>5462</v>
      </c>
      <c r="G4868" s="17" t="s">
        <v>211</v>
      </c>
    </row>
    <row r="4869" spans="6:7" x14ac:dyDescent="0.25">
      <c r="F4869" s="17" t="s">
        <v>5463</v>
      </c>
      <c r="G4869" s="17" t="s">
        <v>211</v>
      </c>
    </row>
    <row r="4870" spans="6:7" x14ac:dyDescent="0.25">
      <c r="F4870" s="17" t="s">
        <v>5464</v>
      </c>
      <c r="G4870" s="17" t="s">
        <v>217</v>
      </c>
    </row>
    <row r="4871" spans="6:7" x14ac:dyDescent="0.25">
      <c r="F4871" s="17" t="s">
        <v>336</v>
      </c>
      <c r="G4871" s="17" t="s">
        <v>217</v>
      </c>
    </row>
    <row r="4872" spans="6:7" x14ac:dyDescent="0.25">
      <c r="F4872" s="17" t="s">
        <v>5465</v>
      </c>
      <c r="G4872" s="17" t="s">
        <v>217</v>
      </c>
    </row>
    <row r="4873" spans="6:7" x14ac:dyDescent="0.25">
      <c r="F4873" s="17" t="s">
        <v>5466</v>
      </c>
      <c r="G4873" s="17" t="s">
        <v>217</v>
      </c>
    </row>
    <row r="4874" spans="6:7" x14ac:dyDescent="0.25">
      <c r="F4874" s="17" t="s">
        <v>5467</v>
      </c>
      <c r="G4874" s="17" t="s">
        <v>217</v>
      </c>
    </row>
    <row r="4875" spans="6:7" x14ac:dyDescent="0.25">
      <c r="F4875" s="17" t="s">
        <v>5468</v>
      </c>
      <c r="G4875" s="17" t="s">
        <v>217</v>
      </c>
    </row>
    <row r="4876" spans="6:7" x14ac:dyDescent="0.25">
      <c r="F4876" s="17" t="s">
        <v>5469</v>
      </c>
      <c r="G4876" s="17" t="s">
        <v>217</v>
      </c>
    </row>
    <row r="4877" spans="6:7" x14ac:dyDescent="0.25">
      <c r="F4877" s="17" t="s">
        <v>5470</v>
      </c>
      <c r="G4877" s="17" t="s">
        <v>211</v>
      </c>
    </row>
    <row r="4878" spans="6:7" x14ac:dyDescent="0.25">
      <c r="F4878" s="17" t="s">
        <v>5471</v>
      </c>
      <c r="G4878" s="17" t="s">
        <v>211</v>
      </c>
    </row>
    <row r="4879" spans="6:7" x14ac:dyDescent="0.25">
      <c r="F4879" s="17" t="s">
        <v>5472</v>
      </c>
      <c r="G4879" s="17" t="s">
        <v>217</v>
      </c>
    </row>
    <row r="4880" spans="6:7" x14ac:dyDescent="0.25">
      <c r="F4880" s="17" t="s">
        <v>5473</v>
      </c>
      <c r="G4880" s="17" t="s">
        <v>217</v>
      </c>
    </row>
    <row r="4881" spans="6:7" x14ac:dyDescent="0.25">
      <c r="F4881" s="17" t="s">
        <v>5474</v>
      </c>
      <c r="G4881" s="17" t="s">
        <v>217</v>
      </c>
    </row>
    <row r="4882" spans="6:7" x14ac:dyDescent="0.25">
      <c r="F4882" s="17" t="s">
        <v>692</v>
      </c>
      <c r="G4882" s="17" t="s">
        <v>217</v>
      </c>
    </row>
    <row r="4883" spans="6:7" x14ac:dyDescent="0.25">
      <c r="F4883" s="17" t="s">
        <v>5475</v>
      </c>
      <c r="G4883" s="17" t="s">
        <v>217</v>
      </c>
    </row>
    <row r="4884" spans="6:7" x14ac:dyDescent="0.25">
      <c r="F4884" s="17" t="s">
        <v>319</v>
      </c>
      <c r="G4884" s="17" t="s">
        <v>217</v>
      </c>
    </row>
    <row r="4885" spans="6:7" x14ac:dyDescent="0.25">
      <c r="F4885" s="17" t="s">
        <v>5476</v>
      </c>
      <c r="G4885" s="17" t="s">
        <v>217</v>
      </c>
    </row>
    <row r="4886" spans="6:7" x14ac:dyDescent="0.25">
      <c r="F4886" s="17" t="s">
        <v>5477</v>
      </c>
      <c r="G4886" s="17" t="s">
        <v>217</v>
      </c>
    </row>
    <row r="4887" spans="6:7" x14ac:dyDescent="0.25">
      <c r="F4887" s="17" t="s">
        <v>573</v>
      </c>
      <c r="G4887" s="17" t="s">
        <v>217</v>
      </c>
    </row>
    <row r="4888" spans="6:7" x14ac:dyDescent="0.25">
      <c r="F4888" s="17" t="s">
        <v>5478</v>
      </c>
      <c r="G4888" s="17" t="s">
        <v>215</v>
      </c>
    </row>
    <row r="4889" spans="6:7" x14ac:dyDescent="0.25">
      <c r="F4889" s="17" t="s">
        <v>5479</v>
      </c>
      <c r="G4889" s="17" t="s">
        <v>217</v>
      </c>
    </row>
    <row r="4890" spans="6:7" x14ac:dyDescent="0.25">
      <c r="F4890" s="17" t="s">
        <v>5480</v>
      </c>
      <c r="G4890" s="17" t="s">
        <v>217</v>
      </c>
    </row>
    <row r="4891" spans="6:7" x14ac:dyDescent="0.25">
      <c r="F4891" s="17" t="s">
        <v>5481</v>
      </c>
      <c r="G4891" s="17" t="s">
        <v>215</v>
      </c>
    </row>
    <row r="4892" spans="6:7" x14ac:dyDescent="0.25">
      <c r="F4892" s="17" t="s">
        <v>5482</v>
      </c>
      <c r="G4892" s="17" t="s">
        <v>217</v>
      </c>
    </row>
    <row r="4893" spans="6:7" x14ac:dyDescent="0.25">
      <c r="F4893" s="17" t="s">
        <v>5483</v>
      </c>
      <c r="G4893" s="17" t="s">
        <v>217</v>
      </c>
    </row>
    <row r="4894" spans="6:7" x14ac:dyDescent="0.25">
      <c r="F4894" s="17" t="s">
        <v>849</v>
      </c>
      <c r="G4894" s="17" t="s">
        <v>215</v>
      </c>
    </row>
    <row r="4895" spans="6:7" x14ac:dyDescent="0.25">
      <c r="F4895" s="17" t="s">
        <v>5484</v>
      </c>
      <c r="G4895" s="17" t="s">
        <v>211</v>
      </c>
    </row>
    <row r="4896" spans="6:7" x14ac:dyDescent="0.25">
      <c r="F4896" s="17" t="s">
        <v>431</v>
      </c>
      <c r="G4896" s="17" t="s">
        <v>211</v>
      </c>
    </row>
    <row r="4897" spans="6:7" x14ac:dyDescent="0.25">
      <c r="F4897" s="17" t="s">
        <v>5485</v>
      </c>
      <c r="G4897" s="17" t="s">
        <v>211</v>
      </c>
    </row>
    <row r="4898" spans="6:7" x14ac:dyDescent="0.25">
      <c r="F4898" s="17" t="s">
        <v>5486</v>
      </c>
      <c r="G4898" s="17" t="s">
        <v>211</v>
      </c>
    </row>
    <row r="4899" spans="6:7" x14ac:dyDescent="0.25">
      <c r="F4899" s="17" t="s">
        <v>5487</v>
      </c>
      <c r="G4899" s="17" t="s">
        <v>211</v>
      </c>
    </row>
    <row r="4900" spans="6:7" x14ac:dyDescent="0.25">
      <c r="F4900" s="17" t="s">
        <v>5488</v>
      </c>
      <c r="G4900" s="17" t="s">
        <v>211</v>
      </c>
    </row>
    <row r="4901" spans="6:7" x14ac:dyDescent="0.25">
      <c r="F4901" s="17" t="s">
        <v>5489</v>
      </c>
      <c r="G4901" s="17" t="s">
        <v>211</v>
      </c>
    </row>
    <row r="4902" spans="6:7" x14ac:dyDescent="0.25">
      <c r="F4902" s="17" t="s">
        <v>5490</v>
      </c>
      <c r="G4902" s="17" t="s">
        <v>211</v>
      </c>
    </row>
    <row r="4903" spans="6:7" x14ac:dyDescent="0.25">
      <c r="F4903" s="17" t="s">
        <v>5491</v>
      </c>
      <c r="G4903" s="17" t="s">
        <v>211</v>
      </c>
    </row>
    <row r="4904" spans="6:7" x14ac:dyDescent="0.25">
      <c r="F4904" s="17" t="s">
        <v>5492</v>
      </c>
      <c r="G4904" s="17" t="s">
        <v>211</v>
      </c>
    </row>
    <row r="4905" spans="6:7" x14ac:dyDescent="0.25">
      <c r="F4905" s="17" t="s">
        <v>5493</v>
      </c>
      <c r="G4905" s="17" t="s">
        <v>211</v>
      </c>
    </row>
    <row r="4906" spans="6:7" x14ac:dyDescent="0.25">
      <c r="F4906" s="17" t="s">
        <v>5494</v>
      </c>
      <c r="G4906" s="17" t="s">
        <v>211</v>
      </c>
    </row>
    <row r="4907" spans="6:7" x14ac:dyDescent="0.25">
      <c r="F4907" s="17" t="s">
        <v>670</v>
      </c>
      <c r="G4907" s="17" t="s">
        <v>211</v>
      </c>
    </row>
    <row r="4908" spans="6:7" x14ac:dyDescent="0.25">
      <c r="F4908" s="17" t="s">
        <v>5495</v>
      </c>
      <c r="G4908" s="17" t="s">
        <v>217</v>
      </c>
    </row>
    <row r="4909" spans="6:7" x14ac:dyDescent="0.25">
      <c r="F4909" s="17" t="s">
        <v>385</v>
      </c>
      <c r="G4909" s="17" t="s">
        <v>211</v>
      </c>
    </row>
    <row r="4910" spans="6:7" x14ac:dyDescent="0.25">
      <c r="F4910" s="17" t="s">
        <v>5496</v>
      </c>
      <c r="G4910" s="17" t="s">
        <v>211</v>
      </c>
    </row>
    <row r="4911" spans="6:7" x14ac:dyDescent="0.25">
      <c r="F4911" s="17" t="s">
        <v>5497</v>
      </c>
      <c r="G4911" s="17" t="s">
        <v>211</v>
      </c>
    </row>
    <row r="4912" spans="6:7" x14ac:dyDescent="0.25">
      <c r="F4912" s="17" t="s">
        <v>5498</v>
      </c>
      <c r="G4912" s="17" t="s">
        <v>211</v>
      </c>
    </row>
    <row r="4913" spans="6:7" x14ac:dyDescent="0.25">
      <c r="F4913" s="17" t="s">
        <v>5499</v>
      </c>
      <c r="G4913" s="17" t="s">
        <v>211</v>
      </c>
    </row>
    <row r="4914" spans="6:7" x14ac:dyDescent="0.25">
      <c r="F4914" s="17" t="s">
        <v>5500</v>
      </c>
      <c r="G4914" s="17" t="s">
        <v>211</v>
      </c>
    </row>
    <row r="4915" spans="6:7" x14ac:dyDescent="0.25">
      <c r="F4915" s="17" t="s">
        <v>5501</v>
      </c>
      <c r="G4915" s="17" t="s">
        <v>211</v>
      </c>
    </row>
    <row r="4916" spans="6:7" x14ac:dyDescent="0.25">
      <c r="F4916" s="17" t="s">
        <v>903</v>
      </c>
      <c r="G4916" s="17" t="s">
        <v>211</v>
      </c>
    </row>
    <row r="4917" spans="6:7" x14ac:dyDescent="0.25">
      <c r="F4917" s="17" t="s">
        <v>5502</v>
      </c>
      <c r="G4917" s="17" t="s">
        <v>211</v>
      </c>
    </row>
    <row r="4918" spans="6:7" x14ac:dyDescent="0.25">
      <c r="F4918" s="17" t="s">
        <v>5503</v>
      </c>
      <c r="G4918" s="17" t="s">
        <v>211</v>
      </c>
    </row>
    <row r="4919" spans="6:7" x14ac:dyDescent="0.25">
      <c r="F4919" s="17" t="s">
        <v>5504</v>
      </c>
      <c r="G4919" s="17" t="s">
        <v>211</v>
      </c>
    </row>
    <row r="4920" spans="6:7" x14ac:dyDescent="0.25">
      <c r="F4920" s="17" t="s">
        <v>5505</v>
      </c>
      <c r="G4920" s="17" t="s">
        <v>211</v>
      </c>
    </row>
    <row r="4921" spans="6:7" x14ac:dyDescent="0.25">
      <c r="F4921" s="17" t="s">
        <v>5506</v>
      </c>
      <c r="G4921" s="17" t="s">
        <v>211</v>
      </c>
    </row>
    <row r="4922" spans="6:7" x14ac:dyDescent="0.25">
      <c r="F4922" s="17" t="s">
        <v>322</v>
      </c>
      <c r="G4922" s="17" t="s">
        <v>211</v>
      </c>
    </row>
    <row r="4923" spans="6:7" x14ac:dyDescent="0.25">
      <c r="F4923" s="17" t="s">
        <v>5507</v>
      </c>
      <c r="G4923" s="17" t="s">
        <v>211</v>
      </c>
    </row>
    <row r="4924" spans="6:7" x14ac:dyDescent="0.25">
      <c r="F4924" s="17" t="s">
        <v>5508</v>
      </c>
      <c r="G4924" s="17" t="s">
        <v>211</v>
      </c>
    </row>
    <row r="4925" spans="6:7" x14ac:dyDescent="0.25">
      <c r="F4925" s="17" t="s">
        <v>5509</v>
      </c>
      <c r="G4925" s="17" t="s">
        <v>211</v>
      </c>
    </row>
    <row r="4926" spans="6:7" x14ac:dyDescent="0.25">
      <c r="F4926" s="17" t="s">
        <v>5510</v>
      </c>
      <c r="G4926" s="17" t="s">
        <v>217</v>
      </c>
    </row>
    <row r="4927" spans="6:7" x14ac:dyDescent="0.25">
      <c r="F4927" s="17" t="s">
        <v>5511</v>
      </c>
      <c r="G4927" s="17" t="s">
        <v>217</v>
      </c>
    </row>
    <row r="4928" spans="6:7" x14ac:dyDescent="0.25">
      <c r="F4928" s="17" t="s">
        <v>753</v>
      </c>
      <c r="G4928" s="17" t="s">
        <v>217</v>
      </c>
    </row>
    <row r="4929" spans="6:7" x14ac:dyDescent="0.25">
      <c r="F4929" s="17" t="s">
        <v>5512</v>
      </c>
      <c r="G4929" s="17" t="s">
        <v>217</v>
      </c>
    </row>
    <row r="4930" spans="6:7" x14ac:dyDescent="0.25">
      <c r="F4930" s="17" t="s">
        <v>5513</v>
      </c>
      <c r="G4930" s="17" t="s">
        <v>217</v>
      </c>
    </row>
    <row r="4931" spans="6:7" x14ac:dyDescent="0.25">
      <c r="F4931" s="17" t="s">
        <v>5514</v>
      </c>
      <c r="G4931" s="17" t="s">
        <v>217</v>
      </c>
    </row>
    <row r="4932" spans="6:7" x14ac:dyDescent="0.25">
      <c r="F4932" s="17" t="s">
        <v>5515</v>
      </c>
      <c r="G4932" s="17" t="s">
        <v>217</v>
      </c>
    </row>
    <row r="4933" spans="6:7" x14ac:dyDescent="0.25">
      <c r="F4933" s="17" t="s">
        <v>5516</v>
      </c>
      <c r="G4933" s="17" t="s">
        <v>217</v>
      </c>
    </row>
    <row r="4934" spans="6:7" x14ac:dyDescent="0.25">
      <c r="F4934" s="17" t="s">
        <v>5517</v>
      </c>
      <c r="G4934" s="17" t="s">
        <v>217</v>
      </c>
    </row>
    <row r="4935" spans="6:7" x14ac:dyDescent="0.25">
      <c r="F4935" s="17" t="s">
        <v>5518</v>
      </c>
      <c r="G4935" s="17" t="s">
        <v>211</v>
      </c>
    </row>
    <row r="4936" spans="6:7" x14ac:dyDescent="0.25">
      <c r="F4936" s="17" t="s">
        <v>5519</v>
      </c>
      <c r="G4936" s="17" t="s">
        <v>211</v>
      </c>
    </row>
    <row r="4937" spans="6:7" x14ac:dyDescent="0.25">
      <c r="F4937" s="17" t="s">
        <v>5520</v>
      </c>
      <c r="G4937" s="17" t="s">
        <v>211</v>
      </c>
    </row>
    <row r="4938" spans="6:7" x14ac:dyDescent="0.25">
      <c r="F4938" s="17" t="s">
        <v>894</v>
      </c>
      <c r="G4938" s="17" t="s">
        <v>211</v>
      </c>
    </row>
    <row r="4939" spans="6:7" x14ac:dyDescent="0.25">
      <c r="F4939" s="17" t="s">
        <v>5521</v>
      </c>
      <c r="G4939" s="17" t="s">
        <v>211</v>
      </c>
    </row>
    <row r="4940" spans="6:7" x14ac:dyDescent="0.25">
      <c r="F4940" s="17" t="s">
        <v>799</v>
      </c>
      <c r="G4940" s="17" t="s">
        <v>211</v>
      </c>
    </row>
    <row r="4941" spans="6:7" x14ac:dyDescent="0.25">
      <c r="F4941" s="17" t="s">
        <v>949</v>
      </c>
      <c r="G4941" s="17" t="s">
        <v>211</v>
      </c>
    </row>
    <row r="4942" spans="6:7" x14ac:dyDescent="0.25">
      <c r="F4942" s="17" t="s">
        <v>721</v>
      </c>
      <c r="G4942" s="17" t="s">
        <v>211</v>
      </c>
    </row>
    <row r="4943" spans="6:7" x14ac:dyDescent="0.25">
      <c r="F4943" s="17" t="s">
        <v>5522</v>
      </c>
      <c r="G4943" s="17" t="s">
        <v>211</v>
      </c>
    </row>
    <row r="4944" spans="6:7" x14ac:dyDescent="0.25">
      <c r="F4944" s="17" t="s">
        <v>785</v>
      </c>
      <c r="G4944" s="17" t="s">
        <v>211</v>
      </c>
    </row>
    <row r="4945" spans="6:7" x14ac:dyDescent="0.25">
      <c r="F4945" s="17" t="s">
        <v>281</v>
      </c>
      <c r="G4945" s="17" t="s">
        <v>211</v>
      </c>
    </row>
    <row r="4946" spans="6:7" x14ac:dyDescent="0.25">
      <c r="F4946" s="17" t="s">
        <v>5523</v>
      </c>
      <c r="G4946" s="17" t="s">
        <v>211</v>
      </c>
    </row>
    <row r="4947" spans="6:7" x14ac:dyDescent="0.25">
      <c r="F4947" s="17" t="s">
        <v>5524</v>
      </c>
      <c r="G4947" s="17" t="s">
        <v>211</v>
      </c>
    </row>
    <row r="4948" spans="6:7" x14ac:dyDescent="0.25">
      <c r="F4948" s="17" t="s">
        <v>744</v>
      </c>
      <c r="G4948" s="17" t="s">
        <v>211</v>
      </c>
    </row>
    <row r="4949" spans="6:7" x14ac:dyDescent="0.25">
      <c r="F4949" s="17" t="s">
        <v>5525</v>
      </c>
      <c r="G4949" s="17" t="s">
        <v>211</v>
      </c>
    </row>
    <row r="4950" spans="6:7" x14ac:dyDescent="0.25">
      <c r="F4950" s="17" t="s">
        <v>263</v>
      </c>
      <c r="G4950" s="17" t="s">
        <v>211</v>
      </c>
    </row>
    <row r="4951" spans="6:7" x14ac:dyDescent="0.25">
      <c r="F4951" s="17" t="s">
        <v>452</v>
      </c>
      <c r="G4951" s="17" t="s">
        <v>211</v>
      </c>
    </row>
    <row r="4952" spans="6:7" x14ac:dyDescent="0.25">
      <c r="F4952" s="17" t="s">
        <v>790</v>
      </c>
      <c r="G4952" s="17" t="s">
        <v>211</v>
      </c>
    </row>
    <row r="4953" spans="6:7" x14ac:dyDescent="0.25">
      <c r="F4953" s="17" t="s">
        <v>5526</v>
      </c>
      <c r="G4953" s="17" t="s">
        <v>211</v>
      </c>
    </row>
    <row r="4954" spans="6:7" x14ac:dyDescent="0.25">
      <c r="F4954" s="17" t="s">
        <v>5527</v>
      </c>
      <c r="G4954" s="17" t="s">
        <v>211</v>
      </c>
    </row>
    <row r="4955" spans="6:7" x14ac:dyDescent="0.25">
      <c r="F4955" s="17" t="s">
        <v>5528</v>
      </c>
      <c r="G4955" s="17" t="s">
        <v>211</v>
      </c>
    </row>
    <row r="4956" spans="6:7" x14ac:dyDescent="0.25">
      <c r="F4956" s="17" t="s">
        <v>5529</v>
      </c>
      <c r="G4956" s="17" t="s">
        <v>211</v>
      </c>
    </row>
    <row r="4957" spans="6:7" x14ac:dyDescent="0.25">
      <c r="F4957" s="17" t="s">
        <v>5530</v>
      </c>
      <c r="G4957" s="17" t="s">
        <v>211</v>
      </c>
    </row>
    <row r="4958" spans="6:7" x14ac:dyDescent="0.25">
      <c r="F4958" s="17" t="s">
        <v>562</v>
      </c>
      <c r="G4958" s="17" t="s">
        <v>211</v>
      </c>
    </row>
    <row r="4959" spans="6:7" x14ac:dyDescent="0.25">
      <c r="F4959" s="17" t="s">
        <v>5531</v>
      </c>
      <c r="G4959" s="17" t="s">
        <v>211</v>
      </c>
    </row>
    <row r="4960" spans="6:7" x14ac:dyDescent="0.25">
      <c r="F4960" s="17" t="s">
        <v>5532</v>
      </c>
      <c r="G4960" s="17" t="s">
        <v>211</v>
      </c>
    </row>
    <row r="4961" spans="6:7" x14ac:dyDescent="0.25">
      <c r="F4961" s="17" t="s">
        <v>935</v>
      </c>
      <c r="G4961" s="17" t="s">
        <v>217</v>
      </c>
    </row>
    <row r="4962" spans="6:7" x14ac:dyDescent="0.25">
      <c r="F4962" s="17" t="s">
        <v>5533</v>
      </c>
      <c r="G4962" s="17" t="s">
        <v>217</v>
      </c>
    </row>
    <row r="4963" spans="6:7" x14ac:dyDescent="0.25">
      <c r="F4963" s="17" t="s">
        <v>5534</v>
      </c>
      <c r="G4963" s="17" t="s">
        <v>217</v>
      </c>
    </row>
    <row r="4964" spans="6:7" x14ac:dyDescent="0.25">
      <c r="F4964" s="17" t="s">
        <v>5535</v>
      </c>
      <c r="G4964" s="17" t="s">
        <v>217</v>
      </c>
    </row>
    <row r="4965" spans="6:7" x14ac:dyDescent="0.25">
      <c r="F4965" s="17" t="s">
        <v>5536</v>
      </c>
      <c r="G4965" s="17" t="s">
        <v>217</v>
      </c>
    </row>
    <row r="4966" spans="6:7" x14ac:dyDescent="0.25">
      <c r="F4966" s="17" t="s">
        <v>5537</v>
      </c>
      <c r="G4966" s="17" t="s">
        <v>217</v>
      </c>
    </row>
    <row r="4967" spans="6:7" x14ac:dyDescent="0.25">
      <c r="F4967" s="17" t="s">
        <v>5538</v>
      </c>
      <c r="G4967" s="17" t="s">
        <v>217</v>
      </c>
    </row>
    <row r="4968" spans="6:7" x14ac:dyDescent="0.25">
      <c r="F4968" s="17" t="s">
        <v>5539</v>
      </c>
      <c r="G4968" s="17" t="s">
        <v>217</v>
      </c>
    </row>
    <row r="4969" spans="6:7" x14ac:dyDescent="0.25">
      <c r="F4969" s="17" t="s">
        <v>5540</v>
      </c>
      <c r="G4969" s="17" t="s">
        <v>217</v>
      </c>
    </row>
    <row r="4970" spans="6:7" x14ac:dyDescent="0.25">
      <c r="F4970" s="17" t="s">
        <v>5541</v>
      </c>
      <c r="G4970" s="17" t="s">
        <v>211</v>
      </c>
    </row>
    <row r="4971" spans="6:7" x14ac:dyDescent="0.25">
      <c r="F4971" s="17" t="s">
        <v>5542</v>
      </c>
      <c r="G4971" s="17" t="s">
        <v>217</v>
      </c>
    </row>
    <row r="4972" spans="6:7" x14ac:dyDescent="0.25">
      <c r="F4972" s="17" t="s">
        <v>5543</v>
      </c>
      <c r="G4972" s="17" t="s">
        <v>217</v>
      </c>
    </row>
    <row r="4973" spans="6:7" x14ac:dyDescent="0.25">
      <c r="F4973" s="17" t="s">
        <v>5544</v>
      </c>
      <c r="G4973" s="17" t="s">
        <v>211</v>
      </c>
    </row>
    <row r="4974" spans="6:7" x14ac:dyDescent="0.25">
      <c r="F4974" s="17" t="s">
        <v>5545</v>
      </c>
      <c r="G4974" s="17" t="s">
        <v>211</v>
      </c>
    </row>
    <row r="4975" spans="6:7" x14ac:dyDescent="0.25">
      <c r="F4975" s="17" t="s">
        <v>5546</v>
      </c>
      <c r="G4975" s="17" t="s">
        <v>211</v>
      </c>
    </row>
    <row r="4976" spans="6:7" x14ac:dyDescent="0.25">
      <c r="F4976" s="17" t="s">
        <v>567</v>
      </c>
      <c r="G4976" s="17" t="s">
        <v>211</v>
      </c>
    </row>
    <row r="4977" spans="6:7" x14ac:dyDescent="0.25">
      <c r="F4977" s="17" t="s">
        <v>787</v>
      </c>
      <c r="G4977" s="17" t="s">
        <v>211</v>
      </c>
    </row>
    <row r="4978" spans="6:7" x14ac:dyDescent="0.25">
      <c r="F4978" s="17" t="s">
        <v>5547</v>
      </c>
      <c r="G4978" s="17" t="s">
        <v>215</v>
      </c>
    </row>
    <row r="4979" spans="6:7" x14ac:dyDescent="0.25">
      <c r="F4979" s="17" t="s">
        <v>5548</v>
      </c>
      <c r="G4979" s="17" t="s">
        <v>215</v>
      </c>
    </row>
    <row r="4980" spans="6:7" x14ac:dyDescent="0.25">
      <c r="F4980" s="17" t="s">
        <v>5549</v>
      </c>
      <c r="G4980" s="17" t="s">
        <v>215</v>
      </c>
    </row>
    <row r="4981" spans="6:7" x14ac:dyDescent="0.25">
      <c r="F4981" s="17" t="s">
        <v>5550</v>
      </c>
      <c r="G4981" s="17" t="s">
        <v>215</v>
      </c>
    </row>
    <row r="4982" spans="6:7" x14ac:dyDescent="0.25">
      <c r="F4982" s="17" t="s">
        <v>5551</v>
      </c>
      <c r="G4982" s="17" t="s">
        <v>215</v>
      </c>
    </row>
    <row r="4983" spans="6:7" x14ac:dyDescent="0.25">
      <c r="F4983" s="17" t="s">
        <v>840</v>
      </c>
      <c r="G4983" s="17" t="s">
        <v>215</v>
      </c>
    </row>
    <row r="4984" spans="6:7" x14ac:dyDescent="0.25">
      <c r="F4984" s="17" t="s">
        <v>5552</v>
      </c>
      <c r="G4984" s="17" t="s">
        <v>215</v>
      </c>
    </row>
    <row r="4985" spans="6:7" x14ac:dyDescent="0.25">
      <c r="F4985" s="17" t="s">
        <v>5553</v>
      </c>
      <c r="G4985" s="17" t="s">
        <v>215</v>
      </c>
    </row>
    <row r="4986" spans="6:7" x14ac:dyDescent="0.25">
      <c r="F4986" s="17" t="s">
        <v>5554</v>
      </c>
      <c r="G4986" s="17" t="s">
        <v>215</v>
      </c>
    </row>
    <row r="4987" spans="6:7" x14ac:dyDescent="0.25">
      <c r="F4987" s="17" t="s">
        <v>494</v>
      </c>
      <c r="G4987" s="17" t="s">
        <v>215</v>
      </c>
    </row>
    <row r="4988" spans="6:7" x14ac:dyDescent="0.25">
      <c r="F4988" s="17" t="s">
        <v>5555</v>
      </c>
      <c r="G4988" s="17" t="s">
        <v>215</v>
      </c>
    </row>
    <row r="4989" spans="6:7" x14ac:dyDescent="0.25">
      <c r="F4989" s="17" t="s">
        <v>904</v>
      </c>
      <c r="G4989" s="17" t="s">
        <v>215</v>
      </c>
    </row>
    <row r="4990" spans="6:7" x14ac:dyDescent="0.25">
      <c r="F4990" s="17" t="s">
        <v>5556</v>
      </c>
      <c r="G4990" s="17" t="s">
        <v>215</v>
      </c>
    </row>
    <row r="4991" spans="6:7" x14ac:dyDescent="0.25">
      <c r="F4991" s="17" t="s">
        <v>584</v>
      </c>
      <c r="G4991" s="17" t="s">
        <v>215</v>
      </c>
    </row>
    <row r="4992" spans="6:7" x14ac:dyDescent="0.25">
      <c r="F4992" s="17" t="s">
        <v>5557</v>
      </c>
      <c r="G4992" s="17" t="s">
        <v>215</v>
      </c>
    </row>
    <row r="4993" spans="6:7" x14ac:dyDescent="0.25">
      <c r="F4993" s="17" t="s">
        <v>5558</v>
      </c>
      <c r="G4993" s="17" t="s">
        <v>215</v>
      </c>
    </row>
    <row r="4994" spans="6:7" x14ac:dyDescent="0.25">
      <c r="F4994" s="17" t="s">
        <v>5559</v>
      </c>
      <c r="G4994" s="17" t="s">
        <v>217</v>
      </c>
    </row>
    <row r="4995" spans="6:7" x14ac:dyDescent="0.25">
      <c r="F4995" s="17" t="s">
        <v>5560</v>
      </c>
      <c r="G4995" s="17" t="s">
        <v>215</v>
      </c>
    </row>
    <row r="4996" spans="6:7" x14ac:dyDescent="0.25">
      <c r="F4996" s="17" t="s">
        <v>5561</v>
      </c>
      <c r="G4996" s="17" t="s">
        <v>215</v>
      </c>
    </row>
    <row r="4997" spans="6:7" x14ac:dyDescent="0.25">
      <c r="F4997" s="17" t="s">
        <v>5562</v>
      </c>
      <c r="G4997" s="17" t="s">
        <v>215</v>
      </c>
    </row>
    <row r="4998" spans="6:7" x14ac:dyDescent="0.25">
      <c r="F4998" s="17" t="s">
        <v>5563</v>
      </c>
      <c r="G4998" s="17" t="s">
        <v>215</v>
      </c>
    </row>
    <row r="4999" spans="6:7" x14ac:dyDescent="0.25">
      <c r="F4999" s="17" t="s">
        <v>5564</v>
      </c>
      <c r="G4999" s="17" t="s">
        <v>215</v>
      </c>
    </row>
    <row r="5000" spans="6:7" x14ac:dyDescent="0.25">
      <c r="F5000" s="17" t="s">
        <v>5565</v>
      </c>
      <c r="G5000" s="17" t="s">
        <v>215</v>
      </c>
    </row>
    <row r="5001" spans="6:7" x14ac:dyDescent="0.25">
      <c r="F5001" s="17" t="s">
        <v>5566</v>
      </c>
      <c r="G5001" s="17" t="s">
        <v>215</v>
      </c>
    </row>
    <row r="5002" spans="6:7" x14ac:dyDescent="0.25">
      <c r="F5002" s="17" t="s">
        <v>5567</v>
      </c>
      <c r="G5002" s="17" t="s">
        <v>215</v>
      </c>
    </row>
    <row r="5003" spans="6:7" x14ac:dyDescent="0.25">
      <c r="F5003" s="17" t="s">
        <v>5568</v>
      </c>
      <c r="G5003" s="17" t="s">
        <v>215</v>
      </c>
    </row>
    <row r="5004" spans="6:7" x14ac:dyDescent="0.25">
      <c r="F5004" s="17" t="s">
        <v>5569</v>
      </c>
      <c r="G5004" s="17" t="s">
        <v>215</v>
      </c>
    </row>
    <row r="5005" spans="6:7" x14ac:dyDescent="0.25">
      <c r="F5005" s="17" t="s">
        <v>5570</v>
      </c>
      <c r="G5005" s="17" t="s">
        <v>215</v>
      </c>
    </row>
    <row r="5006" spans="6:7" x14ac:dyDescent="0.25">
      <c r="F5006" s="17" t="s">
        <v>5571</v>
      </c>
      <c r="G5006" s="17" t="s">
        <v>215</v>
      </c>
    </row>
    <row r="5007" spans="6:7" x14ac:dyDescent="0.25">
      <c r="F5007" s="17" t="s">
        <v>669</v>
      </c>
      <c r="G5007" s="17" t="s">
        <v>215</v>
      </c>
    </row>
    <row r="5008" spans="6:7" x14ac:dyDescent="0.25">
      <c r="F5008" s="17" t="s">
        <v>5572</v>
      </c>
      <c r="G5008" s="17" t="s">
        <v>215</v>
      </c>
    </row>
    <row r="5009" spans="6:7" x14ac:dyDescent="0.25">
      <c r="F5009" s="17" t="s">
        <v>423</v>
      </c>
      <c r="G5009" s="17" t="s">
        <v>215</v>
      </c>
    </row>
    <row r="5010" spans="6:7" x14ac:dyDescent="0.25">
      <c r="F5010" s="17" t="s">
        <v>5573</v>
      </c>
      <c r="G5010" s="17" t="s">
        <v>217</v>
      </c>
    </row>
    <row r="5011" spans="6:7" x14ac:dyDescent="0.25">
      <c r="F5011" s="17" t="s">
        <v>5574</v>
      </c>
      <c r="G5011" s="17" t="s">
        <v>215</v>
      </c>
    </row>
    <row r="5012" spans="6:7" x14ac:dyDescent="0.25">
      <c r="F5012" s="17" t="s">
        <v>5575</v>
      </c>
      <c r="G5012" s="17" t="s">
        <v>215</v>
      </c>
    </row>
    <row r="5013" spans="6:7" x14ac:dyDescent="0.25">
      <c r="F5013" s="17" t="s">
        <v>5576</v>
      </c>
      <c r="G5013" s="17" t="s">
        <v>211</v>
      </c>
    </row>
    <row r="5014" spans="6:7" x14ac:dyDescent="0.25">
      <c r="F5014" s="17" t="s">
        <v>5577</v>
      </c>
      <c r="G5014" s="17" t="s">
        <v>211</v>
      </c>
    </row>
    <row r="5015" spans="6:7" x14ac:dyDescent="0.25">
      <c r="F5015" s="17" t="s">
        <v>989</v>
      </c>
      <c r="G5015" s="17" t="s">
        <v>211</v>
      </c>
    </row>
    <row r="5016" spans="6:7" x14ac:dyDescent="0.25">
      <c r="F5016" s="17" t="s">
        <v>675</v>
      </c>
      <c r="G5016" s="17" t="s">
        <v>211</v>
      </c>
    </row>
    <row r="5017" spans="6:7" x14ac:dyDescent="0.25">
      <c r="F5017" s="17" t="s">
        <v>5578</v>
      </c>
      <c r="G5017" s="17" t="s">
        <v>215</v>
      </c>
    </row>
    <row r="5018" spans="6:7" x14ac:dyDescent="0.25">
      <c r="F5018" s="17" t="s">
        <v>5579</v>
      </c>
      <c r="G5018" s="17" t="s">
        <v>215</v>
      </c>
    </row>
    <row r="5019" spans="6:7" x14ac:dyDescent="0.25">
      <c r="F5019" s="17" t="s">
        <v>5580</v>
      </c>
      <c r="G5019" s="17" t="s">
        <v>215</v>
      </c>
    </row>
    <row r="5020" spans="6:7" x14ac:dyDescent="0.25">
      <c r="F5020" s="17" t="s">
        <v>5581</v>
      </c>
      <c r="G5020" s="17" t="s">
        <v>215</v>
      </c>
    </row>
    <row r="5021" spans="6:7" x14ac:dyDescent="0.25">
      <c r="F5021" s="17" t="s">
        <v>5582</v>
      </c>
      <c r="G5021" s="17" t="s">
        <v>215</v>
      </c>
    </row>
    <row r="5022" spans="6:7" x14ac:dyDescent="0.25">
      <c r="F5022" s="17" t="s">
        <v>552</v>
      </c>
      <c r="G5022" s="17" t="s">
        <v>215</v>
      </c>
    </row>
    <row r="5023" spans="6:7" x14ac:dyDescent="0.25">
      <c r="F5023" s="17" t="s">
        <v>5583</v>
      </c>
      <c r="G5023" s="17" t="s">
        <v>215</v>
      </c>
    </row>
    <row r="5024" spans="6:7" x14ac:dyDescent="0.25">
      <c r="F5024" s="17" t="s">
        <v>5584</v>
      </c>
      <c r="G5024" s="17" t="s">
        <v>215</v>
      </c>
    </row>
    <row r="5025" spans="6:7" x14ac:dyDescent="0.25">
      <c r="F5025" s="17" t="s">
        <v>943</v>
      </c>
      <c r="G5025" s="17" t="s">
        <v>215</v>
      </c>
    </row>
    <row r="5026" spans="6:7" x14ac:dyDescent="0.25">
      <c r="F5026" s="17" t="s">
        <v>987</v>
      </c>
      <c r="G5026" s="17" t="s">
        <v>215</v>
      </c>
    </row>
    <row r="5027" spans="6:7" x14ac:dyDescent="0.25">
      <c r="F5027" s="17" t="s">
        <v>5585</v>
      </c>
      <c r="G5027" s="17" t="s">
        <v>215</v>
      </c>
    </row>
    <row r="5028" spans="6:7" x14ac:dyDescent="0.25">
      <c r="F5028" s="17" t="s">
        <v>5586</v>
      </c>
      <c r="G5028" s="17" t="s">
        <v>215</v>
      </c>
    </row>
    <row r="5029" spans="6:7" x14ac:dyDescent="0.25">
      <c r="F5029" s="17" t="s">
        <v>5587</v>
      </c>
      <c r="G5029" s="17" t="s">
        <v>215</v>
      </c>
    </row>
    <row r="5030" spans="6:7" x14ac:dyDescent="0.25">
      <c r="F5030" s="17" t="s">
        <v>751</v>
      </c>
      <c r="G5030" s="17" t="s">
        <v>215</v>
      </c>
    </row>
    <row r="5031" spans="6:7" x14ac:dyDescent="0.25">
      <c r="F5031" s="17" t="s">
        <v>291</v>
      </c>
      <c r="G5031" s="17" t="s">
        <v>215</v>
      </c>
    </row>
    <row r="5032" spans="6:7" x14ac:dyDescent="0.25">
      <c r="F5032" s="17" t="s">
        <v>5588</v>
      </c>
      <c r="G5032" s="17" t="s">
        <v>215</v>
      </c>
    </row>
    <row r="5033" spans="6:7" x14ac:dyDescent="0.25">
      <c r="F5033" s="17" t="s">
        <v>5589</v>
      </c>
      <c r="G5033" s="17" t="s">
        <v>215</v>
      </c>
    </row>
    <row r="5034" spans="6:7" x14ac:dyDescent="0.25">
      <c r="F5034" s="17" t="s">
        <v>5590</v>
      </c>
      <c r="G5034" s="17" t="s">
        <v>215</v>
      </c>
    </row>
    <row r="5035" spans="6:7" x14ac:dyDescent="0.25">
      <c r="F5035" s="17" t="s">
        <v>5591</v>
      </c>
      <c r="G5035" s="17" t="s">
        <v>215</v>
      </c>
    </row>
    <row r="5036" spans="6:7" x14ac:dyDescent="0.25">
      <c r="F5036" s="17" t="s">
        <v>5592</v>
      </c>
      <c r="G5036" s="17" t="s">
        <v>215</v>
      </c>
    </row>
    <row r="5037" spans="6:7" x14ac:dyDescent="0.25">
      <c r="F5037" s="17" t="s">
        <v>5593</v>
      </c>
      <c r="G5037" s="17" t="s">
        <v>215</v>
      </c>
    </row>
    <row r="5038" spans="6:7" x14ac:dyDescent="0.25">
      <c r="F5038" s="17" t="s">
        <v>5594</v>
      </c>
      <c r="G5038" s="17" t="s">
        <v>215</v>
      </c>
    </row>
    <row r="5039" spans="6:7" x14ac:dyDescent="0.25">
      <c r="F5039" s="17" t="s">
        <v>5595</v>
      </c>
      <c r="G5039" s="17" t="s">
        <v>215</v>
      </c>
    </row>
    <row r="5040" spans="6:7" x14ac:dyDescent="0.25">
      <c r="F5040" s="17" t="s">
        <v>5596</v>
      </c>
      <c r="G5040" s="17" t="s">
        <v>215</v>
      </c>
    </row>
    <row r="5041" spans="6:7" x14ac:dyDescent="0.25">
      <c r="F5041" s="17" t="s">
        <v>695</v>
      </c>
      <c r="G5041" s="17" t="s">
        <v>215</v>
      </c>
    </row>
    <row r="5042" spans="6:7" x14ac:dyDescent="0.25">
      <c r="F5042" s="17" t="s">
        <v>5597</v>
      </c>
      <c r="G5042" s="17" t="s">
        <v>215</v>
      </c>
    </row>
    <row r="5043" spans="6:7" x14ac:dyDescent="0.25">
      <c r="F5043" s="17" t="s">
        <v>5598</v>
      </c>
      <c r="G5043" s="17" t="s">
        <v>215</v>
      </c>
    </row>
    <row r="5044" spans="6:7" x14ac:dyDescent="0.25">
      <c r="F5044" s="17" t="s">
        <v>5599</v>
      </c>
      <c r="G5044" s="17" t="s">
        <v>215</v>
      </c>
    </row>
    <row r="5045" spans="6:7" x14ac:dyDescent="0.25">
      <c r="F5045" s="17" t="s">
        <v>5600</v>
      </c>
      <c r="G5045" s="17" t="s">
        <v>215</v>
      </c>
    </row>
    <row r="5046" spans="6:7" x14ac:dyDescent="0.25">
      <c r="F5046" s="17" t="s">
        <v>469</v>
      </c>
      <c r="G5046" s="17" t="s">
        <v>215</v>
      </c>
    </row>
    <row r="5047" spans="6:7" x14ac:dyDescent="0.25">
      <c r="F5047" s="17" t="s">
        <v>5601</v>
      </c>
      <c r="G5047" s="17" t="s">
        <v>215</v>
      </c>
    </row>
    <row r="5048" spans="6:7" x14ac:dyDescent="0.25">
      <c r="F5048" s="17" t="s">
        <v>5602</v>
      </c>
      <c r="G5048" s="17" t="s">
        <v>215</v>
      </c>
    </row>
    <row r="5049" spans="6:7" x14ac:dyDescent="0.25">
      <c r="F5049" s="17" t="s">
        <v>5603</v>
      </c>
      <c r="G5049" s="17" t="s">
        <v>215</v>
      </c>
    </row>
    <row r="5050" spans="6:7" x14ac:dyDescent="0.25">
      <c r="F5050" s="17" t="s">
        <v>5604</v>
      </c>
      <c r="G5050" s="17" t="s">
        <v>215</v>
      </c>
    </row>
    <row r="5051" spans="6:7" x14ac:dyDescent="0.25">
      <c r="F5051" s="17" t="s">
        <v>5605</v>
      </c>
      <c r="G5051" s="17" t="s">
        <v>215</v>
      </c>
    </row>
    <row r="5052" spans="6:7" x14ac:dyDescent="0.25">
      <c r="F5052" s="17" t="s">
        <v>5606</v>
      </c>
      <c r="G5052" s="17" t="s">
        <v>215</v>
      </c>
    </row>
    <row r="5053" spans="6:7" x14ac:dyDescent="0.25">
      <c r="F5053" s="17" t="s">
        <v>5607</v>
      </c>
      <c r="G5053" s="17" t="s">
        <v>215</v>
      </c>
    </row>
    <row r="5054" spans="6:7" x14ac:dyDescent="0.25">
      <c r="F5054" s="17" t="s">
        <v>5608</v>
      </c>
      <c r="G5054" s="17" t="s">
        <v>215</v>
      </c>
    </row>
    <row r="5055" spans="6:7" x14ac:dyDescent="0.25">
      <c r="F5055" s="17" t="s">
        <v>5609</v>
      </c>
      <c r="G5055" s="17" t="s">
        <v>215</v>
      </c>
    </row>
    <row r="5056" spans="6:7" x14ac:dyDescent="0.25">
      <c r="F5056" s="17" t="s">
        <v>5610</v>
      </c>
      <c r="G5056" s="17" t="s">
        <v>215</v>
      </c>
    </row>
    <row r="5057" spans="6:7" x14ac:dyDescent="0.25">
      <c r="F5057" s="17" t="s">
        <v>5611</v>
      </c>
      <c r="G5057" s="17" t="s">
        <v>215</v>
      </c>
    </row>
    <row r="5058" spans="6:7" x14ac:dyDescent="0.25">
      <c r="F5058" s="17" t="s">
        <v>658</v>
      </c>
      <c r="G5058" s="17" t="s">
        <v>215</v>
      </c>
    </row>
    <row r="5059" spans="6:7" x14ac:dyDescent="0.25">
      <c r="F5059" s="17" t="s">
        <v>5612</v>
      </c>
      <c r="G5059" s="17" t="s">
        <v>215</v>
      </c>
    </row>
    <row r="5060" spans="6:7" x14ac:dyDescent="0.25">
      <c r="F5060" s="17" t="s">
        <v>5613</v>
      </c>
      <c r="G5060" s="17" t="s">
        <v>215</v>
      </c>
    </row>
    <row r="5061" spans="6:7" x14ac:dyDescent="0.25">
      <c r="F5061" s="17" t="s">
        <v>5614</v>
      </c>
      <c r="G5061" s="17" t="s">
        <v>215</v>
      </c>
    </row>
    <row r="5062" spans="6:7" x14ac:dyDescent="0.25">
      <c r="F5062" s="17" t="s">
        <v>5615</v>
      </c>
      <c r="G5062" s="17" t="s">
        <v>215</v>
      </c>
    </row>
    <row r="5063" spans="6:7" x14ac:dyDescent="0.25">
      <c r="F5063" s="17" t="s">
        <v>448</v>
      </c>
      <c r="G5063" s="17" t="s">
        <v>215</v>
      </c>
    </row>
    <row r="5064" spans="6:7" x14ac:dyDescent="0.25">
      <c r="F5064" s="17" t="s">
        <v>5616</v>
      </c>
      <c r="G5064" s="17" t="s">
        <v>215</v>
      </c>
    </row>
    <row r="5065" spans="6:7" x14ac:dyDescent="0.25">
      <c r="F5065" s="17" t="s">
        <v>5617</v>
      </c>
      <c r="G5065" s="17" t="s">
        <v>215</v>
      </c>
    </row>
    <row r="5066" spans="6:7" x14ac:dyDescent="0.25">
      <c r="F5066" s="17" t="s">
        <v>5618</v>
      </c>
      <c r="G5066" s="17" t="s">
        <v>215</v>
      </c>
    </row>
    <row r="5067" spans="6:7" x14ac:dyDescent="0.25">
      <c r="F5067" s="17" t="s">
        <v>390</v>
      </c>
      <c r="G5067" s="17" t="s">
        <v>215</v>
      </c>
    </row>
    <row r="5068" spans="6:7" x14ac:dyDescent="0.25">
      <c r="F5068" s="17" t="s">
        <v>555</v>
      </c>
      <c r="G5068" s="17" t="s">
        <v>215</v>
      </c>
    </row>
    <row r="5069" spans="6:7" x14ac:dyDescent="0.25">
      <c r="F5069" s="17" t="s">
        <v>5619</v>
      </c>
      <c r="G5069" s="17" t="s">
        <v>215</v>
      </c>
    </row>
    <row r="5070" spans="6:7" x14ac:dyDescent="0.25">
      <c r="F5070" s="17" t="s">
        <v>453</v>
      </c>
      <c r="G5070" s="17" t="s">
        <v>215</v>
      </c>
    </row>
    <row r="5071" spans="6:7" x14ac:dyDescent="0.25">
      <c r="F5071" s="17" t="s">
        <v>5620</v>
      </c>
      <c r="G5071" s="17" t="s">
        <v>215</v>
      </c>
    </row>
    <row r="5072" spans="6:7" x14ac:dyDescent="0.25">
      <c r="F5072" s="17" t="s">
        <v>5621</v>
      </c>
      <c r="G5072" s="17" t="s">
        <v>215</v>
      </c>
    </row>
    <row r="5073" spans="6:7" x14ac:dyDescent="0.25">
      <c r="F5073" s="17" t="s">
        <v>5622</v>
      </c>
      <c r="G5073" s="17" t="s">
        <v>215</v>
      </c>
    </row>
    <row r="5074" spans="6:7" x14ac:dyDescent="0.25">
      <c r="F5074" s="17" t="s">
        <v>5623</v>
      </c>
      <c r="G5074" s="17" t="s">
        <v>215</v>
      </c>
    </row>
    <row r="5075" spans="6:7" x14ac:dyDescent="0.25">
      <c r="F5075" s="17" t="s">
        <v>793</v>
      </c>
      <c r="G5075" s="17" t="s">
        <v>215</v>
      </c>
    </row>
    <row r="5076" spans="6:7" x14ac:dyDescent="0.25">
      <c r="F5076" s="17" t="s">
        <v>396</v>
      </c>
      <c r="G5076" s="17" t="s">
        <v>215</v>
      </c>
    </row>
    <row r="5077" spans="6:7" x14ac:dyDescent="0.25">
      <c r="F5077" s="17" t="s">
        <v>470</v>
      </c>
      <c r="G5077" s="17" t="s">
        <v>215</v>
      </c>
    </row>
    <row r="5078" spans="6:7" x14ac:dyDescent="0.25">
      <c r="F5078" s="17" t="s">
        <v>5624</v>
      </c>
      <c r="G5078" s="17" t="s">
        <v>215</v>
      </c>
    </row>
    <row r="5079" spans="6:7" x14ac:dyDescent="0.25">
      <c r="F5079" s="17" t="s">
        <v>5625</v>
      </c>
      <c r="G5079" s="17" t="s">
        <v>211</v>
      </c>
    </row>
    <row r="5080" spans="6:7" x14ac:dyDescent="0.25">
      <c r="F5080" s="17" t="s">
        <v>5626</v>
      </c>
      <c r="G5080" s="17" t="s">
        <v>211</v>
      </c>
    </row>
    <row r="5081" spans="6:7" x14ac:dyDescent="0.25">
      <c r="F5081" s="17" t="s">
        <v>5627</v>
      </c>
      <c r="G5081" s="17" t="s">
        <v>211</v>
      </c>
    </row>
    <row r="5082" spans="6:7" x14ac:dyDescent="0.25">
      <c r="F5082" s="17" t="s">
        <v>5628</v>
      </c>
      <c r="G5082" s="17" t="s">
        <v>211</v>
      </c>
    </row>
    <row r="5083" spans="6:7" x14ac:dyDescent="0.25">
      <c r="F5083" s="17" t="s">
        <v>5629</v>
      </c>
      <c r="G5083" s="17" t="s">
        <v>211</v>
      </c>
    </row>
    <row r="5084" spans="6:7" x14ac:dyDescent="0.25">
      <c r="F5084" s="17" t="s">
        <v>735</v>
      </c>
      <c r="G5084" s="17" t="s">
        <v>211</v>
      </c>
    </row>
    <row r="5085" spans="6:7" x14ac:dyDescent="0.25">
      <c r="F5085" s="17" t="s">
        <v>525</v>
      </c>
      <c r="G5085" s="17" t="s">
        <v>211</v>
      </c>
    </row>
    <row r="5086" spans="6:7" x14ac:dyDescent="0.25">
      <c r="F5086" s="17" t="s">
        <v>5630</v>
      </c>
      <c r="G5086" s="17" t="s">
        <v>211</v>
      </c>
    </row>
    <row r="5087" spans="6:7" x14ac:dyDescent="0.25">
      <c r="F5087" s="17" t="s">
        <v>5631</v>
      </c>
      <c r="G5087" s="17" t="s">
        <v>207</v>
      </c>
    </row>
    <row r="5088" spans="6:7" x14ac:dyDescent="0.25">
      <c r="F5088" s="17" t="s">
        <v>5632</v>
      </c>
      <c r="G5088" s="17" t="s">
        <v>207</v>
      </c>
    </row>
    <row r="5089" spans="6:7" x14ac:dyDescent="0.25">
      <c r="F5089" s="17" t="s">
        <v>5633</v>
      </c>
      <c r="G5089" s="17" t="s">
        <v>207</v>
      </c>
    </row>
    <row r="5090" spans="6:7" x14ac:dyDescent="0.25">
      <c r="F5090" s="17" t="s">
        <v>5634</v>
      </c>
      <c r="G5090" s="17" t="s">
        <v>207</v>
      </c>
    </row>
    <row r="5091" spans="6:7" x14ac:dyDescent="0.25">
      <c r="F5091" s="17" t="s">
        <v>841</v>
      </c>
      <c r="G5091" s="17" t="s">
        <v>215</v>
      </c>
    </row>
    <row r="5092" spans="6:7" x14ac:dyDescent="0.25">
      <c r="F5092" s="17" t="s">
        <v>5635</v>
      </c>
      <c r="G5092" s="17" t="s">
        <v>215</v>
      </c>
    </row>
    <row r="5093" spans="6:7" x14ac:dyDescent="0.25">
      <c r="F5093" s="17" t="s">
        <v>5636</v>
      </c>
      <c r="G5093" s="17" t="s">
        <v>215</v>
      </c>
    </row>
    <row r="5094" spans="6:7" x14ac:dyDescent="0.25">
      <c r="F5094" s="17" t="s">
        <v>5637</v>
      </c>
      <c r="G5094" s="17" t="s">
        <v>215</v>
      </c>
    </row>
    <row r="5095" spans="6:7" x14ac:dyDescent="0.25">
      <c r="F5095" s="17" t="s">
        <v>5638</v>
      </c>
      <c r="G5095" s="17" t="s">
        <v>215</v>
      </c>
    </row>
    <row r="5096" spans="6:7" x14ac:dyDescent="0.25">
      <c r="F5096" s="17" t="s">
        <v>5639</v>
      </c>
      <c r="G5096" s="17" t="s">
        <v>215</v>
      </c>
    </row>
    <row r="5097" spans="6:7" x14ac:dyDescent="0.25">
      <c r="F5097" s="17" t="s">
        <v>5640</v>
      </c>
      <c r="G5097" s="17" t="s">
        <v>215</v>
      </c>
    </row>
    <row r="5098" spans="6:7" x14ac:dyDescent="0.25">
      <c r="F5098" s="17" t="s">
        <v>942</v>
      </c>
      <c r="G5098" s="17" t="s">
        <v>215</v>
      </c>
    </row>
    <row r="5099" spans="6:7" x14ac:dyDescent="0.25">
      <c r="F5099" s="17" t="s">
        <v>783</v>
      </c>
      <c r="G5099" s="17" t="s">
        <v>215</v>
      </c>
    </row>
    <row r="5100" spans="6:7" x14ac:dyDescent="0.25">
      <c r="F5100" s="17" t="s">
        <v>5641</v>
      </c>
      <c r="G5100" s="17" t="s">
        <v>215</v>
      </c>
    </row>
    <row r="5101" spans="6:7" x14ac:dyDescent="0.25">
      <c r="F5101" s="17" t="s">
        <v>646</v>
      </c>
      <c r="G5101" s="17" t="s">
        <v>215</v>
      </c>
    </row>
    <row r="5102" spans="6:7" x14ac:dyDescent="0.25">
      <c r="F5102" s="17" t="s">
        <v>664</v>
      </c>
      <c r="G5102" s="17" t="s">
        <v>215</v>
      </c>
    </row>
    <row r="5103" spans="6:7" x14ac:dyDescent="0.25">
      <c r="F5103" s="17" t="s">
        <v>5642</v>
      </c>
      <c r="G5103" s="17" t="s">
        <v>215</v>
      </c>
    </row>
    <row r="5104" spans="6:7" x14ac:dyDescent="0.25">
      <c r="F5104" s="17" t="s">
        <v>5643</v>
      </c>
      <c r="G5104" s="17" t="s">
        <v>215</v>
      </c>
    </row>
    <row r="5105" spans="6:7" x14ac:dyDescent="0.25">
      <c r="F5105" s="17" t="s">
        <v>5644</v>
      </c>
      <c r="G5105" s="17" t="s">
        <v>215</v>
      </c>
    </row>
    <row r="5106" spans="6:7" x14ac:dyDescent="0.25">
      <c r="F5106" s="17" t="s">
        <v>5645</v>
      </c>
      <c r="G5106" s="17" t="s">
        <v>215</v>
      </c>
    </row>
    <row r="5107" spans="6:7" x14ac:dyDescent="0.25">
      <c r="F5107" s="17" t="s">
        <v>599</v>
      </c>
      <c r="G5107" s="17" t="s">
        <v>215</v>
      </c>
    </row>
    <row r="5108" spans="6:7" x14ac:dyDescent="0.25">
      <c r="F5108" s="17" t="s">
        <v>274</v>
      </c>
      <c r="G5108" s="17" t="s">
        <v>215</v>
      </c>
    </row>
    <row r="5109" spans="6:7" x14ac:dyDescent="0.25">
      <c r="F5109" s="17" t="s">
        <v>596</v>
      </c>
      <c r="G5109" s="17" t="s">
        <v>215</v>
      </c>
    </row>
    <row r="5110" spans="6:7" x14ac:dyDescent="0.25">
      <c r="F5110" s="17" t="s">
        <v>261</v>
      </c>
      <c r="G5110" s="17" t="s">
        <v>215</v>
      </c>
    </row>
    <row r="5111" spans="6:7" x14ac:dyDescent="0.25">
      <c r="F5111" s="17" t="s">
        <v>786</v>
      </c>
      <c r="G5111" s="17" t="s">
        <v>215</v>
      </c>
    </row>
    <row r="5112" spans="6:7" x14ac:dyDescent="0.25">
      <c r="F5112" s="17" t="s">
        <v>259</v>
      </c>
      <c r="G5112" s="17" t="s">
        <v>209</v>
      </c>
    </row>
    <row r="5113" spans="6:7" x14ac:dyDescent="0.25">
      <c r="F5113" s="17" t="s">
        <v>5646</v>
      </c>
      <c r="G5113" s="17" t="s">
        <v>209</v>
      </c>
    </row>
    <row r="5114" spans="6:7" x14ac:dyDescent="0.25">
      <c r="F5114" s="17" t="s">
        <v>780</v>
      </c>
      <c r="G5114" s="17" t="s">
        <v>209</v>
      </c>
    </row>
    <row r="5115" spans="6:7" x14ac:dyDescent="0.25">
      <c r="F5115" s="17" t="s">
        <v>5647</v>
      </c>
      <c r="G5115" s="17" t="s">
        <v>1996</v>
      </c>
    </row>
    <row r="5116" spans="6:7" x14ac:dyDescent="0.25">
      <c r="F5116" s="17" t="s">
        <v>5648</v>
      </c>
      <c r="G5116" s="17" t="s">
        <v>209</v>
      </c>
    </row>
    <row r="5117" spans="6:7" x14ac:dyDescent="0.25">
      <c r="F5117" s="17" t="s">
        <v>5649</v>
      </c>
      <c r="G5117" s="17" t="s">
        <v>209</v>
      </c>
    </row>
    <row r="5118" spans="6:7" x14ac:dyDescent="0.25">
      <c r="F5118" s="17" t="s">
        <v>344</v>
      </c>
      <c r="G5118" s="17" t="s">
        <v>209</v>
      </c>
    </row>
    <row r="5119" spans="6:7" x14ac:dyDescent="0.25">
      <c r="F5119" s="17" t="s">
        <v>5650</v>
      </c>
      <c r="G5119" s="17" t="s">
        <v>209</v>
      </c>
    </row>
    <row r="5120" spans="6:7" x14ac:dyDescent="0.25">
      <c r="F5120" s="17" t="s">
        <v>779</v>
      </c>
      <c r="G5120" s="17" t="s">
        <v>209</v>
      </c>
    </row>
    <row r="5121" spans="6:7" x14ac:dyDescent="0.25">
      <c r="F5121" s="17" t="s">
        <v>575</v>
      </c>
      <c r="G5121" s="17" t="s">
        <v>209</v>
      </c>
    </row>
    <row r="5122" spans="6:7" x14ac:dyDescent="0.25">
      <c r="F5122" s="17" t="s">
        <v>5651</v>
      </c>
      <c r="G5122" s="17" t="s">
        <v>209</v>
      </c>
    </row>
    <row r="5123" spans="6:7" x14ac:dyDescent="0.25">
      <c r="F5123" s="17" t="s">
        <v>854</v>
      </c>
      <c r="G5123" s="17" t="s">
        <v>209</v>
      </c>
    </row>
    <row r="5124" spans="6:7" x14ac:dyDescent="0.25">
      <c r="F5124" s="17" t="s">
        <v>5652</v>
      </c>
      <c r="G5124" s="17" t="s">
        <v>209</v>
      </c>
    </row>
    <row r="5125" spans="6:7" x14ac:dyDescent="0.25">
      <c r="F5125" s="17" t="s">
        <v>5653</v>
      </c>
      <c r="G5125" s="17" t="s">
        <v>209</v>
      </c>
    </row>
    <row r="5126" spans="6:7" x14ac:dyDescent="0.25">
      <c r="F5126" s="17" t="s">
        <v>5654</v>
      </c>
      <c r="G5126" s="17" t="s">
        <v>209</v>
      </c>
    </row>
    <row r="5127" spans="6:7" x14ac:dyDescent="0.25">
      <c r="F5127" s="17" t="s">
        <v>5655</v>
      </c>
      <c r="G5127" s="17" t="s">
        <v>209</v>
      </c>
    </row>
    <row r="5128" spans="6:7" x14ac:dyDescent="0.25">
      <c r="F5128" s="17" t="s">
        <v>5656</v>
      </c>
      <c r="G5128" s="17" t="s">
        <v>209</v>
      </c>
    </row>
    <row r="5129" spans="6:7" x14ac:dyDescent="0.25">
      <c r="F5129" s="17" t="s">
        <v>5657</v>
      </c>
      <c r="G5129" s="17" t="s">
        <v>209</v>
      </c>
    </row>
    <row r="5130" spans="6:7" x14ac:dyDescent="0.25">
      <c r="F5130" s="17" t="s">
        <v>5658</v>
      </c>
      <c r="G5130" s="17" t="s">
        <v>209</v>
      </c>
    </row>
    <row r="5131" spans="6:7" x14ac:dyDescent="0.25">
      <c r="F5131" s="17" t="s">
        <v>5659</v>
      </c>
      <c r="G5131" s="17" t="s">
        <v>209</v>
      </c>
    </row>
    <row r="5132" spans="6:7" x14ac:dyDescent="0.25">
      <c r="F5132" s="17" t="s">
        <v>5660</v>
      </c>
      <c r="G5132" s="17" t="s">
        <v>209</v>
      </c>
    </row>
    <row r="5133" spans="6:7" x14ac:dyDescent="0.25">
      <c r="F5133" s="17" t="s">
        <v>5661</v>
      </c>
      <c r="G5133" s="17" t="s">
        <v>209</v>
      </c>
    </row>
    <row r="5134" spans="6:7" x14ac:dyDescent="0.25">
      <c r="F5134" s="17" t="s">
        <v>971</v>
      </c>
      <c r="G5134" s="17" t="s">
        <v>209</v>
      </c>
    </row>
    <row r="5135" spans="6:7" x14ac:dyDescent="0.25">
      <c r="F5135" s="17" t="s">
        <v>5662</v>
      </c>
      <c r="G5135" s="17" t="s">
        <v>209</v>
      </c>
    </row>
    <row r="5136" spans="6:7" x14ac:dyDescent="0.25">
      <c r="F5136" s="17" t="s">
        <v>5663</v>
      </c>
      <c r="G5136" s="17" t="s">
        <v>209</v>
      </c>
    </row>
    <row r="5137" spans="6:7" x14ac:dyDescent="0.25">
      <c r="F5137" s="17" t="s">
        <v>5664</v>
      </c>
      <c r="G5137" s="17" t="s">
        <v>209</v>
      </c>
    </row>
    <row r="5138" spans="6:7" x14ac:dyDescent="0.25">
      <c r="F5138" s="17" t="s">
        <v>5665</v>
      </c>
      <c r="G5138" s="17" t="s">
        <v>209</v>
      </c>
    </row>
    <row r="5139" spans="6:7" x14ac:dyDescent="0.25">
      <c r="F5139" s="17" t="s">
        <v>5666</v>
      </c>
      <c r="G5139" s="17" t="s">
        <v>209</v>
      </c>
    </row>
    <row r="5140" spans="6:7" x14ac:dyDescent="0.25">
      <c r="F5140" s="17" t="s">
        <v>5667</v>
      </c>
      <c r="G5140" s="17" t="s">
        <v>209</v>
      </c>
    </row>
    <row r="5141" spans="6:7" x14ac:dyDescent="0.25">
      <c r="F5141" s="17" t="s">
        <v>5668</v>
      </c>
      <c r="G5141" s="17" t="s">
        <v>209</v>
      </c>
    </row>
    <row r="5142" spans="6:7" x14ac:dyDescent="0.25">
      <c r="F5142" s="17" t="s">
        <v>5669</v>
      </c>
      <c r="G5142" s="17" t="s">
        <v>209</v>
      </c>
    </row>
    <row r="5143" spans="6:7" x14ac:dyDescent="0.25">
      <c r="F5143" s="17" t="s">
        <v>5670</v>
      </c>
      <c r="G5143" s="17" t="s">
        <v>209</v>
      </c>
    </row>
    <row r="5144" spans="6:7" x14ac:dyDescent="0.25">
      <c r="F5144" s="17" t="s">
        <v>5671</v>
      </c>
      <c r="G5144" s="17" t="s">
        <v>209</v>
      </c>
    </row>
    <row r="5145" spans="6:7" x14ac:dyDescent="0.25">
      <c r="F5145" s="17" t="s">
        <v>5672</v>
      </c>
      <c r="G5145" s="17" t="s">
        <v>209</v>
      </c>
    </row>
    <row r="5146" spans="6:7" x14ac:dyDescent="0.25">
      <c r="F5146" s="17" t="s">
        <v>5673</v>
      </c>
      <c r="G5146" s="17" t="s">
        <v>209</v>
      </c>
    </row>
    <row r="5147" spans="6:7" x14ac:dyDescent="0.25">
      <c r="F5147" s="17" t="s">
        <v>5674</v>
      </c>
      <c r="G5147" s="17" t="s">
        <v>209</v>
      </c>
    </row>
    <row r="5148" spans="6:7" x14ac:dyDescent="0.25">
      <c r="F5148" s="17" t="s">
        <v>5675</v>
      </c>
      <c r="G5148" s="17" t="s">
        <v>209</v>
      </c>
    </row>
    <row r="5149" spans="6:7" x14ac:dyDescent="0.25">
      <c r="F5149" s="17" t="s">
        <v>5676</v>
      </c>
      <c r="G5149" s="17" t="s">
        <v>209</v>
      </c>
    </row>
    <row r="5150" spans="6:7" x14ac:dyDescent="0.25">
      <c r="F5150" s="17" t="s">
        <v>863</v>
      </c>
      <c r="G5150" s="17" t="s">
        <v>209</v>
      </c>
    </row>
    <row r="5151" spans="6:7" x14ac:dyDescent="0.25">
      <c r="F5151" s="17" t="s">
        <v>5677</v>
      </c>
      <c r="G5151" s="17" t="s">
        <v>209</v>
      </c>
    </row>
    <row r="5152" spans="6:7" x14ac:dyDescent="0.25">
      <c r="F5152" s="17" t="s">
        <v>5678</v>
      </c>
      <c r="G5152" s="17" t="s">
        <v>209</v>
      </c>
    </row>
    <row r="5153" spans="6:7" x14ac:dyDescent="0.25">
      <c r="F5153" s="17" t="s">
        <v>988</v>
      </c>
      <c r="G5153" s="17" t="s">
        <v>209</v>
      </c>
    </row>
    <row r="5154" spans="6:7" x14ac:dyDescent="0.25">
      <c r="F5154" s="17" t="s">
        <v>738</v>
      </c>
      <c r="G5154" s="17" t="s">
        <v>209</v>
      </c>
    </row>
    <row r="5155" spans="6:7" x14ac:dyDescent="0.25">
      <c r="F5155" s="17" t="s">
        <v>5679</v>
      </c>
      <c r="G5155" s="17" t="s">
        <v>209</v>
      </c>
    </row>
    <row r="5156" spans="6:7" x14ac:dyDescent="0.25">
      <c r="F5156" s="17" t="s">
        <v>5680</v>
      </c>
      <c r="G5156" s="17" t="s">
        <v>209</v>
      </c>
    </row>
    <row r="5157" spans="6:7" x14ac:dyDescent="0.25">
      <c r="F5157" s="17" t="s">
        <v>479</v>
      </c>
      <c r="G5157" s="17" t="s">
        <v>209</v>
      </c>
    </row>
    <row r="5158" spans="6:7" x14ac:dyDescent="0.25">
      <c r="F5158" s="17" t="s">
        <v>5681</v>
      </c>
      <c r="G5158" s="17" t="s">
        <v>209</v>
      </c>
    </row>
    <row r="5159" spans="6:7" x14ac:dyDescent="0.25">
      <c r="F5159" s="17" t="s">
        <v>5682</v>
      </c>
      <c r="G5159" s="17" t="s">
        <v>209</v>
      </c>
    </row>
    <row r="5160" spans="6:7" x14ac:dyDescent="0.25">
      <c r="F5160" s="17" t="s">
        <v>5683</v>
      </c>
      <c r="G5160" s="17" t="s">
        <v>209</v>
      </c>
    </row>
    <row r="5161" spans="6:7" x14ac:dyDescent="0.25">
      <c r="F5161" s="17" t="s">
        <v>820</v>
      </c>
      <c r="G5161" s="17" t="s">
        <v>209</v>
      </c>
    </row>
    <row r="5162" spans="6:7" x14ac:dyDescent="0.25">
      <c r="F5162" s="17" t="s">
        <v>5684</v>
      </c>
      <c r="G5162" s="17" t="s">
        <v>209</v>
      </c>
    </row>
    <row r="5163" spans="6:7" x14ac:dyDescent="0.25">
      <c r="F5163" s="17" t="s">
        <v>770</v>
      </c>
      <c r="G5163" s="17" t="s">
        <v>209</v>
      </c>
    </row>
    <row r="5164" spans="6:7" x14ac:dyDescent="0.25">
      <c r="F5164" s="17" t="s">
        <v>908</v>
      </c>
      <c r="G5164" s="17" t="s">
        <v>209</v>
      </c>
    </row>
    <row r="5165" spans="6:7" x14ac:dyDescent="0.25">
      <c r="F5165" s="17" t="s">
        <v>618</v>
      </c>
      <c r="G5165" s="17" t="s">
        <v>209</v>
      </c>
    </row>
    <row r="5166" spans="6:7" x14ac:dyDescent="0.25">
      <c r="F5166" s="17" t="s">
        <v>5685</v>
      </c>
      <c r="G5166" s="17" t="s">
        <v>209</v>
      </c>
    </row>
    <row r="5167" spans="6:7" x14ac:dyDescent="0.25">
      <c r="F5167" s="17" t="s">
        <v>5686</v>
      </c>
      <c r="G5167" s="17" t="s">
        <v>209</v>
      </c>
    </row>
    <row r="5168" spans="6:7" x14ac:dyDescent="0.25">
      <c r="F5168" s="17" t="s">
        <v>5687</v>
      </c>
      <c r="G5168" s="17" t="s">
        <v>209</v>
      </c>
    </row>
    <row r="5169" spans="6:7" x14ac:dyDescent="0.25">
      <c r="F5169" s="17" t="s">
        <v>5688</v>
      </c>
      <c r="G5169" s="17" t="s">
        <v>209</v>
      </c>
    </row>
    <row r="5170" spans="6:7" x14ac:dyDescent="0.25">
      <c r="F5170" s="17" t="s">
        <v>5689</v>
      </c>
      <c r="G5170" s="17" t="s">
        <v>209</v>
      </c>
    </row>
    <row r="5171" spans="6:7" x14ac:dyDescent="0.25">
      <c r="F5171" s="17" t="s">
        <v>5690</v>
      </c>
      <c r="G5171" s="17" t="s">
        <v>209</v>
      </c>
    </row>
    <row r="5172" spans="6:7" x14ac:dyDescent="0.25">
      <c r="F5172" s="17" t="s">
        <v>5691</v>
      </c>
      <c r="G5172" s="17" t="s">
        <v>209</v>
      </c>
    </row>
    <row r="5173" spans="6:7" x14ac:dyDescent="0.25">
      <c r="F5173" s="17" t="s">
        <v>5692</v>
      </c>
      <c r="G5173" s="17" t="s">
        <v>209</v>
      </c>
    </row>
    <row r="5174" spans="6:7" x14ac:dyDescent="0.25">
      <c r="F5174" s="17" t="s">
        <v>5693</v>
      </c>
      <c r="G5174" s="17" t="s">
        <v>209</v>
      </c>
    </row>
    <row r="5175" spans="6:7" x14ac:dyDescent="0.25">
      <c r="F5175" s="17" t="s">
        <v>5694</v>
      </c>
      <c r="G5175" s="17" t="s">
        <v>209</v>
      </c>
    </row>
    <row r="5176" spans="6:7" x14ac:dyDescent="0.25">
      <c r="F5176" s="17" t="s">
        <v>5695</v>
      </c>
      <c r="G5176" s="17" t="s">
        <v>209</v>
      </c>
    </row>
    <row r="5177" spans="6:7" x14ac:dyDescent="0.25">
      <c r="F5177" s="17" t="s">
        <v>5696</v>
      </c>
      <c r="G5177" s="17" t="s">
        <v>209</v>
      </c>
    </row>
    <row r="5178" spans="6:7" x14ac:dyDescent="0.25">
      <c r="F5178" s="17" t="s">
        <v>5697</v>
      </c>
      <c r="G5178" s="17" t="s">
        <v>209</v>
      </c>
    </row>
    <row r="5179" spans="6:7" x14ac:dyDescent="0.25">
      <c r="F5179" s="17" t="s">
        <v>5698</v>
      </c>
      <c r="G5179" s="17" t="s">
        <v>209</v>
      </c>
    </row>
    <row r="5180" spans="6:7" x14ac:dyDescent="0.25">
      <c r="F5180" s="17" t="s">
        <v>5699</v>
      </c>
      <c r="G5180" s="17" t="s">
        <v>209</v>
      </c>
    </row>
    <row r="5181" spans="6:7" x14ac:dyDescent="0.25">
      <c r="F5181" s="17" t="s">
        <v>5700</v>
      </c>
      <c r="G5181" s="17" t="s">
        <v>209</v>
      </c>
    </row>
    <row r="5182" spans="6:7" x14ac:dyDescent="0.25">
      <c r="F5182" s="17" t="s">
        <v>5701</v>
      </c>
      <c r="G5182" s="17" t="s">
        <v>209</v>
      </c>
    </row>
    <row r="5183" spans="6:7" x14ac:dyDescent="0.25">
      <c r="F5183" s="17" t="s">
        <v>5702</v>
      </c>
      <c r="G5183" s="17" t="s">
        <v>209</v>
      </c>
    </row>
    <row r="5184" spans="6:7" x14ac:dyDescent="0.25">
      <c r="F5184" s="17" t="s">
        <v>5703</v>
      </c>
      <c r="G5184" s="17" t="s">
        <v>209</v>
      </c>
    </row>
    <row r="5185" spans="6:7" x14ac:dyDescent="0.25">
      <c r="F5185" s="17" t="s">
        <v>5704</v>
      </c>
      <c r="G5185" s="17" t="s">
        <v>209</v>
      </c>
    </row>
    <row r="5186" spans="6:7" x14ac:dyDescent="0.25">
      <c r="F5186" s="17" t="s">
        <v>5705</v>
      </c>
      <c r="G5186" s="17" t="s">
        <v>209</v>
      </c>
    </row>
    <row r="5187" spans="6:7" x14ac:dyDescent="0.25">
      <c r="F5187" s="17" t="s">
        <v>5706</v>
      </c>
      <c r="G5187" s="17" t="s">
        <v>209</v>
      </c>
    </row>
    <row r="5188" spans="6:7" x14ac:dyDescent="0.25">
      <c r="F5188" s="17" t="s">
        <v>737</v>
      </c>
      <c r="G5188" s="17" t="s">
        <v>209</v>
      </c>
    </row>
    <row r="5189" spans="6:7" x14ac:dyDescent="0.25">
      <c r="F5189" s="17" t="s">
        <v>5707</v>
      </c>
      <c r="G5189" s="17" t="s">
        <v>209</v>
      </c>
    </row>
    <row r="5190" spans="6:7" x14ac:dyDescent="0.25">
      <c r="F5190" s="17" t="s">
        <v>5708</v>
      </c>
      <c r="G5190" s="17" t="s">
        <v>209</v>
      </c>
    </row>
    <row r="5191" spans="6:7" x14ac:dyDescent="0.25">
      <c r="F5191" s="17" t="s">
        <v>5709</v>
      </c>
      <c r="G5191" s="17" t="s">
        <v>209</v>
      </c>
    </row>
    <row r="5192" spans="6:7" x14ac:dyDescent="0.25">
      <c r="F5192" s="17" t="s">
        <v>5710</v>
      </c>
      <c r="G5192" s="17" t="s">
        <v>209</v>
      </c>
    </row>
    <row r="5193" spans="6:7" x14ac:dyDescent="0.25">
      <c r="F5193" s="17" t="s">
        <v>551</v>
      </c>
      <c r="G5193" s="17" t="s">
        <v>209</v>
      </c>
    </row>
    <row r="5194" spans="6:7" x14ac:dyDescent="0.25">
      <c r="F5194" s="17" t="s">
        <v>5711</v>
      </c>
      <c r="G5194" s="17" t="s">
        <v>209</v>
      </c>
    </row>
    <row r="5195" spans="6:7" x14ac:dyDescent="0.25">
      <c r="F5195" s="17" t="s">
        <v>5712</v>
      </c>
      <c r="G5195" s="17" t="s">
        <v>209</v>
      </c>
    </row>
    <row r="5196" spans="6:7" x14ac:dyDescent="0.25">
      <c r="F5196" s="17" t="s">
        <v>5713</v>
      </c>
      <c r="G5196" s="17" t="s">
        <v>209</v>
      </c>
    </row>
    <row r="5197" spans="6:7" x14ac:dyDescent="0.25">
      <c r="F5197" s="17" t="s">
        <v>5714</v>
      </c>
      <c r="G5197" s="17" t="s">
        <v>209</v>
      </c>
    </row>
    <row r="5198" spans="6:7" x14ac:dyDescent="0.25">
      <c r="F5198" s="17" t="s">
        <v>940</v>
      </c>
      <c r="G5198" s="17" t="s">
        <v>209</v>
      </c>
    </row>
    <row r="5199" spans="6:7" x14ac:dyDescent="0.25">
      <c r="F5199" s="17" t="s">
        <v>323</v>
      </c>
      <c r="G5199" s="17" t="s">
        <v>209</v>
      </c>
    </row>
    <row r="5200" spans="6:7" x14ac:dyDescent="0.25">
      <c r="F5200" s="17" t="s">
        <v>5715</v>
      </c>
      <c r="G5200" s="17" t="s">
        <v>209</v>
      </c>
    </row>
    <row r="5201" spans="6:7" x14ac:dyDescent="0.25">
      <c r="F5201" s="17" t="s">
        <v>691</v>
      </c>
      <c r="G5201" s="17" t="s">
        <v>209</v>
      </c>
    </row>
    <row r="5202" spans="6:7" x14ac:dyDescent="0.25">
      <c r="F5202" s="17" t="s">
        <v>5716</v>
      </c>
      <c r="G5202" s="17" t="s">
        <v>209</v>
      </c>
    </row>
    <row r="5203" spans="6:7" x14ac:dyDescent="0.25">
      <c r="F5203" s="17" t="s">
        <v>447</v>
      </c>
      <c r="G5203" s="17" t="s">
        <v>209</v>
      </c>
    </row>
    <row r="5204" spans="6:7" x14ac:dyDescent="0.25">
      <c r="F5204" s="17" t="s">
        <v>5717</v>
      </c>
      <c r="G5204" s="17" t="s">
        <v>209</v>
      </c>
    </row>
    <row r="5205" spans="6:7" x14ac:dyDescent="0.25">
      <c r="F5205" s="17" t="s">
        <v>5718</v>
      </c>
      <c r="G5205" s="17" t="s">
        <v>209</v>
      </c>
    </row>
    <row r="5206" spans="6:7" x14ac:dyDescent="0.25">
      <c r="F5206" s="17" t="s">
        <v>5719</v>
      </c>
      <c r="G5206" s="17" t="s">
        <v>209</v>
      </c>
    </row>
    <row r="5207" spans="6:7" x14ac:dyDescent="0.25">
      <c r="F5207" s="17" t="s">
        <v>857</v>
      </c>
      <c r="G5207" s="17" t="s">
        <v>209</v>
      </c>
    </row>
    <row r="5208" spans="6:7" x14ac:dyDescent="0.25">
      <c r="F5208" s="17" t="s">
        <v>5720</v>
      </c>
      <c r="G5208" s="17" t="s">
        <v>209</v>
      </c>
    </row>
    <row r="5209" spans="6:7" x14ac:dyDescent="0.25">
      <c r="F5209" s="17" t="s">
        <v>5721</v>
      </c>
      <c r="G5209" s="17" t="s">
        <v>209</v>
      </c>
    </row>
    <row r="5210" spans="6:7" x14ac:dyDescent="0.25">
      <c r="F5210" s="17" t="s">
        <v>292</v>
      </c>
      <c r="G5210" s="17" t="s">
        <v>209</v>
      </c>
    </row>
    <row r="5211" spans="6:7" x14ac:dyDescent="0.25">
      <c r="F5211" s="17" t="s">
        <v>936</v>
      </c>
      <c r="G5211" s="17" t="s">
        <v>209</v>
      </c>
    </row>
    <row r="5212" spans="6:7" x14ac:dyDescent="0.25">
      <c r="F5212" s="17" t="s">
        <v>324</v>
      </c>
      <c r="G5212" s="17" t="s">
        <v>209</v>
      </c>
    </row>
    <row r="5213" spans="6:7" x14ac:dyDescent="0.25">
      <c r="F5213" s="17" t="s">
        <v>5722</v>
      </c>
      <c r="G5213" s="17" t="s">
        <v>209</v>
      </c>
    </row>
    <row r="5214" spans="6:7" x14ac:dyDescent="0.25">
      <c r="F5214" s="17" t="s">
        <v>5723</v>
      </c>
      <c r="G5214" s="17" t="s">
        <v>209</v>
      </c>
    </row>
    <row r="5215" spans="6:7" x14ac:dyDescent="0.25">
      <c r="F5215" s="17" t="s">
        <v>5724</v>
      </c>
      <c r="G5215" s="17" t="s">
        <v>209</v>
      </c>
    </row>
    <row r="5216" spans="6:7" x14ac:dyDescent="0.25">
      <c r="F5216" s="17" t="s">
        <v>5725</v>
      </c>
      <c r="G5216" s="17" t="s">
        <v>209</v>
      </c>
    </row>
    <row r="5217" spans="6:7" x14ac:dyDescent="0.25">
      <c r="F5217" s="17" t="s">
        <v>5726</v>
      </c>
      <c r="G5217" s="17" t="s">
        <v>209</v>
      </c>
    </row>
    <row r="5218" spans="6:7" x14ac:dyDescent="0.25">
      <c r="F5218" s="17" t="s">
        <v>5727</v>
      </c>
      <c r="G5218" s="17" t="s">
        <v>209</v>
      </c>
    </row>
    <row r="5219" spans="6:7" x14ac:dyDescent="0.25">
      <c r="F5219" s="17" t="s">
        <v>5728</v>
      </c>
      <c r="G5219" s="17" t="s">
        <v>209</v>
      </c>
    </row>
    <row r="5220" spans="6:7" x14ac:dyDescent="0.25">
      <c r="F5220" s="17" t="s">
        <v>934</v>
      </c>
      <c r="G5220" s="17" t="s">
        <v>209</v>
      </c>
    </row>
    <row r="5221" spans="6:7" x14ac:dyDescent="0.25">
      <c r="F5221" s="17" t="s">
        <v>5729</v>
      </c>
      <c r="G5221" s="17" t="s">
        <v>209</v>
      </c>
    </row>
    <row r="5222" spans="6:7" x14ac:dyDescent="0.25">
      <c r="F5222" s="17" t="s">
        <v>5730</v>
      </c>
      <c r="G5222" s="17" t="s">
        <v>209</v>
      </c>
    </row>
    <row r="5223" spans="6:7" x14ac:dyDescent="0.25">
      <c r="F5223" s="17" t="s">
        <v>5731</v>
      </c>
      <c r="G5223" s="17" t="s">
        <v>209</v>
      </c>
    </row>
    <row r="5224" spans="6:7" x14ac:dyDescent="0.25">
      <c r="F5224" s="17" t="s">
        <v>5732</v>
      </c>
      <c r="G5224" s="17" t="s">
        <v>209</v>
      </c>
    </row>
    <row r="5225" spans="6:7" x14ac:dyDescent="0.25">
      <c r="F5225" s="17" t="s">
        <v>864</v>
      </c>
      <c r="G5225" s="17" t="s">
        <v>209</v>
      </c>
    </row>
    <row r="5226" spans="6:7" x14ac:dyDescent="0.25">
      <c r="F5226" s="17" t="s">
        <v>5733</v>
      </c>
      <c r="G5226" s="17" t="s">
        <v>209</v>
      </c>
    </row>
    <row r="5227" spans="6:7" x14ac:dyDescent="0.25">
      <c r="F5227" s="17" t="s">
        <v>617</v>
      </c>
      <c r="G5227" s="17" t="s">
        <v>209</v>
      </c>
    </row>
    <row r="5228" spans="6:7" x14ac:dyDescent="0.25">
      <c r="F5228" s="17" t="s">
        <v>5734</v>
      </c>
      <c r="G5228" s="17" t="s">
        <v>209</v>
      </c>
    </row>
    <row r="5229" spans="6:7" x14ac:dyDescent="0.25">
      <c r="F5229" s="17" t="s">
        <v>5735</v>
      </c>
      <c r="G5229" s="17" t="s">
        <v>209</v>
      </c>
    </row>
    <row r="5230" spans="6:7" x14ac:dyDescent="0.25">
      <c r="F5230" s="17" t="s">
        <v>762</v>
      </c>
      <c r="G5230" s="17" t="s">
        <v>209</v>
      </c>
    </row>
    <row r="5231" spans="6:7" x14ac:dyDescent="0.25">
      <c r="F5231" s="17" t="s">
        <v>5736</v>
      </c>
      <c r="G5231" s="17" t="s">
        <v>209</v>
      </c>
    </row>
    <row r="5232" spans="6:7" x14ac:dyDescent="0.25">
      <c r="F5232" s="17" t="s">
        <v>972</v>
      </c>
      <c r="G5232" s="17" t="s">
        <v>209</v>
      </c>
    </row>
    <row r="5233" spans="6:7" x14ac:dyDescent="0.25">
      <c r="F5233" s="17" t="s">
        <v>5737</v>
      </c>
      <c r="G5233" s="17" t="s">
        <v>209</v>
      </c>
    </row>
    <row r="5234" spans="6:7" x14ac:dyDescent="0.25">
      <c r="F5234" s="17" t="s">
        <v>5738</v>
      </c>
      <c r="G5234" s="17" t="s">
        <v>209</v>
      </c>
    </row>
    <row r="5235" spans="6:7" x14ac:dyDescent="0.25">
      <c r="F5235" s="17" t="s">
        <v>639</v>
      </c>
      <c r="G5235" s="17" t="s">
        <v>209</v>
      </c>
    </row>
    <row r="5236" spans="6:7" x14ac:dyDescent="0.25">
      <c r="F5236" s="17" t="s">
        <v>5739</v>
      </c>
      <c r="G5236" s="17" t="s">
        <v>209</v>
      </c>
    </row>
    <row r="5237" spans="6:7" x14ac:dyDescent="0.25">
      <c r="F5237" s="17" t="s">
        <v>269</v>
      </c>
      <c r="G5237" s="17" t="s">
        <v>209</v>
      </c>
    </row>
    <row r="5238" spans="6:7" x14ac:dyDescent="0.25">
      <c r="F5238" s="17" t="s">
        <v>5740</v>
      </c>
      <c r="G5238" s="17" t="s">
        <v>209</v>
      </c>
    </row>
    <row r="5239" spans="6:7" x14ac:dyDescent="0.25">
      <c r="F5239" s="17" t="s">
        <v>5741</v>
      </c>
      <c r="G5239" s="17" t="s">
        <v>209</v>
      </c>
    </row>
    <row r="5240" spans="6:7" x14ac:dyDescent="0.25">
      <c r="F5240" s="17" t="s">
        <v>330</v>
      </c>
      <c r="G5240" s="17" t="s">
        <v>209</v>
      </c>
    </row>
    <row r="5241" spans="6:7" x14ac:dyDescent="0.25">
      <c r="F5241" s="17" t="s">
        <v>5742</v>
      </c>
      <c r="G5241" s="17" t="s">
        <v>209</v>
      </c>
    </row>
    <row r="5242" spans="6:7" x14ac:dyDescent="0.25">
      <c r="F5242" s="17" t="s">
        <v>5743</v>
      </c>
      <c r="G5242" s="17" t="s">
        <v>209</v>
      </c>
    </row>
    <row r="5243" spans="6:7" x14ac:dyDescent="0.25">
      <c r="F5243" s="17" t="s">
        <v>5744</v>
      </c>
      <c r="G5243" s="17" t="s">
        <v>209</v>
      </c>
    </row>
    <row r="5244" spans="6:7" x14ac:dyDescent="0.25">
      <c r="F5244" s="17" t="s">
        <v>5745</v>
      </c>
      <c r="G5244" s="17" t="s">
        <v>209</v>
      </c>
    </row>
    <row r="5245" spans="6:7" x14ac:dyDescent="0.25">
      <c r="F5245" s="17" t="s">
        <v>5746</v>
      </c>
      <c r="G5245" s="17" t="s">
        <v>209</v>
      </c>
    </row>
    <row r="5246" spans="6:7" x14ac:dyDescent="0.25">
      <c r="F5246" s="17" t="s">
        <v>5747</v>
      </c>
      <c r="G5246" s="17" t="s">
        <v>209</v>
      </c>
    </row>
    <row r="5247" spans="6:7" x14ac:dyDescent="0.25">
      <c r="F5247" s="17" t="s">
        <v>5748</v>
      </c>
      <c r="G5247" s="17" t="s">
        <v>209</v>
      </c>
    </row>
    <row r="5248" spans="6:7" x14ac:dyDescent="0.25">
      <c r="F5248" s="17" t="s">
        <v>937</v>
      </c>
      <c r="G5248" s="17" t="s">
        <v>209</v>
      </c>
    </row>
    <row r="5249" spans="6:7" x14ac:dyDescent="0.25">
      <c r="F5249" s="17" t="s">
        <v>5749</v>
      </c>
      <c r="G5249" s="17" t="s">
        <v>209</v>
      </c>
    </row>
    <row r="5250" spans="6:7" x14ac:dyDescent="0.25">
      <c r="F5250" s="17" t="s">
        <v>5750</v>
      </c>
      <c r="G5250" s="17" t="s">
        <v>209</v>
      </c>
    </row>
    <row r="5251" spans="6:7" x14ac:dyDescent="0.25">
      <c r="F5251" s="17" t="s">
        <v>5751</v>
      </c>
      <c r="G5251" s="17" t="s">
        <v>209</v>
      </c>
    </row>
    <row r="5252" spans="6:7" x14ac:dyDescent="0.25">
      <c r="F5252" s="17" t="s">
        <v>5752</v>
      </c>
      <c r="G5252" s="17" t="s">
        <v>209</v>
      </c>
    </row>
    <row r="5253" spans="6:7" x14ac:dyDescent="0.25">
      <c r="F5253" s="17" t="s">
        <v>862</v>
      </c>
      <c r="G5253" s="17" t="s">
        <v>209</v>
      </c>
    </row>
    <row r="5254" spans="6:7" x14ac:dyDescent="0.25">
      <c r="F5254" s="17" t="s">
        <v>5753</v>
      </c>
      <c r="G5254" s="17" t="s">
        <v>209</v>
      </c>
    </row>
    <row r="5255" spans="6:7" x14ac:dyDescent="0.25">
      <c r="F5255" s="17" t="s">
        <v>5754</v>
      </c>
      <c r="G5255" s="17" t="s">
        <v>209</v>
      </c>
    </row>
    <row r="5256" spans="6:7" x14ac:dyDescent="0.25">
      <c r="F5256" s="17" t="s">
        <v>5755</v>
      </c>
      <c r="G5256" s="17" t="s">
        <v>209</v>
      </c>
    </row>
    <row r="5257" spans="6:7" x14ac:dyDescent="0.25">
      <c r="F5257" s="17" t="s">
        <v>5756</v>
      </c>
      <c r="G5257" s="17" t="s">
        <v>209</v>
      </c>
    </row>
    <row r="5258" spans="6:7" x14ac:dyDescent="0.25">
      <c r="F5258" s="17" t="s">
        <v>5757</v>
      </c>
      <c r="G5258" s="17" t="s">
        <v>209</v>
      </c>
    </row>
    <row r="5259" spans="6:7" x14ac:dyDescent="0.25">
      <c r="F5259" s="17" t="s">
        <v>920</v>
      </c>
      <c r="G5259" s="17" t="s">
        <v>209</v>
      </c>
    </row>
    <row r="5260" spans="6:7" x14ac:dyDescent="0.25">
      <c r="F5260" s="17" t="s">
        <v>272</v>
      </c>
      <c r="G5260" s="17" t="s">
        <v>209</v>
      </c>
    </row>
    <row r="5261" spans="6:7" x14ac:dyDescent="0.25">
      <c r="F5261" s="17" t="s">
        <v>5758</v>
      </c>
      <c r="G5261" s="17" t="s">
        <v>209</v>
      </c>
    </row>
    <row r="5262" spans="6:7" x14ac:dyDescent="0.25">
      <c r="F5262" s="17" t="s">
        <v>766</v>
      </c>
      <c r="G5262" s="17" t="s">
        <v>209</v>
      </c>
    </row>
    <row r="5263" spans="6:7" x14ac:dyDescent="0.25">
      <c r="F5263" s="17" t="s">
        <v>5759</v>
      </c>
      <c r="G5263" s="17" t="s">
        <v>209</v>
      </c>
    </row>
    <row r="5264" spans="6:7" x14ac:dyDescent="0.25">
      <c r="F5264" s="17" t="s">
        <v>5760</v>
      </c>
      <c r="G5264" s="17" t="s">
        <v>209</v>
      </c>
    </row>
    <row r="5265" spans="6:7" x14ac:dyDescent="0.25">
      <c r="F5265" s="17" t="s">
        <v>5761</v>
      </c>
      <c r="G5265" s="17" t="s">
        <v>209</v>
      </c>
    </row>
    <row r="5266" spans="6:7" x14ac:dyDescent="0.25">
      <c r="F5266" s="17" t="s">
        <v>5762</v>
      </c>
      <c r="G5266" s="17" t="s">
        <v>209</v>
      </c>
    </row>
    <row r="5267" spans="6:7" x14ac:dyDescent="0.25">
      <c r="F5267" s="17" t="s">
        <v>5763</v>
      </c>
      <c r="G5267" s="17" t="s">
        <v>209</v>
      </c>
    </row>
    <row r="5268" spans="6:7" x14ac:dyDescent="0.25">
      <c r="F5268" s="17" t="s">
        <v>5764</v>
      </c>
      <c r="G5268" s="17" t="s">
        <v>209</v>
      </c>
    </row>
    <row r="5269" spans="6:7" x14ac:dyDescent="0.25">
      <c r="F5269" s="17" t="s">
        <v>5765</v>
      </c>
      <c r="G5269" s="17" t="s">
        <v>209</v>
      </c>
    </row>
    <row r="5270" spans="6:7" x14ac:dyDescent="0.25">
      <c r="F5270" s="17" t="s">
        <v>5766</v>
      </c>
      <c r="G5270" s="17" t="s">
        <v>209</v>
      </c>
    </row>
    <row r="5271" spans="6:7" x14ac:dyDescent="0.25">
      <c r="F5271" s="17" t="s">
        <v>5767</v>
      </c>
      <c r="G5271" s="17" t="s">
        <v>209</v>
      </c>
    </row>
    <row r="5272" spans="6:7" x14ac:dyDescent="0.25">
      <c r="F5272" s="17" t="s">
        <v>5768</v>
      </c>
      <c r="G5272" s="17" t="s">
        <v>209</v>
      </c>
    </row>
    <row r="5273" spans="6:7" x14ac:dyDescent="0.25">
      <c r="F5273" s="17" t="s">
        <v>5769</v>
      </c>
      <c r="G5273" s="17" t="s">
        <v>209</v>
      </c>
    </row>
    <row r="5274" spans="6:7" x14ac:dyDescent="0.25">
      <c r="F5274" s="17" t="s">
        <v>5770</v>
      </c>
      <c r="G5274" s="17" t="s">
        <v>209</v>
      </c>
    </row>
    <row r="5275" spans="6:7" x14ac:dyDescent="0.25">
      <c r="F5275" s="17" t="s">
        <v>5771</v>
      </c>
      <c r="G5275" s="17" t="s">
        <v>209</v>
      </c>
    </row>
    <row r="5276" spans="6:7" x14ac:dyDescent="0.25">
      <c r="F5276" s="17" t="s">
        <v>5772</v>
      </c>
      <c r="G5276" s="17" t="s">
        <v>209</v>
      </c>
    </row>
    <row r="5277" spans="6:7" x14ac:dyDescent="0.25">
      <c r="F5277" s="17" t="s">
        <v>5773</v>
      </c>
      <c r="G5277" s="17" t="s">
        <v>209</v>
      </c>
    </row>
    <row r="5278" spans="6:7" x14ac:dyDescent="0.25">
      <c r="F5278" s="17" t="s">
        <v>5774</v>
      </c>
      <c r="G5278" s="17" t="s">
        <v>209</v>
      </c>
    </row>
    <row r="5279" spans="6:7" x14ac:dyDescent="0.25">
      <c r="F5279" s="17" t="s">
        <v>5775</v>
      </c>
      <c r="G5279" s="17" t="s">
        <v>209</v>
      </c>
    </row>
    <row r="5280" spans="6:7" x14ac:dyDescent="0.25">
      <c r="F5280" s="17" t="s">
        <v>5776</v>
      </c>
      <c r="G5280" s="17" t="s">
        <v>209</v>
      </c>
    </row>
    <row r="5281" spans="6:7" x14ac:dyDescent="0.25">
      <c r="F5281" s="17" t="s">
        <v>5777</v>
      </c>
      <c r="G5281" s="17" t="s">
        <v>209</v>
      </c>
    </row>
    <row r="5282" spans="6:7" x14ac:dyDescent="0.25">
      <c r="F5282" s="17" t="s">
        <v>5778</v>
      </c>
      <c r="G5282" s="17" t="s">
        <v>209</v>
      </c>
    </row>
    <row r="5283" spans="6:7" x14ac:dyDescent="0.25">
      <c r="F5283" s="17" t="s">
        <v>5779</v>
      </c>
      <c r="G5283" s="17" t="s">
        <v>209</v>
      </c>
    </row>
    <row r="5284" spans="6:7" x14ac:dyDescent="0.25">
      <c r="F5284" s="17" t="s">
        <v>5780</v>
      </c>
      <c r="G5284" s="17" t="s">
        <v>209</v>
      </c>
    </row>
    <row r="5285" spans="6:7" x14ac:dyDescent="0.25">
      <c r="F5285" s="17" t="s">
        <v>5781</v>
      </c>
      <c r="G5285" s="17" t="s">
        <v>209</v>
      </c>
    </row>
    <row r="5286" spans="6:7" x14ac:dyDescent="0.25">
      <c r="F5286" s="17" t="s">
        <v>5782</v>
      </c>
      <c r="G5286" s="17" t="s">
        <v>209</v>
      </c>
    </row>
    <row r="5287" spans="6:7" x14ac:dyDescent="0.25">
      <c r="F5287" s="17" t="s">
        <v>5783</v>
      </c>
      <c r="G5287" s="17" t="s">
        <v>209</v>
      </c>
    </row>
    <row r="5288" spans="6:7" x14ac:dyDescent="0.25">
      <c r="F5288" s="17" t="s">
        <v>700</v>
      </c>
      <c r="G5288" s="17" t="s">
        <v>209</v>
      </c>
    </row>
    <row r="5289" spans="6:7" x14ac:dyDescent="0.25">
      <c r="F5289" s="17" t="s">
        <v>5784</v>
      </c>
      <c r="G5289" s="17" t="s">
        <v>209</v>
      </c>
    </row>
    <row r="5290" spans="6:7" x14ac:dyDescent="0.25">
      <c r="F5290" s="17" t="s">
        <v>5785</v>
      </c>
      <c r="G5290" s="17" t="s">
        <v>209</v>
      </c>
    </row>
    <row r="5291" spans="6:7" x14ac:dyDescent="0.25">
      <c r="F5291" s="17" t="s">
        <v>5786</v>
      </c>
      <c r="G5291" s="17" t="s">
        <v>209</v>
      </c>
    </row>
    <row r="5292" spans="6:7" x14ac:dyDescent="0.25">
      <c r="F5292" s="17" t="s">
        <v>278</v>
      </c>
      <c r="G5292" s="17" t="s">
        <v>209</v>
      </c>
    </row>
    <row r="5293" spans="6:7" x14ac:dyDescent="0.25">
      <c r="F5293" s="17" t="s">
        <v>836</v>
      </c>
      <c r="G5293" s="17" t="s">
        <v>209</v>
      </c>
    </row>
    <row r="5294" spans="6:7" x14ac:dyDescent="0.25">
      <c r="F5294" s="17" t="s">
        <v>5787</v>
      </c>
      <c r="G5294" s="17" t="s">
        <v>209</v>
      </c>
    </row>
    <row r="5295" spans="6:7" x14ac:dyDescent="0.25">
      <c r="F5295" s="17" t="s">
        <v>5788</v>
      </c>
      <c r="G5295" s="17" t="s">
        <v>209</v>
      </c>
    </row>
    <row r="5296" spans="6:7" x14ac:dyDescent="0.25">
      <c r="F5296" s="17" t="s">
        <v>5789</v>
      </c>
      <c r="G5296" s="17" t="s">
        <v>209</v>
      </c>
    </row>
    <row r="5297" spans="6:7" x14ac:dyDescent="0.25">
      <c r="F5297" s="17" t="s">
        <v>5790</v>
      </c>
      <c r="G5297" s="17" t="s">
        <v>209</v>
      </c>
    </row>
    <row r="5298" spans="6:7" x14ac:dyDescent="0.25">
      <c r="F5298" s="17" t="s">
        <v>533</v>
      </c>
      <c r="G5298" s="17" t="s">
        <v>209</v>
      </c>
    </row>
    <row r="5299" spans="6:7" x14ac:dyDescent="0.25">
      <c r="F5299" s="17" t="s">
        <v>5791</v>
      </c>
      <c r="G5299" s="17" t="s">
        <v>209</v>
      </c>
    </row>
    <row r="5300" spans="6:7" x14ac:dyDescent="0.25">
      <c r="F5300" s="17" t="s">
        <v>5792</v>
      </c>
      <c r="G5300" s="17" t="s">
        <v>209</v>
      </c>
    </row>
    <row r="5301" spans="6:7" x14ac:dyDescent="0.25">
      <c r="F5301" s="17" t="s">
        <v>5793</v>
      </c>
      <c r="G5301" s="17" t="s">
        <v>209</v>
      </c>
    </row>
    <row r="5302" spans="6:7" x14ac:dyDescent="0.25">
      <c r="F5302" s="17" t="s">
        <v>5794</v>
      </c>
      <c r="G5302" s="17" t="s">
        <v>209</v>
      </c>
    </row>
    <row r="5303" spans="6:7" x14ac:dyDescent="0.25">
      <c r="F5303" s="17" t="s">
        <v>5795</v>
      </c>
      <c r="G5303" s="17" t="s">
        <v>209</v>
      </c>
    </row>
    <row r="5304" spans="6:7" x14ac:dyDescent="0.25">
      <c r="F5304" s="17" t="s">
        <v>5796</v>
      </c>
      <c r="G5304" s="17" t="s">
        <v>209</v>
      </c>
    </row>
    <row r="5305" spans="6:7" x14ac:dyDescent="0.25">
      <c r="F5305" s="17" t="s">
        <v>5797</v>
      </c>
      <c r="G5305" s="17" t="s">
        <v>209</v>
      </c>
    </row>
    <row r="5306" spans="6:7" x14ac:dyDescent="0.25">
      <c r="F5306" s="17" t="s">
        <v>5798</v>
      </c>
      <c r="G5306" s="17" t="s">
        <v>209</v>
      </c>
    </row>
    <row r="5307" spans="6:7" x14ac:dyDescent="0.25">
      <c r="F5307" s="17" t="s">
        <v>5799</v>
      </c>
      <c r="G5307" s="17" t="s">
        <v>209</v>
      </c>
    </row>
    <row r="5308" spans="6:7" x14ac:dyDescent="0.25">
      <c r="F5308" s="17" t="s">
        <v>5800</v>
      </c>
      <c r="G5308" s="17" t="s">
        <v>209</v>
      </c>
    </row>
    <row r="5309" spans="6:7" x14ac:dyDescent="0.25">
      <c r="F5309" s="17" t="s">
        <v>5801</v>
      </c>
      <c r="G5309" s="17" t="s">
        <v>209</v>
      </c>
    </row>
    <row r="5310" spans="6:7" x14ac:dyDescent="0.25">
      <c r="F5310" s="17" t="s">
        <v>678</v>
      </c>
      <c r="G5310" s="17" t="s">
        <v>209</v>
      </c>
    </row>
    <row r="5311" spans="6:7" x14ac:dyDescent="0.25">
      <c r="F5311" s="17" t="s">
        <v>5802</v>
      </c>
      <c r="G5311" s="17" t="s">
        <v>209</v>
      </c>
    </row>
    <row r="5312" spans="6:7" x14ac:dyDescent="0.25">
      <c r="F5312" s="17" t="s">
        <v>5803</v>
      </c>
      <c r="G5312" s="17" t="s">
        <v>209</v>
      </c>
    </row>
    <row r="5313" spans="6:7" x14ac:dyDescent="0.25">
      <c r="F5313" s="17" t="s">
        <v>288</v>
      </c>
      <c r="G5313" s="17" t="s">
        <v>209</v>
      </c>
    </row>
    <row r="5314" spans="6:7" x14ac:dyDescent="0.25">
      <c r="F5314" s="17" t="s">
        <v>293</v>
      </c>
      <c r="G5314" s="17" t="s">
        <v>209</v>
      </c>
    </row>
    <row r="5315" spans="6:7" x14ac:dyDescent="0.25">
      <c r="F5315" s="17" t="s">
        <v>801</v>
      </c>
      <c r="G5315" s="17" t="s">
        <v>209</v>
      </c>
    </row>
    <row r="5316" spans="6:7" x14ac:dyDescent="0.25">
      <c r="F5316" s="17" t="s">
        <v>5804</v>
      </c>
      <c r="G5316" s="17" t="s">
        <v>209</v>
      </c>
    </row>
    <row r="5317" spans="6:7" x14ac:dyDescent="0.25">
      <c r="F5317" s="17" t="s">
        <v>5805</v>
      </c>
      <c r="G5317" s="17" t="s">
        <v>209</v>
      </c>
    </row>
    <row r="5318" spans="6:7" x14ac:dyDescent="0.25">
      <c r="F5318" s="17" t="s">
        <v>5806</v>
      </c>
      <c r="G5318" s="17" t="s">
        <v>209</v>
      </c>
    </row>
    <row r="5319" spans="6:7" x14ac:dyDescent="0.25">
      <c r="F5319" s="17" t="s">
        <v>5807</v>
      </c>
      <c r="G5319" s="17" t="s">
        <v>209</v>
      </c>
    </row>
    <row r="5320" spans="6:7" x14ac:dyDescent="0.25">
      <c r="F5320" s="17" t="s">
        <v>386</v>
      </c>
      <c r="G5320" s="17" t="s">
        <v>209</v>
      </c>
    </row>
    <row r="5321" spans="6:7" x14ac:dyDescent="0.25">
      <c r="F5321" s="17" t="s">
        <v>5808</v>
      </c>
      <c r="G5321" s="17" t="s">
        <v>209</v>
      </c>
    </row>
    <row r="5322" spans="6:7" x14ac:dyDescent="0.25">
      <c r="F5322" s="17" t="s">
        <v>5809</v>
      </c>
      <c r="G5322" s="17" t="s">
        <v>209</v>
      </c>
    </row>
    <row r="5323" spans="6:7" x14ac:dyDescent="0.25">
      <c r="F5323" s="17" t="s">
        <v>5810</v>
      </c>
      <c r="G5323" s="17" t="s">
        <v>209</v>
      </c>
    </row>
    <row r="5324" spans="6:7" x14ac:dyDescent="0.25">
      <c r="F5324" s="17" t="s">
        <v>5811</v>
      </c>
      <c r="G5324" s="17" t="s">
        <v>209</v>
      </c>
    </row>
    <row r="5325" spans="6:7" x14ac:dyDescent="0.25">
      <c r="F5325" s="17" t="s">
        <v>500</v>
      </c>
      <c r="G5325" s="17" t="s">
        <v>209</v>
      </c>
    </row>
    <row r="5326" spans="6:7" x14ac:dyDescent="0.25">
      <c r="F5326" s="17" t="s">
        <v>5812</v>
      </c>
      <c r="G5326" s="17" t="s">
        <v>209</v>
      </c>
    </row>
    <row r="5327" spans="6:7" x14ac:dyDescent="0.25">
      <c r="F5327" s="17" t="s">
        <v>5813</v>
      </c>
      <c r="G5327" s="17" t="s">
        <v>209</v>
      </c>
    </row>
    <row r="5328" spans="6:7" x14ac:dyDescent="0.25">
      <c r="F5328" s="17" t="s">
        <v>5814</v>
      </c>
      <c r="G5328" s="17" t="s">
        <v>209</v>
      </c>
    </row>
    <row r="5329" spans="6:7" x14ac:dyDescent="0.25">
      <c r="F5329" s="17" t="s">
        <v>325</v>
      </c>
      <c r="G5329" s="17" t="s">
        <v>209</v>
      </c>
    </row>
    <row r="5330" spans="6:7" x14ac:dyDescent="0.25">
      <c r="F5330" s="17" t="s">
        <v>353</v>
      </c>
      <c r="G5330" s="17" t="s">
        <v>209</v>
      </c>
    </row>
    <row r="5331" spans="6:7" x14ac:dyDescent="0.25">
      <c r="F5331" s="17" t="s">
        <v>5815</v>
      </c>
      <c r="G5331" s="17" t="s">
        <v>209</v>
      </c>
    </row>
    <row r="5332" spans="6:7" x14ac:dyDescent="0.25">
      <c r="F5332" s="17" t="s">
        <v>5816</v>
      </c>
      <c r="G5332" s="17" t="s">
        <v>209</v>
      </c>
    </row>
    <row r="5333" spans="6:7" x14ac:dyDescent="0.25">
      <c r="F5333" s="17" t="s">
        <v>5817</v>
      </c>
      <c r="G5333" s="17" t="s">
        <v>209</v>
      </c>
    </row>
    <row r="5334" spans="6:7" x14ac:dyDescent="0.25">
      <c r="F5334" s="17" t="s">
        <v>5818</v>
      </c>
      <c r="G5334" s="17" t="s">
        <v>209</v>
      </c>
    </row>
    <row r="5335" spans="6:7" x14ac:dyDescent="0.25">
      <c r="F5335" s="17" t="s">
        <v>5819</v>
      </c>
      <c r="G5335" s="17" t="s">
        <v>209</v>
      </c>
    </row>
    <row r="5336" spans="6:7" x14ac:dyDescent="0.25">
      <c r="F5336" s="17" t="s">
        <v>5820</v>
      </c>
      <c r="G5336" s="17" t="s">
        <v>209</v>
      </c>
    </row>
    <row r="5337" spans="6:7" x14ac:dyDescent="0.25">
      <c r="F5337" s="17" t="s">
        <v>5821</v>
      </c>
      <c r="G5337" s="17" t="s">
        <v>209</v>
      </c>
    </row>
    <row r="5338" spans="6:7" x14ac:dyDescent="0.25">
      <c r="F5338" s="17" t="s">
        <v>5822</v>
      </c>
      <c r="G5338" s="17" t="s">
        <v>209</v>
      </c>
    </row>
    <row r="5339" spans="6:7" x14ac:dyDescent="0.25">
      <c r="F5339" s="17" t="s">
        <v>5823</v>
      </c>
      <c r="G5339" s="17" t="s">
        <v>209</v>
      </c>
    </row>
    <row r="5340" spans="6:7" x14ac:dyDescent="0.25">
      <c r="F5340" s="17" t="s">
        <v>401</v>
      </c>
      <c r="G5340" s="17" t="s">
        <v>209</v>
      </c>
    </row>
    <row r="5341" spans="6:7" x14ac:dyDescent="0.25">
      <c r="F5341" s="17" t="s">
        <v>957</v>
      </c>
      <c r="G5341" s="17" t="s">
        <v>209</v>
      </c>
    </row>
    <row r="5342" spans="6:7" x14ac:dyDescent="0.25">
      <c r="F5342" s="17" t="s">
        <v>5824</v>
      </c>
      <c r="G5342" s="17" t="s">
        <v>209</v>
      </c>
    </row>
    <row r="5343" spans="6:7" x14ac:dyDescent="0.25">
      <c r="F5343" s="17" t="s">
        <v>5825</v>
      </c>
      <c r="G5343" s="17" t="s">
        <v>209</v>
      </c>
    </row>
    <row r="5344" spans="6:7" x14ac:dyDescent="0.25">
      <c r="F5344" s="17" t="s">
        <v>379</v>
      </c>
      <c r="G5344" s="17" t="s">
        <v>209</v>
      </c>
    </row>
    <row r="5345" spans="6:7" x14ac:dyDescent="0.25">
      <c r="F5345" s="17" t="s">
        <v>5826</v>
      </c>
      <c r="G5345" s="17" t="s">
        <v>209</v>
      </c>
    </row>
    <row r="5346" spans="6:7" x14ac:dyDescent="0.25">
      <c r="F5346" s="17" t="s">
        <v>918</v>
      </c>
      <c r="G5346" s="17" t="s">
        <v>209</v>
      </c>
    </row>
    <row r="5347" spans="6:7" x14ac:dyDescent="0.25">
      <c r="F5347" s="17" t="s">
        <v>5827</v>
      </c>
      <c r="G5347" s="17" t="s">
        <v>209</v>
      </c>
    </row>
    <row r="5348" spans="6:7" x14ac:dyDescent="0.25">
      <c r="F5348" s="17" t="s">
        <v>860</v>
      </c>
      <c r="G5348" s="17" t="s">
        <v>209</v>
      </c>
    </row>
    <row r="5349" spans="6:7" x14ac:dyDescent="0.25">
      <c r="F5349" s="17" t="s">
        <v>5828</v>
      </c>
      <c r="G5349" s="17" t="s">
        <v>209</v>
      </c>
    </row>
    <row r="5350" spans="6:7" x14ac:dyDescent="0.25">
      <c r="F5350" s="17" t="s">
        <v>5829</v>
      </c>
      <c r="G5350" s="17" t="s">
        <v>209</v>
      </c>
    </row>
    <row r="5351" spans="6:7" x14ac:dyDescent="0.25">
      <c r="F5351" s="17" t="s">
        <v>5830</v>
      </c>
      <c r="G5351" s="17" t="s">
        <v>209</v>
      </c>
    </row>
    <row r="5352" spans="6:7" x14ac:dyDescent="0.25">
      <c r="F5352" s="17" t="s">
        <v>5831</v>
      </c>
      <c r="G5352" s="17" t="s">
        <v>209</v>
      </c>
    </row>
    <row r="5353" spans="6:7" x14ac:dyDescent="0.25">
      <c r="F5353" s="17" t="s">
        <v>5832</v>
      </c>
      <c r="G5353" s="17" t="s">
        <v>209</v>
      </c>
    </row>
    <row r="5354" spans="6:7" x14ac:dyDescent="0.25">
      <c r="F5354" s="17" t="s">
        <v>5833</v>
      </c>
      <c r="G5354" s="17" t="s">
        <v>209</v>
      </c>
    </row>
    <row r="5355" spans="6:7" x14ac:dyDescent="0.25">
      <c r="F5355" s="17" t="s">
        <v>5834</v>
      </c>
      <c r="G5355" s="17" t="s">
        <v>209</v>
      </c>
    </row>
    <row r="5356" spans="6:7" x14ac:dyDescent="0.25">
      <c r="F5356" s="17" t="s">
        <v>5835</v>
      </c>
      <c r="G5356" s="17" t="s">
        <v>209</v>
      </c>
    </row>
    <row r="5357" spans="6:7" x14ac:dyDescent="0.25">
      <c r="F5357" s="17" t="s">
        <v>5836</v>
      </c>
      <c r="G5357" s="17" t="s">
        <v>209</v>
      </c>
    </row>
    <row r="5358" spans="6:7" x14ac:dyDescent="0.25">
      <c r="F5358" s="17" t="s">
        <v>5837</v>
      </c>
      <c r="G5358" s="17" t="s">
        <v>209</v>
      </c>
    </row>
    <row r="5359" spans="6:7" x14ac:dyDescent="0.25">
      <c r="F5359" s="17" t="s">
        <v>5838</v>
      </c>
      <c r="G5359" s="17" t="s">
        <v>209</v>
      </c>
    </row>
    <row r="5360" spans="6:7" x14ac:dyDescent="0.25">
      <c r="F5360" s="17" t="s">
        <v>5839</v>
      </c>
      <c r="G5360" s="17" t="s">
        <v>209</v>
      </c>
    </row>
    <row r="5361" spans="6:7" x14ac:dyDescent="0.25">
      <c r="F5361" s="17" t="s">
        <v>5840</v>
      </c>
      <c r="G5361" s="17" t="s">
        <v>209</v>
      </c>
    </row>
    <row r="5362" spans="6:7" x14ac:dyDescent="0.25">
      <c r="F5362" s="17" t="s">
        <v>5841</v>
      </c>
      <c r="G5362" s="17" t="s">
        <v>209</v>
      </c>
    </row>
    <row r="5363" spans="6:7" x14ac:dyDescent="0.25">
      <c r="F5363" s="17" t="s">
        <v>5842</v>
      </c>
      <c r="G5363" s="17" t="s">
        <v>209</v>
      </c>
    </row>
    <row r="5364" spans="6:7" x14ac:dyDescent="0.25">
      <c r="F5364" s="17" t="s">
        <v>5843</v>
      </c>
      <c r="G5364" s="17" t="s">
        <v>209</v>
      </c>
    </row>
    <row r="5365" spans="6:7" x14ac:dyDescent="0.25">
      <c r="F5365" s="17" t="s">
        <v>5844</v>
      </c>
      <c r="G5365" s="17" t="s">
        <v>209</v>
      </c>
    </row>
    <row r="5366" spans="6:7" x14ac:dyDescent="0.25">
      <c r="F5366" s="17" t="s">
        <v>5845</v>
      </c>
      <c r="G5366" s="17" t="s">
        <v>209</v>
      </c>
    </row>
    <row r="5367" spans="6:7" x14ac:dyDescent="0.25">
      <c r="F5367" s="17" t="s">
        <v>5846</v>
      </c>
      <c r="G5367" s="17" t="s">
        <v>209</v>
      </c>
    </row>
    <row r="5368" spans="6:7" x14ac:dyDescent="0.25">
      <c r="F5368" s="17" t="s">
        <v>5847</v>
      </c>
      <c r="G5368" s="17" t="s">
        <v>209</v>
      </c>
    </row>
    <row r="5369" spans="6:7" x14ac:dyDescent="0.25">
      <c r="F5369" s="17" t="s">
        <v>5848</v>
      </c>
      <c r="G5369" s="17" t="s">
        <v>209</v>
      </c>
    </row>
    <row r="5370" spans="6:7" x14ac:dyDescent="0.25">
      <c r="F5370" s="17" t="s">
        <v>5849</v>
      </c>
      <c r="G5370" s="17" t="s">
        <v>209</v>
      </c>
    </row>
    <row r="5371" spans="6:7" x14ac:dyDescent="0.25">
      <c r="F5371" s="17" t="s">
        <v>5850</v>
      </c>
      <c r="G5371" s="17" t="s">
        <v>209</v>
      </c>
    </row>
    <row r="5372" spans="6:7" x14ac:dyDescent="0.25">
      <c r="F5372" s="17" t="s">
        <v>5851</v>
      </c>
      <c r="G5372" s="17" t="s">
        <v>209</v>
      </c>
    </row>
    <row r="5373" spans="6:7" x14ac:dyDescent="0.25">
      <c r="F5373" s="17" t="s">
        <v>768</v>
      </c>
      <c r="G5373" s="17" t="s">
        <v>209</v>
      </c>
    </row>
    <row r="5374" spans="6:7" x14ac:dyDescent="0.25">
      <c r="F5374" s="17" t="s">
        <v>5852</v>
      </c>
      <c r="G5374" s="17" t="s">
        <v>209</v>
      </c>
    </row>
    <row r="5375" spans="6:7" x14ac:dyDescent="0.25">
      <c r="F5375" s="17" t="s">
        <v>5853</v>
      </c>
      <c r="G5375" s="17" t="s">
        <v>209</v>
      </c>
    </row>
    <row r="5376" spans="6:7" x14ac:dyDescent="0.25">
      <c r="F5376" s="17" t="s">
        <v>5854</v>
      </c>
      <c r="G5376" s="17" t="s">
        <v>209</v>
      </c>
    </row>
    <row r="5377" spans="6:7" x14ac:dyDescent="0.25">
      <c r="F5377" s="17" t="s">
        <v>5855</v>
      </c>
      <c r="G5377" s="17" t="s">
        <v>209</v>
      </c>
    </row>
    <row r="5378" spans="6:7" x14ac:dyDescent="0.25">
      <c r="F5378" s="17" t="s">
        <v>5856</v>
      </c>
      <c r="G5378" s="17" t="s">
        <v>209</v>
      </c>
    </row>
    <row r="5379" spans="6:7" x14ac:dyDescent="0.25">
      <c r="F5379" s="17" t="s">
        <v>5857</v>
      </c>
      <c r="G5379" s="17" t="s">
        <v>209</v>
      </c>
    </row>
    <row r="5380" spans="6:7" x14ac:dyDescent="0.25">
      <c r="F5380" s="17" t="s">
        <v>5858</v>
      </c>
      <c r="G5380" s="17" t="s">
        <v>209</v>
      </c>
    </row>
    <row r="5381" spans="6:7" x14ac:dyDescent="0.25">
      <c r="F5381" s="17" t="s">
        <v>5859</v>
      </c>
      <c r="G5381" s="17" t="s">
        <v>209</v>
      </c>
    </row>
    <row r="5382" spans="6:7" x14ac:dyDescent="0.25">
      <c r="F5382" s="17" t="s">
        <v>5860</v>
      </c>
      <c r="G5382" s="17" t="s">
        <v>209</v>
      </c>
    </row>
    <row r="5383" spans="6:7" x14ac:dyDescent="0.25">
      <c r="F5383" s="17" t="s">
        <v>5861</v>
      </c>
      <c r="G5383" s="17" t="s">
        <v>197</v>
      </c>
    </row>
    <row r="5384" spans="6:7" x14ac:dyDescent="0.25">
      <c r="F5384" s="17" t="s">
        <v>5862</v>
      </c>
      <c r="G5384" s="17" t="s">
        <v>197</v>
      </c>
    </row>
    <row r="5385" spans="6:7" x14ac:dyDescent="0.25">
      <c r="F5385" s="17" t="s">
        <v>5863</v>
      </c>
      <c r="G5385" s="17" t="s">
        <v>197</v>
      </c>
    </row>
    <row r="5386" spans="6:7" x14ac:dyDescent="0.25">
      <c r="F5386" s="17" t="s">
        <v>5864</v>
      </c>
      <c r="G5386" s="17" t="s">
        <v>197</v>
      </c>
    </row>
    <row r="5387" spans="6:7" x14ac:dyDescent="0.25">
      <c r="F5387" s="17" t="s">
        <v>5865</v>
      </c>
      <c r="G5387" s="17" t="s">
        <v>197</v>
      </c>
    </row>
    <row r="5388" spans="6:7" x14ac:dyDescent="0.25">
      <c r="F5388" s="17" t="s">
        <v>5866</v>
      </c>
      <c r="G5388" s="17" t="s">
        <v>197</v>
      </c>
    </row>
    <row r="5389" spans="6:7" x14ac:dyDescent="0.25">
      <c r="F5389" s="17" t="s">
        <v>5867</v>
      </c>
      <c r="G5389" s="17" t="s">
        <v>197</v>
      </c>
    </row>
    <row r="5390" spans="6:7" x14ac:dyDescent="0.25">
      <c r="F5390" s="17" t="s">
        <v>5868</v>
      </c>
      <c r="G5390" s="17" t="s">
        <v>197</v>
      </c>
    </row>
    <row r="5391" spans="6:7" x14ac:dyDescent="0.25">
      <c r="F5391" s="17" t="s">
        <v>964</v>
      </c>
      <c r="G5391" s="17" t="s">
        <v>197</v>
      </c>
    </row>
    <row r="5392" spans="6:7" x14ac:dyDescent="0.25">
      <c r="F5392" s="17" t="s">
        <v>5869</v>
      </c>
      <c r="G5392" s="17" t="s">
        <v>197</v>
      </c>
    </row>
    <row r="5393" spans="6:7" x14ac:dyDescent="0.25">
      <c r="F5393" s="17" t="s">
        <v>5870</v>
      </c>
      <c r="G5393" s="17" t="s">
        <v>197</v>
      </c>
    </row>
    <row r="5394" spans="6:7" x14ac:dyDescent="0.25">
      <c r="F5394" s="17" t="s">
        <v>5871</v>
      </c>
      <c r="G5394" s="17" t="s">
        <v>197</v>
      </c>
    </row>
    <row r="5395" spans="6:7" x14ac:dyDescent="0.25">
      <c r="F5395" s="17" t="s">
        <v>5872</v>
      </c>
      <c r="G5395" s="17" t="s">
        <v>197</v>
      </c>
    </row>
    <row r="5396" spans="6:7" x14ac:dyDescent="0.25">
      <c r="F5396" s="17" t="s">
        <v>5873</v>
      </c>
      <c r="G5396" s="17" t="s">
        <v>197</v>
      </c>
    </row>
    <row r="5397" spans="6:7" x14ac:dyDescent="0.25">
      <c r="F5397" s="17" t="s">
        <v>5874</v>
      </c>
      <c r="G5397" s="17" t="s">
        <v>197</v>
      </c>
    </row>
    <row r="5398" spans="6:7" x14ac:dyDescent="0.25">
      <c r="F5398" s="17" t="s">
        <v>5875</v>
      </c>
      <c r="G5398" s="17" t="s">
        <v>197</v>
      </c>
    </row>
    <row r="5399" spans="6:7" x14ac:dyDescent="0.25">
      <c r="F5399" s="17" t="s">
        <v>696</v>
      </c>
      <c r="G5399" s="17" t="s">
        <v>197</v>
      </c>
    </row>
    <row r="5400" spans="6:7" x14ac:dyDescent="0.25">
      <c r="F5400" s="17" t="s">
        <v>5876</v>
      </c>
      <c r="G5400" s="17" t="s">
        <v>197</v>
      </c>
    </row>
    <row r="5401" spans="6:7" x14ac:dyDescent="0.25">
      <c r="F5401" s="17" t="s">
        <v>5877</v>
      </c>
      <c r="G5401" s="17" t="s">
        <v>197</v>
      </c>
    </row>
    <row r="5402" spans="6:7" x14ac:dyDescent="0.25">
      <c r="F5402" s="17" t="s">
        <v>5878</v>
      </c>
      <c r="G5402" s="17" t="s">
        <v>197</v>
      </c>
    </row>
    <row r="5403" spans="6:7" x14ac:dyDescent="0.25">
      <c r="F5403" s="17" t="s">
        <v>5879</v>
      </c>
      <c r="G5403" s="17" t="s">
        <v>197</v>
      </c>
    </row>
    <row r="5404" spans="6:7" x14ac:dyDescent="0.25">
      <c r="F5404" s="17" t="s">
        <v>5880</v>
      </c>
      <c r="G5404" s="17" t="s">
        <v>197</v>
      </c>
    </row>
    <row r="5405" spans="6:7" x14ac:dyDescent="0.25">
      <c r="F5405" s="17" t="s">
        <v>5881</v>
      </c>
      <c r="G5405" s="17" t="s">
        <v>197</v>
      </c>
    </row>
    <row r="5406" spans="6:7" x14ac:dyDescent="0.25">
      <c r="F5406" s="17" t="s">
        <v>5882</v>
      </c>
      <c r="G5406" s="17" t="s">
        <v>197</v>
      </c>
    </row>
    <row r="5407" spans="6:7" x14ac:dyDescent="0.25">
      <c r="F5407" s="17" t="s">
        <v>5883</v>
      </c>
      <c r="G5407" s="17" t="s">
        <v>197</v>
      </c>
    </row>
    <row r="5408" spans="6:7" x14ac:dyDescent="0.25">
      <c r="F5408" s="17" t="s">
        <v>5884</v>
      </c>
      <c r="G5408" s="17" t="s">
        <v>197</v>
      </c>
    </row>
    <row r="5409" spans="6:7" x14ac:dyDescent="0.25">
      <c r="F5409" s="17" t="s">
        <v>5885</v>
      </c>
      <c r="G5409" s="17" t="s">
        <v>197</v>
      </c>
    </row>
    <row r="5410" spans="6:7" x14ac:dyDescent="0.25">
      <c r="F5410" s="17" t="s">
        <v>5886</v>
      </c>
      <c r="G5410" s="17" t="s">
        <v>197</v>
      </c>
    </row>
    <row r="5411" spans="6:7" x14ac:dyDescent="0.25">
      <c r="F5411" s="17" t="s">
        <v>491</v>
      </c>
      <c r="G5411" s="17" t="s">
        <v>197</v>
      </c>
    </row>
    <row r="5412" spans="6:7" x14ac:dyDescent="0.25">
      <c r="F5412" s="17" t="s">
        <v>5887</v>
      </c>
      <c r="G5412" s="17" t="s">
        <v>197</v>
      </c>
    </row>
    <row r="5413" spans="6:7" x14ac:dyDescent="0.25">
      <c r="F5413" s="17" t="s">
        <v>5888</v>
      </c>
      <c r="G5413" s="17" t="s">
        <v>197</v>
      </c>
    </row>
    <row r="5414" spans="6:7" x14ac:dyDescent="0.25">
      <c r="F5414" s="17" t="s">
        <v>5889</v>
      </c>
      <c r="G5414" s="17" t="s">
        <v>197</v>
      </c>
    </row>
    <row r="5415" spans="6:7" x14ac:dyDescent="0.25">
      <c r="F5415" s="17" t="s">
        <v>5890</v>
      </c>
      <c r="G5415" s="17" t="s">
        <v>197</v>
      </c>
    </row>
    <row r="5416" spans="6:7" x14ac:dyDescent="0.25">
      <c r="F5416" s="17" t="s">
        <v>992</v>
      </c>
      <c r="G5416" s="17" t="s">
        <v>197</v>
      </c>
    </row>
    <row r="5417" spans="6:7" x14ac:dyDescent="0.25">
      <c r="F5417" s="17" t="s">
        <v>5891</v>
      </c>
      <c r="G5417" s="17" t="s">
        <v>197</v>
      </c>
    </row>
    <row r="5418" spans="6:7" x14ac:dyDescent="0.25">
      <c r="F5418" s="17" t="s">
        <v>5892</v>
      </c>
      <c r="G5418" s="17" t="s">
        <v>197</v>
      </c>
    </row>
    <row r="5419" spans="6:7" x14ac:dyDescent="0.25">
      <c r="F5419" s="17" t="s">
        <v>5893</v>
      </c>
      <c r="G5419" s="17" t="s">
        <v>197</v>
      </c>
    </row>
    <row r="5420" spans="6:7" x14ac:dyDescent="0.25">
      <c r="F5420" s="17" t="s">
        <v>315</v>
      </c>
      <c r="G5420" s="17" t="s">
        <v>197</v>
      </c>
    </row>
    <row r="5421" spans="6:7" x14ac:dyDescent="0.25">
      <c r="F5421" s="17" t="s">
        <v>5894</v>
      </c>
      <c r="G5421" s="17" t="s">
        <v>197</v>
      </c>
    </row>
    <row r="5422" spans="6:7" x14ac:dyDescent="0.25">
      <c r="F5422" s="17" t="s">
        <v>5895</v>
      </c>
      <c r="G5422" s="17" t="s">
        <v>197</v>
      </c>
    </row>
    <row r="5423" spans="6:7" x14ac:dyDescent="0.25">
      <c r="F5423" s="17" t="s">
        <v>5896</v>
      </c>
      <c r="G5423" s="17" t="s">
        <v>197</v>
      </c>
    </row>
    <row r="5424" spans="6:7" x14ac:dyDescent="0.25">
      <c r="F5424" s="17" t="s">
        <v>5897</v>
      </c>
      <c r="G5424" s="17" t="s">
        <v>197</v>
      </c>
    </row>
    <row r="5425" spans="6:7" x14ac:dyDescent="0.25">
      <c r="F5425" s="17" t="s">
        <v>5898</v>
      </c>
      <c r="G5425" s="17" t="s">
        <v>197</v>
      </c>
    </row>
    <row r="5426" spans="6:7" x14ac:dyDescent="0.25">
      <c r="F5426" s="17" t="s">
        <v>5899</v>
      </c>
      <c r="G5426" s="17" t="s">
        <v>197</v>
      </c>
    </row>
    <row r="5427" spans="6:7" x14ac:dyDescent="0.25">
      <c r="F5427" s="17" t="s">
        <v>337</v>
      </c>
      <c r="G5427" s="17" t="s">
        <v>197</v>
      </c>
    </row>
    <row r="5428" spans="6:7" x14ac:dyDescent="0.25">
      <c r="F5428" s="17" t="s">
        <v>5900</v>
      </c>
      <c r="G5428" s="17" t="s">
        <v>197</v>
      </c>
    </row>
    <row r="5429" spans="6:7" x14ac:dyDescent="0.25">
      <c r="F5429" s="17" t="s">
        <v>5901</v>
      </c>
      <c r="G5429" s="17" t="s">
        <v>197</v>
      </c>
    </row>
    <row r="5430" spans="6:7" x14ac:dyDescent="0.25">
      <c r="F5430" s="17" t="s">
        <v>5902</v>
      </c>
      <c r="G5430" s="17" t="s">
        <v>215</v>
      </c>
    </row>
    <row r="5431" spans="6:7" x14ac:dyDescent="0.25">
      <c r="F5431" s="17" t="s">
        <v>5903</v>
      </c>
      <c r="G5431" s="17" t="s">
        <v>215</v>
      </c>
    </row>
    <row r="5432" spans="6:7" x14ac:dyDescent="0.25">
      <c r="F5432" s="17" t="s">
        <v>5904</v>
      </c>
      <c r="G5432" s="17" t="s">
        <v>215</v>
      </c>
    </row>
    <row r="5433" spans="6:7" x14ac:dyDescent="0.25">
      <c r="F5433" s="17" t="s">
        <v>5905</v>
      </c>
      <c r="G5433" s="17" t="s">
        <v>215</v>
      </c>
    </row>
    <row r="5434" spans="6:7" x14ac:dyDescent="0.25">
      <c r="F5434" s="17" t="s">
        <v>369</v>
      </c>
      <c r="G5434" s="17" t="s">
        <v>215</v>
      </c>
    </row>
    <row r="5435" spans="6:7" x14ac:dyDescent="0.25">
      <c r="F5435" s="17" t="s">
        <v>5906</v>
      </c>
      <c r="G5435" s="17" t="s">
        <v>215</v>
      </c>
    </row>
    <row r="5436" spans="6:7" x14ac:dyDescent="0.25">
      <c r="F5436" s="17" t="s">
        <v>374</v>
      </c>
      <c r="G5436" s="17" t="s">
        <v>215</v>
      </c>
    </row>
    <row r="5437" spans="6:7" x14ac:dyDescent="0.25">
      <c r="F5437" s="17" t="s">
        <v>5907</v>
      </c>
      <c r="G5437" s="17" t="s">
        <v>215</v>
      </c>
    </row>
    <row r="5438" spans="6:7" x14ac:dyDescent="0.25">
      <c r="F5438" s="17" t="s">
        <v>5908</v>
      </c>
      <c r="G5438" s="17" t="s">
        <v>215</v>
      </c>
    </row>
    <row r="5439" spans="6:7" x14ac:dyDescent="0.25">
      <c r="F5439" s="17" t="s">
        <v>5909</v>
      </c>
      <c r="G5439" s="17" t="s">
        <v>215</v>
      </c>
    </row>
    <row r="5440" spans="6:7" x14ac:dyDescent="0.25">
      <c r="F5440" s="17" t="s">
        <v>5910</v>
      </c>
      <c r="G5440" s="17" t="s">
        <v>215</v>
      </c>
    </row>
    <row r="5441" spans="6:7" x14ac:dyDescent="0.25">
      <c r="F5441" s="17" t="s">
        <v>5911</v>
      </c>
      <c r="G5441" s="17" t="s">
        <v>215</v>
      </c>
    </row>
    <row r="5442" spans="6:7" x14ac:dyDescent="0.25">
      <c r="F5442" s="17" t="s">
        <v>814</v>
      </c>
      <c r="G5442" s="17" t="s">
        <v>215</v>
      </c>
    </row>
    <row r="5443" spans="6:7" x14ac:dyDescent="0.25">
      <c r="F5443" s="17" t="s">
        <v>588</v>
      </c>
      <c r="G5443" s="17" t="s">
        <v>215</v>
      </c>
    </row>
    <row r="5444" spans="6:7" x14ac:dyDescent="0.25">
      <c r="F5444" s="17" t="s">
        <v>938</v>
      </c>
      <c r="G5444" s="17" t="s">
        <v>197</v>
      </c>
    </row>
    <row r="5445" spans="6:7" x14ac:dyDescent="0.25">
      <c r="F5445" s="17" t="s">
        <v>798</v>
      </c>
      <c r="G5445" s="17" t="s">
        <v>197</v>
      </c>
    </row>
    <row r="5446" spans="6:7" x14ac:dyDescent="0.25">
      <c r="F5446" s="17" t="s">
        <v>686</v>
      </c>
      <c r="G5446" s="17" t="s">
        <v>197</v>
      </c>
    </row>
    <row r="5447" spans="6:7" x14ac:dyDescent="0.25">
      <c r="F5447" s="17" t="s">
        <v>5912</v>
      </c>
      <c r="G5447" s="17" t="s">
        <v>197</v>
      </c>
    </row>
    <row r="5448" spans="6:7" x14ac:dyDescent="0.25">
      <c r="F5448" s="17" t="s">
        <v>5913</v>
      </c>
      <c r="G5448" s="17" t="s">
        <v>197</v>
      </c>
    </row>
    <row r="5449" spans="6:7" x14ac:dyDescent="0.25">
      <c r="F5449" s="17" t="s">
        <v>5914</v>
      </c>
      <c r="G5449" s="17" t="s">
        <v>197</v>
      </c>
    </row>
    <row r="5450" spans="6:7" x14ac:dyDescent="0.25">
      <c r="F5450" s="17" t="s">
        <v>5915</v>
      </c>
      <c r="G5450" s="17" t="s">
        <v>197</v>
      </c>
    </row>
    <row r="5451" spans="6:7" x14ac:dyDescent="0.25">
      <c r="F5451" s="17" t="s">
        <v>416</v>
      </c>
      <c r="G5451" s="17" t="s">
        <v>197</v>
      </c>
    </row>
    <row r="5452" spans="6:7" x14ac:dyDescent="0.25">
      <c r="F5452" s="17" t="s">
        <v>5916</v>
      </c>
      <c r="G5452" s="17" t="s">
        <v>197</v>
      </c>
    </row>
    <row r="5453" spans="6:7" x14ac:dyDescent="0.25">
      <c r="F5453" s="17" t="s">
        <v>428</v>
      </c>
      <c r="G5453" s="17" t="s">
        <v>197</v>
      </c>
    </row>
    <row r="5454" spans="6:7" x14ac:dyDescent="0.25">
      <c r="F5454" s="17" t="s">
        <v>5917</v>
      </c>
      <c r="G5454" s="17" t="s">
        <v>197</v>
      </c>
    </row>
    <row r="5455" spans="6:7" x14ac:dyDescent="0.25">
      <c r="F5455" s="17" t="s">
        <v>5918</v>
      </c>
      <c r="G5455" s="17" t="s">
        <v>197</v>
      </c>
    </row>
    <row r="5456" spans="6:7" x14ac:dyDescent="0.25">
      <c r="F5456" s="17" t="s">
        <v>5919</v>
      </c>
      <c r="G5456" s="17" t="s">
        <v>197</v>
      </c>
    </row>
    <row r="5457" spans="6:7" x14ac:dyDescent="0.25">
      <c r="F5457" s="17" t="s">
        <v>912</v>
      </c>
      <c r="G5457" s="17" t="s">
        <v>197</v>
      </c>
    </row>
    <row r="5458" spans="6:7" x14ac:dyDescent="0.25">
      <c r="F5458" s="17" t="s">
        <v>5920</v>
      </c>
      <c r="G5458" s="17" t="s">
        <v>197</v>
      </c>
    </row>
    <row r="5459" spans="6:7" x14ac:dyDescent="0.25">
      <c r="F5459" s="17" t="s">
        <v>5921</v>
      </c>
      <c r="G5459" s="17" t="s">
        <v>197</v>
      </c>
    </row>
    <row r="5460" spans="6:7" x14ac:dyDescent="0.25">
      <c r="F5460" s="17" t="s">
        <v>5922</v>
      </c>
      <c r="G5460" s="17" t="s">
        <v>197</v>
      </c>
    </row>
    <row r="5461" spans="6:7" x14ac:dyDescent="0.25">
      <c r="F5461" s="17" t="s">
        <v>5923</v>
      </c>
      <c r="G5461" s="17" t="s">
        <v>197</v>
      </c>
    </row>
    <row r="5462" spans="6:7" x14ac:dyDescent="0.25">
      <c r="F5462" s="17" t="s">
        <v>5924</v>
      </c>
      <c r="G5462" s="17" t="s">
        <v>197</v>
      </c>
    </row>
    <row r="5463" spans="6:7" x14ac:dyDescent="0.25">
      <c r="F5463" s="17" t="s">
        <v>643</v>
      </c>
      <c r="G5463" s="17" t="s">
        <v>197</v>
      </c>
    </row>
    <row r="5464" spans="6:7" x14ac:dyDescent="0.25">
      <c r="F5464" s="17" t="s">
        <v>5925</v>
      </c>
      <c r="G5464" s="17" t="s">
        <v>197</v>
      </c>
    </row>
    <row r="5465" spans="6:7" x14ac:dyDescent="0.25">
      <c r="F5465" s="17" t="s">
        <v>5926</v>
      </c>
      <c r="G5465" s="17" t="s">
        <v>197</v>
      </c>
    </row>
    <row r="5466" spans="6:7" x14ac:dyDescent="0.25">
      <c r="F5466" s="17" t="s">
        <v>5927</v>
      </c>
      <c r="G5466" s="17" t="s">
        <v>197</v>
      </c>
    </row>
    <row r="5467" spans="6:7" x14ac:dyDescent="0.25">
      <c r="F5467" s="17" t="s">
        <v>5928</v>
      </c>
      <c r="G5467" s="17" t="s">
        <v>197</v>
      </c>
    </row>
    <row r="5468" spans="6:7" x14ac:dyDescent="0.25">
      <c r="F5468" s="17" t="s">
        <v>5929</v>
      </c>
      <c r="G5468" s="17" t="s">
        <v>197</v>
      </c>
    </row>
    <row r="5469" spans="6:7" x14ac:dyDescent="0.25">
      <c r="F5469" s="17" t="s">
        <v>5930</v>
      </c>
      <c r="G5469" s="17" t="s">
        <v>197</v>
      </c>
    </row>
    <row r="5470" spans="6:7" x14ac:dyDescent="0.25">
      <c r="F5470" s="17" t="s">
        <v>826</v>
      </c>
      <c r="G5470" s="17" t="s">
        <v>197</v>
      </c>
    </row>
    <row r="5471" spans="6:7" x14ac:dyDescent="0.25">
      <c r="F5471" s="17" t="s">
        <v>699</v>
      </c>
      <c r="G5471" s="17" t="s">
        <v>197</v>
      </c>
    </row>
    <row r="5472" spans="6:7" x14ac:dyDescent="0.25">
      <c r="F5472" s="17" t="s">
        <v>5931</v>
      </c>
      <c r="G5472" s="17" t="s">
        <v>197</v>
      </c>
    </row>
    <row r="5473" spans="6:7" x14ac:dyDescent="0.25">
      <c r="F5473" s="17" t="s">
        <v>963</v>
      </c>
      <c r="G5473" s="17" t="s">
        <v>197</v>
      </c>
    </row>
    <row r="5474" spans="6:7" x14ac:dyDescent="0.25">
      <c r="F5474" s="17" t="s">
        <v>476</v>
      </c>
      <c r="G5474" s="17" t="s">
        <v>197</v>
      </c>
    </row>
    <row r="5475" spans="6:7" x14ac:dyDescent="0.25">
      <c r="F5475" s="17" t="s">
        <v>968</v>
      </c>
      <c r="G5475" s="17" t="s">
        <v>197</v>
      </c>
    </row>
    <row r="5476" spans="6:7" x14ac:dyDescent="0.25">
      <c r="F5476" s="17" t="s">
        <v>5932</v>
      </c>
      <c r="G5476" s="17" t="s">
        <v>197</v>
      </c>
    </row>
    <row r="5477" spans="6:7" x14ac:dyDescent="0.25">
      <c r="F5477" s="17" t="s">
        <v>5933</v>
      </c>
      <c r="G5477" s="17" t="s">
        <v>197</v>
      </c>
    </row>
    <row r="5478" spans="6:7" x14ac:dyDescent="0.25">
      <c r="F5478" s="17" t="s">
        <v>5934</v>
      </c>
      <c r="G5478" s="17" t="s">
        <v>197</v>
      </c>
    </row>
    <row r="5479" spans="6:7" x14ac:dyDescent="0.25">
      <c r="F5479" s="17" t="s">
        <v>703</v>
      </c>
      <c r="G5479" s="17" t="s">
        <v>197</v>
      </c>
    </row>
    <row r="5480" spans="6:7" x14ac:dyDescent="0.25">
      <c r="F5480" s="17" t="s">
        <v>672</v>
      </c>
      <c r="G5480" s="17" t="s">
        <v>197</v>
      </c>
    </row>
    <row r="5481" spans="6:7" x14ac:dyDescent="0.25">
      <c r="F5481" s="17" t="s">
        <v>5935</v>
      </c>
      <c r="G5481" s="17" t="s">
        <v>215</v>
      </c>
    </row>
    <row r="5482" spans="6:7" x14ac:dyDescent="0.25">
      <c r="F5482" s="17" t="s">
        <v>5936</v>
      </c>
      <c r="G5482" s="17" t="s">
        <v>215</v>
      </c>
    </row>
    <row r="5483" spans="6:7" x14ac:dyDescent="0.25">
      <c r="F5483" s="17" t="s">
        <v>5937</v>
      </c>
      <c r="G5483" s="17" t="s">
        <v>215</v>
      </c>
    </row>
    <row r="5484" spans="6:7" x14ac:dyDescent="0.25">
      <c r="F5484" s="17" t="s">
        <v>5938</v>
      </c>
      <c r="G5484" s="17" t="s">
        <v>215</v>
      </c>
    </row>
    <row r="5485" spans="6:7" x14ac:dyDescent="0.25">
      <c r="F5485" s="17" t="s">
        <v>5939</v>
      </c>
      <c r="G5485" s="17" t="s">
        <v>215</v>
      </c>
    </row>
    <row r="5486" spans="6:7" x14ac:dyDescent="0.25">
      <c r="F5486" s="17" t="s">
        <v>5940</v>
      </c>
      <c r="G5486" s="17" t="s">
        <v>215</v>
      </c>
    </row>
    <row r="5487" spans="6:7" x14ac:dyDescent="0.25">
      <c r="F5487" s="17" t="s">
        <v>5941</v>
      </c>
      <c r="G5487" s="17" t="s">
        <v>215</v>
      </c>
    </row>
    <row r="5488" spans="6:7" x14ac:dyDescent="0.25">
      <c r="F5488" s="17" t="s">
        <v>340</v>
      </c>
      <c r="G5488" s="17" t="s">
        <v>215</v>
      </c>
    </row>
    <row r="5489" spans="6:7" x14ac:dyDescent="0.25">
      <c r="F5489" s="17" t="s">
        <v>516</v>
      </c>
      <c r="G5489" s="17" t="s">
        <v>215</v>
      </c>
    </row>
    <row r="5490" spans="6:7" x14ac:dyDescent="0.25">
      <c r="F5490" s="17" t="s">
        <v>303</v>
      </c>
      <c r="G5490" s="17" t="s">
        <v>215</v>
      </c>
    </row>
    <row r="5491" spans="6:7" x14ac:dyDescent="0.25">
      <c r="F5491" s="17" t="s">
        <v>648</v>
      </c>
      <c r="G5491" s="17" t="s">
        <v>215</v>
      </c>
    </row>
    <row r="5492" spans="6:7" x14ac:dyDescent="0.25">
      <c r="F5492" s="17" t="s">
        <v>5942</v>
      </c>
      <c r="G5492" s="17" t="s">
        <v>215</v>
      </c>
    </row>
    <row r="5493" spans="6:7" x14ac:dyDescent="0.25">
      <c r="F5493" s="17" t="s">
        <v>279</v>
      </c>
      <c r="G5493" s="17" t="s">
        <v>215</v>
      </c>
    </row>
    <row r="5494" spans="6:7" x14ac:dyDescent="0.25">
      <c r="F5494" s="17" t="s">
        <v>5943</v>
      </c>
      <c r="G5494" s="17" t="s">
        <v>215</v>
      </c>
    </row>
    <row r="5495" spans="6:7" x14ac:dyDescent="0.25">
      <c r="F5495" s="17" t="s">
        <v>5944</v>
      </c>
      <c r="G5495" s="17" t="s">
        <v>215</v>
      </c>
    </row>
    <row r="5496" spans="6:7" x14ac:dyDescent="0.25">
      <c r="F5496" s="17" t="s">
        <v>5945</v>
      </c>
      <c r="G5496" s="17" t="s">
        <v>197</v>
      </c>
    </row>
    <row r="5497" spans="6:7" x14ac:dyDescent="0.25">
      <c r="F5497" s="17" t="s">
        <v>5946</v>
      </c>
      <c r="G5497" s="17" t="s">
        <v>197</v>
      </c>
    </row>
    <row r="5498" spans="6:7" x14ac:dyDescent="0.25">
      <c r="F5498" s="17" t="s">
        <v>5947</v>
      </c>
      <c r="G5498" s="17" t="s">
        <v>197</v>
      </c>
    </row>
    <row r="5499" spans="6:7" x14ac:dyDescent="0.25">
      <c r="F5499" s="17" t="s">
        <v>5948</v>
      </c>
      <c r="G5499" s="17" t="s">
        <v>215</v>
      </c>
    </row>
    <row r="5500" spans="6:7" x14ac:dyDescent="0.25">
      <c r="F5500" s="17" t="s">
        <v>5949</v>
      </c>
      <c r="G5500" s="17" t="s">
        <v>215</v>
      </c>
    </row>
    <row r="5501" spans="6:7" x14ac:dyDescent="0.25">
      <c r="F5501" s="17" t="s">
        <v>5950</v>
      </c>
      <c r="G5501" s="17" t="s">
        <v>215</v>
      </c>
    </row>
    <row r="5502" spans="6:7" x14ac:dyDescent="0.25">
      <c r="F5502" s="17" t="s">
        <v>634</v>
      </c>
      <c r="G5502" s="17" t="s">
        <v>215</v>
      </c>
    </row>
    <row r="5503" spans="6:7" x14ac:dyDescent="0.25">
      <c r="F5503" s="17" t="s">
        <v>5951</v>
      </c>
      <c r="G5503" s="17" t="s">
        <v>215</v>
      </c>
    </row>
    <row r="5504" spans="6:7" x14ac:dyDescent="0.25">
      <c r="F5504" s="17" t="s">
        <v>5952</v>
      </c>
      <c r="G5504" s="17" t="s">
        <v>215</v>
      </c>
    </row>
    <row r="5505" spans="6:7" x14ac:dyDescent="0.25">
      <c r="F5505" s="17" t="s">
        <v>5953</v>
      </c>
      <c r="G5505" s="17" t="s">
        <v>197</v>
      </c>
    </row>
    <row r="5506" spans="6:7" x14ac:dyDescent="0.25">
      <c r="F5506" s="17" t="s">
        <v>5954</v>
      </c>
      <c r="G5506" s="17" t="s">
        <v>213</v>
      </c>
    </row>
    <row r="5507" spans="6:7" x14ac:dyDescent="0.25">
      <c r="F5507" s="17" t="s">
        <v>5955</v>
      </c>
      <c r="G5507" s="17" t="s">
        <v>197</v>
      </c>
    </row>
    <row r="5508" spans="6:7" x14ac:dyDescent="0.25">
      <c r="F5508" s="17" t="s">
        <v>5956</v>
      </c>
      <c r="G5508" s="17" t="s">
        <v>197</v>
      </c>
    </row>
    <row r="5509" spans="6:7" x14ac:dyDescent="0.25">
      <c r="F5509" s="17" t="s">
        <v>5957</v>
      </c>
      <c r="G5509" s="17" t="s">
        <v>213</v>
      </c>
    </row>
    <row r="5510" spans="6:7" x14ac:dyDescent="0.25">
      <c r="F5510" s="17" t="s">
        <v>5958</v>
      </c>
      <c r="G5510" s="17" t="s">
        <v>197</v>
      </c>
    </row>
    <row r="5511" spans="6:7" x14ac:dyDescent="0.25">
      <c r="F5511" s="17" t="s">
        <v>5959</v>
      </c>
      <c r="G5511" s="17" t="s">
        <v>197</v>
      </c>
    </row>
    <row r="5512" spans="6:7" x14ac:dyDescent="0.25">
      <c r="F5512" s="17" t="s">
        <v>531</v>
      </c>
      <c r="G5512" s="17" t="s">
        <v>197</v>
      </c>
    </row>
    <row r="5513" spans="6:7" x14ac:dyDescent="0.25">
      <c r="F5513" s="17" t="s">
        <v>394</v>
      </c>
      <c r="G5513" s="17" t="s">
        <v>197</v>
      </c>
    </row>
    <row r="5514" spans="6:7" x14ac:dyDescent="0.25">
      <c r="F5514" s="17" t="s">
        <v>819</v>
      </c>
      <c r="G5514" s="17" t="s">
        <v>197</v>
      </c>
    </row>
    <row r="5515" spans="6:7" x14ac:dyDescent="0.25">
      <c r="F5515" s="17" t="s">
        <v>474</v>
      </c>
      <c r="G5515" s="17" t="s">
        <v>197</v>
      </c>
    </row>
    <row r="5516" spans="6:7" x14ac:dyDescent="0.25">
      <c r="F5516" s="17" t="s">
        <v>5960</v>
      </c>
      <c r="G5516" s="17" t="s">
        <v>197</v>
      </c>
    </row>
    <row r="5517" spans="6:7" x14ac:dyDescent="0.25">
      <c r="F5517" s="17" t="s">
        <v>5961</v>
      </c>
      <c r="G5517" s="17" t="s">
        <v>197</v>
      </c>
    </row>
    <row r="5518" spans="6:7" x14ac:dyDescent="0.25">
      <c r="F5518" s="17" t="s">
        <v>475</v>
      </c>
      <c r="G5518" s="17" t="s">
        <v>197</v>
      </c>
    </row>
    <row r="5519" spans="6:7" x14ac:dyDescent="0.25">
      <c r="F5519" s="17" t="s">
        <v>5962</v>
      </c>
      <c r="G5519" s="17" t="s">
        <v>197</v>
      </c>
    </row>
    <row r="5520" spans="6:7" x14ac:dyDescent="0.25">
      <c r="F5520" s="17" t="s">
        <v>5963</v>
      </c>
      <c r="G5520" s="17" t="s">
        <v>197</v>
      </c>
    </row>
    <row r="5521" spans="6:7" x14ac:dyDescent="0.25">
      <c r="F5521" s="17" t="s">
        <v>5964</v>
      </c>
      <c r="G5521" s="17" t="s">
        <v>197</v>
      </c>
    </row>
    <row r="5522" spans="6:7" x14ac:dyDescent="0.25">
      <c r="F5522" s="17" t="s">
        <v>5965</v>
      </c>
      <c r="G5522" s="17" t="s">
        <v>197</v>
      </c>
    </row>
    <row r="5523" spans="6:7" x14ac:dyDescent="0.25">
      <c r="F5523" s="17" t="s">
        <v>5966</v>
      </c>
      <c r="G5523" s="17" t="s">
        <v>197</v>
      </c>
    </row>
    <row r="5524" spans="6:7" x14ac:dyDescent="0.25">
      <c r="F5524" s="17" t="s">
        <v>5967</v>
      </c>
      <c r="G5524" s="17" t="s">
        <v>197</v>
      </c>
    </row>
    <row r="5525" spans="6:7" x14ac:dyDescent="0.25">
      <c r="F5525" s="17" t="s">
        <v>982</v>
      </c>
      <c r="G5525" s="17" t="s">
        <v>197</v>
      </c>
    </row>
    <row r="5526" spans="6:7" x14ac:dyDescent="0.25">
      <c r="F5526" s="17" t="s">
        <v>5968</v>
      </c>
      <c r="G5526" s="17" t="s">
        <v>197</v>
      </c>
    </row>
    <row r="5527" spans="6:7" x14ac:dyDescent="0.25">
      <c r="F5527" s="17" t="s">
        <v>5969</v>
      </c>
      <c r="G5527" s="17" t="s">
        <v>197</v>
      </c>
    </row>
    <row r="5528" spans="6:7" x14ac:dyDescent="0.25">
      <c r="F5528" s="17" t="s">
        <v>5970</v>
      </c>
      <c r="G5528" s="17" t="s">
        <v>213</v>
      </c>
    </row>
    <row r="5529" spans="6:7" x14ac:dyDescent="0.25">
      <c r="F5529" s="17" t="s">
        <v>5971</v>
      </c>
      <c r="G5529" s="17" t="s">
        <v>213</v>
      </c>
    </row>
    <row r="5530" spans="6:7" x14ac:dyDescent="0.25">
      <c r="F5530" s="17" t="s">
        <v>5972</v>
      </c>
      <c r="G5530" s="17" t="s">
        <v>213</v>
      </c>
    </row>
    <row r="5531" spans="6:7" x14ac:dyDescent="0.25">
      <c r="F5531" s="17" t="s">
        <v>5973</v>
      </c>
      <c r="G5531" s="17" t="s">
        <v>215</v>
      </c>
    </row>
    <row r="5532" spans="6:7" x14ac:dyDescent="0.25">
      <c r="F5532" s="17" t="s">
        <v>5974</v>
      </c>
      <c r="G5532" s="17" t="s">
        <v>215</v>
      </c>
    </row>
    <row r="5533" spans="6:7" x14ac:dyDescent="0.25">
      <c r="F5533" s="17" t="s">
        <v>5975</v>
      </c>
      <c r="G5533" s="17" t="s">
        <v>215</v>
      </c>
    </row>
    <row r="5534" spans="6:7" x14ac:dyDescent="0.25">
      <c r="F5534" s="17" t="s">
        <v>5976</v>
      </c>
      <c r="G5534" s="17" t="s">
        <v>215</v>
      </c>
    </row>
    <row r="5535" spans="6:7" x14ac:dyDescent="0.25">
      <c r="F5535" s="17" t="s">
        <v>5977</v>
      </c>
      <c r="G5535" s="17" t="s">
        <v>215</v>
      </c>
    </row>
    <row r="5536" spans="6:7" x14ac:dyDescent="0.25">
      <c r="F5536" s="17" t="s">
        <v>5978</v>
      </c>
      <c r="G5536" s="17" t="s">
        <v>215</v>
      </c>
    </row>
    <row r="5537" spans="6:7" x14ac:dyDescent="0.25">
      <c r="F5537" s="17" t="s">
        <v>5979</v>
      </c>
      <c r="G5537" s="17" t="s">
        <v>215</v>
      </c>
    </row>
    <row r="5538" spans="6:7" x14ac:dyDescent="0.25">
      <c r="F5538" s="17" t="s">
        <v>503</v>
      </c>
      <c r="G5538" s="17" t="s">
        <v>215</v>
      </c>
    </row>
    <row r="5539" spans="6:7" x14ac:dyDescent="0.25">
      <c r="F5539" s="17" t="s">
        <v>5980</v>
      </c>
      <c r="G5539" s="17" t="s">
        <v>215</v>
      </c>
    </row>
    <row r="5540" spans="6:7" x14ac:dyDescent="0.25">
      <c r="F5540" s="17" t="s">
        <v>5981</v>
      </c>
      <c r="G5540" s="17" t="s">
        <v>215</v>
      </c>
    </row>
    <row r="5541" spans="6:7" x14ac:dyDescent="0.25">
      <c r="F5541" s="17" t="s">
        <v>5982</v>
      </c>
      <c r="G5541" s="17" t="s">
        <v>215</v>
      </c>
    </row>
    <row r="5542" spans="6:7" x14ac:dyDescent="0.25">
      <c r="F5542" s="17" t="s">
        <v>5983</v>
      </c>
      <c r="G5542" s="17" t="s">
        <v>215</v>
      </c>
    </row>
    <row r="5543" spans="6:7" x14ac:dyDescent="0.25">
      <c r="F5543" s="17" t="s">
        <v>5984</v>
      </c>
      <c r="G5543" s="17" t="s">
        <v>215</v>
      </c>
    </row>
    <row r="5544" spans="6:7" x14ac:dyDescent="0.25">
      <c r="F5544" s="17" t="s">
        <v>878</v>
      </c>
      <c r="G5544" s="17" t="s">
        <v>215</v>
      </c>
    </row>
    <row r="5545" spans="6:7" x14ac:dyDescent="0.25">
      <c r="F5545" s="17" t="s">
        <v>5985</v>
      </c>
      <c r="G5545" s="17" t="s">
        <v>215</v>
      </c>
    </row>
    <row r="5546" spans="6:7" x14ac:dyDescent="0.25">
      <c r="F5546" s="17" t="s">
        <v>5986</v>
      </c>
      <c r="G5546" s="17" t="s">
        <v>215</v>
      </c>
    </row>
    <row r="5547" spans="6:7" x14ac:dyDescent="0.25">
      <c r="F5547" s="17" t="s">
        <v>5987</v>
      </c>
      <c r="G5547" s="17" t="s">
        <v>215</v>
      </c>
    </row>
    <row r="5548" spans="6:7" x14ac:dyDescent="0.25">
      <c r="F5548" s="17" t="s">
        <v>5988</v>
      </c>
      <c r="G5548" s="17" t="s">
        <v>215</v>
      </c>
    </row>
    <row r="5549" spans="6:7" x14ac:dyDescent="0.25">
      <c r="F5549" s="17" t="s">
        <v>5989</v>
      </c>
      <c r="G5549" s="17" t="s">
        <v>197</v>
      </c>
    </row>
    <row r="5550" spans="6:7" x14ac:dyDescent="0.25">
      <c r="F5550" s="17" t="s">
        <v>332</v>
      </c>
      <c r="G5550" s="17" t="s">
        <v>197</v>
      </c>
    </row>
    <row r="5551" spans="6:7" x14ac:dyDescent="0.25">
      <c r="F5551" s="17" t="s">
        <v>5990</v>
      </c>
      <c r="G5551" s="17" t="s">
        <v>197</v>
      </c>
    </row>
    <row r="5552" spans="6:7" x14ac:dyDescent="0.25">
      <c r="F5552" s="17" t="s">
        <v>803</v>
      </c>
      <c r="G5552" s="17" t="s">
        <v>197</v>
      </c>
    </row>
    <row r="5553" spans="6:7" x14ac:dyDescent="0.25">
      <c r="F5553" s="17" t="s">
        <v>5991</v>
      </c>
      <c r="G5553" s="17" t="s">
        <v>197</v>
      </c>
    </row>
    <row r="5554" spans="6:7" x14ac:dyDescent="0.25">
      <c r="F5554" s="17" t="s">
        <v>5992</v>
      </c>
      <c r="G5554" s="17" t="s">
        <v>197</v>
      </c>
    </row>
    <row r="5555" spans="6:7" x14ac:dyDescent="0.25">
      <c r="F5555" s="17" t="s">
        <v>951</v>
      </c>
      <c r="G5555" s="17" t="s">
        <v>197</v>
      </c>
    </row>
    <row r="5556" spans="6:7" x14ac:dyDescent="0.25">
      <c r="F5556" s="17" t="s">
        <v>705</v>
      </c>
      <c r="G5556" s="17" t="s">
        <v>197</v>
      </c>
    </row>
    <row r="5557" spans="6:7" x14ac:dyDescent="0.25">
      <c r="F5557" s="17" t="s">
        <v>5993</v>
      </c>
      <c r="G5557" s="17" t="s">
        <v>197</v>
      </c>
    </row>
    <row r="5558" spans="6:7" x14ac:dyDescent="0.25">
      <c r="F5558" s="17" t="s">
        <v>5994</v>
      </c>
      <c r="G5558" s="17" t="s">
        <v>197</v>
      </c>
    </row>
    <row r="5559" spans="6:7" x14ac:dyDescent="0.25">
      <c r="F5559" s="17" t="s">
        <v>331</v>
      </c>
      <c r="G5559" s="17" t="s">
        <v>197</v>
      </c>
    </row>
    <row r="5560" spans="6:7" x14ac:dyDescent="0.25">
      <c r="F5560" s="17" t="s">
        <v>5995</v>
      </c>
      <c r="G5560" s="17" t="s">
        <v>197</v>
      </c>
    </row>
    <row r="5561" spans="6:7" x14ac:dyDescent="0.25">
      <c r="F5561" s="17" t="s">
        <v>5996</v>
      </c>
      <c r="G5561" s="17" t="s">
        <v>197</v>
      </c>
    </row>
    <row r="5562" spans="6:7" x14ac:dyDescent="0.25">
      <c r="F5562" s="17" t="s">
        <v>5997</v>
      </c>
      <c r="G5562" s="17" t="s">
        <v>197</v>
      </c>
    </row>
    <row r="5563" spans="6:7" x14ac:dyDescent="0.25">
      <c r="F5563" s="17" t="s">
        <v>794</v>
      </c>
      <c r="G5563" s="17" t="s">
        <v>197</v>
      </c>
    </row>
    <row r="5564" spans="6:7" x14ac:dyDescent="0.25">
      <c r="F5564" s="17" t="s">
        <v>5998</v>
      </c>
      <c r="G5564" s="17" t="s">
        <v>197</v>
      </c>
    </row>
    <row r="5565" spans="6:7" x14ac:dyDescent="0.25">
      <c r="F5565" s="17" t="s">
        <v>5999</v>
      </c>
      <c r="G5565" s="17" t="s">
        <v>197</v>
      </c>
    </row>
    <row r="5566" spans="6:7" x14ac:dyDescent="0.25">
      <c r="F5566" s="17" t="s">
        <v>6000</v>
      </c>
      <c r="G5566" s="17" t="s">
        <v>197</v>
      </c>
    </row>
    <row r="5567" spans="6:7" x14ac:dyDescent="0.25">
      <c r="F5567" s="17" t="s">
        <v>962</v>
      </c>
      <c r="G5567" s="17" t="s">
        <v>197</v>
      </c>
    </row>
    <row r="5568" spans="6:7" x14ac:dyDescent="0.25">
      <c r="F5568" s="17" t="s">
        <v>954</v>
      </c>
      <c r="G5568" s="17" t="s">
        <v>197</v>
      </c>
    </row>
    <row r="5569" spans="6:7" x14ac:dyDescent="0.25">
      <c r="F5569" s="17" t="s">
        <v>6001</v>
      </c>
      <c r="G5569" s="17" t="s">
        <v>197</v>
      </c>
    </row>
    <row r="5570" spans="6:7" x14ac:dyDescent="0.25">
      <c r="F5570" s="17" t="s">
        <v>732</v>
      </c>
      <c r="G5570" s="17" t="s">
        <v>197</v>
      </c>
    </row>
    <row r="5571" spans="6:7" x14ac:dyDescent="0.25">
      <c r="F5571" s="17" t="s">
        <v>6002</v>
      </c>
      <c r="G5571" s="17" t="s">
        <v>197</v>
      </c>
    </row>
    <row r="5572" spans="6:7" x14ac:dyDescent="0.25">
      <c r="F5572" s="17" t="s">
        <v>6003</v>
      </c>
      <c r="G5572" s="17" t="s">
        <v>197</v>
      </c>
    </row>
    <row r="5573" spans="6:7" x14ac:dyDescent="0.25">
      <c r="F5573" s="17" t="s">
        <v>6004</v>
      </c>
      <c r="G5573" s="17" t="s">
        <v>197</v>
      </c>
    </row>
    <row r="5574" spans="6:7" x14ac:dyDescent="0.25">
      <c r="F5574" s="17" t="s">
        <v>6005</v>
      </c>
      <c r="G5574" s="17" t="s">
        <v>197</v>
      </c>
    </row>
    <row r="5575" spans="6:7" x14ac:dyDescent="0.25">
      <c r="F5575" s="17" t="s">
        <v>6006</v>
      </c>
      <c r="G5575" s="17" t="s">
        <v>213</v>
      </c>
    </row>
    <row r="5576" spans="6:7" x14ac:dyDescent="0.25">
      <c r="F5576" s="17" t="s">
        <v>6007</v>
      </c>
      <c r="G5576" s="17" t="s">
        <v>213</v>
      </c>
    </row>
    <row r="5577" spans="6:7" x14ac:dyDescent="0.25">
      <c r="F5577" s="17" t="s">
        <v>6008</v>
      </c>
      <c r="G5577" s="17" t="s">
        <v>213</v>
      </c>
    </row>
    <row r="5578" spans="6:7" x14ac:dyDescent="0.25">
      <c r="F5578" s="17" t="s">
        <v>583</v>
      </c>
      <c r="G5578" s="17" t="s">
        <v>213</v>
      </c>
    </row>
    <row r="5579" spans="6:7" x14ac:dyDescent="0.25">
      <c r="F5579" s="17" t="s">
        <v>502</v>
      </c>
      <c r="G5579" s="17" t="s">
        <v>213</v>
      </c>
    </row>
    <row r="5580" spans="6:7" x14ac:dyDescent="0.25">
      <c r="F5580" s="17" t="s">
        <v>6009</v>
      </c>
      <c r="G5580" s="17" t="s">
        <v>213</v>
      </c>
    </row>
    <row r="5581" spans="6:7" x14ac:dyDescent="0.25">
      <c r="F5581" s="17" t="s">
        <v>6010</v>
      </c>
      <c r="G5581" s="17" t="s">
        <v>213</v>
      </c>
    </row>
    <row r="5582" spans="6:7" x14ac:dyDescent="0.25">
      <c r="F5582" s="17" t="s">
        <v>6011</v>
      </c>
      <c r="G5582" s="17" t="s">
        <v>213</v>
      </c>
    </row>
    <row r="5583" spans="6:7" x14ac:dyDescent="0.25">
      <c r="F5583" s="17" t="s">
        <v>6012</v>
      </c>
      <c r="G5583" s="17" t="s">
        <v>213</v>
      </c>
    </row>
    <row r="5584" spans="6:7" x14ac:dyDescent="0.25">
      <c r="F5584" s="17" t="s">
        <v>6013</v>
      </c>
      <c r="G5584" s="17" t="s">
        <v>197</v>
      </c>
    </row>
    <row r="5585" spans="6:7" x14ac:dyDescent="0.25">
      <c r="F5585" s="17" t="s">
        <v>6014</v>
      </c>
      <c r="G5585" s="17" t="s">
        <v>197</v>
      </c>
    </row>
    <row r="5586" spans="6:7" x14ac:dyDescent="0.25">
      <c r="F5586" s="17" t="s">
        <v>6015</v>
      </c>
      <c r="G5586" s="17" t="s">
        <v>213</v>
      </c>
    </row>
    <row r="5587" spans="6:7" x14ac:dyDescent="0.25">
      <c r="F5587" s="17" t="s">
        <v>6016</v>
      </c>
      <c r="G5587" s="17" t="s">
        <v>213</v>
      </c>
    </row>
    <row r="5588" spans="6:7" x14ac:dyDescent="0.25">
      <c r="F5588" s="17" t="s">
        <v>6017</v>
      </c>
      <c r="G5588" s="17" t="s">
        <v>213</v>
      </c>
    </row>
    <row r="5589" spans="6:7" x14ac:dyDescent="0.25">
      <c r="F5589" s="17" t="s">
        <v>6018</v>
      </c>
      <c r="G5589" s="17" t="s">
        <v>215</v>
      </c>
    </row>
    <row r="5590" spans="6:7" x14ac:dyDescent="0.25">
      <c r="F5590" s="17" t="s">
        <v>6019</v>
      </c>
      <c r="G5590" s="17" t="s">
        <v>215</v>
      </c>
    </row>
    <row r="5591" spans="6:7" x14ac:dyDescent="0.25">
      <c r="F5591" s="17" t="s">
        <v>302</v>
      </c>
      <c r="G5591" s="17" t="s">
        <v>215</v>
      </c>
    </row>
    <row r="5592" spans="6:7" x14ac:dyDescent="0.25">
      <c r="F5592" s="17" t="s">
        <v>6020</v>
      </c>
      <c r="G5592" s="17" t="s">
        <v>215</v>
      </c>
    </row>
    <row r="5593" spans="6:7" x14ac:dyDescent="0.25">
      <c r="F5593" s="17" t="s">
        <v>6021</v>
      </c>
      <c r="G5593" s="17" t="s">
        <v>213</v>
      </c>
    </row>
    <row r="5594" spans="6:7" x14ac:dyDescent="0.25">
      <c r="F5594" s="17" t="s">
        <v>6022</v>
      </c>
      <c r="G5594" s="17" t="s">
        <v>213</v>
      </c>
    </row>
    <row r="5595" spans="6:7" x14ac:dyDescent="0.25">
      <c r="F5595" s="17" t="s">
        <v>357</v>
      </c>
      <c r="G5595" s="17" t="s">
        <v>213</v>
      </c>
    </row>
    <row r="5596" spans="6:7" x14ac:dyDescent="0.25">
      <c r="F5596" s="17" t="s">
        <v>843</v>
      </c>
      <c r="G5596" s="17" t="s">
        <v>213</v>
      </c>
    </row>
    <row r="5597" spans="6:7" x14ac:dyDescent="0.25">
      <c r="F5597" s="17" t="s">
        <v>6023</v>
      </c>
      <c r="G5597" s="17" t="s">
        <v>213</v>
      </c>
    </row>
    <row r="5598" spans="6:7" x14ac:dyDescent="0.25">
      <c r="F5598" s="17" t="s">
        <v>6024</v>
      </c>
      <c r="G5598" s="17" t="s">
        <v>213</v>
      </c>
    </row>
    <row r="5599" spans="6:7" x14ac:dyDescent="0.25">
      <c r="F5599" s="17" t="s">
        <v>844</v>
      </c>
      <c r="G5599" s="17" t="s">
        <v>213</v>
      </c>
    </row>
    <row r="5600" spans="6:7" x14ac:dyDescent="0.25">
      <c r="F5600" s="17" t="s">
        <v>977</v>
      </c>
      <c r="G5600" s="17" t="s">
        <v>213</v>
      </c>
    </row>
    <row r="5601" spans="6:7" x14ac:dyDescent="0.25">
      <c r="F5601" s="17" t="s">
        <v>527</v>
      </c>
      <c r="G5601" s="17" t="s">
        <v>213</v>
      </c>
    </row>
    <row r="5602" spans="6:7" x14ac:dyDescent="0.25">
      <c r="F5602" s="17" t="s">
        <v>522</v>
      </c>
      <c r="G5602" s="17" t="s">
        <v>213</v>
      </c>
    </row>
    <row r="5603" spans="6:7" x14ac:dyDescent="0.25">
      <c r="F5603" s="17" t="s">
        <v>6025</v>
      </c>
      <c r="G5603" s="17" t="s">
        <v>213</v>
      </c>
    </row>
    <row r="5604" spans="6:7" x14ac:dyDescent="0.25">
      <c r="F5604" s="17" t="s">
        <v>6026</v>
      </c>
      <c r="G5604" s="17" t="s">
        <v>213</v>
      </c>
    </row>
    <row r="5605" spans="6:7" x14ac:dyDescent="0.25">
      <c r="F5605" s="17" t="s">
        <v>6027</v>
      </c>
      <c r="G5605" s="17" t="s">
        <v>213</v>
      </c>
    </row>
    <row r="5606" spans="6:7" x14ac:dyDescent="0.25">
      <c r="F5606" s="17" t="s">
        <v>6028</v>
      </c>
      <c r="G5606" s="17" t="s">
        <v>213</v>
      </c>
    </row>
    <row r="5607" spans="6:7" x14ac:dyDescent="0.25">
      <c r="F5607" s="17" t="s">
        <v>6029</v>
      </c>
      <c r="G5607" s="17" t="s">
        <v>213</v>
      </c>
    </row>
    <row r="5608" spans="6:7" x14ac:dyDescent="0.25">
      <c r="F5608" s="17" t="s">
        <v>6030</v>
      </c>
      <c r="G5608" s="17" t="s">
        <v>213</v>
      </c>
    </row>
    <row r="5609" spans="6:7" x14ac:dyDescent="0.25">
      <c r="F5609" s="17" t="s">
        <v>6031</v>
      </c>
      <c r="G5609" s="17" t="s">
        <v>213</v>
      </c>
    </row>
    <row r="5610" spans="6:7" x14ac:dyDescent="0.25">
      <c r="F5610" s="17" t="s">
        <v>6032</v>
      </c>
      <c r="G5610" s="17" t="s">
        <v>213</v>
      </c>
    </row>
    <row r="5611" spans="6:7" x14ac:dyDescent="0.25">
      <c r="F5611" s="17" t="s">
        <v>6033</v>
      </c>
      <c r="G5611" s="17" t="s">
        <v>213</v>
      </c>
    </row>
    <row r="5612" spans="6:7" x14ac:dyDescent="0.25">
      <c r="F5612" s="17" t="s">
        <v>6034</v>
      </c>
      <c r="G5612" s="17" t="s">
        <v>213</v>
      </c>
    </row>
    <row r="5613" spans="6:7" x14ac:dyDescent="0.25">
      <c r="F5613" s="17" t="s">
        <v>6035</v>
      </c>
      <c r="G5613" s="17" t="s">
        <v>213</v>
      </c>
    </row>
    <row r="5614" spans="6:7" x14ac:dyDescent="0.25">
      <c r="F5614" s="17" t="s">
        <v>6036</v>
      </c>
      <c r="G5614" s="17" t="s">
        <v>213</v>
      </c>
    </row>
    <row r="5615" spans="6:7" x14ac:dyDescent="0.25">
      <c r="F5615" s="17" t="s">
        <v>845</v>
      </c>
      <c r="G5615" s="17" t="s">
        <v>213</v>
      </c>
    </row>
    <row r="5616" spans="6:7" x14ac:dyDescent="0.25">
      <c r="F5616" s="17" t="s">
        <v>6037</v>
      </c>
      <c r="G5616" s="17" t="s">
        <v>213</v>
      </c>
    </row>
    <row r="5617" spans="6:7" x14ac:dyDescent="0.25">
      <c r="F5617" s="17" t="s">
        <v>6038</v>
      </c>
      <c r="G5617" s="17" t="s">
        <v>213</v>
      </c>
    </row>
    <row r="5618" spans="6:7" x14ac:dyDescent="0.25">
      <c r="F5618" s="17" t="s">
        <v>6039</v>
      </c>
      <c r="G5618" s="17" t="s">
        <v>213</v>
      </c>
    </row>
    <row r="5619" spans="6:7" x14ac:dyDescent="0.25">
      <c r="F5619" s="17" t="s">
        <v>6040</v>
      </c>
      <c r="G5619" s="17" t="s">
        <v>213</v>
      </c>
    </row>
    <row r="5620" spans="6:7" x14ac:dyDescent="0.25">
      <c r="F5620" s="17" t="s">
        <v>6041</v>
      </c>
      <c r="G5620" s="17" t="s">
        <v>213</v>
      </c>
    </row>
    <row r="5621" spans="6:7" x14ac:dyDescent="0.25">
      <c r="F5621" s="17" t="s">
        <v>6042</v>
      </c>
      <c r="G5621" s="17" t="s">
        <v>213</v>
      </c>
    </row>
    <row r="5622" spans="6:7" x14ac:dyDescent="0.25">
      <c r="F5622" s="17" t="s">
        <v>6043</v>
      </c>
      <c r="G5622" s="17" t="s">
        <v>213</v>
      </c>
    </row>
    <row r="5623" spans="6:7" x14ac:dyDescent="0.25">
      <c r="F5623" s="17" t="s">
        <v>6044</v>
      </c>
      <c r="G5623" s="17" t="s">
        <v>213</v>
      </c>
    </row>
    <row r="5624" spans="6:7" x14ac:dyDescent="0.25">
      <c r="F5624" s="17" t="s">
        <v>6045</v>
      </c>
      <c r="G5624" s="17" t="s">
        <v>213</v>
      </c>
    </row>
    <row r="5625" spans="6:7" x14ac:dyDescent="0.25">
      <c r="F5625" s="17" t="s">
        <v>6046</v>
      </c>
      <c r="G5625" s="17" t="s">
        <v>213</v>
      </c>
    </row>
    <row r="5626" spans="6:7" x14ac:dyDescent="0.25">
      <c r="F5626" s="17" t="s">
        <v>6047</v>
      </c>
      <c r="G5626" s="17" t="s">
        <v>213</v>
      </c>
    </row>
    <row r="5627" spans="6:7" x14ac:dyDescent="0.25">
      <c r="F5627" s="17" t="s">
        <v>6048</v>
      </c>
      <c r="G5627" s="17" t="s">
        <v>213</v>
      </c>
    </row>
    <row r="5628" spans="6:7" x14ac:dyDescent="0.25">
      <c r="F5628" s="17" t="s">
        <v>6049</v>
      </c>
      <c r="G5628" s="17" t="s">
        <v>213</v>
      </c>
    </row>
    <row r="5629" spans="6:7" x14ac:dyDescent="0.25">
      <c r="F5629" s="17" t="s">
        <v>6050</v>
      </c>
      <c r="G5629" s="17" t="s">
        <v>213</v>
      </c>
    </row>
    <row r="5630" spans="6:7" x14ac:dyDescent="0.25">
      <c r="F5630" s="17" t="s">
        <v>661</v>
      </c>
      <c r="G5630" s="17" t="s">
        <v>213</v>
      </c>
    </row>
    <row r="5631" spans="6:7" x14ac:dyDescent="0.25">
      <c r="F5631" s="17" t="s">
        <v>499</v>
      </c>
      <c r="G5631" s="17" t="s">
        <v>213</v>
      </c>
    </row>
    <row r="5632" spans="6:7" x14ac:dyDescent="0.25">
      <c r="F5632" s="17" t="s">
        <v>559</v>
      </c>
      <c r="G5632" s="17" t="s">
        <v>213</v>
      </c>
    </row>
    <row r="5633" spans="6:7" x14ac:dyDescent="0.25">
      <c r="F5633" s="17" t="s">
        <v>538</v>
      </c>
      <c r="G5633" s="17" t="s">
        <v>213</v>
      </c>
    </row>
    <row r="5634" spans="6:7" x14ac:dyDescent="0.25">
      <c r="F5634" s="17" t="s">
        <v>6051</v>
      </c>
      <c r="G5634" s="17" t="s">
        <v>213</v>
      </c>
    </row>
    <row r="5635" spans="6:7" x14ac:dyDescent="0.25">
      <c r="F5635" s="17" t="s">
        <v>6052</v>
      </c>
      <c r="G5635" s="17" t="s">
        <v>213</v>
      </c>
    </row>
    <row r="5636" spans="6:7" x14ac:dyDescent="0.25">
      <c r="F5636" s="17" t="s">
        <v>6053</v>
      </c>
      <c r="G5636" s="17" t="s">
        <v>213</v>
      </c>
    </row>
    <row r="5637" spans="6:7" x14ac:dyDescent="0.25">
      <c r="F5637" s="17" t="s">
        <v>356</v>
      </c>
      <c r="G5637" s="17" t="s">
        <v>213</v>
      </c>
    </row>
    <row r="5638" spans="6:7" x14ac:dyDescent="0.25">
      <c r="F5638" s="17" t="s">
        <v>317</v>
      </c>
      <c r="G5638" s="17" t="s">
        <v>213</v>
      </c>
    </row>
    <row r="5639" spans="6:7" x14ac:dyDescent="0.25">
      <c r="F5639" s="17" t="s">
        <v>260</v>
      </c>
      <c r="G5639" s="17" t="s">
        <v>213</v>
      </c>
    </row>
    <row r="5640" spans="6:7" x14ac:dyDescent="0.25">
      <c r="F5640" s="17" t="s">
        <v>513</v>
      </c>
      <c r="G5640" s="17" t="s">
        <v>213</v>
      </c>
    </row>
    <row r="5641" spans="6:7" x14ac:dyDescent="0.25">
      <c r="F5641" s="17" t="s">
        <v>712</v>
      </c>
      <c r="G5641" s="17" t="s">
        <v>213</v>
      </c>
    </row>
    <row r="5642" spans="6:7" x14ac:dyDescent="0.25">
      <c r="F5642" s="17" t="s">
        <v>6054</v>
      </c>
      <c r="G5642" s="17" t="s">
        <v>213</v>
      </c>
    </row>
    <row r="5643" spans="6:7" x14ac:dyDescent="0.25">
      <c r="F5643" s="17" t="s">
        <v>6055</v>
      </c>
      <c r="G5643" s="17" t="s">
        <v>213</v>
      </c>
    </row>
    <row r="5644" spans="6:7" x14ac:dyDescent="0.25">
      <c r="F5644" s="17" t="s">
        <v>399</v>
      </c>
      <c r="G5644" s="17" t="s">
        <v>213</v>
      </c>
    </row>
    <row r="5645" spans="6:7" x14ac:dyDescent="0.25">
      <c r="F5645" s="17" t="s">
        <v>400</v>
      </c>
      <c r="G5645" s="17" t="s">
        <v>213</v>
      </c>
    </row>
    <row r="5646" spans="6:7" x14ac:dyDescent="0.25">
      <c r="F5646" s="17" t="s">
        <v>6056</v>
      </c>
      <c r="G5646" s="17" t="s">
        <v>213</v>
      </c>
    </row>
    <row r="5647" spans="6:7" x14ac:dyDescent="0.25">
      <c r="F5647" s="17" t="s">
        <v>809</v>
      </c>
      <c r="G5647" s="17" t="s">
        <v>213</v>
      </c>
    </row>
    <row r="5648" spans="6:7" x14ac:dyDescent="0.25">
      <c r="F5648" s="17" t="s">
        <v>608</v>
      </c>
      <c r="G5648" s="17" t="s">
        <v>213</v>
      </c>
    </row>
    <row r="5649" spans="6:7" x14ac:dyDescent="0.25">
      <c r="F5649" s="17" t="s">
        <v>405</v>
      </c>
      <c r="G5649" s="17" t="s">
        <v>213</v>
      </c>
    </row>
    <row r="5650" spans="6:7" x14ac:dyDescent="0.25">
      <c r="F5650" s="17" t="s">
        <v>6057</v>
      </c>
      <c r="G5650" s="17" t="s">
        <v>213</v>
      </c>
    </row>
    <row r="5651" spans="6:7" x14ac:dyDescent="0.25">
      <c r="F5651" s="17" t="s">
        <v>365</v>
      </c>
      <c r="G5651" s="17" t="s">
        <v>213</v>
      </c>
    </row>
    <row r="5652" spans="6:7" x14ac:dyDescent="0.25">
      <c r="F5652" s="17" t="s">
        <v>6058</v>
      </c>
      <c r="G5652" s="17" t="s">
        <v>213</v>
      </c>
    </row>
    <row r="5653" spans="6:7" x14ac:dyDescent="0.25">
      <c r="F5653" s="17" t="s">
        <v>6059</v>
      </c>
      <c r="G5653" s="17" t="s">
        <v>213</v>
      </c>
    </row>
    <row r="5654" spans="6:7" x14ac:dyDescent="0.25">
      <c r="F5654" s="17" t="s">
        <v>6060</v>
      </c>
      <c r="G5654" s="17" t="s">
        <v>213</v>
      </c>
    </row>
    <row r="5655" spans="6:7" x14ac:dyDescent="0.25">
      <c r="F5655" s="17" t="s">
        <v>6061</v>
      </c>
      <c r="G5655" s="17" t="s">
        <v>213</v>
      </c>
    </row>
    <row r="5656" spans="6:7" x14ac:dyDescent="0.25">
      <c r="F5656" s="17" t="s">
        <v>6062</v>
      </c>
      <c r="G5656" s="17" t="s">
        <v>213</v>
      </c>
    </row>
    <row r="5657" spans="6:7" x14ac:dyDescent="0.25">
      <c r="F5657" s="17" t="s">
        <v>561</v>
      </c>
      <c r="G5657" s="17" t="s">
        <v>213</v>
      </c>
    </row>
    <row r="5658" spans="6:7" x14ac:dyDescent="0.25">
      <c r="F5658" s="17" t="s">
        <v>846</v>
      </c>
      <c r="G5658" s="17" t="s">
        <v>213</v>
      </c>
    </row>
    <row r="5659" spans="6:7" x14ac:dyDescent="0.25">
      <c r="F5659" s="17" t="s">
        <v>6063</v>
      </c>
      <c r="G5659" s="17" t="s">
        <v>213</v>
      </c>
    </row>
    <row r="5660" spans="6:7" x14ac:dyDescent="0.25">
      <c r="F5660" s="17" t="s">
        <v>366</v>
      </c>
      <c r="G5660" s="17" t="s">
        <v>213</v>
      </c>
    </row>
    <row r="5661" spans="6:7" x14ac:dyDescent="0.25">
      <c r="F5661" s="17" t="s">
        <v>6064</v>
      </c>
      <c r="G5661" s="17" t="s">
        <v>197</v>
      </c>
    </row>
    <row r="5662" spans="6:7" x14ac:dyDescent="0.25">
      <c r="F5662" s="17" t="s">
        <v>6065</v>
      </c>
      <c r="G5662" s="17" t="s">
        <v>213</v>
      </c>
    </row>
    <row r="5663" spans="6:7" x14ac:dyDescent="0.25">
      <c r="F5663" s="17" t="s">
        <v>6066</v>
      </c>
      <c r="G5663" s="17" t="s">
        <v>197</v>
      </c>
    </row>
    <row r="5664" spans="6:7" x14ac:dyDescent="0.25">
      <c r="F5664" s="17" t="s">
        <v>6067</v>
      </c>
      <c r="G5664" s="17" t="s">
        <v>213</v>
      </c>
    </row>
    <row r="5665" spans="6:7" x14ac:dyDescent="0.25">
      <c r="F5665" s="17" t="s">
        <v>6068</v>
      </c>
      <c r="G5665" s="17" t="s">
        <v>213</v>
      </c>
    </row>
    <row r="5666" spans="6:7" x14ac:dyDescent="0.25">
      <c r="F5666" s="17" t="s">
        <v>6069</v>
      </c>
      <c r="G5666" s="17" t="s">
        <v>213</v>
      </c>
    </row>
    <row r="5667" spans="6:7" x14ac:dyDescent="0.25">
      <c r="F5667" s="17" t="s">
        <v>6070</v>
      </c>
      <c r="G5667" s="17" t="s">
        <v>213</v>
      </c>
    </row>
    <row r="5668" spans="6:7" x14ac:dyDescent="0.25">
      <c r="F5668" s="17" t="s">
        <v>451</v>
      </c>
      <c r="G5668" s="17" t="s">
        <v>213</v>
      </c>
    </row>
    <row r="5669" spans="6:7" x14ac:dyDescent="0.25">
      <c r="F5669" s="17" t="s">
        <v>6071</v>
      </c>
      <c r="G5669" s="17" t="s">
        <v>213</v>
      </c>
    </row>
    <row r="5670" spans="6:7" x14ac:dyDescent="0.25">
      <c r="F5670" s="17" t="s">
        <v>6072</v>
      </c>
      <c r="G5670" s="17" t="s">
        <v>213</v>
      </c>
    </row>
    <row r="5671" spans="6:7" x14ac:dyDescent="0.25">
      <c r="F5671" s="17" t="s">
        <v>520</v>
      </c>
      <c r="G5671" s="17" t="s">
        <v>213</v>
      </c>
    </row>
    <row r="5672" spans="6:7" x14ac:dyDescent="0.25">
      <c r="F5672" s="17" t="s">
        <v>6073</v>
      </c>
      <c r="G5672" s="17" t="s">
        <v>213</v>
      </c>
    </row>
    <row r="5673" spans="6:7" x14ac:dyDescent="0.25">
      <c r="F5673" s="17" t="s">
        <v>621</v>
      </c>
      <c r="G5673" s="17" t="s">
        <v>213</v>
      </c>
    </row>
    <row r="5674" spans="6:7" x14ac:dyDescent="0.25">
      <c r="F5674" s="17" t="s">
        <v>693</v>
      </c>
      <c r="G5674" s="17" t="s">
        <v>213</v>
      </c>
    </row>
    <row r="5675" spans="6:7" x14ac:dyDescent="0.25">
      <c r="F5675" s="17" t="s">
        <v>6074</v>
      </c>
      <c r="G5675" s="17" t="s">
        <v>213</v>
      </c>
    </row>
    <row r="5676" spans="6:7" x14ac:dyDescent="0.25">
      <c r="F5676" s="17" t="s">
        <v>6075</v>
      </c>
      <c r="G5676" s="17" t="s">
        <v>213</v>
      </c>
    </row>
    <row r="5677" spans="6:7" x14ac:dyDescent="0.25">
      <c r="F5677" s="17" t="s">
        <v>810</v>
      </c>
      <c r="G5677" s="17" t="s">
        <v>213</v>
      </c>
    </row>
    <row r="5678" spans="6:7" x14ac:dyDescent="0.25">
      <c r="F5678" s="17" t="s">
        <v>6076</v>
      </c>
      <c r="G5678" s="17" t="s">
        <v>213</v>
      </c>
    </row>
    <row r="5679" spans="6:7" x14ac:dyDescent="0.25">
      <c r="F5679" s="17" t="s">
        <v>6077</v>
      </c>
      <c r="G5679" s="17" t="s">
        <v>209</v>
      </c>
    </row>
    <row r="5680" spans="6:7" x14ac:dyDescent="0.25">
      <c r="F5680" s="17" t="s">
        <v>6078</v>
      </c>
      <c r="G5680" s="17" t="s">
        <v>209</v>
      </c>
    </row>
    <row r="5681" spans="6:7" x14ac:dyDescent="0.25">
      <c r="F5681" s="17" t="s">
        <v>6079</v>
      </c>
      <c r="G5681" s="17" t="s">
        <v>209</v>
      </c>
    </row>
    <row r="5682" spans="6:7" x14ac:dyDescent="0.25">
      <c r="F5682" s="17" t="s">
        <v>6080</v>
      </c>
      <c r="G5682" s="17" t="s">
        <v>209</v>
      </c>
    </row>
    <row r="5683" spans="6:7" x14ac:dyDescent="0.25">
      <c r="F5683" s="17" t="s">
        <v>6081</v>
      </c>
      <c r="G5683" s="17" t="s">
        <v>207</v>
      </c>
    </row>
    <row r="5684" spans="6:7" x14ac:dyDescent="0.25">
      <c r="F5684" s="17" t="s">
        <v>6082</v>
      </c>
      <c r="G5684" s="17" t="s">
        <v>207</v>
      </c>
    </row>
    <row r="5685" spans="6:7" x14ac:dyDescent="0.25">
      <c r="F5685" s="17" t="s">
        <v>409</v>
      </c>
      <c r="G5685" s="17" t="s">
        <v>207</v>
      </c>
    </row>
    <row r="5686" spans="6:7" x14ac:dyDescent="0.25">
      <c r="F5686" s="17" t="s">
        <v>335</v>
      </c>
      <c r="G5686" s="17" t="s">
        <v>207</v>
      </c>
    </row>
    <row r="5687" spans="6:7" x14ac:dyDescent="0.25">
      <c r="F5687" s="17" t="s">
        <v>6083</v>
      </c>
      <c r="G5687" s="17" t="s">
        <v>209</v>
      </c>
    </row>
    <row r="5688" spans="6:7" x14ac:dyDescent="0.25">
      <c r="F5688" s="17" t="s">
        <v>6084</v>
      </c>
      <c r="G5688" s="17" t="s">
        <v>209</v>
      </c>
    </row>
    <row r="5689" spans="6:7" x14ac:dyDescent="0.25">
      <c r="F5689" s="17" t="s">
        <v>895</v>
      </c>
      <c r="G5689" s="17" t="s">
        <v>209</v>
      </c>
    </row>
    <row r="5690" spans="6:7" x14ac:dyDescent="0.25">
      <c r="F5690" s="17" t="s">
        <v>6085</v>
      </c>
      <c r="G5690" s="17" t="s">
        <v>209</v>
      </c>
    </row>
    <row r="5691" spans="6:7" x14ac:dyDescent="0.25">
      <c r="F5691" s="17" t="s">
        <v>896</v>
      </c>
      <c r="G5691" s="17" t="s">
        <v>209</v>
      </c>
    </row>
    <row r="5692" spans="6:7" x14ac:dyDescent="0.25">
      <c r="F5692" s="17" t="s">
        <v>435</v>
      </c>
      <c r="G5692" s="17" t="s">
        <v>209</v>
      </c>
    </row>
    <row r="5693" spans="6:7" x14ac:dyDescent="0.25">
      <c r="F5693" s="17" t="s">
        <v>6086</v>
      </c>
      <c r="G5693" s="17" t="s">
        <v>209</v>
      </c>
    </row>
    <row r="5694" spans="6:7" x14ac:dyDescent="0.25">
      <c r="F5694" s="17" t="s">
        <v>6087</v>
      </c>
      <c r="G5694" s="17" t="s">
        <v>209</v>
      </c>
    </row>
    <row r="5695" spans="6:7" x14ac:dyDescent="0.25">
      <c r="F5695" s="17" t="s">
        <v>6088</v>
      </c>
      <c r="G5695" s="17" t="s">
        <v>209</v>
      </c>
    </row>
    <row r="5696" spans="6:7" x14ac:dyDescent="0.25">
      <c r="F5696" s="17" t="s">
        <v>492</v>
      </c>
      <c r="G5696" s="17" t="s">
        <v>215</v>
      </c>
    </row>
    <row r="5697" spans="6:7" x14ac:dyDescent="0.25">
      <c r="F5697" s="17" t="s">
        <v>644</v>
      </c>
      <c r="G5697" s="17" t="s">
        <v>215</v>
      </c>
    </row>
    <row r="5698" spans="6:7" x14ac:dyDescent="0.25">
      <c r="F5698" s="17" t="s">
        <v>701</v>
      </c>
      <c r="G5698" s="17" t="s">
        <v>215</v>
      </c>
    </row>
    <row r="5699" spans="6:7" x14ac:dyDescent="0.25">
      <c r="F5699" s="17" t="s">
        <v>454</v>
      </c>
      <c r="G5699" s="17" t="s">
        <v>215</v>
      </c>
    </row>
    <row r="5700" spans="6:7" x14ac:dyDescent="0.25">
      <c r="F5700" s="17" t="s">
        <v>6089</v>
      </c>
      <c r="G5700" s="17" t="s">
        <v>215</v>
      </c>
    </row>
    <row r="5701" spans="6:7" x14ac:dyDescent="0.25">
      <c r="F5701" s="17" t="s">
        <v>321</v>
      </c>
      <c r="G5701" s="17" t="s">
        <v>215</v>
      </c>
    </row>
    <row r="5702" spans="6:7" x14ac:dyDescent="0.25">
      <c r="F5702" s="17" t="s">
        <v>275</v>
      </c>
      <c r="G5702" s="17" t="s">
        <v>215</v>
      </c>
    </row>
    <row r="5703" spans="6:7" x14ac:dyDescent="0.25">
      <c r="F5703" s="17" t="s">
        <v>403</v>
      </c>
      <c r="G5703" s="17" t="s">
        <v>215</v>
      </c>
    </row>
    <row r="5704" spans="6:7" x14ac:dyDescent="0.25">
      <c r="F5704" s="17" t="s">
        <v>630</v>
      </c>
      <c r="G5704" s="17" t="s">
        <v>215</v>
      </c>
    </row>
    <row r="5705" spans="6:7" x14ac:dyDescent="0.25">
      <c r="F5705" s="17" t="s">
        <v>711</v>
      </c>
      <c r="G5705" s="17" t="s">
        <v>215</v>
      </c>
    </row>
    <row r="5706" spans="6:7" x14ac:dyDescent="0.25">
      <c r="F5706" s="17" t="s">
        <v>6090</v>
      </c>
      <c r="G5706" s="17" t="s">
        <v>215</v>
      </c>
    </row>
    <row r="5707" spans="6:7" x14ac:dyDescent="0.25">
      <c r="F5707" s="17" t="s">
        <v>6091</v>
      </c>
      <c r="G5707" s="17" t="s">
        <v>215</v>
      </c>
    </row>
    <row r="5708" spans="6:7" x14ac:dyDescent="0.25">
      <c r="F5708" s="17" t="s">
        <v>6092</v>
      </c>
      <c r="G5708" s="17" t="s">
        <v>215</v>
      </c>
    </row>
    <row r="5709" spans="6:7" x14ac:dyDescent="0.25">
      <c r="F5709" s="17" t="s">
        <v>6093</v>
      </c>
      <c r="G5709" s="17" t="s">
        <v>211</v>
      </c>
    </row>
    <row r="5710" spans="6:7" x14ac:dyDescent="0.25">
      <c r="F5710" s="17" t="s">
        <v>296</v>
      </c>
      <c r="G5710" s="17" t="s">
        <v>211</v>
      </c>
    </row>
    <row r="5711" spans="6:7" x14ac:dyDescent="0.25">
      <c r="F5711" s="17" t="s">
        <v>697</v>
      </c>
      <c r="G5711" s="17" t="s">
        <v>211</v>
      </c>
    </row>
    <row r="5712" spans="6:7" x14ac:dyDescent="0.25">
      <c r="F5712" s="17" t="s">
        <v>311</v>
      </c>
      <c r="G5712" s="17" t="s">
        <v>211</v>
      </c>
    </row>
    <row r="5713" spans="6:7" x14ac:dyDescent="0.25">
      <c r="F5713" s="17" t="s">
        <v>6094</v>
      </c>
      <c r="G5713" s="17" t="s">
        <v>207</v>
      </c>
    </row>
    <row r="5714" spans="6:7" x14ac:dyDescent="0.25">
      <c r="F5714" s="17" t="s">
        <v>6095</v>
      </c>
      <c r="G5714" s="17" t="s">
        <v>215</v>
      </c>
    </row>
    <row r="5715" spans="6:7" x14ac:dyDescent="0.25">
      <c r="F5715" s="17" t="s">
        <v>301</v>
      </c>
      <c r="G5715" s="17" t="s">
        <v>215</v>
      </c>
    </row>
    <row r="5716" spans="6:7" x14ac:dyDescent="0.25">
      <c r="F5716" s="17" t="s">
        <v>342</v>
      </c>
      <c r="G5716" s="17" t="s">
        <v>215</v>
      </c>
    </row>
    <row r="5717" spans="6:7" x14ac:dyDescent="0.25">
      <c r="F5717" s="17" t="s">
        <v>6096</v>
      </c>
      <c r="G5717" s="17" t="s">
        <v>215</v>
      </c>
    </row>
    <row r="5718" spans="6:7" x14ac:dyDescent="0.25">
      <c r="F5718" s="17" t="s">
        <v>6097</v>
      </c>
      <c r="G5718" s="17" t="s">
        <v>215</v>
      </c>
    </row>
    <row r="5719" spans="6:7" x14ac:dyDescent="0.25">
      <c r="F5719" s="17" t="s">
        <v>6098</v>
      </c>
      <c r="G5719" s="17" t="s">
        <v>215</v>
      </c>
    </row>
    <row r="5720" spans="6:7" x14ac:dyDescent="0.25">
      <c r="F5720" s="17" t="s">
        <v>6099</v>
      </c>
      <c r="G5720" s="17" t="s">
        <v>215</v>
      </c>
    </row>
    <row r="5721" spans="6:7" x14ac:dyDescent="0.25">
      <c r="F5721" s="17" t="s">
        <v>450</v>
      </c>
      <c r="G5721" s="17" t="s">
        <v>215</v>
      </c>
    </row>
    <row r="5722" spans="6:7" x14ac:dyDescent="0.25">
      <c r="F5722" s="17" t="s">
        <v>726</v>
      </c>
      <c r="G5722" s="17" t="s">
        <v>215</v>
      </c>
    </row>
    <row r="5723" spans="6:7" x14ac:dyDescent="0.25">
      <c r="F5723" s="17" t="s">
        <v>6100</v>
      </c>
      <c r="G5723" s="17" t="s">
        <v>215</v>
      </c>
    </row>
    <row r="5724" spans="6:7" x14ac:dyDescent="0.25">
      <c r="F5724" s="17" t="s">
        <v>6101</v>
      </c>
      <c r="G5724" s="17" t="s">
        <v>215</v>
      </c>
    </row>
    <row r="5725" spans="6:7" x14ac:dyDescent="0.25">
      <c r="F5725" s="17" t="s">
        <v>593</v>
      </c>
      <c r="G5725" s="17" t="s">
        <v>215</v>
      </c>
    </row>
    <row r="5726" spans="6:7" x14ac:dyDescent="0.25">
      <c r="F5726" s="17" t="s">
        <v>778</v>
      </c>
      <c r="G5726" s="17" t="s">
        <v>215</v>
      </c>
    </row>
    <row r="5727" spans="6:7" x14ac:dyDescent="0.25">
      <c r="F5727" s="17" t="s">
        <v>406</v>
      </c>
      <c r="G5727" s="17" t="s">
        <v>215</v>
      </c>
    </row>
    <row r="5728" spans="6:7" x14ac:dyDescent="0.25">
      <c r="F5728" s="17" t="s">
        <v>6102</v>
      </c>
      <c r="G5728" s="17" t="s">
        <v>215</v>
      </c>
    </row>
    <row r="5729" spans="6:7" x14ac:dyDescent="0.25">
      <c r="F5729" s="17" t="s">
        <v>965</v>
      </c>
      <c r="G5729" s="17" t="s">
        <v>215</v>
      </c>
    </row>
    <row r="5730" spans="6:7" x14ac:dyDescent="0.25">
      <c r="F5730" s="17" t="s">
        <v>6103</v>
      </c>
      <c r="G5730" s="17" t="s">
        <v>215</v>
      </c>
    </row>
    <row r="5731" spans="6:7" x14ac:dyDescent="0.25">
      <c r="F5731" s="17" t="s">
        <v>6104</v>
      </c>
      <c r="G5731" s="17" t="s">
        <v>215</v>
      </c>
    </row>
    <row r="5732" spans="6:7" x14ac:dyDescent="0.25">
      <c r="F5732" s="17" t="s">
        <v>6105</v>
      </c>
      <c r="G5732" s="17" t="s">
        <v>215</v>
      </c>
    </row>
    <row r="5733" spans="6:7" x14ac:dyDescent="0.25">
      <c r="F5733" s="17" t="s">
        <v>750</v>
      </c>
      <c r="G5733" s="17" t="s">
        <v>215</v>
      </c>
    </row>
    <row r="5734" spans="6:7" x14ac:dyDescent="0.25">
      <c r="F5734" s="17" t="s">
        <v>6106</v>
      </c>
      <c r="G5734" s="17" t="s">
        <v>215</v>
      </c>
    </row>
    <row r="5735" spans="6:7" x14ac:dyDescent="0.25">
      <c r="F5735" s="17" t="s">
        <v>6107</v>
      </c>
      <c r="G5735" s="17" t="s">
        <v>215</v>
      </c>
    </row>
    <row r="5736" spans="6:7" x14ac:dyDescent="0.25">
      <c r="F5736" s="17" t="s">
        <v>6108</v>
      </c>
      <c r="G5736" s="17" t="s">
        <v>215</v>
      </c>
    </row>
    <row r="5737" spans="6:7" x14ac:dyDescent="0.25">
      <c r="F5737" s="17" t="s">
        <v>807</v>
      </c>
      <c r="G5737" s="17" t="s">
        <v>215</v>
      </c>
    </row>
    <row r="5738" spans="6:7" x14ac:dyDescent="0.25">
      <c r="F5738" s="17" t="s">
        <v>6109</v>
      </c>
      <c r="G5738" s="17" t="s">
        <v>215</v>
      </c>
    </row>
    <row r="5739" spans="6:7" x14ac:dyDescent="0.25">
      <c r="F5739" s="17" t="s">
        <v>6110</v>
      </c>
      <c r="G5739" s="17" t="s">
        <v>215</v>
      </c>
    </row>
    <row r="5740" spans="6:7" x14ac:dyDescent="0.25">
      <c r="F5740" s="17" t="s">
        <v>6111</v>
      </c>
      <c r="G5740" s="17" t="s">
        <v>215</v>
      </c>
    </row>
    <row r="5741" spans="6:7" x14ac:dyDescent="0.25">
      <c r="F5741" s="17" t="s">
        <v>6112</v>
      </c>
      <c r="G5741" s="17" t="s">
        <v>215</v>
      </c>
    </row>
    <row r="5742" spans="6:7" x14ac:dyDescent="0.25">
      <c r="F5742" s="17" t="s">
        <v>736</v>
      </c>
      <c r="G5742" s="17" t="s">
        <v>215</v>
      </c>
    </row>
    <row r="5743" spans="6:7" x14ac:dyDescent="0.25">
      <c r="F5743" s="17" t="s">
        <v>590</v>
      </c>
      <c r="G5743" s="17" t="s">
        <v>215</v>
      </c>
    </row>
    <row r="5744" spans="6:7" x14ac:dyDescent="0.25">
      <c r="F5744" s="17" t="s">
        <v>6113</v>
      </c>
      <c r="G5744" s="17" t="s">
        <v>215</v>
      </c>
    </row>
    <row r="5745" spans="6:7" x14ac:dyDescent="0.25">
      <c r="F5745" s="17" t="s">
        <v>6114</v>
      </c>
      <c r="G5745" s="17" t="s">
        <v>215</v>
      </c>
    </row>
    <row r="5746" spans="6:7" x14ac:dyDescent="0.25">
      <c r="F5746" s="17" t="s">
        <v>348</v>
      </c>
      <c r="G5746" s="17" t="s">
        <v>215</v>
      </c>
    </row>
    <row r="5747" spans="6:7" x14ac:dyDescent="0.25">
      <c r="F5747" s="17" t="s">
        <v>287</v>
      </c>
      <c r="G5747" s="17" t="s">
        <v>215</v>
      </c>
    </row>
    <row r="5748" spans="6:7" x14ac:dyDescent="0.25">
      <c r="F5748" s="17" t="s">
        <v>740</v>
      </c>
      <c r="G5748" s="17" t="s">
        <v>215</v>
      </c>
    </row>
    <row r="5749" spans="6:7" x14ac:dyDescent="0.25">
      <c r="F5749" s="17" t="s">
        <v>6115</v>
      </c>
      <c r="G5749" s="17" t="s">
        <v>215</v>
      </c>
    </row>
    <row r="5750" spans="6:7" x14ac:dyDescent="0.25">
      <c r="F5750" s="17" t="s">
        <v>418</v>
      </c>
      <c r="G5750" s="17" t="s">
        <v>215</v>
      </c>
    </row>
    <row r="5751" spans="6:7" x14ac:dyDescent="0.25">
      <c r="F5751" s="17" t="s">
        <v>676</v>
      </c>
      <c r="G5751" s="17" t="s">
        <v>215</v>
      </c>
    </row>
    <row r="5752" spans="6:7" x14ac:dyDescent="0.25">
      <c r="F5752" s="17" t="s">
        <v>346</v>
      </c>
      <c r="G5752" s="17" t="s">
        <v>215</v>
      </c>
    </row>
    <row r="5753" spans="6:7" x14ac:dyDescent="0.25">
      <c r="F5753" s="17" t="s">
        <v>6116</v>
      </c>
      <c r="G5753" s="17" t="s">
        <v>215</v>
      </c>
    </row>
    <row r="5754" spans="6:7" x14ac:dyDescent="0.25">
      <c r="F5754" s="17" t="s">
        <v>6117</v>
      </c>
      <c r="G5754" s="17" t="s">
        <v>215</v>
      </c>
    </row>
    <row r="5755" spans="6:7" x14ac:dyDescent="0.25">
      <c r="F5755" s="17" t="s">
        <v>6118</v>
      </c>
      <c r="G5755" s="17" t="s">
        <v>215</v>
      </c>
    </row>
    <row r="5756" spans="6:7" x14ac:dyDescent="0.25">
      <c r="F5756" s="17" t="s">
        <v>607</v>
      </c>
      <c r="G5756" s="17" t="s">
        <v>215</v>
      </c>
    </row>
    <row r="5757" spans="6:7" x14ac:dyDescent="0.25">
      <c r="F5757" s="17" t="s">
        <v>483</v>
      </c>
      <c r="G5757" s="17" t="s">
        <v>215</v>
      </c>
    </row>
    <row r="5758" spans="6:7" x14ac:dyDescent="0.25">
      <c r="F5758" s="17" t="s">
        <v>6119</v>
      </c>
      <c r="G5758" s="17" t="s">
        <v>215</v>
      </c>
    </row>
    <row r="5759" spans="6:7" x14ac:dyDescent="0.25">
      <c r="F5759" s="17" t="s">
        <v>877</v>
      </c>
      <c r="G5759" s="17" t="s">
        <v>215</v>
      </c>
    </row>
    <row r="5760" spans="6:7" x14ac:dyDescent="0.25">
      <c r="F5760" s="17" t="s">
        <v>673</v>
      </c>
      <c r="G5760" s="17" t="s">
        <v>215</v>
      </c>
    </row>
    <row r="5761" spans="6:7" x14ac:dyDescent="0.25">
      <c r="F5761" s="17" t="s">
        <v>6120</v>
      </c>
      <c r="G5761" s="17" t="s">
        <v>215</v>
      </c>
    </row>
    <row r="5762" spans="6:7" x14ac:dyDescent="0.25">
      <c r="F5762" s="17" t="s">
        <v>482</v>
      </c>
      <c r="G5762" s="17" t="s">
        <v>215</v>
      </c>
    </row>
    <row r="5763" spans="6:7" x14ac:dyDescent="0.25">
      <c r="F5763" s="17" t="s">
        <v>347</v>
      </c>
      <c r="G5763" s="17" t="s">
        <v>215</v>
      </c>
    </row>
    <row r="5764" spans="6:7" x14ac:dyDescent="0.25">
      <c r="F5764" s="17" t="s">
        <v>521</v>
      </c>
      <c r="G5764" s="17" t="s">
        <v>215</v>
      </c>
    </row>
    <row r="5765" spans="6:7" x14ac:dyDescent="0.25">
      <c r="F5765" s="17" t="s">
        <v>313</v>
      </c>
      <c r="G5765" s="17" t="s">
        <v>215</v>
      </c>
    </row>
    <row r="5766" spans="6:7" x14ac:dyDescent="0.25">
      <c r="F5766" s="17" t="s">
        <v>6121</v>
      </c>
      <c r="G5766" s="17" t="s">
        <v>215</v>
      </c>
    </row>
    <row r="5767" spans="6:7" x14ac:dyDescent="0.25">
      <c r="F5767" s="17" t="s">
        <v>6122</v>
      </c>
      <c r="G5767" s="17" t="s">
        <v>215</v>
      </c>
    </row>
    <row r="5768" spans="6:7" x14ac:dyDescent="0.25">
      <c r="F5768" s="17" t="s">
        <v>6123</v>
      </c>
      <c r="G5768" s="17" t="s">
        <v>215</v>
      </c>
    </row>
    <row r="5769" spans="6:7" x14ac:dyDescent="0.25">
      <c r="F5769" s="17" t="s">
        <v>461</v>
      </c>
      <c r="G5769" s="17" t="s">
        <v>205</v>
      </c>
    </row>
    <row r="5770" spans="6:7" x14ac:dyDescent="0.25">
      <c r="F5770" s="17" t="s">
        <v>994</v>
      </c>
      <c r="G5770" s="17" t="s">
        <v>205</v>
      </c>
    </row>
    <row r="5771" spans="6:7" x14ac:dyDescent="0.25">
      <c r="F5771" s="17" t="s">
        <v>266</v>
      </c>
      <c r="G5771" s="17" t="s">
        <v>215</v>
      </c>
    </row>
    <row r="5772" spans="6:7" x14ac:dyDescent="0.25">
      <c r="F5772" s="17" t="s">
        <v>6124</v>
      </c>
      <c r="G5772" s="17" t="s">
        <v>215</v>
      </c>
    </row>
    <row r="5773" spans="6:7" x14ac:dyDescent="0.25">
      <c r="F5773" s="17" t="s">
        <v>6125</v>
      </c>
      <c r="G5773" s="17" t="s">
        <v>205</v>
      </c>
    </row>
    <row r="5774" spans="6:7" x14ac:dyDescent="0.25">
      <c r="F5774" s="17" t="s">
        <v>572</v>
      </c>
      <c r="G5774" s="17" t="s">
        <v>205</v>
      </c>
    </row>
    <row r="5775" spans="6:7" x14ac:dyDescent="0.25">
      <c r="F5775" s="17" t="s">
        <v>6126</v>
      </c>
      <c r="G5775" s="17" t="s">
        <v>205</v>
      </c>
    </row>
    <row r="5776" spans="6:7" x14ac:dyDescent="0.25">
      <c r="F5776" s="17" t="s">
        <v>853</v>
      </c>
      <c r="G5776" s="17" t="s">
        <v>205</v>
      </c>
    </row>
    <row r="5777" spans="6:7" x14ac:dyDescent="0.25">
      <c r="F5777" s="17" t="s">
        <v>983</v>
      </c>
      <c r="G5777" s="17" t="s">
        <v>205</v>
      </c>
    </row>
    <row r="5778" spans="6:7" x14ac:dyDescent="0.25">
      <c r="F5778" s="17" t="s">
        <v>815</v>
      </c>
      <c r="G5778" s="17" t="s">
        <v>205</v>
      </c>
    </row>
    <row r="5779" spans="6:7" x14ac:dyDescent="0.25">
      <c r="F5779" s="17" t="s">
        <v>580</v>
      </c>
      <c r="G5779" s="17" t="s">
        <v>205</v>
      </c>
    </row>
    <row r="5780" spans="6:7" x14ac:dyDescent="0.25">
      <c r="F5780" s="17" t="s">
        <v>6127</v>
      </c>
      <c r="G5780" s="17" t="s">
        <v>205</v>
      </c>
    </row>
    <row r="5781" spans="6:7" x14ac:dyDescent="0.25">
      <c r="F5781" s="17" t="s">
        <v>743</v>
      </c>
      <c r="G5781" s="17" t="s">
        <v>205</v>
      </c>
    </row>
    <row r="5782" spans="6:7" x14ac:dyDescent="0.25">
      <c r="F5782" s="17" t="s">
        <v>683</v>
      </c>
      <c r="G5782" s="17" t="s">
        <v>215</v>
      </c>
    </row>
    <row r="5783" spans="6:7" x14ac:dyDescent="0.25">
      <c r="F5783" s="17" t="s">
        <v>633</v>
      </c>
      <c r="G5783" s="17" t="s">
        <v>205</v>
      </c>
    </row>
    <row r="5784" spans="6:7" x14ac:dyDescent="0.25">
      <c r="F5784" s="17" t="s">
        <v>277</v>
      </c>
      <c r="G5784" s="17" t="s">
        <v>205</v>
      </c>
    </row>
    <row r="5785" spans="6:7" x14ac:dyDescent="0.25">
      <c r="F5785" s="17" t="s">
        <v>6128</v>
      </c>
      <c r="G5785" s="17" t="s">
        <v>205</v>
      </c>
    </row>
    <row r="5786" spans="6:7" x14ac:dyDescent="0.25">
      <c r="F5786" s="17" t="s">
        <v>445</v>
      </c>
      <c r="G5786" s="17" t="s">
        <v>205</v>
      </c>
    </row>
    <row r="5787" spans="6:7" x14ac:dyDescent="0.25">
      <c r="F5787" s="17" t="s">
        <v>6129</v>
      </c>
      <c r="G5787" s="17" t="s">
        <v>209</v>
      </c>
    </row>
    <row r="5788" spans="6:7" x14ac:dyDescent="0.25">
      <c r="F5788" s="17" t="s">
        <v>6130</v>
      </c>
      <c r="G5788" s="17" t="s">
        <v>205</v>
      </c>
    </row>
    <row r="5789" spans="6:7" x14ac:dyDescent="0.25">
      <c r="F5789" s="17" t="s">
        <v>6131</v>
      </c>
      <c r="G5789" s="17" t="s">
        <v>205</v>
      </c>
    </row>
    <row r="5790" spans="6:7" x14ac:dyDescent="0.25">
      <c r="F5790" s="17" t="s">
        <v>6132</v>
      </c>
      <c r="G5790" s="17" t="s">
        <v>205</v>
      </c>
    </row>
    <row r="5791" spans="6:7" x14ac:dyDescent="0.25">
      <c r="F5791" s="17" t="s">
        <v>6133</v>
      </c>
      <c r="G5791" s="17" t="s">
        <v>205</v>
      </c>
    </row>
    <row r="5792" spans="6:7" x14ac:dyDescent="0.25">
      <c r="F5792" s="17" t="s">
        <v>391</v>
      </c>
      <c r="G5792" s="17" t="s">
        <v>207</v>
      </c>
    </row>
    <row r="5793" spans="6:7" x14ac:dyDescent="0.25">
      <c r="F5793" s="17" t="s">
        <v>308</v>
      </c>
      <c r="G5793" s="17" t="s">
        <v>207</v>
      </c>
    </row>
    <row r="5794" spans="6:7" x14ac:dyDescent="0.25">
      <c r="F5794" s="17" t="s">
        <v>6134</v>
      </c>
      <c r="G5794" s="17" t="s">
        <v>215</v>
      </c>
    </row>
    <row r="5795" spans="6:7" x14ac:dyDescent="0.25">
      <c r="F5795" s="17" t="s">
        <v>6135</v>
      </c>
      <c r="G5795" s="17" t="s">
        <v>215</v>
      </c>
    </row>
    <row r="5796" spans="6:7" x14ac:dyDescent="0.25">
      <c r="F5796" s="17" t="s">
        <v>848</v>
      </c>
      <c r="G5796" s="17" t="s">
        <v>215</v>
      </c>
    </row>
    <row r="5797" spans="6:7" x14ac:dyDescent="0.25">
      <c r="F5797" s="17" t="s">
        <v>362</v>
      </c>
      <c r="G5797" s="17" t="s">
        <v>215</v>
      </c>
    </row>
    <row r="5798" spans="6:7" x14ac:dyDescent="0.25">
      <c r="F5798" s="17" t="s">
        <v>6136</v>
      </c>
      <c r="G5798" s="17" t="s">
        <v>215</v>
      </c>
    </row>
    <row r="5799" spans="6:7" x14ac:dyDescent="0.25">
      <c r="F5799" s="17" t="s">
        <v>363</v>
      </c>
      <c r="G5799" s="17" t="s">
        <v>215</v>
      </c>
    </row>
    <row r="5800" spans="6:7" x14ac:dyDescent="0.25">
      <c r="F5800" s="17" t="s">
        <v>759</v>
      </c>
      <c r="G5800" s="17" t="s">
        <v>215</v>
      </c>
    </row>
    <row r="5801" spans="6:7" x14ac:dyDescent="0.25">
      <c r="F5801" s="17" t="s">
        <v>6137</v>
      </c>
      <c r="G5801" s="17" t="s">
        <v>215</v>
      </c>
    </row>
    <row r="5802" spans="6:7" x14ac:dyDescent="0.25">
      <c r="F5802" s="17" t="s">
        <v>6138</v>
      </c>
      <c r="G5802" s="17" t="s">
        <v>215</v>
      </c>
    </row>
    <row r="5803" spans="6:7" x14ac:dyDescent="0.25">
      <c r="F5803" s="17" t="s">
        <v>6139</v>
      </c>
      <c r="G5803" s="17" t="s">
        <v>205</v>
      </c>
    </row>
    <row r="5804" spans="6:7" x14ac:dyDescent="0.25">
      <c r="F5804" s="17" t="s">
        <v>6140</v>
      </c>
      <c r="G5804" s="17" t="s">
        <v>215</v>
      </c>
    </row>
    <row r="5805" spans="6:7" x14ac:dyDescent="0.25">
      <c r="F5805" s="17" t="s">
        <v>6141</v>
      </c>
      <c r="G5805" s="17" t="s">
        <v>215</v>
      </c>
    </row>
    <row r="5806" spans="6:7" x14ac:dyDescent="0.25">
      <c r="F5806" s="17" t="s">
        <v>6142</v>
      </c>
      <c r="G5806" s="17" t="s">
        <v>205</v>
      </c>
    </row>
    <row r="5807" spans="6:7" x14ac:dyDescent="0.25">
      <c r="F5807" s="17" t="s">
        <v>300</v>
      </c>
      <c r="G5807" s="17" t="s">
        <v>215</v>
      </c>
    </row>
    <row r="5808" spans="6:7" x14ac:dyDescent="0.25">
      <c r="F5808" s="17" t="s">
        <v>290</v>
      </c>
      <c r="G5808" s="17" t="s">
        <v>215</v>
      </c>
    </row>
    <row r="5809" spans="6:7" x14ac:dyDescent="0.25">
      <c r="F5809" s="17" t="s">
        <v>6143</v>
      </c>
      <c r="G5809" s="17" t="s">
        <v>205</v>
      </c>
    </row>
    <row r="5810" spans="6:7" x14ac:dyDescent="0.25">
      <c r="F5810" s="17" t="s">
        <v>642</v>
      </c>
      <c r="G5810" s="17" t="s">
        <v>205</v>
      </c>
    </row>
    <row r="5811" spans="6:7" x14ac:dyDescent="0.25">
      <c r="F5811" s="17" t="s">
        <v>6144</v>
      </c>
      <c r="G5811" s="17" t="s">
        <v>205</v>
      </c>
    </row>
    <row r="5812" spans="6:7" x14ac:dyDescent="0.25">
      <c r="F5812" s="17" t="s">
        <v>6145</v>
      </c>
      <c r="G5812" s="17" t="s">
        <v>205</v>
      </c>
    </row>
    <row r="5813" spans="6:7" x14ac:dyDescent="0.25">
      <c r="F5813" s="17" t="s">
        <v>6146</v>
      </c>
      <c r="G5813" s="17" t="s">
        <v>205</v>
      </c>
    </row>
    <row r="5814" spans="6:7" x14ac:dyDescent="0.25">
      <c r="F5814" s="17" t="s">
        <v>6147</v>
      </c>
      <c r="G5814" s="17" t="s">
        <v>205</v>
      </c>
    </row>
    <row r="5815" spans="6:7" x14ac:dyDescent="0.25">
      <c r="F5815" s="17" t="s">
        <v>6148</v>
      </c>
      <c r="G5815" s="17" t="s">
        <v>205</v>
      </c>
    </row>
    <row r="5816" spans="6:7" x14ac:dyDescent="0.25">
      <c r="F5816" s="17" t="s">
        <v>6149</v>
      </c>
      <c r="G5816" s="17" t="s">
        <v>205</v>
      </c>
    </row>
    <row r="5817" spans="6:7" x14ac:dyDescent="0.25">
      <c r="F5817" s="17" t="s">
        <v>763</v>
      </c>
      <c r="G5817" s="17" t="s">
        <v>205</v>
      </c>
    </row>
    <row r="5818" spans="6:7" x14ac:dyDescent="0.25">
      <c r="F5818" s="17" t="s">
        <v>6150</v>
      </c>
      <c r="G5818" s="17" t="s">
        <v>205</v>
      </c>
    </row>
    <row r="5819" spans="6:7" x14ac:dyDescent="0.25">
      <c r="F5819" s="17" t="s">
        <v>6151</v>
      </c>
      <c r="G5819" s="17" t="s">
        <v>205</v>
      </c>
    </row>
    <row r="5820" spans="6:7" x14ac:dyDescent="0.25">
      <c r="F5820" s="17" t="s">
        <v>6152</v>
      </c>
      <c r="G5820" s="17" t="s">
        <v>209</v>
      </c>
    </row>
    <row r="5821" spans="6:7" x14ac:dyDescent="0.25">
      <c r="F5821" s="17" t="s">
        <v>6153</v>
      </c>
      <c r="G5821" s="17" t="s">
        <v>209</v>
      </c>
    </row>
    <row r="5822" spans="6:7" x14ac:dyDescent="0.25">
      <c r="F5822" s="17" t="s">
        <v>6154</v>
      </c>
      <c r="G5822" s="17" t="s">
        <v>205</v>
      </c>
    </row>
    <row r="5823" spans="6:7" x14ac:dyDescent="0.25">
      <c r="F5823" s="17" t="s">
        <v>6155</v>
      </c>
      <c r="G5823" s="17" t="s">
        <v>205</v>
      </c>
    </row>
    <row r="5824" spans="6:7" x14ac:dyDescent="0.25">
      <c r="F5824" s="17" t="s">
        <v>6156</v>
      </c>
      <c r="G5824" s="17" t="s">
        <v>209</v>
      </c>
    </row>
    <row r="5825" spans="6:7" x14ac:dyDescent="0.25">
      <c r="F5825" s="17" t="s">
        <v>827</v>
      </c>
      <c r="G5825" s="17" t="s">
        <v>209</v>
      </c>
    </row>
    <row r="5826" spans="6:7" x14ac:dyDescent="0.25">
      <c r="F5826" s="17" t="s">
        <v>6157</v>
      </c>
      <c r="G5826" s="17" t="s">
        <v>209</v>
      </c>
    </row>
    <row r="5827" spans="6:7" x14ac:dyDescent="0.25">
      <c r="F5827" s="17" t="s">
        <v>6158</v>
      </c>
      <c r="G5827" s="17" t="s">
        <v>209</v>
      </c>
    </row>
    <row r="5828" spans="6:7" x14ac:dyDescent="0.25">
      <c r="F5828" s="17" t="s">
        <v>6159</v>
      </c>
      <c r="G5828" s="17" t="s">
        <v>209</v>
      </c>
    </row>
    <row r="5829" spans="6:7" x14ac:dyDescent="0.25">
      <c r="F5829" s="17" t="s">
        <v>6160</v>
      </c>
      <c r="G5829" s="17" t="s">
        <v>205</v>
      </c>
    </row>
    <row r="5830" spans="6:7" x14ac:dyDescent="0.25">
      <c r="F5830" s="17" t="s">
        <v>6161</v>
      </c>
      <c r="G5830" s="17" t="s">
        <v>205</v>
      </c>
    </row>
    <row r="5831" spans="6:7" x14ac:dyDescent="0.25">
      <c r="F5831" s="17" t="s">
        <v>6162</v>
      </c>
      <c r="G5831" s="17" t="s">
        <v>205</v>
      </c>
    </row>
    <row r="5832" spans="6:7" x14ac:dyDescent="0.25">
      <c r="F5832" s="17" t="s">
        <v>6163</v>
      </c>
      <c r="G5832" s="17" t="s">
        <v>205</v>
      </c>
    </row>
    <row r="5833" spans="6:7" x14ac:dyDescent="0.25">
      <c r="F5833" s="17" t="s">
        <v>6164</v>
      </c>
      <c r="G5833" s="17" t="s">
        <v>205</v>
      </c>
    </row>
    <row r="5834" spans="6:7" x14ac:dyDescent="0.25">
      <c r="F5834" s="17" t="s">
        <v>734</v>
      </c>
      <c r="G5834" s="17" t="s">
        <v>205</v>
      </c>
    </row>
    <row r="5835" spans="6:7" x14ac:dyDescent="0.25">
      <c r="F5835" s="17" t="s">
        <v>6165</v>
      </c>
      <c r="G5835" s="17" t="s">
        <v>205</v>
      </c>
    </row>
    <row r="5836" spans="6:7" x14ac:dyDescent="0.25">
      <c r="F5836" s="17" t="s">
        <v>6166</v>
      </c>
      <c r="G5836" s="17" t="s">
        <v>205</v>
      </c>
    </row>
    <row r="5837" spans="6:7" x14ac:dyDescent="0.25">
      <c r="F5837" s="17" t="s">
        <v>414</v>
      </c>
      <c r="G5837" s="17" t="s">
        <v>205</v>
      </c>
    </row>
    <row r="5838" spans="6:7" x14ac:dyDescent="0.25">
      <c r="F5838" s="17" t="s">
        <v>6167</v>
      </c>
      <c r="G5838" s="17" t="s">
        <v>205</v>
      </c>
    </row>
    <row r="5839" spans="6:7" x14ac:dyDescent="0.25">
      <c r="F5839" s="17" t="s">
        <v>6168</v>
      </c>
      <c r="G5839" s="17" t="s">
        <v>205</v>
      </c>
    </row>
    <row r="5840" spans="6:7" x14ac:dyDescent="0.25">
      <c r="F5840" s="17" t="s">
        <v>6169</v>
      </c>
      <c r="G5840" s="17" t="s">
        <v>205</v>
      </c>
    </row>
    <row r="5841" spans="6:7" x14ac:dyDescent="0.25">
      <c r="F5841" s="17" t="s">
        <v>6170</v>
      </c>
      <c r="G5841" s="17" t="s">
        <v>205</v>
      </c>
    </row>
    <row r="5842" spans="6:7" x14ac:dyDescent="0.25">
      <c r="F5842" s="17" t="s">
        <v>6171</v>
      </c>
      <c r="G5842" s="17" t="s">
        <v>205</v>
      </c>
    </row>
    <row r="5843" spans="6:7" x14ac:dyDescent="0.25">
      <c r="F5843" s="17" t="s">
        <v>6172</v>
      </c>
      <c r="G5843" s="17" t="s">
        <v>209</v>
      </c>
    </row>
    <row r="5844" spans="6:7" x14ac:dyDescent="0.25">
      <c r="F5844" s="17" t="s">
        <v>6173</v>
      </c>
      <c r="G5844" s="17" t="s">
        <v>205</v>
      </c>
    </row>
    <row r="5845" spans="6:7" x14ac:dyDescent="0.25">
      <c r="F5845" s="17" t="s">
        <v>6174</v>
      </c>
      <c r="G5845" s="17" t="s">
        <v>213</v>
      </c>
    </row>
    <row r="5846" spans="6:7" x14ac:dyDescent="0.25">
      <c r="F5846" s="17" t="s">
        <v>373</v>
      </c>
      <c r="G5846" s="17" t="s">
        <v>213</v>
      </c>
    </row>
    <row r="5847" spans="6:7" x14ac:dyDescent="0.25">
      <c r="F5847" s="17" t="s">
        <v>434</v>
      </c>
      <c r="G5847" s="17" t="s">
        <v>213</v>
      </c>
    </row>
    <row r="5848" spans="6:7" x14ac:dyDescent="0.25">
      <c r="F5848" s="17" t="s">
        <v>6175</v>
      </c>
      <c r="G5848" s="17" t="s">
        <v>213</v>
      </c>
    </row>
    <row r="5849" spans="6:7" x14ac:dyDescent="0.25">
      <c r="F5849" s="17" t="s">
        <v>6176</v>
      </c>
      <c r="G5849" s="17" t="s">
        <v>213</v>
      </c>
    </row>
    <row r="5850" spans="6:7" x14ac:dyDescent="0.25">
      <c r="F5850" s="17" t="s">
        <v>6177</v>
      </c>
      <c r="G5850" s="17" t="s">
        <v>213</v>
      </c>
    </row>
    <row r="5851" spans="6:7" x14ac:dyDescent="0.25">
      <c r="F5851" s="17" t="s">
        <v>6178</v>
      </c>
      <c r="G5851" s="17" t="s">
        <v>213</v>
      </c>
    </row>
    <row r="5852" spans="6:7" x14ac:dyDescent="0.25">
      <c r="F5852" s="17" t="s">
        <v>404</v>
      </c>
      <c r="G5852" s="17" t="s">
        <v>215</v>
      </c>
    </row>
    <row r="5853" spans="6:7" x14ac:dyDescent="0.25">
      <c r="F5853" s="17" t="s">
        <v>6179</v>
      </c>
      <c r="G5853" s="17" t="s">
        <v>213</v>
      </c>
    </row>
    <row r="5854" spans="6:7" x14ac:dyDescent="0.25">
      <c r="F5854" s="17" t="s">
        <v>6180</v>
      </c>
      <c r="G5854" s="17" t="s">
        <v>213</v>
      </c>
    </row>
    <row r="5855" spans="6:7" x14ac:dyDescent="0.25">
      <c r="F5855" s="17" t="s">
        <v>6181</v>
      </c>
      <c r="G5855" s="17" t="s">
        <v>205</v>
      </c>
    </row>
    <row r="5856" spans="6:7" x14ac:dyDescent="0.25">
      <c r="F5856" s="17" t="s">
        <v>6182</v>
      </c>
      <c r="G5856" s="17" t="s">
        <v>205</v>
      </c>
    </row>
    <row r="5857" spans="6:7" x14ac:dyDescent="0.25">
      <c r="F5857" s="17" t="s">
        <v>6183</v>
      </c>
      <c r="G5857" s="17" t="s">
        <v>205</v>
      </c>
    </row>
    <row r="5858" spans="6:7" x14ac:dyDescent="0.25">
      <c r="F5858" s="17" t="s">
        <v>6184</v>
      </c>
      <c r="G5858" s="17" t="s">
        <v>205</v>
      </c>
    </row>
    <row r="5859" spans="6:7" x14ac:dyDescent="0.25">
      <c r="F5859" s="17" t="s">
        <v>6185</v>
      </c>
      <c r="G5859" s="17" t="s">
        <v>205</v>
      </c>
    </row>
    <row r="5860" spans="6:7" x14ac:dyDescent="0.25">
      <c r="F5860" s="17" t="s">
        <v>6186</v>
      </c>
      <c r="G5860" s="17" t="s">
        <v>205</v>
      </c>
    </row>
    <row r="5861" spans="6:7" x14ac:dyDescent="0.25">
      <c r="F5861" s="17" t="s">
        <v>6187</v>
      </c>
      <c r="G5861" s="17" t="s">
        <v>205</v>
      </c>
    </row>
    <row r="5862" spans="6:7" x14ac:dyDescent="0.25">
      <c r="F5862" s="17" t="s">
        <v>6188</v>
      </c>
      <c r="G5862" s="17" t="s">
        <v>205</v>
      </c>
    </row>
    <row r="5863" spans="6:7" x14ac:dyDescent="0.25">
      <c r="F5863" s="17" t="s">
        <v>6189</v>
      </c>
      <c r="G5863" s="17" t="s">
        <v>205</v>
      </c>
    </row>
    <row r="5864" spans="6:7" x14ac:dyDescent="0.25">
      <c r="F5864" s="17" t="s">
        <v>6190</v>
      </c>
      <c r="G5864" s="17" t="s">
        <v>205</v>
      </c>
    </row>
    <row r="5865" spans="6:7" x14ac:dyDescent="0.25">
      <c r="F5865" s="17" t="s">
        <v>6191</v>
      </c>
      <c r="G5865" s="17" t="s">
        <v>205</v>
      </c>
    </row>
    <row r="5866" spans="6:7" x14ac:dyDescent="0.25">
      <c r="F5866" s="17" t="s">
        <v>578</v>
      </c>
      <c r="G5866" s="17" t="s">
        <v>205</v>
      </c>
    </row>
    <row r="5867" spans="6:7" x14ac:dyDescent="0.25">
      <c r="F5867" s="17" t="s">
        <v>6192</v>
      </c>
      <c r="G5867" s="17" t="s">
        <v>205</v>
      </c>
    </row>
    <row r="5868" spans="6:7" x14ac:dyDescent="0.25">
      <c r="F5868" s="17" t="s">
        <v>709</v>
      </c>
      <c r="G5868" s="17" t="s">
        <v>205</v>
      </c>
    </row>
    <row r="5869" spans="6:7" x14ac:dyDescent="0.25">
      <c r="F5869" s="17" t="s">
        <v>668</v>
      </c>
      <c r="G5869" s="17" t="s">
        <v>205</v>
      </c>
    </row>
    <row r="5870" spans="6:7" x14ac:dyDescent="0.25">
      <c r="F5870" s="17" t="s">
        <v>850</v>
      </c>
      <c r="G5870" s="17" t="s">
        <v>205</v>
      </c>
    </row>
    <row r="5871" spans="6:7" x14ac:dyDescent="0.25">
      <c r="F5871" s="17" t="s">
        <v>6193</v>
      </c>
      <c r="G5871" s="17" t="s">
        <v>205</v>
      </c>
    </row>
    <row r="5872" spans="6:7" x14ac:dyDescent="0.25">
      <c r="F5872" s="17" t="s">
        <v>905</v>
      </c>
      <c r="G5872" s="17" t="s">
        <v>205</v>
      </c>
    </row>
    <row r="5873" spans="6:7" x14ac:dyDescent="0.25">
      <c r="F5873" s="17" t="s">
        <v>594</v>
      </c>
      <c r="G5873" s="17" t="s">
        <v>205</v>
      </c>
    </row>
    <row r="5874" spans="6:7" x14ac:dyDescent="0.25">
      <c r="F5874" s="17" t="s">
        <v>6194</v>
      </c>
      <c r="G5874" s="17" t="s">
        <v>205</v>
      </c>
    </row>
    <row r="5875" spans="6:7" x14ac:dyDescent="0.25">
      <c r="F5875" s="17" t="s">
        <v>6195</v>
      </c>
      <c r="G5875" s="17" t="s">
        <v>205</v>
      </c>
    </row>
    <row r="5876" spans="6:7" x14ac:dyDescent="0.25">
      <c r="F5876" s="17" t="s">
        <v>6196</v>
      </c>
      <c r="G5876" s="17" t="s">
        <v>205</v>
      </c>
    </row>
    <row r="5877" spans="6:7" x14ac:dyDescent="0.25">
      <c r="F5877" s="17" t="s">
        <v>6197</v>
      </c>
      <c r="G5877" s="17" t="s">
        <v>205</v>
      </c>
    </row>
    <row r="5878" spans="6:7" x14ac:dyDescent="0.25">
      <c r="F5878" s="17" t="s">
        <v>6198</v>
      </c>
      <c r="G5878" s="17" t="s">
        <v>205</v>
      </c>
    </row>
    <row r="5879" spans="6:7" x14ac:dyDescent="0.25">
      <c r="F5879" s="17" t="s">
        <v>6199</v>
      </c>
      <c r="G5879" s="17" t="s">
        <v>205</v>
      </c>
    </row>
    <row r="5880" spans="6:7" x14ac:dyDescent="0.25">
      <c r="F5880" s="17" t="s">
        <v>6200</v>
      </c>
      <c r="G5880" s="17" t="s">
        <v>205</v>
      </c>
    </row>
    <row r="5881" spans="6:7" x14ac:dyDescent="0.25">
      <c r="F5881" s="17" t="s">
        <v>6201</v>
      </c>
      <c r="G5881" s="17" t="s">
        <v>205</v>
      </c>
    </row>
    <row r="5882" spans="6:7" x14ac:dyDescent="0.25">
      <c r="F5882" s="17" t="s">
        <v>6202</v>
      </c>
      <c r="G5882" s="17" t="s">
        <v>209</v>
      </c>
    </row>
    <row r="5883" spans="6:7" x14ac:dyDescent="0.25">
      <c r="F5883" s="17" t="s">
        <v>6203</v>
      </c>
      <c r="G5883" s="17" t="s">
        <v>205</v>
      </c>
    </row>
    <row r="5884" spans="6:7" x14ac:dyDescent="0.25">
      <c r="F5884" s="17" t="s">
        <v>6204</v>
      </c>
      <c r="G5884" s="17" t="s">
        <v>6205</v>
      </c>
    </row>
    <row r="5885" spans="6:7" x14ac:dyDescent="0.25">
      <c r="F5885" s="17" t="s">
        <v>6206</v>
      </c>
      <c r="G5885" s="17" t="s">
        <v>6205</v>
      </c>
    </row>
    <row r="5886" spans="6:7" x14ac:dyDescent="0.25">
      <c r="F5886" s="17" t="s">
        <v>6207</v>
      </c>
      <c r="G5886" s="17" t="s">
        <v>6205</v>
      </c>
    </row>
    <row r="5887" spans="6:7" x14ac:dyDescent="0.25">
      <c r="F5887" s="17" t="s">
        <v>6208</v>
      </c>
      <c r="G5887" s="17" t="s">
        <v>6205</v>
      </c>
    </row>
    <row r="5888" spans="6:7" x14ac:dyDescent="0.25">
      <c r="F5888" s="17" t="s">
        <v>6209</v>
      </c>
      <c r="G5888" s="17" t="s">
        <v>6205</v>
      </c>
    </row>
    <row r="5889" spans="6:7" x14ac:dyDescent="0.25">
      <c r="F5889" s="17" t="s">
        <v>6210</v>
      </c>
      <c r="G5889" s="17" t="s">
        <v>6205</v>
      </c>
    </row>
    <row r="5890" spans="6:7" x14ac:dyDescent="0.25">
      <c r="F5890" s="17" t="s">
        <v>6211</v>
      </c>
      <c r="G5890" s="17" t="s">
        <v>6205</v>
      </c>
    </row>
    <row r="5891" spans="6:7" x14ac:dyDescent="0.25">
      <c r="F5891" s="17" t="s">
        <v>6212</v>
      </c>
      <c r="G5891" s="17" t="s">
        <v>6205</v>
      </c>
    </row>
    <row r="5892" spans="6:7" x14ac:dyDescent="0.25">
      <c r="F5892" s="17" t="s">
        <v>6213</v>
      </c>
      <c r="G5892" s="17" t="s">
        <v>6205</v>
      </c>
    </row>
    <row r="5893" spans="6:7" x14ac:dyDescent="0.25">
      <c r="F5893" s="17" t="s">
        <v>6214</v>
      </c>
      <c r="G5893" s="17" t="s">
        <v>6205</v>
      </c>
    </row>
    <row r="5894" spans="6:7" x14ac:dyDescent="0.25">
      <c r="F5894" s="17" t="s">
        <v>6215</v>
      </c>
      <c r="G5894" s="17" t="s">
        <v>6205</v>
      </c>
    </row>
    <row r="5895" spans="6:7" x14ac:dyDescent="0.25">
      <c r="F5895" s="17" t="s">
        <v>6216</v>
      </c>
      <c r="G5895" s="17" t="s">
        <v>6205</v>
      </c>
    </row>
    <row r="5896" spans="6:7" x14ac:dyDescent="0.25">
      <c r="F5896" s="17" t="s">
        <v>6217</v>
      </c>
      <c r="G5896" s="17" t="s">
        <v>6205</v>
      </c>
    </row>
    <row r="5897" spans="6:7" x14ac:dyDescent="0.25">
      <c r="F5897" s="17" t="s">
        <v>6218</v>
      </c>
      <c r="G5897" s="17" t="s">
        <v>6205</v>
      </c>
    </row>
    <row r="5898" spans="6:7" x14ac:dyDescent="0.25">
      <c r="F5898" s="17" t="s">
        <v>6219</v>
      </c>
      <c r="G5898" s="17" t="s">
        <v>6205</v>
      </c>
    </row>
    <row r="5899" spans="6:7" x14ac:dyDescent="0.25">
      <c r="F5899" s="17" t="s">
        <v>6220</v>
      </c>
      <c r="G5899" s="17" t="s">
        <v>6205</v>
      </c>
    </row>
    <row r="5900" spans="6:7" x14ac:dyDescent="0.25">
      <c r="F5900" s="17" t="s">
        <v>6221</v>
      </c>
      <c r="G5900" s="17" t="s">
        <v>6205</v>
      </c>
    </row>
    <row r="5901" spans="6:7" x14ac:dyDescent="0.25">
      <c r="F5901" s="17" t="s">
        <v>6222</v>
      </c>
      <c r="G5901" s="17" t="s">
        <v>6205</v>
      </c>
    </row>
    <row r="5902" spans="6:7" x14ac:dyDescent="0.25">
      <c r="F5902" s="17" t="s">
        <v>6223</v>
      </c>
      <c r="G5902" s="17" t="s">
        <v>6205</v>
      </c>
    </row>
    <row r="5903" spans="6:7" x14ac:dyDescent="0.25">
      <c r="F5903" s="17" t="s">
        <v>6224</v>
      </c>
      <c r="G5903" s="17" t="s">
        <v>6205</v>
      </c>
    </row>
    <row r="5904" spans="6:7" x14ac:dyDescent="0.25">
      <c r="F5904" s="17" t="s">
        <v>6225</v>
      </c>
      <c r="G5904" s="17" t="s">
        <v>6205</v>
      </c>
    </row>
    <row r="5905" spans="6:7" x14ac:dyDescent="0.25">
      <c r="F5905" s="17" t="s">
        <v>6226</v>
      </c>
      <c r="G5905" s="17" t="s">
        <v>6205</v>
      </c>
    </row>
    <row r="5906" spans="6:7" x14ac:dyDescent="0.25">
      <c r="F5906" s="17" t="s">
        <v>6227</v>
      </c>
      <c r="G5906" s="17" t="s">
        <v>6205</v>
      </c>
    </row>
    <row r="5907" spans="6:7" x14ac:dyDescent="0.25">
      <c r="F5907" s="17" t="s">
        <v>6228</v>
      </c>
      <c r="G5907" s="17" t="s">
        <v>6205</v>
      </c>
    </row>
    <row r="5908" spans="6:7" x14ac:dyDescent="0.25">
      <c r="F5908" s="17" t="s">
        <v>6229</v>
      </c>
      <c r="G5908" s="17" t="s">
        <v>6205</v>
      </c>
    </row>
    <row r="5909" spans="6:7" x14ac:dyDescent="0.25">
      <c r="F5909" s="17" t="s">
        <v>6230</v>
      </c>
      <c r="G5909" s="17" t="s">
        <v>6205</v>
      </c>
    </row>
    <row r="5910" spans="6:7" x14ac:dyDescent="0.25">
      <c r="F5910" s="17" t="s">
        <v>6231</v>
      </c>
      <c r="G5910" s="17" t="s">
        <v>6205</v>
      </c>
    </row>
    <row r="5911" spans="6:7" x14ac:dyDescent="0.25">
      <c r="F5911" s="17" t="s">
        <v>6232</v>
      </c>
      <c r="G5911" s="17" t="s">
        <v>6205</v>
      </c>
    </row>
    <row r="5912" spans="6:7" x14ac:dyDescent="0.25">
      <c r="F5912" s="17" t="s">
        <v>6233</v>
      </c>
      <c r="G5912" s="17" t="s">
        <v>6205</v>
      </c>
    </row>
    <row r="5913" spans="6:7" x14ac:dyDescent="0.25">
      <c r="F5913" s="17" t="s">
        <v>6234</v>
      </c>
      <c r="G5913" s="17" t="s">
        <v>6205</v>
      </c>
    </row>
    <row r="5914" spans="6:7" x14ac:dyDescent="0.25">
      <c r="F5914" s="17" t="s">
        <v>6235</v>
      </c>
      <c r="G5914" s="17" t="s">
        <v>6205</v>
      </c>
    </row>
    <row r="5915" spans="6:7" x14ac:dyDescent="0.25">
      <c r="F5915" s="17" t="s">
        <v>6236</v>
      </c>
      <c r="G5915" s="17" t="s">
        <v>6205</v>
      </c>
    </row>
    <row r="5916" spans="6:7" x14ac:dyDescent="0.25">
      <c r="F5916" s="17" t="s">
        <v>6237</v>
      </c>
      <c r="G5916" s="17" t="s">
        <v>6205</v>
      </c>
    </row>
    <row r="5917" spans="6:7" x14ac:dyDescent="0.25">
      <c r="F5917" s="17" t="s">
        <v>6238</v>
      </c>
      <c r="G5917" s="17" t="s">
        <v>6205</v>
      </c>
    </row>
    <row r="5918" spans="6:7" x14ac:dyDescent="0.25">
      <c r="F5918" s="17" t="s">
        <v>6239</v>
      </c>
      <c r="G5918" s="17" t="s">
        <v>6205</v>
      </c>
    </row>
    <row r="5919" spans="6:7" x14ac:dyDescent="0.25">
      <c r="F5919" s="17" t="s">
        <v>6240</v>
      </c>
      <c r="G5919" s="17" t="s">
        <v>6205</v>
      </c>
    </row>
    <row r="5920" spans="6:7" x14ac:dyDescent="0.25">
      <c r="F5920" s="17" t="s">
        <v>6241</v>
      </c>
      <c r="G5920" s="17" t="s">
        <v>6205</v>
      </c>
    </row>
    <row r="5921" spans="6:7" x14ac:dyDescent="0.25">
      <c r="F5921" s="17" t="s">
        <v>6242</v>
      </c>
      <c r="G5921" s="17" t="s">
        <v>6205</v>
      </c>
    </row>
    <row r="5922" spans="6:7" x14ac:dyDescent="0.25">
      <c r="F5922" s="17" t="s">
        <v>6243</v>
      </c>
      <c r="G5922" s="17" t="s">
        <v>1627</v>
      </c>
    </row>
    <row r="5923" spans="6:7" x14ac:dyDescent="0.25">
      <c r="F5923" s="17" t="s">
        <v>6244</v>
      </c>
      <c r="G5923" s="17" t="s">
        <v>1627</v>
      </c>
    </row>
    <row r="5924" spans="6:7" x14ac:dyDescent="0.25">
      <c r="F5924" s="17" t="s">
        <v>6245</v>
      </c>
      <c r="G5924" s="17" t="s">
        <v>1627</v>
      </c>
    </row>
    <row r="5925" spans="6:7" x14ac:dyDescent="0.25">
      <c r="F5925" s="17" t="s">
        <v>6246</v>
      </c>
      <c r="G5925" s="17" t="s">
        <v>1627</v>
      </c>
    </row>
    <row r="5926" spans="6:7" x14ac:dyDescent="0.25">
      <c r="F5926" s="17" t="s">
        <v>6247</v>
      </c>
      <c r="G5926" s="17" t="s">
        <v>1627</v>
      </c>
    </row>
    <row r="5927" spans="6:7" x14ac:dyDescent="0.25">
      <c r="F5927" s="17" t="s">
        <v>6248</v>
      </c>
      <c r="G5927" s="17" t="s">
        <v>6249</v>
      </c>
    </row>
    <row r="5928" spans="6:7" x14ac:dyDescent="0.25">
      <c r="F5928" s="17" t="s">
        <v>6250</v>
      </c>
      <c r="G5928" s="17" t="s">
        <v>1627</v>
      </c>
    </row>
    <row r="5929" spans="6:7" x14ac:dyDescent="0.25">
      <c r="F5929" s="17" t="s">
        <v>6251</v>
      </c>
      <c r="G5929" s="17" t="s">
        <v>199</v>
      </c>
    </row>
    <row r="5930" spans="6:7" x14ac:dyDescent="0.25">
      <c r="F5930" s="17" t="s">
        <v>6252</v>
      </c>
      <c r="G5930" s="17" t="s">
        <v>1627</v>
      </c>
    </row>
    <row r="5931" spans="6:7" x14ac:dyDescent="0.25">
      <c r="F5931" s="17" t="s">
        <v>6253</v>
      </c>
      <c r="G5931" s="17" t="s">
        <v>1627</v>
      </c>
    </row>
    <row r="5932" spans="6:7" x14ac:dyDescent="0.25">
      <c r="F5932" s="17" t="s">
        <v>6254</v>
      </c>
      <c r="G5932" s="17" t="s">
        <v>1627</v>
      </c>
    </row>
    <row r="5933" spans="6:7" x14ac:dyDescent="0.25">
      <c r="F5933" s="17" t="s">
        <v>6255</v>
      </c>
      <c r="G5933" s="17" t="s">
        <v>1627</v>
      </c>
    </row>
    <row r="5934" spans="6:7" x14ac:dyDescent="0.25">
      <c r="F5934" s="17" t="s">
        <v>6256</v>
      </c>
      <c r="G5934" s="17" t="s">
        <v>1627</v>
      </c>
    </row>
    <row r="5935" spans="6:7" x14ac:dyDescent="0.25">
      <c r="F5935" s="17" t="s">
        <v>6257</v>
      </c>
      <c r="G5935" s="17" t="s">
        <v>6258</v>
      </c>
    </row>
    <row r="5936" spans="6:7" x14ac:dyDescent="0.25">
      <c r="F5936" s="17" t="s">
        <v>6259</v>
      </c>
      <c r="G5936" s="17" t="s">
        <v>1225</v>
      </c>
    </row>
    <row r="5937" spans="6:7" x14ac:dyDescent="0.25">
      <c r="F5937" s="17" t="s">
        <v>6260</v>
      </c>
      <c r="G5937" s="17" t="s">
        <v>6258</v>
      </c>
    </row>
    <row r="5938" spans="6:7" x14ac:dyDescent="0.25">
      <c r="F5938" s="17" t="s">
        <v>6261</v>
      </c>
      <c r="G5938" s="17" t="s">
        <v>6258</v>
      </c>
    </row>
    <row r="5939" spans="6:7" x14ac:dyDescent="0.25">
      <c r="F5939" s="17" t="s">
        <v>6262</v>
      </c>
      <c r="G5939" s="17" t="s">
        <v>1627</v>
      </c>
    </row>
    <row r="5940" spans="6:7" x14ac:dyDescent="0.25">
      <c r="F5940" s="17" t="s">
        <v>6263</v>
      </c>
      <c r="G5940" s="17" t="s">
        <v>1627</v>
      </c>
    </row>
    <row r="5941" spans="6:7" x14ac:dyDescent="0.25">
      <c r="F5941" s="17" t="s">
        <v>6264</v>
      </c>
      <c r="G5941" s="17" t="s">
        <v>1627</v>
      </c>
    </row>
    <row r="5942" spans="6:7" x14ac:dyDescent="0.25">
      <c r="F5942" s="17" t="s">
        <v>6265</v>
      </c>
      <c r="G5942" s="17" t="s">
        <v>1627</v>
      </c>
    </row>
    <row r="5943" spans="6:7" x14ac:dyDescent="0.25">
      <c r="F5943" s="17" t="s">
        <v>6266</v>
      </c>
      <c r="G5943" s="17" t="s">
        <v>1627</v>
      </c>
    </row>
    <row r="5944" spans="6:7" x14ac:dyDescent="0.25">
      <c r="F5944" s="17" t="s">
        <v>6267</v>
      </c>
      <c r="G5944" s="17" t="s">
        <v>1627</v>
      </c>
    </row>
    <row r="5945" spans="6:7" x14ac:dyDescent="0.25">
      <c r="F5945" s="17" t="s">
        <v>6268</v>
      </c>
      <c r="G5945" s="17" t="s">
        <v>1627</v>
      </c>
    </row>
    <row r="5946" spans="6:7" x14ac:dyDescent="0.25">
      <c r="F5946" s="17" t="s">
        <v>6269</v>
      </c>
      <c r="G5946" s="17" t="s">
        <v>1627</v>
      </c>
    </row>
    <row r="5947" spans="6:7" x14ac:dyDescent="0.25">
      <c r="F5947" s="17" t="s">
        <v>6270</v>
      </c>
      <c r="G5947" s="17" t="s">
        <v>1627</v>
      </c>
    </row>
    <row r="5948" spans="6:7" x14ac:dyDescent="0.25">
      <c r="F5948" s="17" t="s">
        <v>6271</v>
      </c>
      <c r="G5948" s="17" t="s">
        <v>1627</v>
      </c>
    </row>
    <row r="5949" spans="6:7" x14ac:dyDescent="0.25">
      <c r="F5949" s="17" t="s">
        <v>6272</v>
      </c>
      <c r="G5949" s="17" t="s">
        <v>1627</v>
      </c>
    </row>
    <row r="5950" spans="6:7" x14ac:dyDescent="0.25">
      <c r="F5950" s="17" t="s">
        <v>6273</v>
      </c>
      <c r="G5950" s="17" t="s">
        <v>1627</v>
      </c>
    </row>
    <row r="5951" spans="6:7" x14ac:dyDescent="0.25">
      <c r="F5951" s="17" t="s">
        <v>6274</v>
      </c>
      <c r="G5951" s="17" t="s">
        <v>1627</v>
      </c>
    </row>
    <row r="5952" spans="6:7" x14ac:dyDescent="0.25">
      <c r="F5952" s="17" t="s">
        <v>6275</v>
      </c>
      <c r="G5952" s="17" t="s">
        <v>6258</v>
      </c>
    </row>
    <row r="5953" spans="6:7" x14ac:dyDescent="0.25">
      <c r="F5953" s="17" t="s">
        <v>6276</v>
      </c>
      <c r="G5953" s="17" t="s">
        <v>6258</v>
      </c>
    </row>
    <row r="5954" spans="6:7" x14ac:dyDescent="0.25">
      <c r="F5954" s="17" t="s">
        <v>6277</v>
      </c>
      <c r="G5954" s="17" t="s">
        <v>6258</v>
      </c>
    </row>
    <row r="5955" spans="6:7" x14ac:dyDescent="0.25">
      <c r="F5955" s="17" t="s">
        <v>6278</v>
      </c>
      <c r="G5955" s="17" t="s">
        <v>6249</v>
      </c>
    </row>
    <row r="5956" spans="6:7" x14ac:dyDescent="0.25">
      <c r="F5956" s="17" t="s">
        <v>6279</v>
      </c>
      <c r="G5956" s="17" t="s">
        <v>6249</v>
      </c>
    </row>
    <row r="5957" spans="6:7" x14ac:dyDescent="0.25">
      <c r="F5957" s="17" t="s">
        <v>6280</v>
      </c>
      <c r="G5957" s="17" t="s">
        <v>6249</v>
      </c>
    </row>
    <row r="5958" spans="6:7" x14ac:dyDescent="0.25">
      <c r="F5958" s="17" t="s">
        <v>6281</v>
      </c>
      <c r="G5958" s="17" t="s">
        <v>6249</v>
      </c>
    </row>
    <row r="5959" spans="6:7" x14ac:dyDescent="0.25">
      <c r="F5959" s="17" t="s">
        <v>6282</v>
      </c>
      <c r="G5959" s="17" t="s">
        <v>6249</v>
      </c>
    </row>
    <row r="5960" spans="6:7" x14ac:dyDescent="0.25">
      <c r="F5960" s="17" t="s">
        <v>6283</v>
      </c>
      <c r="G5960" s="17" t="s">
        <v>6249</v>
      </c>
    </row>
    <row r="5961" spans="6:7" x14ac:dyDescent="0.25">
      <c r="F5961" s="17" t="s">
        <v>6284</v>
      </c>
      <c r="G5961" s="17" t="s">
        <v>6249</v>
      </c>
    </row>
    <row r="5962" spans="6:7" x14ac:dyDescent="0.25">
      <c r="F5962" s="17" t="s">
        <v>6285</v>
      </c>
      <c r="G5962" s="17" t="s">
        <v>6249</v>
      </c>
    </row>
    <row r="5963" spans="6:7" x14ac:dyDescent="0.25">
      <c r="F5963" s="17" t="s">
        <v>6286</v>
      </c>
      <c r="G5963" s="17" t="s">
        <v>6249</v>
      </c>
    </row>
    <row r="5964" spans="6:7" x14ac:dyDescent="0.25">
      <c r="F5964" s="17" t="s">
        <v>6287</v>
      </c>
      <c r="G5964" s="17" t="s">
        <v>6258</v>
      </c>
    </row>
    <row r="5965" spans="6:7" x14ac:dyDescent="0.25">
      <c r="F5965" s="17" t="s">
        <v>6288</v>
      </c>
      <c r="G5965" s="17" t="s">
        <v>6258</v>
      </c>
    </row>
    <row r="5966" spans="6:7" x14ac:dyDescent="0.25">
      <c r="F5966" s="17" t="s">
        <v>6289</v>
      </c>
      <c r="G5966" s="17" t="s">
        <v>6258</v>
      </c>
    </row>
    <row r="5967" spans="6:7" x14ac:dyDescent="0.25">
      <c r="F5967" s="17" t="s">
        <v>6290</v>
      </c>
      <c r="G5967" s="17" t="s">
        <v>6258</v>
      </c>
    </row>
    <row r="5968" spans="6:7" x14ac:dyDescent="0.25">
      <c r="F5968" s="17" t="s">
        <v>6291</v>
      </c>
      <c r="G5968" s="17" t="s">
        <v>6258</v>
      </c>
    </row>
    <row r="5969" spans="6:7" x14ac:dyDescent="0.25">
      <c r="F5969" s="17" t="s">
        <v>6292</v>
      </c>
      <c r="G5969" s="17" t="s">
        <v>6258</v>
      </c>
    </row>
    <row r="5970" spans="6:7" x14ac:dyDescent="0.25">
      <c r="F5970" s="17" t="s">
        <v>6293</v>
      </c>
      <c r="G5970" s="17" t="s">
        <v>6258</v>
      </c>
    </row>
    <row r="5971" spans="6:7" x14ac:dyDescent="0.25">
      <c r="F5971" s="17" t="s">
        <v>6294</v>
      </c>
      <c r="G5971" s="17" t="s">
        <v>6258</v>
      </c>
    </row>
    <row r="5972" spans="6:7" x14ac:dyDescent="0.25">
      <c r="F5972" s="17" t="s">
        <v>6295</v>
      </c>
      <c r="G5972" s="17" t="s">
        <v>6258</v>
      </c>
    </row>
    <row r="5973" spans="6:7" x14ac:dyDescent="0.25">
      <c r="F5973" s="17" t="s">
        <v>6296</v>
      </c>
      <c r="G5973" s="17" t="s">
        <v>6258</v>
      </c>
    </row>
    <row r="5974" spans="6:7" x14ac:dyDescent="0.25">
      <c r="F5974" s="17" t="s">
        <v>6297</v>
      </c>
      <c r="G5974" s="17" t="s">
        <v>6258</v>
      </c>
    </row>
    <row r="5975" spans="6:7" x14ac:dyDescent="0.25">
      <c r="F5975" s="17" t="s">
        <v>6298</v>
      </c>
      <c r="G5975" s="17" t="s">
        <v>6258</v>
      </c>
    </row>
    <row r="5976" spans="6:7" x14ac:dyDescent="0.25">
      <c r="F5976" s="17" t="s">
        <v>6299</v>
      </c>
      <c r="G5976" s="17" t="s">
        <v>6258</v>
      </c>
    </row>
    <row r="5977" spans="6:7" x14ac:dyDescent="0.25">
      <c r="F5977" s="17" t="s">
        <v>6300</v>
      </c>
      <c r="G5977" s="17" t="s">
        <v>6258</v>
      </c>
    </row>
    <row r="5978" spans="6:7" x14ac:dyDescent="0.25">
      <c r="F5978" s="17" t="s">
        <v>6301</v>
      </c>
      <c r="G5978" s="17" t="s">
        <v>6258</v>
      </c>
    </row>
    <row r="5979" spans="6:7" x14ac:dyDescent="0.25">
      <c r="F5979" s="17" t="s">
        <v>6302</v>
      </c>
      <c r="G5979" s="17" t="s">
        <v>6258</v>
      </c>
    </row>
    <row r="5980" spans="6:7" x14ac:dyDescent="0.25">
      <c r="F5980" s="17" t="s">
        <v>6303</v>
      </c>
      <c r="G5980" s="17" t="s">
        <v>6258</v>
      </c>
    </row>
    <row r="5981" spans="6:7" x14ac:dyDescent="0.25">
      <c r="F5981" s="17" t="s">
        <v>6304</v>
      </c>
      <c r="G5981" s="17" t="s">
        <v>6258</v>
      </c>
    </row>
    <row r="5982" spans="6:7" x14ac:dyDescent="0.25">
      <c r="F5982" s="17" t="s">
        <v>6305</v>
      </c>
      <c r="G5982" s="17" t="s">
        <v>6258</v>
      </c>
    </row>
    <row r="5983" spans="6:7" x14ac:dyDescent="0.25">
      <c r="F5983" s="17" t="s">
        <v>6306</v>
      </c>
      <c r="G5983" s="17" t="s">
        <v>6258</v>
      </c>
    </row>
    <row r="5984" spans="6:7" x14ac:dyDescent="0.25">
      <c r="F5984" s="17" t="s">
        <v>6307</v>
      </c>
      <c r="G5984" s="17" t="s">
        <v>6258</v>
      </c>
    </row>
    <row r="5985" spans="6:7" x14ac:dyDescent="0.25">
      <c r="F5985" s="17" t="s">
        <v>6308</v>
      </c>
      <c r="G5985" s="17" t="s">
        <v>6258</v>
      </c>
    </row>
    <row r="5986" spans="6:7" x14ac:dyDescent="0.25">
      <c r="F5986" s="17" t="s">
        <v>6309</v>
      </c>
      <c r="G5986" s="17" t="s">
        <v>6258</v>
      </c>
    </row>
    <row r="5987" spans="6:7" x14ac:dyDescent="0.25">
      <c r="F5987" s="17" t="s">
        <v>6310</v>
      </c>
      <c r="G5987" s="17" t="s">
        <v>6258</v>
      </c>
    </row>
    <row r="5988" spans="6:7" x14ac:dyDescent="0.25">
      <c r="F5988" s="17" t="s">
        <v>6311</v>
      </c>
      <c r="G5988" s="17" t="s">
        <v>6258</v>
      </c>
    </row>
    <row r="5989" spans="6:7" x14ac:dyDescent="0.25">
      <c r="F5989" s="17" t="s">
        <v>6312</v>
      </c>
      <c r="G5989" s="17" t="s">
        <v>6258</v>
      </c>
    </row>
    <row r="5990" spans="6:7" x14ac:dyDescent="0.25">
      <c r="F5990" s="17" t="s">
        <v>6313</v>
      </c>
      <c r="G5990" s="17" t="s">
        <v>6258</v>
      </c>
    </row>
    <row r="5991" spans="6:7" x14ac:dyDescent="0.25">
      <c r="F5991" s="17" t="s">
        <v>6314</v>
      </c>
      <c r="G5991" s="17" t="s">
        <v>6258</v>
      </c>
    </row>
    <row r="5992" spans="6:7" x14ac:dyDescent="0.25">
      <c r="F5992" s="17" t="s">
        <v>6315</v>
      </c>
      <c r="G5992" s="17" t="s">
        <v>6258</v>
      </c>
    </row>
    <row r="5993" spans="6:7" x14ac:dyDescent="0.25">
      <c r="F5993" s="17" t="s">
        <v>6316</v>
      </c>
      <c r="G5993" s="17" t="s">
        <v>6258</v>
      </c>
    </row>
    <row r="5994" spans="6:7" x14ac:dyDescent="0.25">
      <c r="F5994" s="17" t="s">
        <v>6317</v>
      </c>
      <c r="G5994" s="17" t="s">
        <v>6258</v>
      </c>
    </row>
    <row r="5995" spans="6:7" x14ac:dyDescent="0.25">
      <c r="F5995" s="17" t="s">
        <v>6318</v>
      </c>
      <c r="G5995" s="17" t="s">
        <v>6258</v>
      </c>
    </row>
    <row r="5996" spans="6:7" x14ac:dyDescent="0.25">
      <c r="F5996" s="17" t="s">
        <v>6319</v>
      </c>
      <c r="G5996" s="17" t="s">
        <v>6258</v>
      </c>
    </row>
    <row r="5997" spans="6:7" x14ac:dyDescent="0.25">
      <c r="F5997" s="17" t="s">
        <v>6320</v>
      </c>
      <c r="G5997" s="17" t="s">
        <v>6258</v>
      </c>
    </row>
    <row r="5998" spans="6:7" x14ac:dyDescent="0.25">
      <c r="F5998" s="17" t="s">
        <v>523</v>
      </c>
      <c r="G5998" s="17" t="s">
        <v>213</v>
      </c>
    </row>
    <row r="5999" spans="6:7" x14ac:dyDescent="0.25">
      <c r="F5999" s="17" t="s">
        <v>6321</v>
      </c>
      <c r="G5999" s="17" t="s">
        <v>213</v>
      </c>
    </row>
    <row r="6000" spans="6:7" x14ac:dyDescent="0.25">
      <c r="F6000" s="17" t="s">
        <v>6322</v>
      </c>
      <c r="G6000" s="17" t="s">
        <v>213</v>
      </c>
    </row>
    <row r="6001" spans="6:7" x14ac:dyDescent="0.25">
      <c r="F6001" s="17" t="s">
        <v>6323</v>
      </c>
      <c r="G6001" s="17" t="s">
        <v>213</v>
      </c>
    </row>
    <row r="6002" spans="6:7" x14ac:dyDescent="0.25">
      <c r="F6002" s="17" t="s">
        <v>6324</v>
      </c>
      <c r="G6002" s="17" t="s">
        <v>213</v>
      </c>
    </row>
    <row r="6003" spans="6:7" x14ac:dyDescent="0.25">
      <c r="F6003" s="17" t="s">
        <v>6325</v>
      </c>
      <c r="G6003" s="17" t="s">
        <v>213</v>
      </c>
    </row>
    <row r="6004" spans="6:7" x14ac:dyDescent="0.25">
      <c r="F6004" s="17" t="s">
        <v>6326</v>
      </c>
      <c r="G6004" s="17" t="s">
        <v>213</v>
      </c>
    </row>
    <row r="6005" spans="6:7" x14ac:dyDescent="0.25">
      <c r="F6005" s="17" t="s">
        <v>680</v>
      </c>
      <c r="G6005" s="17" t="s">
        <v>213</v>
      </c>
    </row>
    <row r="6006" spans="6:7" x14ac:dyDescent="0.25">
      <c r="F6006" s="17" t="s">
        <v>6327</v>
      </c>
      <c r="G6006" s="17" t="s">
        <v>213</v>
      </c>
    </row>
    <row r="6007" spans="6:7" x14ac:dyDescent="0.25">
      <c r="F6007" s="17" t="s">
        <v>419</v>
      </c>
      <c r="G6007" s="17" t="s">
        <v>213</v>
      </c>
    </row>
    <row r="6008" spans="6:7" x14ac:dyDescent="0.25">
      <c r="F6008" s="17" t="s">
        <v>6328</v>
      </c>
      <c r="G6008" s="17" t="s">
        <v>213</v>
      </c>
    </row>
    <row r="6009" spans="6:7" x14ac:dyDescent="0.25">
      <c r="F6009" s="17" t="s">
        <v>6329</v>
      </c>
      <c r="G6009" s="17" t="s">
        <v>213</v>
      </c>
    </row>
    <row r="6010" spans="6:7" x14ac:dyDescent="0.25">
      <c r="F6010" s="17" t="s">
        <v>6330</v>
      </c>
      <c r="G6010" s="17" t="s">
        <v>6258</v>
      </c>
    </row>
    <row r="6011" spans="6:7" x14ac:dyDescent="0.25">
      <c r="F6011" s="17" t="s">
        <v>6331</v>
      </c>
      <c r="G6011" s="17" t="s">
        <v>6258</v>
      </c>
    </row>
    <row r="6012" spans="6:7" x14ac:dyDescent="0.25">
      <c r="F6012" s="17" t="s">
        <v>6332</v>
      </c>
      <c r="G6012" s="17" t="s">
        <v>6258</v>
      </c>
    </row>
    <row r="6013" spans="6:7" x14ac:dyDescent="0.25">
      <c r="F6013" s="17" t="s">
        <v>6333</v>
      </c>
      <c r="G6013" s="17" t="s">
        <v>6258</v>
      </c>
    </row>
    <row r="6014" spans="6:7" x14ac:dyDescent="0.25">
      <c r="F6014" s="17" t="s">
        <v>6334</v>
      </c>
      <c r="G6014" s="17" t="s">
        <v>6258</v>
      </c>
    </row>
    <row r="6015" spans="6:7" x14ac:dyDescent="0.25">
      <c r="F6015" s="17" t="s">
        <v>6335</v>
      </c>
      <c r="G6015" s="17" t="s">
        <v>6258</v>
      </c>
    </row>
    <row r="6016" spans="6:7" x14ac:dyDescent="0.25">
      <c r="F6016" s="17" t="s">
        <v>6336</v>
      </c>
      <c r="G6016" s="17" t="s">
        <v>6258</v>
      </c>
    </row>
    <row r="6017" spans="6:7" x14ac:dyDescent="0.25">
      <c r="F6017" s="17" t="s">
        <v>6337</v>
      </c>
      <c r="G6017" s="17" t="s">
        <v>6258</v>
      </c>
    </row>
    <row r="6018" spans="6:7" x14ac:dyDescent="0.25">
      <c r="F6018" s="17" t="s">
        <v>6338</v>
      </c>
      <c r="G6018" s="17" t="s">
        <v>213</v>
      </c>
    </row>
    <row r="6019" spans="6:7" x14ac:dyDescent="0.25">
      <c r="F6019" s="17" t="s">
        <v>6339</v>
      </c>
      <c r="G6019" s="17" t="s">
        <v>213</v>
      </c>
    </row>
    <row r="6020" spans="6:7" x14ac:dyDescent="0.25">
      <c r="F6020" s="17" t="s">
        <v>6340</v>
      </c>
      <c r="G6020" s="17" t="s">
        <v>213</v>
      </c>
    </row>
    <row r="6021" spans="6:7" x14ac:dyDescent="0.25">
      <c r="F6021" s="17" t="s">
        <v>6341</v>
      </c>
      <c r="G6021" s="17" t="s">
        <v>213</v>
      </c>
    </row>
    <row r="6022" spans="6:7" x14ac:dyDescent="0.25">
      <c r="F6022" s="17" t="s">
        <v>6342</v>
      </c>
      <c r="G6022" s="17" t="s">
        <v>213</v>
      </c>
    </row>
    <row r="6023" spans="6:7" x14ac:dyDescent="0.25">
      <c r="F6023" s="17" t="s">
        <v>6343</v>
      </c>
      <c r="G6023" s="17" t="s">
        <v>213</v>
      </c>
    </row>
    <row r="6024" spans="6:7" x14ac:dyDescent="0.25">
      <c r="F6024" s="17" t="s">
        <v>6344</v>
      </c>
      <c r="G6024" s="17" t="s">
        <v>213</v>
      </c>
    </row>
    <row r="6025" spans="6:7" x14ac:dyDescent="0.25">
      <c r="F6025" s="17" t="s">
        <v>6345</v>
      </c>
      <c r="G6025" s="17" t="s">
        <v>213</v>
      </c>
    </row>
    <row r="6026" spans="6:7" x14ac:dyDescent="0.25">
      <c r="F6026" s="17" t="s">
        <v>6346</v>
      </c>
      <c r="G6026" s="17" t="s">
        <v>213</v>
      </c>
    </row>
    <row r="6027" spans="6:7" x14ac:dyDescent="0.25">
      <c r="F6027" s="17" t="s">
        <v>6347</v>
      </c>
      <c r="G6027" s="17" t="s">
        <v>213</v>
      </c>
    </row>
    <row r="6028" spans="6:7" x14ac:dyDescent="0.25">
      <c r="F6028" s="17" t="s">
        <v>6348</v>
      </c>
      <c r="G6028" s="17" t="s">
        <v>213</v>
      </c>
    </row>
    <row r="6029" spans="6:7" x14ac:dyDescent="0.25">
      <c r="F6029" s="17" t="s">
        <v>6349</v>
      </c>
      <c r="G6029" s="17" t="s">
        <v>213</v>
      </c>
    </row>
    <row r="6030" spans="6:7" x14ac:dyDescent="0.25">
      <c r="F6030" s="17" t="s">
        <v>6350</v>
      </c>
      <c r="G6030" s="17" t="s">
        <v>213</v>
      </c>
    </row>
    <row r="6031" spans="6:7" x14ac:dyDescent="0.25">
      <c r="F6031" s="17" t="s">
        <v>6351</v>
      </c>
      <c r="G6031" s="17" t="s">
        <v>213</v>
      </c>
    </row>
    <row r="6032" spans="6:7" x14ac:dyDescent="0.25">
      <c r="F6032" s="17" t="s">
        <v>6352</v>
      </c>
      <c r="G6032" s="17" t="s">
        <v>213</v>
      </c>
    </row>
    <row r="6033" spans="6:7" x14ac:dyDescent="0.25">
      <c r="F6033" s="17" t="s">
        <v>6353</v>
      </c>
      <c r="G6033" s="17" t="s">
        <v>213</v>
      </c>
    </row>
    <row r="6034" spans="6:7" x14ac:dyDescent="0.25">
      <c r="F6034" s="17" t="s">
        <v>6354</v>
      </c>
      <c r="G6034" s="17" t="s">
        <v>213</v>
      </c>
    </row>
    <row r="6035" spans="6:7" x14ac:dyDescent="0.25">
      <c r="F6035" s="17" t="s">
        <v>6355</v>
      </c>
      <c r="G6035" s="17" t="s">
        <v>213</v>
      </c>
    </row>
    <row r="6036" spans="6:7" x14ac:dyDescent="0.25">
      <c r="F6036" s="17" t="s">
        <v>6356</v>
      </c>
      <c r="G6036" s="17" t="s">
        <v>213</v>
      </c>
    </row>
    <row r="6037" spans="6:7" x14ac:dyDescent="0.25">
      <c r="F6037" s="17" t="s">
        <v>6357</v>
      </c>
      <c r="G6037" s="17" t="s">
        <v>213</v>
      </c>
    </row>
    <row r="6038" spans="6:7" x14ac:dyDescent="0.25">
      <c r="F6038" s="17" t="s">
        <v>6358</v>
      </c>
      <c r="G6038" s="17" t="s">
        <v>213</v>
      </c>
    </row>
    <row r="6039" spans="6:7" x14ac:dyDescent="0.25">
      <c r="F6039" s="17" t="s">
        <v>6359</v>
      </c>
      <c r="G6039" s="17" t="s">
        <v>213</v>
      </c>
    </row>
    <row r="6040" spans="6:7" x14ac:dyDescent="0.25">
      <c r="F6040" s="17" t="s">
        <v>6360</v>
      </c>
      <c r="G6040" s="17" t="s">
        <v>213</v>
      </c>
    </row>
    <row r="6041" spans="6:7" x14ac:dyDescent="0.25">
      <c r="F6041" s="17" t="s">
        <v>6361</v>
      </c>
      <c r="G6041" s="17" t="s">
        <v>213</v>
      </c>
    </row>
    <row r="6042" spans="6:7" x14ac:dyDescent="0.25">
      <c r="F6042" s="17" t="s">
        <v>6362</v>
      </c>
      <c r="G6042" s="17" t="s">
        <v>213</v>
      </c>
    </row>
    <row r="6043" spans="6:7" x14ac:dyDescent="0.25">
      <c r="F6043" s="17" t="s">
        <v>6363</v>
      </c>
      <c r="G6043" s="17" t="s">
        <v>213</v>
      </c>
    </row>
    <row r="6044" spans="6:7" x14ac:dyDescent="0.25">
      <c r="F6044" s="17" t="s">
        <v>6364</v>
      </c>
      <c r="G6044" s="17" t="s">
        <v>213</v>
      </c>
    </row>
    <row r="6045" spans="6:7" x14ac:dyDescent="0.25">
      <c r="F6045" s="17" t="s">
        <v>6365</v>
      </c>
      <c r="G6045" s="17" t="s">
        <v>213</v>
      </c>
    </row>
    <row r="6046" spans="6:7" x14ac:dyDescent="0.25">
      <c r="F6046" s="17" t="s">
        <v>6366</v>
      </c>
      <c r="G6046" s="17" t="s">
        <v>213</v>
      </c>
    </row>
    <row r="6047" spans="6:7" x14ac:dyDescent="0.25">
      <c r="F6047" s="17" t="s">
        <v>6367</v>
      </c>
      <c r="G6047" s="17" t="s">
        <v>6368</v>
      </c>
    </row>
    <row r="6048" spans="6:7" x14ac:dyDescent="0.25">
      <c r="F6048" s="17" t="s">
        <v>6369</v>
      </c>
      <c r="G6048" s="17" t="s">
        <v>6368</v>
      </c>
    </row>
    <row r="6049" spans="6:7" x14ac:dyDescent="0.25">
      <c r="F6049" s="17" t="s">
        <v>6370</v>
      </c>
      <c r="G6049" s="17" t="s">
        <v>6368</v>
      </c>
    </row>
    <row r="6050" spans="6:7" x14ac:dyDescent="0.25">
      <c r="F6050" s="17" t="s">
        <v>6371</v>
      </c>
      <c r="G6050" s="17" t="s">
        <v>6368</v>
      </c>
    </row>
    <row r="6051" spans="6:7" x14ac:dyDescent="0.25">
      <c r="F6051" s="17" t="s">
        <v>6372</v>
      </c>
      <c r="G6051" s="17" t="s">
        <v>6368</v>
      </c>
    </row>
    <row r="6052" spans="6:7" x14ac:dyDescent="0.25">
      <c r="F6052" s="17" t="s">
        <v>6373</v>
      </c>
      <c r="G6052" s="17" t="s">
        <v>6368</v>
      </c>
    </row>
    <row r="6053" spans="6:7" x14ac:dyDescent="0.25">
      <c r="F6053" s="17" t="s">
        <v>354</v>
      </c>
      <c r="G6053" s="17" t="s">
        <v>209</v>
      </c>
    </row>
    <row r="6054" spans="6:7" x14ac:dyDescent="0.25">
      <c r="F6054" s="17" t="s">
        <v>6374</v>
      </c>
      <c r="G6054" s="17" t="s">
        <v>209</v>
      </c>
    </row>
    <row r="6055" spans="6:7" x14ac:dyDescent="0.25">
      <c r="F6055" s="17" t="s">
        <v>6375</v>
      </c>
      <c r="G6055" s="17" t="s">
        <v>209</v>
      </c>
    </row>
    <row r="6056" spans="6:7" x14ac:dyDescent="0.25">
      <c r="F6056" s="17" t="s">
        <v>6376</v>
      </c>
      <c r="G6056" s="17" t="s">
        <v>209</v>
      </c>
    </row>
    <row r="6057" spans="6:7" x14ac:dyDescent="0.25">
      <c r="F6057" s="17" t="s">
        <v>6377</v>
      </c>
      <c r="G6057" s="17" t="s">
        <v>209</v>
      </c>
    </row>
    <row r="6058" spans="6:7" x14ac:dyDescent="0.25">
      <c r="F6058" s="17" t="s">
        <v>861</v>
      </c>
      <c r="G6058" s="17" t="s">
        <v>209</v>
      </c>
    </row>
    <row r="6059" spans="6:7" x14ac:dyDescent="0.25">
      <c r="F6059" s="17" t="s">
        <v>6378</v>
      </c>
      <c r="G6059" s="17" t="s">
        <v>209</v>
      </c>
    </row>
    <row r="6060" spans="6:7" x14ac:dyDescent="0.25">
      <c r="F6060" s="17" t="s">
        <v>6379</v>
      </c>
      <c r="G6060" s="17" t="s">
        <v>209</v>
      </c>
    </row>
    <row r="6061" spans="6:7" x14ac:dyDescent="0.25">
      <c r="F6061" s="17" t="s">
        <v>6380</v>
      </c>
      <c r="G6061" s="17" t="s">
        <v>209</v>
      </c>
    </row>
    <row r="6062" spans="6:7" x14ac:dyDescent="0.25">
      <c r="F6062" s="17" t="s">
        <v>6381</v>
      </c>
      <c r="G6062" s="17" t="s">
        <v>209</v>
      </c>
    </row>
    <row r="6063" spans="6:7" x14ac:dyDescent="0.25">
      <c r="F6063" s="17" t="s">
        <v>6382</v>
      </c>
      <c r="G6063" s="17" t="s">
        <v>209</v>
      </c>
    </row>
    <row r="6064" spans="6:7" x14ac:dyDescent="0.25">
      <c r="F6064" s="17" t="s">
        <v>6383</v>
      </c>
      <c r="G6064" s="17" t="s">
        <v>6384</v>
      </c>
    </row>
    <row r="6065" spans="6:7" x14ac:dyDescent="0.25">
      <c r="F6065" s="17" t="s">
        <v>6385</v>
      </c>
      <c r="G6065" s="17" t="s">
        <v>6384</v>
      </c>
    </row>
    <row r="6066" spans="6:7" x14ac:dyDescent="0.25">
      <c r="F6066" s="17" t="s">
        <v>6386</v>
      </c>
      <c r="G6066" s="17" t="s">
        <v>205</v>
      </c>
    </row>
    <row r="6067" spans="6:7" x14ac:dyDescent="0.25">
      <c r="F6067" s="17" t="s">
        <v>6387</v>
      </c>
      <c r="G6067" s="17" t="s">
        <v>205</v>
      </c>
    </row>
    <row r="6068" spans="6:7" x14ac:dyDescent="0.25">
      <c r="F6068" s="17" t="s">
        <v>6388</v>
      </c>
      <c r="G6068" s="17" t="s">
        <v>209</v>
      </c>
    </row>
    <row r="6069" spans="6:7" x14ac:dyDescent="0.25">
      <c r="F6069" s="17" t="s">
        <v>6389</v>
      </c>
      <c r="G6069" s="17" t="s">
        <v>205</v>
      </c>
    </row>
    <row r="6070" spans="6:7" x14ac:dyDescent="0.25">
      <c r="F6070" s="17" t="s">
        <v>6390</v>
      </c>
      <c r="G6070" s="17" t="s">
        <v>209</v>
      </c>
    </row>
    <row r="6071" spans="6:7" x14ac:dyDescent="0.25">
      <c r="F6071" s="17" t="s">
        <v>6391</v>
      </c>
      <c r="G6071" s="17" t="s">
        <v>209</v>
      </c>
    </row>
    <row r="6072" spans="6:7" x14ac:dyDescent="0.25">
      <c r="F6072" s="17" t="s">
        <v>6392</v>
      </c>
      <c r="G6072" s="17" t="s">
        <v>209</v>
      </c>
    </row>
    <row r="6073" spans="6:7" x14ac:dyDescent="0.25">
      <c r="F6073" s="17" t="s">
        <v>6393</v>
      </c>
      <c r="G6073" s="17" t="s">
        <v>209</v>
      </c>
    </row>
    <row r="6074" spans="6:7" x14ac:dyDescent="0.25">
      <c r="F6074" s="17" t="s">
        <v>6394</v>
      </c>
      <c r="G6074" s="17" t="s">
        <v>209</v>
      </c>
    </row>
    <row r="6075" spans="6:7" x14ac:dyDescent="0.25">
      <c r="F6075" s="17" t="s">
        <v>6395</v>
      </c>
      <c r="G6075" s="17" t="s">
        <v>209</v>
      </c>
    </row>
    <row r="6076" spans="6:7" x14ac:dyDescent="0.25">
      <c r="F6076" s="17" t="s">
        <v>6396</v>
      </c>
      <c r="G6076" s="17" t="s">
        <v>209</v>
      </c>
    </row>
    <row r="6077" spans="6:7" x14ac:dyDescent="0.25">
      <c r="F6077" s="17" t="s">
        <v>6397</v>
      </c>
      <c r="G6077" s="17" t="s">
        <v>209</v>
      </c>
    </row>
    <row r="6078" spans="6:7" x14ac:dyDescent="0.25">
      <c r="F6078" s="17" t="s">
        <v>457</v>
      </c>
      <c r="G6078" s="17" t="s">
        <v>205</v>
      </c>
    </row>
    <row r="6079" spans="6:7" x14ac:dyDescent="0.25">
      <c r="F6079" s="17" t="s">
        <v>577</v>
      </c>
      <c r="G6079" s="17" t="s">
        <v>205</v>
      </c>
    </row>
    <row r="6080" spans="6:7" x14ac:dyDescent="0.25">
      <c r="F6080" s="17" t="s">
        <v>6398</v>
      </c>
      <c r="G6080" s="17" t="s">
        <v>205</v>
      </c>
    </row>
    <row r="6081" spans="6:7" x14ac:dyDescent="0.25">
      <c r="F6081" s="17" t="s">
        <v>6399</v>
      </c>
      <c r="G6081" s="17" t="s">
        <v>205</v>
      </c>
    </row>
    <row r="6082" spans="6:7" x14ac:dyDescent="0.25">
      <c r="F6082" s="17" t="s">
        <v>6400</v>
      </c>
      <c r="G6082" s="17" t="s">
        <v>205</v>
      </c>
    </row>
    <row r="6083" spans="6:7" x14ac:dyDescent="0.25">
      <c r="F6083" s="17" t="s">
        <v>637</v>
      </c>
      <c r="G6083" s="17" t="s">
        <v>205</v>
      </c>
    </row>
    <row r="6084" spans="6:7" x14ac:dyDescent="0.25">
      <c r="F6084" s="17" t="s">
        <v>774</v>
      </c>
      <c r="G6084" s="17" t="s">
        <v>205</v>
      </c>
    </row>
    <row r="6085" spans="6:7" x14ac:dyDescent="0.25">
      <c r="F6085" s="17" t="s">
        <v>6401</v>
      </c>
      <c r="G6085" s="17" t="s">
        <v>205</v>
      </c>
    </row>
    <row r="6086" spans="6:7" x14ac:dyDescent="0.25">
      <c r="F6086" s="17" t="s">
        <v>6402</v>
      </c>
      <c r="G6086" s="17" t="s">
        <v>205</v>
      </c>
    </row>
    <row r="6087" spans="6:7" x14ac:dyDescent="0.25">
      <c r="F6087" s="17" t="s">
        <v>851</v>
      </c>
      <c r="G6087" s="17" t="s">
        <v>205</v>
      </c>
    </row>
    <row r="6088" spans="6:7" x14ac:dyDescent="0.25">
      <c r="F6088" s="17" t="s">
        <v>657</v>
      </c>
      <c r="G6088" s="17" t="s">
        <v>205</v>
      </c>
    </row>
    <row r="6089" spans="6:7" x14ac:dyDescent="0.25">
      <c r="F6089" s="17" t="s">
        <v>6403</v>
      </c>
      <c r="G6089" s="17" t="s">
        <v>205</v>
      </c>
    </row>
    <row r="6090" spans="6:7" x14ac:dyDescent="0.25">
      <c r="F6090" s="17" t="s">
        <v>662</v>
      </c>
      <c r="G6090" s="17" t="s">
        <v>205</v>
      </c>
    </row>
    <row r="6091" spans="6:7" x14ac:dyDescent="0.25">
      <c r="F6091" s="17" t="s">
        <v>694</v>
      </c>
      <c r="G6091" s="17" t="s">
        <v>205</v>
      </c>
    </row>
    <row r="6092" spans="6:7" x14ac:dyDescent="0.25">
      <c r="F6092" s="17" t="s">
        <v>852</v>
      </c>
      <c r="G6092" s="17" t="s">
        <v>205</v>
      </c>
    </row>
    <row r="6093" spans="6:7" x14ac:dyDescent="0.25">
      <c r="F6093" s="17" t="s">
        <v>6404</v>
      </c>
      <c r="G6093" s="17" t="s">
        <v>205</v>
      </c>
    </row>
    <row r="6094" spans="6:7" x14ac:dyDescent="0.25">
      <c r="F6094" s="17" t="s">
        <v>6405</v>
      </c>
      <c r="G6094" s="17" t="s">
        <v>205</v>
      </c>
    </row>
    <row r="6095" spans="6:7" x14ac:dyDescent="0.25">
      <c r="F6095" s="17" t="s">
        <v>351</v>
      </c>
      <c r="G6095" s="17" t="s">
        <v>213</v>
      </c>
    </row>
    <row r="6096" spans="6:7" x14ac:dyDescent="0.25">
      <c r="F6096" s="17" t="s">
        <v>6406</v>
      </c>
      <c r="G6096" s="17" t="s">
        <v>213</v>
      </c>
    </row>
    <row r="6097" spans="6:7" x14ac:dyDescent="0.25">
      <c r="F6097" s="17" t="s">
        <v>6407</v>
      </c>
      <c r="G6097" s="17" t="s">
        <v>213</v>
      </c>
    </row>
    <row r="6098" spans="6:7" x14ac:dyDescent="0.25">
      <c r="F6098" s="17" t="s">
        <v>6408</v>
      </c>
      <c r="G6098" s="17" t="s">
        <v>213</v>
      </c>
    </row>
    <row r="6099" spans="6:7" x14ac:dyDescent="0.25">
      <c r="F6099" s="17" t="s">
        <v>6409</v>
      </c>
      <c r="G6099" s="17" t="s">
        <v>205</v>
      </c>
    </row>
    <row r="6100" spans="6:7" x14ac:dyDescent="0.25">
      <c r="F6100" s="17" t="s">
        <v>6410</v>
      </c>
      <c r="G6100" s="17" t="s">
        <v>205</v>
      </c>
    </row>
    <row r="6101" spans="6:7" x14ac:dyDescent="0.25">
      <c r="F6101" s="17" t="s">
        <v>6411</v>
      </c>
      <c r="G6101" s="17" t="s">
        <v>205</v>
      </c>
    </row>
    <row r="6102" spans="6:7" x14ac:dyDescent="0.25">
      <c r="F6102" s="17" t="s">
        <v>393</v>
      </c>
      <c r="G6102" s="17" t="s">
        <v>205</v>
      </c>
    </row>
    <row r="6103" spans="6:7" x14ac:dyDescent="0.25">
      <c r="F6103" s="17" t="s">
        <v>6412</v>
      </c>
      <c r="G6103" s="17" t="s">
        <v>205</v>
      </c>
    </row>
    <row r="6104" spans="6:7" x14ac:dyDescent="0.25">
      <c r="F6104" s="17" t="s">
        <v>652</v>
      </c>
      <c r="G6104" s="17" t="s">
        <v>205</v>
      </c>
    </row>
    <row r="6105" spans="6:7" x14ac:dyDescent="0.25">
      <c r="F6105" s="17" t="s">
        <v>282</v>
      </c>
      <c r="G6105" s="17" t="s">
        <v>205</v>
      </c>
    </row>
    <row r="6106" spans="6:7" x14ac:dyDescent="0.25">
      <c r="F6106" s="17" t="s">
        <v>731</v>
      </c>
      <c r="G6106" s="17" t="s">
        <v>205</v>
      </c>
    </row>
    <row r="6107" spans="6:7" x14ac:dyDescent="0.25">
      <c r="F6107" s="17" t="s">
        <v>6413</v>
      </c>
      <c r="G6107" s="17" t="s">
        <v>205</v>
      </c>
    </row>
    <row r="6108" spans="6:7" x14ac:dyDescent="0.25">
      <c r="F6108" s="17" t="s">
        <v>395</v>
      </c>
      <c r="G6108" s="17" t="s">
        <v>205</v>
      </c>
    </row>
    <row r="6109" spans="6:7" x14ac:dyDescent="0.25">
      <c r="F6109" s="17" t="s">
        <v>6414</v>
      </c>
      <c r="G6109" s="17" t="s">
        <v>205</v>
      </c>
    </row>
    <row r="6110" spans="6:7" x14ac:dyDescent="0.25">
      <c r="F6110" s="17" t="s">
        <v>6415</v>
      </c>
      <c r="G6110" s="17" t="s">
        <v>205</v>
      </c>
    </row>
    <row r="6111" spans="6:7" x14ac:dyDescent="0.25">
      <c r="F6111" s="17" t="s">
        <v>6416</v>
      </c>
      <c r="G6111" s="17" t="s">
        <v>205</v>
      </c>
    </row>
    <row r="6112" spans="6:7" x14ac:dyDescent="0.25">
      <c r="F6112" s="17" t="s">
        <v>6417</v>
      </c>
      <c r="G6112" s="17" t="s">
        <v>205</v>
      </c>
    </row>
    <row r="6113" spans="6:7" x14ac:dyDescent="0.25">
      <c r="F6113" s="17" t="s">
        <v>6418</v>
      </c>
      <c r="G6113" s="17" t="s">
        <v>205</v>
      </c>
    </row>
    <row r="6114" spans="6:7" x14ac:dyDescent="0.25">
      <c r="F6114" s="17" t="s">
        <v>6419</v>
      </c>
      <c r="G6114" s="17" t="s">
        <v>205</v>
      </c>
    </row>
    <row r="6115" spans="6:7" x14ac:dyDescent="0.25">
      <c r="F6115" s="17" t="s">
        <v>528</v>
      </c>
      <c r="G6115" s="17" t="s">
        <v>205</v>
      </c>
    </row>
    <row r="6116" spans="6:7" x14ac:dyDescent="0.25">
      <c r="F6116" s="17" t="s">
        <v>427</v>
      </c>
      <c r="G6116" s="17" t="s">
        <v>205</v>
      </c>
    </row>
    <row r="6117" spans="6:7" x14ac:dyDescent="0.25">
      <c r="F6117" s="17" t="s">
        <v>6420</v>
      </c>
      <c r="G6117" s="17" t="s">
        <v>205</v>
      </c>
    </row>
    <row r="6118" spans="6:7" x14ac:dyDescent="0.25">
      <c r="F6118" s="17" t="s">
        <v>6421</v>
      </c>
      <c r="G6118" s="17" t="s">
        <v>205</v>
      </c>
    </row>
    <row r="6119" spans="6:7" x14ac:dyDescent="0.25">
      <c r="F6119" s="17" t="s">
        <v>6422</v>
      </c>
      <c r="G6119" s="17" t="s">
        <v>205</v>
      </c>
    </row>
    <row r="6120" spans="6:7" x14ac:dyDescent="0.25">
      <c r="F6120" s="17" t="s">
        <v>6423</v>
      </c>
      <c r="G6120" s="17" t="s">
        <v>205</v>
      </c>
    </row>
    <row r="6121" spans="6:7" x14ac:dyDescent="0.25">
      <c r="F6121" s="17" t="s">
        <v>488</v>
      </c>
      <c r="G6121" s="17" t="s">
        <v>205</v>
      </c>
    </row>
    <row r="6122" spans="6:7" x14ac:dyDescent="0.25">
      <c r="F6122" s="17" t="s">
        <v>6424</v>
      </c>
      <c r="G6122" s="17" t="s">
        <v>205</v>
      </c>
    </row>
    <row r="6123" spans="6:7" x14ac:dyDescent="0.25">
      <c r="F6123" s="17" t="s">
        <v>6425</v>
      </c>
      <c r="G6123" s="17" t="s">
        <v>205</v>
      </c>
    </row>
    <row r="6124" spans="6:7" x14ac:dyDescent="0.25">
      <c r="F6124" s="17" t="s">
        <v>6426</v>
      </c>
      <c r="G6124" s="17" t="s">
        <v>205</v>
      </c>
    </row>
    <row r="6125" spans="6:7" x14ac:dyDescent="0.25">
      <c r="F6125" s="17" t="s">
        <v>6427</v>
      </c>
      <c r="G6125" s="17" t="s">
        <v>205</v>
      </c>
    </row>
    <row r="6126" spans="6:7" x14ac:dyDescent="0.25">
      <c r="F6126" s="17" t="s">
        <v>6428</v>
      </c>
      <c r="G6126" s="17" t="s">
        <v>205</v>
      </c>
    </row>
    <row r="6127" spans="6:7" x14ac:dyDescent="0.25">
      <c r="F6127" s="17" t="s">
        <v>6429</v>
      </c>
      <c r="G6127" s="17" t="s">
        <v>205</v>
      </c>
    </row>
    <row r="6128" spans="6:7" x14ac:dyDescent="0.25">
      <c r="F6128" s="17" t="s">
        <v>6430</v>
      </c>
      <c r="G6128" s="17" t="s">
        <v>205</v>
      </c>
    </row>
    <row r="6129" spans="6:7" x14ac:dyDescent="0.25">
      <c r="F6129" s="17" t="s">
        <v>6431</v>
      </c>
      <c r="G6129" s="17" t="s">
        <v>205</v>
      </c>
    </row>
    <row r="6130" spans="6:7" x14ac:dyDescent="0.25">
      <c r="F6130" s="17" t="s">
        <v>6432</v>
      </c>
      <c r="G6130" s="17" t="s">
        <v>209</v>
      </c>
    </row>
    <row r="6131" spans="6:7" x14ac:dyDescent="0.25">
      <c r="F6131" s="17" t="s">
        <v>6433</v>
      </c>
      <c r="G6131" s="17" t="s">
        <v>209</v>
      </c>
    </row>
    <row r="6132" spans="6:7" x14ac:dyDescent="0.25">
      <c r="F6132" s="17" t="s">
        <v>6434</v>
      </c>
      <c r="G6132" s="17" t="s">
        <v>209</v>
      </c>
    </row>
    <row r="6133" spans="6:7" x14ac:dyDescent="0.25">
      <c r="F6133" s="17" t="s">
        <v>6435</v>
      </c>
      <c r="G6133" s="17" t="s">
        <v>209</v>
      </c>
    </row>
    <row r="6134" spans="6:7" x14ac:dyDescent="0.25">
      <c r="F6134" s="17" t="s">
        <v>6436</v>
      </c>
      <c r="G6134" s="17" t="s">
        <v>209</v>
      </c>
    </row>
    <row r="6135" spans="6:7" x14ac:dyDescent="0.25">
      <c r="F6135" s="17" t="s">
        <v>6437</v>
      </c>
      <c r="G6135" s="17" t="s">
        <v>209</v>
      </c>
    </row>
    <row r="6136" spans="6:7" x14ac:dyDescent="0.25">
      <c r="F6136" s="17" t="s">
        <v>6438</v>
      </c>
      <c r="G6136" s="17" t="s">
        <v>209</v>
      </c>
    </row>
    <row r="6137" spans="6:7" x14ac:dyDescent="0.25">
      <c r="F6137" s="17" t="s">
        <v>6439</v>
      </c>
      <c r="G6137" s="17" t="s">
        <v>209</v>
      </c>
    </row>
    <row r="6138" spans="6:7" x14ac:dyDescent="0.25">
      <c r="F6138" s="17" t="s">
        <v>6440</v>
      </c>
      <c r="G6138" s="17" t="s">
        <v>213</v>
      </c>
    </row>
    <row r="6139" spans="6:7" x14ac:dyDescent="0.25">
      <c r="F6139" s="17" t="s">
        <v>6441</v>
      </c>
      <c r="G6139" s="17" t="s">
        <v>6368</v>
      </c>
    </row>
    <row r="6140" spans="6:7" x14ac:dyDescent="0.25">
      <c r="F6140" s="17" t="s">
        <v>6442</v>
      </c>
      <c r="G6140" s="17" t="s">
        <v>213</v>
      </c>
    </row>
    <row r="6141" spans="6:7" x14ac:dyDescent="0.25">
      <c r="F6141" s="17" t="s">
        <v>6443</v>
      </c>
      <c r="G6141" s="17" t="s">
        <v>213</v>
      </c>
    </row>
    <row r="6142" spans="6:7" x14ac:dyDescent="0.25">
      <c r="F6142" s="17" t="s">
        <v>707</v>
      </c>
      <c r="G6142" s="17" t="s">
        <v>213</v>
      </c>
    </row>
    <row r="6143" spans="6:7" x14ac:dyDescent="0.25">
      <c r="F6143" s="17" t="s">
        <v>6444</v>
      </c>
      <c r="G6143" s="17" t="s">
        <v>213</v>
      </c>
    </row>
    <row r="6144" spans="6:7" x14ac:dyDescent="0.25">
      <c r="F6144" s="17" t="s">
        <v>6445</v>
      </c>
      <c r="G6144" s="17" t="s">
        <v>213</v>
      </c>
    </row>
    <row r="6145" spans="6:7" x14ac:dyDescent="0.25">
      <c r="F6145" s="17" t="s">
        <v>6446</v>
      </c>
      <c r="G6145" s="17" t="s">
        <v>213</v>
      </c>
    </row>
    <row r="6146" spans="6:7" x14ac:dyDescent="0.25">
      <c r="F6146" s="17" t="s">
        <v>6447</v>
      </c>
      <c r="G6146" s="17" t="s">
        <v>213</v>
      </c>
    </row>
    <row r="6147" spans="6:7" x14ac:dyDescent="0.25">
      <c r="F6147" s="17" t="s">
        <v>6448</v>
      </c>
      <c r="G6147" s="17" t="s">
        <v>213</v>
      </c>
    </row>
    <row r="6148" spans="6:7" x14ac:dyDescent="0.25">
      <c r="F6148" s="17" t="s">
        <v>847</v>
      </c>
      <c r="G6148" s="17" t="s">
        <v>213</v>
      </c>
    </row>
    <row r="6149" spans="6:7" x14ac:dyDescent="0.25">
      <c r="F6149" s="17" t="s">
        <v>358</v>
      </c>
      <c r="G6149" s="17" t="s">
        <v>213</v>
      </c>
    </row>
    <row r="6150" spans="6:7" x14ac:dyDescent="0.25">
      <c r="F6150" s="17" t="s">
        <v>6449</v>
      </c>
      <c r="G6150" s="17" t="s">
        <v>205</v>
      </c>
    </row>
    <row r="6151" spans="6:7" x14ac:dyDescent="0.25">
      <c r="F6151" s="17" t="s">
        <v>6450</v>
      </c>
      <c r="G6151" s="17" t="s">
        <v>205</v>
      </c>
    </row>
    <row r="6152" spans="6:7" x14ac:dyDescent="0.25">
      <c r="F6152" s="17" t="s">
        <v>6451</v>
      </c>
      <c r="G6152" s="17" t="s">
        <v>205</v>
      </c>
    </row>
    <row r="6153" spans="6:7" x14ac:dyDescent="0.25">
      <c r="F6153" s="17" t="s">
        <v>6452</v>
      </c>
      <c r="G6153" s="17" t="s">
        <v>205</v>
      </c>
    </row>
    <row r="6154" spans="6:7" x14ac:dyDescent="0.25">
      <c r="F6154" s="17" t="s">
        <v>510</v>
      </c>
      <c r="G6154" s="17" t="s">
        <v>205</v>
      </c>
    </row>
    <row r="6155" spans="6:7" x14ac:dyDescent="0.25">
      <c r="F6155" s="17" t="s">
        <v>955</v>
      </c>
      <c r="G6155" s="17" t="s">
        <v>205</v>
      </c>
    </row>
    <row r="6156" spans="6:7" x14ac:dyDescent="0.25">
      <c r="F6156" s="17" t="s">
        <v>6453</v>
      </c>
      <c r="G6156" s="17" t="s">
        <v>205</v>
      </c>
    </row>
    <row r="6157" spans="6:7" x14ac:dyDescent="0.25">
      <c r="F6157" s="17" t="s">
        <v>6454</v>
      </c>
      <c r="G6157" s="17" t="s">
        <v>205</v>
      </c>
    </row>
    <row r="6158" spans="6:7" x14ac:dyDescent="0.25">
      <c r="F6158" s="17" t="s">
        <v>6455</v>
      </c>
      <c r="G6158" s="17" t="s">
        <v>205</v>
      </c>
    </row>
    <row r="6159" spans="6:7" x14ac:dyDescent="0.25">
      <c r="F6159" s="17" t="s">
        <v>6456</v>
      </c>
      <c r="G6159" s="17" t="s">
        <v>205</v>
      </c>
    </row>
    <row r="6160" spans="6:7" x14ac:dyDescent="0.25">
      <c r="F6160" s="17" t="s">
        <v>6457</v>
      </c>
      <c r="G6160" s="17" t="s">
        <v>205</v>
      </c>
    </row>
    <row r="6161" spans="6:7" x14ac:dyDescent="0.25">
      <c r="F6161" s="17" t="s">
        <v>6458</v>
      </c>
      <c r="G6161" s="17" t="s">
        <v>205</v>
      </c>
    </row>
    <row r="6162" spans="6:7" x14ac:dyDescent="0.25">
      <c r="F6162" s="17" t="s">
        <v>6459</v>
      </c>
      <c r="G6162" s="17" t="s">
        <v>205</v>
      </c>
    </row>
    <row r="6163" spans="6:7" x14ac:dyDescent="0.25">
      <c r="F6163" s="17" t="s">
        <v>6460</v>
      </c>
      <c r="G6163" s="17" t="s">
        <v>205</v>
      </c>
    </row>
    <row r="6164" spans="6:7" x14ac:dyDescent="0.25">
      <c r="F6164" s="17" t="s">
        <v>6461</v>
      </c>
      <c r="G6164" s="17" t="s">
        <v>205</v>
      </c>
    </row>
    <row r="6165" spans="6:7" x14ac:dyDescent="0.25">
      <c r="F6165" s="17" t="s">
        <v>6462</v>
      </c>
      <c r="G6165" s="17" t="s">
        <v>205</v>
      </c>
    </row>
    <row r="6166" spans="6:7" x14ac:dyDescent="0.25">
      <c r="F6166" s="17" t="s">
        <v>6463</v>
      </c>
      <c r="G6166" s="17" t="s">
        <v>205</v>
      </c>
    </row>
    <row r="6167" spans="6:7" x14ac:dyDescent="0.25">
      <c r="F6167" s="17" t="s">
        <v>6464</v>
      </c>
      <c r="G6167" s="17" t="s">
        <v>209</v>
      </c>
    </row>
    <row r="6168" spans="6:7" x14ac:dyDescent="0.25">
      <c r="F6168" s="17" t="s">
        <v>6465</v>
      </c>
      <c r="G6168" s="17" t="s">
        <v>209</v>
      </c>
    </row>
    <row r="6169" spans="6:7" x14ac:dyDescent="0.25">
      <c r="F6169" s="17" t="s">
        <v>532</v>
      </c>
      <c r="G6169" s="17" t="s">
        <v>209</v>
      </c>
    </row>
    <row r="6170" spans="6:7" x14ac:dyDescent="0.25">
      <c r="F6170" s="17" t="s">
        <v>6466</v>
      </c>
      <c r="G6170" s="17" t="s">
        <v>209</v>
      </c>
    </row>
    <row r="6171" spans="6:7" x14ac:dyDescent="0.25">
      <c r="F6171" s="17" t="s">
        <v>6467</v>
      </c>
      <c r="G6171" s="17" t="s">
        <v>209</v>
      </c>
    </row>
    <row r="6172" spans="6:7" x14ac:dyDescent="0.25">
      <c r="F6172" s="17" t="s">
        <v>6468</v>
      </c>
      <c r="G6172" s="17" t="s">
        <v>209</v>
      </c>
    </row>
    <row r="6173" spans="6:7" x14ac:dyDescent="0.25">
      <c r="F6173" s="17" t="s">
        <v>749</v>
      </c>
      <c r="G6173" s="17" t="s">
        <v>209</v>
      </c>
    </row>
    <row r="6174" spans="6:7" x14ac:dyDescent="0.25">
      <c r="F6174" s="17" t="s">
        <v>859</v>
      </c>
      <c r="G6174" s="17" t="s">
        <v>209</v>
      </c>
    </row>
    <row r="6175" spans="6:7" x14ac:dyDescent="0.25">
      <c r="F6175" s="17" t="s">
        <v>6469</v>
      </c>
      <c r="G6175" s="17" t="s">
        <v>209</v>
      </c>
    </row>
    <row r="6176" spans="6:7" x14ac:dyDescent="0.25">
      <c r="F6176" s="17" t="s">
        <v>6470</v>
      </c>
      <c r="G6176" s="17" t="s">
        <v>209</v>
      </c>
    </row>
    <row r="6177" spans="6:7" x14ac:dyDescent="0.25">
      <c r="F6177" s="17" t="s">
        <v>6471</v>
      </c>
      <c r="G6177" s="17" t="s">
        <v>209</v>
      </c>
    </row>
    <row r="6178" spans="6:7" x14ac:dyDescent="0.25">
      <c r="F6178" s="17" t="s">
        <v>980</v>
      </c>
      <c r="G6178" s="17" t="s">
        <v>209</v>
      </c>
    </row>
    <row r="6179" spans="6:7" x14ac:dyDescent="0.25">
      <c r="F6179" s="17" t="s">
        <v>789</v>
      </c>
      <c r="G6179" s="17" t="s">
        <v>209</v>
      </c>
    </row>
    <row r="6180" spans="6:7" x14ac:dyDescent="0.25">
      <c r="F6180" s="17" t="s">
        <v>6472</v>
      </c>
      <c r="G6180" s="17" t="s">
        <v>209</v>
      </c>
    </row>
    <row r="6181" spans="6:7" x14ac:dyDescent="0.25">
      <c r="F6181" s="17" t="s">
        <v>956</v>
      </c>
      <c r="G6181" s="17" t="s">
        <v>209</v>
      </c>
    </row>
    <row r="6182" spans="6:7" x14ac:dyDescent="0.25">
      <c r="F6182" s="17" t="s">
        <v>6473</v>
      </c>
      <c r="G6182" s="17" t="s">
        <v>209</v>
      </c>
    </row>
    <row r="6183" spans="6:7" x14ac:dyDescent="0.25">
      <c r="F6183" s="17" t="s">
        <v>6474</v>
      </c>
      <c r="G6183" s="17" t="s">
        <v>209</v>
      </c>
    </row>
    <row r="6184" spans="6:7" x14ac:dyDescent="0.25">
      <c r="F6184" s="17" t="s">
        <v>933</v>
      </c>
      <c r="G6184" s="17" t="s">
        <v>209</v>
      </c>
    </row>
    <row r="6185" spans="6:7" x14ac:dyDescent="0.25">
      <c r="F6185" s="17" t="s">
        <v>858</v>
      </c>
      <c r="G6185" s="17" t="s">
        <v>209</v>
      </c>
    </row>
    <row r="6186" spans="6:7" x14ac:dyDescent="0.25">
      <c r="F6186" s="17" t="s">
        <v>6475</v>
      </c>
      <c r="G6186" s="17" t="s">
        <v>209</v>
      </c>
    </row>
    <row r="6187" spans="6:7" x14ac:dyDescent="0.25">
      <c r="F6187" s="17" t="s">
        <v>6476</v>
      </c>
      <c r="G6187" s="17" t="s">
        <v>209</v>
      </c>
    </row>
    <row r="6188" spans="6:7" x14ac:dyDescent="0.25">
      <c r="F6188" s="17" t="s">
        <v>338</v>
      </c>
      <c r="G6188" s="17" t="s">
        <v>209</v>
      </c>
    </row>
    <row r="6189" spans="6:7" x14ac:dyDescent="0.25">
      <c r="F6189" s="17" t="s">
        <v>6477</v>
      </c>
      <c r="G6189" s="17" t="s">
        <v>209</v>
      </c>
    </row>
    <row r="6190" spans="6:7" x14ac:dyDescent="0.25">
      <c r="F6190" s="17" t="s">
        <v>6478</v>
      </c>
      <c r="G6190" s="17" t="s">
        <v>209</v>
      </c>
    </row>
    <row r="6191" spans="6:7" x14ac:dyDescent="0.25">
      <c r="F6191" s="17" t="s">
        <v>6479</v>
      </c>
      <c r="G6191" s="17" t="s">
        <v>209</v>
      </c>
    </row>
    <row r="6192" spans="6:7" x14ac:dyDescent="0.25">
      <c r="F6192" s="17" t="s">
        <v>6480</v>
      </c>
      <c r="G6192" s="17" t="s">
        <v>205</v>
      </c>
    </row>
    <row r="6193" spans="6:7" x14ac:dyDescent="0.25">
      <c r="F6193" s="17" t="s">
        <v>6481</v>
      </c>
      <c r="G6193" s="17" t="s">
        <v>205</v>
      </c>
    </row>
    <row r="6194" spans="6:7" x14ac:dyDescent="0.25">
      <c r="F6194" s="17" t="s">
        <v>6482</v>
      </c>
      <c r="G6194" s="17" t="s">
        <v>205</v>
      </c>
    </row>
    <row r="6195" spans="6:7" x14ac:dyDescent="0.25">
      <c r="F6195" s="17" t="s">
        <v>6483</v>
      </c>
      <c r="G6195" s="17" t="s">
        <v>205</v>
      </c>
    </row>
    <row r="6196" spans="6:7" x14ac:dyDescent="0.25">
      <c r="F6196" s="17" t="s">
        <v>6484</v>
      </c>
      <c r="G6196" s="17" t="s">
        <v>205</v>
      </c>
    </row>
    <row r="6197" spans="6:7" x14ac:dyDescent="0.25">
      <c r="F6197" s="17" t="s">
        <v>6485</v>
      </c>
      <c r="G6197" s="17" t="s">
        <v>205</v>
      </c>
    </row>
    <row r="6198" spans="6:7" x14ac:dyDescent="0.25">
      <c r="F6198" s="17" t="s">
        <v>6486</v>
      </c>
      <c r="G6198" s="17" t="s">
        <v>205</v>
      </c>
    </row>
    <row r="6199" spans="6:7" x14ac:dyDescent="0.25">
      <c r="F6199" s="17" t="s">
        <v>6487</v>
      </c>
      <c r="G6199" s="17" t="s">
        <v>205</v>
      </c>
    </row>
    <row r="6200" spans="6:7" x14ac:dyDescent="0.25">
      <c r="F6200" s="17" t="s">
        <v>6488</v>
      </c>
      <c r="G6200" s="17" t="s">
        <v>205</v>
      </c>
    </row>
    <row r="6201" spans="6:7" x14ac:dyDescent="0.25">
      <c r="F6201" s="17" t="s">
        <v>6489</v>
      </c>
      <c r="G6201" s="17" t="s">
        <v>205</v>
      </c>
    </row>
    <row r="6202" spans="6:7" x14ac:dyDescent="0.25">
      <c r="F6202" s="17" t="s">
        <v>6490</v>
      </c>
      <c r="G6202" s="17" t="s">
        <v>205</v>
      </c>
    </row>
    <row r="6203" spans="6:7" x14ac:dyDescent="0.25">
      <c r="F6203" s="17" t="s">
        <v>6491</v>
      </c>
      <c r="G6203" s="17" t="s">
        <v>205</v>
      </c>
    </row>
    <row r="6204" spans="6:7" x14ac:dyDescent="0.25">
      <c r="F6204" s="17" t="s">
        <v>6492</v>
      </c>
      <c r="G6204" s="17" t="s">
        <v>205</v>
      </c>
    </row>
    <row r="6205" spans="6:7" x14ac:dyDescent="0.25">
      <c r="F6205" s="17" t="s">
        <v>6493</v>
      </c>
      <c r="G6205" s="17" t="s">
        <v>205</v>
      </c>
    </row>
    <row r="6206" spans="6:7" x14ac:dyDescent="0.25">
      <c r="F6206" s="17" t="s">
        <v>6494</v>
      </c>
      <c r="G6206" s="17" t="s">
        <v>6368</v>
      </c>
    </row>
    <row r="6207" spans="6:7" x14ac:dyDescent="0.25">
      <c r="F6207" s="17" t="s">
        <v>6495</v>
      </c>
      <c r="G6207" s="17" t="s">
        <v>6368</v>
      </c>
    </row>
    <row r="6208" spans="6:7" x14ac:dyDescent="0.25">
      <c r="F6208" s="17" t="s">
        <v>6496</v>
      </c>
      <c r="G6208" s="17" t="s">
        <v>6368</v>
      </c>
    </row>
    <row r="6209" spans="6:7" x14ac:dyDescent="0.25">
      <c r="F6209" s="17" t="s">
        <v>6497</v>
      </c>
      <c r="G6209" s="17" t="s">
        <v>6368</v>
      </c>
    </row>
    <row r="6210" spans="6:7" x14ac:dyDescent="0.25">
      <c r="F6210" s="17" t="s">
        <v>6498</v>
      </c>
      <c r="G6210" s="17" t="s">
        <v>6368</v>
      </c>
    </row>
    <row r="6211" spans="6:7" x14ac:dyDescent="0.25">
      <c r="F6211" s="17" t="s">
        <v>6499</v>
      </c>
      <c r="G6211" s="17" t="s">
        <v>6368</v>
      </c>
    </row>
    <row r="6212" spans="6:7" x14ac:dyDescent="0.25">
      <c r="F6212" s="17" t="s">
        <v>6500</v>
      </c>
      <c r="G6212" s="17" t="s">
        <v>6368</v>
      </c>
    </row>
    <row r="6213" spans="6:7" x14ac:dyDescent="0.25">
      <c r="F6213" s="17" t="s">
        <v>6501</v>
      </c>
      <c r="G6213" s="17" t="s">
        <v>6368</v>
      </c>
    </row>
    <row r="6214" spans="6:7" x14ac:dyDescent="0.25">
      <c r="F6214" s="17" t="s">
        <v>6502</v>
      </c>
      <c r="G6214" s="17" t="s">
        <v>6368</v>
      </c>
    </row>
    <row r="6215" spans="6:7" x14ac:dyDescent="0.25">
      <c r="F6215" s="17" t="s">
        <v>6503</v>
      </c>
      <c r="G6215" s="17" t="s">
        <v>6368</v>
      </c>
    </row>
    <row r="6216" spans="6:7" x14ac:dyDescent="0.25">
      <c r="F6216" s="17" t="s">
        <v>6504</v>
      </c>
      <c r="G6216" s="17" t="s">
        <v>6368</v>
      </c>
    </row>
    <row r="6217" spans="6:7" x14ac:dyDescent="0.25">
      <c r="F6217" s="17" t="s">
        <v>6505</v>
      </c>
      <c r="G6217" s="17" t="s">
        <v>6368</v>
      </c>
    </row>
    <row r="6218" spans="6:7" x14ac:dyDescent="0.25">
      <c r="F6218" s="17" t="s">
        <v>6506</v>
      </c>
      <c r="G6218" s="17" t="s">
        <v>6368</v>
      </c>
    </row>
    <row r="6219" spans="6:7" x14ac:dyDescent="0.25">
      <c r="F6219" s="17" t="s">
        <v>6507</v>
      </c>
      <c r="G6219" s="17" t="s">
        <v>6368</v>
      </c>
    </row>
    <row r="6220" spans="6:7" x14ac:dyDescent="0.25">
      <c r="F6220" s="17" t="s">
        <v>6508</v>
      </c>
      <c r="G6220" s="17" t="s">
        <v>6368</v>
      </c>
    </row>
    <row r="6221" spans="6:7" x14ac:dyDescent="0.25">
      <c r="F6221" s="17" t="s">
        <v>6509</v>
      </c>
      <c r="G6221" s="17" t="s">
        <v>6368</v>
      </c>
    </row>
    <row r="6222" spans="6:7" x14ac:dyDescent="0.25">
      <c r="F6222" s="17" t="s">
        <v>6510</v>
      </c>
      <c r="G6222" s="17" t="s">
        <v>6368</v>
      </c>
    </row>
    <row r="6223" spans="6:7" x14ac:dyDescent="0.25">
      <c r="F6223" s="17" t="s">
        <v>6511</v>
      </c>
      <c r="G6223" s="17" t="s">
        <v>6368</v>
      </c>
    </row>
    <row r="6224" spans="6:7" x14ac:dyDescent="0.25">
      <c r="F6224" s="17" t="s">
        <v>6512</v>
      </c>
      <c r="G6224" s="17" t="s">
        <v>6368</v>
      </c>
    </row>
    <row r="6225" spans="6:7" x14ac:dyDescent="0.25">
      <c r="F6225" s="17" t="s">
        <v>6513</v>
      </c>
      <c r="G6225" s="17" t="s">
        <v>6368</v>
      </c>
    </row>
    <row r="6226" spans="6:7" x14ac:dyDescent="0.25">
      <c r="F6226" s="17" t="s">
        <v>6514</v>
      </c>
      <c r="G6226" s="17" t="s">
        <v>6368</v>
      </c>
    </row>
    <row r="6227" spans="6:7" x14ac:dyDescent="0.25">
      <c r="F6227" s="17" t="s">
        <v>6515</v>
      </c>
      <c r="G6227" s="17" t="s">
        <v>6368</v>
      </c>
    </row>
    <row r="6228" spans="6:7" x14ac:dyDescent="0.25">
      <c r="F6228" s="17" t="s">
        <v>6516</v>
      </c>
      <c r="G6228" s="17" t="s">
        <v>6368</v>
      </c>
    </row>
    <row r="6229" spans="6:7" x14ac:dyDescent="0.25">
      <c r="F6229" s="17" t="s">
        <v>6517</v>
      </c>
      <c r="G6229" s="17" t="s">
        <v>6368</v>
      </c>
    </row>
    <row r="6230" spans="6:7" x14ac:dyDescent="0.25">
      <c r="F6230" s="17" t="s">
        <v>6518</v>
      </c>
      <c r="G6230" s="17" t="s">
        <v>6368</v>
      </c>
    </row>
    <row r="6231" spans="6:7" x14ac:dyDescent="0.25">
      <c r="F6231" s="17" t="s">
        <v>6519</v>
      </c>
      <c r="G6231" s="17" t="s">
        <v>6368</v>
      </c>
    </row>
    <row r="6232" spans="6:7" x14ac:dyDescent="0.25">
      <c r="F6232" s="17" t="s">
        <v>6520</v>
      </c>
      <c r="G6232" s="17" t="s">
        <v>6368</v>
      </c>
    </row>
    <row r="6233" spans="6:7" x14ac:dyDescent="0.25">
      <c r="F6233" s="17" t="s">
        <v>6521</v>
      </c>
      <c r="G6233" s="17" t="s">
        <v>6368</v>
      </c>
    </row>
    <row r="6234" spans="6:7" x14ac:dyDescent="0.25">
      <c r="F6234" s="17" t="s">
        <v>6522</v>
      </c>
      <c r="G6234" s="17" t="s">
        <v>6368</v>
      </c>
    </row>
    <row r="6235" spans="6:7" x14ac:dyDescent="0.25">
      <c r="F6235" s="17" t="s">
        <v>6523</v>
      </c>
      <c r="G6235" s="17" t="s">
        <v>6368</v>
      </c>
    </row>
    <row r="6236" spans="6:7" x14ac:dyDescent="0.25">
      <c r="F6236" s="17" t="s">
        <v>6524</v>
      </c>
      <c r="G6236" s="17" t="s">
        <v>6368</v>
      </c>
    </row>
    <row r="6237" spans="6:7" x14ac:dyDescent="0.25">
      <c r="F6237" s="17" t="s">
        <v>6525</v>
      </c>
      <c r="G6237" s="17" t="s">
        <v>6368</v>
      </c>
    </row>
    <row r="6238" spans="6:7" x14ac:dyDescent="0.25">
      <c r="F6238" s="17" t="s">
        <v>6526</v>
      </c>
      <c r="G6238" s="17" t="s">
        <v>205</v>
      </c>
    </row>
    <row r="6239" spans="6:7" x14ac:dyDescent="0.25">
      <c r="F6239" s="17" t="s">
        <v>6527</v>
      </c>
      <c r="G6239" s="17" t="s">
        <v>205</v>
      </c>
    </row>
    <row r="6240" spans="6:7" x14ac:dyDescent="0.25">
      <c r="F6240" s="17" t="s">
        <v>6528</v>
      </c>
      <c r="G6240" s="17" t="s">
        <v>205</v>
      </c>
    </row>
    <row r="6241" spans="6:7" x14ac:dyDescent="0.25">
      <c r="F6241" s="17" t="s">
        <v>6529</v>
      </c>
      <c r="G6241" s="17" t="s">
        <v>205</v>
      </c>
    </row>
    <row r="6242" spans="6:7" x14ac:dyDescent="0.25">
      <c r="F6242" s="17" t="s">
        <v>6530</v>
      </c>
      <c r="G6242" s="17" t="s">
        <v>205</v>
      </c>
    </row>
    <row r="6243" spans="6:7" x14ac:dyDescent="0.25">
      <c r="F6243" s="17" t="s">
        <v>6531</v>
      </c>
      <c r="G6243" s="17" t="s">
        <v>205</v>
      </c>
    </row>
    <row r="6244" spans="6:7" x14ac:dyDescent="0.25">
      <c r="F6244" s="17" t="s">
        <v>6532</v>
      </c>
      <c r="G6244" s="17" t="s">
        <v>205</v>
      </c>
    </row>
    <row r="6245" spans="6:7" x14ac:dyDescent="0.25">
      <c r="F6245" s="17" t="s">
        <v>6533</v>
      </c>
      <c r="G6245" s="17" t="s">
        <v>205</v>
      </c>
    </row>
    <row r="6246" spans="6:7" x14ac:dyDescent="0.25">
      <c r="F6246" s="17" t="s">
        <v>6534</v>
      </c>
      <c r="G6246" s="17" t="s">
        <v>209</v>
      </c>
    </row>
    <row r="6247" spans="6:7" x14ac:dyDescent="0.25">
      <c r="F6247" s="17" t="s">
        <v>6535</v>
      </c>
      <c r="G6247" s="17" t="s">
        <v>6384</v>
      </c>
    </row>
    <row r="6248" spans="6:7" x14ac:dyDescent="0.25">
      <c r="F6248" s="17" t="s">
        <v>6536</v>
      </c>
      <c r="G6248" s="17" t="s">
        <v>6384</v>
      </c>
    </row>
    <row r="6249" spans="6:7" x14ac:dyDescent="0.25">
      <c r="F6249" s="17" t="s">
        <v>6537</v>
      </c>
      <c r="G6249" s="17" t="s">
        <v>6384</v>
      </c>
    </row>
    <row r="6250" spans="6:7" x14ac:dyDescent="0.25">
      <c r="F6250" s="17" t="s">
        <v>6538</v>
      </c>
      <c r="G6250" s="17" t="s">
        <v>6384</v>
      </c>
    </row>
    <row r="6251" spans="6:7" x14ac:dyDescent="0.25">
      <c r="F6251" s="17" t="s">
        <v>6539</v>
      </c>
      <c r="G6251" s="17" t="s">
        <v>6384</v>
      </c>
    </row>
    <row r="6252" spans="6:7" x14ac:dyDescent="0.25">
      <c r="F6252" s="17" t="s">
        <v>6540</v>
      </c>
      <c r="G6252" s="17" t="s">
        <v>6384</v>
      </c>
    </row>
    <row r="6253" spans="6:7" x14ac:dyDescent="0.25">
      <c r="F6253" s="17" t="s">
        <v>6541</v>
      </c>
      <c r="G6253" s="17" t="s">
        <v>6384</v>
      </c>
    </row>
    <row r="6254" spans="6:7" x14ac:dyDescent="0.25">
      <c r="F6254" s="17" t="s">
        <v>6542</v>
      </c>
      <c r="G6254" s="17" t="s">
        <v>6384</v>
      </c>
    </row>
    <row r="6255" spans="6:7" x14ac:dyDescent="0.25">
      <c r="F6255" s="17" t="s">
        <v>6543</v>
      </c>
      <c r="G6255" s="17" t="s">
        <v>6384</v>
      </c>
    </row>
    <row r="6256" spans="6:7" x14ac:dyDescent="0.25">
      <c r="F6256" s="17" t="s">
        <v>6544</v>
      </c>
      <c r="G6256" s="17" t="s">
        <v>6384</v>
      </c>
    </row>
    <row r="6257" spans="6:7" x14ac:dyDescent="0.25">
      <c r="F6257" s="17" t="s">
        <v>6545</v>
      </c>
      <c r="G6257" s="17" t="s">
        <v>6384</v>
      </c>
    </row>
    <row r="6258" spans="6:7" x14ac:dyDescent="0.25">
      <c r="F6258" s="17" t="s">
        <v>6546</v>
      </c>
      <c r="G6258" s="17" t="s">
        <v>6384</v>
      </c>
    </row>
    <row r="6259" spans="6:7" x14ac:dyDescent="0.25">
      <c r="F6259" s="17" t="s">
        <v>6547</v>
      </c>
      <c r="G6259" s="17" t="s">
        <v>6384</v>
      </c>
    </row>
    <row r="6260" spans="6:7" x14ac:dyDescent="0.25">
      <c r="F6260" s="17" t="s">
        <v>6548</v>
      </c>
      <c r="G6260" s="17" t="s">
        <v>6549</v>
      </c>
    </row>
    <row r="6261" spans="6:7" x14ac:dyDescent="0.25">
      <c r="F6261" s="17" t="s">
        <v>6550</v>
      </c>
      <c r="G6261" s="17" t="s">
        <v>6384</v>
      </c>
    </row>
    <row r="6262" spans="6:7" x14ac:dyDescent="0.25">
      <c r="F6262" s="17" t="s">
        <v>6551</v>
      </c>
      <c r="G6262" s="17" t="s">
        <v>6384</v>
      </c>
    </row>
    <row r="6263" spans="6:7" x14ac:dyDescent="0.25">
      <c r="F6263" s="17" t="s">
        <v>6552</v>
      </c>
      <c r="G6263" s="17" t="s">
        <v>6384</v>
      </c>
    </row>
    <row r="6264" spans="6:7" x14ac:dyDescent="0.25">
      <c r="F6264" s="17" t="s">
        <v>6553</v>
      </c>
      <c r="G6264" s="17" t="s">
        <v>6384</v>
      </c>
    </row>
    <row r="6265" spans="6:7" x14ac:dyDescent="0.25">
      <c r="F6265" s="17" t="s">
        <v>6554</v>
      </c>
      <c r="G6265" s="17" t="s">
        <v>6384</v>
      </c>
    </row>
    <row r="6266" spans="6:7" x14ac:dyDescent="0.25">
      <c r="F6266" s="17" t="s">
        <v>6555</v>
      </c>
      <c r="G6266" s="17" t="s">
        <v>6384</v>
      </c>
    </row>
    <row r="6267" spans="6:7" x14ac:dyDescent="0.25">
      <c r="F6267" s="17" t="s">
        <v>6556</v>
      </c>
      <c r="G6267" s="17" t="s">
        <v>6384</v>
      </c>
    </row>
    <row r="6268" spans="6:7" x14ac:dyDescent="0.25">
      <c r="F6268" s="17" t="s">
        <v>6557</v>
      </c>
      <c r="G6268" s="17" t="s">
        <v>6384</v>
      </c>
    </row>
    <row r="6269" spans="6:7" x14ac:dyDescent="0.25">
      <c r="F6269" s="17" t="s">
        <v>6558</v>
      </c>
      <c r="G6269" s="17" t="s">
        <v>6384</v>
      </c>
    </row>
    <row r="6270" spans="6:7" x14ac:dyDescent="0.25">
      <c r="F6270" s="17" t="s">
        <v>6559</v>
      </c>
      <c r="G6270" s="17" t="s">
        <v>6384</v>
      </c>
    </row>
    <row r="6271" spans="6:7" x14ac:dyDescent="0.25">
      <c r="F6271" s="17" t="s">
        <v>6560</v>
      </c>
      <c r="G6271" s="17" t="s">
        <v>6384</v>
      </c>
    </row>
    <row r="6272" spans="6:7" x14ac:dyDescent="0.25">
      <c r="F6272" s="17" t="s">
        <v>6561</v>
      </c>
      <c r="G6272" s="17" t="s">
        <v>6384</v>
      </c>
    </row>
    <row r="6273" spans="6:7" x14ac:dyDescent="0.25">
      <c r="F6273" s="17" t="s">
        <v>6562</v>
      </c>
      <c r="G6273" s="17" t="s">
        <v>6384</v>
      </c>
    </row>
    <row r="6274" spans="6:7" x14ac:dyDescent="0.25">
      <c r="F6274" s="17" t="s">
        <v>6563</v>
      </c>
      <c r="G6274" s="17" t="s">
        <v>6384</v>
      </c>
    </row>
    <row r="6275" spans="6:7" x14ac:dyDescent="0.25">
      <c r="F6275" s="17" t="s">
        <v>6564</v>
      </c>
      <c r="G6275" s="17" t="s">
        <v>6384</v>
      </c>
    </row>
    <row r="6276" spans="6:7" x14ac:dyDescent="0.25">
      <c r="F6276" s="17" t="s">
        <v>6565</v>
      </c>
      <c r="G6276" s="17" t="s">
        <v>6384</v>
      </c>
    </row>
    <row r="6277" spans="6:7" x14ac:dyDescent="0.25">
      <c r="F6277" s="17" t="s">
        <v>6566</v>
      </c>
      <c r="G6277" s="17" t="s">
        <v>6384</v>
      </c>
    </row>
    <row r="6278" spans="6:7" x14ac:dyDescent="0.25">
      <c r="F6278" s="17" t="s">
        <v>6567</v>
      </c>
      <c r="G6278" s="17" t="s">
        <v>6384</v>
      </c>
    </row>
    <row r="6279" spans="6:7" x14ac:dyDescent="0.25">
      <c r="F6279" s="17" t="s">
        <v>6568</v>
      </c>
      <c r="G6279" s="17" t="s">
        <v>6384</v>
      </c>
    </row>
    <row r="6280" spans="6:7" x14ac:dyDescent="0.25">
      <c r="F6280" s="17" t="s">
        <v>6569</v>
      </c>
      <c r="G6280" s="17" t="s">
        <v>6384</v>
      </c>
    </row>
    <row r="6281" spans="6:7" x14ac:dyDescent="0.25">
      <c r="F6281" s="17" t="s">
        <v>6570</v>
      </c>
      <c r="G6281" s="17" t="s">
        <v>6384</v>
      </c>
    </row>
    <row r="6282" spans="6:7" x14ac:dyDescent="0.25">
      <c r="F6282" s="17" t="s">
        <v>6571</v>
      </c>
      <c r="G6282" s="17" t="s">
        <v>6384</v>
      </c>
    </row>
    <row r="6283" spans="6:7" x14ac:dyDescent="0.25">
      <c r="F6283" s="17" t="s">
        <v>6572</v>
      </c>
      <c r="G6283" s="17" t="s">
        <v>6384</v>
      </c>
    </row>
    <row r="6284" spans="6:7" x14ac:dyDescent="0.25">
      <c r="F6284" s="17" t="s">
        <v>6573</v>
      </c>
      <c r="G6284" s="17" t="s">
        <v>6384</v>
      </c>
    </row>
    <row r="6285" spans="6:7" x14ac:dyDescent="0.25">
      <c r="F6285" s="17" t="s">
        <v>6574</v>
      </c>
      <c r="G6285" s="17" t="s">
        <v>6384</v>
      </c>
    </row>
    <row r="6286" spans="6:7" x14ac:dyDescent="0.25">
      <c r="F6286" s="17" t="s">
        <v>6575</v>
      </c>
      <c r="G6286" s="17" t="s">
        <v>6384</v>
      </c>
    </row>
    <row r="6287" spans="6:7" x14ac:dyDescent="0.25">
      <c r="F6287" s="17" t="s">
        <v>6576</v>
      </c>
      <c r="G6287" s="17" t="s">
        <v>6384</v>
      </c>
    </row>
    <row r="6288" spans="6:7" x14ac:dyDescent="0.25">
      <c r="F6288" s="17" t="s">
        <v>6577</v>
      </c>
      <c r="G6288" s="17" t="s">
        <v>6384</v>
      </c>
    </row>
    <row r="6289" spans="6:7" x14ac:dyDescent="0.25">
      <c r="F6289" s="17" t="s">
        <v>6578</v>
      </c>
      <c r="G6289" s="17" t="s">
        <v>6384</v>
      </c>
    </row>
    <row r="6290" spans="6:7" x14ac:dyDescent="0.25">
      <c r="F6290" s="17" t="s">
        <v>6579</v>
      </c>
      <c r="G6290" s="17" t="s">
        <v>6384</v>
      </c>
    </row>
    <row r="6291" spans="6:7" x14ac:dyDescent="0.25">
      <c r="F6291" s="17" t="s">
        <v>6580</v>
      </c>
      <c r="G6291" s="17" t="s">
        <v>6581</v>
      </c>
    </row>
    <row r="6292" spans="6:7" x14ac:dyDescent="0.25">
      <c r="F6292" s="17" t="s">
        <v>6582</v>
      </c>
      <c r="G6292" s="17" t="s">
        <v>6384</v>
      </c>
    </row>
    <row r="6293" spans="6:7" x14ac:dyDescent="0.25">
      <c r="F6293" s="17" t="s">
        <v>6583</v>
      </c>
      <c r="G6293" s="17" t="s">
        <v>6258</v>
      </c>
    </row>
    <row r="6294" spans="6:7" x14ac:dyDescent="0.25">
      <c r="F6294" s="17" t="s">
        <v>6584</v>
      </c>
      <c r="G6294" s="17" t="s">
        <v>6258</v>
      </c>
    </row>
    <row r="6295" spans="6:7" x14ac:dyDescent="0.25">
      <c r="F6295" s="17" t="s">
        <v>6585</v>
      </c>
      <c r="G6295" s="17" t="s">
        <v>6258</v>
      </c>
    </row>
    <row r="6296" spans="6:7" x14ac:dyDescent="0.25">
      <c r="F6296" s="17" t="s">
        <v>6586</v>
      </c>
      <c r="G6296" s="17" t="s">
        <v>6258</v>
      </c>
    </row>
    <row r="6297" spans="6:7" x14ac:dyDescent="0.25">
      <c r="F6297" s="17" t="s">
        <v>6587</v>
      </c>
      <c r="G6297" s="17" t="s">
        <v>6258</v>
      </c>
    </row>
    <row r="6298" spans="6:7" x14ac:dyDescent="0.25">
      <c r="F6298" s="17" t="s">
        <v>6588</v>
      </c>
      <c r="G6298" s="17" t="s">
        <v>6258</v>
      </c>
    </row>
    <row r="6299" spans="6:7" x14ac:dyDescent="0.25">
      <c r="F6299" s="17" t="s">
        <v>6589</v>
      </c>
      <c r="G6299" s="17" t="s">
        <v>6258</v>
      </c>
    </row>
    <row r="6300" spans="6:7" x14ac:dyDescent="0.25">
      <c r="F6300" s="17" t="s">
        <v>6590</v>
      </c>
      <c r="G6300" s="17" t="s">
        <v>6258</v>
      </c>
    </row>
    <row r="6301" spans="6:7" x14ac:dyDescent="0.25">
      <c r="F6301" s="17" t="s">
        <v>6591</v>
      </c>
      <c r="G6301" s="17" t="s">
        <v>6258</v>
      </c>
    </row>
    <row r="6302" spans="6:7" x14ac:dyDescent="0.25">
      <c r="F6302" s="17" t="s">
        <v>6592</v>
      </c>
      <c r="G6302" s="17" t="s">
        <v>6258</v>
      </c>
    </row>
    <row r="6303" spans="6:7" x14ac:dyDescent="0.25">
      <c r="F6303" s="17" t="s">
        <v>6593</v>
      </c>
      <c r="G6303" s="17" t="s">
        <v>6258</v>
      </c>
    </row>
    <row r="6304" spans="6:7" x14ac:dyDescent="0.25">
      <c r="F6304" s="17" t="s">
        <v>6594</v>
      </c>
      <c r="G6304" s="17" t="s">
        <v>6258</v>
      </c>
    </row>
    <row r="6305" spans="6:7" x14ac:dyDescent="0.25">
      <c r="F6305" s="17" t="s">
        <v>6595</v>
      </c>
      <c r="G6305" s="17" t="s">
        <v>6258</v>
      </c>
    </row>
    <row r="6306" spans="6:7" x14ac:dyDescent="0.25">
      <c r="F6306" s="17" t="s">
        <v>6596</v>
      </c>
      <c r="G6306" s="17" t="s">
        <v>6258</v>
      </c>
    </row>
    <row r="6307" spans="6:7" x14ac:dyDescent="0.25">
      <c r="F6307" s="17" t="s">
        <v>6597</v>
      </c>
      <c r="G6307" s="17" t="s">
        <v>6258</v>
      </c>
    </row>
    <row r="6308" spans="6:7" x14ac:dyDescent="0.25">
      <c r="F6308" s="17" t="s">
        <v>6598</v>
      </c>
      <c r="G6308" s="17" t="s">
        <v>6258</v>
      </c>
    </row>
    <row r="6309" spans="6:7" x14ac:dyDescent="0.25">
      <c r="F6309" s="17" t="s">
        <v>6599</v>
      </c>
      <c r="G6309" s="17" t="s">
        <v>6258</v>
      </c>
    </row>
    <row r="6310" spans="6:7" x14ac:dyDescent="0.25">
      <c r="F6310" s="17" t="s">
        <v>6600</v>
      </c>
      <c r="G6310" s="17" t="s">
        <v>6258</v>
      </c>
    </row>
    <row r="6311" spans="6:7" x14ac:dyDescent="0.25">
      <c r="F6311" s="17" t="s">
        <v>6601</v>
      </c>
      <c r="G6311" s="17" t="s">
        <v>6258</v>
      </c>
    </row>
    <row r="6312" spans="6:7" x14ac:dyDescent="0.25">
      <c r="F6312" s="17" t="s">
        <v>6602</v>
      </c>
      <c r="G6312" s="17" t="s">
        <v>6258</v>
      </c>
    </row>
    <row r="6313" spans="6:7" x14ac:dyDescent="0.25">
      <c r="F6313" s="17" t="s">
        <v>6603</v>
      </c>
      <c r="G6313" s="17" t="s">
        <v>6258</v>
      </c>
    </row>
    <row r="6314" spans="6:7" x14ac:dyDescent="0.25">
      <c r="F6314" s="17" t="s">
        <v>6604</v>
      </c>
      <c r="G6314" s="17" t="s">
        <v>6605</v>
      </c>
    </row>
    <row r="6315" spans="6:7" x14ac:dyDescent="0.25">
      <c r="F6315" s="17" t="s">
        <v>6606</v>
      </c>
      <c r="G6315" s="17" t="s">
        <v>6605</v>
      </c>
    </row>
    <row r="6316" spans="6:7" x14ac:dyDescent="0.25">
      <c r="F6316" s="17" t="s">
        <v>6607</v>
      </c>
      <c r="G6316" s="17" t="s">
        <v>6605</v>
      </c>
    </row>
    <row r="6317" spans="6:7" x14ac:dyDescent="0.25">
      <c r="F6317" s="17" t="s">
        <v>6608</v>
      </c>
      <c r="G6317" s="17" t="s">
        <v>6605</v>
      </c>
    </row>
    <row r="6318" spans="6:7" x14ac:dyDescent="0.25">
      <c r="F6318" s="17" t="s">
        <v>6609</v>
      </c>
      <c r="G6318" s="17" t="s">
        <v>6610</v>
      </c>
    </row>
    <row r="6319" spans="6:7" x14ac:dyDescent="0.25">
      <c r="F6319" s="17" t="s">
        <v>6611</v>
      </c>
      <c r="G6319" s="17" t="s">
        <v>6610</v>
      </c>
    </row>
    <row r="6320" spans="6:7" x14ac:dyDescent="0.25">
      <c r="F6320" s="17" t="s">
        <v>6612</v>
      </c>
      <c r="G6320" s="17" t="s">
        <v>6610</v>
      </c>
    </row>
    <row r="6321" spans="6:7" x14ac:dyDescent="0.25">
      <c r="F6321" s="17" t="s">
        <v>6613</v>
      </c>
      <c r="G6321" s="17" t="s">
        <v>6610</v>
      </c>
    </row>
    <row r="6322" spans="6:7" x14ac:dyDescent="0.25">
      <c r="F6322" s="17" t="s">
        <v>6614</v>
      </c>
      <c r="G6322" s="17" t="s">
        <v>213</v>
      </c>
    </row>
    <row r="6323" spans="6:7" x14ac:dyDescent="0.25">
      <c r="F6323" s="17" t="s">
        <v>6615</v>
      </c>
      <c r="G6323" s="17" t="s">
        <v>213</v>
      </c>
    </row>
    <row r="6324" spans="6:7" x14ac:dyDescent="0.25">
      <c r="F6324" s="17" t="s">
        <v>6616</v>
      </c>
      <c r="G6324" s="17" t="s">
        <v>213</v>
      </c>
    </row>
    <row r="6325" spans="6:7" x14ac:dyDescent="0.25">
      <c r="F6325" s="17" t="s">
        <v>6617</v>
      </c>
      <c r="G6325" s="17" t="s">
        <v>213</v>
      </c>
    </row>
    <row r="6326" spans="6:7" x14ac:dyDescent="0.25">
      <c r="F6326" s="17" t="s">
        <v>6618</v>
      </c>
      <c r="G6326" s="17" t="s">
        <v>213</v>
      </c>
    </row>
    <row r="6327" spans="6:7" x14ac:dyDescent="0.25">
      <c r="F6327" s="17" t="s">
        <v>6619</v>
      </c>
      <c r="G6327" s="17" t="s">
        <v>213</v>
      </c>
    </row>
    <row r="6328" spans="6:7" x14ac:dyDescent="0.25">
      <c r="F6328" s="17" t="s">
        <v>6620</v>
      </c>
      <c r="G6328" s="17" t="s">
        <v>213</v>
      </c>
    </row>
    <row r="6329" spans="6:7" x14ac:dyDescent="0.25">
      <c r="F6329" s="17" t="s">
        <v>6621</v>
      </c>
      <c r="G6329" s="17" t="s">
        <v>213</v>
      </c>
    </row>
    <row r="6330" spans="6:7" x14ac:dyDescent="0.25">
      <c r="F6330" s="17" t="s">
        <v>6622</v>
      </c>
      <c r="G6330" s="17" t="s">
        <v>213</v>
      </c>
    </row>
    <row r="6331" spans="6:7" x14ac:dyDescent="0.25">
      <c r="F6331" s="17" t="s">
        <v>6623</v>
      </c>
      <c r="G6331" s="17" t="s">
        <v>205</v>
      </c>
    </row>
    <row r="6332" spans="6:7" x14ac:dyDescent="0.25">
      <c r="F6332" s="17" t="s">
        <v>6624</v>
      </c>
      <c r="G6332" s="17" t="s">
        <v>213</v>
      </c>
    </row>
    <row r="6333" spans="6:7" x14ac:dyDescent="0.25">
      <c r="F6333" s="17" t="s">
        <v>6625</v>
      </c>
      <c r="G6333" s="17" t="s">
        <v>213</v>
      </c>
    </row>
    <row r="6334" spans="6:7" x14ac:dyDescent="0.25">
      <c r="F6334" s="17" t="s">
        <v>6626</v>
      </c>
      <c r="G6334" s="17" t="s">
        <v>213</v>
      </c>
    </row>
    <row r="6335" spans="6:7" x14ac:dyDescent="0.25">
      <c r="F6335" s="17" t="s">
        <v>6627</v>
      </c>
      <c r="G6335" s="17" t="s">
        <v>213</v>
      </c>
    </row>
    <row r="6336" spans="6:7" x14ac:dyDescent="0.25">
      <c r="F6336" s="17" t="s">
        <v>6628</v>
      </c>
      <c r="G6336" s="17" t="s">
        <v>213</v>
      </c>
    </row>
    <row r="6337" spans="6:7" x14ac:dyDescent="0.25">
      <c r="F6337" s="17" t="s">
        <v>6629</v>
      </c>
      <c r="G6337" s="17" t="s">
        <v>213</v>
      </c>
    </row>
    <row r="6338" spans="6:7" x14ac:dyDescent="0.25">
      <c r="F6338" s="17" t="s">
        <v>6630</v>
      </c>
      <c r="G6338" s="17" t="s">
        <v>213</v>
      </c>
    </row>
    <row r="6339" spans="6:7" x14ac:dyDescent="0.25">
      <c r="F6339" s="17" t="s">
        <v>6631</v>
      </c>
      <c r="G6339" s="17" t="s">
        <v>213</v>
      </c>
    </row>
    <row r="6340" spans="6:7" x14ac:dyDescent="0.25">
      <c r="F6340" s="17" t="s">
        <v>6632</v>
      </c>
      <c r="G6340" s="17" t="s">
        <v>213</v>
      </c>
    </row>
    <row r="6341" spans="6:7" x14ac:dyDescent="0.25">
      <c r="F6341" s="17" t="s">
        <v>6633</v>
      </c>
      <c r="G6341" s="17" t="s">
        <v>213</v>
      </c>
    </row>
    <row r="6342" spans="6:7" x14ac:dyDescent="0.25">
      <c r="F6342" s="17" t="s">
        <v>6634</v>
      </c>
      <c r="G6342" s="17" t="s">
        <v>213</v>
      </c>
    </row>
    <row r="6343" spans="6:7" x14ac:dyDescent="0.25">
      <c r="F6343" s="17" t="s">
        <v>6635</v>
      </c>
      <c r="G6343" s="17" t="s">
        <v>213</v>
      </c>
    </row>
    <row r="6344" spans="6:7" x14ac:dyDescent="0.25">
      <c r="F6344" s="17" t="s">
        <v>6636</v>
      </c>
      <c r="G6344" s="17" t="s">
        <v>213</v>
      </c>
    </row>
    <row r="6345" spans="6:7" x14ac:dyDescent="0.25">
      <c r="F6345" s="17" t="s">
        <v>6637</v>
      </c>
      <c r="G6345" s="17" t="s">
        <v>213</v>
      </c>
    </row>
    <row r="6346" spans="6:7" x14ac:dyDescent="0.25">
      <c r="F6346" s="17" t="s">
        <v>6638</v>
      </c>
      <c r="G6346" s="17" t="s">
        <v>213</v>
      </c>
    </row>
    <row r="6347" spans="6:7" x14ac:dyDescent="0.25">
      <c r="F6347" s="17" t="s">
        <v>6639</v>
      </c>
      <c r="G6347" s="17" t="s">
        <v>213</v>
      </c>
    </row>
    <row r="6348" spans="6:7" x14ac:dyDescent="0.25">
      <c r="F6348" s="17" t="s">
        <v>6640</v>
      </c>
      <c r="G6348" s="17" t="s">
        <v>213</v>
      </c>
    </row>
    <row r="6349" spans="6:7" x14ac:dyDescent="0.25">
      <c r="F6349" s="17" t="s">
        <v>6641</v>
      </c>
      <c r="G6349" s="17" t="s">
        <v>213</v>
      </c>
    </row>
    <row r="6350" spans="6:7" x14ac:dyDescent="0.25">
      <c r="F6350" s="17" t="s">
        <v>6642</v>
      </c>
      <c r="G6350" s="17" t="s">
        <v>213</v>
      </c>
    </row>
    <row r="6351" spans="6:7" x14ac:dyDescent="0.25">
      <c r="F6351" s="17" t="s">
        <v>6643</v>
      </c>
      <c r="G6351" s="17" t="s">
        <v>213</v>
      </c>
    </row>
    <row r="6352" spans="6:7" x14ac:dyDescent="0.25">
      <c r="F6352" s="17" t="s">
        <v>6644</v>
      </c>
      <c r="G6352" s="17" t="s">
        <v>213</v>
      </c>
    </row>
    <row r="6353" spans="6:7" x14ac:dyDescent="0.25">
      <c r="F6353" s="17" t="s">
        <v>6645</v>
      </c>
      <c r="G6353" s="17" t="s">
        <v>213</v>
      </c>
    </row>
    <row r="6354" spans="6:7" x14ac:dyDescent="0.25">
      <c r="F6354" s="17" t="s">
        <v>383</v>
      </c>
      <c r="G6354" s="17" t="s">
        <v>213</v>
      </c>
    </row>
    <row r="6355" spans="6:7" x14ac:dyDescent="0.25">
      <c r="F6355" s="17" t="s">
        <v>6646</v>
      </c>
      <c r="G6355" s="17" t="s">
        <v>213</v>
      </c>
    </row>
    <row r="6356" spans="6:7" x14ac:dyDescent="0.25">
      <c r="F6356" s="17" t="s">
        <v>6647</v>
      </c>
      <c r="G6356" s="17" t="s">
        <v>213</v>
      </c>
    </row>
    <row r="6357" spans="6:7" x14ac:dyDescent="0.25">
      <c r="F6357" s="17" t="s">
        <v>719</v>
      </c>
      <c r="G6357" s="17" t="s">
        <v>213</v>
      </c>
    </row>
    <row r="6358" spans="6:7" x14ac:dyDescent="0.25">
      <c r="F6358" s="17" t="s">
        <v>6648</v>
      </c>
      <c r="G6358" s="17" t="s">
        <v>213</v>
      </c>
    </row>
    <row r="6359" spans="6:7" x14ac:dyDescent="0.25">
      <c r="F6359" s="17" t="s">
        <v>6649</v>
      </c>
      <c r="G6359" s="17" t="s">
        <v>213</v>
      </c>
    </row>
    <row r="6360" spans="6:7" x14ac:dyDescent="0.25">
      <c r="F6360" s="17" t="s">
        <v>6650</v>
      </c>
      <c r="G6360" s="17" t="s">
        <v>213</v>
      </c>
    </row>
    <row r="6361" spans="6:7" x14ac:dyDescent="0.25">
      <c r="F6361" s="17" t="s">
        <v>6651</v>
      </c>
      <c r="G6361" s="17" t="s">
        <v>213</v>
      </c>
    </row>
    <row r="6362" spans="6:7" x14ac:dyDescent="0.25">
      <c r="F6362" s="17" t="s">
        <v>6652</v>
      </c>
      <c r="G6362" s="17" t="s">
        <v>213</v>
      </c>
    </row>
    <row r="6363" spans="6:7" x14ac:dyDescent="0.25">
      <c r="F6363" s="17" t="s">
        <v>6653</v>
      </c>
      <c r="G6363" s="17" t="s">
        <v>213</v>
      </c>
    </row>
    <row r="6364" spans="6:7" x14ac:dyDescent="0.25">
      <c r="F6364" s="17" t="s">
        <v>6654</v>
      </c>
      <c r="G6364" s="17" t="s">
        <v>213</v>
      </c>
    </row>
    <row r="6365" spans="6:7" x14ac:dyDescent="0.25">
      <c r="F6365" s="17" t="s">
        <v>6655</v>
      </c>
      <c r="G6365" s="17" t="s">
        <v>213</v>
      </c>
    </row>
    <row r="6366" spans="6:7" x14ac:dyDescent="0.25">
      <c r="F6366" s="17" t="s">
        <v>6656</v>
      </c>
      <c r="G6366" s="17" t="s">
        <v>213</v>
      </c>
    </row>
    <row r="6367" spans="6:7" x14ac:dyDescent="0.25">
      <c r="F6367" s="17" t="s">
        <v>6657</v>
      </c>
      <c r="G6367" s="17" t="s">
        <v>213</v>
      </c>
    </row>
    <row r="6368" spans="6:7" x14ac:dyDescent="0.25">
      <c r="F6368" s="17" t="s">
        <v>6658</v>
      </c>
      <c r="G6368" s="17" t="s">
        <v>213</v>
      </c>
    </row>
    <row r="6369" spans="6:7" x14ac:dyDescent="0.25">
      <c r="F6369" s="17" t="s">
        <v>6659</v>
      </c>
      <c r="G6369" s="17" t="s">
        <v>213</v>
      </c>
    </row>
    <row r="6370" spans="6:7" x14ac:dyDescent="0.25">
      <c r="F6370" s="17" t="s">
        <v>6660</v>
      </c>
      <c r="G6370" s="17" t="s">
        <v>213</v>
      </c>
    </row>
    <row r="6371" spans="6:7" x14ac:dyDescent="0.25">
      <c r="F6371" s="17" t="s">
        <v>6661</v>
      </c>
      <c r="G6371" s="17" t="s">
        <v>213</v>
      </c>
    </row>
    <row r="6372" spans="6:7" x14ac:dyDescent="0.25">
      <c r="F6372" s="17" t="s">
        <v>6662</v>
      </c>
      <c r="G6372" s="17" t="s">
        <v>213</v>
      </c>
    </row>
    <row r="6373" spans="6:7" x14ac:dyDescent="0.25">
      <c r="F6373" s="17" t="s">
        <v>6663</v>
      </c>
      <c r="G6373" s="17" t="s">
        <v>213</v>
      </c>
    </row>
    <row r="6374" spans="6:7" x14ac:dyDescent="0.25">
      <c r="F6374" s="17" t="s">
        <v>6664</v>
      </c>
      <c r="G6374" s="17" t="s">
        <v>213</v>
      </c>
    </row>
    <row r="6375" spans="6:7" x14ac:dyDescent="0.25">
      <c r="F6375" s="17" t="s">
        <v>6665</v>
      </c>
      <c r="G6375" s="17" t="s">
        <v>213</v>
      </c>
    </row>
    <row r="6376" spans="6:7" x14ac:dyDescent="0.25">
      <c r="F6376" s="17" t="s">
        <v>6666</v>
      </c>
      <c r="G6376" s="17" t="s">
        <v>213</v>
      </c>
    </row>
    <row r="6377" spans="6:7" x14ac:dyDescent="0.25">
      <c r="F6377" s="17" t="s">
        <v>6667</v>
      </c>
      <c r="G6377" s="17" t="s">
        <v>213</v>
      </c>
    </row>
    <row r="6378" spans="6:7" x14ac:dyDescent="0.25">
      <c r="F6378" s="17" t="s">
        <v>6668</v>
      </c>
      <c r="G6378" s="17" t="s">
        <v>213</v>
      </c>
    </row>
    <row r="6379" spans="6:7" x14ac:dyDescent="0.25">
      <c r="F6379" s="17" t="s">
        <v>6669</v>
      </c>
      <c r="G6379" s="17" t="s">
        <v>213</v>
      </c>
    </row>
    <row r="6380" spans="6:7" x14ac:dyDescent="0.25">
      <c r="F6380" s="17" t="s">
        <v>6670</v>
      </c>
      <c r="G6380" s="17" t="s">
        <v>213</v>
      </c>
    </row>
    <row r="6381" spans="6:7" x14ac:dyDescent="0.25">
      <c r="F6381" s="17" t="s">
        <v>6671</v>
      </c>
      <c r="G6381" s="17" t="s">
        <v>213</v>
      </c>
    </row>
    <row r="6382" spans="6:7" x14ac:dyDescent="0.25">
      <c r="F6382" s="17" t="s">
        <v>6672</v>
      </c>
      <c r="G6382" s="17" t="s">
        <v>213</v>
      </c>
    </row>
    <row r="6383" spans="6:7" x14ac:dyDescent="0.25">
      <c r="F6383" s="17" t="s">
        <v>6673</v>
      </c>
      <c r="G6383" s="17" t="s">
        <v>213</v>
      </c>
    </row>
    <row r="6384" spans="6:7" x14ac:dyDescent="0.25">
      <c r="F6384" s="17" t="s">
        <v>6674</v>
      </c>
      <c r="G6384" s="17" t="s">
        <v>213</v>
      </c>
    </row>
    <row r="6385" spans="6:7" x14ac:dyDescent="0.25">
      <c r="F6385" s="17" t="s">
        <v>6675</v>
      </c>
      <c r="G6385" s="17" t="s">
        <v>213</v>
      </c>
    </row>
    <row r="6386" spans="6:7" x14ac:dyDescent="0.25">
      <c r="F6386" s="17" t="s">
        <v>6676</v>
      </c>
      <c r="G6386" s="17" t="s">
        <v>213</v>
      </c>
    </row>
    <row r="6387" spans="6:7" x14ac:dyDescent="0.25">
      <c r="F6387" s="17" t="s">
        <v>6677</v>
      </c>
      <c r="G6387" s="17" t="s">
        <v>213</v>
      </c>
    </row>
    <row r="6388" spans="6:7" x14ac:dyDescent="0.25">
      <c r="F6388" s="17" t="s">
        <v>6678</v>
      </c>
      <c r="G6388" s="17" t="s">
        <v>213</v>
      </c>
    </row>
    <row r="6389" spans="6:7" x14ac:dyDescent="0.25">
      <c r="F6389" s="17" t="s">
        <v>6679</v>
      </c>
      <c r="G6389" s="17" t="s">
        <v>213</v>
      </c>
    </row>
    <row r="6390" spans="6:7" x14ac:dyDescent="0.25">
      <c r="F6390" s="17" t="s">
        <v>6680</v>
      </c>
      <c r="G6390" s="17" t="s">
        <v>213</v>
      </c>
    </row>
    <row r="6391" spans="6:7" x14ac:dyDescent="0.25">
      <c r="F6391" s="17" t="s">
        <v>6681</v>
      </c>
      <c r="G6391" s="17" t="s">
        <v>213</v>
      </c>
    </row>
    <row r="6392" spans="6:7" x14ac:dyDescent="0.25">
      <c r="F6392" s="17" t="s">
        <v>6682</v>
      </c>
      <c r="G6392" s="17" t="s">
        <v>213</v>
      </c>
    </row>
    <row r="6393" spans="6:7" x14ac:dyDescent="0.25">
      <c r="F6393" s="17" t="s">
        <v>6683</v>
      </c>
      <c r="G6393" s="17" t="s">
        <v>213</v>
      </c>
    </row>
    <row r="6394" spans="6:7" x14ac:dyDescent="0.25">
      <c r="F6394" s="17" t="s">
        <v>6684</v>
      </c>
      <c r="G6394" s="17" t="s">
        <v>213</v>
      </c>
    </row>
    <row r="6395" spans="6:7" x14ac:dyDescent="0.25">
      <c r="F6395" s="17" t="s">
        <v>6685</v>
      </c>
      <c r="G6395" s="17" t="s">
        <v>213</v>
      </c>
    </row>
    <row r="6396" spans="6:7" x14ac:dyDescent="0.25">
      <c r="F6396" s="17" t="s">
        <v>800</v>
      </c>
      <c r="G6396" s="17" t="s">
        <v>213</v>
      </c>
    </row>
    <row r="6397" spans="6:7" x14ac:dyDescent="0.25">
      <c r="F6397" s="17" t="s">
        <v>689</v>
      </c>
      <c r="G6397" s="17" t="s">
        <v>213</v>
      </c>
    </row>
    <row r="6398" spans="6:7" x14ac:dyDescent="0.25">
      <c r="F6398" s="17" t="s">
        <v>823</v>
      </c>
      <c r="G6398" s="17" t="s">
        <v>213</v>
      </c>
    </row>
    <row r="6399" spans="6:7" x14ac:dyDescent="0.25">
      <c r="F6399" s="17" t="s">
        <v>6686</v>
      </c>
      <c r="G6399" s="17" t="s">
        <v>213</v>
      </c>
    </row>
    <row r="6400" spans="6:7" x14ac:dyDescent="0.25">
      <c r="F6400" s="17" t="s">
        <v>6687</v>
      </c>
      <c r="G6400" s="17" t="s">
        <v>213</v>
      </c>
    </row>
    <row r="6401" spans="6:7" x14ac:dyDescent="0.25">
      <c r="F6401" s="17" t="s">
        <v>6688</v>
      </c>
      <c r="G6401" s="17" t="s">
        <v>213</v>
      </c>
    </row>
    <row r="6402" spans="6:7" x14ac:dyDescent="0.25">
      <c r="F6402" s="17" t="s">
        <v>547</v>
      </c>
      <c r="G6402" s="17" t="s">
        <v>213</v>
      </c>
    </row>
    <row r="6403" spans="6:7" x14ac:dyDescent="0.25">
      <c r="F6403" s="17" t="s">
        <v>6689</v>
      </c>
      <c r="G6403" s="17" t="s">
        <v>213</v>
      </c>
    </row>
    <row r="6404" spans="6:7" x14ac:dyDescent="0.25">
      <c r="F6404" s="17" t="s">
        <v>6690</v>
      </c>
      <c r="G6404" s="17" t="s">
        <v>213</v>
      </c>
    </row>
    <row r="6405" spans="6:7" x14ac:dyDescent="0.25">
      <c r="F6405" s="17" t="s">
        <v>6691</v>
      </c>
      <c r="G6405" s="17" t="s">
        <v>213</v>
      </c>
    </row>
    <row r="6406" spans="6:7" x14ac:dyDescent="0.25">
      <c r="F6406" s="17" t="s">
        <v>993</v>
      </c>
      <c r="G6406" s="17" t="s">
        <v>213</v>
      </c>
    </row>
    <row r="6407" spans="6:7" x14ac:dyDescent="0.25">
      <c r="F6407" s="17" t="s">
        <v>6692</v>
      </c>
      <c r="G6407" s="17" t="s">
        <v>213</v>
      </c>
    </row>
    <row r="6408" spans="6:7" x14ac:dyDescent="0.25">
      <c r="F6408" s="17" t="s">
        <v>813</v>
      </c>
      <c r="G6408" s="17" t="s">
        <v>213</v>
      </c>
    </row>
    <row r="6409" spans="6:7" x14ac:dyDescent="0.25">
      <c r="F6409" s="17" t="s">
        <v>283</v>
      </c>
      <c r="G6409" s="17" t="s">
        <v>213</v>
      </c>
    </row>
    <row r="6410" spans="6:7" x14ac:dyDescent="0.25">
      <c r="F6410" s="17" t="s">
        <v>506</v>
      </c>
      <c r="G6410" s="17" t="s">
        <v>213</v>
      </c>
    </row>
    <row r="6411" spans="6:7" x14ac:dyDescent="0.25">
      <c r="F6411" s="17" t="s">
        <v>6693</v>
      </c>
      <c r="G6411" s="17" t="s">
        <v>213</v>
      </c>
    </row>
    <row r="6412" spans="6:7" x14ac:dyDescent="0.25">
      <c r="F6412" s="17" t="s">
        <v>6694</v>
      </c>
      <c r="G6412" s="17" t="s">
        <v>213</v>
      </c>
    </row>
    <row r="6413" spans="6:7" x14ac:dyDescent="0.25">
      <c r="F6413" s="17" t="s">
        <v>6695</v>
      </c>
      <c r="G6413" s="17" t="s">
        <v>213</v>
      </c>
    </row>
    <row r="6414" spans="6:7" x14ac:dyDescent="0.25">
      <c r="F6414" s="17" t="s">
        <v>6696</v>
      </c>
      <c r="G6414" s="17" t="s">
        <v>213</v>
      </c>
    </row>
    <row r="6415" spans="6:7" x14ac:dyDescent="0.25">
      <c r="F6415" s="17" t="s">
        <v>969</v>
      </c>
      <c r="G6415" s="17" t="s">
        <v>213</v>
      </c>
    </row>
    <row r="6416" spans="6:7" x14ac:dyDescent="0.25">
      <c r="F6416" s="17" t="s">
        <v>6697</v>
      </c>
      <c r="G6416" s="17" t="s">
        <v>213</v>
      </c>
    </row>
    <row r="6417" spans="6:7" x14ac:dyDescent="0.25">
      <c r="F6417" s="17" t="s">
        <v>828</v>
      </c>
      <c r="G6417" s="17" t="s">
        <v>213</v>
      </c>
    </row>
    <row r="6418" spans="6:7" x14ac:dyDescent="0.25">
      <c r="F6418" s="17" t="s">
        <v>6698</v>
      </c>
      <c r="G6418" s="17" t="s">
        <v>213</v>
      </c>
    </row>
    <row r="6419" spans="6:7" x14ac:dyDescent="0.25">
      <c r="F6419" s="17" t="s">
        <v>6699</v>
      </c>
      <c r="G6419" s="17" t="s">
        <v>213</v>
      </c>
    </row>
    <row r="6420" spans="6:7" x14ac:dyDescent="0.25">
      <c r="F6420" s="17" t="s">
        <v>773</v>
      </c>
      <c r="G6420" s="17" t="s">
        <v>213</v>
      </c>
    </row>
    <row r="6421" spans="6:7" x14ac:dyDescent="0.25">
      <c r="F6421" s="17" t="s">
        <v>6700</v>
      </c>
      <c r="G6421" s="17" t="s">
        <v>213</v>
      </c>
    </row>
    <row r="6422" spans="6:7" x14ac:dyDescent="0.25">
      <c r="F6422" s="17" t="s">
        <v>6701</v>
      </c>
      <c r="G6422" s="17" t="s">
        <v>213</v>
      </c>
    </row>
    <row r="6423" spans="6:7" x14ac:dyDescent="0.25">
      <c r="F6423" s="17" t="s">
        <v>6702</v>
      </c>
      <c r="G6423" s="17" t="s">
        <v>213</v>
      </c>
    </row>
    <row r="6424" spans="6:7" x14ac:dyDescent="0.25">
      <c r="F6424" s="17" t="s">
        <v>6703</v>
      </c>
      <c r="G6424" s="17" t="s">
        <v>213</v>
      </c>
    </row>
    <row r="6425" spans="6:7" x14ac:dyDescent="0.25">
      <c r="F6425" s="17" t="s">
        <v>6704</v>
      </c>
      <c r="G6425" s="17" t="s">
        <v>213</v>
      </c>
    </row>
    <row r="6426" spans="6:7" x14ac:dyDescent="0.25">
      <c r="F6426" s="17" t="s">
        <v>6705</v>
      </c>
      <c r="G6426" s="17" t="s">
        <v>213</v>
      </c>
    </row>
    <row r="6427" spans="6:7" x14ac:dyDescent="0.25">
      <c r="F6427" s="17" t="s">
        <v>6706</v>
      </c>
      <c r="G6427" s="17" t="s">
        <v>213</v>
      </c>
    </row>
    <row r="6428" spans="6:7" x14ac:dyDescent="0.25">
      <c r="F6428" s="17" t="s">
        <v>6707</v>
      </c>
      <c r="G6428" s="17" t="s">
        <v>213</v>
      </c>
    </row>
    <row r="6429" spans="6:7" x14ac:dyDescent="0.25">
      <c r="F6429" s="17" t="s">
        <v>6708</v>
      </c>
      <c r="G6429" s="17" t="s">
        <v>213</v>
      </c>
    </row>
    <row r="6430" spans="6:7" x14ac:dyDescent="0.25">
      <c r="F6430" s="17" t="s">
        <v>6709</v>
      </c>
      <c r="G6430" s="17" t="s">
        <v>213</v>
      </c>
    </row>
    <row r="6431" spans="6:7" x14ac:dyDescent="0.25">
      <c r="F6431" s="17" t="s">
        <v>6710</v>
      </c>
      <c r="G6431" s="17" t="s">
        <v>213</v>
      </c>
    </row>
    <row r="6432" spans="6:7" x14ac:dyDescent="0.25">
      <c r="F6432" s="17" t="s">
        <v>6711</v>
      </c>
      <c r="G6432" s="17" t="s">
        <v>213</v>
      </c>
    </row>
    <row r="6433" spans="6:7" x14ac:dyDescent="0.25">
      <c r="F6433" s="17" t="s">
        <v>6712</v>
      </c>
      <c r="G6433" s="17" t="s">
        <v>213</v>
      </c>
    </row>
    <row r="6434" spans="6:7" x14ac:dyDescent="0.25">
      <c r="F6434" s="17" t="s">
        <v>6713</v>
      </c>
      <c r="G6434" s="17" t="s">
        <v>213</v>
      </c>
    </row>
    <row r="6435" spans="6:7" x14ac:dyDescent="0.25">
      <c r="F6435" s="17" t="s">
        <v>624</v>
      </c>
      <c r="G6435" s="17" t="s">
        <v>213</v>
      </c>
    </row>
    <row r="6436" spans="6:7" x14ac:dyDescent="0.25">
      <c r="F6436" s="17" t="s">
        <v>6714</v>
      </c>
      <c r="G6436" s="17" t="s">
        <v>213</v>
      </c>
    </row>
    <row r="6437" spans="6:7" x14ac:dyDescent="0.25">
      <c r="F6437" s="17" t="s">
        <v>6715</v>
      </c>
      <c r="G6437" s="17" t="s">
        <v>6368</v>
      </c>
    </row>
    <row r="6438" spans="6:7" x14ac:dyDescent="0.25">
      <c r="F6438" s="17" t="s">
        <v>6716</v>
      </c>
      <c r="G6438" s="17" t="s">
        <v>6368</v>
      </c>
    </row>
    <row r="6439" spans="6:7" x14ac:dyDescent="0.25">
      <c r="F6439" s="17" t="s">
        <v>6717</v>
      </c>
      <c r="G6439" s="17" t="s">
        <v>6368</v>
      </c>
    </row>
    <row r="6440" spans="6:7" x14ac:dyDescent="0.25">
      <c r="F6440" s="17" t="s">
        <v>6718</v>
      </c>
      <c r="G6440" s="17" t="s">
        <v>6368</v>
      </c>
    </row>
    <row r="6441" spans="6:7" x14ac:dyDescent="0.25">
      <c r="F6441" s="17" t="s">
        <v>6719</v>
      </c>
      <c r="G6441" s="17" t="s">
        <v>6368</v>
      </c>
    </row>
    <row r="6442" spans="6:7" x14ac:dyDescent="0.25">
      <c r="F6442" s="17" t="s">
        <v>6720</v>
      </c>
      <c r="G6442" s="17" t="s">
        <v>6368</v>
      </c>
    </row>
    <row r="6443" spans="6:7" x14ac:dyDescent="0.25">
      <c r="F6443" s="17" t="s">
        <v>6721</v>
      </c>
      <c r="G6443" s="17" t="s">
        <v>6368</v>
      </c>
    </row>
    <row r="6444" spans="6:7" x14ac:dyDescent="0.25">
      <c r="F6444" s="17" t="s">
        <v>6722</v>
      </c>
      <c r="G6444" s="17" t="s">
        <v>6368</v>
      </c>
    </row>
    <row r="6445" spans="6:7" x14ac:dyDescent="0.25">
      <c r="F6445" s="17" t="s">
        <v>6723</v>
      </c>
      <c r="G6445" s="17" t="s">
        <v>6368</v>
      </c>
    </row>
    <row r="6446" spans="6:7" x14ac:dyDescent="0.25">
      <c r="F6446" s="17" t="s">
        <v>6724</v>
      </c>
      <c r="G6446" s="17" t="s">
        <v>6368</v>
      </c>
    </row>
    <row r="6447" spans="6:7" x14ac:dyDescent="0.25">
      <c r="F6447" s="17" t="s">
        <v>6725</v>
      </c>
      <c r="G6447" s="17" t="s">
        <v>6368</v>
      </c>
    </row>
    <row r="6448" spans="6:7" x14ac:dyDescent="0.25">
      <c r="F6448" s="17" t="s">
        <v>6726</v>
      </c>
      <c r="G6448" s="17" t="s">
        <v>205</v>
      </c>
    </row>
    <row r="6449" spans="6:7" x14ac:dyDescent="0.25">
      <c r="F6449" s="17" t="s">
        <v>6727</v>
      </c>
      <c r="G6449" s="17" t="s">
        <v>205</v>
      </c>
    </row>
    <row r="6450" spans="6:7" x14ac:dyDescent="0.25">
      <c r="F6450" s="17" t="s">
        <v>6728</v>
      </c>
      <c r="G6450" s="17" t="s">
        <v>205</v>
      </c>
    </row>
    <row r="6451" spans="6:7" x14ac:dyDescent="0.25">
      <c r="F6451" s="17" t="s">
        <v>6729</v>
      </c>
      <c r="G6451" s="17" t="s">
        <v>205</v>
      </c>
    </row>
    <row r="6452" spans="6:7" x14ac:dyDescent="0.25">
      <c r="F6452" s="17" t="s">
        <v>6730</v>
      </c>
      <c r="G6452" s="17" t="s">
        <v>205</v>
      </c>
    </row>
    <row r="6453" spans="6:7" x14ac:dyDescent="0.25">
      <c r="F6453" s="17" t="s">
        <v>6731</v>
      </c>
      <c r="G6453" s="17" t="s">
        <v>205</v>
      </c>
    </row>
    <row r="6454" spans="6:7" x14ac:dyDescent="0.25">
      <c r="F6454" s="17" t="s">
        <v>6732</v>
      </c>
      <c r="G6454" s="17" t="s">
        <v>205</v>
      </c>
    </row>
    <row r="6455" spans="6:7" x14ac:dyDescent="0.25">
      <c r="F6455" s="17" t="s">
        <v>6733</v>
      </c>
      <c r="G6455" s="17" t="s">
        <v>6368</v>
      </c>
    </row>
    <row r="6456" spans="6:7" x14ac:dyDescent="0.25">
      <c r="F6456" s="17" t="s">
        <v>6734</v>
      </c>
      <c r="G6456" s="17" t="s">
        <v>6368</v>
      </c>
    </row>
    <row r="6457" spans="6:7" x14ac:dyDescent="0.25">
      <c r="F6457" s="17" t="s">
        <v>6735</v>
      </c>
      <c r="G6457" s="17" t="s">
        <v>6368</v>
      </c>
    </row>
    <row r="6458" spans="6:7" x14ac:dyDescent="0.25">
      <c r="F6458" s="17" t="s">
        <v>6736</v>
      </c>
      <c r="G6458" s="17" t="s">
        <v>6368</v>
      </c>
    </row>
    <row r="6459" spans="6:7" x14ac:dyDescent="0.25">
      <c r="F6459" s="17" t="s">
        <v>6737</v>
      </c>
      <c r="G6459" s="17" t="s">
        <v>6368</v>
      </c>
    </row>
    <row r="6460" spans="6:7" x14ac:dyDescent="0.25">
      <c r="F6460" s="17" t="s">
        <v>6738</v>
      </c>
      <c r="G6460" s="17" t="s">
        <v>6368</v>
      </c>
    </row>
    <row r="6461" spans="6:7" x14ac:dyDescent="0.25">
      <c r="F6461" s="17" t="s">
        <v>6739</v>
      </c>
      <c r="G6461" s="17" t="s">
        <v>6368</v>
      </c>
    </row>
    <row r="6462" spans="6:7" x14ac:dyDescent="0.25">
      <c r="F6462" s="17" t="s">
        <v>6740</v>
      </c>
      <c r="G6462" s="17" t="s">
        <v>6368</v>
      </c>
    </row>
    <row r="6463" spans="6:7" x14ac:dyDescent="0.25">
      <c r="F6463" s="17" t="s">
        <v>6741</v>
      </c>
      <c r="G6463" s="17" t="s">
        <v>6368</v>
      </c>
    </row>
    <row r="6464" spans="6:7" x14ac:dyDescent="0.25">
      <c r="F6464" s="17" t="s">
        <v>6742</v>
      </c>
      <c r="G6464" s="17" t="s">
        <v>6384</v>
      </c>
    </row>
    <row r="6465" spans="6:7" x14ac:dyDescent="0.25">
      <c r="F6465" s="17" t="s">
        <v>6743</v>
      </c>
      <c r="G6465" s="17" t="s">
        <v>6368</v>
      </c>
    </row>
    <row r="6466" spans="6:7" x14ac:dyDescent="0.25">
      <c r="F6466" s="17" t="s">
        <v>6744</v>
      </c>
      <c r="G6466" s="17" t="s">
        <v>6368</v>
      </c>
    </row>
    <row r="6467" spans="6:7" x14ac:dyDescent="0.25">
      <c r="F6467" s="17" t="s">
        <v>6745</v>
      </c>
      <c r="G6467" s="17" t="s">
        <v>6368</v>
      </c>
    </row>
    <row r="6468" spans="6:7" x14ac:dyDescent="0.25">
      <c r="F6468" s="17" t="s">
        <v>6746</v>
      </c>
      <c r="G6468" s="17" t="s">
        <v>6368</v>
      </c>
    </row>
    <row r="6469" spans="6:7" x14ac:dyDescent="0.25">
      <c r="F6469" s="17" t="s">
        <v>6747</v>
      </c>
      <c r="G6469" s="17" t="s">
        <v>6368</v>
      </c>
    </row>
    <row r="6470" spans="6:7" x14ac:dyDescent="0.25">
      <c r="F6470" s="17" t="s">
        <v>6748</v>
      </c>
      <c r="G6470" s="17" t="s">
        <v>6368</v>
      </c>
    </row>
    <row r="6471" spans="6:7" x14ac:dyDescent="0.25">
      <c r="F6471" s="17" t="s">
        <v>6749</v>
      </c>
      <c r="G6471" s="17" t="s">
        <v>6750</v>
      </c>
    </row>
    <row r="6472" spans="6:7" x14ac:dyDescent="0.25">
      <c r="F6472" s="17" t="s">
        <v>6751</v>
      </c>
      <c r="G6472" s="17" t="s">
        <v>6750</v>
      </c>
    </row>
    <row r="6473" spans="6:7" x14ac:dyDescent="0.25">
      <c r="F6473" s="17" t="s">
        <v>6752</v>
      </c>
      <c r="G6473" s="17" t="s">
        <v>6750</v>
      </c>
    </row>
    <row r="6474" spans="6:7" x14ac:dyDescent="0.25">
      <c r="F6474" s="17" t="s">
        <v>6753</v>
      </c>
      <c r="G6474" s="17" t="s">
        <v>6750</v>
      </c>
    </row>
    <row r="6475" spans="6:7" x14ac:dyDescent="0.25">
      <c r="F6475" s="17" t="s">
        <v>6754</v>
      </c>
      <c r="G6475" s="17" t="s">
        <v>6750</v>
      </c>
    </row>
    <row r="6476" spans="6:7" x14ac:dyDescent="0.25">
      <c r="F6476" s="17" t="s">
        <v>6755</v>
      </c>
      <c r="G6476" s="17" t="s">
        <v>6750</v>
      </c>
    </row>
    <row r="6477" spans="6:7" x14ac:dyDescent="0.25">
      <c r="F6477" s="17" t="s">
        <v>6756</v>
      </c>
      <c r="G6477" s="17" t="s">
        <v>6750</v>
      </c>
    </row>
    <row r="6478" spans="6:7" x14ac:dyDescent="0.25">
      <c r="F6478" s="17" t="s">
        <v>6757</v>
      </c>
      <c r="G6478" s="17" t="s">
        <v>6750</v>
      </c>
    </row>
    <row r="6479" spans="6:7" x14ac:dyDescent="0.25">
      <c r="F6479" s="17" t="s">
        <v>6758</v>
      </c>
      <c r="G6479" s="17" t="s">
        <v>6750</v>
      </c>
    </row>
    <row r="6480" spans="6:7" x14ac:dyDescent="0.25">
      <c r="F6480" s="17" t="s">
        <v>6759</v>
      </c>
      <c r="G6480" s="17" t="s">
        <v>6750</v>
      </c>
    </row>
    <row r="6481" spans="6:7" x14ac:dyDescent="0.25">
      <c r="F6481" s="17" t="s">
        <v>6760</v>
      </c>
      <c r="G6481" s="17" t="s">
        <v>6581</v>
      </c>
    </row>
    <row r="6482" spans="6:7" x14ac:dyDescent="0.25">
      <c r="F6482" s="17" t="s">
        <v>6761</v>
      </c>
      <c r="G6482" s="17" t="s">
        <v>6750</v>
      </c>
    </row>
    <row r="6483" spans="6:7" x14ac:dyDescent="0.25">
      <c r="F6483" s="17" t="s">
        <v>6762</v>
      </c>
      <c r="G6483" s="17" t="s">
        <v>6750</v>
      </c>
    </row>
    <row r="6484" spans="6:7" x14ac:dyDescent="0.25">
      <c r="F6484" s="17" t="s">
        <v>6763</v>
      </c>
      <c r="G6484" s="17" t="s">
        <v>6750</v>
      </c>
    </row>
    <row r="6485" spans="6:7" x14ac:dyDescent="0.25">
      <c r="F6485" s="17" t="s">
        <v>6764</v>
      </c>
      <c r="G6485" s="17" t="s">
        <v>6368</v>
      </c>
    </row>
    <row r="6486" spans="6:7" x14ac:dyDescent="0.25">
      <c r="F6486" s="17" t="s">
        <v>6765</v>
      </c>
      <c r="G6486" s="17" t="s">
        <v>6368</v>
      </c>
    </row>
    <row r="6487" spans="6:7" x14ac:dyDescent="0.25">
      <c r="F6487" s="17" t="s">
        <v>6766</v>
      </c>
      <c r="G6487" s="17" t="s">
        <v>6368</v>
      </c>
    </row>
    <row r="6488" spans="6:7" x14ac:dyDescent="0.25">
      <c r="F6488" s="17" t="s">
        <v>6767</v>
      </c>
      <c r="G6488" s="17" t="s">
        <v>6750</v>
      </c>
    </row>
    <row r="6489" spans="6:7" x14ac:dyDescent="0.25">
      <c r="F6489" s="17" t="s">
        <v>6768</v>
      </c>
      <c r="G6489" s="17" t="s">
        <v>6750</v>
      </c>
    </row>
    <row r="6490" spans="6:7" x14ac:dyDescent="0.25">
      <c r="F6490" s="17" t="s">
        <v>6769</v>
      </c>
      <c r="G6490" s="17" t="s">
        <v>6750</v>
      </c>
    </row>
    <row r="6491" spans="6:7" x14ac:dyDescent="0.25">
      <c r="F6491" s="17" t="s">
        <v>6770</v>
      </c>
      <c r="G6491" s="17" t="s">
        <v>6750</v>
      </c>
    </row>
    <row r="6492" spans="6:7" x14ac:dyDescent="0.25">
      <c r="F6492" s="17" t="s">
        <v>6771</v>
      </c>
      <c r="G6492" s="17" t="s">
        <v>6750</v>
      </c>
    </row>
    <row r="6493" spans="6:7" x14ac:dyDescent="0.25">
      <c r="F6493" s="17" t="s">
        <v>6772</v>
      </c>
      <c r="G6493" s="17" t="s">
        <v>6750</v>
      </c>
    </row>
    <row r="6494" spans="6:7" x14ac:dyDescent="0.25">
      <c r="F6494" s="17" t="s">
        <v>6773</v>
      </c>
      <c r="G6494" s="17" t="s">
        <v>6750</v>
      </c>
    </row>
    <row r="6495" spans="6:7" x14ac:dyDescent="0.25">
      <c r="F6495" s="17" t="s">
        <v>6774</v>
      </c>
      <c r="G6495" s="17" t="s">
        <v>6750</v>
      </c>
    </row>
    <row r="6496" spans="6:7" x14ac:dyDescent="0.25">
      <c r="F6496" s="17" t="s">
        <v>6775</v>
      </c>
      <c r="G6496" s="17" t="s">
        <v>6750</v>
      </c>
    </row>
    <row r="6497" spans="6:7" x14ac:dyDescent="0.25">
      <c r="F6497" s="17" t="s">
        <v>6776</v>
      </c>
      <c r="G6497" s="17" t="s">
        <v>6750</v>
      </c>
    </row>
    <row r="6498" spans="6:7" x14ac:dyDescent="0.25">
      <c r="F6498" s="17" t="s">
        <v>6777</v>
      </c>
      <c r="G6498" s="17" t="s">
        <v>6750</v>
      </c>
    </row>
    <row r="6499" spans="6:7" x14ac:dyDescent="0.25">
      <c r="F6499" s="17" t="s">
        <v>6778</v>
      </c>
      <c r="G6499" s="17" t="s">
        <v>6750</v>
      </c>
    </row>
    <row r="6500" spans="6:7" x14ac:dyDescent="0.25">
      <c r="F6500" s="17" t="s">
        <v>6779</v>
      </c>
      <c r="G6500" s="17" t="s">
        <v>6750</v>
      </c>
    </row>
    <row r="6501" spans="6:7" x14ac:dyDescent="0.25">
      <c r="F6501" s="17" t="s">
        <v>6780</v>
      </c>
      <c r="G6501" s="17" t="s">
        <v>6750</v>
      </c>
    </row>
    <row r="6502" spans="6:7" x14ac:dyDescent="0.25">
      <c r="F6502" s="17" t="s">
        <v>6781</v>
      </c>
      <c r="G6502" s="17" t="s">
        <v>6750</v>
      </c>
    </row>
    <row r="6503" spans="6:7" x14ac:dyDescent="0.25">
      <c r="F6503" s="17" t="s">
        <v>6782</v>
      </c>
      <c r="G6503" s="17" t="s">
        <v>6750</v>
      </c>
    </row>
    <row r="6504" spans="6:7" x14ac:dyDescent="0.25">
      <c r="F6504" s="17" t="s">
        <v>6783</v>
      </c>
      <c r="G6504" s="17" t="s">
        <v>6750</v>
      </c>
    </row>
    <row r="6505" spans="6:7" x14ac:dyDescent="0.25">
      <c r="F6505" s="17" t="s">
        <v>6784</v>
      </c>
      <c r="G6505" s="17" t="s">
        <v>6750</v>
      </c>
    </row>
    <row r="6506" spans="6:7" x14ac:dyDescent="0.25">
      <c r="F6506" s="17" t="s">
        <v>6785</v>
      </c>
      <c r="G6506" s="17" t="s">
        <v>6750</v>
      </c>
    </row>
    <row r="6507" spans="6:7" x14ac:dyDescent="0.25">
      <c r="F6507" s="17" t="s">
        <v>6786</v>
      </c>
      <c r="G6507" s="17" t="s">
        <v>6750</v>
      </c>
    </row>
    <row r="6508" spans="6:7" x14ac:dyDescent="0.25">
      <c r="F6508" s="17" t="s">
        <v>6787</v>
      </c>
      <c r="G6508" s="17" t="s">
        <v>6750</v>
      </c>
    </row>
    <row r="6509" spans="6:7" x14ac:dyDescent="0.25">
      <c r="F6509" s="17" t="s">
        <v>6788</v>
      </c>
      <c r="G6509" s="17" t="s">
        <v>6750</v>
      </c>
    </row>
    <row r="6510" spans="6:7" x14ac:dyDescent="0.25">
      <c r="F6510" s="17" t="s">
        <v>6789</v>
      </c>
      <c r="G6510" s="17" t="s">
        <v>6750</v>
      </c>
    </row>
    <row r="6511" spans="6:7" x14ac:dyDescent="0.25">
      <c r="F6511" s="17" t="s">
        <v>6790</v>
      </c>
      <c r="G6511" s="17" t="s">
        <v>6750</v>
      </c>
    </row>
    <row r="6512" spans="6:7" x14ac:dyDescent="0.25">
      <c r="F6512" s="17" t="s">
        <v>6791</v>
      </c>
      <c r="G6512" s="17" t="s">
        <v>6750</v>
      </c>
    </row>
    <row r="6513" spans="6:7" x14ac:dyDescent="0.25">
      <c r="F6513" s="17" t="s">
        <v>6792</v>
      </c>
      <c r="G6513" s="17" t="s">
        <v>6750</v>
      </c>
    </row>
    <row r="6514" spans="6:7" x14ac:dyDescent="0.25">
      <c r="F6514" s="17" t="s">
        <v>6793</v>
      </c>
      <c r="G6514" s="17" t="s">
        <v>6750</v>
      </c>
    </row>
    <row r="6515" spans="6:7" x14ac:dyDescent="0.25">
      <c r="F6515" s="17" t="s">
        <v>6794</v>
      </c>
      <c r="G6515" s="17" t="s">
        <v>6750</v>
      </c>
    </row>
    <row r="6516" spans="6:7" x14ac:dyDescent="0.25">
      <c r="F6516" s="17" t="s">
        <v>6795</v>
      </c>
      <c r="G6516" s="17" t="s">
        <v>6750</v>
      </c>
    </row>
    <row r="6517" spans="6:7" x14ac:dyDescent="0.25">
      <c r="F6517" s="17" t="s">
        <v>6796</v>
      </c>
      <c r="G6517" s="17" t="s">
        <v>6750</v>
      </c>
    </row>
    <row r="6518" spans="6:7" x14ac:dyDescent="0.25">
      <c r="F6518" s="17" t="s">
        <v>6797</v>
      </c>
      <c r="G6518" s="17" t="s">
        <v>6750</v>
      </c>
    </row>
    <row r="6519" spans="6:7" x14ac:dyDescent="0.25">
      <c r="F6519" s="17" t="s">
        <v>6798</v>
      </c>
      <c r="G6519" s="17" t="s">
        <v>6750</v>
      </c>
    </row>
    <row r="6520" spans="6:7" x14ac:dyDescent="0.25">
      <c r="F6520" s="17" t="s">
        <v>6799</v>
      </c>
      <c r="G6520" s="17" t="s">
        <v>6750</v>
      </c>
    </row>
    <row r="6521" spans="6:7" x14ac:dyDescent="0.25">
      <c r="F6521" s="17" t="s">
        <v>6800</v>
      </c>
      <c r="G6521" s="17" t="s">
        <v>6750</v>
      </c>
    </row>
    <row r="6522" spans="6:7" x14ac:dyDescent="0.25">
      <c r="F6522" s="17" t="s">
        <v>6801</v>
      </c>
      <c r="G6522" s="17" t="s">
        <v>6750</v>
      </c>
    </row>
    <row r="6523" spans="6:7" x14ac:dyDescent="0.25">
      <c r="F6523" s="17" t="s">
        <v>6802</v>
      </c>
      <c r="G6523" s="17" t="s">
        <v>6750</v>
      </c>
    </row>
    <row r="6524" spans="6:7" x14ac:dyDescent="0.25">
      <c r="F6524" s="17" t="s">
        <v>6803</v>
      </c>
      <c r="G6524" s="17" t="s">
        <v>6750</v>
      </c>
    </row>
    <row r="6525" spans="6:7" x14ac:dyDescent="0.25">
      <c r="F6525" s="17" t="s">
        <v>6804</v>
      </c>
      <c r="G6525" s="17" t="s">
        <v>6750</v>
      </c>
    </row>
    <row r="6526" spans="6:7" x14ac:dyDescent="0.25">
      <c r="F6526" s="17" t="s">
        <v>6805</v>
      </c>
      <c r="G6526" s="17" t="s">
        <v>6750</v>
      </c>
    </row>
    <row r="6527" spans="6:7" x14ac:dyDescent="0.25">
      <c r="F6527" s="17" t="s">
        <v>6806</v>
      </c>
      <c r="G6527" s="17" t="s">
        <v>6750</v>
      </c>
    </row>
    <row r="6528" spans="6:7" x14ac:dyDescent="0.25">
      <c r="F6528" s="17" t="s">
        <v>6807</v>
      </c>
      <c r="G6528" s="17" t="s">
        <v>6750</v>
      </c>
    </row>
    <row r="6529" spans="6:7" x14ac:dyDescent="0.25">
      <c r="F6529" s="17" t="s">
        <v>6808</v>
      </c>
      <c r="G6529" s="17" t="s">
        <v>6750</v>
      </c>
    </row>
    <row r="6530" spans="6:7" x14ac:dyDescent="0.25">
      <c r="F6530" s="17" t="s">
        <v>6809</v>
      </c>
      <c r="G6530" s="17" t="s">
        <v>6750</v>
      </c>
    </row>
    <row r="6531" spans="6:7" x14ac:dyDescent="0.25">
      <c r="F6531" s="17" t="s">
        <v>6810</v>
      </c>
      <c r="G6531" s="17" t="s">
        <v>6750</v>
      </c>
    </row>
    <row r="6532" spans="6:7" x14ac:dyDescent="0.25">
      <c r="F6532" s="17" t="s">
        <v>6811</v>
      </c>
      <c r="G6532" s="17" t="s">
        <v>6750</v>
      </c>
    </row>
    <row r="6533" spans="6:7" x14ac:dyDescent="0.25">
      <c r="F6533" s="17" t="s">
        <v>6812</v>
      </c>
      <c r="G6533" s="17" t="s">
        <v>6750</v>
      </c>
    </row>
    <row r="6534" spans="6:7" x14ac:dyDescent="0.25">
      <c r="F6534" s="17" t="s">
        <v>6813</v>
      </c>
      <c r="G6534" s="17" t="s">
        <v>6750</v>
      </c>
    </row>
    <row r="6535" spans="6:7" x14ac:dyDescent="0.25">
      <c r="F6535" s="17" t="s">
        <v>6814</v>
      </c>
      <c r="G6535" s="17" t="s">
        <v>6750</v>
      </c>
    </row>
    <row r="6536" spans="6:7" x14ac:dyDescent="0.25">
      <c r="F6536" s="17" t="s">
        <v>6815</v>
      </c>
      <c r="G6536" s="17" t="s">
        <v>6750</v>
      </c>
    </row>
    <row r="6537" spans="6:7" x14ac:dyDescent="0.25">
      <c r="F6537" s="17" t="s">
        <v>6816</v>
      </c>
      <c r="G6537" s="17" t="s">
        <v>6750</v>
      </c>
    </row>
    <row r="6538" spans="6:7" x14ac:dyDescent="0.25">
      <c r="F6538" s="17" t="s">
        <v>6817</v>
      </c>
      <c r="G6538" s="17" t="s">
        <v>6750</v>
      </c>
    </row>
    <row r="6539" spans="6:7" x14ac:dyDescent="0.25">
      <c r="F6539" s="17" t="s">
        <v>6818</v>
      </c>
      <c r="G6539" s="17" t="s">
        <v>6750</v>
      </c>
    </row>
    <row r="6540" spans="6:7" x14ac:dyDescent="0.25">
      <c r="F6540" s="17" t="s">
        <v>6819</v>
      </c>
      <c r="G6540" s="17" t="s">
        <v>6750</v>
      </c>
    </row>
    <row r="6541" spans="6:7" x14ac:dyDescent="0.25">
      <c r="F6541" s="17" t="s">
        <v>6820</v>
      </c>
      <c r="G6541" s="17" t="s">
        <v>6750</v>
      </c>
    </row>
    <row r="6542" spans="6:7" x14ac:dyDescent="0.25">
      <c r="F6542" s="17" t="s">
        <v>6821</v>
      </c>
      <c r="G6542" s="17" t="s">
        <v>6750</v>
      </c>
    </row>
    <row r="6543" spans="6:7" x14ac:dyDescent="0.25">
      <c r="F6543" s="17" t="s">
        <v>6822</v>
      </c>
      <c r="G6543" s="17" t="s">
        <v>6750</v>
      </c>
    </row>
    <row r="6544" spans="6:7" x14ac:dyDescent="0.25">
      <c r="F6544" s="17" t="s">
        <v>6823</v>
      </c>
      <c r="G6544" s="17" t="s">
        <v>6750</v>
      </c>
    </row>
    <row r="6545" spans="6:7" x14ac:dyDescent="0.25">
      <c r="F6545" s="17" t="s">
        <v>6824</v>
      </c>
      <c r="G6545" s="17" t="s">
        <v>6750</v>
      </c>
    </row>
    <row r="6546" spans="6:7" x14ac:dyDescent="0.25">
      <c r="F6546" s="17" t="s">
        <v>6825</v>
      </c>
      <c r="G6546" s="17" t="s">
        <v>6750</v>
      </c>
    </row>
    <row r="6547" spans="6:7" x14ac:dyDescent="0.25">
      <c r="F6547" s="17" t="s">
        <v>6826</v>
      </c>
      <c r="G6547" s="17" t="s">
        <v>6750</v>
      </c>
    </row>
    <row r="6548" spans="6:7" x14ac:dyDescent="0.25">
      <c r="F6548" s="17" t="s">
        <v>6827</v>
      </c>
      <c r="G6548" s="17" t="s">
        <v>6828</v>
      </c>
    </row>
    <row r="6549" spans="6:7" x14ac:dyDescent="0.25">
      <c r="F6549" s="17" t="s">
        <v>6829</v>
      </c>
      <c r="G6549" s="17" t="s">
        <v>6828</v>
      </c>
    </row>
    <row r="6550" spans="6:7" x14ac:dyDescent="0.25">
      <c r="F6550" s="17" t="s">
        <v>6830</v>
      </c>
      <c r="G6550" s="17" t="s">
        <v>6828</v>
      </c>
    </row>
    <row r="6551" spans="6:7" x14ac:dyDescent="0.25">
      <c r="F6551" s="17" t="s">
        <v>6831</v>
      </c>
      <c r="G6551" s="17" t="s">
        <v>6828</v>
      </c>
    </row>
    <row r="6552" spans="6:7" x14ac:dyDescent="0.25">
      <c r="F6552" s="17" t="s">
        <v>6832</v>
      </c>
      <c r="G6552" s="17" t="s">
        <v>6828</v>
      </c>
    </row>
    <row r="6553" spans="6:7" x14ac:dyDescent="0.25">
      <c r="F6553" s="17" t="s">
        <v>6833</v>
      </c>
      <c r="G6553" s="17" t="s">
        <v>6834</v>
      </c>
    </row>
    <row r="6554" spans="6:7" x14ac:dyDescent="0.25">
      <c r="F6554" s="17" t="s">
        <v>6835</v>
      </c>
      <c r="G6554" s="17" t="s">
        <v>6834</v>
      </c>
    </row>
    <row r="6555" spans="6:7" x14ac:dyDescent="0.25">
      <c r="F6555" s="17" t="s">
        <v>6836</v>
      </c>
      <c r="G6555" s="17" t="s">
        <v>6834</v>
      </c>
    </row>
    <row r="6556" spans="6:7" x14ac:dyDescent="0.25">
      <c r="F6556" s="17" t="s">
        <v>6837</v>
      </c>
      <c r="G6556" s="17" t="s">
        <v>6828</v>
      </c>
    </row>
    <row r="6557" spans="6:7" x14ac:dyDescent="0.25">
      <c r="F6557" s="17" t="s">
        <v>6838</v>
      </c>
      <c r="G6557" s="17" t="s">
        <v>6834</v>
      </c>
    </row>
    <row r="6558" spans="6:7" x14ac:dyDescent="0.25">
      <c r="F6558" s="17" t="s">
        <v>6839</v>
      </c>
      <c r="G6558" s="17" t="s">
        <v>6828</v>
      </c>
    </row>
    <row r="6559" spans="6:7" x14ac:dyDescent="0.25">
      <c r="F6559" s="17" t="s">
        <v>6840</v>
      </c>
      <c r="G6559" s="17" t="s">
        <v>6828</v>
      </c>
    </row>
    <row r="6560" spans="6:7" x14ac:dyDescent="0.25">
      <c r="F6560" s="17" t="s">
        <v>6841</v>
      </c>
      <c r="G6560" s="17" t="s">
        <v>6834</v>
      </c>
    </row>
    <row r="6561" spans="6:7" x14ac:dyDescent="0.25">
      <c r="F6561" s="17" t="s">
        <v>6842</v>
      </c>
      <c r="G6561" s="17" t="s">
        <v>6834</v>
      </c>
    </row>
    <row r="6562" spans="6:7" x14ac:dyDescent="0.25">
      <c r="F6562" s="17" t="s">
        <v>6843</v>
      </c>
      <c r="G6562" s="17" t="s">
        <v>6834</v>
      </c>
    </row>
    <row r="6563" spans="6:7" x14ac:dyDescent="0.25">
      <c r="F6563" s="17" t="s">
        <v>6844</v>
      </c>
      <c r="G6563" s="17" t="s">
        <v>6828</v>
      </c>
    </row>
    <row r="6564" spans="6:7" x14ac:dyDescent="0.25">
      <c r="F6564" s="17" t="s">
        <v>6845</v>
      </c>
      <c r="G6564" s="17" t="s">
        <v>6828</v>
      </c>
    </row>
    <row r="6565" spans="6:7" x14ac:dyDescent="0.25">
      <c r="F6565" s="17" t="s">
        <v>6846</v>
      </c>
      <c r="G6565" s="17" t="s">
        <v>6834</v>
      </c>
    </row>
    <row r="6566" spans="6:7" x14ac:dyDescent="0.25">
      <c r="F6566" s="17" t="s">
        <v>6847</v>
      </c>
      <c r="G6566" s="17" t="s">
        <v>6834</v>
      </c>
    </row>
    <row r="6567" spans="6:7" x14ac:dyDescent="0.25">
      <c r="F6567" s="17" t="s">
        <v>6848</v>
      </c>
      <c r="G6567" s="17" t="s">
        <v>6549</v>
      </c>
    </row>
    <row r="6568" spans="6:7" x14ac:dyDescent="0.25">
      <c r="F6568" s="17" t="s">
        <v>6849</v>
      </c>
      <c r="G6568" s="17" t="s">
        <v>6549</v>
      </c>
    </row>
    <row r="6569" spans="6:7" x14ac:dyDescent="0.25">
      <c r="F6569" s="17" t="s">
        <v>6850</v>
      </c>
      <c r="G6569" s="17" t="s">
        <v>6834</v>
      </c>
    </row>
    <row r="6570" spans="6:7" x14ac:dyDescent="0.25">
      <c r="F6570" s="17" t="s">
        <v>6851</v>
      </c>
      <c r="G6570" s="17" t="s">
        <v>6834</v>
      </c>
    </row>
    <row r="6571" spans="6:7" x14ac:dyDescent="0.25">
      <c r="F6571" s="17" t="s">
        <v>6852</v>
      </c>
      <c r="G6571" s="17" t="s">
        <v>6834</v>
      </c>
    </row>
    <row r="6572" spans="6:7" x14ac:dyDescent="0.25">
      <c r="F6572" s="17" t="s">
        <v>6853</v>
      </c>
      <c r="G6572" s="17" t="s">
        <v>6834</v>
      </c>
    </row>
    <row r="6573" spans="6:7" x14ac:dyDescent="0.25">
      <c r="F6573" s="17" t="s">
        <v>6854</v>
      </c>
      <c r="G6573" s="17" t="s">
        <v>6834</v>
      </c>
    </row>
    <row r="6574" spans="6:7" x14ac:dyDescent="0.25">
      <c r="F6574" s="17" t="s">
        <v>6855</v>
      </c>
      <c r="G6574" s="17" t="s">
        <v>6834</v>
      </c>
    </row>
    <row r="6575" spans="6:7" x14ac:dyDescent="0.25">
      <c r="F6575" s="17" t="s">
        <v>6856</v>
      </c>
      <c r="G6575" s="17" t="s">
        <v>6834</v>
      </c>
    </row>
    <row r="6576" spans="6:7" x14ac:dyDescent="0.25">
      <c r="F6576" s="17" t="s">
        <v>6857</v>
      </c>
      <c r="G6576" s="17" t="s">
        <v>6834</v>
      </c>
    </row>
    <row r="6577" spans="6:7" x14ac:dyDescent="0.25">
      <c r="F6577" s="17" t="s">
        <v>6858</v>
      </c>
      <c r="G6577" s="17" t="s">
        <v>6834</v>
      </c>
    </row>
    <row r="6578" spans="6:7" x14ac:dyDescent="0.25">
      <c r="F6578" s="17" t="s">
        <v>6859</v>
      </c>
      <c r="G6578" s="17" t="s">
        <v>6834</v>
      </c>
    </row>
    <row r="6579" spans="6:7" x14ac:dyDescent="0.25">
      <c r="F6579" s="17" t="s">
        <v>6860</v>
      </c>
      <c r="G6579" s="17" t="s">
        <v>6834</v>
      </c>
    </row>
    <row r="6580" spans="6:7" x14ac:dyDescent="0.25">
      <c r="F6580" s="17" t="s">
        <v>6861</v>
      </c>
      <c r="G6580" s="17" t="s">
        <v>6834</v>
      </c>
    </row>
    <row r="6581" spans="6:7" x14ac:dyDescent="0.25">
      <c r="F6581" s="17" t="s">
        <v>6862</v>
      </c>
      <c r="G6581" s="17" t="s">
        <v>6834</v>
      </c>
    </row>
    <row r="6582" spans="6:7" x14ac:dyDescent="0.25">
      <c r="F6582" s="17" t="s">
        <v>6863</v>
      </c>
      <c r="G6582" s="17" t="s">
        <v>6834</v>
      </c>
    </row>
    <row r="6583" spans="6:7" x14ac:dyDescent="0.25">
      <c r="F6583" s="17" t="s">
        <v>6864</v>
      </c>
      <c r="G6583" s="17" t="s">
        <v>6834</v>
      </c>
    </row>
    <row r="6584" spans="6:7" x14ac:dyDescent="0.25">
      <c r="F6584" s="17" t="s">
        <v>6865</v>
      </c>
      <c r="G6584" s="17" t="s">
        <v>6834</v>
      </c>
    </row>
    <row r="6585" spans="6:7" x14ac:dyDescent="0.25">
      <c r="F6585" s="17" t="s">
        <v>6866</v>
      </c>
      <c r="G6585" s="17" t="s">
        <v>6834</v>
      </c>
    </row>
    <row r="6586" spans="6:7" x14ac:dyDescent="0.25">
      <c r="F6586" s="17" t="s">
        <v>6867</v>
      </c>
      <c r="G6586" s="17" t="s">
        <v>6834</v>
      </c>
    </row>
    <row r="6587" spans="6:7" x14ac:dyDescent="0.25">
      <c r="F6587" s="17" t="s">
        <v>6868</v>
      </c>
      <c r="G6587" s="17" t="s">
        <v>6834</v>
      </c>
    </row>
    <row r="6588" spans="6:7" x14ac:dyDescent="0.25">
      <c r="F6588" s="17" t="s">
        <v>6869</v>
      </c>
      <c r="G6588" s="17" t="s">
        <v>6834</v>
      </c>
    </row>
    <row r="6589" spans="6:7" x14ac:dyDescent="0.25">
      <c r="F6589" s="17" t="s">
        <v>6870</v>
      </c>
      <c r="G6589" s="17" t="s">
        <v>6834</v>
      </c>
    </row>
    <row r="6590" spans="6:7" x14ac:dyDescent="0.25">
      <c r="F6590" s="17" t="s">
        <v>6871</v>
      </c>
      <c r="G6590" s="17" t="s">
        <v>6834</v>
      </c>
    </row>
    <row r="6591" spans="6:7" x14ac:dyDescent="0.25">
      <c r="F6591" s="17" t="s">
        <v>6872</v>
      </c>
      <c r="G6591" s="17" t="s">
        <v>6834</v>
      </c>
    </row>
    <row r="6592" spans="6:7" x14ac:dyDescent="0.25">
      <c r="F6592" s="17" t="s">
        <v>6873</v>
      </c>
      <c r="G6592" s="17" t="s">
        <v>6834</v>
      </c>
    </row>
    <row r="6593" spans="6:7" x14ac:dyDescent="0.25">
      <c r="F6593" s="17" t="s">
        <v>6874</v>
      </c>
      <c r="G6593" s="17" t="s">
        <v>6834</v>
      </c>
    </row>
    <row r="6594" spans="6:7" x14ac:dyDescent="0.25">
      <c r="F6594" s="17" t="s">
        <v>6875</v>
      </c>
      <c r="G6594" s="17" t="s">
        <v>6834</v>
      </c>
    </row>
    <row r="6595" spans="6:7" x14ac:dyDescent="0.25">
      <c r="F6595" s="17" t="s">
        <v>6876</v>
      </c>
      <c r="G6595" s="17" t="s">
        <v>6834</v>
      </c>
    </row>
    <row r="6596" spans="6:7" x14ac:dyDescent="0.25">
      <c r="F6596" s="17" t="s">
        <v>6877</v>
      </c>
      <c r="G6596" s="17" t="s">
        <v>6834</v>
      </c>
    </row>
    <row r="6597" spans="6:7" x14ac:dyDescent="0.25">
      <c r="F6597" s="17" t="s">
        <v>6878</v>
      </c>
      <c r="G6597" s="17" t="s">
        <v>6549</v>
      </c>
    </row>
    <row r="6598" spans="6:7" x14ac:dyDescent="0.25">
      <c r="F6598" s="17" t="s">
        <v>6879</v>
      </c>
      <c r="G6598" s="17" t="s">
        <v>6834</v>
      </c>
    </row>
    <row r="6599" spans="6:7" x14ac:dyDescent="0.25">
      <c r="F6599" s="17" t="s">
        <v>6880</v>
      </c>
      <c r="G6599" s="17" t="s">
        <v>6828</v>
      </c>
    </row>
    <row r="6600" spans="6:7" x14ac:dyDescent="0.25">
      <c r="F6600" s="17" t="s">
        <v>6881</v>
      </c>
      <c r="G6600" s="17" t="s">
        <v>6549</v>
      </c>
    </row>
    <row r="6601" spans="6:7" x14ac:dyDescent="0.25">
      <c r="F6601" s="17" t="s">
        <v>6882</v>
      </c>
      <c r="G6601" s="17" t="s">
        <v>6549</v>
      </c>
    </row>
    <row r="6602" spans="6:7" x14ac:dyDescent="0.25">
      <c r="F6602" s="17" t="s">
        <v>6883</v>
      </c>
      <c r="G6602" s="17" t="s">
        <v>6549</v>
      </c>
    </row>
    <row r="6603" spans="6:7" x14ac:dyDescent="0.25">
      <c r="F6603" s="17" t="s">
        <v>6884</v>
      </c>
      <c r="G6603" s="17" t="s">
        <v>6549</v>
      </c>
    </row>
    <row r="6604" spans="6:7" x14ac:dyDescent="0.25">
      <c r="F6604" s="17" t="s">
        <v>6885</v>
      </c>
      <c r="G6604" s="17" t="s">
        <v>6549</v>
      </c>
    </row>
    <row r="6605" spans="6:7" x14ac:dyDescent="0.25">
      <c r="F6605" s="17" t="s">
        <v>6886</v>
      </c>
      <c r="G6605" s="17" t="s">
        <v>6549</v>
      </c>
    </row>
    <row r="6606" spans="6:7" x14ac:dyDescent="0.25">
      <c r="F6606" s="17" t="s">
        <v>6887</v>
      </c>
      <c r="G6606" s="17" t="s">
        <v>6549</v>
      </c>
    </row>
    <row r="6607" spans="6:7" x14ac:dyDescent="0.25">
      <c r="F6607" s="17" t="s">
        <v>6888</v>
      </c>
      <c r="G6607" s="17" t="s">
        <v>6549</v>
      </c>
    </row>
    <row r="6608" spans="6:7" x14ac:dyDescent="0.25">
      <c r="F6608" s="17" t="s">
        <v>6889</v>
      </c>
      <c r="G6608" s="17" t="s">
        <v>6549</v>
      </c>
    </row>
    <row r="6609" spans="6:7" x14ac:dyDescent="0.25">
      <c r="F6609" s="17" t="s">
        <v>6890</v>
      </c>
      <c r="G6609" s="17" t="s">
        <v>6549</v>
      </c>
    </row>
    <row r="6610" spans="6:7" x14ac:dyDescent="0.25">
      <c r="F6610" s="17" t="s">
        <v>6891</v>
      </c>
      <c r="G6610" s="17" t="s">
        <v>6834</v>
      </c>
    </row>
    <row r="6611" spans="6:7" x14ac:dyDescent="0.25">
      <c r="F6611" s="17" t="s">
        <v>6892</v>
      </c>
      <c r="G6611" s="17" t="s">
        <v>6834</v>
      </c>
    </row>
    <row r="6612" spans="6:7" x14ac:dyDescent="0.25">
      <c r="F6612" s="17" t="s">
        <v>6893</v>
      </c>
      <c r="G6612" s="17" t="s">
        <v>6834</v>
      </c>
    </row>
    <row r="6613" spans="6:7" x14ac:dyDescent="0.25">
      <c r="F6613" s="17" t="s">
        <v>6894</v>
      </c>
      <c r="G6613" s="17" t="s">
        <v>6834</v>
      </c>
    </row>
    <row r="6614" spans="6:7" x14ac:dyDescent="0.25">
      <c r="F6614" s="17" t="s">
        <v>6895</v>
      </c>
      <c r="G6614" s="17" t="s">
        <v>6834</v>
      </c>
    </row>
    <row r="6615" spans="6:7" x14ac:dyDescent="0.25">
      <c r="F6615" s="17" t="s">
        <v>6896</v>
      </c>
      <c r="G6615" s="17" t="s">
        <v>6834</v>
      </c>
    </row>
    <row r="6616" spans="6:7" x14ac:dyDescent="0.25">
      <c r="F6616" s="17" t="s">
        <v>6897</v>
      </c>
      <c r="G6616" s="17" t="s">
        <v>6834</v>
      </c>
    </row>
    <row r="6617" spans="6:7" x14ac:dyDescent="0.25">
      <c r="F6617" s="17" t="s">
        <v>6898</v>
      </c>
      <c r="G6617" s="17" t="s">
        <v>6834</v>
      </c>
    </row>
    <row r="6618" spans="6:7" x14ac:dyDescent="0.25">
      <c r="F6618" s="17" t="s">
        <v>6899</v>
      </c>
      <c r="G6618" s="17" t="s">
        <v>6834</v>
      </c>
    </row>
    <row r="6619" spans="6:7" x14ac:dyDescent="0.25">
      <c r="F6619" s="17" t="s">
        <v>6900</v>
      </c>
      <c r="G6619" s="17" t="s">
        <v>6834</v>
      </c>
    </row>
    <row r="6620" spans="6:7" x14ac:dyDescent="0.25">
      <c r="F6620" s="17" t="s">
        <v>6901</v>
      </c>
      <c r="G6620" s="17" t="s">
        <v>6834</v>
      </c>
    </row>
    <row r="6621" spans="6:7" x14ac:dyDescent="0.25">
      <c r="F6621" s="17" t="s">
        <v>6902</v>
      </c>
      <c r="G6621" s="17" t="s">
        <v>6834</v>
      </c>
    </row>
    <row r="6622" spans="6:7" x14ac:dyDescent="0.25">
      <c r="F6622" s="17" t="s">
        <v>6903</v>
      </c>
      <c r="G6622" s="17" t="s">
        <v>6834</v>
      </c>
    </row>
    <row r="6623" spans="6:7" x14ac:dyDescent="0.25">
      <c r="F6623" s="17" t="s">
        <v>6904</v>
      </c>
      <c r="G6623" s="17" t="s">
        <v>6834</v>
      </c>
    </row>
    <row r="6624" spans="6:7" x14ac:dyDescent="0.25">
      <c r="F6624" s="17" t="s">
        <v>6905</v>
      </c>
      <c r="G6624" s="17" t="s">
        <v>6834</v>
      </c>
    </row>
    <row r="6625" spans="6:7" x14ac:dyDescent="0.25">
      <c r="F6625" s="17" t="s">
        <v>6906</v>
      </c>
      <c r="G6625" s="17" t="s">
        <v>6834</v>
      </c>
    </row>
    <row r="6626" spans="6:7" x14ac:dyDescent="0.25">
      <c r="F6626" s="17" t="s">
        <v>6907</v>
      </c>
      <c r="G6626" s="17" t="s">
        <v>6834</v>
      </c>
    </row>
    <row r="6627" spans="6:7" x14ac:dyDescent="0.25">
      <c r="F6627" s="17" t="s">
        <v>6908</v>
      </c>
      <c r="G6627" s="17" t="s">
        <v>6834</v>
      </c>
    </row>
    <row r="6628" spans="6:7" x14ac:dyDescent="0.25">
      <c r="F6628" s="17" t="s">
        <v>6909</v>
      </c>
      <c r="G6628" s="17" t="s">
        <v>6834</v>
      </c>
    </row>
    <row r="6629" spans="6:7" x14ac:dyDescent="0.25">
      <c r="F6629" s="17" t="s">
        <v>6910</v>
      </c>
      <c r="G6629" s="17" t="s">
        <v>6834</v>
      </c>
    </row>
    <row r="6630" spans="6:7" x14ac:dyDescent="0.25">
      <c r="F6630" s="17" t="s">
        <v>6911</v>
      </c>
      <c r="G6630" s="17" t="s">
        <v>6834</v>
      </c>
    </row>
    <row r="6631" spans="6:7" x14ac:dyDescent="0.25">
      <c r="F6631" s="17" t="s">
        <v>6912</v>
      </c>
      <c r="G6631" s="17" t="s">
        <v>6834</v>
      </c>
    </row>
    <row r="6632" spans="6:7" x14ac:dyDescent="0.25">
      <c r="F6632" s="17" t="s">
        <v>6913</v>
      </c>
      <c r="G6632" s="17" t="s">
        <v>6834</v>
      </c>
    </row>
    <row r="6633" spans="6:7" x14ac:dyDescent="0.25">
      <c r="F6633" s="17" t="s">
        <v>6914</v>
      </c>
      <c r="G6633" s="17" t="s">
        <v>6834</v>
      </c>
    </row>
    <row r="6634" spans="6:7" x14ac:dyDescent="0.25">
      <c r="F6634" s="17" t="s">
        <v>6915</v>
      </c>
      <c r="G6634" s="17" t="s">
        <v>6834</v>
      </c>
    </row>
    <row r="6635" spans="6:7" x14ac:dyDescent="0.25">
      <c r="F6635" s="17" t="s">
        <v>6916</v>
      </c>
      <c r="G6635" s="17" t="s">
        <v>6834</v>
      </c>
    </row>
    <row r="6636" spans="6:7" x14ac:dyDescent="0.25">
      <c r="F6636" s="17" t="s">
        <v>6917</v>
      </c>
      <c r="G6636" s="17" t="s">
        <v>6834</v>
      </c>
    </row>
    <row r="6637" spans="6:7" x14ac:dyDescent="0.25">
      <c r="F6637" s="17" t="s">
        <v>6918</v>
      </c>
      <c r="G6637" s="17" t="s">
        <v>6834</v>
      </c>
    </row>
    <row r="6638" spans="6:7" x14ac:dyDescent="0.25">
      <c r="F6638" s="17" t="s">
        <v>6919</v>
      </c>
      <c r="G6638" s="17" t="s">
        <v>6581</v>
      </c>
    </row>
    <row r="6639" spans="6:7" x14ac:dyDescent="0.25">
      <c r="F6639" s="17" t="s">
        <v>6920</v>
      </c>
      <c r="G6639" s="17" t="s">
        <v>6921</v>
      </c>
    </row>
    <row r="6640" spans="6:7" x14ac:dyDescent="0.25">
      <c r="F6640" s="17" t="s">
        <v>6922</v>
      </c>
      <c r="G6640" s="17" t="s">
        <v>6921</v>
      </c>
    </row>
    <row r="6641" spans="6:7" x14ac:dyDescent="0.25">
      <c r="F6641" s="17" t="s">
        <v>6923</v>
      </c>
      <c r="G6641" s="17" t="s">
        <v>6921</v>
      </c>
    </row>
    <row r="6642" spans="6:7" x14ac:dyDescent="0.25">
      <c r="F6642" s="17" t="s">
        <v>6924</v>
      </c>
      <c r="G6642" s="17" t="s">
        <v>6921</v>
      </c>
    </row>
    <row r="6643" spans="6:7" x14ac:dyDescent="0.25">
      <c r="F6643" s="17" t="s">
        <v>6925</v>
      </c>
      <c r="G6643" s="17" t="s">
        <v>6921</v>
      </c>
    </row>
    <row r="6644" spans="6:7" x14ac:dyDescent="0.25">
      <c r="F6644" s="17" t="s">
        <v>6926</v>
      </c>
      <c r="G6644" s="17" t="s">
        <v>6921</v>
      </c>
    </row>
    <row r="6645" spans="6:7" x14ac:dyDescent="0.25">
      <c r="F6645" s="17" t="s">
        <v>6927</v>
      </c>
      <c r="G6645" s="17" t="s">
        <v>6921</v>
      </c>
    </row>
    <row r="6646" spans="6:7" x14ac:dyDescent="0.25">
      <c r="F6646" s="17" t="s">
        <v>6928</v>
      </c>
      <c r="G6646" s="17" t="s">
        <v>6921</v>
      </c>
    </row>
    <row r="6647" spans="6:7" x14ac:dyDescent="0.25">
      <c r="F6647" s="17" t="s">
        <v>6929</v>
      </c>
      <c r="G6647" s="17" t="s">
        <v>6921</v>
      </c>
    </row>
    <row r="6648" spans="6:7" x14ac:dyDescent="0.25">
      <c r="F6648" s="17" t="s">
        <v>6930</v>
      </c>
      <c r="G6648" s="17" t="s">
        <v>6921</v>
      </c>
    </row>
    <row r="6649" spans="6:7" x14ac:dyDescent="0.25">
      <c r="F6649" s="17" t="s">
        <v>6931</v>
      </c>
      <c r="G6649" s="17" t="s">
        <v>6921</v>
      </c>
    </row>
    <row r="6650" spans="6:7" x14ac:dyDescent="0.25">
      <c r="F6650" s="17" t="s">
        <v>6932</v>
      </c>
      <c r="G6650" s="17" t="s">
        <v>6549</v>
      </c>
    </row>
    <row r="6651" spans="6:7" x14ac:dyDescent="0.25">
      <c r="F6651" s="17" t="s">
        <v>6933</v>
      </c>
      <c r="G6651" s="17" t="s">
        <v>6549</v>
      </c>
    </row>
    <row r="6652" spans="6:7" x14ac:dyDescent="0.25">
      <c r="F6652" s="17" t="s">
        <v>6934</v>
      </c>
      <c r="G6652" s="17" t="s">
        <v>6549</v>
      </c>
    </row>
    <row r="6653" spans="6:7" x14ac:dyDescent="0.25">
      <c r="F6653" s="17" t="s">
        <v>6935</v>
      </c>
      <c r="G6653" s="17" t="s">
        <v>6834</v>
      </c>
    </row>
    <row r="6654" spans="6:7" x14ac:dyDescent="0.25">
      <c r="F6654" s="17" t="s">
        <v>6936</v>
      </c>
      <c r="G6654" s="17" t="s">
        <v>6834</v>
      </c>
    </row>
    <row r="6655" spans="6:7" x14ac:dyDescent="0.25">
      <c r="F6655" s="17" t="s">
        <v>6937</v>
      </c>
      <c r="G6655" s="17" t="s">
        <v>6834</v>
      </c>
    </row>
    <row r="6656" spans="6:7" x14ac:dyDescent="0.25">
      <c r="F6656" s="17" t="s">
        <v>6938</v>
      </c>
      <c r="G6656" s="17" t="s">
        <v>6834</v>
      </c>
    </row>
    <row r="6657" spans="6:7" x14ac:dyDescent="0.25">
      <c r="F6657" s="17" t="s">
        <v>6939</v>
      </c>
      <c r="G6657" s="17" t="s">
        <v>6834</v>
      </c>
    </row>
    <row r="6658" spans="6:7" x14ac:dyDescent="0.25">
      <c r="F6658" s="17" t="s">
        <v>6940</v>
      </c>
      <c r="G6658" s="17" t="s">
        <v>6834</v>
      </c>
    </row>
    <row r="6659" spans="6:7" x14ac:dyDescent="0.25">
      <c r="F6659" s="17" t="s">
        <v>6941</v>
      </c>
      <c r="G6659" s="17" t="s">
        <v>6834</v>
      </c>
    </row>
    <row r="6660" spans="6:7" x14ac:dyDescent="0.25">
      <c r="F6660" s="17" t="s">
        <v>6942</v>
      </c>
      <c r="G6660" s="17" t="s">
        <v>6834</v>
      </c>
    </row>
    <row r="6661" spans="6:7" x14ac:dyDescent="0.25">
      <c r="F6661" s="17" t="s">
        <v>6943</v>
      </c>
      <c r="G6661" s="17" t="s">
        <v>6834</v>
      </c>
    </row>
    <row r="6662" spans="6:7" x14ac:dyDescent="0.25">
      <c r="F6662" s="17" t="s">
        <v>6944</v>
      </c>
      <c r="G6662" s="17" t="s">
        <v>6834</v>
      </c>
    </row>
    <row r="6663" spans="6:7" x14ac:dyDescent="0.25">
      <c r="F6663" s="17" t="s">
        <v>6945</v>
      </c>
      <c r="G6663" s="17" t="s">
        <v>6834</v>
      </c>
    </row>
    <row r="6664" spans="6:7" x14ac:dyDescent="0.25">
      <c r="F6664" s="17" t="s">
        <v>6946</v>
      </c>
      <c r="G6664" s="17" t="s">
        <v>6834</v>
      </c>
    </row>
    <row r="6665" spans="6:7" x14ac:dyDescent="0.25">
      <c r="F6665" s="17" t="s">
        <v>6947</v>
      </c>
      <c r="G6665" s="17" t="s">
        <v>6834</v>
      </c>
    </row>
    <row r="6666" spans="6:7" x14ac:dyDescent="0.25">
      <c r="F6666" s="17" t="s">
        <v>6948</v>
      </c>
      <c r="G6666" s="17" t="s">
        <v>6834</v>
      </c>
    </row>
    <row r="6667" spans="6:7" x14ac:dyDescent="0.25">
      <c r="F6667" s="17" t="s">
        <v>6949</v>
      </c>
      <c r="G6667" s="17" t="s">
        <v>6834</v>
      </c>
    </row>
    <row r="6668" spans="6:7" x14ac:dyDescent="0.25">
      <c r="F6668" s="17" t="s">
        <v>6950</v>
      </c>
      <c r="G6668" s="17" t="s">
        <v>6834</v>
      </c>
    </row>
    <row r="6669" spans="6:7" x14ac:dyDescent="0.25">
      <c r="F6669" s="17" t="s">
        <v>6951</v>
      </c>
      <c r="G6669" s="17" t="s">
        <v>6834</v>
      </c>
    </row>
    <row r="6670" spans="6:7" x14ac:dyDescent="0.25">
      <c r="F6670" s="17" t="s">
        <v>6952</v>
      </c>
      <c r="G6670" s="17" t="s">
        <v>6834</v>
      </c>
    </row>
    <row r="6671" spans="6:7" x14ac:dyDescent="0.25">
      <c r="F6671" s="17" t="s">
        <v>6953</v>
      </c>
      <c r="G6671" s="17" t="s">
        <v>6834</v>
      </c>
    </row>
    <row r="6672" spans="6:7" x14ac:dyDescent="0.25">
      <c r="F6672" s="17" t="s">
        <v>6954</v>
      </c>
      <c r="G6672" s="17" t="s">
        <v>6834</v>
      </c>
    </row>
    <row r="6673" spans="6:7" x14ac:dyDescent="0.25">
      <c r="F6673" s="17" t="s">
        <v>6955</v>
      </c>
      <c r="G6673" s="17" t="s">
        <v>6834</v>
      </c>
    </row>
    <row r="6674" spans="6:7" x14ac:dyDescent="0.25">
      <c r="F6674" s="17" t="s">
        <v>6956</v>
      </c>
      <c r="G6674" s="17" t="s">
        <v>6834</v>
      </c>
    </row>
    <row r="6675" spans="6:7" x14ac:dyDescent="0.25">
      <c r="F6675" s="17" t="s">
        <v>6957</v>
      </c>
      <c r="G6675" s="17" t="s">
        <v>6834</v>
      </c>
    </row>
    <row r="6676" spans="6:7" x14ac:dyDescent="0.25">
      <c r="F6676" s="17" t="s">
        <v>6958</v>
      </c>
      <c r="G6676" s="17" t="s">
        <v>6834</v>
      </c>
    </row>
    <row r="6677" spans="6:7" x14ac:dyDescent="0.25">
      <c r="F6677" s="17" t="s">
        <v>6959</v>
      </c>
      <c r="G6677" s="17" t="s">
        <v>6834</v>
      </c>
    </row>
    <row r="6678" spans="6:7" x14ac:dyDescent="0.25">
      <c r="F6678" s="17" t="s">
        <v>6960</v>
      </c>
      <c r="G6678" s="17" t="s">
        <v>6834</v>
      </c>
    </row>
    <row r="6679" spans="6:7" x14ac:dyDescent="0.25">
      <c r="F6679" s="17" t="s">
        <v>6961</v>
      </c>
      <c r="G6679" s="17" t="s">
        <v>6834</v>
      </c>
    </row>
    <row r="6680" spans="6:7" x14ac:dyDescent="0.25">
      <c r="F6680" s="17" t="s">
        <v>6962</v>
      </c>
      <c r="G6680" s="17" t="s">
        <v>6834</v>
      </c>
    </row>
    <row r="6681" spans="6:7" x14ac:dyDescent="0.25">
      <c r="F6681" s="17" t="s">
        <v>6963</v>
      </c>
      <c r="G6681" s="17" t="s">
        <v>6834</v>
      </c>
    </row>
    <row r="6682" spans="6:7" x14ac:dyDescent="0.25">
      <c r="F6682" s="17" t="s">
        <v>6964</v>
      </c>
      <c r="G6682" s="17" t="s">
        <v>6834</v>
      </c>
    </row>
    <row r="6683" spans="6:7" x14ac:dyDescent="0.25">
      <c r="F6683" s="17" t="s">
        <v>6965</v>
      </c>
      <c r="G6683" s="17" t="s">
        <v>6581</v>
      </c>
    </row>
    <row r="6684" spans="6:7" x14ac:dyDescent="0.25">
      <c r="F6684" s="17" t="s">
        <v>6966</v>
      </c>
      <c r="G6684" s="17" t="s">
        <v>6581</v>
      </c>
    </row>
    <row r="6685" spans="6:7" x14ac:dyDescent="0.25">
      <c r="F6685" s="17" t="s">
        <v>6967</v>
      </c>
      <c r="G6685" s="17" t="s">
        <v>6834</v>
      </c>
    </row>
    <row r="6686" spans="6:7" x14ac:dyDescent="0.25">
      <c r="F6686" s="17" t="s">
        <v>6968</v>
      </c>
      <c r="G6686" s="17" t="s">
        <v>6834</v>
      </c>
    </row>
    <row r="6687" spans="6:7" x14ac:dyDescent="0.25">
      <c r="F6687" s="17" t="s">
        <v>6969</v>
      </c>
      <c r="G6687" s="17" t="s">
        <v>6834</v>
      </c>
    </row>
    <row r="6688" spans="6:7" x14ac:dyDescent="0.25">
      <c r="F6688" s="17" t="s">
        <v>6970</v>
      </c>
      <c r="G6688" s="17" t="s">
        <v>6834</v>
      </c>
    </row>
    <row r="6689" spans="6:7" x14ac:dyDescent="0.25">
      <c r="F6689" s="17" t="s">
        <v>6971</v>
      </c>
      <c r="G6689" s="17" t="s">
        <v>6834</v>
      </c>
    </row>
    <row r="6690" spans="6:7" x14ac:dyDescent="0.25">
      <c r="F6690" s="17" t="s">
        <v>6972</v>
      </c>
      <c r="G6690" s="17" t="s">
        <v>6834</v>
      </c>
    </row>
    <row r="6691" spans="6:7" x14ac:dyDescent="0.25">
      <c r="F6691" s="17" t="s">
        <v>6973</v>
      </c>
      <c r="G6691" s="17" t="s">
        <v>6834</v>
      </c>
    </row>
    <row r="6692" spans="6:7" x14ac:dyDescent="0.25">
      <c r="F6692" s="17" t="s">
        <v>6974</v>
      </c>
      <c r="G6692" s="17" t="s">
        <v>6581</v>
      </c>
    </row>
    <row r="6693" spans="6:7" x14ac:dyDescent="0.25">
      <c r="F6693" s="17" t="s">
        <v>6975</v>
      </c>
      <c r="G6693" s="17" t="s">
        <v>6921</v>
      </c>
    </row>
    <row r="6694" spans="6:7" x14ac:dyDescent="0.25">
      <c r="F6694" s="17" t="s">
        <v>6976</v>
      </c>
      <c r="G6694" s="17" t="s">
        <v>6921</v>
      </c>
    </row>
    <row r="6695" spans="6:7" x14ac:dyDescent="0.25">
      <c r="F6695" s="17" t="s">
        <v>6977</v>
      </c>
      <c r="G6695" s="17" t="s">
        <v>6581</v>
      </c>
    </row>
    <row r="6696" spans="6:7" x14ac:dyDescent="0.25">
      <c r="F6696" s="17" t="s">
        <v>6978</v>
      </c>
      <c r="G6696" s="17" t="s">
        <v>6581</v>
      </c>
    </row>
    <row r="6697" spans="6:7" x14ac:dyDescent="0.25">
      <c r="F6697" s="17" t="s">
        <v>6979</v>
      </c>
      <c r="G6697" s="17" t="s">
        <v>6384</v>
      </c>
    </row>
    <row r="6698" spans="6:7" x14ac:dyDescent="0.25">
      <c r="F6698" s="17" t="s">
        <v>6980</v>
      </c>
      <c r="G6698" s="17" t="s">
        <v>6581</v>
      </c>
    </row>
    <row r="6699" spans="6:7" x14ac:dyDescent="0.25">
      <c r="F6699" s="17" t="s">
        <v>6981</v>
      </c>
      <c r="G6699" s="17" t="s">
        <v>6581</v>
      </c>
    </row>
    <row r="6700" spans="6:7" x14ac:dyDescent="0.25">
      <c r="F6700" s="17" t="s">
        <v>6982</v>
      </c>
      <c r="G6700" s="17" t="s">
        <v>6581</v>
      </c>
    </row>
    <row r="6701" spans="6:7" x14ac:dyDescent="0.25">
      <c r="F6701" s="17" t="s">
        <v>6983</v>
      </c>
      <c r="G6701" s="17" t="s">
        <v>6581</v>
      </c>
    </row>
    <row r="6702" spans="6:7" x14ac:dyDescent="0.25">
      <c r="F6702" s="17" t="s">
        <v>6984</v>
      </c>
      <c r="G6702" s="17" t="s">
        <v>6581</v>
      </c>
    </row>
    <row r="6703" spans="6:7" x14ac:dyDescent="0.25">
      <c r="F6703" s="17" t="s">
        <v>6985</v>
      </c>
      <c r="G6703" s="17" t="s">
        <v>6581</v>
      </c>
    </row>
    <row r="6704" spans="6:7" x14ac:dyDescent="0.25">
      <c r="F6704" s="17" t="s">
        <v>6986</v>
      </c>
      <c r="G6704" s="17" t="s">
        <v>6605</v>
      </c>
    </row>
    <row r="6705" spans="6:7" x14ac:dyDescent="0.25">
      <c r="F6705" s="17" t="s">
        <v>6987</v>
      </c>
      <c r="G6705" s="17" t="s">
        <v>6610</v>
      </c>
    </row>
    <row r="6706" spans="6:7" x14ac:dyDescent="0.25">
      <c r="F6706" s="17" t="s">
        <v>6988</v>
      </c>
      <c r="G6706" s="17" t="s">
        <v>6610</v>
      </c>
    </row>
    <row r="6707" spans="6:7" x14ac:dyDescent="0.25">
      <c r="F6707" s="17" t="s">
        <v>6989</v>
      </c>
      <c r="G6707" s="17" t="s">
        <v>6605</v>
      </c>
    </row>
    <row r="6708" spans="6:7" x14ac:dyDescent="0.25">
      <c r="F6708" s="17" t="s">
        <v>6990</v>
      </c>
      <c r="G6708" s="17" t="s">
        <v>6605</v>
      </c>
    </row>
    <row r="6709" spans="6:7" x14ac:dyDescent="0.25">
      <c r="F6709" s="17" t="s">
        <v>6991</v>
      </c>
      <c r="G6709" s="17" t="s">
        <v>6605</v>
      </c>
    </row>
    <row r="6710" spans="6:7" x14ac:dyDescent="0.25">
      <c r="F6710" s="17" t="s">
        <v>6992</v>
      </c>
      <c r="G6710" s="17" t="s">
        <v>6605</v>
      </c>
    </row>
    <row r="6711" spans="6:7" x14ac:dyDescent="0.25">
      <c r="F6711" s="17" t="s">
        <v>6993</v>
      </c>
      <c r="G6711" s="17" t="s">
        <v>6605</v>
      </c>
    </row>
    <row r="6712" spans="6:7" x14ac:dyDescent="0.25">
      <c r="F6712" s="17" t="s">
        <v>6994</v>
      </c>
      <c r="G6712" s="17" t="s">
        <v>6605</v>
      </c>
    </row>
    <row r="6713" spans="6:7" x14ac:dyDescent="0.25">
      <c r="F6713" s="17" t="s">
        <v>6995</v>
      </c>
      <c r="G6713" s="17" t="s">
        <v>6605</v>
      </c>
    </row>
    <row r="6714" spans="6:7" x14ac:dyDescent="0.25">
      <c r="F6714" s="17" t="s">
        <v>6996</v>
      </c>
      <c r="G6714" s="17" t="s">
        <v>6605</v>
      </c>
    </row>
    <row r="6715" spans="6:7" x14ac:dyDescent="0.25">
      <c r="F6715" s="17" t="s">
        <v>6997</v>
      </c>
      <c r="G6715" s="17" t="s">
        <v>6605</v>
      </c>
    </row>
    <row r="6716" spans="6:7" x14ac:dyDescent="0.25">
      <c r="F6716" s="17" t="s">
        <v>6998</v>
      </c>
      <c r="G6716" s="17" t="s">
        <v>6605</v>
      </c>
    </row>
    <row r="6717" spans="6:7" x14ac:dyDescent="0.25">
      <c r="F6717" s="17" t="s">
        <v>6999</v>
      </c>
      <c r="G6717" s="17" t="s">
        <v>6605</v>
      </c>
    </row>
    <row r="6718" spans="6:7" x14ac:dyDescent="0.25">
      <c r="F6718" s="17" t="s">
        <v>7000</v>
      </c>
      <c r="G6718" s="17" t="s">
        <v>6605</v>
      </c>
    </row>
    <row r="6719" spans="6:7" x14ac:dyDescent="0.25">
      <c r="F6719" s="17" t="s">
        <v>7001</v>
      </c>
      <c r="G6719" s="17" t="s">
        <v>6610</v>
      </c>
    </row>
    <row r="6720" spans="6:7" x14ac:dyDescent="0.25">
      <c r="F6720" s="17" t="s">
        <v>7002</v>
      </c>
      <c r="G6720" s="17" t="s">
        <v>6368</v>
      </c>
    </row>
    <row r="6721" spans="6:7" x14ac:dyDescent="0.25">
      <c r="F6721" s="17" t="s">
        <v>7003</v>
      </c>
      <c r="G6721" s="17" t="s">
        <v>6368</v>
      </c>
    </row>
    <row r="6722" spans="6:7" x14ac:dyDescent="0.25">
      <c r="F6722" s="17" t="s">
        <v>7004</v>
      </c>
      <c r="G6722" s="17" t="s">
        <v>6368</v>
      </c>
    </row>
    <row r="6723" spans="6:7" x14ac:dyDescent="0.25">
      <c r="F6723" s="17" t="s">
        <v>7005</v>
      </c>
      <c r="G6723" s="17" t="s">
        <v>6368</v>
      </c>
    </row>
    <row r="6724" spans="6:7" x14ac:dyDescent="0.25">
      <c r="F6724" s="17" t="s">
        <v>7006</v>
      </c>
      <c r="G6724" s="17" t="s">
        <v>6610</v>
      </c>
    </row>
    <row r="6725" spans="6:7" x14ac:dyDescent="0.25">
      <c r="F6725" s="17" t="s">
        <v>7007</v>
      </c>
      <c r="G6725" s="17" t="s">
        <v>6605</v>
      </c>
    </row>
    <row r="6726" spans="6:7" x14ac:dyDescent="0.25">
      <c r="F6726" s="17" t="s">
        <v>7008</v>
      </c>
      <c r="G6726" s="17" t="s">
        <v>6610</v>
      </c>
    </row>
    <row r="6727" spans="6:7" x14ac:dyDescent="0.25">
      <c r="F6727" s="17" t="s">
        <v>7009</v>
      </c>
      <c r="G6727" s="17" t="s">
        <v>6610</v>
      </c>
    </row>
    <row r="6728" spans="6:7" x14ac:dyDescent="0.25">
      <c r="F6728" s="17" t="s">
        <v>7010</v>
      </c>
      <c r="G6728" s="17" t="s">
        <v>6610</v>
      </c>
    </row>
    <row r="6729" spans="6:7" x14ac:dyDescent="0.25">
      <c r="F6729" s="17" t="s">
        <v>7011</v>
      </c>
      <c r="G6729" s="17" t="s">
        <v>6610</v>
      </c>
    </row>
    <row r="6730" spans="6:7" x14ac:dyDescent="0.25">
      <c r="F6730" s="17" t="s">
        <v>7012</v>
      </c>
      <c r="G6730" s="17" t="s">
        <v>6610</v>
      </c>
    </row>
    <row r="6731" spans="6:7" x14ac:dyDescent="0.25">
      <c r="F6731" s="17" t="s">
        <v>7013</v>
      </c>
      <c r="G6731" s="17" t="s">
        <v>6610</v>
      </c>
    </row>
    <row r="6732" spans="6:7" x14ac:dyDescent="0.25">
      <c r="F6732" s="17" t="s">
        <v>7014</v>
      </c>
      <c r="G6732" s="17" t="s">
        <v>6610</v>
      </c>
    </row>
    <row r="6733" spans="6:7" x14ac:dyDescent="0.25">
      <c r="F6733" s="17" t="s">
        <v>7015</v>
      </c>
      <c r="G6733" s="17" t="s">
        <v>6610</v>
      </c>
    </row>
    <row r="6734" spans="6:7" x14ac:dyDescent="0.25">
      <c r="F6734" s="17" t="s">
        <v>7016</v>
      </c>
      <c r="G6734" s="17" t="s">
        <v>6610</v>
      </c>
    </row>
    <row r="6735" spans="6:7" x14ac:dyDescent="0.25">
      <c r="F6735" s="17" t="s">
        <v>7017</v>
      </c>
      <c r="G6735" s="17" t="s">
        <v>6610</v>
      </c>
    </row>
    <row r="6736" spans="6:7" x14ac:dyDescent="0.25">
      <c r="F6736" s="17" t="s">
        <v>7018</v>
      </c>
      <c r="G6736" s="17" t="s">
        <v>6610</v>
      </c>
    </row>
    <row r="6737" spans="6:7" x14ac:dyDescent="0.25">
      <c r="F6737" s="17" t="s">
        <v>7019</v>
      </c>
      <c r="G6737" s="17" t="s">
        <v>6610</v>
      </c>
    </row>
    <row r="6738" spans="6:7" x14ac:dyDescent="0.25">
      <c r="F6738" s="17" t="s">
        <v>7020</v>
      </c>
      <c r="G6738" s="17" t="s">
        <v>6610</v>
      </c>
    </row>
    <row r="6739" spans="6:7" x14ac:dyDescent="0.25">
      <c r="F6739" s="17" t="s">
        <v>7021</v>
      </c>
      <c r="G6739" s="17" t="s">
        <v>6610</v>
      </c>
    </row>
    <row r="6740" spans="6:7" x14ac:dyDescent="0.25">
      <c r="F6740" s="17" t="s">
        <v>7022</v>
      </c>
      <c r="G6740" s="17" t="s">
        <v>6610</v>
      </c>
    </row>
    <row r="6741" spans="6:7" x14ac:dyDescent="0.25">
      <c r="F6741" s="17" t="s">
        <v>7023</v>
      </c>
      <c r="G6741" s="17" t="s">
        <v>6610</v>
      </c>
    </row>
    <row r="6742" spans="6:7" x14ac:dyDescent="0.25">
      <c r="F6742" s="17" t="s">
        <v>7024</v>
      </c>
      <c r="G6742" s="17" t="s">
        <v>6610</v>
      </c>
    </row>
    <row r="6743" spans="6:7" x14ac:dyDescent="0.25">
      <c r="F6743" s="17" t="s">
        <v>7025</v>
      </c>
      <c r="G6743" s="17" t="s">
        <v>6610</v>
      </c>
    </row>
    <row r="6744" spans="6:7" x14ac:dyDescent="0.25">
      <c r="F6744" s="17" t="s">
        <v>7026</v>
      </c>
      <c r="G6744" s="17" t="s">
        <v>6610</v>
      </c>
    </row>
    <row r="6745" spans="6:7" x14ac:dyDescent="0.25">
      <c r="F6745" s="17" t="s">
        <v>7027</v>
      </c>
      <c r="G6745" s="17" t="s">
        <v>6610</v>
      </c>
    </row>
    <row r="6746" spans="6:7" x14ac:dyDescent="0.25">
      <c r="F6746" s="17" t="s">
        <v>7028</v>
      </c>
      <c r="G6746" s="17" t="s">
        <v>6610</v>
      </c>
    </row>
    <row r="6747" spans="6:7" x14ac:dyDescent="0.25">
      <c r="F6747" s="17" t="s">
        <v>7029</v>
      </c>
      <c r="G6747" s="17" t="s">
        <v>6610</v>
      </c>
    </row>
    <row r="6748" spans="6:7" x14ac:dyDescent="0.25">
      <c r="F6748" s="17" t="s">
        <v>7030</v>
      </c>
      <c r="G6748" s="17" t="s">
        <v>6610</v>
      </c>
    </row>
    <row r="6749" spans="6:7" x14ac:dyDescent="0.25">
      <c r="F6749" s="17" t="s">
        <v>7031</v>
      </c>
      <c r="G6749" s="17" t="s">
        <v>6610</v>
      </c>
    </row>
    <row r="6750" spans="6:7" x14ac:dyDescent="0.25">
      <c r="F6750" s="17" t="s">
        <v>7032</v>
      </c>
      <c r="G6750" s="17" t="s">
        <v>6610</v>
      </c>
    </row>
    <row r="6751" spans="6:7" x14ac:dyDescent="0.25">
      <c r="F6751" s="17" t="s">
        <v>7033</v>
      </c>
      <c r="G6751" s="17" t="s">
        <v>6610</v>
      </c>
    </row>
    <row r="6752" spans="6:7" x14ac:dyDescent="0.25">
      <c r="F6752" s="17" t="s">
        <v>7034</v>
      </c>
      <c r="G6752" s="17" t="s">
        <v>6610</v>
      </c>
    </row>
    <row r="6753" spans="6:7" x14ac:dyDescent="0.25">
      <c r="F6753" s="17" t="s">
        <v>7035</v>
      </c>
      <c r="G6753" s="17" t="s">
        <v>6610</v>
      </c>
    </row>
    <row r="6754" spans="6:7" x14ac:dyDescent="0.25">
      <c r="F6754" s="17" t="s">
        <v>7036</v>
      </c>
      <c r="G6754" s="17" t="s">
        <v>6610</v>
      </c>
    </row>
    <row r="6755" spans="6:7" x14ac:dyDescent="0.25">
      <c r="F6755" s="17" t="s">
        <v>7037</v>
      </c>
      <c r="G6755" s="17" t="s">
        <v>6610</v>
      </c>
    </row>
    <row r="6756" spans="6:7" x14ac:dyDescent="0.25">
      <c r="F6756" s="17" t="s">
        <v>7038</v>
      </c>
      <c r="G6756" s="17" t="s">
        <v>6610</v>
      </c>
    </row>
    <row r="6757" spans="6:7" x14ac:dyDescent="0.25">
      <c r="F6757" s="17" t="s">
        <v>7039</v>
      </c>
      <c r="G6757" s="17" t="s">
        <v>6610</v>
      </c>
    </row>
    <row r="6758" spans="6:7" x14ac:dyDescent="0.25">
      <c r="F6758" s="17" t="s">
        <v>7040</v>
      </c>
      <c r="G6758" s="17" t="s">
        <v>6610</v>
      </c>
    </row>
    <row r="6759" spans="6:7" x14ac:dyDescent="0.25">
      <c r="F6759" s="17" t="s">
        <v>7041</v>
      </c>
      <c r="G6759" s="17" t="s">
        <v>6610</v>
      </c>
    </row>
    <row r="6760" spans="6:7" x14ac:dyDescent="0.25">
      <c r="F6760" s="17" t="s">
        <v>7042</v>
      </c>
      <c r="G6760" s="17" t="s">
        <v>6610</v>
      </c>
    </row>
    <row r="6761" spans="6:7" x14ac:dyDescent="0.25">
      <c r="F6761" s="17" t="s">
        <v>7043</v>
      </c>
      <c r="G6761" s="17" t="s">
        <v>6610</v>
      </c>
    </row>
    <row r="6762" spans="6:7" x14ac:dyDescent="0.25">
      <c r="F6762" s="17" t="s">
        <v>7044</v>
      </c>
      <c r="G6762" s="17" t="s">
        <v>6610</v>
      </c>
    </row>
    <row r="6763" spans="6:7" x14ac:dyDescent="0.25">
      <c r="F6763" s="17" t="s">
        <v>7045</v>
      </c>
      <c r="G6763" s="17" t="s">
        <v>6610</v>
      </c>
    </row>
    <row r="6764" spans="6:7" x14ac:dyDescent="0.25">
      <c r="F6764" s="17" t="s">
        <v>7046</v>
      </c>
      <c r="G6764" s="17" t="s">
        <v>6610</v>
      </c>
    </row>
    <row r="6765" spans="6:7" x14ac:dyDescent="0.25">
      <c r="F6765" s="17" t="s">
        <v>7047</v>
      </c>
      <c r="G6765" s="17" t="s">
        <v>6610</v>
      </c>
    </row>
    <row r="6766" spans="6:7" x14ac:dyDescent="0.25">
      <c r="F6766" s="17" t="s">
        <v>7048</v>
      </c>
      <c r="G6766" s="17" t="s">
        <v>6610</v>
      </c>
    </row>
    <row r="6767" spans="6:7" x14ac:dyDescent="0.25">
      <c r="F6767" s="17" t="s">
        <v>7049</v>
      </c>
      <c r="G6767" s="17" t="s">
        <v>6610</v>
      </c>
    </row>
    <row r="6768" spans="6:7" x14ac:dyDescent="0.25">
      <c r="F6768" s="17" t="s">
        <v>7050</v>
      </c>
      <c r="G6768" s="17" t="s">
        <v>6610</v>
      </c>
    </row>
    <row r="6769" spans="6:7" x14ac:dyDescent="0.25">
      <c r="F6769" s="17" t="s">
        <v>7051</v>
      </c>
      <c r="G6769" s="17" t="s">
        <v>6610</v>
      </c>
    </row>
    <row r="6770" spans="6:7" x14ac:dyDescent="0.25">
      <c r="F6770" s="17" t="s">
        <v>7052</v>
      </c>
      <c r="G6770" s="17" t="s">
        <v>6610</v>
      </c>
    </row>
    <row r="6771" spans="6:7" x14ac:dyDescent="0.25">
      <c r="F6771" s="17" t="s">
        <v>7053</v>
      </c>
      <c r="G6771" s="17" t="s">
        <v>6610</v>
      </c>
    </row>
    <row r="6772" spans="6:7" x14ac:dyDescent="0.25">
      <c r="F6772" s="17" t="s">
        <v>7054</v>
      </c>
      <c r="G6772" s="17" t="s">
        <v>6610</v>
      </c>
    </row>
    <row r="6773" spans="6:7" x14ac:dyDescent="0.25">
      <c r="F6773" s="17" t="s">
        <v>7055</v>
      </c>
      <c r="G6773" s="17" t="s">
        <v>6610</v>
      </c>
    </row>
    <row r="6774" spans="6:7" x14ac:dyDescent="0.25">
      <c r="F6774" s="17" t="s">
        <v>7056</v>
      </c>
      <c r="G6774" s="17" t="s">
        <v>6610</v>
      </c>
    </row>
    <row r="6775" spans="6:7" x14ac:dyDescent="0.25">
      <c r="F6775" s="17" t="s">
        <v>7057</v>
      </c>
      <c r="G6775" s="17" t="s">
        <v>6610</v>
      </c>
    </row>
    <row r="6776" spans="6:7" x14ac:dyDescent="0.25">
      <c r="F6776" s="17" t="s">
        <v>7058</v>
      </c>
      <c r="G6776" s="17" t="s">
        <v>6610</v>
      </c>
    </row>
    <row r="6777" spans="6:7" x14ac:dyDescent="0.25">
      <c r="F6777" s="17" t="s">
        <v>7059</v>
      </c>
      <c r="G6777" s="17" t="s">
        <v>6610</v>
      </c>
    </row>
    <row r="6778" spans="6:7" x14ac:dyDescent="0.25">
      <c r="F6778" s="17" t="s">
        <v>7060</v>
      </c>
      <c r="G6778" s="17" t="s">
        <v>6610</v>
      </c>
    </row>
    <row r="6779" spans="6:7" x14ac:dyDescent="0.25">
      <c r="F6779" s="17" t="s">
        <v>7061</v>
      </c>
      <c r="G6779" s="17" t="s">
        <v>6610</v>
      </c>
    </row>
    <row r="6780" spans="6:7" x14ac:dyDescent="0.25">
      <c r="F6780" s="17" t="s">
        <v>7062</v>
      </c>
      <c r="G6780" s="17" t="s">
        <v>6610</v>
      </c>
    </row>
    <row r="6781" spans="6:7" x14ac:dyDescent="0.25">
      <c r="F6781" s="17" t="s">
        <v>7063</v>
      </c>
      <c r="G6781" s="17" t="s">
        <v>6610</v>
      </c>
    </row>
    <row r="6782" spans="6:7" x14ac:dyDescent="0.25">
      <c r="F6782" s="17" t="s">
        <v>7064</v>
      </c>
      <c r="G6782" s="17" t="s">
        <v>6610</v>
      </c>
    </row>
    <row r="6783" spans="6:7" x14ac:dyDescent="0.25">
      <c r="F6783" s="17" t="s">
        <v>7065</v>
      </c>
      <c r="G6783" s="17" t="s">
        <v>6610</v>
      </c>
    </row>
    <row r="6784" spans="6:7" x14ac:dyDescent="0.25">
      <c r="F6784" s="17" t="s">
        <v>7066</v>
      </c>
      <c r="G6784" s="17" t="s">
        <v>6610</v>
      </c>
    </row>
    <row r="6785" spans="6:7" x14ac:dyDescent="0.25">
      <c r="F6785" s="17" t="s">
        <v>7067</v>
      </c>
      <c r="G6785" s="17" t="s">
        <v>6610</v>
      </c>
    </row>
    <row r="6786" spans="6:7" x14ac:dyDescent="0.25">
      <c r="F6786" s="17" t="s">
        <v>7068</v>
      </c>
      <c r="G6786" s="17" t="s">
        <v>6610</v>
      </c>
    </row>
    <row r="6787" spans="6:7" x14ac:dyDescent="0.25">
      <c r="F6787" s="17" t="s">
        <v>7069</v>
      </c>
      <c r="G6787" s="17" t="s">
        <v>6610</v>
      </c>
    </row>
    <row r="6788" spans="6:7" x14ac:dyDescent="0.25">
      <c r="F6788" s="17" t="s">
        <v>7070</v>
      </c>
      <c r="G6788" s="17" t="s">
        <v>6610</v>
      </c>
    </row>
    <row r="6789" spans="6:7" x14ac:dyDescent="0.25">
      <c r="F6789" s="17" t="s">
        <v>7071</v>
      </c>
      <c r="G6789" s="17" t="s">
        <v>6610</v>
      </c>
    </row>
    <row r="6790" spans="6:7" x14ac:dyDescent="0.25">
      <c r="F6790" s="17" t="s">
        <v>7072</v>
      </c>
      <c r="G6790" s="17" t="s">
        <v>6610</v>
      </c>
    </row>
    <row r="6791" spans="6:7" x14ac:dyDescent="0.25">
      <c r="F6791" s="17" t="s">
        <v>7073</v>
      </c>
      <c r="G6791" s="17" t="s">
        <v>6610</v>
      </c>
    </row>
    <row r="6792" spans="6:7" x14ac:dyDescent="0.25">
      <c r="F6792" s="17" t="s">
        <v>7074</v>
      </c>
      <c r="G6792" s="17" t="s">
        <v>6610</v>
      </c>
    </row>
    <row r="6793" spans="6:7" x14ac:dyDescent="0.25">
      <c r="F6793" s="17" t="s">
        <v>7075</v>
      </c>
      <c r="G6793" s="17" t="s">
        <v>6610</v>
      </c>
    </row>
    <row r="6794" spans="6:7" x14ac:dyDescent="0.25">
      <c r="F6794" s="17" t="s">
        <v>7076</v>
      </c>
      <c r="G6794" s="17" t="s">
        <v>6750</v>
      </c>
    </row>
    <row r="6795" spans="6:7" x14ac:dyDescent="0.25">
      <c r="F6795" s="17" t="s">
        <v>7077</v>
      </c>
      <c r="G6795" s="17" t="s">
        <v>6610</v>
      </c>
    </row>
    <row r="6796" spans="6:7" x14ac:dyDescent="0.25">
      <c r="F6796" s="17" t="s">
        <v>7078</v>
      </c>
      <c r="G6796" s="17" t="s">
        <v>6605</v>
      </c>
    </row>
    <row r="6797" spans="6:7" x14ac:dyDescent="0.25">
      <c r="F6797" s="17" t="s">
        <v>7079</v>
      </c>
      <c r="G6797" s="17" t="s">
        <v>6605</v>
      </c>
    </row>
    <row r="6798" spans="6:7" x14ac:dyDescent="0.25">
      <c r="F6798" s="17" t="s">
        <v>7080</v>
      </c>
      <c r="G6798" s="17" t="s">
        <v>6610</v>
      </c>
    </row>
    <row r="6799" spans="6:7" x14ac:dyDescent="0.25">
      <c r="F6799" s="17" t="s">
        <v>7081</v>
      </c>
      <c r="G6799" s="17" t="s">
        <v>6610</v>
      </c>
    </row>
    <row r="6800" spans="6:7" x14ac:dyDescent="0.25">
      <c r="F6800" s="17" t="s">
        <v>7082</v>
      </c>
      <c r="G6800" s="17" t="s">
        <v>6610</v>
      </c>
    </row>
    <row r="6801" spans="6:7" x14ac:dyDescent="0.25">
      <c r="F6801" s="17" t="s">
        <v>7083</v>
      </c>
      <c r="G6801" s="17" t="s">
        <v>6610</v>
      </c>
    </row>
    <row r="6802" spans="6:7" x14ac:dyDescent="0.25">
      <c r="F6802" s="17" t="s">
        <v>7084</v>
      </c>
      <c r="G6802" s="17" t="s">
        <v>6610</v>
      </c>
    </row>
    <row r="6803" spans="6:7" x14ac:dyDescent="0.25">
      <c r="F6803" s="17" t="s">
        <v>7085</v>
      </c>
      <c r="G6803" s="17" t="s">
        <v>6610</v>
      </c>
    </row>
    <row r="6804" spans="6:7" x14ac:dyDescent="0.25">
      <c r="F6804" s="17" t="s">
        <v>7086</v>
      </c>
      <c r="G6804" s="17" t="s">
        <v>6610</v>
      </c>
    </row>
    <row r="6805" spans="6:7" x14ac:dyDescent="0.25">
      <c r="F6805" s="17" t="s">
        <v>7087</v>
      </c>
      <c r="G6805" s="17" t="s">
        <v>6610</v>
      </c>
    </row>
    <row r="6806" spans="6:7" x14ac:dyDescent="0.25">
      <c r="F6806" s="17" t="s">
        <v>7088</v>
      </c>
      <c r="G6806" s="17" t="s">
        <v>6610</v>
      </c>
    </row>
    <row r="6807" spans="6:7" x14ac:dyDescent="0.25">
      <c r="F6807" s="17" t="s">
        <v>7089</v>
      </c>
      <c r="G6807" s="17" t="s">
        <v>6610</v>
      </c>
    </row>
    <row r="6808" spans="6:7" x14ac:dyDescent="0.25">
      <c r="F6808" s="17" t="s">
        <v>7090</v>
      </c>
      <c r="G6808" s="17" t="s">
        <v>7091</v>
      </c>
    </row>
    <row r="6809" spans="6:7" x14ac:dyDescent="0.25">
      <c r="F6809" s="17" t="s">
        <v>7092</v>
      </c>
      <c r="G6809" s="17" t="s">
        <v>7091</v>
      </c>
    </row>
    <row r="6810" spans="6:7" x14ac:dyDescent="0.25">
      <c r="F6810" s="17" t="s">
        <v>7093</v>
      </c>
      <c r="G6810" s="17" t="s">
        <v>6610</v>
      </c>
    </row>
    <row r="6811" spans="6:7" x14ac:dyDescent="0.25">
      <c r="F6811" s="17" t="s">
        <v>7094</v>
      </c>
      <c r="G6811" s="17" t="s">
        <v>6610</v>
      </c>
    </row>
    <row r="6812" spans="6:7" x14ac:dyDescent="0.25">
      <c r="F6812" s="17" t="s">
        <v>7095</v>
      </c>
      <c r="G6812" s="17" t="s">
        <v>6610</v>
      </c>
    </row>
    <row r="6813" spans="6:7" x14ac:dyDescent="0.25">
      <c r="F6813" s="17" t="s">
        <v>7096</v>
      </c>
      <c r="G6813" s="17" t="s">
        <v>6610</v>
      </c>
    </row>
    <row r="6814" spans="6:7" x14ac:dyDescent="0.25">
      <c r="F6814" s="17" t="s">
        <v>7097</v>
      </c>
      <c r="G6814" s="17" t="s">
        <v>6610</v>
      </c>
    </row>
    <row r="6815" spans="6:7" x14ac:dyDescent="0.25">
      <c r="F6815" s="17" t="s">
        <v>7098</v>
      </c>
      <c r="G6815" s="17" t="s">
        <v>6610</v>
      </c>
    </row>
    <row r="6816" spans="6:7" x14ac:dyDescent="0.25">
      <c r="F6816" s="17" t="s">
        <v>7099</v>
      </c>
      <c r="G6816" s="17" t="s">
        <v>6610</v>
      </c>
    </row>
    <row r="6817" spans="6:7" x14ac:dyDescent="0.25">
      <c r="F6817" s="17" t="s">
        <v>7100</v>
      </c>
      <c r="G6817" s="17" t="s">
        <v>6610</v>
      </c>
    </row>
    <row r="6818" spans="6:7" x14ac:dyDescent="0.25">
      <c r="F6818" s="17" t="s">
        <v>7101</v>
      </c>
      <c r="G6818" s="17" t="s">
        <v>6610</v>
      </c>
    </row>
    <row r="6819" spans="6:7" x14ac:dyDescent="0.25">
      <c r="F6819" s="17" t="s">
        <v>7102</v>
      </c>
      <c r="G6819" s="17" t="s">
        <v>6610</v>
      </c>
    </row>
    <row r="6820" spans="6:7" x14ac:dyDescent="0.25">
      <c r="F6820" s="17" t="s">
        <v>7103</v>
      </c>
      <c r="G6820" s="17" t="s">
        <v>6610</v>
      </c>
    </row>
    <row r="6821" spans="6:7" x14ac:dyDescent="0.25">
      <c r="F6821" s="17" t="s">
        <v>7104</v>
      </c>
      <c r="G6821" s="17" t="s">
        <v>6610</v>
      </c>
    </row>
    <row r="6822" spans="6:7" x14ac:dyDescent="0.25">
      <c r="F6822" s="17" t="s">
        <v>7105</v>
      </c>
      <c r="G6822" s="17" t="s">
        <v>6610</v>
      </c>
    </row>
    <row r="6823" spans="6:7" x14ac:dyDescent="0.25">
      <c r="F6823" s="17" t="s">
        <v>7106</v>
      </c>
      <c r="G6823" s="17" t="s">
        <v>6610</v>
      </c>
    </row>
    <row r="6824" spans="6:7" x14ac:dyDescent="0.25">
      <c r="F6824" s="17" t="s">
        <v>7107</v>
      </c>
      <c r="G6824" s="17" t="s">
        <v>6610</v>
      </c>
    </row>
    <row r="6825" spans="6:7" x14ac:dyDescent="0.25">
      <c r="F6825" s="17" t="s">
        <v>7108</v>
      </c>
      <c r="G6825" s="17" t="s">
        <v>6610</v>
      </c>
    </row>
    <row r="6826" spans="6:7" x14ac:dyDescent="0.25">
      <c r="F6826" s="17" t="s">
        <v>7109</v>
      </c>
      <c r="G6826" s="17" t="s">
        <v>6610</v>
      </c>
    </row>
    <row r="6827" spans="6:7" x14ac:dyDescent="0.25">
      <c r="F6827" s="17" t="s">
        <v>7110</v>
      </c>
      <c r="G6827" s="17" t="s">
        <v>6610</v>
      </c>
    </row>
    <row r="6828" spans="6:7" x14ac:dyDescent="0.25">
      <c r="F6828" s="17" t="s">
        <v>7111</v>
      </c>
      <c r="G6828" s="17" t="s">
        <v>6605</v>
      </c>
    </row>
    <row r="6829" spans="6:7" x14ac:dyDescent="0.25">
      <c r="F6829" s="17" t="s">
        <v>7112</v>
      </c>
      <c r="G6829" s="17" t="s">
        <v>6610</v>
      </c>
    </row>
    <row r="6830" spans="6:7" x14ac:dyDescent="0.25">
      <c r="F6830" s="17" t="s">
        <v>7113</v>
      </c>
      <c r="G6830" s="17" t="s">
        <v>6610</v>
      </c>
    </row>
    <row r="6831" spans="6:7" x14ac:dyDescent="0.25">
      <c r="F6831" s="17" t="s">
        <v>7114</v>
      </c>
      <c r="G6831" s="17" t="s">
        <v>6610</v>
      </c>
    </row>
    <row r="6832" spans="6:7" x14ac:dyDescent="0.25">
      <c r="F6832" s="17" t="s">
        <v>7115</v>
      </c>
      <c r="G6832" s="17" t="s">
        <v>6610</v>
      </c>
    </row>
    <row r="6833" spans="6:7" x14ac:dyDescent="0.25">
      <c r="F6833" s="17" t="s">
        <v>7116</v>
      </c>
      <c r="G6833" s="17" t="s">
        <v>6610</v>
      </c>
    </row>
    <row r="6834" spans="6:7" x14ac:dyDescent="0.25">
      <c r="F6834" s="17" t="s">
        <v>7117</v>
      </c>
      <c r="G6834" s="17" t="s">
        <v>6610</v>
      </c>
    </row>
    <row r="6835" spans="6:7" x14ac:dyDescent="0.25">
      <c r="F6835" s="17" t="s">
        <v>7118</v>
      </c>
      <c r="G6835" s="17" t="s">
        <v>6610</v>
      </c>
    </row>
    <row r="6836" spans="6:7" x14ac:dyDescent="0.25">
      <c r="F6836" s="17" t="s">
        <v>7119</v>
      </c>
      <c r="G6836" s="17" t="s">
        <v>6610</v>
      </c>
    </row>
    <row r="6837" spans="6:7" x14ac:dyDescent="0.25">
      <c r="F6837" s="17" t="s">
        <v>7120</v>
      </c>
      <c r="G6837" s="17" t="s">
        <v>6610</v>
      </c>
    </row>
    <row r="6838" spans="6:7" x14ac:dyDescent="0.25">
      <c r="F6838" s="17" t="s">
        <v>7121</v>
      </c>
      <c r="G6838" s="17" t="s">
        <v>6610</v>
      </c>
    </row>
    <row r="6839" spans="6:7" x14ac:dyDescent="0.25">
      <c r="F6839" s="17" t="s">
        <v>7122</v>
      </c>
      <c r="G6839" s="17" t="s">
        <v>6610</v>
      </c>
    </row>
    <row r="6840" spans="6:7" x14ac:dyDescent="0.25">
      <c r="F6840" s="17" t="s">
        <v>7123</v>
      </c>
      <c r="G6840" s="17" t="s">
        <v>7091</v>
      </c>
    </row>
    <row r="6841" spans="6:7" x14ac:dyDescent="0.25">
      <c r="F6841" s="17" t="s">
        <v>7124</v>
      </c>
      <c r="G6841" s="17" t="s">
        <v>6610</v>
      </c>
    </row>
    <row r="6842" spans="6:7" x14ac:dyDescent="0.25">
      <c r="F6842" s="17" t="s">
        <v>7125</v>
      </c>
      <c r="G6842" s="17" t="s">
        <v>6610</v>
      </c>
    </row>
    <row r="6843" spans="6:7" x14ac:dyDescent="0.25">
      <c r="F6843" s="17" t="s">
        <v>7126</v>
      </c>
      <c r="G6843" s="17" t="s">
        <v>6610</v>
      </c>
    </row>
    <row r="6844" spans="6:7" x14ac:dyDescent="0.25">
      <c r="F6844" s="17" t="s">
        <v>7127</v>
      </c>
      <c r="G6844" s="17" t="s">
        <v>6610</v>
      </c>
    </row>
    <row r="6845" spans="6:7" x14ac:dyDescent="0.25">
      <c r="F6845" s="17" t="s">
        <v>7128</v>
      </c>
      <c r="G6845" s="17" t="s">
        <v>6610</v>
      </c>
    </row>
    <row r="6846" spans="6:7" x14ac:dyDescent="0.25">
      <c r="F6846" s="17" t="s">
        <v>7129</v>
      </c>
      <c r="G6846" s="17" t="s">
        <v>6610</v>
      </c>
    </row>
    <row r="6847" spans="6:7" x14ac:dyDescent="0.25">
      <c r="F6847" s="17" t="s">
        <v>7130</v>
      </c>
      <c r="G6847" s="17" t="s">
        <v>6610</v>
      </c>
    </row>
    <row r="6848" spans="6:7" x14ac:dyDescent="0.25">
      <c r="F6848" s="17" t="s">
        <v>7131</v>
      </c>
      <c r="G6848" s="17" t="s">
        <v>6610</v>
      </c>
    </row>
    <row r="6849" spans="6:7" x14ac:dyDescent="0.25">
      <c r="F6849" s="17" t="s">
        <v>7132</v>
      </c>
      <c r="G6849" s="17" t="s">
        <v>6610</v>
      </c>
    </row>
    <row r="6850" spans="6:7" x14ac:dyDescent="0.25">
      <c r="F6850" s="17" t="s">
        <v>7133</v>
      </c>
      <c r="G6850" s="17" t="s">
        <v>6610</v>
      </c>
    </row>
    <row r="6851" spans="6:7" x14ac:dyDescent="0.25">
      <c r="F6851" s="17" t="s">
        <v>7134</v>
      </c>
      <c r="G6851" s="17" t="s">
        <v>6610</v>
      </c>
    </row>
    <row r="6852" spans="6:7" x14ac:dyDescent="0.25">
      <c r="F6852" s="17" t="s">
        <v>7135</v>
      </c>
      <c r="G6852" s="17" t="s">
        <v>7091</v>
      </c>
    </row>
    <row r="6853" spans="6:7" x14ac:dyDescent="0.25">
      <c r="F6853" s="17" t="s">
        <v>7136</v>
      </c>
      <c r="G6853" s="17" t="s">
        <v>7091</v>
      </c>
    </row>
    <row r="6854" spans="6:7" x14ac:dyDescent="0.25">
      <c r="F6854" s="17" t="s">
        <v>7137</v>
      </c>
      <c r="G6854" s="17" t="s">
        <v>7091</v>
      </c>
    </row>
    <row r="6855" spans="6:7" x14ac:dyDescent="0.25">
      <c r="F6855" s="17" t="s">
        <v>7138</v>
      </c>
      <c r="G6855" s="17" t="s">
        <v>7091</v>
      </c>
    </row>
    <row r="6856" spans="6:7" x14ac:dyDescent="0.25">
      <c r="F6856" s="17" t="s">
        <v>7139</v>
      </c>
      <c r="G6856" s="17" t="s">
        <v>7091</v>
      </c>
    </row>
    <row r="6857" spans="6:7" x14ac:dyDescent="0.25">
      <c r="F6857" s="17" t="s">
        <v>7140</v>
      </c>
      <c r="G6857" s="17" t="s">
        <v>7091</v>
      </c>
    </row>
    <row r="6858" spans="6:7" x14ac:dyDescent="0.25">
      <c r="F6858" s="17" t="s">
        <v>7141</v>
      </c>
      <c r="G6858" s="17" t="s">
        <v>7091</v>
      </c>
    </row>
    <row r="6859" spans="6:7" x14ac:dyDescent="0.25">
      <c r="F6859" s="17" t="s">
        <v>7142</v>
      </c>
      <c r="G6859" s="17" t="s">
        <v>7091</v>
      </c>
    </row>
    <row r="6860" spans="6:7" x14ac:dyDescent="0.25">
      <c r="F6860" s="17" t="s">
        <v>7143</v>
      </c>
      <c r="G6860" s="17" t="s">
        <v>7144</v>
      </c>
    </row>
    <row r="6861" spans="6:7" x14ac:dyDescent="0.25">
      <c r="F6861" s="17" t="s">
        <v>7145</v>
      </c>
      <c r="G6861" s="17" t="s">
        <v>6750</v>
      </c>
    </row>
    <row r="6862" spans="6:7" x14ac:dyDescent="0.25">
      <c r="F6862" s="17" t="s">
        <v>7146</v>
      </c>
      <c r="G6862" s="17" t="s">
        <v>6750</v>
      </c>
    </row>
    <row r="6863" spans="6:7" x14ac:dyDescent="0.25">
      <c r="F6863" s="17" t="s">
        <v>7147</v>
      </c>
      <c r="G6863" s="17" t="s">
        <v>6750</v>
      </c>
    </row>
    <row r="6864" spans="6:7" x14ac:dyDescent="0.25">
      <c r="F6864" s="17" t="s">
        <v>7148</v>
      </c>
      <c r="G6864" s="17" t="s">
        <v>6750</v>
      </c>
    </row>
    <row r="6865" spans="6:7" x14ac:dyDescent="0.25">
      <c r="F6865" s="17" t="s">
        <v>7149</v>
      </c>
      <c r="G6865" s="17" t="s">
        <v>6750</v>
      </c>
    </row>
    <row r="6866" spans="6:7" x14ac:dyDescent="0.25">
      <c r="F6866" s="17" t="s">
        <v>7150</v>
      </c>
      <c r="G6866" s="17" t="s">
        <v>6750</v>
      </c>
    </row>
    <row r="6867" spans="6:7" x14ac:dyDescent="0.25">
      <c r="F6867" s="17" t="s">
        <v>7151</v>
      </c>
      <c r="G6867" s="17" t="s">
        <v>6750</v>
      </c>
    </row>
    <row r="6868" spans="6:7" x14ac:dyDescent="0.25">
      <c r="F6868" s="17" t="s">
        <v>7152</v>
      </c>
      <c r="G6868" s="17" t="s">
        <v>6750</v>
      </c>
    </row>
    <row r="6869" spans="6:7" x14ac:dyDescent="0.25">
      <c r="F6869" s="17" t="s">
        <v>7153</v>
      </c>
      <c r="G6869" s="17" t="s">
        <v>6750</v>
      </c>
    </row>
    <row r="6870" spans="6:7" x14ac:dyDescent="0.25">
      <c r="F6870" s="17" t="s">
        <v>7154</v>
      </c>
      <c r="G6870" s="17" t="s">
        <v>6750</v>
      </c>
    </row>
    <row r="6871" spans="6:7" x14ac:dyDescent="0.25">
      <c r="F6871" s="17" t="s">
        <v>7155</v>
      </c>
      <c r="G6871" s="17" t="s">
        <v>6750</v>
      </c>
    </row>
    <row r="6872" spans="6:7" x14ac:dyDescent="0.25">
      <c r="F6872" s="17" t="s">
        <v>7156</v>
      </c>
      <c r="G6872" s="17" t="s">
        <v>6750</v>
      </c>
    </row>
    <row r="6873" spans="6:7" x14ac:dyDescent="0.25">
      <c r="F6873" s="17" t="s">
        <v>7157</v>
      </c>
      <c r="G6873" s="17" t="s">
        <v>6750</v>
      </c>
    </row>
    <row r="6874" spans="6:7" x14ac:dyDescent="0.25">
      <c r="F6874" s="17" t="s">
        <v>7158</v>
      </c>
      <c r="G6874" s="17" t="s">
        <v>6750</v>
      </c>
    </row>
    <row r="6875" spans="6:7" x14ac:dyDescent="0.25">
      <c r="F6875" s="17" t="s">
        <v>7159</v>
      </c>
      <c r="G6875" s="17" t="s">
        <v>6750</v>
      </c>
    </row>
    <row r="6876" spans="6:7" x14ac:dyDescent="0.25">
      <c r="F6876" s="17" t="s">
        <v>7160</v>
      </c>
      <c r="G6876" s="17" t="s">
        <v>6750</v>
      </c>
    </row>
    <row r="6877" spans="6:7" x14ac:dyDescent="0.25">
      <c r="F6877" s="17" t="s">
        <v>7161</v>
      </c>
      <c r="G6877" s="17" t="s">
        <v>6750</v>
      </c>
    </row>
    <row r="6878" spans="6:7" x14ac:dyDescent="0.25">
      <c r="F6878" s="17" t="s">
        <v>7162</v>
      </c>
      <c r="G6878" s="17" t="s">
        <v>6750</v>
      </c>
    </row>
    <row r="6879" spans="6:7" x14ac:dyDescent="0.25">
      <c r="F6879" s="17" t="s">
        <v>7163</v>
      </c>
      <c r="G6879" s="17" t="s">
        <v>6750</v>
      </c>
    </row>
    <row r="6880" spans="6:7" x14ac:dyDescent="0.25">
      <c r="F6880" s="17" t="s">
        <v>7164</v>
      </c>
      <c r="G6880" s="17" t="s">
        <v>6750</v>
      </c>
    </row>
    <row r="6881" spans="6:7" x14ac:dyDescent="0.25">
      <c r="F6881" s="17" t="s">
        <v>7165</v>
      </c>
      <c r="G6881" s="17" t="s">
        <v>6750</v>
      </c>
    </row>
    <row r="6882" spans="6:7" x14ac:dyDescent="0.25">
      <c r="F6882" s="17" t="s">
        <v>7166</v>
      </c>
      <c r="G6882" s="17" t="s">
        <v>6750</v>
      </c>
    </row>
    <row r="6883" spans="6:7" x14ac:dyDescent="0.25">
      <c r="F6883" s="17" t="s">
        <v>7167</v>
      </c>
      <c r="G6883" s="17" t="s">
        <v>6750</v>
      </c>
    </row>
    <row r="6884" spans="6:7" x14ac:dyDescent="0.25">
      <c r="F6884" s="17" t="s">
        <v>7168</v>
      </c>
      <c r="G6884" s="17" t="s">
        <v>6750</v>
      </c>
    </row>
    <row r="6885" spans="6:7" x14ac:dyDescent="0.25">
      <c r="F6885" s="17" t="s">
        <v>7169</v>
      </c>
      <c r="G6885" s="17" t="s">
        <v>6750</v>
      </c>
    </row>
    <row r="6886" spans="6:7" x14ac:dyDescent="0.25">
      <c r="F6886" s="17" t="s">
        <v>7170</v>
      </c>
      <c r="G6886" s="17" t="s">
        <v>6750</v>
      </c>
    </row>
    <row r="6887" spans="6:7" x14ac:dyDescent="0.25">
      <c r="F6887" s="17" t="s">
        <v>7171</v>
      </c>
      <c r="G6887" s="17" t="s">
        <v>6750</v>
      </c>
    </row>
    <row r="6888" spans="6:7" x14ac:dyDescent="0.25">
      <c r="F6888" s="17" t="s">
        <v>7172</v>
      </c>
      <c r="G6888" s="17" t="s">
        <v>6750</v>
      </c>
    </row>
    <row r="6889" spans="6:7" x14ac:dyDescent="0.25">
      <c r="F6889" s="17" t="s">
        <v>7173</v>
      </c>
      <c r="G6889" s="17" t="s">
        <v>6750</v>
      </c>
    </row>
    <row r="6890" spans="6:7" x14ac:dyDescent="0.25">
      <c r="F6890" s="17" t="s">
        <v>7174</v>
      </c>
      <c r="G6890" s="17" t="s">
        <v>6750</v>
      </c>
    </row>
    <row r="6891" spans="6:7" x14ac:dyDescent="0.25">
      <c r="F6891" s="17" t="s">
        <v>7175</v>
      </c>
      <c r="G6891" s="17" t="s">
        <v>6750</v>
      </c>
    </row>
    <row r="6892" spans="6:7" x14ac:dyDescent="0.25">
      <c r="F6892" s="17" t="s">
        <v>7176</v>
      </c>
      <c r="G6892" s="17" t="s">
        <v>6750</v>
      </c>
    </row>
    <row r="6893" spans="6:7" x14ac:dyDescent="0.25">
      <c r="F6893" s="17" t="s">
        <v>7177</v>
      </c>
      <c r="G6893" s="17" t="s">
        <v>6750</v>
      </c>
    </row>
    <row r="6894" spans="6:7" x14ac:dyDescent="0.25">
      <c r="F6894" s="17" t="s">
        <v>7178</v>
      </c>
      <c r="G6894" s="17" t="s">
        <v>6581</v>
      </c>
    </row>
    <row r="6895" spans="6:7" x14ac:dyDescent="0.25">
      <c r="F6895" s="17" t="s">
        <v>7179</v>
      </c>
      <c r="G6895" s="17" t="s">
        <v>7091</v>
      </c>
    </row>
    <row r="6896" spans="6:7" x14ac:dyDescent="0.25">
      <c r="F6896" s="17" t="s">
        <v>7180</v>
      </c>
      <c r="G6896" s="17" t="s">
        <v>7091</v>
      </c>
    </row>
    <row r="6897" spans="6:7" x14ac:dyDescent="0.25">
      <c r="F6897" s="17" t="s">
        <v>7181</v>
      </c>
      <c r="G6897" s="17" t="s">
        <v>7091</v>
      </c>
    </row>
    <row r="6898" spans="6:7" x14ac:dyDescent="0.25">
      <c r="F6898" s="17" t="s">
        <v>7182</v>
      </c>
      <c r="G6898" s="17" t="s">
        <v>7091</v>
      </c>
    </row>
    <row r="6899" spans="6:7" x14ac:dyDescent="0.25">
      <c r="F6899" s="17" t="s">
        <v>7183</v>
      </c>
      <c r="G6899" s="17" t="s">
        <v>7091</v>
      </c>
    </row>
    <row r="6900" spans="6:7" x14ac:dyDescent="0.25">
      <c r="F6900" s="17" t="s">
        <v>7184</v>
      </c>
      <c r="G6900" s="17" t="s">
        <v>7091</v>
      </c>
    </row>
    <row r="6901" spans="6:7" x14ac:dyDescent="0.25">
      <c r="F6901" s="17" t="s">
        <v>7185</v>
      </c>
      <c r="G6901" s="17" t="s">
        <v>7091</v>
      </c>
    </row>
    <row r="6902" spans="6:7" x14ac:dyDescent="0.25">
      <c r="F6902" s="17" t="s">
        <v>7186</v>
      </c>
      <c r="G6902" s="17" t="s">
        <v>7091</v>
      </c>
    </row>
    <row r="6903" spans="6:7" x14ac:dyDescent="0.25">
      <c r="F6903" s="17" t="s">
        <v>7187</v>
      </c>
      <c r="G6903" s="17" t="s">
        <v>7091</v>
      </c>
    </row>
    <row r="6904" spans="6:7" x14ac:dyDescent="0.25">
      <c r="F6904" s="17" t="s">
        <v>7188</v>
      </c>
      <c r="G6904" s="17" t="s">
        <v>7091</v>
      </c>
    </row>
    <row r="6905" spans="6:7" x14ac:dyDescent="0.25">
      <c r="F6905" s="17" t="s">
        <v>7189</v>
      </c>
      <c r="G6905" s="17" t="s">
        <v>7091</v>
      </c>
    </row>
    <row r="6906" spans="6:7" x14ac:dyDescent="0.25">
      <c r="F6906" s="17" t="s">
        <v>7190</v>
      </c>
      <c r="G6906" s="17" t="s">
        <v>7091</v>
      </c>
    </row>
    <row r="6907" spans="6:7" x14ac:dyDescent="0.25">
      <c r="F6907" s="17" t="s">
        <v>7191</v>
      </c>
      <c r="G6907" s="17" t="s">
        <v>7091</v>
      </c>
    </row>
    <row r="6908" spans="6:7" x14ac:dyDescent="0.25">
      <c r="F6908" s="17" t="s">
        <v>7192</v>
      </c>
      <c r="G6908" s="17" t="s">
        <v>7091</v>
      </c>
    </row>
    <row r="6909" spans="6:7" x14ac:dyDescent="0.25">
      <c r="F6909" s="17" t="s">
        <v>7193</v>
      </c>
      <c r="G6909" s="17" t="s">
        <v>7091</v>
      </c>
    </row>
    <row r="6910" spans="6:7" x14ac:dyDescent="0.25">
      <c r="F6910" s="17" t="s">
        <v>7194</v>
      </c>
      <c r="G6910" s="17" t="s">
        <v>7091</v>
      </c>
    </row>
    <row r="6911" spans="6:7" x14ac:dyDescent="0.25">
      <c r="F6911" s="17" t="s">
        <v>7195</v>
      </c>
      <c r="G6911" s="17" t="s">
        <v>7091</v>
      </c>
    </row>
    <row r="6912" spans="6:7" x14ac:dyDescent="0.25">
      <c r="F6912" s="17" t="s">
        <v>7196</v>
      </c>
      <c r="G6912" s="17" t="s">
        <v>7197</v>
      </c>
    </row>
    <row r="6913" spans="6:7" x14ac:dyDescent="0.25">
      <c r="F6913" s="17" t="s">
        <v>7198</v>
      </c>
      <c r="G6913" s="17" t="s">
        <v>6605</v>
      </c>
    </row>
    <row r="6914" spans="6:7" x14ac:dyDescent="0.25">
      <c r="F6914" s="17" t="s">
        <v>7199</v>
      </c>
      <c r="G6914" s="17" t="s">
        <v>6605</v>
      </c>
    </row>
    <row r="6915" spans="6:7" x14ac:dyDescent="0.25">
      <c r="F6915" s="17" t="s">
        <v>7200</v>
      </c>
      <c r="G6915" s="17" t="s">
        <v>6750</v>
      </c>
    </row>
    <row r="6916" spans="6:7" x14ac:dyDescent="0.25">
      <c r="F6916" s="17" t="s">
        <v>7201</v>
      </c>
      <c r="G6916" s="17" t="s">
        <v>6750</v>
      </c>
    </row>
    <row r="6917" spans="6:7" x14ac:dyDescent="0.25">
      <c r="F6917" s="17" t="s">
        <v>7202</v>
      </c>
      <c r="G6917" s="17" t="s">
        <v>7197</v>
      </c>
    </row>
    <row r="6918" spans="6:7" x14ac:dyDescent="0.25">
      <c r="F6918" s="17" t="s">
        <v>7203</v>
      </c>
      <c r="G6918" s="17" t="s">
        <v>7197</v>
      </c>
    </row>
    <row r="6919" spans="6:7" x14ac:dyDescent="0.25">
      <c r="F6919" s="17" t="s">
        <v>7204</v>
      </c>
      <c r="G6919" s="17" t="s">
        <v>6581</v>
      </c>
    </row>
    <row r="6920" spans="6:7" x14ac:dyDescent="0.25">
      <c r="F6920" s="17" t="s">
        <v>7205</v>
      </c>
      <c r="G6920" s="17" t="s">
        <v>6581</v>
      </c>
    </row>
    <row r="6921" spans="6:7" x14ac:dyDescent="0.25">
      <c r="F6921" s="17" t="s">
        <v>7206</v>
      </c>
      <c r="G6921" s="17" t="s">
        <v>6581</v>
      </c>
    </row>
    <row r="6922" spans="6:7" x14ac:dyDescent="0.25">
      <c r="F6922" s="17" t="s">
        <v>7207</v>
      </c>
      <c r="G6922" s="17" t="s">
        <v>6581</v>
      </c>
    </row>
    <row r="6923" spans="6:7" x14ac:dyDescent="0.25">
      <c r="F6923" s="17" t="s">
        <v>7208</v>
      </c>
      <c r="G6923" s="17" t="s">
        <v>6581</v>
      </c>
    </row>
    <row r="6924" spans="6:7" x14ac:dyDescent="0.25">
      <c r="F6924" s="17" t="s">
        <v>7209</v>
      </c>
      <c r="G6924" s="17" t="s">
        <v>6581</v>
      </c>
    </row>
    <row r="6925" spans="6:7" x14ac:dyDescent="0.25">
      <c r="F6925" s="17" t="s">
        <v>7210</v>
      </c>
      <c r="G6925" s="17" t="s">
        <v>6581</v>
      </c>
    </row>
    <row r="6926" spans="6:7" x14ac:dyDescent="0.25">
      <c r="F6926" s="17" t="s">
        <v>7211</v>
      </c>
      <c r="G6926" s="17" t="s">
        <v>6750</v>
      </c>
    </row>
    <row r="6927" spans="6:7" x14ac:dyDescent="0.25">
      <c r="F6927" s="17" t="s">
        <v>7212</v>
      </c>
      <c r="G6927" s="17" t="s">
        <v>6581</v>
      </c>
    </row>
    <row r="6928" spans="6:7" x14ac:dyDescent="0.25">
      <c r="F6928" s="17" t="s">
        <v>7213</v>
      </c>
      <c r="G6928" s="17" t="s">
        <v>6581</v>
      </c>
    </row>
    <row r="6929" spans="6:7" x14ac:dyDescent="0.25">
      <c r="F6929" s="17" t="s">
        <v>7214</v>
      </c>
      <c r="G6929" s="17" t="s">
        <v>7197</v>
      </c>
    </row>
    <row r="6930" spans="6:7" x14ac:dyDescent="0.25">
      <c r="F6930" s="17" t="s">
        <v>7215</v>
      </c>
      <c r="G6930" s="17" t="s">
        <v>7197</v>
      </c>
    </row>
    <row r="6931" spans="6:7" x14ac:dyDescent="0.25">
      <c r="F6931" s="17" t="s">
        <v>7216</v>
      </c>
      <c r="G6931" s="17" t="s">
        <v>7091</v>
      </c>
    </row>
    <row r="6932" spans="6:7" x14ac:dyDescent="0.25">
      <c r="F6932" s="17" t="s">
        <v>7217</v>
      </c>
      <c r="G6932" s="17" t="s">
        <v>7197</v>
      </c>
    </row>
    <row r="6933" spans="6:7" x14ac:dyDescent="0.25">
      <c r="F6933" s="17" t="s">
        <v>7218</v>
      </c>
      <c r="G6933" s="17" t="s">
        <v>7091</v>
      </c>
    </row>
    <row r="6934" spans="6:7" x14ac:dyDescent="0.25">
      <c r="F6934" s="17" t="s">
        <v>7219</v>
      </c>
      <c r="G6934" s="17" t="s">
        <v>7091</v>
      </c>
    </row>
    <row r="6935" spans="6:7" x14ac:dyDescent="0.25">
      <c r="F6935" s="17" t="s">
        <v>7220</v>
      </c>
      <c r="G6935" s="17" t="s">
        <v>7091</v>
      </c>
    </row>
    <row r="6936" spans="6:7" x14ac:dyDescent="0.25">
      <c r="F6936" s="17" t="s">
        <v>7221</v>
      </c>
      <c r="G6936" s="17" t="s">
        <v>7091</v>
      </c>
    </row>
    <row r="6937" spans="6:7" x14ac:dyDescent="0.25">
      <c r="F6937" s="17" t="s">
        <v>7222</v>
      </c>
      <c r="G6937" s="17" t="s">
        <v>7091</v>
      </c>
    </row>
    <row r="6938" spans="6:7" x14ac:dyDescent="0.25">
      <c r="F6938" s="17" t="s">
        <v>7223</v>
      </c>
      <c r="G6938" s="17" t="s">
        <v>7091</v>
      </c>
    </row>
    <row r="6939" spans="6:7" x14ac:dyDescent="0.25">
      <c r="F6939" s="17" t="s">
        <v>7224</v>
      </c>
      <c r="G6939" s="17" t="s">
        <v>7091</v>
      </c>
    </row>
    <row r="6940" spans="6:7" x14ac:dyDescent="0.25">
      <c r="F6940" s="17" t="s">
        <v>7225</v>
      </c>
      <c r="G6940" s="17" t="s">
        <v>7091</v>
      </c>
    </row>
    <row r="6941" spans="6:7" x14ac:dyDescent="0.25">
      <c r="F6941" s="17" t="s">
        <v>7226</v>
      </c>
      <c r="G6941" s="17" t="s">
        <v>7091</v>
      </c>
    </row>
    <row r="6942" spans="6:7" x14ac:dyDescent="0.25">
      <c r="F6942" s="17" t="s">
        <v>7227</v>
      </c>
      <c r="G6942" s="17" t="s">
        <v>7091</v>
      </c>
    </row>
    <row r="6943" spans="6:7" x14ac:dyDescent="0.25">
      <c r="F6943" s="17" t="s">
        <v>7228</v>
      </c>
      <c r="G6943" s="17" t="s">
        <v>7091</v>
      </c>
    </row>
    <row r="6944" spans="6:7" x14ac:dyDescent="0.25">
      <c r="F6944" s="17" t="s">
        <v>7229</v>
      </c>
      <c r="G6944" s="17" t="s">
        <v>7091</v>
      </c>
    </row>
    <row r="6945" spans="6:7" x14ac:dyDescent="0.25">
      <c r="F6945" s="17" t="s">
        <v>7230</v>
      </c>
      <c r="G6945" s="17" t="s">
        <v>7091</v>
      </c>
    </row>
    <row r="6946" spans="6:7" x14ac:dyDescent="0.25">
      <c r="F6946" s="17" t="s">
        <v>7231</v>
      </c>
      <c r="G6946" s="17" t="s">
        <v>7091</v>
      </c>
    </row>
    <row r="6947" spans="6:7" x14ac:dyDescent="0.25">
      <c r="F6947" s="17" t="s">
        <v>7232</v>
      </c>
      <c r="G6947" s="17" t="s">
        <v>7197</v>
      </c>
    </row>
    <row r="6948" spans="6:7" x14ac:dyDescent="0.25">
      <c r="F6948" s="17" t="s">
        <v>7233</v>
      </c>
      <c r="G6948" s="17" t="s">
        <v>7197</v>
      </c>
    </row>
    <row r="6949" spans="6:7" x14ac:dyDescent="0.25">
      <c r="F6949" s="17" t="s">
        <v>7234</v>
      </c>
      <c r="G6949" s="17" t="s">
        <v>7197</v>
      </c>
    </row>
    <row r="6950" spans="6:7" x14ac:dyDescent="0.25">
      <c r="F6950" s="17" t="s">
        <v>7235</v>
      </c>
      <c r="G6950" s="17" t="s">
        <v>7197</v>
      </c>
    </row>
    <row r="6951" spans="6:7" x14ac:dyDescent="0.25">
      <c r="F6951" s="17" t="s">
        <v>7236</v>
      </c>
      <c r="G6951" s="17" t="s">
        <v>7197</v>
      </c>
    </row>
    <row r="6952" spans="6:7" x14ac:dyDescent="0.25">
      <c r="F6952" s="17" t="s">
        <v>7237</v>
      </c>
      <c r="G6952" s="17" t="s">
        <v>7197</v>
      </c>
    </row>
    <row r="6953" spans="6:7" x14ac:dyDescent="0.25">
      <c r="F6953" s="17" t="s">
        <v>7238</v>
      </c>
      <c r="G6953" s="17" t="s">
        <v>7197</v>
      </c>
    </row>
    <row r="6954" spans="6:7" x14ac:dyDescent="0.25">
      <c r="F6954" s="17" t="s">
        <v>7239</v>
      </c>
      <c r="G6954" s="17" t="s">
        <v>7197</v>
      </c>
    </row>
    <row r="6955" spans="6:7" x14ac:dyDescent="0.25">
      <c r="F6955" s="17" t="s">
        <v>7240</v>
      </c>
      <c r="G6955" s="17" t="s">
        <v>7197</v>
      </c>
    </row>
    <row r="6956" spans="6:7" x14ac:dyDescent="0.25">
      <c r="F6956" s="17" t="s">
        <v>7241</v>
      </c>
      <c r="G6956" s="17" t="s">
        <v>7197</v>
      </c>
    </row>
    <row r="6957" spans="6:7" x14ac:dyDescent="0.25">
      <c r="F6957" s="17" t="s">
        <v>7242</v>
      </c>
      <c r="G6957" s="17" t="s">
        <v>7197</v>
      </c>
    </row>
    <row r="6958" spans="6:7" x14ac:dyDescent="0.25">
      <c r="F6958" s="17" t="s">
        <v>7243</v>
      </c>
      <c r="G6958" s="17" t="s">
        <v>7197</v>
      </c>
    </row>
    <row r="6959" spans="6:7" x14ac:dyDescent="0.25">
      <c r="F6959" s="17" t="s">
        <v>7244</v>
      </c>
      <c r="G6959" s="17" t="s">
        <v>7197</v>
      </c>
    </row>
    <row r="6960" spans="6:7" x14ac:dyDescent="0.25">
      <c r="F6960" s="17" t="s">
        <v>7245</v>
      </c>
      <c r="G6960" s="17" t="s">
        <v>7197</v>
      </c>
    </row>
    <row r="6961" spans="6:7" x14ac:dyDescent="0.25">
      <c r="F6961" s="17" t="s">
        <v>7246</v>
      </c>
      <c r="G6961" s="17" t="s">
        <v>7197</v>
      </c>
    </row>
    <row r="6962" spans="6:7" x14ac:dyDescent="0.25">
      <c r="F6962" s="17" t="s">
        <v>7247</v>
      </c>
      <c r="G6962" s="17" t="s">
        <v>7197</v>
      </c>
    </row>
    <row r="6963" spans="6:7" x14ac:dyDescent="0.25">
      <c r="F6963" s="17" t="s">
        <v>7248</v>
      </c>
      <c r="G6963" s="17" t="s">
        <v>7197</v>
      </c>
    </row>
    <row r="6964" spans="6:7" x14ac:dyDescent="0.25">
      <c r="F6964" s="17" t="s">
        <v>7249</v>
      </c>
      <c r="G6964" s="17" t="s">
        <v>7091</v>
      </c>
    </row>
    <row r="6965" spans="6:7" x14ac:dyDescent="0.25">
      <c r="F6965" s="17" t="s">
        <v>7250</v>
      </c>
      <c r="G6965" s="17" t="s">
        <v>7091</v>
      </c>
    </row>
    <row r="6966" spans="6:7" x14ac:dyDescent="0.25">
      <c r="F6966" s="17" t="s">
        <v>7251</v>
      </c>
      <c r="G6966" s="17" t="s">
        <v>7197</v>
      </c>
    </row>
    <row r="6967" spans="6:7" x14ac:dyDescent="0.25">
      <c r="F6967" s="17" t="s">
        <v>7252</v>
      </c>
      <c r="G6967" s="17" t="s">
        <v>7144</v>
      </c>
    </row>
    <row r="6968" spans="6:7" x14ac:dyDescent="0.25">
      <c r="F6968" s="17" t="s">
        <v>7253</v>
      </c>
      <c r="G6968" s="17" t="s">
        <v>6581</v>
      </c>
    </row>
    <row r="6969" spans="6:7" x14ac:dyDescent="0.25">
      <c r="F6969" s="17" t="s">
        <v>7254</v>
      </c>
      <c r="G6969" s="17" t="s">
        <v>6581</v>
      </c>
    </row>
    <row r="6970" spans="6:7" x14ac:dyDescent="0.25">
      <c r="F6970" s="17" t="s">
        <v>7255</v>
      </c>
      <c r="G6970" s="17" t="s">
        <v>6581</v>
      </c>
    </row>
    <row r="6971" spans="6:7" x14ac:dyDescent="0.25">
      <c r="F6971" s="17" t="s">
        <v>7256</v>
      </c>
      <c r="G6971" s="17" t="s">
        <v>6581</v>
      </c>
    </row>
    <row r="6972" spans="6:7" x14ac:dyDescent="0.25">
      <c r="F6972" s="17" t="s">
        <v>7257</v>
      </c>
      <c r="G6972" s="17" t="s">
        <v>6581</v>
      </c>
    </row>
    <row r="6973" spans="6:7" x14ac:dyDescent="0.25">
      <c r="F6973" s="17" t="s">
        <v>7258</v>
      </c>
      <c r="G6973" s="17" t="s">
        <v>6581</v>
      </c>
    </row>
    <row r="6974" spans="6:7" x14ac:dyDescent="0.25">
      <c r="F6974" s="17" t="s">
        <v>7259</v>
      </c>
      <c r="G6974" s="17" t="s">
        <v>6581</v>
      </c>
    </row>
    <row r="6975" spans="6:7" x14ac:dyDescent="0.25">
      <c r="F6975" s="17" t="s">
        <v>7260</v>
      </c>
      <c r="G6975" s="17" t="s">
        <v>6581</v>
      </c>
    </row>
    <row r="6976" spans="6:7" x14ac:dyDescent="0.25">
      <c r="F6976" s="17" t="s">
        <v>7261</v>
      </c>
      <c r="G6976" s="17" t="s">
        <v>6581</v>
      </c>
    </row>
    <row r="6977" spans="6:7" x14ac:dyDescent="0.25">
      <c r="F6977" s="17" t="s">
        <v>7262</v>
      </c>
      <c r="G6977" s="17" t="s">
        <v>7197</v>
      </c>
    </row>
    <row r="6978" spans="6:7" x14ac:dyDescent="0.25">
      <c r="F6978" s="17" t="s">
        <v>7263</v>
      </c>
      <c r="G6978" s="17" t="s">
        <v>7197</v>
      </c>
    </row>
    <row r="6979" spans="6:7" x14ac:dyDescent="0.25">
      <c r="F6979" s="17" t="s">
        <v>7264</v>
      </c>
      <c r="G6979" s="17" t="s">
        <v>7197</v>
      </c>
    </row>
    <row r="6980" spans="6:7" x14ac:dyDescent="0.25">
      <c r="F6980" s="17" t="s">
        <v>7265</v>
      </c>
      <c r="G6980" s="17" t="s">
        <v>7197</v>
      </c>
    </row>
    <row r="6981" spans="6:7" x14ac:dyDescent="0.25">
      <c r="F6981" s="17" t="s">
        <v>7266</v>
      </c>
      <c r="G6981" s="17" t="s">
        <v>7197</v>
      </c>
    </row>
    <row r="6982" spans="6:7" x14ac:dyDescent="0.25">
      <c r="F6982" s="17" t="s">
        <v>7267</v>
      </c>
      <c r="G6982" s="17" t="s">
        <v>7197</v>
      </c>
    </row>
    <row r="6983" spans="6:7" x14ac:dyDescent="0.25">
      <c r="F6983" s="17" t="s">
        <v>7268</v>
      </c>
      <c r="G6983" s="17" t="s">
        <v>7197</v>
      </c>
    </row>
    <row r="6984" spans="6:7" x14ac:dyDescent="0.25">
      <c r="F6984" s="17" t="s">
        <v>7269</v>
      </c>
      <c r="G6984" s="17" t="s">
        <v>7197</v>
      </c>
    </row>
    <row r="6985" spans="6:7" x14ac:dyDescent="0.25">
      <c r="F6985" s="17" t="s">
        <v>7270</v>
      </c>
      <c r="G6985" s="17" t="s">
        <v>7197</v>
      </c>
    </row>
    <row r="6986" spans="6:7" x14ac:dyDescent="0.25">
      <c r="F6986" s="17" t="s">
        <v>7271</v>
      </c>
      <c r="G6986" s="17" t="s">
        <v>7197</v>
      </c>
    </row>
    <row r="6987" spans="6:7" x14ac:dyDescent="0.25">
      <c r="F6987" s="17" t="s">
        <v>7272</v>
      </c>
      <c r="G6987" s="17" t="s">
        <v>7197</v>
      </c>
    </row>
    <row r="6988" spans="6:7" x14ac:dyDescent="0.25">
      <c r="F6988" s="17" t="s">
        <v>7273</v>
      </c>
      <c r="G6988" s="17" t="s">
        <v>7197</v>
      </c>
    </row>
    <row r="6989" spans="6:7" x14ac:dyDescent="0.25">
      <c r="F6989" s="17" t="s">
        <v>7274</v>
      </c>
      <c r="G6989" s="17" t="s">
        <v>7197</v>
      </c>
    </row>
    <row r="6990" spans="6:7" x14ac:dyDescent="0.25">
      <c r="F6990" s="17" t="s">
        <v>7275</v>
      </c>
      <c r="G6990" s="17" t="s">
        <v>7197</v>
      </c>
    </row>
    <row r="6991" spans="6:7" x14ac:dyDescent="0.25">
      <c r="F6991" s="17" t="s">
        <v>7276</v>
      </c>
      <c r="G6991" s="17" t="s">
        <v>7197</v>
      </c>
    </row>
    <row r="6992" spans="6:7" x14ac:dyDescent="0.25">
      <c r="F6992" s="17" t="s">
        <v>7277</v>
      </c>
      <c r="G6992" s="17" t="s">
        <v>7144</v>
      </c>
    </row>
    <row r="6993" spans="6:7" x14ac:dyDescent="0.25">
      <c r="F6993" s="17" t="s">
        <v>7278</v>
      </c>
      <c r="G6993" s="17" t="s">
        <v>7144</v>
      </c>
    </row>
    <row r="6994" spans="6:7" x14ac:dyDescent="0.25">
      <c r="F6994" s="17" t="s">
        <v>7279</v>
      </c>
      <c r="G6994" s="17" t="s">
        <v>7144</v>
      </c>
    </row>
    <row r="6995" spans="6:7" x14ac:dyDescent="0.25">
      <c r="F6995" s="17" t="s">
        <v>7280</v>
      </c>
      <c r="G6995" s="17" t="s">
        <v>7144</v>
      </c>
    </row>
    <row r="6996" spans="6:7" x14ac:dyDescent="0.25">
      <c r="F6996" s="17" t="s">
        <v>7281</v>
      </c>
      <c r="G6996" s="17" t="s">
        <v>7144</v>
      </c>
    </row>
    <row r="6997" spans="6:7" x14ac:dyDescent="0.25">
      <c r="F6997" s="17" t="s">
        <v>7282</v>
      </c>
      <c r="G6997" s="17" t="s">
        <v>7144</v>
      </c>
    </row>
    <row r="6998" spans="6:7" x14ac:dyDescent="0.25">
      <c r="F6998" s="17" t="s">
        <v>7283</v>
      </c>
      <c r="G6998" s="17" t="s">
        <v>7144</v>
      </c>
    </row>
    <row r="6999" spans="6:7" x14ac:dyDescent="0.25">
      <c r="F6999" s="17" t="s">
        <v>7284</v>
      </c>
      <c r="G6999" s="17" t="s">
        <v>7144</v>
      </c>
    </row>
    <row r="7000" spans="6:7" x14ac:dyDescent="0.25">
      <c r="F7000" s="17" t="s">
        <v>7285</v>
      </c>
      <c r="G7000" s="17" t="s">
        <v>7144</v>
      </c>
    </row>
    <row r="7001" spans="6:7" x14ac:dyDescent="0.25">
      <c r="F7001" s="17" t="s">
        <v>7286</v>
      </c>
      <c r="G7001" s="17" t="s">
        <v>7144</v>
      </c>
    </row>
    <row r="7002" spans="6:7" x14ac:dyDescent="0.25">
      <c r="F7002" s="17" t="s">
        <v>7287</v>
      </c>
      <c r="G7002" s="17" t="s">
        <v>7144</v>
      </c>
    </row>
    <row r="7003" spans="6:7" x14ac:dyDescent="0.25">
      <c r="F7003" s="17" t="s">
        <v>7288</v>
      </c>
      <c r="G7003" s="17" t="s">
        <v>7144</v>
      </c>
    </row>
    <row r="7004" spans="6:7" x14ac:dyDescent="0.25">
      <c r="F7004" s="17" t="s">
        <v>7289</v>
      </c>
      <c r="G7004" s="17" t="s">
        <v>7144</v>
      </c>
    </row>
    <row r="7005" spans="6:7" x14ac:dyDescent="0.25">
      <c r="F7005" s="17" t="s">
        <v>7290</v>
      </c>
      <c r="G7005" s="17" t="s">
        <v>7144</v>
      </c>
    </row>
    <row r="7006" spans="6:7" x14ac:dyDescent="0.25">
      <c r="F7006" s="17" t="s">
        <v>7291</v>
      </c>
      <c r="G7006" s="17" t="s">
        <v>7144</v>
      </c>
    </row>
    <row r="7007" spans="6:7" x14ac:dyDescent="0.25">
      <c r="F7007" s="17" t="s">
        <v>7292</v>
      </c>
      <c r="G7007" s="17" t="s">
        <v>7144</v>
      </c>
    </row>
    <row r="7008" spans="6:7" x14ac:dyDescent="0.25">
      <c r="F7008" s="17" t="s">
        <v>7293</v>
      </c>
      <c r="G7008" s="17" t="s">
        <v>7144</v>
      </c>
    </row>
    <row r="7009" spans="6:7" x14ac:dyDescent="0.25">
      <c r="F7009" s="17" t="s">
        <v>7294</v>
      </c>
      <c r="G7009" s="17" t="s">
        <v>7144</v>
      </c>
    </row>
    <row r="7010" spans="6:7" x14ac:dyDescent="0.25">
      <c r="F7010" s="17" t="s">
        <v>7295</v>
      </c>
      <c r="G7010" s="17" t="s">
        <v>7144</v>
      </c>
    </row>
    <row r="7011" spans="6:7" x14ac:dyDescent="0.25">
      <c r="F7011" s="17" t="s">
        <v>7296</v>
      </c>
      <c r="G7011" s="17" t="s">
        <v>7144</v>
      </c>
    </row>
    <row r="7012" spans="6:7" x14ac:dyDescent="0.25">
      <c r="F7012" s="17" t="s">
        <v>7297</v>
      </c>
      <c r="G7012" s="17" t="s">
        <v>7144</v>
      </c>
    </row>
    <row r="7013" spans="6:7" x14ac:dyDescent="0.25">
      <c r="F7013" s="17" t="s">
        <v>7298</v>
      </c>
      <c r="G7013" s="17" t="s">
        <v>7144</v>
      </c>
    </row>
    <row r="7014" spans="6:7" x14ac:dyDescent="0.25">
      <c r="F7014" s="17" t="s">
        <v>7299</v>
      </c>
      <c r="G7014" s="17" t="s">
        <v>7144</v>
      </c>
    </row>
    <row r="7015" spans="6:7" x14ac:dyDescent="0.25">
      <c r="F7015" s="17" t="s">
        <v>7300</v>
      </c>
      <c r="G7015" s="17" t="s">
        <v>7144</v>
      </c>
    </row>
    <row r="7016" spans="6:7" x14ac:dyDescent="0.25">
      <c r="F7016" s="17" t="s">
        <v>7301</v>
      </c>
      <c r="G7016" s="17" t="s">
        <v>7144</v>
      </c>
    </row>
    <row r="7017" spans="6:7" x14ac:dyDescent="0.25">
      <c r="F7017" s="17" t="s">
        <v>7302</v>
      </c>
      <c r="G7017" s="17" t="s">
        <v>7144</v>
      </c>
    </row>
    <row r="7018" spans="6:7" x14ac:dyDescent="0.25">
      <c r="F7018" s="17" t="s">
        <v>7303</v>
      </c>
      <c r="G7018" s="17" t="s">
        <v>7144</v>
      </c>
    </row>
    <row r="7019" spans="6:7" x14ac:dyDescent="0.25">
      <c r="F7019" s="17" t="s">
        <v>7304</v>
      </c>
      <c r="G7019" s="17" t="s">
        <v>7144</v>
      </c>
    </row>
    <row r="7020" spans="6:7" x14ac:dyDescent="0.25">
      <c r="F7020" s="17" t="s">
        <v>7305</v>
      </c>
      <c r="G7020" s="17" t="s">
        <v>7144</v>
      </c>
    </row>
    <row r="7021" spans="6:7" x14ac:dyDescent="0.25">
      <c r="F7021" s="17" t="s">
        <v>7306</v>
      </c>
      <c r="G7021" s="17" t="s">
        <v>7144</v>
      </c>
    </row>
    <row r="7022" spans="6:7" x14ac:dyDescent="0.25">
      <c r="F7022" s="17" t="s">
        <v>7307</v>
      </c>
      <c r="G7022" s="17" t="s">
        <v>7144</v>
      </c>
    </row>
    <row r="7023" spans="6:7" x14ac:dyDescent="0.25">
      <c r="F7023" s="17" t="s">
        <v>7308</v>
      </c>
      <c r="G7023" s="17" t="s">
        <v>7144</v>
      </c>
    </row>
    <row r="7024" spans="6:7" x14ac:dyDescent="0.25">
      <c r="F7024" s="17" t="s">
        <v>7309</v>
      </c>
      <c r="G7024" s="17" t="s">
        <v>7144</v>
      </c>
    </row>
    <row r="7025" spans="6:7" x14ac:dyDescent="0.25">
      <c r="F7025" s="17" t="s">
        <v>7310</v>
      </c>
      <c r="G7025" s="17" t="s">
        <v>7144</v>
      </c>
    </row>
    <row r="7026" spans="6:7" x14ac:dyDescent="0.25">
      <c r="F7026" s="17" t="s">
        <v>7311</v>
      </c>
      <c r="G7026" s="17" t="s">
        <v>7144</v>
      </c>
    </row>
    <row r="7027" spans="6:7" x14ac:dyDescent="0.25">
      <c r="F7027" s="17" t="s">
        <v>7312</v>
      </c>
      <c r="G7027" s="17" t="s">
        <v>7144</v>
      </c>
    </row>
    <row r="7028" spans="6:7" x14ac:dyDescent="0.25">
      <c r="F7028" s="17" t="s">
        <v>7313</v>
      </c>
      <c r="G7028" s="17" t="s">
        <v>7197</v>
      </c>
    </row>
    <row r="7029" spans="6:7" x14ac:dyDescent="0.25">
      <c r="F7029" s="17" t="s">
        <v>7314</v>
      </c>
      <c r="G7029" s="17" t="s">
        <v>7144</v>
      </c>
    </row>
    <row r="7030" spans="6:7" x14ac:dyDescent="0.25">
      <c r="F7030" s="17" t="s">
        <v>7315</v>
      </c>
      <c r="G7030" s="17" t="s">
        <v>7144</v>
      </c>
    </row>
    <row r="7031" spans="6:7" x14ac:dyDescent="0.25">
      <c r="F7031" s="17" t="s">
        <v>7316</v>
      </c>
      <c r="G7031" s="17" t="s">
        <v>7197</v>
      </c>
    </row>
    <row r="7032" spans="6:7" x14ac:dyDescent="0.25">
      <c r="F7032" s="17" t="s">
        <v>7317</v>
      </c>
      <c r="G7032" s="17" t="s">
        <v>7144</v>
      </c>
    </row>
    <row r="7033" spans="6:7" x14ac:dyDescent="0.25">
      <c r="F7033" s="17" t="s">
        <v>7318</v>
      </c>
      <c r="G7033" s="17" t="s">
        <v>7144</v>
      </c>
    </row>
    <row r="7034" spans="6:7" x14ac:dyDescent="0.25">
      <c r="F7034" s="17" t="s">
        <v>7319</v>
      </c>
      <c r="G7034" s="17" t="s">
        <v>7144</v>
      </c>
    </row>
    <row r="7035" spans="6:7" x14ac:dyDescent="0.25">
      <c r="F7035" s="17" t="s">
        <v>7320</v>
      </c>
      <c r="G7035" s="17" t="s">
        <v>7144</v>
      </c>
    </row>
    <row r="7036" spans="6:7" x14ac:dyDescent="0.25">
      <c r="F7036" s="17" t="s">
        <v>7321</v>
      </c>
      <c r="G7036" s="17" t="s">
        <v>7144</v>
      </c>
    </row>
    <row r="7037" spans="6:7" x14ac:dyDescent="0.25">
      <c r="F7037" s="17" t="s">
        <v>7322</v>
      </c>
      <c r="G7037" s="17" t="s">
        <v>7144</v>
      </c>
    </row>
    <row r="7038" spans="6:7" x14ac:dyDescent="0.25">
      <c r="F7038" s="17" t="s">
        <v>7323</v>
      </c>
      <c r="G7038" s="17" t="s">
        <v>7144</v>
      </c>
    </row>
  </sheetData>
  <mergeCells count="16">
    <mergeCell ref="B99:C99"/>
    <mergeCell ref="I102:J102"/>
    <mergeCell ref="B43:C43"/>
    <mergeCell ref="B45:C45"/>
    <mergeCell ref="A24:D24"/>
    <mergeCell ref="V19:W19"/>
    <mergeCell ref="R19:S19"/>
    <mergeCell ref="N19:O19"/>
    <mergeCell ref="J19:K19"/>
    <mergeCell ref="F19:G19"/>
    <mergeCell ref="B19:C19"/>
    <mergeCell ref="J24:M24"/>
    <mergeCell ref="J25:K25"/>
    <mergeCell ref="L25:M25"/>
    <mergeCell ref="L38:M38"/>
    <mergeCell ref="F24:G2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AH160"/>
  <sheetViews>
    <sheetView zoomScaleNormal="100" workbookViewId="0">
      <selection activeCell="B2" sqref="B2"/>
    </sheetView>
  </sheetViews>
  <sheetFormatPr defaultColWidth="9.140625" defaultRowHeight="15" x14ac:dyDescent="0.25"/>
  <cols>
    <col min="1" max="6" width="9.140625" style="17"/>
    <col min="7" max="7" width="19.85546875" style="17" customWidth="1"/>
    <col min="8" max="8" width="9.140625" style="17"/>
    <col min="9" max="9" width="15.140625" style="17" bestFit="1" customWidth="1"/>
    <col min="10" max="10" width="9.140625" style="17"/>
    <col min="11" max="11" width="15.140625" style="17" bestFit="1" customWidth="1"/>
    <col min="12" max="12" width="9.140625" style="17"/>
    <col min="13" max="13" width="15.140625" style="17" bestFit="1" customWidth="1"/>
    <col min="14" max="14" width="9.140625" style="17"/>
    <col min="15" max="15" width="15.140625" style="17" bestFit="1" customWidth="1"/>
    <col min="16" max="29" width="9.140625" style="17"/>
    <col min="30" max="34" width="14.7109375" style="17" bestFit="1" customWidth="1"/>
    <col min="35" max="16384" width="9.140625" style="17"/>
  </cols>
  <sheetData>
    <row r="1" spans="1:34" ht="17.25" x14ac:dyDescent="0.25">
      <c r="B1" s="95" t="s">
        <v>162</v>
      </c>
      <c r="G1" s="17" t="s">
        <v>183</v>
      </c>
    </row>
    <row r="2" spans="1:34" x14ac:dyDescent="0.25">
      <c r="B2" s="96">
        <v>0.63922000000000001</v>
      </c>
      <c r="C2" s="17" t="s">
        <v>163</v>
      </c>
      <c r="G2" s="116" t="s">
        <v>184</v>
      </c>
      <c r="H2" s="116"/>
      <c r="I2" s="116"/>
      <c r="J2" s="116"/>
      <c r="K2" s="116"/>
      <c r="W2" s="17">
        <v>1.0186317318900999</v>
      </c>
    </row>
    <row r="3" spans="1:34" x14ac:dyDescent="0.25">
      <c r="B3" s="96">
        <v>0.98965999999999998</v>
      </c>
      <c r="C3" s="17" t="s">
        <v>164</v>
      </c>
      <c r="Z3" s="17" t="s">
        <v>185</v>
      </c>
    </row>
    <row r="4" spans="1:34" x14ac:dyDescent="0.25">
      <c r="J4" s="123"/>
      <c r="L4" s="123"/>
      <c r="N4" s="123"/>
    </row>
    <row r="5" spans="1:34" x14ac:dyDescent="0.25">
      <c r="A5" s="17" t="s">
        <v>165</v>
      </c>
      <c r="AD5" s="123">
        <v>8.9999999999999999E-8</v>
      </c>
      <c r="AE5" s="123">
        <v>1.501E-5</v>
      </c>
      <c r="AF5" s="123">
        <v>1.5891499999999999E-3</v>
      </c>
      <c r="AG5" s="123">
        <v>1.4921759999999999E-2</v>
      </c>
      <c r="AH5" s="123">
        <v>0.94489650999999997</v>
      </c>
    </row>
    <row r="6" spans="1:34" x14ac:dyDescent="0.25">
      <c r="A6" s="17">
        <v>150</v>
      </c>
      <c r="B6" s="17">
        <f>(0.000000000032989*A6^3-0.000000270691185*A6^2+0.000468652420503*A6+0.726630359723856)*1.04333245461704</f>
        <v>0.82522277104920294</v>
      </c>
      <c r="D6" s="97">
        <f>B3</f>
        <v>0.98965999999999998</v>
      </c>
      <c r="E6" s="17" t="s">
        <v>164</v>
      </c>
      <c r="V6" s="18">
        <v>5</v>
      </c>
      <c r="W6" s="17">
        <f>(0.00000009*(V6)^4+0.00001501*(V6)^3-0.00158915*(V6)^2+0.01492176*(V6)+0.94489651)*1.0186317318901</f>
        <v>1.000000000000002</v>
      </c>
      <c r="Y6" s="97">
        <f>B2</f>
        <v>0.63922000000000001</v>
      </c>
      <c r="Z6" s="17" t="s">
        <v>163</v>
      </c>
      <c r="AD6" s="124">
        <f>AD5*1.0186317318901</f>
        <v>9.1676855870108994E-8</v>
      </c>
      <c r="AE6" s="124">
        <f>AE5*1.0186317318901</f>
        <v>1.5289662295670399E-5</v>
      </c>
      <c r="AF6" s="124">
        <f>AF5*1.0186317318901</f>
        <v>1.6187586167331523E-3</v>
      </c>
      <c r="AG6" s="124">
        <f>AG5*1.0186317318901</f>
        <v>1.5199778231648416E-2</v>
      </c>
      <c r="AH6" s="124">
        <f>AH5*1.0186317318901</f>
        <v>0.96250156843821111</v>
      </c>
    </row>
    <row r="7" spans="1:34" x14ac:dyDescent="0.25">
      <c r="A7" s="17">
        <v>4000</v>
      </c>
      <c r="B7" s="17">
        <f>(0.000000000032989*A7^3-0.000000270691185*A7^2+0.000468652420503*A7+0.726630359723856)*1.04333245461704</f>
        <v>0.39800742006761564</v>
      </c>
      <c r="V7" s="18">
        <v>27.5</v>
      </c>
      <c r="W7" s="17">
        <f>(0.00000009*(V7)^4+0.00001501*(V7)^3-0.00158915*(V7)^2+0.01492176*(V7)+0.94489651)*1.0186317318901</f>
        <v>0.52671774453726772</v>
      </c>
    </row>
    <row r="8" spans="1:34" ht="45.75" x14ac:dyDescent="0.25">
      <c r="A8" s="98" t="s">
        <v>166</v>
      </c>
      <c r="B8" s="98" t="s">
        <v>167</v>
      </c>
      <c r="C8" s="98" t="s">
        <v>168</v>
      </c>
      <c r="E8" s="98" t="s">
        <v>169</v>
      </c>
      <c r="G8" s="98" t="s">
        <v>170</v>
      </c>
    </row>
    <row r="9" spans="1:34" x14ac:dyDescent="0.25">
      <c r="A9" s="17">
        <v>50</v>
      </c>
      <c r="B9" s="17">
        <f>(IF(A9&lt;$A$6,$B$6,IF(A9&gt;$A$7,$B$7,((0.000000000032989*A9^3-0.000000270691185*A9^2+0.000468652420503*A9+0.726630359723856)*1.04333245461704))))</f>
        <v>0.82522277104920294</v>
      </c>
      <c r="C9" s="17">
        <f>EXP(LN(IF(A9&lt;$A$6,$B$6,IF(A9&gt;$A$7,$B$7,((0.000000000032989*A9^3-0.000000270691185*A9^2+0.000468652420503*A9+0.726630359723856)*1.04333245461704))))*$D$6)</f>
        <v>0.82686356788088511</v>
      </c>
      <c r="E9" s="17">
        <v>50</v>
      </c>
      <c r="F9" s="17">
        <f>C9</f>
        <v>0.82686356788088511</v>
      </c>
      <c r="G9" s="17">
        <f>3.11367E-15*E9^4*$H$14+6.10050713E-12*E9^3*$H$14- 1.9488839111664E-07*E9^2*$H$14+0.000385795602517395*E9*$H$14+0.79443935598877*$H$14</f>
        <v>0.81769032373538608</v>
      </c>
      <c r="U9" s="17">
        <v>1</v>
      </c>
      <c r="V9" s="17">
        <f t="shared" ref="V9:V41" si="0">IF(U9&lt;$V$6,$W$6,IF(U9&gt;$V$7,$W$7,((0.00000009*(U9)^4+0.00001501*(U9)^3-0.00158915*(U9)^2+0.01492176*(U9)+0.94489651)*1.0186317318901)))</f>
        <v>1.000000000000002</v>
      </c>
      <c r="W9" s="17">
        <f t="shared" ref="W9:W41" si="1">(EXP(LN(IF(U9&lt;$V$6,$W$6,IF(U9&gt;$V$7,$W$7,((0.00000009*(U9)^4+0.00001501*(U9)^3-0.00158915*(U9)^2+0.01492176*(U9)+0.94489651)*1.0186317318901))))*$Y$6))</f>
        <v>1.0000000000000013</v>
      </c>
      <c r="X9" s="17">
        <f>(EXP(LN(IF(U9&lt;$V$6,$W$6,IF(U9&gt;$V$7,$W$7,((0.00000009*(U9)^4+0.00001501*(U9)^3-0.00158915*(U9)^2+0.01492176*(U9)+0.94489651)*1.0186317318901))))*$Y$6))</f>
        <v>1.0000000000000013</v>
      </c>
    </row>
    <row r="10" spans="1:34" x14ac:dyDescent="0.25">
      <c r="A10" s="17">
        <v>100</v>
      </c>
      <c r="B10" s="17">
        <f t="shared" ref="B10:B73" si="2">(IF(A10&lt;$A$6,$B$6,IF(A10&gt;$A$7,$B$7,((0.000000000032989*A10^3-0.000000270691185*A10^2+0.000468652420503*A10+0.726630359723856)*1.04333245461704))))</f>
        <v>0.82522277104920294</v>
      </c>
      <c r="C10" s="17">
        <f t="shared" ref="C10:C73" si="3">EXP(LN(IF(A10&lt;$A$6,$B$6,IF(A10&gt;$A$7,$B$7,((0.000000000032989*A10^3-0.000000270691185*A10^2+0.000468652420503*A10+0.726630359723856)*1.04333245461704))))*$D$6)</f>
        <v>0.82686356788088511</v>
      </c>
      <c r="E10" s="17">
        <v>100</v>
      </c>
      <c r="F10" s="17">
        <f>C10</f>
        <v>0.82686356788088511</v>
      </c>
      <c r="G10" s="17">
        <f t="shared" ref="G10:G28" si="4">3.11367E-15*E10^4*$H$14+6.10050713E-12*E10^3*$H$14- 1.9488839111664E-07*E10^2*$H$14+0.000385795602517395*E10*$H$14+0.79443935598877*$H$14</f>
        <v>0.8356216035904056</v>
      </c>
      <c r="U10" s="17">
        <v>2</v>
      </c>
      <c r="V10" s="17">
        <f t="shared" si="0"/>
        <v>1.000000000000002</v>
      </c>
      <c r="W10" s="17">
        <f t="shared" si="1"/>
        <v>1.0000000000000013</v>
      </c>
    </row>
    <row r="11" spans="1:34" x14ac:dyDescent="0.25">
      <c r="A11" s="17">
        <v>150</v>
      </c>
      <c r="B11" s="17">
        <f t="shared" si="2"/>
        <v>0.82522277104920294</v>
      </c>
      <c r="C11" s="17">
        <f t="shared" si="3"/>
        <v>0.82686356788088511</v>
      </c>
      <c r="E11" s="17">
        <v>250</v>
      </c>
      <c r="F11" s="17">
        <f>C13</f>
        <v>0.86455722216610953</v>
      </c>
      <c r="G11" s="17">
        <f t="shared" si="4"/>
        <v>0.88362145823001548</v>
      </c>
      <c r="U11" s="17">
        <v>3</v>
      </c>
      <c r="V11" s="17">
        <f t="shared" si="0"/>
        <v>1.000000000000002</v>
      </c>
      <c r="W11" s="17">
        <f t="shared" si="1"/>
        <v>1.0000000000000013</v>
      </c>
    </row>
    <row r="12" spans="1:34" x14ac:dyDescent="0.25">
      <c r="A12" s="17">
        <v>200</v>
      </c>
      <c r="B12" s="17">
        <f t="shared" si="2"/>
        <v>0.84488760487426895</v>
      </c>
      <c r="C12" s="17">
        <f t="shared" si="3"/>
        <v>0.84636137940904366</v>
      </c>
      <c r="E12" s="17">
        <v>500</v>
      </c>
      <c r="F12" s="17">
        <f>C18</f>
        <v>0.93693175598484968</v>
      </c>
      <c r="G12" s="17">
        <f t="shared" si="4"/>
        <v>0.94471075036092189</v>
      </c>
      <c r="U12" s="17">
        <v>4</v>
      </c>
      <c r="V12" s="17">
        <f t="shared" si="0"/>
        <v>1.000000000000002</v>
      </c>
      <c r="W12" s="17">
        <f t="shared" si="1"/>
        <v>1.0000000000000013</v>
      </c>
    </row>
    <row r="13" spans="1:34" x14ac:dyDescent="0.25">
      <c r="A13" s="17">
        <v>250</v>
      </c>
      <c r="B13" s="17">
        <f t="shared" si="2"/>
        <v>0.86324358968992487</v>
      </c>
      <c r="C13" s="17">
        <f t="shared" si="3"/>
        <v>0.86455722216610953</v>
      </c>
      <c r="E13" s="17">
        <v>750</v>
      </c>
      <c r="F13" s="17">
        <f>C23</f>
        <v>0.98069550807043493</v>
      </c>
      <c r="G13" s="17">
        <f t="shared" si="4"/>
        <v>0.98306732832085775</v>
      </c>
      <c r="U13" s="17">
        <v>5</v>
      </c>
      <c r="V13" s="17">
        <f t="shared" si="0"/>
        <v>1.000000000000002</v>
      </c>
      <c r="W13" s="17">
        <f t="shared" si="1"/>
        <v>1.0000000000000013</v>
      </c>
    </row>
    <row r="14" spans="1:34" x14ac:dyDescent="0.25">
      <c r="A14" s="17">
        <v>300</v>
      </c>
      <c r="B14" s="17">
        <f t="shared" si="2"/>
        <v>0.88031653936692977</v>
      </c>
      <c r="C14" s="17">
        <f t="shared" si="3"/>
        <v>0.88147763061267714</v>
      </c>
      <c r="E14" s="17">
        <v>1000</v>
      </c>
      <c r="F14" s="17">
        <f>C28</f>
        <v>0.99908447393214439</v>
      </c>
      <c r="G14" s="17">
        <f t="shared" si="4"/>
        <v>1</v>
      </c>
      <c r="H14" s="17">
        <v>1.0054690027838398</v>
      </c>
      <c r="U14" s="17">
        <v>6</v>
      </c>
      <c r="V14" s="17">
        <f t="shared" si="0"/>
        <v>0.99884630788678053</v>
      </c>
      <c r="W14" s="17">
        <f t="shared" si="1"/>
        <v>0.99926238337024409</v>
      </c>
    </row>
    <row r="15" spans="1:34" x14ac:dyDescent="0.25">
      <c r="A15" s="17">
        <v>350</v>
      </c>
      <c r="B15" s="17">
        <f t="shared" si="2"/>
        <v>0.89613226777604249</v>
      </c>
      <c r="C15" s="17">
        <f t="shared" si="3"/>
        <v>0.89714902178462119</v>
      </c>
      <c r="E15" s="17">
        <v>1250</v>
      </c>
      <c r="F15" s="17">
        <f>C33</f>
        <v>0.99530726838478312</v>
      </c>
      <c r="G15" s="17">
        <f>G48*E15^4*$H$14+6.10050713E-12*E15^3*$H$14- 1.9488839111664E-07*E15^2*$H$14+0.000385795602517395*E15*$H$14+0.79443935598877*$H$14</f>
        <v>0.98946776898927336</v>
      </c>
      <c r="U15" s="17">
        <v>7</v>
      </c>
      <c r="V15" s="17">
        <f t="shared" si="0"/>
        <v>0.99504531413818464</v>
      </c>
      <c r="W15" s="17">
        <f t="shared" si="1"/>
        <v>0.996830028615042</v>
      </c>
    </row>
    <row r="16" spans="1:34" x14ac:dyDescent="0.25">
      <c r="A16" s="17">
        <v>400</v>
      </c>
      <c r="B16" s="17">
        <f t="shared" si="2"/>
        <v>0.9107165887880222</v>
      </c>
      <c r="C16" s="17">
        <f t="shared" si="3"/>
        <v>0.91159770801555684</v>
      </c>
      <c r="E16" s="17">
        <v>1500</v>
      </c>
      <c r="F16" s="17">
        <f>C38</f>
        <v>0.97255558186068713</v>
      </c>
      <c r="G16" s="17">
        <f t="shared" si="4"/>
        <v>0.97629637107812717</v>
      </c>
      <c r="U16" s="17">
        <v>8</v>
      </c>
      <c r="V16" s="17">
        <f t="shared" si="0"/>
        <v>0.98870305831750394</v>
      </c>
      <c r="W16" s="17">
        <f t="shared" si="1"/>
        <v>0.99276397719994847</v>
      </c>
    </row>
    <row r="17" spans="1:26" x14ac:dyDescent="0.25">
      <c r="A17" s="17">
        <v>450</v>
      </c>
      <c r="B17" s="17">
        <f t="shared" si="2"/>
        <v>0.92409531627362784</v>
      </c>
      <c r="C17" s="17">
        <f t="shared" si="3"/>
        <v>0.92484990792712529</v>
      </c>
      <c r="E17" s="17">
        <v>1750</v>
      </c>
      <c r="F17" s="17">
        <f>C43</f>
        <v>0.93401109472700083</v>
      </c>
      <c r="G17" s="17">
        <f t="shared" si="4"/>
        <v>0.93974520125898053</v>
      </c>
      <c r="U17" s="17">
        <v>9</v>
      </c>
      <c r="V17" s="17">
        <f t="shared" si="0"/>
        <v>0.97992778023256899</v>
      </c>
      <c r="W17" s="17">
        <f t="shared" si="1"/>
        <v>0.98712255036189944</v>
      </c>
    </row>
    <row r="18" spans="1:26" x14ac:dyDescent="0.25">
      <c r="A18" s="17">
        <v>500</v>
      </c>
      <c r="B18" s="17">
        <f t="shared" si="2"/>
        <v>0.93629426410361838</v>
      </c>
      <c r="C18" s="17">
        <f t="shared" si="3"/>
        <v>0.93693175598484968</v>
      </c>
      <c r="E18" s="17">
        <v>2000</v>
      </c>
      <c r="F18" s="17">
        <f>C48</f>
        <v>0.88285052135876341</v>
      </c>
      <c r="G18" s="17">
        <f t="shared" si="4"/>
        <v>0.88994038672277787</v>
      </c>
      <c r="U18" s="17">
        <v>10</v>
      </c>
      <c r="V18" s="17">
        <f t="shared" si="0"/>
        <v>0.96882991993575152</v>
      </c>
      <c r="W18" s="17">
        <f t="shared" si="1"/>
        <v>0.97996181658851922</v>
      </c>
    </row>
    <row r="19" spans="1:26" x14ac:dyDescent="0.25">
      <c r="A19" s="17">
        <v>550</v>
      </c>
      <c r="B19" s="17">
        <f t="shared" si="2"/>
        <v>0.94733924614875287</v>
      </c>
      <c r="C19" s="17">
        <f t="shared" si="3"/>
        <v>0.94786931085748116</v>
      </c>
      <c r="E19" s="17">
        <v>2250</v>
      </c>
      <c r="F19" s="17">
        <f>C53</f>
        <v>0.82224964691024582</v>
      </c>
      <c r="G19" s="17">
        <f t="shared" si="4"/>
        <v>0.82965825036121121</v>
      </c>
      <c r="U19" s="17">
        <v>11</v>
      </c>
      <c r="V19" s="17">
        <f t="shared" si="0"/>
        <v>0.95552211772396378</v>
      </c>
      <c r="W19" s="17">
        <f t="shared" si="1"/>
        <v>0.971336007874258</v>
      </c>
    </row>
    <row r="20" spans="1:26" x14ac:dyDescent="0.25">
      <c r="A20" s="17">
        <v>600</v>
      </c>
      <c r="B20" s="17">
        <f t="shared" si="2"/>
        <v>0.95725607627979059</v>
      </c>
      <c r="C20" s="17">
        <f t="shared" si="3"/>
        <v>0.95768856277159675</v>
      </c>
      <c r="E20" s="17">
        <v>2500</v>
      </c>
      <c r="F20" s="17">
        <f>C58</f>
        <v>0.75538684613366325</v>
      </c>
      <c r="G20" s="17">
        <f t="shared" si="4"/>
        <v>0.76196861806627447</v>
      </c>
      <c r="U20" s="17">
        <v>12</v>
      </c>
      <c r="V20" s="17">
        <f t="shared" si="0"/>
        <v>0.94011921413865918</v>
      </c>
      <c r="W20" s="17">
        <f t="shared" si="1"/>
        <v>0.96129789605902627</v>
      </c>
    </row>
    <row r="21" spans="1:26" x14ac:dyDescent="0.25">
      <c r="A21" s="17">
        <v>650</v>
      </c>
      <c r="B21" s="17">
        <f t="shared" si="2"/>
        <v>0.96607056836749017</v>
      </c>
      <c r="C21" s="17">
        <f t="shared" si="3"/>
        <v>0.96641544001726154</v>
      </c>
      <c r="E21" s="17">
        <v>2750</v>
      </c>
      <c r="F21" s="17">
        <f>C63</f>
        <v>0.68544637375195838</v>
      </c>
      <c r="G21" s="17">
        <f t="shared" si="4"/>
        <v>0.69023481873026571</v>
      </c>
      <c r="U21" s="17">
        <v>13</v>
      </c>
      <c r="V21" s="17">
        <f t="shared" si="0"/>
        <v>0.92273824996583187</v>
      </c>
      <c r="W21" s="17">
        <f t="shared" si="1"/>
        <v>0.94989913870195686</v>
      </c>
    </row>
    <row r="22" spans="1:26" x14ac:dyDescent="0.25">
      <c r="A22" s="17">
        <v>700</v>
      </c>
      <c r="B22" s="17">
        <f t="shared" si="2"/>
        <v>0.97380853628261077</v>
      </c>
      <c r="C22" s="17">
        <f t="shared" si="3"/>
        <v>0.97407581473231486</v>
      </c>
      <c r="E22" s="17">
        <v>3000</v>
      </c>
      <c r="F22" s="17">
        <f>C68</f>
        <v>0.61562157071881085</v>
      </c>
      <c r="G22" s="17">
        <f t="shared" si="4"/>
        <v>0.61811368424578561</v>
      </c>
      <c r="U22" s="17">
        <v>14</v>
      </c>
      <c r="V22" s="17">
        <f t="shared" si="0"/>
        <v>0.90349846623601682</v>
      </c>
      <c r="W22" s="17">
        <f t="shared" si="1"/>
        <v>0.93719060259655051</v>
      </c>
    </row>
    <row r="23" spans="1:26" x14ac:dyDescent="0.25">
      <c r="A23" s="17">
        <v>750</v>
      </c>
      <c r="B23" s="17">
        <f t="shared" si="2"/>
        <v>0.98049579389591146</v>
      </c>
      <c r="C23" s="17">
        <f t="shared" si="3"/>
        <v>0.98069550807043493</v>
      </c>
      <c r="E23" s="17">
        <v>3250</v>
      </c>
      <c r="F23" s="17">
        <f>C73</f>
        <v>0.54911795644344352</v>
      </c>
      <c r="G23" s="17">
        <f t="shared" si="4"/>
        <v>0.54955554950573704</v>
      </c>
      <c r="U23" s="17">
        <v>15</v>
      </c>
      <c r="V23" s="17">
        <f t="shared" si="0"/>
        <v>0.88252130422428987</v>
      </c>
      <c r="W23" s="17">
        <f t="shared" si="1"/>
        <v>0.92322267208715925</v>
      </c>
    </row>
    <row r="24" spans="1:26" x14ac:dyDescent="0.25">
      <c r="A24" s="17">
        <v>800</v>
      </c>
      <c r="B24" s="17">
        <f t="shared" si="2"/>
        <v>0.9861581550781513</v>
      </c>
      <c r="C24" s="17">
        <f t="shared" si="3"/>
        <v>0.98630029484025283</v>
      </c>
      <c r="E24" s="17">
        <v>3500</v>
      </c>
      <c r="F24" s="17">
        <f>C78</f>
        <v>0.48915587933082894</v>
      </c>
      <c r="G24" s="17">
        <f t="shared" si="4"/>
        <v>0.48880425240332659</v>
      </c>
      <c r="U24" s="17">
        <v>16</v>
      </c>
      <c r="V24" s="17">
        <f t="shared" si="0"/>
        <v>0.85993040545026822</v>
      </c>
      <c r="W24" s="17">
        <f t="shared" si="1"/>
        <v>0.90804554872816934</v>
      </c>
    </row>
    <row r="25" spans="1:26" x14ac:dyDescent="0.25">
      <c r="A25" s="17">
        <v>850</v>
      </c>
      <c r="B25" s="17">
        <f t="shared" si="2"/>
        <v>0.99082143370008913</v>
      </c>
      <c r="C25" s="17">
        <f t="shared" si="3"/>
        <v>0.99091590768839022</v>
      </c>
      <c r="E25" s="17">
        <v>3750</v>
      </c>
      <c r="F25" s="17">
        <f>C83</f>
        <v>0.43897186430754914</v>
      </c>
      <c r="G25" s="17">
        <f t="shared" si="4"/>
        <v>0.44039713383206436</v>
      </c>
      <c r="M25" s="99"/>
      <c r="U25" s="17">
        <v>17</v>
      </c>
      <c r="V25" s="17">
        <f t="shared" si="0"/>
        <v>0.83585161167810929</v>
      </c>
      <c r="W25" s="17">
        <f t="shared" si="1"/>
        <v>0.89170954848955575</v>
      </c>
    </row>
    <row r="26" spans="1:26" x14ac:dyDescent="0.25">
      <c r="A26" s="17">
        <v>900</v>
      </c>
      <c r="B26" s="17">
        <f t="shared" si="2"/>
        <v>0.99451144363248423</v>
      </c>
      <c r="C26" s="17">
        <f t="shared" si="3"/>
        <v>0.99456804088763118</v>
      </c>
      <c r="E26" s="17">
        <v>4000</v>
      </c>
      <c r="F26" s="17">
        <f>C88</f>
        <v>0.40181698813967376</v>
      </c>
      <c r="G26" s="17">
        <f t="shared" si="4"/>
        <v>0.40916503768576085</v>
      </c>
      <c r="L26" s="99"/>
      <c r="U26" s="17">
        <v>18</v>
      </c>
      <c r="V26" s="17">
        <f t="shared" si="0"/>
        <v>0.8104129649165116</v>
      </c>
      <c r="W26" s="17">
        <f t="shared" si="1"/>
        <v>0.87426540262893293</v>
      </c>
      <c r="Z26" s="17" t="s">
        <v>171</v>
      </c>
    </row>
    <row r="27" spans="1:26" x14ac:dyDescent="0.25">
      <c r="A27" s="17">
        <v>950</v>
      </c>
      <c r="B27" s="17">
        <f t="shared" si="2"/>
        <v>0.99725399874609555</v>
      </c>
      <c r="C27" s="17">
        <f t="shared" si="3"/>
        <v>0.99728235378192798</v>
      </c>
      <c r="E27" s="17">
        <v>4100</v>
      </c>
      <c r="F27" s="17">
        <v>0.4</v>
      </c>
      <c r="G27" s="17">
        <f t="shared" si="4"/>
        <v>0.4026191975097001</v>
      </c>
      <c r="L27" s="99"/>
      <c r="M27" s="99"/>
      <c r="N27" s="99"/>
      <c r="U27" s="17">
        <v>19</v>
      </c>
      <c r="V27" s="17">
        <f t="shared" si="0"/>
        <v>0.78374470741871494</v>
      </c>
      <c r="W27" s="17">
        <f t="shared" si="1"/>
        <v>0.85576456851071703</v>
      </c>
      <c r="Z27" s="99"/>
    </row>
    <row r="28" spans="1:26" x14ac:dyDescent="0.25">
      <c r="A28" s="17">
        <v>1000</v>
      </c>
      <c r="B28" s="17">
        <f t="shared" si="2"/>
        <v>0.99907491291168182</v>
      </c>
      <c r="C28" s="17">
        <f t="shared" si="3"/>
        <v>0.99908447393214439</v>
      </c>
      <c r="E28" s="17">
        <v>4200</v>
      </c>
      <c r="F28" s="17">
        <v>0.4</v>
      </c>
      <c r="G28" s="17">
        <f t="shared" si="4"/>
        <v>0.39997907632672514</v>
      </c>
      <c r="H28" s="17" t="s">
        <v>172</v>
      </c>
      <c r="L28" s="99"/>
      <c r="M28" s="99"/>
      <c r="N28" s="99"/>
      <c r="U28" s="17">
        <v>20</v>
      </c>
      <c r="V28" s="17">
        <f t="shared" si="0"/>
        <v>0.75597928168249917</v>
      </c>
      <c r="W28" s="17">
        <f t="shared" si="1"/>
        <v>0.83625955706231603</v>
      </c>
    </row>
    <row r="29" spans="1:26" x14ac:dyDescent="0.25">
      <c r="A29" s="17">
        <v>1050</v>
      </c>
      <c r="B29" s="17">
        <f t="shared" si="2"/>
        <v>1.0000000000000024</v>
      </c>
      <c r="C29" s="17">
        <f t="shared" si="3"/>
        <v>1.0000000000000024</v>
      </c>
      <c r="D29" s="17">
        <v>1.0433324546170399</v>
      </c>
      <c r="E29" s="17">
        <v>7000</v>
      </c>
      <c r="G29" s="17">
        <v>0.4</v>
      </c>
      <c r="M29" s="99"/>
      <c r="N29" s="99"/>
      <c r="Q29" s="88"/>
      <c r="U29" s="17">
        <v>21</v>
      </c>
      <c r="V29" s="17">
        <f t="shared" si="0"/>
        <v>0.72725133045018586</v>
      </c>
      <c r="W29" s="17">
        <f t="shared" si="1"/>
        <v>0.81580428423446327</v>
      </c>
    </row>
    <row r="30" spans="1:26" x14ac:dyDescent="0.25">
      <c r="A30" s="17">
        <v>1100</v>
      </c>
      <c r="B30" s="17">
        <f t="shared" si="2"/>
        <v>1.0000550738818161</v>
      </c>
      <c r="C30" s="17">
        <f t="shared" si="3"/>
        <v>1.0000545044023592</v>
      </c>
      <c r="E30" s="17">
        <v>8000</v>
      </c>
      <c r="G30" s="17">
        <v>0.4</v>
      </c>
      <c r="L30" s="99"/>
      <c r="M30" s="99"/>
      <c r="N30" s="99"/>
      <c r="O30" s="99"/>
      <c r="Q30" s="99"/>
      <c r="U30" s="17">
        <v>22</v>
      </c>
      <c r="V30" s="17">
        <f t="shared" si="0"/>
        <v>0.69769769670863724</v>
      </c>
      <c r="W30" s="17">
        <f t="shared" si="1"/>
        <v>0.79445445481158883</v>
      </c>
    </row>
    <row r="31" spans="1:26" x14ac:dyDescent="0.25">
      <c r="A31" s="17">
        <v>1150</v>
      </c>
      <c r="B31" s="17">
        <f t="shared" si="2"/>
        <v>0.99926594842788219</v>
      </c>
      <c r="C31" s="17">
        <f t="shared" si="3"/>
        <v>0.99927353576350086</v>
      </c>
      <c r="G31" s="17">
        <v>0.4</v>
      </c>
      <c r="L31" s="99"/>
      <c r="M31" s="99"/>
      <c r="N31" s="99"/>
      <c r="O31" s="99"/>
      <c r="Q31" s="99"/>
      <c r="U31" s="17">
        <v>23</v>
      </c>
      <c r="V31" s="17">
        <f t="shared" si="0"/>
        <v>0.66745742368925609</v>
      </c>
      <c r="W31" s="17">
        <f t="shared" si="1"/>
        <v>0.77226798824795573</v>
      </c>
    </row>
    <row r="32" spans="1:26" x14ac:dyDescent="0.25">
      <c r="A32" s="17">
        <v>1200</v>
      </c>
      <c r="B32" s="17">
        <f t="shared" si="2"/>
        <v>0.99765843750895944</v>
      </c>
      <c r="C32" s="17">
        <f t="shared" si="3"/>
        <v>0.99768262118940243</v>
      </c>
      <c r="E32" s="17">
        <v>1050</v>
      </c>
      <c r="G32" s="17">
        <f>( -0.00000000000000393*E32^4 + 0.00000000006759195*E32^3- 0.00000036340369151*E32^2 +  0.00053636704272003*E32 + 0.771320639964748)</f>
        <v>1.0073226564872546</v>
      </c>
      <c r="L32" s="99"/>
      <c r="M32" s="99"/>
      <c r="N32" s="99"/>
      <c r="O32" s="99"/>
      <c r="Q32" s="99"/>
      <c r="U32" s="17">
        <v>24</v>
      </c>
      <c r="V32" s="17">
        <f t="shared" si="0"/>
        <v>0.63667175486798644</v>
      </c>
      <c r="W32" s="17">
        <f t="shared" si="1"/>
        <v>0.74930549795279244</v>
      </c>
    </row>
    <row r="33" spans="1:23" x14ac:dyDescent="0.25">
      <c r="A33" s="17">
        <v>1250</v>
      </c>
      <c r="B33" s="17">
        <f t="shared" si="2"/>
        <v>0.99525835499580717</v>
      </c>
      <c r="C33" s="17">
        <f t="shared" si="3"/>
        <v>0.99530726838478312</v>
      </c>
      <c r="L33" s="99"/>
      <c r="M33" s="99"/>
      <c r="N33" s="99"/>
      <c r="O33" s="99"/>
      <c r="Q33" s="99"/>
      <c r="U33" s="17">
        <v>25</v>
      </c>
      <c r="V33" s="17">
        <f t="shared" si="0"/>
        <v>0.60548413396531264</v>
      </c>
      <c r="W33" s="17">
        <f t="shared" si="1"/>
        <v>0.72563083769809966</v>
      </c>
    </row>
    <row r="34" spans="1:23" x14ac:dyDescent="0.25">
      <c r="A34" s="17">
        <v>1300</v>
      </c>
      <c r="B34" s="17">
        <f t="shared" si="2"/>
        <v>0.99209151475918411</v>
      </c>
      <c r="C34" s="17">
        <f t="shared" si="3"/>
        <v>0.9921729676311245</v>
      </c>
      <c r="L34" s="99"/>
      <c r="M34" s="99"/>
      <c r="N34" s="99"/>
      <c r="O34" s="99"/>
      <c r="Q34" s="99"/>
      <c r="U34" s="17">
        <v>26</v>
      </c>
      <c r="V34" s="17">
        <f t="shared" si="0"/>
        <v>0.57404020494626085</v>
      </c>
      <c r="W34" s="17">
        <f t="shared" si="1"/>
        <v>0.70131173168050587</v>
      </c>
    </row>
    <row r="35" spans="1:23" x14ac:dyDescent="0.25">
      <c r="A35" s="17">
        <v>1350</v>
      </c>
      <c r="B35" s="17">
        <f t="shared" si="2"/>
        <v>0.98818373066984933</v>
      </c>
      <c r="C35" s="17">
        <f t="shared" si="3"/>
        <v>0.98830519364158476</v>
      </c>
      <c r="G35" s="17" t="s">
        <v>222</v>
      </c>
      <c r="L35" s="99"/>
      <c r="M35" s="99"/>
      <c r="N35" s="99"/>
      <c r="O35" s="99"/>
      <c r="Q35" s="99"/>
      <c r="U35" s="17">
        <v>27</v>
      </c>
      <c r="V35" s="17">
        <f t="shared" si="0"/>
        <v>0.54248781202039753</v>
      </c>
      <c r="W35" s="17">
        <f t="shared" si="1"/>
        <v>0.67642050835434919</v>
      </c>
    </row>
    <row r="36" spans="1:23" x14ac:dyDescent="0.25">
      <c r="A36" s="17">
        <v>1400</v>
      </c>
      <c r="B36" s="17">
        <f t="shared" si="2"/>
        <v>0.98356081659856176</v>
      </c>
      <c r="C36" s="17">
        <f t="shared" si="3"/>
        <v>0.98372940730682135</v>
      </c>
      <c r="G36" s="92">
        <f>3.11367E-15*$H$14</f>
        <v>3.1306986698979585E-15</v>
      </c>
      <c r="H36" s="17" t="s">
        <v>186</v>
      </c>
      <c r="L36" s="99"/>
      <c r="M36" s="99"/>
      <c r="N36" s="99"/>
      <c r="O36" s="99"/>
      <c r="Q36" s="99"/>
      <c r="U36" s="17">
        <v>28</v>
      </c>
      <c r="V36" s="17">
        <f t="shared" si="0"/>
        <v>0.52671774453726772</v>
      </c>
      <c r="W36" s="17">
        <f t="shared" si="1"/>
        <v>0.66378442339632215</v>
      </c>
    </row>
    <row r="37" spans="1:23" x14ac:dyDescent="0.25">
      <c r="A37" s="17">
        <v>1450</v>
      </c>
      <c r="B37" s="17">
        <f t="shared" si="2"/>
        <v>0.9782485864160807</v>
      </c>
      <c r="C37" s="17">
        <f t="shared" si="3"/>
        <v>0.97847105734410289</v>
      </c>
      <c r="G37" s="92">
        <f>6.10050713E-12*$H$14</f>
        <v>6.1338708204768036E-12</v>
      </c>
      <c r="H37" s="17" t="s">
        <v>187</v>
      </c>
      <c r="L37" s="99"/>
      <c r="M37" s="99"/>
      <c r="N37" s="99"/>
      <c r="O37" s="99"/>
      <c r="Q37" s="99"/>
      <c r="U37" s="17">
        <v>29</v>
      </c>
      <c r="V37" s="17">
        <f t="shared" si="0"/>
        <v>0.52671774453726772</v>
      </c>
      <c r="W37" s="17">
        <f t="shared" si="1"/>
        <v>0.66378442339632215</v>
      </c>
    </row>
    <row r="38" spans="1:23" x14ac:dyDescent="0.25">
      <c r="A38" s="17">
        <v>1500</v>
      </c>
      <c r="B38" s="17">
        <f t="shared" si="2"/>
        <v>0.97227285399316488</v>
      </c>
      <c r="C38" s="17">
        <f t="shared" si="3"/>
        <v>0.97255558186068713</v>
      </c>
      <c r="G38" s="92">
        <f xml:space="preserve"> 1.9488839111664E-07*$H$14</f>
        <v>1.9595423627019495E-7</v>
      </c>
      <c r="H38" s="123" t="s">
        <v>188</v>
      </c>
      <c r="L38" s="99"/>
      <c r="M38" s="99"/>
      <c r="N38" s="99"/>
      <c r="O38" s="99"/>
      <c r="Q38" s="99"/>
      <c r="U38" s="17">
        <v>30</v>
      </c>
      <c r="V38" s="17">
        <f t="shared" si="0"/>
        <v>0.52671774453726772</v>
      </c>
      <c r="W38" s="17">
        <f t="shared" si="1"/>
        <v>0.66378442339632215</v>
      </c>
    </row>
    <row r="39" spans="1:23" x14ac:dyDescent="0.25">
      <c r="A39" s="17">
        <v>1550</v>
      </c>
      <c r="B39" s="17">
        <f t="shared" si="2"/>
        <v>0.96565943320057379</v>
      </c>
      <c r="C39" s="17">
        <f t="shared" si="3"/>
        <v>0.96600840984123615</v>
      </c>
      <c r="G39" s="92">
        <f>0.000385795602517395*$H$14</f>
        <v>3.8790551974155575E-4</v>
      </c>
      <c r="H39" s="17" t="s">
        <v>189</v>
      </c>
      <c r="L39" s="99"/>
      <c r="M39" s="99"/>
      <c r="N39" s="99"/>
      <c r="O39" s="99"/>
      <c r="Q39" s="99"/>
      <c r="U39" s="17">
        <v>31</v>
      </c>
      <c r="V39" s="17">
        <f t="shared" si="0"/>
        <v>0.52671774453726772</v>
      </c>
      <c r="W39" s="17">
        <f t="shared" si="1"/>
        <v>0.66378442339632215</v>
      </c>
    </row>
    <row r="40" spans="1:23" x14ac:dyDescent="0.25">
      <c r="A40" s="17">
        <v>1600</v>
      </c>
      <c r="B40" s="17">
        <f t="shared" si="2"/>
        <v>0.95843413790906584</v>
      </c>
      <c r="C40" s="17">
        <f t="shared" si="3"/>
        <v>0.95885496256798919</v>
      </c>
      <c r="G40" s="92">
        <f>0.79443935598877*$H$14</f>
        <v>0.7987841470382645</v>
      </c>
      <c r="H40" s="17" t="s">
        <v>190</v>
      </c>
      <c r="L40" s="99"/>
      <c r="M40" s="99"/>
      <c r="N40" s="99"/>
      <c r="O40" s="99"/>
      <c r="Q40" s="99"/>
      <c r="U40" s="17">
        <v>32</v>
      </c>
      <c r="V40" s="17">
        <f t="shared" si="0"/>
        <v>0.52671774453726772</v>
      </c>
      <c r="W40" s="17">
        <f t="shared" si="1"/>
        <v>0.66378442339632215</v>
      </c>
    </row>
    <row r="41" spans="1:23" x14ac:dyDescent="0.25">
      <c r="A41" s="17">
        <v>1650</v>
      </c>
      <c r="B41" s="17">
        <f t="shared" si="2"/>
        <v>0.95062278198940042</v>
      </c>
      <c r="C41" s="17">
        <f t="shared" si="3"/>
        <v>0.95112065498151932</v>
      </c>
      <c r="L41" s="99"/>
      <c r="M41" s="99"/>
      <c r="N41" s="99"/>
      <c r="O41" s="99"/>
      <c r="Q41" s="99"/>
      <c r="U41" s="17">
        <v>33</v>
      </c>
      <c r="V41" s="17">
        <f t="shared" si="0"/>
        <v>0.52671774453726772</v>
      </c>
      <c r="W41" s="17">
        <f t="shared" si="1"/>
        <v>0.66378442339632215</v>
      </c>
    </row>
    <row r="42" spans="1:23" x14ac:dyDescent="0.25">
      <c r="A42" s="17">
        <v>1700</v>
      </c>
      <c r="B42" s="17">
        <f t="shared" si="2"/>
        <v>0.94225117931233648</v>
      </c>
      <c r="C42" s="17">
        <f t="shared" si="3"/>
        <v>0.94283089698909639</v>
      </c>
      <c r="L42" s="99"/>
      <c r="M42" s="99"/>
      <c r="N42" s="99"/>
      <c r="O42" s="99"/>
      <c r="Q42" s="99"/>
    </row>
    <row r="43" spans="1:23" x14ac:dyDescent="0.25">
      <c r="A43" s="17">
        <v>1750</v>
      </c>
      <c r="B43" s="17">
        <f t="shared" si="2"/>
        <v>0.93334514374863298</v>
      </c>
      <c r="C43" s="17">
        <f t="shared" si="3"/>
        <v>0.93401109472700083</v>
      </c>
      <c r="L43" s="99"/>
      <c r="M43" s="99"/>
      <c r="N43" s="99"/>
      <c r="O43" s="99"/>
      <c r="Q43" s="99"/>
    </row>
    <row r="44" spans="1:23" x14ac:dyDescent="0.25">
      <c r="A44" s="17">
        <v>1800</v>
      </c>
      <c r="B44" s="17">
        <f t="shared" si="2"/>
        <v>0.92393048916904896</v>
      </c>
      <c r="C44" s="17">
        <f t="shared" si="3"/>
        <v>0.92468665178251885</v>
      </c>
      <c r="G44" s="125"/>
      <c r="L44" s="99"/>
      <c r="M44" s="99"/>
      <c r="N44" s="99"/>
      <c r="O44" s="99"/>
      <c r="Q44" s="99"/>
    </row>
    <row r="45" spans="1:23" x14ac:dyDescent="0.25">
      <c r="A45" s="17">
        <v>1850</v>
      </c>
      <c r="B45" s="17">
        <f t="shared" si="2"/>
        <v>0.91403302944434373</v>
      </c>
      <c r="C45" s="17">
        <f t="shared" si="3"/>
        <v>0.91488297038081223</v>
      </c>
      <c r="L45" s="99"/>
      <c r="M45" s="99"/>
      <c r="N45" s="99"/>
      <c r="O45" s="99"/>
      <c r="Q45" s="99"/>
    </row>
    <row r="46" spans="1:23" x14ac:dyDescent="0.25">
      <c r="A46" s="17">
        <v>1900</v>
      </c>
      <c r="B46" s="17">
        <f t="shared" si="2"/>
        <v>0.90367857844527588</v>
      </c>
      <c r="C46" s="17">
        <f t="shared" si="3"/>
        <v>0.90462545254137761</v>
      </c>
      <c r="L46" s="99"/>
      <c r="M46" s="99"/>
      <c r="N46" s="99"/>
      <c r="O46" s="99"/>
      <c r="P46" s="88"/>
      <c r="Q46" s="99"/>
    </row>
    <row r="47" spans="1:23" x14ac:dyDescent="0.25">
      <c r="A47" s="17">
        <v>1950</v>
      </c>
      <c r="B47" s="17">
        <f t="shared" si="2"/>
        <v>0.89289295004260449</v>
      </c>
      <c r="C47" s="17">
        <f t="shared" si="3"/>
        <v>0.89393950120838206</v>
      </c>
      <c r="L47" s="99"/>
      <c r="M47" s="99"/>
      <c r="N47" s="99"/>
      <c r="O47" s="99"/>
      <c r="Q47" s="99"/>
    </row>
    <row r="48" spans="1:23" x14ac:dyDescent="0.25">
      <c r="A48" s="17">
        <v>2000</v>
      </c>
      <c r="B48" s="17">
        <f t="shared" si="2"/>
        <v>0.88170195810708885</v>
      </c>
      <c r="C48" s="17">
        <f t="shared" si="3"/>
        <v>0.88285052135876341</v>
      </c>
      <c r="L48" s="99"/>
      <c r="M48" s="99"/>
      <c r="N48" s="99"/>
      <c r="O48" s="99"/>
      <c r="Q48" s="99"/>
    </row>
    <row r="49" spans="1:17" x14ac:dyDescent="0.25">
      <c r="A49" s="17">
        <v>2050</v>
      </c>
      <c r="B49" s="17">
        <f t="shared" si="2"/>
        <v>0.87013141650948789</v>
      </c>
      <c r="C49" s="17">
        <f t="shared" si="3"/>
        <v>0.8713839210916281</v>
      </c>
      <c r="L49" s="99"/>
      <c r="M49" s="99"/>
      <c r="N49" s="99"/>
      <c r="O49" s="99"/>
      <c r="Q49" s="99"/>
    </row>
    <row r="50" spans="1:17" x14ac:dyDescent="0.25">
      <c r="A50" s="17">
        <v>2100</v>
      </c>
      <c r="B50" s="17">
        <f t="shared" si="2"/>
        <v>0.85820713912056057</v>
      </c>
      <c r="C50" s="17">
        <f t="shared" si="3"/>
        <v>0.85956511270214231</v>
      </c>
      <c r="L50" s="99"/>
      <c r="M50" s="99"/>
      <c r="N50" s="99"/>
      <c r="O50" s="99"/>
      <c r="Q50" s="99"/>
    </row>
    <row r="51" spans="1:17" x14ac:dyDescent="0.25">
      <c r="A51" s="17">
        <v>2150</v>
      </c>
      <c r="B51" s="17">
        <f t="shared" si="2"/>
        <v>0.84595493981106562</v>
      </c>
      <c r="C51" s="17">
        <f t="shared" si="3"/>
        <v>0.84741951374278701</v>
      </c>
      <c r="L51" s="99"/>
      <c r="M51" s="99"/>
      <c r="N51" s="99"/>
      <c r="O51" s="99"/>
      <c r="Q51" s="99"/>
    </row>
    <row r="52" spans="1:17" x14ac:dyDescent="0.25">
      <c r="A52" s="17">
        <v>2200</v>
      </c>
      <c r="B52" s="17">
        <f t="shared" si="2"/>
        <v>0.83340063245176266</v>
      </c>
      <c r="C52" s="17">
        <f t="shared" si="3"/>
        <v>0.83497254807454191</v>
      </c>
      <c r="L52" s="99"/>
      <c r="M52" s="99"/>
      <c r="N52" s="99"/>
      <c r="O52" s="99"/>
      <c r="Q52" s="99"/>
    </row>
    <row r="53" spans="1:17" x14ac:dyDescent="0.25">
      <c r="A53" s="17">
        <v>2250</v>
      </c>
      <c r="B53" s="17">
        <f t="shared" si="2"/>
        <v>0.82057003091341041</v>
      </c>
      <c r="C53" s="17">
        <f t="shared" si="3"/>
        <v>0.82224964691024582</v>
      </c>
      <c r="L53" s="99"/>
      <c r="M53" s="99"/>
      <c r="N53" s="99"/>
      <c r="O53" s="99"/>
      <c r="Q53" s="99"/>
    </row>
    <row r="54" spans="1:17" x14ac:dyDescent="0.25">
      <c r="A54" s="17">
        <v>2300</v>
      </c>
      <c r="B54" s="17">
        <f t="shared" si="2"/>
        <v>0.8074889490667676</v>
      </c>
      <c r="C54" s="17">
        <f t="shared" si="3"/>
        <v>0.80927624985207736</v>
      </c>
      <c r="L54" s="99"/>
      <c r="M54" s="99"/>
      <c r="N54" s="99"/>
      <c r="O54" s="99"/>
      <c r="Q54" s="99"/>
    </row>
    <row r="55" spans="1:17" x14ac:dyDescent="0.25">
      <c r="A55" s="17">
        <v>2350</v>
      </c>
      <c r="B55" s="17">
        <f t="shared" si="2"/>
        <v>0.79418320078259375</v>
      </c>
      <c r="C55" s="17">
        <f t="shared" si="3"/>
        <v>0.7960778059247664</v>
      </c>
      <c r="L55" s="99"/>
      <c r="M55" s="99"/>
      <c r="N55" s="99"/>
      <c r="O55" s="99"/>
      <c r="Q55" s="99"/>
    </row>
    <row r="56" spans="1:17" x14ac:dyDescent="0.25">
      <c r="A56" s="17">
        <v>2400</v>
      </c>
      <c r="B56" s="17">
        <f t="shared" si="2"/>
        <v>0.78067859993164779</v>
      </c>
      <c r="C56" s="17">
        <f t="shared" si="3"/>
        <v>0.78267977460580207</v>
      </c>
      <c r="L56" s="99"/>
      <c r="M56" s="99"/>
      <c r="N56" s="99"/>
      <c r="O56" s="99"/>
      <c r="Q56" s="99"/>
    </row>
    <row r="57" spans="1:17" x14ac:dyDescent="0.25">
      <c r="A57" s="17">
        <v>2450</v>
      </c>
      <c r="B57" s="17">
        <f t="shared" si="2"/>
        <v>0.76700096038468846</v>
      </c>
      <c r="C57" s="17">
        <f t="shared" si="3"/>
        <v>0.76910762685353562</v>
      </c>
      <c r="L57" s="99"/>
      <c r="M57" s="99"/>
      <c r="N57" s="99"/>
      <c r="O57" s="99"/>
      <c r="Q57" s="99"/>
    </row>
    <row r="58" spans="1:17" x14ac:dyDescent="0.25">
      <c r="A58" s="17">
        <v>2500</v>
      </c>
      <c r="B58" s="17">
        <f t="shared" si="2"/>
        <v>0.75317609601247471</v>
      </c>
      <c r="C58" s="17">
        <f t="shared" si="3"/>
        <v>0.75538684613366325</v>
      </c>
      <c r="L58" s="99"/>
      <c r="M58" s="99"/>
      <c r="N58" s="99"/>
      <c r="O58" s="99"/>
      <c r="Q58" s="99"/>
    </row>
    <row r="59" spans="1:17" x14ac:dyDescent="0.25">
      <c r="A59" s="17">
        <v>2550</v>
      </c>
      <c r="B59" s="17">
        <f t="shared" si="2"/>
        <v>0.73922982068576626</v>
      </c>
      <c r="C59" s="17">
        <f t="shared" si="3"/>
        <v>0.74154292944411804</v>
      </c>
      <c r="L59" s="99"/>
      <c r="M59" s="99"/>
      <c r="N59" s="99"/>
      <c r="O59" s="99"/>
      <c r="Q59" s="99"/>
    </row>
    <row r="60" spans="1:17" x14ac:dyDescent="0.25">
      <c r="A60" s="17">
        <v>2600</v>
      </c>
      <c r="B60" s="17">
        <f t="shared" si="2"/>
        <v>0.7251879482753214</v>
      </c>
      <c r="C60" s="17">
        <f t="shared" si="3"/>
        <v>0.72760138833788957</v>
      </c>
      <c r="L60" s="99"/>
      <c r="M60" s="99"/>
      <c r="N60" s="99"/>
      <c r="O60" s="99"/>
      <c r="Q60" s="99"/>
    </row>
    <row r="61" spans="1:17" x14ac:dyDescent="0.25">
      <c r="A61" s="17">
        <v>2650</v>
      </c>
      <c r="B61" s="17">
        <f t="shared" si="2"/>
        <v>0.71107629265189942</v>
      </c>
      <c r="C61" s="17">
        <f t="shared" si="3"/>
        <v>0.71358774994271634</v>
      </c>
      <c r="L61" s="99"/>
      <c r="M61" s="99"/>
      <c r="N61" s="99"/>
      <c r="O61" s="99"/>
      <c r="Q61" s="99"/>
    </row>
    <row r="62" spans="1:17" x14ac:dyDescent="0.25">
      <c r="A62" s="17">
        <v>2700</v>
      </c>
      <c r="B62" s="17">
        <f t="shared" si="2"/>
        <v>0.69692066768625904</v>
      </c>
      <c r="C62" s="17">
        <f t="shared" si="3"/>
        <v>0.69952755797592614</v>
      </c>
      <c r="L62" s="99"/>
      <c r="M62" s="99"/>
      <c r="N62" s="99"/>
      <c r="O62" s="99"/>
      <c r="Q62" s="99"/>
    </row>
    <row r="63" spans="1:17" x14ac:dyDescent="0.25">
      <c r="A63" s="17">
        <v>2750</v>
      </c>
      <c r="B63" s="17">
        <f t="shared" si="2"/>
        <v>0.68274688724915988</v>
      </c>
      <c r="C63" s="17">
        <f t="shared" si="3"/>
        <v>0.68544637375195838</v>
      </c>
      <c r="L63" s="99"/>
      <c r="M63" s="99"/>
      <c r="N63" s="99"/>
      <c r="O63" s="99"/>
      <c r="Q63" s="99"/>
    </row>
    <row r="64" spans="1:17" x14ac:dyDescent="0.25">
      <c r="A64" s="17">
        <v>2800</v>
      </c>
      <c r="B64" s="17">
        <f t="shared" si="2"/>
        <v>0.66858076521136067</v>
      </c>
      <c r="C64" s="17">
        <f t="shared" si="3"/>
        <v>0.67136977717923163</v>
      </c>
      <c r="L64" s="99"/>
      <c r="M64" s="99"/>
      <c r="N64" s="99"/>
      <c r="O64" s="99"/>
      <c r="Q64" s="99"/>
    </row>
    <row r="65" spans="1:17" x14ac:dyDescent="0.25">
      <c r="A65" s="17">
        <v>2850</v>
      </c>
      <c r="B65" s="17">
        <f t="shared" si="2"/>
        <v>0.65444811544362058</v>
      </c>
      <c r="C65" s="17">
        <f t="shared" si="3"/>
        <v>0.65732336774204991</v>
      </c>
      <c r="L65" s="99"/>
      <c r="M65" s="99"/>
      <c r="N65" s="99"/>
      <c r="O65" s="99"/>
      <c r="Q65" s="99"/>
    </row>
    <row r="66" spans="1:17" x14ac:dyDescent="0.25">
      <c r="A66" s="17">
        <v>2900</v>
      </c>
      <c r="B66" s="17">
        <f t="shared" si="2"/>
        <v>0.64037475181669823</v>
      </c>
      <c r="C66" s="17">
        <f t="shared" si="3"/>
        <v>0.64333276546210805</v>
      </c>
      <c r="L66" s="99"/>
      <c r="M66" s="99"/>
      <c r="N66" s="99"/>
      <c r="O66" s="99"/>
      <c r="Q66" s="99"/>
    </row>
    <row r="67" spans="1:17" x14ac:dyDescent="0.25">
      <c r="A67" s="17">
        <v>2950</v>
      </c>
      <c r="B67" s="17">
        <f t="shared" si="2"/>
        <v>0.6263864882013529</v>
      </c>
      <c r="C67" s="17">
        <f t="shared" si="3"/>
        <v>0.62942361183289053</v>
      </c>
      <c r="L67" s="99"/>
      <c r="M67" s="99"/>
      <c r="N67" s="99"/>
      <c r="O67" s="99"/>
      <c r="Q67" s="99"/>
    </row>
    <row r="68" spans="1:17" x14ac:dyDescent="0.25">
      <c r="A68" s="17">
        <v>3000</v>
      </c>
      <c r="B68" s="17">
        <f t="shared" si="2"/>
        <v>0.61250913846834354</v>
      </c>
      <c r="C68" s="17">
        <f t="shared" si="3"/>
        <v>0.61562157071881085</v>
      </c>
      <c r="L68" s="99"/>
      <c r="M68" s="99"/>
      <c r="N68" s="99"/>
      <c r="O68" s="99"/>
      <c r="Q68" s="99"/>
    </row>
    <row r="69" spans="1:17" x14ac:dyDescent="0.25">
      <c r="A69" s="17">
        <v>3050</v>
      </c>
      <c r="B69" s="17">
        <f t="shared" si="2"/>
        <v>0.59876851648842955</v>
      </c>
      <c r="C69" s="17">
        <f t="shared" si="3"/>
        <v>0.60195232920931152</v>
      </c>
      <c r="L69" s="99"/>
      <c r="M69" s="99"/>
      <c r="N69" s="99"/>
      <c r="O69" s="99"/>
      <c r="Q69" s="99"/>
    </row>
    <row r="70" spans="1:17" x14ac:dyDescent="0.25">
      <c r="A70" s="17">
        <v>3100</v>
      </c>
      <c r="B70" s="17">
        <f t="shared" si="2"/>
        <v>0.58519043613236954</v>
      </c>
      <c r="C70" s="17">
        <f t="shared" si="3"/>
        <v>0.58844159841632626</v>
      </c>
      <c r="L70" s="99"/>
      <c r="M70" s="99"/>
      <c r="N70" s="99"/>
      <c r="O70" s="99"/>
      <c r="Q70" s="99"/>
    </row>
    <row r="71" spans="1:17" x14ac:dyDescent="0.25">
      <c r="A71" s="17">
        <v>3150</v>
      </c>
      <c r="B71" s="17">
        <f t="shared" si="2"/>
        <v>0.57180071127092247</v>
      </c>
      <c r="C71" s="17">
        <f t="shared" si="3"/>
        <v>0.57511511420148398</v>
      </c>
      <c r="L71" s="99"/>
      <c r="M71" s="99"/>
      <c r="N71" s="99"/>
      <c r="O71" s="99"/>
      <c r="Q71" s="99"/>
    </row>
    <row r="72" spans="1:17" x14ac:dyDescent="0.25">
      <c r="A72" s="17">
        <v>3200</v>
      </c>
      <c r="B72" s="17">
        <f t="shared" si="2"/>
        <v>0.55862515577484717</v>
      </c>
      <c r="C72" s="17">
        <f t="shared" si="3"/>
        <v>0.56199863781720738</v>
      </c>
      <c r="L72" s="99"/>
      <c r="M72" s="99"/>
      <c r="N72" s="99"/>
      <c r="O72" s="99"/>
      <c r="Q72" s="99"/>
    </row>
    <row r="73" spans="1:17" x14ac:dyDescent="0.25">
      <c r="A73" s="17">
        <v>3250</v>
      </c>
      <c r="B73" s="17">
        <f t="shared" si="2"/>
        <v>0.5456895835149036</v>
      </c>
      <c r="C73" s="17">
        <f t="shared" si="3"/>
        <v>0.54911795644344352</v>
      </c>
      <c r="L73" s="99"/>
      <c r="M73" s="99"/>
      <c r="N73" s="99"/>
      <c r="O73" s="99"/>
      <c r="Q73" s="99"/>
    </row>
    <row r="74" spans="1:17" x14ac:dyDescent="0.25">
      <c r="A74" s="17">
        <v>3300</v>
      </c>
      <c r="B74" s="17">
        <f t="shared" ref="B74:B98" si="5">(IF(A74&lt;$A$6,$B$6,IF(A74&gt;$A$7,$B$7,((0.000000000032989*A74^3-0.000000270691185*A74^2+0.000468652420503*A74+0.726630359723856)*1.04333245461704))))</f>
        <v>0.53301980836184981</v>
      </c>
      <c r="C74" s="17">
        <f t="shared" ref="C74:C98" si="6">EXP(LN(IF(A74&lt;$A$6,$B$6,IF(A74&gt;$A$7,$B$7,((0.000000000032989*A74^3-0.000000270691185*A74^2+0.000468652420503*A74+0.726630359723856)*1.04333245461704))))*$D$6)</f>
        <v>0.53649888359916664</v>
      </c>
      <c r="L74" s="99"/>
      <c r="M74" s="99"/>
      <c r="N74" s="99"/>
      <c r="O74" s="99"/>
      <c r="Q74" s="99"/>
    </row>
    <row r="75" spans="1:17" x14ac:dyDescent="0.25">
      <c r="A75" s="17">
        <v>3350</v>
      </c>
      <c r="B75" s="17">
        <f t="shared" si="5"/>
        <v>0.52064164418644532</v>
      </c>
      <c r="C75" s="17">
        <f t="shared" si="6"/>
        <v>0.52416725940507469</v>
      </c>
      <c r="L75" s="99"/>
      <c r="M75" s="99"/>
      <c r="N75" s="99"/>
      <c r="O75" s="99"/>
      <c r="Q75" s="99"/>
    </row>
    <row r="76" spans="1:17" x14ac:dyDescent="0.25">
      <c r="A76" s="17">
        <v>3400</v>
      </c>
      <c r="B76" s="17">
        <f t="shared" si="5"/>
        <v>0.50858090485944896</v>
      </c>
      <c r="C76" s="17">
        <f t="shared" si="6"/>
        <v>0.51214895067106647</v>
      </c>
      <c r="L76" s="99"/>
      <c r="M76" s="99"/>
      <c r="N76" s="99"/>
      <c r="O76" s="99"/>
      <c r="Q76" s="99"/>
    </row>
    <row r="77" spans="1:17" x14ac:dyDescent="0.25">
      <c r="A77" s="17">
        <v>3450</v>
      </c>
      <c r="B77" s="17">
        <f t="shared" si="5"/>
        <v>0.49686340425162007</v>
      </c>
      <c r="C77" s="17">
        <f t="shared" si="6"/>
        <v>0.50046985077929007</v>
      </c>
      <c r="L77" s="99"/>
      <c r="M77" s="99"/>
      <c r="N77" s="99"/>
      <c r="O77" s="99"/>
      <c r="Q77" s="99"/>
    </row>
    <row r="78" spans="1:17" x14ac:dyDescent="0.25">
      <c r="A78" s="17">
        <v>3500</v>
      </c>
      <c r="B78" s="17">
        <f t="shared" si="5"/>
        <v>0.48551495623371699</v>
      </c>
      <c r="C78" s="17">
        <f t="shared" si="6"/>
        <v>0.48915587933082894</v>
      </c>
      <c r="L78" s="99"/>
      <c r="M78" s="99"/>
      <c r="N78" s="99"/>
      <c r="O78" s="99"/>
      <c r="Q78" s="99"/>
    </row>
    <row r="79" spans="1:17" x14ac:dyDescent="0.25">
      <c r="A79" s="17">
        <v>3550</v>
      </c>
      <c r="B79" s="17">
        <f t="shared" si="5"/>
        <v>0.47456137467649934</v>
      </c>
      <c r="C79" s="17">
        <f t="shared" si="6"/>
        <v>0.47823298152164595</v>
      </c>
      <c r="L79" s="99"/>
      <c r="M79" s="99"/>
      <c r="N79" s="99"/>
      <c r="O79" s="99"/>
      <c r="Q79" s="99"/>
    </row>
    <row r="80" spans="1:17" x14ac:dyDescent="0.25">
      <c r="A80" s="17">
        <v>3600</v>
      </c>
      <c r="B80" s="17">
        <f t="shared" si="5"/>
        <v>0.46402847345072584</v>
      </c>
      <c r="C80" s="17">
        <f t="shared" si="6"/>
        <v>0.46772712721137305</v>
      </c>
      <c r="L80" s="99"/>
      <c r="M80" s="99"/>
      <c r="N80" s="99"/>
      <c r="O80" s="99"/>
      <c r="Q80" s="99"/>
    </row>
    <row r="81" spans="1:17" x14ac:dyDescent="0.25">
      <c r="A81" s="17">
        <v>3650</v>
      </c>
      <c r="B81" s="17">
        <f t="shared" si="5"/>
        <v>0.45394206642715584</v>
      </c>
      <c r="C81" s="17">
        <f t="shared" si="6"/>
        <v>0.45766430964718857</v>
      </c>
      <c r="L81" s="99"/>
      <c r="M81" s="99"/>
      <c r="N81" s="99"/>
      <c r="O81" s="99"/>
      <c r="Q81" s="99"/>
    </row>
    <row r="82" spans="1:17" x14ac:dyDescent="0.25">
      <c r="A82" s="17">
        <v>3700</v>
      </c>
      <c r="B82" s="17">
        <f t="shared" si="5"/>
        <v>0.4443279674765484</v>
      </c>
      <c r="C82" s="17">
        <f t="shared" si="6"/>
        <v>0.44807054380457423</v>
      </c>
      <c r="L82" s="99"/>
      <c r="M82" s="99"/>
      <c r="N82" s="99"/>
      <c r="O82" s="99"/>
      <c r="Q82" s="99"/>
    </row>
    <row r="83" spans="1:17" x14ac:dyDescent="0.25">
      <c r="A83" s="17">
        <v>3750</v>
      </c>
      <c r="B83" s="17">
        <f t="shared" si="5"/>
        <v>0.43521199046966164</v>
      </c>
      <c r="C83" s="17">
        <f t="shared" si="6"/>
        <v>0.43897186430754914</v>
      </c>
      <c r="L83" s="99"/>
      <c r="M83" s="99"/>
      <c r="N83" s="99"/>
      <c r="O83" s="99"/>
      <c r="Q83" s="99"/>
    </row>
    <row r="84" spans="1:17" x14ac:dyDescent="0.25">
      <c r="A84" s="17">
        <v>3800</v>
      </c>
      <c r="B84" s="17">
        <f t="shared" si="5"/>
        <v>0.42661994927725622</v>
      </c>
      <c r="C84" s="17">
        <f t="shared" si="6"/>
        <v>0.43039432289332424</v>
      </c>
      <c r="L84" s="99"/>
      <c r="M84" s="99"/>
      <c r="N84" s="99"/>
      <c r="O84" s="99"/>
      <c r="Q84" s="99"/>
    </row>
    <row r="85" spans="1:17" x14ac:dyDescent="0.25">
      <c r="A85" s="17">
        <v>3850</v>
      </c>
      <c r="B85" s="17">
        <f t="shared" si="5"/>
        <v>0.41857765777008871</v>
      </c>
      <c r="C85" s="17">
        <f t="shared" si="6"/>
        <v>0.42236398539055031</v>
      </c>
      <c r="L85" s="99"/>
      <c r="M85" s="99"/>
      <c r="N85" s="99"/>
      <c r="O85" s="99"/>
      <c r="Q85" s="99"/>
    </row>
    <row r="86" spans="1:17" x14ac:dyDescent="0.25">
      <c r="A86" s="17">
        <v>3900</v>
      </c>
      <c r="B86" s="17">
        <f t="shared" si="5"/>
        <v>0.41111092981892045</v>
      </c>
      <c r="C86" s="17">
        <f t="shared" si="6"/>
        <v>0.41490692818682556</v>
      </c>
      <c r="L86" s="99"/>
      <c r="M86" s="99"/>
      <c r="N86" s="99"/>
      <c r="O86" s="99"/>
      <c r="Q86" s="99"/>
    </row>
    <row r="87" spans="1:17" x14ac:dyDescent="0.25">
      <c r="A87" s="17">
        <v>3950</v>
      </c>
      <c r="B87" s="17">
        <f t="shared" si="5"/>
        <v>0.40424557929450999</v>
      </c>
      <c r="C87" s="17">
        <f t="shared" si="6"/>
        <v>0.40804923417002414</v>
      </c>
      <c r="L87" s="99"/>
      <c r="M87" s="99"/>
      <c r="N87" s="99"/>
      <c r="O87" s="99"/>
      <c r="Q87" s="99"/>
    </row>
    <row r="88" spans="1:17" x14ac:dyDescent="0.25">
      <c r="A88" s="17">
        <v>4000</v>
      </c>
      <c r="B88" s="17">
        <f t="shared" si="5"/>
        <v>0.39800742006761564</v>
      </c>
      <c r="C88" s="17">
        <f t="shared" si="6"/>
        <v>0.40181698813967376</v>
      </c>
      <c r="L88" s="99"/>
      <c r="M88" s="99"/>
      <c r="N88" s="99"/>
      <c r="O88" s="99"/>
      <c r="Q88" s="99"/>
    </row>
    <row r="89" spans="1:17" x14ac:dyDescent="0.25">
      <c r="A89" s="17">
        <v>4050</v>
      </c>
      <c r="B89" s="17">
        <f t="shared" si="5"/>
        <v>0.39800742006761564</v>
      </c>
      <c r="C89" s="17">
        <f t="shared" si="6"/>
        <v>0.40181698813967376</v>
      </c>
      <c r="L89" s="99"/>
      <c r="M89" s="99"/>
      <c r="N89" s="99"/>
      <c r="O89" s="99"/>
      <c r="Q89" s="99"/>
    </row>
    <row r="90" spans="1:17" x14ac:dyDescent="0.25">
      <c r="A90" s="17">
        <v>4100</v>
      </c>
      <c r="B90" s="17">
        <f t="shared" si="5"/>
        <v>0.39800742006761564</v>
      </c>
      <c r="C90" s="17">
        <f t="shared" si="6"/>
        <v>0.40181698813967376</v>
      </c>
      <c r="L90" s="99"/>
      <c r="M90" s="99"/>
      <c r="N90" s="99"/>
      <c r="O90" s="99"/>
      <c r="Q90" s="99"/>
    </row>
    <row r="91" spans="1:17" x14ac:dyDescent="0.25">
      <c r="A91" s="17">
        <v>4150</v>
      </c>
      <c r="B91" s="17">
        <f t="shared" si="5"/>
        <v>0.39800742006761564</v>
      </c>
      <c r="C91" s="17">
        <f t="shared" si="6"/>
        <v>0.40181698813967376</v>
      </c>
      <c r="L91" s="99"/>
      <c r="M91" s="99"/>
      <c r="N91" s="99"/>
      <c r="O91" s="99"/>
      <c r="Q91" s="99"/>
    </row>
    <row r="92" spans="1:17" x14ac:dyDescent="0.25">
      <c r="A92" s="17">
        <v>4200</v>
      </c>
      <c r="B92" s="17">
        <f t="shared" si="5"/>
        <v>0.39800742006761564</v>
      </c>
      <c r="C92" s="17">
        <f t="shared" si="6"/>
        <v>0.40181698813967376</v>
      </c>
      <c r="L92" s="99"/>
      <c r="M92" s="99"/>
      <c r="N92" s="99"/>
      <c r="O92" s="99"/>
      <c r="Q92" s="99"/>
    </row>
    <row r="93" spans="1:17" x14ac:dyDescent="0.25">
      <c r="A93" s="17">
        <v>4250</v>
      </c>
      <c r="B93" s="17">
        <f t="shared" si="5"/>
        <v>0.39800742006761564</v>
      </c>
      <c r="C93" s="17">
        <f t="shared" si="6"/>
        <v>0.40181698813967376</v>
      </c>
      <c r="L93" s="99"/>
      <c r="M93" s="99"/>
      <c r="N93" s="99"/>
      <c r="O93" s="99"/>
      <c r="Q93" s="99"/>
    </row>
    <row r="94" spans="1:17" x14ac:dyDescent="0.25">
      <c r="A94" s="17">
        <v>4300</v>
      </c>
      <c r="B94" s="17">
        <f t="shared" si="5"/>
        <v>0.39800742006761564</v>
      </c>
      <c r="C94" s="17">
        <f t="shared" si="6"/>
        <v>0.40181698813967376</v>
      </c>
      <c r="L94" s="99"/>
      <c r="M94" s="99"/>
      <c r="N94" s="99"/>
      <c r="O94" s="99"/>
      <c r="Q94" s="99"/>
    </row>
    <row r="95" spans="1:17" x14ac:dyDescent="0.25">
      <c r="A95" s="17">
        <v>4350</v>
      </c>
      <c r="B95" s="17">
        <f t="shared" si="5"/>
        <v>0.39800742006761564</v>
      </c>
      <c r="C95" s="17">
        <f t="shared" si="6"/>
        <v>0.40181698813967376</v>
      </c>
      <c r="L95" s="99"/>
      <c r="M95" s="99"/>
      <c r="N95" s="99"/>
      <c r="O95" s="99"/>
      <c r="Q95" s="99"/>
    </row>
    <row r="96" spans="1:17" x14ac:dyDescent="0.25">
      <c r="A96" s="17">
        <v>4400</v>
      </c>
      <c r="B96" s="17">
        <f t="shared" si="5"/>
        <v>0.39800742006761564</v>
      </c>
      <c r="C96" s="17">
        <f t="shared" si="6"/>
        <v>0.40181698813967376</v>
      </c>
      <c r="L96" s="99"/>
      <c r="M96" s="99"/>
      <c r="N96" s="99"/>
      <c r="O96" s="99"/>
      <c r="Q96" s="99"/>
    </row>
    <row r="97" spans="1:17" x14ac:dyDescent="0.25">
      <c r="A97" s="17">
        <v>4450</v>
      </c>
      <c r="B97" s="17">
        <f t="shared" si="5"/>
        <v>0.39800742006761564</v>
      </c>
      <c r="C97" s="17">
        <f t="shared" si="6"/>
        <v>0.40181698813967376</v>
      </c>
      <c r="L97" s="99"/>
      <c r="M97" s="99"/>
      <c r="N97" s="99"/>
      <c r="O97" s="99"/>
      <c r="Q97" s="99"/>
    </row>
    <row r="98" spans="1:17" x14ac:dyDescent="0.25">
      <c r="A98" s="17">
        <v>4500</v>
      </c>
      <c r="B98" s="17">
        <f t="shared" si="5"/>
        <v>0.39800742006761564</v>
      </c>
      <c r="C98" s="17">
        <f t="shared" si="6"/>
        <v>0.40181698813967376</v>
      </c>
      <c r="L98" s="99"/>
      <c r="M98" s="99"/>
      <c r="N98" s="99"/>
      <c r="O98" s="99"/>
      <c r="Q98" s="99"/>
    </row>
    <row r="99" spans="1:17" x14ac:dyDescent="0.25">
      <c r="L99" s="99"/>
      <c r="M99" s="99"/>
      <c r="N99" s="99"/>
      <c r="O99" s="99"/>
      <c r="Q99" s="99"/>
    </row>
    <row r="100" spans="1:17" x14ac:dyDescent="0.25">
      <c r="L100" s="99"/>
      <c r="M100" s="99"/>
      <c r="N100" s="99"/>
      <c r="O100" s="99"/>
      <c r="Q100" s="99"/>
    </row>
    <row r="101" spans="1:17" x14ac:dyDescent="0.25">
      <c r="Q101" s="99"/>
    </row>
    <row r="102" spans="1:17" x14ac:dyDescent="0.25">
      <c r="Q102" s="99"/>
    </row>
    <row r="103" spans="1:17" x14ac:dyDescent="0.25">
      <c r="Q103" s="99"/>
    </row>
    <row r="104" spans="1:17" x14ac:dyDescent="0.25">
      <c r="Q104" s="99"/>
    </row>
    <row r="105" spans="1:17" x14ac:dyDescent="0.25">
      <c r="Q105" s="99"/>
    </row>
    <row r="106" spans="1:17" x14ac:dyDescent="0.25">
      <c r="Q106" s="99"/>
    </row>
    <row r="107" spans="1:17" x14ac:dyDescent="0.25">
      <c r="Q107" s="99"/>
    </row>
    <row r="108" spans="1:17" x14ac:dyDescent="0.25">
      <c r="Q108" s="99"/>
    </row>
    <row r="109" spans="1:17" x14ac:dyDescent="0.25">
      <c r="Q109" s="99"/>
    </row>
    <row r="110" spans="1:17" x14ac:dyDescent="0.25">
      <c r="Q110" s="99"/>
    </row>
    <row r="111" spans="1:17" x14ac:dyDescent="0.25">
      <c r="Q111" s="99"/>
    </row>
    <row r="112" spans="1:17" x14ac:dyDescent="0.25">
      <c r="Q112" s="99"/>
    </row>
    <row r="113" spans="17:17" x14ac:dyDescent="0.25">
      <c r="Q113" s="99"/>
    </row>
    <row r="114" spans="17:17" x14ac:dyDescent="0.25">
      <c r="Q114" s="99"/>
    </row>
    <row r="115" spans="17:17" x14ac:dyDescent="0.25">
      <c r="Q115" s="99"/>
    </row>
    <row r="116" spans="17:17" x14ac:dyDescent="0.25">
      <c r="Q116" s="99"/>
    </row>
    <row r="117" spans="17:17" x14ac:dyDescent="0.25">
      <c r="Q117" s="99"/>
    </row>
    <row r="118" spans="17:17" x14ac:dyDescent="0.25">
      <c r="Q118" s="99"/>
    </row>
    <row r="119" spans="17:17" x14ac:dyDescent="0.25">
      <c r="Q119" s="99"/>
    </row>
    <row r="120" spans="17:17" x14ac:dyDescent="0.25">
      <c r="Q120" s="99"/>
    </row>
    <row r="121" spans="17:17" x14ac:dyDescent="0.25">
      <c r="Q121" s="99"/>
    </row>
    <row r="122" spans="17:17" x14ac:dyDescent="0.25">
      <c r="Q122" s="99"/>
    </row>
    <row r="123" spans="17:17" x14ac:dyDescent="0.25">
      <c r="Q123" s="99"/>
    </row>
    <row r="124" spans="17:17" x14ac:dyDescent="0.25">
      <c r="Q124" s="99"/>
    </row>
    <row r="125" spans="17:17" x14ac:dyDescent="0.25">
      <c r="Q125" s="99"/>
    </row>
    <row r="126" spans="17:17" x14ac:dyDescent="0.25">
      <c r="Q126" s="99"/>
    </row>
    <row r="127" spans="17:17" x14ac:dyDescent="0.25">
      <c r="Q127" s="99"/>
    </row>
    <row r="128" spans="17:17" x14ac:dyDescent="0.25">
      <c r="Q128" s="99"/>
    </row>
    <row r="129" spans="17:17" x14ac:dyDescent="0.25">
      <c r="Q129" s="99"/>
    </row>
    <row r="130" spans="17:17" x14ac:dyDescent="0.25">
      <c r="Q130" s="99"/>
    </row>
    <row r="131" spans="17:17" x14ac:dyDescent="0.25">
      <c r="Q131" s="99"/>
    </row>
    <row r="132" spans="17:17" x14ac:dyDescent="0.25">
      <c r="Q132" s="99"/>
    </row>
    <row r="133" spans="17:17" x14ac:dyDescent="0.25">
      <c r="Q133" s="99"/>
    </row>
    <row r="134" spans="17:17" x14ac:dyDescent="0.25">
      <c r="Q134" s="99"/>
    </row>
    <row r="135" spans="17:17" x14ac:dyDescent="0.25">
      <c r="Q135" s="99"/>
    </row>
    <row r="136" spans="17:17" x14ac:dyDescent="0.25">
      <c r="Q136" s="99"/>
    </row>
    <row r="137" spans="17:17" x14ac:dyDescent="0.25">
      <c r="Q137" s="99"/>
    </row>
    <row r="138" spans="17:17" x14ac:dyDescent="0.25">
      <c r="Q138" s="99"/>
    </row>
    <row r="139" spans="17:17" x14ac:dyDescent="0.25">
      <c r="Q139" s="99"/>
    </row>
    <row r="140" spans="17:17" x14ac:dyDescent="0.25">
      <c r="Q140" s="99"/>
    </row>
    <row r="141" spans="17:17" x14ac:dyDescent="0.25">
      <c r="Q141" s="99"/>
    </row>
    <row r="142" spans="17:17" x14ac:dyDescent="0.25">
      <c r="Q142" s="99"/>
    </row>
    <row r="143" spans="17:17" x14ac:dyDescent="0.25">
      <c r="Q143" s="99"/>
    </row>
    <row r="144" spans="17:17" x14ac:dyDescent="0.25">
      <c r="Q144" s="99"/>
    </row>
    <row r="145" spans="17:17" x14ac:dyDescent="0.25">
      <c r="Q145" s="99"/>
    </row>
    <row r="146" spans="17:17" x14ac:dyDescent="0.25">
      <c r="Q146" s="99"/>
    </row>
    <row r="147" spans="17:17" x14ac:dyDescent="0.25">
      <c r="Q147" s="99"/>
    </row>
    <row r="148" spans="17:17" x14ac:dyDescent="0.25">
      <c r="Q148" s="99"/>
    </row>
    <row r="149" spans="17:17" x14ac:dyDescent="0.25">
      <c r="Q149" s="99"/>
    </row>
    <row r="150" spans="17:17" x14ac:dyDescent="0.25">
      <c r="Q150" s="99"/>
    </row>
    <row r="151" spans="17:17" x14ac:dyDescent="0.25">
      <c r="Q151" s="99"/>
    </row>
    <row r="152" spans="17:17" x14ac:dyDescent="0.25">
      <c r="Q152" s="99"/>
    </row>
    <row r="153" spans="17:17" x14ac:dyDescent="0.25">
      <c r="Q153" s="99"/>
    </row>
    <row r="154" spans="17:17" x14ac:dyDescent="0.25">
      <c r="Q154" s="99"/>
    </row>
    <row r="155" spans="17:17" x14ac:dyDescent="0.25">
      <c r="Q155" s="99"/>
    </row>
    <row r="156" spans="17:17" x14ac:dyDescent="0.25">
      <c r="Q156" s="99"/>
    </row>
    <row r="157" spans="17:17" x14ac:dyDescent="0.25">
      <c r="Q157" s="99"/>
    </row>
    <row r="158" spans="17:17" x14ac:dyDescent="0.25">
      <c r="Q158" s="99"/>
    </row>
    <row r="159" spans="17:17" x14ac:dyDescent="0.25">
      <c r="Q159" s="99"/>
    </row>
    <row r="160" spans="17:17" x14ac:dyDescent="0.25">
      <c r="Q160" s="9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расчетОО </vt:lpstr>
      <vt:lpstr>коэффициенты</vt:lpstr>
      <vt:lpstr>ГОТОВ</vt:lpstr>
      <vt:lpstr>СТОПЛИСТ</vt:lpstr>
      <vt:lpstr>ПЕРЕСЧЕТ НЕ ТРЕБУЕТСЯ</vt:lpstr>
      <vt:lpstr>справочник ври</vt:lpstr>
      <vt:lpstr>модули</vt:lpstr>
      <vt:lpstr>количественные факторы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2021-06-07T11:01:26Z</dcterms:modified>
</cp:coreProperties>
</file>