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8800" windowHeight="12135"/>
  </bookViews>
  <sheets>
    <sheet name="расчетОО " sheetId="8" r:id="rId1"/>
    <sheet name="коэффициенты" sheetId="6" r:id="rId2"/>
    <sheet name="справочник ври" sheetId="11" r:id="rId3"/>
    <sheet name="ГОТОВ" sheetId="10" r:id="rId4"/>
    <sheet name="модули" sheetId="3" r:id="rId5"/>
    <sheet name="количественные факторы" sheetId="9" r:id="rId6"/>
  </sheets>
  <definedNames>
    <definedName name="_xlnm._FilterDatabase" localSheetId="0" hidden="1">'расчетОО '!$A$2:$CM$4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L6" i="8" l="1"/>
  <c r="CJ6" i="8"/>
  <c r="CE6" i="8"/>
  <c r="CB6" i="8"/>
  <c r="BY6" i="8"/>
  <c r="BU6" i="8"/>
  <c r="BV6" i="8" s="1"/>
  <c r="BR6" i="8"/>
  <c r="BW6" i="8" s="1"/>
  <c r="BX6" i="8" s="1"/>
  <c r="BQ6" i="8"/>
  <c r="BO6" i="8"/>
  <c r="BM6" i="8"/>
  <c r="BK6" i="8"/>
  <c r="BI6" i="8"/>
  <c r="BG6" i="8"/>
  <c r="BC6" i="8"/>
  <c r="BB6" i="8"/>
  <c r="BA6" i="8"/>
  <c r="CH6" i="8" s="1"/>
  <c r="CK6" i="8" s="1"/>
  <c r="CL5" i="8"/>
  <c r="CJ5" i="8"/>
  <c r="CE5" i="8"/>
  <c r="CB5" i="8"/>
  <c r="BY5" i="8"/>
  <c r="BV5" i="8"/>
  <c r="BU5" i="8"/>
  <c r="BR5" i="8"/>
  <c r="BW5" i="8" s="1"/>
  <c r="BX5" i="8" s="1"/>
  <c r="BQ5" i="8"/>
  <c r="BO5" i="8"/>
  <c r="BM5" i="8"/>
  <c r="BK5" i="8"/>
  <c r="BI5" i="8"/>
  <c r="BG5" i="8"/>
  <c r="BC5" i="8"/>
  <c r="BB5" i="8"/>
  <c r="BA5" i="8"/>
  <c r="CH5" i="8" s="1"/>
  <c r="CK5" i="8" s="1"/>
  <c r="BD6" i="8" l="1"/>
  <c r="BE6" i="8" s="1"/>
  <c r="BD5" i="8"/>
  <c r="BE5" i="8" s="1"/>
  <c r="BS5" i="8"/>
  <c r="BT5" i="8" s="1"/>
  <c r="BS6" i="8"/>
  <c r="BT6" i="8" s="1"/>
  <c r="BB4" i="8"/>
  <c r="BZ6" i="8" l="1"/>
  <c r="CC6" i="8" s="1"/>
  <c r="BZ5" i="8"/>
  <c r="CC5" i="8" s="1"/>
  <c r="CD5" i="8" s="1"/>
  <c r="CG5" i="8" s="1"/>
  <c r="CM6" i="8"/>
  <c r="CD6" i="8"/>
  <c r="CG6" i="8" s="1"/>
  <c r="CB4" i="8"/>
  <c r="CM5" i="8" l="1"/>
  <c r="CJ4" i="8"/>
  <c r="CL4" i="8" l="1"/>
  <c r="BA4" i="8" l="1"/>
  <c r="BU4" i="8"/>
  <c r="BR4" i="8"/>
  <c r="T78" i="3"/>
  <c r="U78" i="3" s="1"/>
  <c r="T77" i="3"/>
  <c r="U77" i="3" s="1"/>
  <c r="CH4" i="8" l="1"/>
  <c r="CK4" i="8" s="1"/>
  <c r="BW4" i="8"/>
  <c r="BC4" i="8" l="1"/>
  <c r="BV4" i="8" l="1"/>
  <c r="CE4" i="8"/>
  <c r="B99" i="3" l="1"/>
  <c r="B100" i="3"/>
  <c r="B102" i="3" l="1"/>
  <c r="I100" i="3"/>
  <c r="I99" i="3"/>
  <c r="W7" i="9"/>
  <c r="W6" i="9"/>
  <c r="I85" i="6" l="1"/>
  <c r="G86" i="6"/>
  <c r="M84" i="6"/>
  <c r="L84" i="6"/>
  <c r="K84" i="6"/>
  <c r="J84" i="6"/>
  <c r="K98" i="3"/>
  <c r="J100" i="3"/>
  <c r="K100" i="3" s="1"/>
  <c r="L100" i="3" s="1"/>
  <c r="J99" i="3"/>
  <c r="B103" i="3"/>
  <c r="I103" i="3" l="1"/>
  <c r="T81" i="3"/>
  <c r="BX4" i="8"/>
  <c r="K99" i="3"/>
  <c r="L99" i="3" s="1"/>
  <c r="M85" i="6" l="1"/>
  <c r="L85" i="6"/>
  <c r="K85" i="6"/>
  <c r="J85" i="6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V41" i="9"/>
  <c r="B41" i="9"/>
  <c r="V40" i="9"/>
  <c r="B40" i="9"/>
  <c r="V39" i="9"/>
  <c r="B39" i="9"/>
  <c r="V38" i="9"/>
  <c r="B38" i="9"/>
  <c r="V37" i="9"/>
  <c r="B37" i="9"/>
  <c r="V36" i="9"/>
  <c r="B36" i="9"/>
  <c r="V35" i="9"/>
  <c r="B35" i="9"/>
  <c r="V34" i="9"/>
  <c r="B34" i="9"/>
  <c r="V33" i="9"/>
  <c r="B33" i="9"/>
  <c r="V32" i="9"/>
  <c r="G32" i="9"/>
  <c r="B32" i="9"/>
  <c r="V31" i="9"/>
  <c r="G31" i="9"/>
  <c r="B31" i="9"/>
  <c r="V30" i="9"/>
  <c r="G30" i="9"/>
  <c r="B30" i="9"/>
  <c r="V29" i="9"/>
  <c r="G29" i="9"/>
  <c r="B29" i="9"/>
  <c r="V28" i="9"/>
  <c r="G28" i="9"/>
  <c r="B28" i="9"/>
  <c r="V27" i="9"/>
  <c r="G27" i="9"/>
  <c r="B27" i="9"/>
  <c r="V26" i="9"/>
  <c r="G26" i="9"/>
  <c r="B26" i="9"/>
  <c r="V25" i="9"/>
  <c r="G25" i="9"/>
  <c r="B25" i="9"/>
  <c r="V24" i="9"/>
  <c r="G24" i="9"/>
  <c r="B24" i="9"/>
  <c r="V23" i="9"/>
  <c r="G23" i="9"/>
  <c r="B23" i="9"/>
  <c r="V22" i="9"/>
  <c r="G22" i="9"/>
  <c r="B22" i="9"/>
  <c r="V21" i="9"/>
  <c r="G21" i="9"/>
  <c r="B21" i="9"/>
  <c r="V20" i="9"/>
  <c r="G20" i="9"/>
  <c r="B20" i="9"/>
  <c r="V19" i="9"/>
  <c r="G19" i="9"/>
  <c r="B19" i="9"/>
  <c r="V18" i="9"/>
  <c r="G18" i="9"/>
  <c r="B18" i="9"/>
  <c r="V17" i="9"/>
  <c r="G17" i="9"/>
  <c r="B17" i="9"/>
  <c r="V16" i="9"/>
  <c r="G16" i="9"/>
  <c r="B16" i="9"/>
  <c r="V15" i="9"/>
  <c r="G15" i="9"/>
  <c r="B15" i="9"/>
  <c r="V14" i="9"/>
  <c r="G14" i="9"/>
  <c r="B14" i="9"/>
  <c r="V13" i="9"/>
  <c r="G13" i="9"/>
  <c r="B13" i="9"/>
  <c r="G12" i="9"/>
  <c r="B12" i="9"/>
  <c r="G11" i="9"/>
  <c r="B11" i="9"/>
  <c r="G10" i="9"/>
  <c r="G9" i="9"/>
  <c r="B7" i="9"/>
  <c r="B98" i="9" s="1"/>
  <c r="Y6" i="9"/>
  <c r="W27" i="9" s="1"/>
  <c r="D6" i="9"/>
  <c r="B6" i="9"/>
  <c r="B10" i="9" s="1"/>
  <c r="A28" i="3"/>
  <c r="B28" i="3"/>
  <c r="C28" i="3" s="1"/>
  <c r="A29" i="3"/>
  <c r="B29" i="3"/>
  <c r="C29" i="3" s="1"/>
  <c r="A30" i="3"/>
  <c r="B30" i="3"/>
  <c r="C30" i="3" s="1"/>
  <c r="A31" i="3"/>
  <c r="B31" i="3"/>
  <c r="C31" i="3" s="1"/>
  <c r="A32" i="3"/>
  <c r="B32" i="3"/>
  <c r="C32" i="3" s="1"/>
  <c r="A33" i="3"/>
  <c r="B33" i="3"/>
  <c r="C33" i="3" s="1"/>
  <c r="A34" i="3"/>
  <c r="B34" i="3"/>
  <c r="C34" i="3" s="1"/>
  <c r="A35" i="3"/>
  <c r="B35" i="3"/>
  <c r="C35" i="3" s="1"/>
  <c r="A36" i="3"/>
  <c r="B36" i="3"/>
  <c r="C36" i="3" s="1"/>
  <c r="A37" i="3"/>
  <c r="B37" i="3"/>
  <c r="C37" i="3" s="1"/>
  <c r="A38" i="3"/>
  <c r="B38" i="3"/>
  <c r="C38" i="3" s="1"/>
  <c r="A39" i="3"/>
  <c r="B39" i="3"/>
  <c r="C39" i="3" s="1"/>
  <c r="A40" i="3"/>
  <c r="B40" i="3"/>
  <c r="C40" i="3" s="1"/>
  <c r="A41" i="3"/>
  <c r="B41" i="3"/>
  <c r="C41" i="3" s="1"/>
  <c r="B42" i="3"/>
  <c r="C42" i="3" s="1"/>
  <c r="A43" i="3"/>
  <c r="B43" i="3"/>
  <c r="C43" i="3" s="1"/>
  <c r="A44" i="3"/>
  <c r="B44" i="3"/>
  <c r="C44" i="3" s="1"/>
  <c r="A45" i="3"/>
  <c r="B45" i="3"/>
  <c r="C45" i="3" s="1"/>
  <c r="A46" i="3"/>
  <c r="B46" i="3"/>
  <c r="C46" i="3" s="1"/>
  <c r="A47" i="3"/>
  <c r="B47" i="3"/>
  <c r="C47" i="3" s="1"/>
  <c r="A48" i="3"/>
  <c r="B48" i="3"/>
  <c r="C48" i="3" s="1"/>
  <c r="A49" i="3"/>
  <c r="B49" i="3"/>
  <c r="C49" i="3" s="1"/>
  <c r="A50" i="3"/>
  <c r="B50" i="3"/>
  <c r="C50" i="3" s="1"/>
  <c r="A51" i="3"/>
  <c r="B51" i="3"/>
  <c r="C51" i="3" s="1"/>
  <c r="A52" i="3"/>
  <c r="B52" i="3"/>
  <c r="C52" i="3" s="1"/>
  <c r="A53" i="3"/>
  <c r="B53" i="3"/>
  <c r="C53" i="3" s="1"/>
  <c r="A54" i="3"/>
  <c r="B54" i="3"/>
  <c r="C54" i="3" s="1"/>
  <c r="A55" i="3"/>
  <c r="B55" i="3"/>
  <c r="C55" i="3" s="1"/>
  <c r="A56" i="3"/>
  <c r="B56" i="3"/>
  <c r="C56" i="3" s="1"/>
  <c r="A57" i="3"/>
  <c r="B57" i="3"/>
  <c r="C57" i="3" s="1"/>
  <c r="A58" i="3"/>
  <c r="B58" i="3"/>
  <c r="C58" i="3" s="1"/>
  <c r="A59" i="3"/>
  <c r="B59" i="3"/>
  <c r="C59" i="3" s="1"/>
  <c r="A60" i="3"/>
  <c r="B60" i="3"/>
  <c r="C60" i="3" s="1"/>
  <c r="A61" i="3"/>
  <c r="B61" i="3"/>
  <c r="C61" i="3" s="1"/>
  <c r="A62" i="3"/>
  <c r="B62" i="3"/>
  <c r="C62" i="3" s="1"/>
  <c r="A63" i="3"/>
  <c r="B63" i="3"/>
  <c r="C63" i="3" s="1"/>
  <c r="A64" i="3"/>
  <c r="B64" i="3"/>
  <c r="C64" i="3" s="1"/>
  <c r="A65" i="3"/>
  <c r="B65" i="3"/>
  <c r="C65" i="3" s="1"/>
  <c r="A66" i="3"/>
  <c r="B66" i="3"/>
  <c r="C66" i="3" s="1"/>
  <c r="A67" i="3"/>
  <c r="B67" i="3"/>
  <c r="C67" i="3" s="1"/>
  <c r="A68" i="3"/>
  <c r="B68" i="3"/>
  <c r="C68" i="3" s="1"/>
  <c r="A69" i="3"/>
  <c r="B69" i="3"/>
  <c r="C69" i="3" s="1"/>
  <c r="A70" i="3"/>
  <c r="B70" i="3"/>
  <c r="C70" i="3" s="1"/>
  <c r="A71" i="3"/>
  <c r="B71" i="3"/>
  <c r="C71" i="3" s="1"/>
  <c r="A72" i="3"/>
  <c r="B72" i="3"/>
  <c r="C72" i="3" s="1"/>
  <c r="A73" i="3"/>
  <c r="B73" i="3"/>
  <c r="C73" i="3" s="1"/>
  <c r="A74" i="3"/>
  <c r="B74" i="3"/>
  <c r="C74" i="3" s="1"/>
  <c r="A75" i="3"/>
  <c r="B75" i="3"/>
  <c r="C75" i="3" s="1"/>
  <c r="A76" i="3"/>
  <c r="B76" i="3"/>
  <c r="C76" i="3" s="1"/>
  <c r="A77" i="3"/>
  <c r="B77" i="3"/>
  <c r="C77" i="3" s="1"/>
  <c r="A78" i="3"/>
  <c r="B78" i="3"/>
  <c r="C78" i="3" s="1"/>
  <c r="A79" i="3"/>
  <c r="B79" i="3"/>
  <c r="C79" i="3" s="1"/>
  <c r="A80" i="3"/>
  <c r="B80" i="3"/>
  <c r="C80" i="3" s="1"/>
  <c r="A81" i="3"/>
  <c r="B81" i="3"/>
  <c r="C81" i="3" s="1"/>
  <c r="A82" i="3"/>
  <c r="B82" i="3"/>
  <c r="C82" i="3" s="1"/>
  <c r="A83" i="3"/>
  <c r="B83" i="3"/>
  <c r="C83" i="3" s="1"/>
  <c r="A84" i="3"/>
  <c r="B84" i="3"/>
  <c r="C84" i="3" s="1"/>
  <c r="A85" i="3"/>
  <c r="B85" i="3"/>
  <c r="C85" i="3" s="1"/>
  <c r="A86" i="3"/>
  <c r="B86" i="3"/>
  <c r="C86" i="3" s="1"/>
  <c r="A87" i="3"/>
  <c r="B87" i="3"/>
  <c r="C87" i="3" s="1"/>
  <c r="A88" i="3"/>
  <c r="B88" i="3"/>
  <c r="C88" i="3" s="1"/>
  <c r="A89" i="3"/>
  <c r="B89" i="3"/>
  <c r="C89" i="3" s="1"/>
  <c r="A90" i="3"/>
  <c r="B90" i="3"/>
  <c r="C90" i="3" s="1"/>
  <c r="B27" i="3"/>
  <c r="A27" i="3"/>
  <c r="G83" i="6"/>
  <c r="D90" i="3" s="1"/>
  <c r="G82" i="6"/>
  <c r="D89" i="3" s="1"/>
  <c r="G81" i="6"/>
  <c r="D88" i="3" s="1"/>
  <c r="G80" i="6"/>
  <c r="D87" i="3" s="1"/>
  <c r="G79" i="6"/>
  <c r="D86" i="3" s="1"/>
  <c r="G78" i="6"/>
  <c r="D85" i="3" s="1"/>
  <c r="F77" i="6"/>
  <c r="G77" i="6" s="1"/>
  <c r="D84" i="3" s="1"/>
  <c r="G76" i="6"/>
  <c r="D83" i="3" s="1"/>
  <c r="G75" i="6"/>
  <c r="D82" i="3" s="1"/>
  <c r="G74" i="6"/>
  <c r="D81" i="3" s="1"/>
  <c r="F73" i="6"/>
  <c r="G73" i="6" s="1"/>
  <c r="D80" i="3" s="1"/>
  <c r="G72" i="6"/>
  <c r="D79" i="3" s="1"/>
  <c r="G71" i="6"/>
  <c r="D78" i="3" s="1"/>
  <c r="G70" i="6"/>
  <c r="D77" i="3" s="1"/>
  <c r="G69" i="6"/>
  <c r="D76" i="3" s="1"/>
  <c r="F68" i="6"/>
  <c r="G68" i="6" s="1"/>
  <c r="D75" i="3" s="1"/>
  <c r="F67" i="6"/>
  <c r="G67" i="6" s="1"/>
  <c r="D74" i="3" s="1"/>
  <c r="F66" i="6"/>
  <c r="G66" i="6" s="1"/>
  <c r="D73" i="3" s="1"/>
  <c r="G65" i="6"/>
  <c r="D72" i="3" s="1"/>
  <c r="G64" i="6"/>
  <c r="D71" i="3" s="1"/>
  <c r="G63" i="6"/>
  <c r="D70" i="3" s="1"/>
  <c r="G62" i="6"/>
  <c r="D69" i="3" s="1"/>
  <c r="G61" i="6"/>
  <c r="D68" i="3" s="1"/>
  <c r="G60" i="6"/>
  <c r="D67" i="3" s="1"/>
  <c r="G59" i="6"/>
  <c r="D66" i="3" s="1"/>
  <c r="G58" i="6"/>
  <c r="D65" i="3" s="1"/>
  <c r="G57" i="6"/>
  <c r="D64" i="3" s="1"/>
  <c r="G56" i="6"/>
  <c r="D63" i="3" s="1"/>
  <c r="G55" i="6"/>
  <c r="D62" i="3" s="1"/>
  <c r="G54" i="6"/>
  <c r="D61" i="3" s="1"/>
  <c r="G53" i="6"/>
  <c r="D60" i="3" s="1"/>
  <c r="G52" i="6"/>
  <c r="D59" i="3" s="1"/>
  <c r="G51" i="6"/>
  <c r="D58" i="3" s="1"/>
  <c r="G50" i="6"/>
  <c r="D57" i="3" s="1"/>
  <c r="G49" i="6"/>
  <c r="D56" i="3" s="1"/>
  <c r="G48" i="6"/>
  <c r="D55" i="3" s="1"/>
  <c r="G47" i="6"/>
  <c r="D54" i="3" s="1"/>
  <c r="G46" i="6"/>
  <c r="D53" i="3" s="1"/>
  <c r="G45" i="6"/>
  <c r="D52" i="3" s="1"/>
  <c r="G44" i="6"/>
  <c r="D51" i="3" s="1"/>
  <c r="G43" i="6"/>
  <c r="D50" i="3" s="1"/>
  <c r="G42" i="6"/>
  <c r="D49" i="3" s="1"/>
  <c r="G41" i="6"/>
  <c r="D48" i="3" s="1"/>
  <c r="G40" i="6"/>
  <c r="D47" i="3" s="1"/>
  <c r="G39" i="6"/>
  <c r="D46" i="3" s="1"/>
  <c r="G38" i="6"/>
  <c r="D45" i="3" s="1"/>
  <c r="G37" i="6"/>
  <c r="D44" i="3" s="1"/>
  <c r="G36" i="6"/>
  <c r="D43" i="3" s="1"/>
  <c r="G35" i="6"/>
  <c r="G34" i="6"/>
  <c r="G33" i="6"/>
  <c r="G32" i="6"/>
  <c r="G31" i="6"/>
  <c r="G30" i="6"/>
  <c r="G29" i="6"/>
  <c r="G28" i="6"/>
  <c r="G27" i="6"/>
  <c r="G26" i="6"/>
  <c r="G25" i="6"/>
  <c r="G24" i="6"/>
  <c r="P23" i="6"/>
  <c r="G23" i="6"/>
  <c r="P22" i="6"/>
  <c r="G22" i="6"/>
  <c r="P21" i="6"/>
  <c r="G21" i="6"/>
  <c r="P20" i="6"/>
  <c r="G20" i="6"/>
  <c r="P19" i="6"/>
  <c r="G19" i="6"/>
  <c r="P18" i="6"/>
  <c r="G18" i="6"/>
  <c r="P17" i="6"/>
  <c r="G17" i="6"/>
  <c r="P16" i="6"/>
  <c r="G16" i="6"/>
  <c r="P15" i="6"/>
  <c r="G15" i="6"/>
  <c r="P14" i="6"/>
  <c r="G14" i="6"/>
  <c r="P13" i="6"/>
  <c r="G13" i="6"/>
  <c r="P12" i="6"/>
  <c r="G12" i="6"/>
  <c r="P11" i="6"/>
  <c r="G11" i="6"/>
  <c r="P10" i="6"/>
  <c r="G10" i="6"/>
  <c r="P9" i="6"/>
  <c r="G9" i="6"/>
  <c r="F8" i="6"/>
  <c r="G8" i="6" s="1"/>
  <c r="P7" i="6"/>
  <c r="G7" i="6"/>
  <c r="P6" i="6"/>
  <c r="G6" i="6"/>
  <c r="P5" i="6"/>
  <c r="G5" i="6"/>
  <c r="P4" i="6"/>
  <c r="G4" i="6"/>
  <c r="P3" i="6"/>
  <c r="G3" i="6"/>
  <c r="G2" i="6"/>
  <c r="BY4" i="8" l="1"/>
  <c r="BS4" i="8"/>
  <c r="BT4" i="8" s="1"/>
  <c r="C98" i="9"/>
  <c r="D40" i="3"/>
  <c r="D36" i="3"/>
  <c r="D32" i="3"/>
  <c r="D28" i="3"/>
  <c r="B9" i="9"/>
  <c r="C30" i="9"/>
  <c r="D27" i="3"/>
  <c r="D41" i="3"/>
  <c r="D37" i="3"/>
  <c r="D33" i="3"/>
  <c r="D29" i="3"/>
  <c r="D42" i="3"/>
  <c r="D38" i="3"/>
  <c r="D34" i="3"/>
  <c r="D30" i="3"/>
  <c r="W30" i="9"/>
  <c r="Y10" i="9"/>
  <c r="Y12" i="9"/>
  <c r="Y14" i="9"/>
  <c r="Y16" i="9"/>
  <c r="Y18" i="9"/>
  <c r="Y20" i="9"/>
  <c r="Y22" i="9"/>
  <c r="Y24" i="9"/>
  <c r="Y26" i="9"/>
  <c r="Y28" i="9"/>
  <c r="Y30" i="9"/>
  <c r="X11" i="9"/>
  <c r="X13" i="9"/>
  <c r="X15" i="9"/>
  <c r="X17" i="9"/>
  <c r="X19" i="9"/>
  <c r="X21" i="9"/>
  <c r="X23" i="9"/>
  <c r="X25" i="9"/>
  <c r="X27" i="9"/>
  <c r="X29" i="9"/>
  <c r="X31" i="9"/>
  <c r="Y11" i="9"/>
  <c r="Y13" i="9"/>
  <c r="Y15" i="9"/>
  <c r="Y17" i="9"/>
  <c r="Y19" i="9"/>
  <c r="Y21" i="9"/>
  <c r="Y23" i="9"/>
  <c r="Y25" i="9"/>
  <c r="Y29" i="9"/>
  <c r="X10" i="9"/>
  <c r="X12" i="9"/>
  <c r="X14" i="9"/>
  <c r="X16" i="9"/>
  <c r="X18" i="9"/>
  <c r="X20" i="9"/>
  <c r="X22" i="9"/>
  <c r="X24" i="9"/>
  <c r="X26" i="9"/>
  <c r="X28" i="9"/>
  <c r="X30" i="9"/>
  <c r="X9" i="9"/>
  <c r="Y27" i="9"/>
  <c r="Y31" i="9"/>
  <c r="W31" i="9"/>
  <c r="D39" i="3"/>
  <c r="D35" i="3"/>
  <c r="D31" i="3"/>
  <c r="B89" i="9"/>
  <c r="G94" i="3"/>
  <c r="B94" i="3"/>
  <c r="C94" i="3" s="1"/>
  <c r="D94" i="3" s="1"/>
  <c r="B91" i="9"/>
  <c r="B93" i="9"/>
  <c r="B95" i="9"/>
  <c r="B97" i="9"/>
  <c r="C9" i="9"/>
  <c r="F9" i="9" s="1"/>
  <c r="C11" i="9"/>
  <c r="C13" i="9"/>
  <c r="F11" i="9" s="1"/>
  <c r="W13" i="9"/>
  <c r="C15" i="9"/>
  <c r="W15" i="9"/>
  <c r="C17" i="9"/>
  <c r="W17" i="9"/>
  <c r="C19" i="9"/>
  <c r="W19" i="9"/>
  <c r="C21" i="9"/>
  <c r="W21" i="9"/>
  <c r="C23" i="9"/>
  <c r="F13" i="9" s="1"/>
  <c r="W23" i="9"/>
  <c r="C25" i="9"/>
  <c r="W25" i="9"/>
  <c r="C27" i="9"/>
  <c r="W28" i="9"/>
  <c r="C31" i="9"/>
  <c r="W32" i="9"/>
  <c r="W33" i="9"/>
  <c r="W34" i="9"/>
  <c r="W35" i="9"/>
  <c r="W36" i="9"/>
  <c r="W37" i="9"/>
  <c r="W38" i="9"/>
  <c r="W39" i="9"/>
  <c r="W40" i="9"/>
  <c r="W41" i="9"/>
  <c r="C43" i="9"/>
  <c r="F17" i="9" s="1"/>
  <c r="C45" i="9"/>
  <c r="C47" i="9"/>
  <c r="C49" i="9"/>
  <c r="C51" i="9"/>
  <c r="C53" i="9"/>
  <c r="F19" i="9" s="1"/>
  <c r="C55" i="9"/>
  <c r="C57" i="9"/>
  <c r="C59" i="9"/>
  <c r="C61" i="9"/>
  <c r="C63" i="9"/>
  <c r="F21" i="9" s="1"/>
  <c r="C65" i="9"/>
  <c r="C67" i="9"/>
  <c r="C69" i="9"/>
  <c r="C71" i="9"/>
  <c r="C73" i="9"/>
  <c r="F23" i="9" s="1"/>
  <c r="C75" i="9"/>
  <c r="C77" i="9"/>
  <c r="C79" i="9"/>
  <c r="C81" i="9"/>
  <c r="C83" i="9"/>
  <c r="F25" i="9" s="1"/>
  <c r="C85" i="9"/>
  <c r="C87" i="9"/>
  <c r="C89" i="9"/>
  <c r="C91" i="9"/>
  <c r="C93" i="9"/>
  <c r="C95" i="9"/>
  <c r="C97" i="9"/>
  <c r="C28" i="9"/>
  <c r="F14" i="9" s="1"/>
  <c r="W29" i="9"/>
  <c r="C32" i="9"/>
  <c r="B90" i="9"/>
  <c r="B92" i="9"/>
  <c r="B94" i="9"/>
  <c r="B96" i="9"/>
  <c r="C10" i="9"/>
  <c r="F10" i="9" s="1"/>
  <c r="C12" i="9"/>
  <c r="C14" i="9"/>
  <c r="W14" i="9"/>
  <c r="C16" i="9"/>
  <c r="W16" i="9"/>
  <c r="C18" i="9"/>
  <c r="F12" i="9" s="1"/>
  <c r="W18" i="9"/>
  <c r="C20" i="9"/>
  <c r="W20" i="9"/>
  <c r="C22" i="9"/>
  <c r="W22" i="9"/>
  <c r="C24" i="9"/>
  <c r="W24" i="9"/>
  <c r="C26" i="9"/>
  <c r="W26" i="9"/>
  <c r="C29" i="9"/>
  <c r="C33" i="9"/>
  <c r="F15" i="9" s="1"/>
  <c r="C34" i="9"/>
  <c r="C35" i="9"/>
  <c r="C36" i="9"/>
  <c r="C37" i="9"/>
  <c r="C38" i="9"/>
  <c r="F16" i="9" s="1"/>
  <c r="C39" i="9"/>
  <c r="C40" i="9"/>
  <c r="C41" i="9"/>
  <c r="C42" i="9"/>
  <c r="C44" i="9"/>
  <c r="C46" i="9"/>
  <c r="C48" i="9"/>
  <c r="F18" i="9" s="1"/>
  <c r="C50" i="9"/>
  <c r="C52" i="9"/>
  <c r="C54" i="9"/>
  <c r="C56" i="9"/>
  <c r="C58" i="9"/>
  <c r="F20" i="9" s="1"/>
  <c r="C60" i="9"/>
  <c r="C62" i="9"/>
  <c r="C64" i="9"/>
  <c r="C66" i="9"/>
  <c r="C68" i="9"/>
  <c r="F22" i="9" s="1"/>
  <c r="C70" i="9"/>
  <c r="C72" i="9"/>
  <c r="C74" i="9"/>
  <c r="C76" i="9"/>
  <c r="C78" i="9"/>
  <c r="F24" i="9" s="1"/>
  <c r="C80" i="9"/>
  <c r="C82" i="9"/>
  <c r="C84" i="9"/>
  <c r="C86" i="9"/>
  <c r="C88" i="9"/>
  <c r="F26" i="9" s="1"/>
  <c r="C90" i="9"/>
  <c r="C92" i="9"/>
  <c r="C94" i="9"/>
  <c r="C96" i="9"/>
  <c r="C27" i="3"/>
  <c r="V20" i="3" l="1"/>
  <c r="X18" i="3"/>
  <c r="X17" i="3"/>
  <c r="R20" i="3"/>
  <c r="S20" i="3" s="1"/>
  <c r="N20" i="3"/>
  <c r="X16" i="3"/>
  <c r="X15" i="3"/>
  <c r="X14" i="3"/>
  <c r="X13" i="3"/>
  <c r="X12" i="3"/>
  <c r="X11" i="3"/>
  <c r="X10" i="3"/>
  <c r="X9" i="3"/>
  <c r="X8" i="3"/>
  <c r="BQ4" i="8" l="1"/>
  <c r="X20" i="3"/>
  <c r="W20" i="3"/>
  <c r="T16" i="3" l="1"/>
  <c r="T15" i="3"/>
  <c r="T14" i="3"/>
  <c r="T13" i="3"/>
  <c r="T12" i="3"/>
  <c r="T11" i="3"/>
  <c r="T10" i="3"/>
  <c r="T9" i="3"/>
  <c r="T8" i="3"/>
  <c r="P18" i="3"/>
  <c r="P17" i="3"/>
  <c r="P16" i="3"/>
  <c r="P15" i="3"/>
  <c r="P14" i="3"/>
  <c r="P13" i="3"/>
  <c r="P12" i="3"/>
  <c r="P11" i="3"/>
  <c r="P10" i="3"/>
  <c r="P9" i="3"/>
  <c r="P8" i="3"/>
  <c r="L17" i="3"/>
  <c r="L16" i="3"/>
  <c r="L18" i="3"/>
  <c r="L15" i="3"/>
  <c r="L14" i="3"/>
  <c r="L13" i="3"/>
  <c r="L12" i="3"/>
  <c r="L11" i="3"/>
  <c r="L10" i="3"/>
  <c r="L9" i="3"/>
  <c r="L8" i="3"/>
  <c r="H17" i="3"/>
  <c r="H16" i="3"/>
  <c r="H18" i="3"/>
  <c r="H15" i="3"/>
  <c r="H14" i="3"/>
  <c r="H13" i="3"/>
  <c r="H12" i="3"/>
  <c r="H11" i="3"/>
  <c r="H10" i="3"/>
  <c r="H9" i="3"/>
  <c r="H8" i="3"/>
  <c r="D17" i="3"/>
  <c r="D16" i="3"/>
  <c r="D18" i="3"/>
  <c r="D15" i="3"/>
  <c r="D14" i="3"/>
  <c r="D13" i="3"/>
  <c r="D12" i="3"/>
  <c r="D11" i="3"/>
  <c r="D10" i="3"/>
  <c r="D9" i="3"/>
  <c r="D8" i="3"/>
  <c r="BM4" i="8" l="1"/>
  <c r="BK4" i="8"/>
  <c r="BI4" i="8"/>
  <c r="BG4" i="8"/>
  <c r="BO4" i="8"/>
  <c r="T20" i="3"/>
  <c r="M37" i="3"/>
  <c r="M40" i="3" s="1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J26" i="3"/>
  <c r="J24" i="3"/>
  <c r="A24" i="3"/>
  <c r="D26" i="3"/>
  <c r="B26" i="3"/>
  <c r="A26" i="3"/>
  <c r="BD4" i="8" l="1"/>
  <c r="BE4" i="8" s="1"/>
  <c r="BZ4" i="8" s="1"/>
  <c r="CC4" i="8" s="1"/>
  <c r="CM4" i="8" s="1"/>
  <c r="L40" i="3"/>
  <c r="L39" i="3"/>
  <c r="M39" i="3" s="1"/>
  <c r="CD4" i="8" l="1"/>
  <c r="CG4" i="8" s="1"/>
  <c r="F20" i="3"/>
  <c r="H20" i="3" s="1"/>
  <c r="B20" i="3" l="1"/>
  <c r="D20" i="3" l="1"/>
  <c r="C20" i="3"/>
  <c r="G20" i="3" l="1"/>
  <c r="J20" i="3" l="1"/>
  <c r="L20" i="3" s="1"/>
  <c r="K20" i="3" l="1"/>
  <c r="P20" i="3"/>
  <c r="O20" i="3" l="1"/>
  <c r="W12" i="9" l="1"/>
  <c r="V12" i="9"/>
  <c r="V11" i="9"/>
  <c r="V9" i="9"/>
  <c r="V10" i="9"/>
  <c r="W9" i="9"/>
  <c r="W10" i="9"/>
  <c r="Y9" i="9"/>
  <c r="W11" i="9"/>
</calcChain>
</file>

<file path=xl/sharedStrings.xml><?xml version="1.0" encoding="utf-8"?>
<sst xmlns="http://schemas.openxmlformats.org/spreadsheetml/2006/main" count="15424" uniqueCount="7956">
  <si>
    <t>gr1</t>
  </si>
  <si>
    <t>gr3</t>
  </si>
  <si>
    <t>gr4</t>
  </si>
  <si>
    <t>Газоснабжение</t>
  </si>
  <si>
    <t>Наличие газоснабжения</t>
  </si>
  <si>
    <t>YS</t>
  </si>
  <si>
    <t>VZ</t>
  </si>
  <si>
    <t>NO</t>
  </si>
  <si>
    <t>Электроснабжение</t>
  </si>
  <si>
    <t>Наличие электроснабжения</t>
  </si>
  <si>
    <t>Наличие водоснабжения</t>
  </si>
  <si>
    <t>Наличие</t>
  </si>
  <si>
    <t>Отсутствие</t>
  </si>
  <si>
    <t>Наличие водоотведения</t>
  </si>
  <si>
    <t>Отсутствие ЛЭП</t>
  </si>
  <si>
    <t>Зона влияния ИЖС</t>
  </si>
  <si>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</si>
  <si>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</si>
  <si>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</si>
  <si>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</si>
  <si>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13:021</t>
  </si>
  <si>
    <t>отсутствие</t>
  </si>
  <si>
    <t>наличие</t>
  </si>
  <si>
    <t>Водоснабжение</t>
  </si>
  <si>
    <t>Отсутствие водоснабжения</t>
  </si>
  <si>
    <t>Водоотведение</t>
  </si>
  <si>
    <t>Отсутствие водоотведения</t>
  </si>
  <si>
    <t>ЛЭП над участком (ЦФ)</t>
  </si>
  <si>
    <t>loc_factor_825</t>
  </si>
  <si>
    <t>loc_factor_804</t>
  </si>
  <si>
    <t>loc_factor_826</t>
  </si>
  <si>
    <t>loc_factor_829</t>
  </si>
  <si>
    <t>пересечение</t>
  </si>
  <si>
    <t>есть</t>
  </si>
  <si>
    <t>Есть</t>
  </si>
  <si>
    <t>нет</t>
  </si>
  <si>
    <t>Нет</t>
  </si>
  <si>
    <t>семантика</t>
  </si>
  <si>
    <t>точное совпадение</t>
  </si>
  <si>
    <t>правило</t>
  </si>
  <si>
    <t>иное(возможность)</t>
  </si>
  <si>
    <t>Наличие ЛЭП</t>
  </si>
  <si>
    <t>13:031</t>
  </si>
  <si>
    <t>02:011</t>
  </si>
  <si>
    <t>Водоотведение (ЦФ)</t>
  </si>
  <si>
    <t>Газоснабжение (ЦФ)</t>
  </si>
  <si>
    <t>Отсутствие газоснабжения</t>
  </si>
  <si>
    <t>Электроснабжение (ЦФ)</t>
  </si>
  <si>
    <t>Водоснабжение (ЦФ)</t>
  </si>
  <si>
    <t>Отсутствие электроснабжения</t>
  </si>
  <si>
    <t>Индивидуальное жилищное строительство в целом</t>
  </si>
  <si>
    <t>02:010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</si>
  <si>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</t>
  </si>
  <si>
    <t>Размещение индивидуального жилого дома в организованных коттеджных поселках</t>
  </si>
  <si>
    <t>02:019</t>
  </si>
  <si>
    <t>Ведение личного подсобного хозяйства с правом застройки в целом</t>
  </si>
  <si>
    <t>02:020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</si>
  <si>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</t>
  </si>
  <si>
    <t>02:021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</si>
  <si>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</t>
  </si>
  <si>
    <t>02:023</t>
  </si>
  <si>
    <t>Ведение садоводства. Осуществление отдыха и (или) деятельности, связанной с выращиванием гражданами для собственных нужд сельскохозяйственных культур; размещение садовых домов, жилых домов, размещение для собственных нужд гаражей и иных хозяйственных пос</t>
  </si>
  <si>
    <t>Ведение огородничества.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</t>
  </si>
  <si>
    <t>13:011</t>
  </si>
  <si>
    <t>Ведение дачного хозяйства. Размещение жилого дачного дома, не предназначенного для раздела на квартиры, пригодного для отдыха и проживания, высотой не выше трех надземных этажей</t>
  </si>
  <si>
    <t>Блокированная жилая застройка в целом</t>
  </si>
  <si>
    <t>02:030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</si>
  <si>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</t>
  </si>
  <si>
    <t>02:031</t>
  </si>
  <si>
    <t>Вид разрешенного использования</t>
  </si>
  <si>
    <t>Зона влияния для ИЖС (ЦФ)</t>
  </si>
  <si>
    <t>Модуль</t>
  </si>
  <si>
    <t>контрольный образец</t>
  </si>
  <si>
    <t>Есть подъезд</t>
  </si>
  <si>
    <t>отсыпанная</t>
  </si>
  <si>
    <t>Наличие подъезда</t>
  </si>
  <si>
    <t>Отсутствие подъезда</t>
  </si>
  <si>
    <t>Наличие подъезда (ЦФ)</t>
  </si>
  <si>
    <t>ЛЭП над участком</t>
  </si>
  <si>
    <t>Подъезд к участку</t>
  </si>
  <si>
    <t>Садовые объединения</t>
  </si>
  <si>
    <t>Дачные и коттеджные объединения</t>
  </si>
  <si>
    <t>Индивидуальные поселения</t>
  </si>
  <si>
    <t>Подъезд к участку (ЦФ)</t>
  </si>
  <si>
    <t>расшифровка ВРИ</t>
  </si>
  <si>
    <t>код ВРИ</t>
  </si>
  <si>
    <t>ss</t>
  </si>
  <si>
    <t>Юг</t>
  </si>
  <si>
    <t>грунтовая</t>
  </si>
  <si>
    <t>асфальт</t>
  </si>
  <si>
    <t>loc_factor_840</t>
  </si>
  <si>
    <t>Ошибка определения</t>
  </si>
  <si>
    <t>Пересечение</t>
  </si>
  <si>
    <t>Возможность подключения газоснабжения</t>
  </si>
  <si>
    <t>текст</t>
  </si>
  <si>
    <t>Градации (код)</t>
  </si>
  <si>
    <t>Возможные градации (описание)</t>
  </si>
  <si>
    <t>!MST!</t>
  </si>
  <si>
    <t>возможность</t>
  </si>
  <si>
    <t>Возможность подключения электроснабжения</t>
  </si>
  <si>
    <t>иное</t>
  </si>
  <si>
    <t>рядом</t>
  </si>
  <si>
    <t>Номер модели</t>
  </si>
  <si>
    <t>Фактор</t>
  </si>
  <si>
    <t>Тип фактора</t>
  </si>
  <si>
    <t>Значение коэффициента регрессора в мультипликативной модели</t>
  </si>
  <si>
    <t>Значение градации</t>
  </si>
  <si>
    <t>Признак типовой зоны</t>
  </si>
  <si>
    <t>Коэффициент регрессора</t>
  </si>
  <si>
    <t>Минимальное значение числовой переменной</t>
  </si>
  <si>
    <t>Максимальное значение числовой переменной</t>
  </si>
  <si>
    <t>Максимальное значение фактора</t>
  </si>
  <si>
    <t>Миниимальное значение фактора</t>
  </si>
  <si>
    <t>№ Фактора в модели</t>
  </si>
  <si>
    <t>Не знаю что это такое</t>
  </si>
  <si>
    <t>Качественный</t>
  </si>
  <si>
    <t>V1</t>
  </si>
  <si>
    <t>V2</t>
  </si>
  <si>
    <t>V3</t>
  </si>
  <si>
    <t>V4</t>
  </si>
  <si>
    <t>V5</t>
  </si>
  <si>
    <t>V6</t>
  </si>
  <si>
    <t>V7</t>
  </si>
  <si>
    <t>V8</t>
  </si>
  <si>
    <t>Общая площадь</t>
  </si>
  <si>
    <t>количественный</t>
  </si>
  <si>
    <t>Это аппрокисимирующая функция, учитывет коэффициент регрессора</t>
  </si>
  <si>
    <t>V9</t>
  </si>
  <si>
    <t>V10</t>
  </si>
  <si>
    <t>Уторгование</t>
  </si>
  <si>
    <t>коэффициент вне модели</t>
  </si>
  <si>
    <t>Наличие уторгования</t>
  </si>
  <si>
    <t>V11</t>
  </si>
  <si>
    <t>Отсутствие  уторгования</t>
  </si>
  <si>
    <t>площадь</t>
  </si>
  <si>
    <t>расстояние</t>
  </si>
  <si>
    <t>Площадь (ЦФ)</t>
  </si>
  <si>
    <t>loc_factor_822</t>
  </si>
  <si>
    <t>loc_factor_828</t>
  </si>
  <si>
    <t>loc_factor_803</t>
  </si>
  <si>
    <t>loc_factor_807</t>
  </si>
  <si>
    <t>loc_factor_827</t>
  </si>
  <si>
    <t>Specific_CadastralCost</t>
  </si>
  <si>
    <t>CadastralCost</t>
  </si>
  <si>
    <t>id_group</t>
  </si>
  <si>
    <t>CadastralCostDesc</t>
  </si>
  <si>
    <t>Уторгование (ЦФ)</t>
  </si>
  <si>
    <t>коэффициент</t>
  </si>
  <si>
    <t>УПС</t>
  </si>
  <si>
    <t>Общая стоимость</t>
  </si>
  <si>
    <t>Формулы</t>
  </si>
  <si>
    <t>значение аппроксимирующей функции</t>
  </si>
  <si>
    <t>значение</t>
  </si>
  <si>
    <t xml:space="preserve"> LN</t>
  </si>
  <si>
    <t>(LN*cnst)</t>
  </si>
  <si>
    <t>EXP(LN*cnst)</t>
  </si>
  <si>
    <t>cnst</t>
  </si>
  <si>
    <t>верхняя граница</t>
  </si>
  <si>
    <t>нижняя граница</t>
  </si>
  <si>
    <t>контрольная функция из листа "количественные факторы"</t>
  </si>
  <si>
    <t>расчетные коэффициенты по модели</t>
  </si>
  <si>
    <t>коэффициент по расстоянию</t>
  </si>
  <si>
    <t>коэффициент по площади</t>
  </si>
  <si>
    <t>граничные значения</t>
  </si>
  <si>
    <t>площадь, кв.м.</t>
  </si>
  <si>
    <t>исходная функция (желтая)</t>
  </si>
  <si>
    <t>экспонированная функция (синяя)</t>
  </si>
  <si>
    <t>аппроксимирующая функция (серая)</t>
  </si>
  <si>
    <t>контроьные значения аппроксимирующей</t>
  </si>
  <si>
    <t xml:space="preserve"> график в отчет</t>
  </si>
  <si>
    <t>график в отчет</t>
  </si>
  <si>
    <t>aram_1</t>
  </si>
  <si>
    <t>Арамильский_1</t>
  </si>
  <si>
    <t>aram_2</t>
  </si>
  <si>
    <t>Арамильский_2</t>
  </si>
  <si>
    <t>Belo_1</t>
  </si>
  <si>
    <t>Белоярский_1</t>
  </si>
  <si>
    <t>Belo_10</t>
  </si>
  <si>
    <t>Белоярский_10</t>
  </si>
  <si>
    <t>Belo_11</t>
  </si>
  <si>
    <t>Белоярский_11</t>
  </si>
  <si>
    <t>Belo_12</t>
  </si>
  <si>
    <t>Белоярский_12</t>
  </si>
  <si>
    <t>Belo_2</t>
  </si>
  <si>
    <t>Белоярский_2</t>
  </si>
  <si>
    <t>Belo_3</t>
  </si>
  <si>
    <t>Белоярский_3</t>
  </si>
  <si>
    <t>Belo_4</t>
  </si>
  <si>
    <t>Белоярский_4</t>
  </si>
  <si>
    <t>Belo_5</t>
  </si>
  <si>
    <t>Белоярский_5</t>
  </si>
  <si>
    <t>Belo_6</t>
  </si>
  <si>
    <t>Белоярский_6</t>
  </si>
  <si>
    <t>Belo_7</t>
  </si>
  <si>
    <t>Белоярский_7</t>
  </si>
  <si>
    <t>Belo_8</t>
  </si>
  <si>
    <t>Белоярский_8</t>
  </si>
  <si>
    <t>Belo_9</t>
  </si>
  <si>
    <t>Белоярский_9</t>
  </si>
  <si>
    <t>berz_1</t>
  </si>
  <si>
    <t>Березовский_1</t>
  </si>
  <si>
    <t>berz_2</t>
  </si>
  <si>
    <t>Березовский_2</t>
  </si>
  <si>
    <t>degt_1</t>
  </si>
  <si>
    <t>Дегтярский_1</t>
  </si>
  <si>
    <t>pole_1</t>
  </si>
  <si>
    <t>Полевской_1</t>
  </si>
  <si>
    <t>pole_2</t>
  </si>
  <si>
    <t>Полевской_2</t>
  </si>
  <si>
    <t>pole_3</t>
  </si>
  <si>
    <t>Полевской_3</t>
  </si>
  <si>
    <t>purl_1</t>
  </si>
  <si>
    <t>Первоуральск_1</t>
  </si>
  <si>
    <t>purl_2</t>
  </si>
  <si>
    <t>Первоуральск_2</t>
  </si>
  <si>
    <t>purl_3</t>
  </si>
  <si>
    <t>Первоуральск_3</t>
  </si>
  <si>
    <t>purl_4</t>
  </si>
  <si>
    <t>Первоуральск_4</t>
  </si>
  <si>
    <t>purl_5</t>
  </si>
  <si>
    <t>Первоуральск_5</t>
  </si>
  <si>
    <t>purl_6</t>
  </si>
  <si>
    <t>Первоуральск_6</t>
  </si>
  <si>
    <t>revd_1</t>
  </si>
  <si>
    <t>Ревдинский_1</t>
  </si>
  <si>
    <t>revd_2</t>
  </si>
  <si>
    <t>Ревдинский_2</t>
  </si>
  <si>
    <t>revd_3</t>
  </si>
  <si>
    <t>Ревдинский_3</t>
  </si>
  <si>
    <t>surl_1</t>
  </si>
  <si>
    <t>Среднеуральский_1</t>
  </si>
  <si>
    <t>surl_2</t>
  </si>
  <si>
    <t>Среднеуральский_2</t>
  </si>
  <si>
    <t>sysr_1</t>
  </si>
  <si>
    <t>Сысертский_1</t>
  </si>
  <si>
    <t>sysr_10</t>
  </si>
  <si>
    <t>Сысертский_10</t>
  </si>
  <si>
    <t>sysr_11</t>
  </si>
  <si>
    <t>Сысертский_11</t>
  </si>
  <si>
    <t>sysr_12</t>
  </si>
  <si>
    <t>Сысертский_12</t>
  </si>
  <si>
    <t>sysr_13</t>
  </si>
  <si>
    <t>Сысертский_13</t>
  </si>
  <si>
    <t>sysr_14</t>
  </si>
  <si>
    <t>Сысертский_14</t>
  </si>
  <si>
    <t>sysr_15</t>
  </si>
  <si>
    <t>Сысертский_15</t>
  </si>
  <si>
    <t>sysr_16</t>
  </si>
  <si>
    <t>Сысертский_16</t>
  </si>
  <si>
    <t>sysr_17</t>
  </si>
  <si>
    <t>Сысертский_17</t>
  </si>
  <si>
    <t>sysr_18</t>
  </si>
  <si>
    <t>Сысертский_18</t>
  </si>
  <si>
    <t>sysr_19</t>
  </si>
  <si>
    <t>Сысертский_19</t>
  </si>
  <si>
    <t>sysr_2</t>
  </si>
  <si>
    <t>Сысертский_2</t>
  </si>
  <si>
    <t>sysr_20</t>
  </si>
  <si>
    <t>Сысертский_20</t>
  </si>
  <si>
    <t>sysr_21</t>
  </si>
  <si>
    <t>Сысертский_21</t>
  </si>
  <si>
    <t>sysr_22</t>
  </si>
  <si>
    <t>Сысертский_22</t>
  </si>
  <si>
    <t>sysr_23</t>
  </si>
  <si>
    <t>Сысертский_23</t>
  </si>
  <si>
    <t>sysr_24</t>
  </si>
  <si>
    <t>Сысертский_24</t>
  </si>
  <si>
    <t>sysr_25</t>
  </si>
  <si>
    <t>Сысертский_25</t>
  </si>
  <si>
    <t>sysr_26</t>
  </si>
  <si>
    <t>Сысертский_26</t>
  </si>
  <si>
    <t>sysr_3</t>
  </si>
  <si>
    <t>Сысертский_3</t>
  </si>
  <si>
    <t>sysr_4</t>
  </si>
  <si>
    <t>Сысертский_4</t>
  </si>
  <si>
    <t>sysr_5</t>
  </si>
  <si>
    <t>Сысертский_5</t>
  </si>
  <si>
    <t>sysr_6</t>
  </si>
  <si>
    <t>Сысертский_6</t>
  </si>
  <si>
    <t>sysr_7</t>
  </si>
  <si>
    <t>Сысертский_7</t>
  </si>
  <si>
    <t>sysr_8</t>
  </si>
  <si>
    <t>Сысертский_8</t>
  </si>
  <si>
    <t>sysr_9</t>
  </si>
  <si>
    <t>Сысертский_9</t>
  </si>
  <si>
    <t>urls_1</t>
  </si>
  <si>
    <t>Уральский_1</t>
  </si>
  <si>
    <t>vdbr_1</t>
  </si>
  <si>
    <t>Верхне-Дуброво_1</t>
  </si>
  <si>
    <t>vpsh_1</t>
  </si>
  <si>
    <t>ВерхнеПышминский_1</t>
  </si>
  <si>
    <t>vpsh_2</t>
  </si>
  <si>
    <t>ВерхнеПышминский_2</t>
  </si>
  <si>
    <t>vpsh_3</t>
  </si>
  <si>
    <t>ВерхнеПышминский_3</t>
  </si>
  <si>
    <t>zare_1</t>
  </si>
  <si>
    <t>Заречный_1</t>
  </si>
  <si>
    <t>vpsh_4</t>
  </si>
  <si>
    <t>ВерхнеПышминский_4</t>
  </si>
  <si>
    <t>ЕСЛИ(Общая площадь&gt;6000;0,3938;( -0,00000000000000024*Общая площадь^4 + 0,00000000001297181*Общая площадь^3 - 0,00000011794827687*Общая площадь^2 + 0,00020947190264916*Общая площадь+ 0,89227199752245100))</t>
  </si>
  <si>
    <t>Внутризональное расстояние</t>
  </si>
  <si>
    <t>Внутризональное расстояние(ЦФ)</t>
  </si>
  <si>
    <t>среднезональные расстояния</t>
  </si>
  <si>
    <t>avg_dst_z0</t>
  </si>
  <si>
    <t>zona</t>
  </si>
  <si>
    <t>принятые решения</t>
  </si>
  <si>
    <r>
      <t>-0,00000000000000018x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+ 0,00000000001213529x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- 0,00000011429507157x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+ 0,00020471790205693x + 0,89389209437225900</t>
    </r>
  </si>
  <si>
    <t>y = -0,00000000000000024x4 + 0,00000000001297181x3 - 0,00000011794827687x2 + 0,00020947190264916x + 0,89227199752245100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</si>
  <si>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безразличия)+0,962501568438211)))))*0,6392)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</si>
  <si>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безразличия)+0,962501568438211)))))*0,7145)</t>
  </si>
  <si>
    <t>!!! Расчет функции по расстоянию до 20 знаков и соответстующие графики в файле 20_modul.xlsx !!!</t>
  </si>
  <si>
    <t>!!! В данный файл вставлены только результирующие расчетные формулы !!!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</si>
  <si>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безразличия)+0,962501568438211)))))*0,71449)</t>
  </si>
  <si>
    <t>loc_factor_8071</t>
  </si>
  <si>
    <t>loc_factor_833</t>
  </si>
  <si>
    <t>CadastralNumber</t>
  </si>
  <si>
    <t>loc_VICode</t>
  </si>
  <si>
    <t>Вид разрешенного использования (ЦФ)</t>
  </si>
  <si>
    <t>66:42:0201003</t>
  </si>
  <si>
    <t>24</t>
  </si>
  <si>
    <t>66:42:0201004</t>
  </si>
  <si>
    <t>66:25:1307001</t>
  </si>
  <si>
    <t>67</t>
  </si>
  <si>
    <t>Вид разрешённого использования (ЦФ)</t>
  </si>
  <si>
    <t>Код МО (ЦФ)</t>
  </si>
  <si>
    <t>Подъезд к участку(ЦФ)</t>
  </si>
  <si>
    <t>Зона вляния для ИЖС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</si>
  <si>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</si>
  <si>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</si>
  <si>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</si>
  <si>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Номер заявления</t>
  </si>
  <si>
    <t>Тип заявления</t>
  </si>
  <si>
    <t>Статус заявления</t>
  </si>
  <si>
    <t>Код Муниципального образования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</si>
  <si>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</si>
  <si>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</si>
  <si>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</si>
  <si>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</si>
  <si>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</si>
  <si>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</si>
  <si>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</si>
  <si>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</si>
  <si>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</si>
  <si>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</si>
  <si>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</si>
  <si>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Группа для XML</t>
  </si>
  <si>
    <t>ВРИ по документу старое</t>
  </si>
  <si>
    <t>Код расчета вида использования</t>
  </si>
  <si>
    <t>Правило</t>
  </si>
  <si>
    <t>Новоя модель</t>
  </si>
  <si>
    <t>Особый контроль</t>
  </si>
  <si>
    <t>66:25:2901009</t>
  </si>
  <si>
    <t>66:42:0601001</t>
  </si>
  <si>
    <t>66:25:2601005</t>
  </si>
  <si>
    <t>66:25:2901014</t>
  </si>
  <si>
    <t>66:25:2401003</t>
  </si>
  <si>
    <t>66:25:4201004</t>
  </si>
  <si>
    <t>66:06:0601003</t>
  </si>
  <si>
    <t>07</t>
  </si>
  <si>
    <t>66:06:0901002</t>
  </si>
  <si>
    <t>66:06:1701014</t>
  </si>
  <si>
    <t>66:06:4501021</t>
  </si>
  <si>
    <t>66:21:0101040</t>
  </si>
  <si>
    <t>33</t>
  </si>
  <si>
    <t>66:21:1601002</t>
  </si>
  <si>
    <t>66:36:2801006</t>
  </si>
  <si>
    <t>20</t>
  </si>
  <si>
    <t>66:40:0101004</t>
  </si>
  <si>
    <t>23</t>
  </si>
  <si>
    <t>66:59:0204002</t>
  </si>
  <si>
    <t>60</t>
  </si>
  <si>
    <t>66:59:0217014</t>
  </si>
  <si>
    <t>66:21:0101068</t>
  </si>
  <si>
    <t>66:21:0101076</t>
  </si>
  <si>
    <t>66:25:0103005</t>
  </si>
  <si>
    <t>66:36:0901001</t>
  </si>
  <si>
    <t>66:36:3103002</t>
  </si>
  <si>
    <t>66:59:0215001</t>
  </si>
  <si>
    <t>66:21:0101014</t>
  </si>
  <si>
    <t>66:21:1701002</t>
  </si>
  <si>
    <t>66:25:1901002</t>
  </si>
  <si>
    <t>66:58:1301008</t>
  </si>
  <si>
    <t>32</t>
  </si>
  <si>
    <t>66:58:2902030</t>
  </si>
  <si>
    <t>66:58:2902069</t>
  </si>
  <si>
    <t>66:62:0107007</t>
  </si>
  <si>
    <t>35</t>
  </si>
  <si>
    <t>66:66:0101024</t>
  </si>
  <si>
    <t>17</t>
  </si>
  <si>
    <t>66:35:0207002</t>
  </si>
  <si>
    <t>08</t>
  </si>
  <si>
    <t>66:36:2101007</t>
  </si>
  <si>
    <t>66:35:0212014</t>
  </si>
  <si>
    <t>66:06:1701065</t>
  </si>
  <si>
    <t>66:06:1001002</t>
  </si>
  <si>
    <t>66:06:1701018</t>
  </si>
  <si>
    <t>66:06:1701038</t>
  </si>
  <si>
    <t>66:06:2601008</t>
  </si>
  <si>
    <t>66:06:3101001</t>
  </si>
  <si>
    <t>66:06:3101004</t>
  </si>
  <si>
    <t>66:06:3901002</t>
  </si>
  <si>
    <t>66:06:4501018</t>
  </si>
  <si>
    <t>66:21:1501003</t>
  </si>
  <si>
    <t>66:25:0106002</t>
  </si>
  <si>
    <t>66:25:0901001</t>
  </si>
  <si>
    <t>01</t>
  </si>
  <si>
    <t>66:25:1201010</t>
  </si>
  <si>
    <t>66:25:1201018</t>
  </si>
  <si>
    <t>66:25:1311001</t>
  </si>
  <si>
    <t>66:25:1901001</t>
  </si>
  <si>
    <t>66:25:2301001</t>
  </si>
  <si>
    <t>66:25:2501004</t>
  </si>
  <si>
    <t>66:25:2721002</t>
  </si>
  <si>
    <t>66:33:0101005</t>
  </si>
  <si>
    <t>66:35:0104012</t>
  </si>
  <si>
    <t>66:35:0221001</t>
  </si>
  <si>
    <t>66:36:1301015</t>
  </si>
  <si>
    <t>66:36:2201002</t>
  </si>
  <si>
    <t>66:36:3001002</t>
  </si>
  <si>
    <t>66:58:0120011</t>
  </si>
  <si>
    <t>66:58:1301002</t>
  </si>
  <si>
    <t>66:58:1701002</t>
  </si>
  <si>
    <t>66:58:2902002</t>
  </si>
  <si>
    <t>66:58:2903001</t>
  </si>
  <si>
    <t>66:59:0203002</t>
  </si>
  <si>
    <t>66:59:0216001</t>
  </si>
  <si>
    <t>66:06:0401009</t>
  </si>
  <si>
    <t>66:06:1701060</t>
  </si>
  <si>
    <t>66:25:1330001</t>
  </si>
  <si>
    <t>66:25:1501002</t>
  </si>
  <si>
    <t>66:25:2101002</t>
  </si>
  <si>
    <t>66:25:2401001</t>
  </si>
  <si>
    <t>66:40:0101038</t>
  </si>
  <si>
    <t>66:58:0105004</t>
  </si>
  <si>
    <t>66:58:2904001</t>
  </si>
  <si>
    <t>66:59:0101019</t>
  </si>
  <si>
    <t>66:06:0701001</t>
  </si>
  <si>
    <t>66:21:0101077</t>
  </si>
  <si>
    <t>66:25:2201008</t>
  </si>
  <si>
    <t>66:06:4501020</t>
  </si>
  <si>
    <t>66:06:4502001</t>
  </si>
  <si>
    <t>66:21:1501002</t>
  </si>
  <si>
    <t>66:25:0701008</t>
  </si>
  <si>
    <t>66:25:2901010</t>
  </si>
  <si>
    <t>66:25:4401004</t>
  </si>
  <si>
    <t>66:35:0211001</t>
  </si>
  <si>
    <t>66:35:0213002</t>
  </si>
  <si>
    <t>66:36:0106002</t>
  </si>
  <si>
    <t>66:36:0111014</t>
  </si>
  <si>
    <t>66:42:0102011</t>
  </si>
  <si>
    <t>66:58:0109003</t>
  </si>
  <si>
    <t>66:58:0112001</t>
  </si>
  <si>
    <t>66:58:2201001</t>
  </si>
  <si>
    <t>66:58:2902001</t>
  </si>
  <si>
    <t>66:58:2902018</t>
  </si>
  <si>
    <t>66:58:2902022</t>
  </si>
  <si>
    <t>66:62:0107010</t>
  </si>
  <si>
    <t>66:06:1301002</t>
  </si>
  <si>
    <t>66:06:2501012</t>
  </si>
  <si>
    <t>66:06:3601001</t>
  </si>
  <si>
    <t>66:06:3601004</t>
  </si>
  <si>
    <t>66:06:4501001</t>
  </si>
  <si>
    <t>66:21:0401001</t>
  </si>
  <si>
    <t>66:21:1001001</t>
  </si>
  <si>
    <t>66:25:0601001</t>
  </si>
  <si>
    <t>66:25:0601002</t>
  </si>
  <si>
    <t>66:25:2901001</t>
  </si>
  <si>
    <t>66:33:0101002</t>
  </si>
  <si>
    <t>66:35:0208003</t>
  </si>
  <si>
    <t>66:36:0104001</t>
  </si>
  <si>
    <t>66:36:0111070</t>
  </si>
  <si>
    <t>66:40:0101005</t>
  </si>
  <si>
    <t>66:21:0101079</t>
  </si>
  <si>
    <t>66:25:2601020</t>
  </si>
  <si>
    <t>66:40:0101006</t>
  </si>
  <si>
    <t>66:40:0101010</t>
  </si>
  <si>
    <t>66:06:4301001</t>
  </si>
  <si>
    <t>66:21:0101091</t>
  </si>
  <si>
    <t>66:25:0103006</t>
  </si>
  <si>
    <t>66:25:0501022</t>
  </si>
  <si>
    <t>66:25:1402001</t>
  </si>
  <si>
    <t>66:25:1801001</t>
  </si>
  <si>
    <t>66:25:2703001</t>
  </si>
  <si>
    <t>66:25:2901007</t>
  </si>
  <si>
    <t>66:33:0101003</t>
  </si>
  <si>
    <t>66:35:0101019</t>
  </si>
  <si>
    <t>66:35:0201023</t>
  </si>
  <si>
    <t>66:35:0203004</t>
  </si>
  <si>
    <t>66:36:2001007</t>
  </si>
  <si>
    <t>66:40:0101032</t>
  </si>
  <si>
    <t>66:40:0101036</t>
  </si>
  <si>
    <t>66:58:0111007</t>
  </si>
  <si>
    <t>66:59:0101001</t>
  </si>
  <si>
    <t>66:06:1701019</t>
  </si>
  <si>
    <t>66:21:0101025</t>
  </si>
  <si>
    <t>66:25:0101003</t>
  </si>
  <si>
    <t>66:25:1001004</t>
  </si>
  <si>
    <t>66:25:1201009</t>
  </si>
  <si>
    <t>66:25:1501005</t>
  </si>
  <si>
    <t>66:25:2901006</t>
  </si>
  <si>
    <t>66:25:4601004</t>
  </si>
  <si>
    <t>66:35:0108004</t>
  </si>
  <si>
    <t>66:36:0701003</t>
  </si>
  <si>
    <t>66:36:2901001</t>
  </si>
  <si>
    <t>66:40:0101016</t>
  </si>
  <si>
    <t>66:40:0101031</t>
  </si>
  <si>
    <t>66:42:0701003</t>
  </si>
  <si>
    <t>66:58:0102004</t>
  </si>
  <si>
    <t>66:59:0101002</t>
  </si>
  <si>
    <t>66:59:0209002</t>
  </si>
  <si>
    <t>66:21:0101071</t>
  </si>
  <si>
    <t>66:35:0218004</t>
  </si>
  <si>
    <t>66:62:0102005</t>
  </si>
  <si>
    <t>66:06:0301003</t>
  </si>
  <si>
    <t>66:06:0401007</t>
  </si>
  <si>
    <t>66:06:0901001</t>
  </si>
  <si>
    <t>66:06:1701029</t>
  </si>
  <si>
    <t>66:25:0106001</t>
  </si>
  <si>
    <t>66:25:0501007</t>
  </si>
  <si>
    <t>66:25:2601029</t>
  </si>
  <si>
    <t>66:25:2901030</t>
  </si>
  <si>
    <t>66:35:0212018</t>
  </si>
  <si>
    <t>66:35:0222004</t>
  </si>
  <si>
    <t>66:36:0106021</t>
  </si>
  <si>
    <t>66:36:0109008</t>
  </si>
  <si>
    <t>66:36:1301008</t>
  </si>
  <si>
    <t>66:36:1801002</t>
  </si>
  <si>
    <t>66:36:3002011</t>
  </si>
  <si>
    <t>66:40:0101017</t>
  </si>
  <si>
    <t>66:42:0102001</t>
  </si>
  <si>
    <t>66:58:0701002</t>
  </si>
  <si>
    <t>66:58:2901011</t>
  </si>
  <si>
    <t>66:62:0501001</t>
  </si>
  <si>
    <t>66:06:0401004</t>
  </si>
  <si>
    <t>66:21:1801002</t>
  </si>
  <si>
    <t>66:35:0101002</t>
  </si>
  <si>
    <t>66:35:0222001</t>
  </si>
  <si>
    <t>66:36:1301001</t>
  </si>
  <si>
    <t>66:58:0117001</t>
  </si>
  <si>
    <t>66:58:1301004</t>
  </si>
  <si>
    <t>66:62:0107011</t>
  </si>
  <si>
    <t>66:06:3901004</t>
  </si>
  <si>
    <t>66:06:4501030</t>
  </si>
  <si>
    <t>66:25:1325013</t>
  </si>
  <si>
    <t>66:25:2601033</t>
  </si>
  <si>
    <t>66:35:0208001</t>
  </si>
  <si>
    <t>66:36:0111026</t>
  </si>
  <si>
    <t>66:36:2101001</t>
  </si>
  <si>
    <t>66:40:0101008</t>
  </si>
  <si>
    <t>66:06:0401003</t>
  </si>
  <si>
    <t>66:06:1701001</t>
  </si>
  <si>
    <t>66:06:1701012</t>
  </si>
  <si>
    <t>66:21:0101051</t>
  </si>
  <si>
    <t>66:21:0101065</t>
  </si>
  <si>
    <t>66:21:0601001</t>
  </si>
  <si>
    <t>66:21:1801001</t>
  </si>
  <si>
    <t>66:25:0101008</t>
  </si>
  <si>
    <t>66:25:1405002</t>
  </si>
  <si>
    <t>66:25:2401002</t>
  </si>
  <si>
    <t>66:25:2901031</t>
  </si>
  <si>
    <t>66:35:0203002</t>
  </si>
  <si>
    <t>66:36:1001001</t>
  </si>
  <si>
    <t>66:36:2801001</t>
  </si>
  <si>
    <t>66:42:0701001</t>
  </si>
  <si>
    <t>66:59:0201002</t>
  </si>
  <si>
    <t>66:59:0209001</t>
  </si>
  <si>
    <t>66:62:0106003</t>
  </si>
  <si>
    <t>66:06:4504001</t>
  </si>
  <si>
    <t>66:21:0101050</t>
  </si>
  <si>
    <t>66:25:1201025</t>
  </si>
  <si>
    <t>66:35:0212008</t>
  </si>
  <si>
    <t>66:36:0901005</t>
  </si>
  <si>
    <t>66:36:1201001</t>
  </si>
  <si>
    <t>66:36:3001016</t>
  </si>
  <si>
    <t>66:58:1301001</t>
  </si>
  <si>
    <t>66:58:1301006</t>
  </si>
  <si>
    <t>66:59:0102021</t>
  </si>
  <si>
    <t>66:62:0201004</t>
  </si>
  <si>
    <t>66:25:4001002</t>
  </si>
  <si>
    <t>66:06:1601001</t>
  </si>
  <si>
    <t>66:06:1701050</t>
  </si>
  <si>
    <t>66:21:0501001</t>
  </si>
  <si>
    <t>66:25:4101002</t>
  </si>
  <si>
    <t>66:36:3001012</t>
  </si>
  <si>
    <t>66:58:0111014</t>
  </si>
  <si>
    <t>66:58:1001002</t>
  </si>
  <si>
    <t>66:58:2803005</t>
  </si>
  <si>
    <t>66:59:0101007</t>
  </si>
  <si>
    <t>66:59:0102006</t>
  </si>
  <si>
    <t>66:06:4501059</t>
  </si>
  <si>
    <t>66:25:2901029</t>
  </si>
  <si>
    <t>66:58:0110001</t>
  </si>
  <si>
    <t>66:58:1101007</t>
  </si>
  <si>
    <t>66:58:2201002</t>
  </si>
  <si>
    <t>66:21:0101041</t>
  </si>
  <si>
    <t>66:33:0101004</t>
  </si>
  <si>
    <t>66:36:0701011</t>
  </si>
  <si>
    <t>66:59:0210001</t>
  </si>
  <si>
    <t>66:06:1501001</t>
  </si>
  <si>
    <t>66:06:1701063</t>
  </si>
  <si>
    <t>66:06:2801006</t>
  </si>
  <si>
    <t>66:25:1501006</t>
  </si>
  <si>
    <t>66:25:1601001</t>
  </si>
  <si>
    <t>66:25:2727001</t>
  </si>
  <si>
    <t>66:25:2901002</t>
  </si>
  <si>
    <t>66:35:0215005</t>
  </si>
  <si>
    <t>66:36:1501014</t>
  </si>
  <si>
    <t>66:58:0105002</t>
  </si>
  <si>
    <t>66:58:2301003</t>
  </si>
  <si>
    <t>66:58:2902004</t>
  </si>
  <si>
    <t>66:06:0501001</t>
  </si>
  <si>
    <t>66:06:2501002</t>
  </si>
  <si>
    <t>66:06:4501035</t>
  </si>
  <si>
    <t>66:33:0101008</t>
  </si>
  <si>
    <t>66:35:0207015</t>
  </si>
  <si>
    <t>66:36:3102009</t>
  </si>
  <si>
    <t>66:58:0120004</t>
  </si>
  <si>
    <t>66:58:2902077</t>
  </si>
  <si>
    <t>66:59:0211001</t>
  </si>
  <si>
    <t>66:06:2601007</t>
  </si>
  <si>
    <t>66:25:2601018</t>
  </si>
  <si>
    <t>66:36:2001005</t>
  </si>
  <si>
    <t>66:58:1101006</t>
  </si>
  <si>
    <t>66:06:1701051</t>
  </si>
  <si>
    <t>66:06:1701062</t>
  </si>
  <si>
    <t>66:06:2501006</t>
  </si>
  <si>
    <t>66:25:0104002</t>
  </si>
  <si>
    <t>66:35:0215001</t>
  </si>
  <si>
    <t>66:40:0101030</t>
  </si>
  <si>
    <t>66:58:0107001</t>
  </si>
  <si>
    <t>66:58:0109002</t>
  </si>
  <si>
    <t>66:59:0101017</t>
  </si>
  <si>
    <t>66:06:1701005</t>
  </si>
  <si>
    <t>66:06:2101003</t>
  </si>
  <si>
    <t>66:25:1201020</t>
  </si>
  <si>
    <t>66:25:1415001</t>
  </si>
  <si>
    <t>66:35:0207003</t>
  </si>
  <si>
    <t>66:35:0223001</t>
  </si>
  <si>
    <t>66:21:0101088</t>
  </si>
  <si>
    <t>66:36:1301014</t>
  </si>
  <si>
    <t>66:06:1701035</t>
  </si>
  <si>
    <t>66:06:1701048</t>
  </si>
  <si>
    <t>66:25:0501015</t>
  </si>
  <si>
    <t>66:25:4201003</t>
  </si>
  <si>
    <t>66:59:0215002</t>
  </si>
  <si>
    <t>66:06:0601001</t>
  </si>
  <si>
    <t>66:06:1901009</t>
  </si>
  <si>
    <t>66:06:2301001</t>
  </si>
  <si>
    <t>66:21:0101017</t>
  </si>
  <si>
    <t>66:25:2201015</t>
  </si>
  <si>
    <t>66:35:0214002</t>
  </si>
  <si>
    <t>66:36:2001010</t>
  </si>
  <si>
    <t>66:40:0101022</t>
  </si>
  <si>
    <t>66:42:0102009</t>
  </si>
  <si>
    <t>66:58:0104003</t>
  </si>
  <si>
    <t>66:59:0206002</t>
  </si>
  <si>
    <t>66:21:0101073</t>
  </si>
  <si>
    <t>66:06:0301004</t>
  </si>
  <si>
    <t>66:06:2401003</t>
  </si>
  <si>
    <t>66:06:2501014</t>
  </si>
  <si>
    <t>66:21:0101053</t>
  </si>
  <si>
    <t>66:25:2901012</t>
  </si>
  <si>
    <t>66:35:0105004</t>
  </si>
  <si>
    <t>66:36:3201013</t>
  </si>
  <si>
    <t>66:58:0110002</t>
  </si>
  <si>
    <t>66:58:0901002</t>
  </si>
  <si>
    <t>66:59:0207003</t>
  </si>
  <si>
    <t>66:06:2801001</t>
  </si>
  <si>
    <t>66:25:0101007</t>
  </si>
  <si>
    <t>66:25:1501003</t>
  </si>
  <si>
    <t>66:33:0201001</t>
  </si>
  <si>
    <t>66:36:0106012</t>
  </si>
  <si>
    <t>66:40:0101028</t>
  </si>
  <si>
    <t>66:59:0102018</t>
  </si>
  <si>
    <t>66:06:1701043</t>
  </si>
  <si>
    <t>66:33:0301001</t>
  </si>
  <si>
    <t>66:06:1701057</t>
  </si>
  <si>
    <t>66:06:1901001</t>
  </si>
  <si>
    <t>66:21:0201001</t>
  </si>
  <si>
    <t>66:25:1405001</t>
  </si>
  <si>
    <t>66:25:3401009</t>
  </si>
  <si>
    <t>66:35:0105014</t>
  </si>
  <si>
    <t>66:35:0202003</t>
  </si>
  <si>
    <t>66:36:1501002</t>
  </si>
  <si>
    <t>66:59:0101003</t>
  </si>
  <si>
    <t>66:62:0502004</t>
  </si>
  <si>
    <t>66:66:0101023</t>
  </si>
  <si>
    <t>66:25:0801005</t>
  </si>
  <si>
    <t>66:25:1325004</t>
  </si>
  <si>
    <t>66:58:0701006</t>
  </si>
  <si>
    <t>66:58:1601002</t>
  </si>
  <si>
    <t>66:58:2101001</t>
  </si>
  <si>
    <t>66:21:0901001</t>
  </si>
  <si>
    <t>66:06:2501025</t>
  </si>
  <si>
    <t>66:21:1601001</t>
  </si>
  <si>
    <t>66:25:2801011</t>
  </si>
  <si>
    <t>66:25:2901027</t>
  </si>
  <si>
    <t>66:35:0101022</t>
  </si>
  <si>
    <t>66:35:0218003</t>
  </si>
  <si>
    <t>66:35:0220001</t>
  </si>
  <si>
    <t>66:36:2101009</t>
  </si>
  <si>
    <t>66:58:0110003</t>
  </si>
  <si>
    <t>66:58:0501001</t>
  </si>
  <si>
    <t>66:42:0401008</t>
  </si>
  <si>
    <t>66:62:0502001</t>
  </si>
  <si>
    <t>66:66:0101031</t>
  </si>
  <si>
    <t>66:06:0401012</t>
  </si>
  <si>
    <t>66:21:0101038</t>
  </si>
  <si>
    <t>66:21:1204008</t>
  </si>
  <si>
    <t>66:36:0201005</t>
  </si>
  <si>
    <t>66:58:0118005</t>
  </si>
  <si>
    <t>66:58:1801001</t>
  </si>
  <si>
    <t>66:58:2301001</t>
  </si>
  <si>
    <t>66:59:0201001</t>
  </si>
  <si>
    <t>66:06:0301001</t>
  </si>
  <si>
    <t>66:06:4501055</t>
  </si>
  <si>
    <t>66:21:0101083</t>
  </si>
  <si>
    <t>66:25:2901020</t>
  </si>
  <si>
    <t>66:35:0105017</t>
  </si>
  <si>
    <t>66:35:0224001</t>
  </si>
  <si>
    <t>66:36:0901006</t>
  </si>
  <si>
    <t>66:40:0101020</t>
  </si>
  <si>
    <t>66:58:0301001</t>
  </si>
  <si>
    <t>66:58:1301007</t>
  </si>
  <si>
    <t>66:59:0202001</t>
  </si>
  <si>
    <t>66:06:2601011</t>
  </si>
  <si>
    <t>66:06:4505003</t>
  </si>
  <si>
    <t>66:21:0101034</t>
  </si>
  <si>
    <t>66:21:1204006</t>
  </si>
  <si>
    <t>66:25:4401001</t>
  </si>
  <si>
    <t>66:35:0208002</t>
  </si>
  <si>
    <t>66:35:0219008</t>
  </si>
  <si>
    <t>66:58:1401002</t>
  </si>
  <si>
    <t>66:06:0901003</t>
  </si>
  <si>
    <t>66:06:4501038</t>
  </si>
  <si>
    <t>66:25:1901003</t>
  </si>
  <si>
    <t>66:35:0109001</t>
  </si>
  <si>
    <t>66:35:0218005</t>
  </si>
  <si>
    <t>66:59:0101006</t>
  </si>
  <si>
    <t>66:06:1701007</t>
  </si>
  <si>
    <t>66:06:2501009</t>
  </si>
  <si>
    <t>66:06:4501036</t>
  </si>
  <si>
    <t>66:21:0101020</t>
  </si>
  <si>
    <t>66:25:0103004</t>
  </si>
  <si>
    <t>66:25:1002002</t>
  </si>
  <si>
    <t>66:25:3201002</t>
  </si>
  <si>
    <t>66:36:1301011</t>
  </si>
  <si>
    <t>66:36:2101006</t>
  </si>
  <si>
    <t>66:36:2902003</t>
  </si>
  <si>
    <t>66:42:0401001</t>
  </si>
  <si>
    <t>66:59:0101008</t>
  </si>
  <si>
    <t>66:06:0701004</t>
  </si>
  <si>
    <t>66:25:0103001</t>
  </si>
  <si>
    <t>66:25:2501003</t>
  </si>
  <si>
    <t>66:25:2901019</t>
  </si>
  <si>
    <t>66:59:0201003</t>
  </si>
  <si>
    <t>66:25:0301001</t>
  </si>
  <si>
    <t>66:25:0501021</t>
  </si>
  <si>
    <t>66:25:2401006</t>
  </si>
  <si>
    <t>66:25:4501001</t>
  </si>
  <si>
    <t>66:33:0101012</t>
  </si>
  <si>
    <t>66:58:1301005</t>
  </si>
  <si>
    <t>66:06:0701005</t>
  </si>
  <si>
    <t>66:06:1201002</t>
  </si>
  <si>
    <t>66:06:1701003</t>
  </si>
  <si>
    <t>66:06:1701006</t>
  </si>
  <si>
    <t>66:06:1701020</t>
  </si>
  <si>
    <t>66:06:1701022</t>
  </si>
  <si>
    <t>66:06:1701028</t>
  </si>
  <si>
    <t>66:06:1701031</t>
  </si>
  <si>
    <t>66:06:1701033</t>
  </si>
  <si>
    <t>66:06:1701036</t>
  </si>
  <si>
    <t>66:06:1701037</t>
  </si>
  <si>
    <t>66:06:1701052</t>
  </si>
  <si>
    <t>66:06:1701059</t>
  </si>
  <si>
    <t>66:06:1701070</t>
  </si>
  <si>
    <t>66:06:1901008</t>
  </si>
  <si>
    <t>66:06:2001002</t>
  </si>
  <si>
    <t>66:06:2201001</t>
  </si>
  <si>
    <t>66:06:2601013</t>
  </si>
  <si>
    <t>66:06:3101003</t>
  </si>
  <si>
    <t>66:06:3601010</t>
  </si>
  <si>
    <t>66:06:3701004</t>
  </si>
  <si>
    <t>66:06:3701009</t>
  </si>
  <si>
    <t>66:06:4301002</t>
  </si>
  <si>
    <t>66:06:4301006</t>
  </si>
  <si>
    <t>66:06:4401001</t>
  </si>
  <si>
    <t>66:21:0101011</t>
  </si>
  <si>
    <t>66:21:0101012</t>
  </si>
  <si>
    <t>66:21:0101016</t>
  </si>
  <si>
    <t>66:21:0101021</t>
  </si>
  <si>
    <t>66:21:0101023</t>
  </si>
  <si>
    <t>66:21:0101035</t>
  </si>
  <si>
    <t>66:21:0101052</t>
  </si>
  <si>
    <t>66:21:0101070</t>
  </si>
  <si>
    <t>66:21:0801001</t>
  </si>
  <si>
    <t>66:21:1205001</t>
  </si>
  <si>
    <t>66:21:1401002</t>
  </si>
  <si>
    <t>66:21:1601003</t>
  </si>
  <si>
    <t>66:25:0101009</t>
  </si>
  <si>
    <t>66:25:0101010</t>
  </si>
  <si>
    <t>66:25:0101011</t>
  </si>
  <si>
    <t>66:25:0103003</t>
  </si>
  <si>
    <t>66:25:0310001</t>
  </si>
  <si>
    <t>66:25:0501002</t>
  </si>
  <si>
    <t>66:25:0501006</t>
  </si>
  <si>
    <t>66:25:0501014</t>
  </si>
  <si>
    <t>66:25:3301001</t>
  </si>
  <si>
    <t>66:25:3401010</t>
  </si>
  <si>
    <t>66:25:3401021</t>
  </si>
  <si>
    <t>66:25:3401022</t>
  </si>
  <si>
    <t>66:25:3901001</t>
  </si>
  <si>
    <t>66:25:3901002</t>
  </si>
  <si>
    <t>66:25:4001001</t>
  </si>
  <si>
    <t>66:25:4101001</t>
  </si>
  <si>
    <t>66:25:4401005</t>
  </si>
  <si>
    <t>66:25:4601001</t>
  </si>
  <si>
    <t>66:33:0101010</t>
  </si>
  <si>
    <t>66:36:0111011</t>
  </si>
  <si>
    <t>66:36:0111030</t>
  </si>
  <si>
    <t>66:36:0111038</t>
  </si>
  <si>
    <t>66:36:0701001</t>
  </si>
  <si>
    <t>66:36:0701004</t>
  </si>
  <si>
    <t>66:36:0701015</t>
  </si>
  <si>
    <t>66:36:0701016</t>
  </si>
  <si>
    <t>66:36:0701017</t>
  </si>
  <si>
    <t>66:36:0701020</t>
  </si>
  <si>
    <t>66:36:0801001</t>
  </si>
  <si>
    <t>66:36:0801005</t>
  </si>
  <si>
    <t>66:36:0801006</t>
  </si>
  <si>
    <t>66:36:1001003</t>
  </si>
  <si>
    <t>66:36:1101001</t>
  </si>
  <si>
    <t>66:36:1301002</t>
  </si>
  <si>
    <t>66:36:1301003</t>
  </si>
  <si>
    <t>66:36:1301007</t>
  </si>
  <si>
    <t>66:36:1301009</t>
  </si>
  <si>
    <t>66:36:1301012</t>
  </si>
  <si>
    <t>66:36:1401001</t>
  </si>
  <si>
    <t>66:36:1801001</t>
  </si>
  <si>
    <t>66:36:1801004</t>
  </si>
  <si>
    <t>66:36:1901001</t>
  </si>
  <si>
    <t>66:36:1901002</t>
  </si>
  <si>
    <t>66:36:2001006</t>
  </si>
  <si>
    <t>66:36:2001011</t>
  </si>
  <si>
    <t>66:36:2001014</t>
  </si>
  <si>
    <t>66:36:2001019</t>
  </si>
  <si>
    <t>66:36:2001021</t>
  </si>
  <si>
    <t>66:36:2101004</t>
  </si>
  <si>
    <t>66:36:2201001</t>
  </si>
  <si>
    <t>66:36:2301001</t>
  </si>
  <si>
    <t>66:36:2301002</t>
  </si>
  <si>
    <t>66:36:2301003</t>
  </si>
  <si>
    <t>66:40:0101003</t>
  </si>
  <si>
    <t>66:40:0101021</t>
  </si>
  <si>
    <t>66:40:0101033</t>
  </si>
  <si>
    <t>66:40:0101037</t>
  </si>
  <si>
    <t>66:40:0101039</t>
  </si>
  <si>
    <t>66:58:0117004</t>
  </si>
  <si>
    <t>66:58:0118001</t>
  </si>
  <si>
    <t>66:58:0118004</t>
  </si>
  <si>
    <t>66:58:0119005</t>
  </si>
  <si>
    <t>66:58:0120003</t>
  </si>
  <si>
    <t>66:58:0120013</t>
  </si>
  <si>
    <t>66:58:0701008</t>
  </si>
  <si>
    <t>66:58:0901001</t>
  </si>
  <si>
    <t>66:58:0901004</t>
  </si>
  <si>
    <t>66:58:1001001</t>
  </si>
  <si>
    <t>66:58:1101003</t>
  </si>
  <si>
    <t>66:58:1101004</t>
  </si>
  <si>
    <t>66:58:1201002</t>
  </si>
  <si>
    <t>66:58:1301009</t>
  </si>
  <si>
    <t>66:58:1701003</t>
  </si>
  <si>
    <t>66:58:1901001</t>
  </si>
  <si>
    <t>66:58:2101003</t>
  </si>
  <si>
    <t>66:58:2101004</t>
  </si>
  <si>
    <t>66:58:2301005</t>
  </si>
  <si>
    <t>66:58:2401001</t>
  </si>
  <si>
    <t>66:59:0101004</t>
  </si>
  <si>
    <t>66:59:0102009</t>
  </si>
  <si>
    <t>66:59:0102013</t>
  </si>
  <si>
    <t>66:59:0204001</t>
  </si>
  <si>
    <t>66:59:0206003</t>
  </si>
  <si>
    <t>66:59:0213001</t>
  </si>
  <si>
    <t>66:62:0102008</t>
  </si>
  <si>
    <t>66:62:0104003</t>
  </si>
  <si>
    <t>66:62:0104005</t>
  </si>
  <si>
    <t>66:62:0106004</t>
  </si>
  <si>
    <t>66:62:0107013</t>
  </si>
  <si>
    <t>66:62:0301001</t>
  </si>
  <si>
    <t>66:62:0301002</t>
  </si>
  <si>
    <t>66:62:0504001</t>
  </si>
  <si>
    <t>66:25:0201001</t>
  </si>
  <si>
    <t>66:25:0201018</t>
  </si>
  <si>
    <t>66:25:0202001</t>
  </si>
  <si>
    <t>66:25:0307005</t>
  </si>
  <si>
    <t>66:25:1307004</t>
  </si>
  <si>
    <t>66:25:1308004</t>
  </si>
  <si>
    <t>66:25:1401001</t>
  </si>
  <si>
    <t>66:25:1401002</t>
  </si>
  <si>
    <t>66:25:1415003</t>
  </si>
  <si>
    <t>66:25:1416010</t>
  </si>
  <si>
    <t>66:25:1416015</t>
  </si>
  <si>
    <t>66:25:1416019</t>
  </si>
  <si>
    <t>66:25:1416020</t>
  </si>
  <si>
    <t>66:25:2710001</t>
  </si>
  <si>
    <t>66:25:2719001</t>
  </si>
  <si>
    <t>66:25:2720002</t>
  </si>
  <si>
    <t>66:35:0201016</t>
  </si>
  <si>
    <t>66:35:0212016</t>
  </si>
  <si>
    <t>66:35:0219003</t>
  </si>
  <si>
    <t>66:36:2901004</t>
  </si>
  <si>
    <t>66:21:1203001</t>
  </si>
  <si>
    <t>66:21:1301013</t>
  </si>
  <si>
    <t>66:25:0306003</t>
  </si>
  <si>
    <t>66:25:0307002</t>
  </si>
  <si>
    <t>66:25:1002003</t>
  </si>
  <si>
    <t>66:25:1308002</t>
  </si>
  <si>
    <t>66:06:1701021</t>
  </si>
  <si>
    <t>66:06:2701007</t>
  </si>
  <si>
    <t>66:06:3201007</t>
  </si>
  <si>
    <t>66:06:4501011</t>
  </si>
  <si>
    <t>66:21:0101026</t>
  </si>
  <si>
    <t>66:21:0101069</t>
  </si>
  <si>
    <t>66:25:0101001</t>
  </si>
  <si>
    <t>66:25:0501012</t>
  </si>
  <si>
    <t>66:25:1325018</t>
  </si>
  <si>
    <t>66:25:2201010</t>
  </si>
  <si>
    <t>66:25:2601025</t>
  </si>
  <si>
    <t>66:25:2601034</t>
  </si>
  <si>
    <t>66:25:2901018</t>
  </si>
  <si>
    <t>66:25:3401003</t>
  </si>
  <si>
    <t>66:35:0101012</t>
  </si>
  <si>
    <t>66:35:0207009</t>
  </si>
  <si>
    <t>66:35:0224003</t>
  </si>
  <si>
    <t>66:36:3002001</t>
  </si>
  <si>
    <t>66:58:0103001</t>
  </si>
  <si>
    <t>66:59:0102016</t>
  </si>
  <si>
    <t>66:66:0101027</t>
  </si>
  <si>
    <t>66:06:0101001</t>
  </si>
  <si>
    <t>66:06:0401008</t>
  </si>
  <si>
    <t>66:06:2701003</t>
  </si>
  <si>
    <t>66:25:2601035</t>
  </si>
  <si>
    <t>66:25:4601002</t>
  </si>
  <si>
    <t>66:33:0101001</t>
  </si>
  <si>
    <t>66:62:0106008</t>
  </si>
  <si>
    <t>66:06:2301007</t>
  </si>
  <si>
    <t>66:06:3601007</t>
  </si>
  <si>
    <t>66:06:3701008</t>
  </si>
  <si>
    <t>66:25:2901011</t>
  </si>
  <si>
    <t>66:25:4201005</t>
  </si>
  <si>
    <t>66:36:0111058</t>
  </si>
  <si>
    <t>66:06:4504031</t>
  </si>
  <si>
    <t>66:25:4801001</t>
  </si>
  <si>
    <t>66:06:0501003</t>
  </si>
  <si>
    <t>66:06:2501016</t>
  </si>
  <si>
    <t>66:06:1501004</t>
  </si>
  <si>
    <t>66:25:0701002</t>
  </si>
  <si>
    <t>66:35:0207020</t>
  </si>
  <si>
    <t>66:35:0221012</t>
  </si>
  <si>
    <t>66:36:1801005</t>
  </si>
  <si>
    <t>66:06:0301002</t>
  </si>
  <si>
    <t>66:06:0401001</t>
  </si>
  <si>
    <t>66:06:0501002</t>
  </si>
  <si>
    <t>66:06:0601004</t>
  </si>
  <si>
    <t>66:06:0801006</t>
  </si>
  <si>
    <t>66:06:1101001</t>
  </si>
  <si>
    <t>66:06:1101002</t>
  </si>
  <si>
    <t>66:06:1201003</t>
  </si>
  <si>
    <t>66:06:1601002</t>
  </si>
  <si>
    <t>66:06:1601003</t>
  </si>
  <si>
    <t>66:06:1701008</t>
  </si>
  <si>
    <t>66:06:1701013</t>
  </si>
  <si>
    <t>66:06:1701015</t>
  </si>
  <si>
    <t>66:21:0101008</t>
  </si>
  <si>
    <t>66:21:0101010</t>
  </si>
  <si>
    <t>66:21:0101030</t>
  </si>
  <si>
    <t>66:21:0101033</t>
  </si>
  <si>
    <t>66:21:0101042</t>
  </si>
  <si>
    <t>66:21:0101061</t>
  </si>
  <si>
    <t>66:21:0101063</t>
  </si>
  <si>
    <t>66:21:0101064</t>
  </si>
  <si>
    <t>66:21:1701001</t>
  </si>
  <si>
    <t>66:25:0101002</t>
  </si>
  <si>
    <t>66:25:0401001</t>
  </si>
  <si>
    <t>66:25:0701001</t>
  </si>
  <si>
    <t>66:25:0701004</t>
  </si>
  <si>
    <t>66:25:0701006</t>
  </si>
  <si>
    <t>66:25:0801003</t>
  </si>
  <si>
    <t>66:25:1201001</t>
  </si>
  <si>
    <t>66:25:1201006</t>
  </si>
  <si>
    <t>66:25:1201011</t>
  </si>
  <si>
    <t>66:25:1201015</t>
  </si>
  <si>
    <t>66:25:1201016</t>
  </si>
  <si>
    <t>66:25:1201017</t>
  </si>
  <si>
    <t>66:25:1201021</t>
  </si>
  <si>
    <t>66:33:0101007</t>
  </si>
  <si>
    <t>66:35:0101006</t>
  </si>
  <si>
    <t>66:35:0104014</t>
  </si>
  <si>
    <t>66:35:0105001</t>
  </si>
  <si>
    <t>66:35:0105020</t>
  </si>
  <si>
    <t>66:35:0107002</t>
  </si>
  <si>
    <t>66:35:0108002</t>
  </si>
  <si>
    <t>66:35:0109004</t>
  </si>
  <si>
    <t>66:35:0109011</t>
  </si>
  <si>
    <t>66:35:0111006</t>
  </si>
  <si>
    <t>66:35:0203001</t>
  </si>
  <si>
    <t>66:35:0206001</t>
  </si>
  <si>
    <t>66:35:0207001</t>
  </si>
  <si>
    <t>66:35:0207005</t>
  </si>
  <si>
    <t>66:35:0207010</t>
  </si>
  <si>
    <t>66:35:0207017</t>
  </si>
  <si>
    <t>66:35:0207019</t>
  </si>
  <si>
    <t>66:35:0215006</t>
  </si>
  <si>
    <t>66:35:0218007</t>
  </si>
  <si>
    <t>66:35:0218012</t>
  </si>
  <si>
    <t>66:35:0222008</t>
  </si>
  <si>
    <t>66:35:0223002</t>
  </si>
  <si>
    <t>66:36:0102012</t>
  </si>
  <si>
    <t>66:36:0102026</t>
  </si>
  <si>
    <t>66:36:0102050</t>
  </si>
  <si>
    <t>66:40:0101001</t>
  </si>
  <si>
    <t>66:40:0101015</t>
  </si>
  <si>
    <t>66:40:0101024</t>
  </si>
  <si>
    <t>66:40:0101027</t>
  </si>
  <si>
    <t>66:40:0101035</t>
  </si>
  <si>
    <t>66:42:0102004</t>
  </si>
  <si>
    <t>66:42:0102007</t>
  </si>
  <si>
    <t>66:42:0501001</t>
  </si>
  <si>
    <t>66:06:4501037</t>
  </si>
  <si>
    <t>66:35:0221009</t>
  </si>
  <si>
    <t>66:36:1501010</t>
  </si>
  <si>
    <t>66:66:0101028</t>
  </si>
  <si>
    <t>66:06:4501034</t>
  </si>
  <si>
    <t>66:25:1311002</t>
  </si>
  <si>
    <t>66:25:1311003</t>
  </si>
  <si>
    <t>66:25:2901016</t>
  </si>
  <si>
    <t>66:35:0222003</t>
  </si>
  <si>
    <t>66:21:1501001</t>
  </si>
  <si>
    <t>66:25:4201006</t>
  </si>
  <si>
    <t>66:59:0214008</t>
  </si>
  <si>
    <t>66:06:4504026</t>
  </si>
  <si>
    <t>66:59:0101005</t>
  </si>
  <si>
    <t>66:36:0102032</t>
  </si>
  <si>
    <t>66:36:0107001</t>
  </si>
  <si>
    <t>66:58:0101004</t>
  </si>
  <si>
    <t>66:06:4504004</t>
  </si>
  <si>
    <t>66:25:0101004</t>
  </si>
  <si>
    <t>66:25:1501004</t>
  </si>
  <si>
    <t>66:25:3401018</t>
  </si>
  <si>
    <t>66:58:2902065</t>
  </si>
  <si>
    <t>66:59:0101026</t>
  </si>
  <si>
    <t>66:35:0103007</t>
  </si>
  <si>
    <t>66:58:2101005</t>
  </si>
  <si>
    <t>66:62:0401001</t>
  </si>
  <si>
    <t>66:06:2301005</t>
  </si>
  <si>
    <t>66:06:4501062</t>
  </si>
  <si>
    <t>66:42:0102010</t>
  </si>
  <si>
    <t>66:58:2902042</t>
  </si>
  <si>
    <t>66:59:0209003</t>
  </si>
  <si>
    <t>66:06:4501008</t>
  </si>
  <si>
    <t>66:06:4501052</t>
  </si>
  <si>
    <t>66:06:4501067</t>
  </si>
  <si>
    <t>66:25:1701001</t>
  </si>
  <si>
    <t>66:25:2201016</t>
  </si>
  <si>
    <t>66:58:0109001</t>
  </si>
  <si>
    <t>66:58:0112002</t>
  </si>
  <si>
    <t>66:35:0104009</t>
  </si>
  <si>
    <t>66:35:0104016</t>
  </si>
  <si>
    <t>66:35:0109008</t>
  </si>
  <si>
    <t>66:36:0106018</t>
  </si>
  <si>
    <t>66:36:3003006</t>
  </si>
  <si>
    <t>66:59:0102007</t>
  </si>
  <si>
    <t>66:66:0101021</t>
  </si>
  <si>
    <t>66:06:0201001</t>
  </si>
  <si>
    <t>66:06:3601009</t>
  </si>
  <si>
    <t>66:25:2501002</t>
  </si>
  <si>
    <t>66:25:2001001</t>
  </si>
  <si>
    <t>66:25:2401004</t>
  </si>
  <si>
    <t>66:25:2601031</t>
  </si>
  <si>
    <t>66:25:2601041</t>
  </si>
  <si>
    <t>66:58:0103003</t>
  </si>
  <si>
    <t>66:58:0108002</t>
  </si>
  <si>
    <t>66:58:0112003</t>
  </si>
  <si>
    <t>66:58:2501001</t>
  </si>
  <si>
    <t>66:58:2902019</t>
  </si>
  <si>
    <t>66:59:0102008</t>
  </si>
  <si>
    <t>66:62:0107015</t>
  </si>
  <si>
    <t>66:06:2101006</t>
  </si>
  <si>
    <t>66:06:2301002</t>
  </si>
  <si>
    <t>66:06:2601004</t>
  </si>
  <si>
    <t>66:06:2601021</t>
  </si>
  <si>
    <t>66:25:2901024</t>
  </si>
  <si>
    <t>66:25:3201004</t>
  </si>
  <si>
    <t>66:36:0103015</t>
  </si>
  <si>
    <t>66:36:0106025</t>
  </si>
  <si>
    <t>66:36:0106037</t>
  </si>
  <si>
    <t>66:36:0111016</t>
  </si>
  <si>
    <t>66:36:0111050</t>
  </si>
  <si>
    <t>66:36:0111068</t>
  </si>
  <si>
    <t>66:36:1501027</t>
  </si>
  <si>
    <t>66:06:4505005</t>
  </si>
  <si>
    <t>66:62:0504007</t>
  </si>
  <si>
    <t>66:59:0207002</t>
  </si>
  <si>
    <t>66:06:0801002</t>
  </si>
  <si>
    <t>66:58:0110007</t>
  </si>
  <si>
    <t>66:59:0217013</t>
  </si>
  <si>
    <t>66:36:0701002</t>
  </si>
  <si>
    <t>66:40:0101034</t>
  </si>
  <si>
    <t>66:06:4504008</t>
  </si>
  <si>
    <t>66:06:4504030</t>
  </si>
  <si>
    <t>66:36:3001008</t>
  </si>
  <si>
    <t>66:36:3003002</t>
  </si>
  <si>
    <t>66:36:3101001</t>
  </si>
  <si>
    <t>66:36:3101009</t>
  </si>
  <si>
    <t>66:42:0201005</t>
  </si>
  <si>
    <t>66:25:1325012</t>
  </si>
  <si>
    <t>66:06:2501021</t>
  </si>
  <si>
    <t>66:25:2901028</t>
  </si>
  <si>
    <t>66:35:0101029</t>
  </si>
  <si>
    <t>66:35:0201006</t>
  </si>
  <si>
    <t>66:58:0105003</t>
  </si>
  <si>
    <t>66:06:4501051</t>
  </si>
  <si>
    <t>66:40:0101029</t>
  </si>
  <si>
    <t>66:25:2201014</t>
  </si>
  <si>
    <t>66:25:2601022</t>
  </si>
  <si>
    <t>66:25:4201001</t>
  </si>
  <si>
    <t>66:36:0106001</t>
  </si>
  <si>
    <t>66:58:0101003</t>
  </si>
  <si>
    <t>66:58:0111001</t>
  </si>
  <si>
    <t>66:58:1401001</t>
  </si>
  <si>
    <t>66:58:2301004</t>
  </si>
  <si>
    <t>66:59:0102014</t>
  </si>
  <si>
    <t>66:62:0103003</t>
  </si>
  <si>
    <t>66:62:0201001</t>
  </si>
  <si>
    <t>66:62:0301003</t>
  </si>
  <si>
    <t>66:66:0101025</t>
  </si>
  <si>
    <t>66:06:2301004</t>
  </si>
  <si>
    <t>66:36:0501003</t>
  </si>
  <si>
    <t>66:36:1801003</t>
  </si>
  <si>
    <t>66:36:2001015</t>
  </si>
  <si>
    <t>66:58:0108001</t>
  </si>
  <si>
    <t>66:58:2902003</t>
  </si>
  <si>
    <t>66:73:0101006</t>
  </si>
  <si>
    <t>48</t>
  </si>
  <si>
    <t>66:25:1201002</t>
  </si>
  <si>
    <t>66:36:0102049</t>
  </si>
  <si>
    <t>66:58:2902013</t>
  </si>
  <si>
    <t>66:35:0101011</t>
  </si>
  <si>
    <t>66:58:2902023</t>
  </si>
  <si>
    <t>66:58:2902064</t>
  </si>
  <si>
    <t>66:06:2601012</t>
  </si>
  <si>
    <t>66:25:1307013</t>
  </si>
  <si>
    <t>66:62:0107003</t>
  </si>
  <si>
    <t>66:36:3002006</t>
  </si>
  <si>
    <t>66:06:4501049</t>
  </si>
  <si>
    <t>66:06:4504007</t>
  </si>
  <si>
    <t>66:25:2702001</t>
  </si>
  <si>
    <t>66:06:0401002</t>
  </si>
  <si>
    <t>66:25:1201003</t>
  </si>
  <si>
    <t>66:21:1202001</t>
  </si>
  <si>
    <t>66:25:3001001</t>
  </si>
  <si>
    <t>66:35:0104006</t>
  </si>
  <si>
    <t>66:35:0104015</t>
  </si>
  <si>
    <t>66:35:0202008</t>
  </si>
  <si>
    <t>66:35:0215002</t>
  </si>
  <si>
    <t>66:36:0106030</t>
  </si>
  <si>
    <t>66:25:1501007</t>
  </si>
  <si>
    <t>66:25:1701003</t>
  </si>
  <si>
    <t>66:25:3401005</t>
  </si>
  <si>
    <t>66:25:3401020</t>
  </si>
  <si>
    <t>66:25:4201002</t>
  </si>
  <si>
    <t>66:36:0106015</t>
  </si>
  <si>
    <t>66:36:0106022</t>
  </si>
  <si>
    <t>66:36:0106032</t>
  </si>
  <si>
    <t>66:36:0901003</t>
  </si>
  <si>
    <t>66:36:1301005</t>
  </si>
  <si>
    <t>66:36:1801009</t>
  </si>
  <si>
    <t>66:36:2001012</t>
  </si>
  <si>
    <t>66:58:0108005</t>
  </si>
  <si>
    <t>66:58:0501002</t>
  </si>
  <si>
    <t>66:58:0601001</t>
  </si>
  <si>
    <t>66:59:0208001</t>
  </si>
  <si>
    <t>66:59:0212002</t>
  </si>
  <si>
    <t>66:06:2501015</t>
  </si>
  <si>
    <t>66:06:3501001</t>
  </si>
  <si>
    <t>66:21:0101032</t>
  </si>
  <si>
    <t>66:25:0501020</t>
  </si>
  <si>
    <t>66:06:4101001</t>
  </si>
  <si>
    <t>66:36:3002013</t>
  </si>
  <si>
    <t>66:58:2803036</t>
  </si>
  <si>
    <t>66:59:0102012</t>
  </si>
  <si>
    <t>66:06:4504006</t>
  </si>
  <si>
    <t>66:21:0101072</t>
  </si>
  <si>
    <t>66:25:1201014</t>
  </si>
  <si>
    <t>66:25:2501001</t>
  </si>
  <si>
    <t>66:25:1201005</t>
  </si>
  <si>
    <t>66:06:4501056</t>
  </si>
  <si>
    <t>66:06:4504018</t>
  </si>
  <si>
    <t>66:59:0203003</t>
  </si>
  <si>
    <t>66:25:1318001</t>
  </si>
  <si>
    <t>66:35:0221007</t>
  </si>
  <si>
    <t>66:35:0221011</t>
  </si>
  <si>
    <t>66:25:0501005</t>
  </si>
  <si>
    <t>66:25:2601001</t>
  </si>
  <si>
    <t>66:25:2601030</t>
  </si>
  <si>
    <t>66:25:2601037</t>
  </si>
  <si>
    <t>66:25:2901003</t>
  </si>
  <si>
    <t>66:25:2901026</t>
  </si>
  <si>
    <t>66:36:0102011</t>
  </si>
  <si>
    <t>66:58:0101007</t>
  </si>
  <si>
    <t>66:58:0102005</t>
  </si>
  <si>
    <t>66:58:0104006</t>
  </si>
  <si>
    <t>66:58:0110004</t>
  </si>
  <si>
    <t>66:58:0111006</t>
  </si>
  <si>
    <t>66:25:1201004</t>
  </si>
  <si>
    <t>66:36:2903012</t>
  </si>
  <si>
    <t>66:25:2601017</t>
  </si>
  <si>
    <t>66:36:0106035</t>
  </si>
  <si>
    <t>66:36:0112005</t>
  </si>
  <si>
    <t>66:58:0107003</t>
  </si>
  <si>
    <t>66:58:0113009</t>
  </si>
  <si>
    <t>66:06:3001004</t>
  </si>
  <si>
    <t>66:25:2601014</t>
  </si>
  <si>
    <t>66:25:2901022</t>
  </si>
  <si>
    <t>66:35:0105003</t>
  </si>
  <si>
    <t>66:36:0111067</t>
  </si>
  <si>
    <t>66:59:0211002</t>
  </si>
  <si>
    <t>66:06:2801005</t>
  </si>
  <si>
    <t>66:06:4504010</t>
  </si>
  <si>
    <t>66:58:0118006</t>
  </si>
  <si>
    <t>66:59:0102010</t>
  </si>
  <si>
    <t>66:59:0217012</t>
  </si>
  <si>
    <t>66:06:1701039</t>
  </si>
  <si>
    <t>66:36:1501016</t>
  </si>
  <si>
    <t>66:58:0111009</t>
  </si>
  <si>
    <t>66:36:1501026</t>
  </si>
  <si>
    <t>66:36:3201010</t>
  </si>
  <si>
    <t>66:36:0111034</t>
  </si>
  <si>
    <t>66:06:4501007</t>
  </si>
  <si>
    <t>66:36:3002009</t>
  </si>
  <si>
    <t>66:36:3102004</t>
  </si>
  <si>
    <t>66:06:4501022</t>
  </si>
  <si>
    <t>66:06:4504019</t>
  </si>
  <si>
    <t>66:25:1201012</t>
  </si>
  <si>
    <t>66:25:2601021</t>
  </si>
  <si>
    <t>66:36:3001009</t>
  </si>
  <si>
    <t>66:58:0119001</t>
  </si>
  <si>
    <t>66:35:0218013</t>
  </si>
  <si>
    <t>66:21:1203002</t>
  </si>
  <si>
    <t>66:36:0111035</t>
  </si>
  <si>
    <t>66:58:1201003</t>
  </si>
  <si>
    <t>66:25:1701002</t>
  </si>
  <si>
    <t>66:36:0102056</t>
  </si>
  <si>
    <t>66:36:0102058</t>
  </si>
  <si>
    <t>66:58:0105001</t>
  </si>
  <si>
    <t>66:58:0118007</t>
  </si>
  <si>
    <t>66:58:0801003</t>
  </si>
  <si>
    <t>66:62:0102006</t>
  </si>
  <si>
    <t>66:35:0104010</t>
  </si>
  <si>
    <t>66:36:3003004</t>
  </si>
  <si>
    <t>66:06:3001001</t>
  </si>
  <si>
    <t>66:25:2711001</t>
  </si>
  <si>
    <t>66:36:1801012</t>
  </si>
  <si>
    <t>66:58:2902059</t>
  </si>
  <si>
    <t>66:66:0101012</t>
  </si>
  <si>
    <t>66:40:0101002</t>
  </si>
  <si>
    <t>66:06:0401010</t>
  </si>
  <si>
    <t>66:25:0801001</t>
  </si>
  <si>
    <t>66:73:0101003</t>
  </si>
  <si>
    <t>66:35:0107003</t>
  </si>
  <si>
    <t>66:58:0108003</t>
  </si>
  <si>
    <t>66:58:0113006</t>
  </si>
  <si>
    <t>66:58:0119007</t>
  </si>
  <si>
    <t>66:66:0101004</t>
  </si>
  <si>
    <t>66:06:1701061</t>
  </si>
  <si>
    <t>66:06:1901007</t>
  </si>
  <si>
    <t>66:40:0101009</t>
  </si>
  <si>
    <t>66:40:0101025</t>
  </si>
  <si>
    <t>66:58:2902038</t>
  </si>
  <si>
    <t>66:36:2903001</t>
  </si>
  <si>
    <t>66:66:0101036</t>
  </si>
  <si>
    <t>66:25:1201028</t>
  </si>
  <si>
    <t>66:25:3201005</t>
  </si>
  <si>
    <t>66:36:2903008</t>
  </si>
  <si>
    <t>66:58:0120007</t>
  </si>
  <si>
    <t>66:06:4501053</t>
  </si>
  <si>
    <t>66:06:2501022</t>
  </si>
  <si>
    <t>66:58:2803004</t>
  </si>
  <si>
    <t>66:58:0101005</t>
  </si>
  <si>
    <t>66:06:2501013</t>
  </si>
  <si>
    <t>66:06:3001003</t>
  </si>
  <si>
    <t>66:25:3401002</t>
  </si>
  <si>
    <t>66:36:0111059</t>
  </si>
  <si>
    <t>66:36:0401001</t>
  </si>
  <si>
    <t>66:58:0120014</t>
  </si>
  <si>
    <t>66:66:0101022</t>
  </si>
  <si>
    <t>66:58:0118010</t>
  </si>
  <si>
    <t>66:21:0101004</t>
  </si>
  <si>
    <t>66:21:1201005</t>
  </si>
  <si>
    <t>66:25:2901005</t>
  </si>
  <si>
    <t>66:36:3001001</t>
  </si>
  <si>
    <t>66:35:0224004</t>
  </si>
  <si>
    <t>66:35:0221010</t>
  </si>
  <si>
    <t>66:36:0102004</t>
  </si>
  <si>
    <t>66:58:2803034</t>
  </si>
  <si>
    <t>66:06:3501002</t>
  </si>
  <si>
    <t>66:06:3601005</t>
  </si>
  <si>
    <t>66:06:4301011</t>
  </si>
  <si>
    <t>66:25:2901021</t>
  </si>
  <si>
    <t>66:25:3401016</t>
  </si>
  <si>
    <t>66:66:0101030</t>
  </si>
  <si>
    <t>66:58:2101002</t>
  </si>
  <si>
    <t>66:59:0103002</t>
  </si>
  <si>
    <t>66:25:2601036</t>
  </si>
  <si>
    <t>66:35:0207018</t>
  </si>
  <si>
    <t>66:58:0106001</t>
  </si>
  <si>
    <t>66:06:4501009</t>
  </si>
  <si>
    <t>66:36:0111056</t>
  </si>
  <si>
    <t>66:40:0101023</t>
  </si>
  <si>
    <t>66:36:3201001</t>
  </si>
  <si>
    <t>66:25:0201016</t>
  </si>
  <si>
    <t>66:25:0801002</t>
  </si>
  <si>
    <t>66:36:1701004</t>
  </si>
  <si>
    <t>66:25:2601010</t>
  </si>
  <si>
    <t>66:35:0202004</t>
  </si>
  <si>
    <t>66:36:1301010</t>
  </si>
  <si>
    <t>66:62:0107004</t>
  </si>
  <si>
    <t>66:62:0107008</t>
  </si>
  <si>
    <t>66:35:0224002</t>
  </si>
  <si>
    <t>66:06:4301005</t>
  </si>
  <si>
    <t>66:36:3001019</t>
  </si>
  <si>
    <t>66:21:1401003</t>
  </si>
  <si>
    <t>66:58:0101006</t>
  </si>
  <si>
    <t>66:06:3801001</t>
  </si>
  <si>
    <t>66:25:0202003</t>
  </si>
  <si>
    <t>66:36:0106027</t>
  </si>
  <si>
    <t>66:06:1701023</t>
  </si>
  <si>
    <t>66:36:0106014</t>
  </si>
  <si>
    <t>66:36:2903016</t>
  </si>
  <si>
    <t>66:25:1001005</t>
  </si>
  <si>
    <t>66:21:0101024</t>
  </si>
  <si>
    <t>66:58:0110005</t>
  </si>
  <si>
    <t>66:25:0103002</t>
  </si>
  <si>
    <t>66:58:0107004</t>
  </si>
  <si>
    <t>66:58:0117003</t>
  </si>
  <si>
    <t>66:58:2901002</t>
  </si>
  <si>
    <t>66:59:0207001</t>
  </si>
  <si>
    <t>66:25:2801009</t>
  </si>
  <si>
    <t>66:06:2601003</t>
  </si>
  <si>
    <t>66:33:0101009</t>
  </si>
  <si>
    <t>66:58:0108006</t>
  </si>
  <si>
    <t>66:58:0117002</t>
  </si>
  <si>
    <t>Тип ИЖС</t>
  </si>
  <si>
    <t>Наименование кот поселка/ сад тов</t>
  </si>
  <si>
    <t>Итоговая группировка</t>
  </si>
  <si>
    <t>КН</t>
  </si>
  <si>
    <t>Зона</t>
  </si>
  <si>
    <t>MO</t>
  </si>
  <si>
    <t>ZonaIGS</t>
  </si>
  <si>
    <t>66:06:1401001</t>
  </si>
  <si>
    <t>66:06:4503005</t>
  </si>
  <si>
    <t>66:06:4503008</t>
  </si>
  <si>
    <t>66:06:2001001</t>
  </si>
  <si>
    <t>66:06:2001003</t>
  </si>
  <si>
    <t>66:06:2001004</t>
  </si>
  <si>
    <t>66:06:2001005</t>
  </si>
  <si>
    <t>66:06:4503004</t>
  </si>
  <si>
    <t>66:06:4503006</t>
  </si>
  <si>
    <t>47</t>
  </si>
  <si>
    <t>sw3</t>
  </si>
  <si>
    <t>66:06:4503007</t>
  </si>
  <si>
    <t>66:06:1801001</t>
  </si>
  <si>
    <t>66:06:1901002</t>
  </si>
  <si>
    <t>66:06:1901003</t>
  </si>
  <si>
    <t>66:06:1901004</t>
  </si>
  <si>
    <t>66:06:1901005</t>
  </si>
  <si>
    <t>66:06:1901006</t>
  </si>
  <si>
    <t>66:06:4503001</t>
  </si>
  <si>
    <t>66:06:2301006</t>
  </si>
  <si>
    <t>66:06:2301003</t>
  </si>
  <si>
    <t>66:06:2301008</t>
  </si>
  <si>
    <t>66:06:2301009</t>
  </si>
  <si>
    <t>66:06:4503009</t>
  </si>
  <si>
    <t>66:06:2701006</t>
  </si>
  <si>
    <t>66:06:2201002</t>
  </si>
  <si>
    <t>66:06:2701001</t>
  </si>
  <si>
    <t>66:06:2701002</t>
  </si>
  <si>
    <t>66:06:2701004</t>
  </si>
  <si>
    <t>66:06:2701005</t>
  </si>
  <si>
    <t>66:06:3801002</t>
  </si>
  <si>
    <t>66:06:4503013</t>
  </si>
  <si>
    <t>66:06:4502005</t>
  </si>
  <si>
    <t>66:06:1301001</t>
  </si>
  <si>
    <t>66:06:4502002</t>
  </si>
  <si>
    <t>66:06:4502003</t>
  </si>
  <si>
    <t>66:06:4502004</t>
  </si>
  <si>
    <t>66:06:1701024</t>
  </si>
  <si>
    <t>66:06:1701025</t>
  </si>
  <si>
    <t>66:06:1701026</t>
  </si>
  <si>
    <t>66:06:1701027</t>
  </si>
  <si>
    <t>66:06:1701040</t>
  </si>
  <si>
    <t>66:06:1701068</t>
  </si>
  <si>
    <t>66:42:0101001</t>
  </si>
  <si>
    <t>66:42:0101002</t>
  </si>
  <si>
    <t>66:42:0101003</t>
  </si>
  <si>
    <t>66:42:0101004</t>
  </si>
  <si>
    <t>66:42:0101005</t>
  </si>
  <si>
    <t>66:42:0101006</t>
  </si>
  <si>
    <t>66:42:0101007</t>
  </si>
  <si>
    <t>66:42:0101008</t>
  </si>
  <si>
    <t>66:42:0101009</t>
  </si>
  <si>
    <t>66:42:0101010</t>
  </si>
  <si>
    <t>66:42:0101015</t>
  </si>
  <si>
    <t>66:42:0102002</t>
  </si>
  <si>
    <t>66:42:0102003</t>
  </si>
  <si>
    <t>66:42:0301001</t>
  </si>
  <si>
    <t>66:06:1501002</t>
  </si>
  <si>
    <t>66:06:1501003</t>
  </si>
  <si>
    <t>66:06:1701009</t>
  </si>
  <si>
    <t>66:42:0101034</t>
  </si>
  <si>
    <t>66:42:0102008</t>
  </si>
  <si>
    <t>66:06:1701010</t>
  </si>
  <si>
    <t>66:06:1701011</t>
  </si>
  <si>
    <t>66:06:1701069</t>
  </si>
  <si>
    <t>66:42:0101017</t>
  </si>
  <si>
    <t>66:42:0101014</t>
  </si>
  <si>
    <t>66:42:0101020</t>
  </si>
  <si>
    <t>66:42:0101021</t>
  </si>
  <si>
    <t>66:42:0101022</t>
  </si>
  <si>
    <t>66:42:0101023</t>
  </si>
  <si>
    <t>66:42:0101024</t>
  </si>
  <si>
    <t>66:42:0101025</t>
  </si>
  <si>
    <t>66:42:0101029</t>
  </si>
  <si>
    <t>66:42:0101030</t>
  </si>
  <si>
    <t>66:42:0101037</t>
  </si>
  <si>
    <t>66:42:0102005</t>
  </si>
  <si>
    <t>66:42:0102006</t>
  </si>
  <si>
    <t>66:42:0201002</t>
  </si>
  <si>
    <t>66:42:0101031</t>
  </si>
  <si>
    <t>66:42:0101019</t>
  </si>
  <si>
    <t>66:42:0101011</t>
  </si>
  <si>
    <t>66:42:0101012</t>
  </si>
  <si>
    <t>66:42:0101013</t>
  </si>
  <si>
    <t>66:42:0101016</t>
  </si>
  <si>
    <t>66:42:0101018</t>
  </si>
  <si>
    <t>66:42:0101026</t>
  </si>
  <si>
    <t>66:42:0101027</t>
  </si>
  <si>
    <t>66:42:0101028</t>
  </si>
  <si>
    <t>66:42:0101032</t>
  </si>
  <si>
    <t>66:42:0101033</t>
  </si>
  <si>
    <t>66:42:0101035</t>
  </si>
  <si>
    <t>66:42:0101036</t>
  </si>
  <si>
    <t>66:42:0401002</t>
  </si>
  <si>
    <t>66:42:0401003</t>
  </si>
  <si>
    <t>66:42:0401004</t>
  </si>
  <si>
    <t>66:42:0401005</t>
  </si>
  <si>
    <t>66:42:0401006</t>
  </si>
  <si>
    <t>66:42:0401007</t>
  </si>
  <si>
    <t>bezr_2</t>
  </si>
  <si>
    <t>66:35:0201002</t>
  </si>
  <si>
    <t>66:35:0201003</t>
  </si>
  <si>
    <t>66:35:0202006</t>
  </si>
  <si>
    <t>66:35:0202007</t>
  </si>
  <si>
    <t>66:35:0202009</t>
  </si>
  <si>
    <t>66:35:0202010</t>
  </si>
  <si>
    <t>66:35:0202011</t>
  </si>
  <si>
    <t>66:35:0218001</t>
  </si>
  <si>
    <t>66:35:0218002</t>
  </si>
  <si>
    <t>66:35:0218006</t>
  </si>
  <si>
    <t>66:66:0201002</t>
  </si>
  <si>
    <t>66:66:0201001</t>
  </si>
  <si>
    <t>66:42:0201001</t>
  </si>
  <si>
    <t>66:35:0221008</t>
  </si>
  <si>
    <t>66:35:0202001</t>
  </si>
  <si>
    <t>66:35:0202002</t>
  </si>
  <si>
    <t>66:35:0202005</t>
  </si>
  <si>
    <t>66:35:0219001</t>
  </si>
  <si>
    <t>66:35:0219002</t>
  </si>
  <si>
    <t>66:35:0219004</t>
  </si>
  <si>
    <t>66:35:0219005</t>
  </si>
  <si>
    <t>66:35:0219006</t>
  </si>
  <si>
    <t>66:35:0219007</t>
  </si>
  <si>
    <t>66:35:0219013</t>
  </si>
  <si>
    <t>66:35:0219014</t>
  </si>
  <si>
    <t>66:35:0219015</t>
  </si>
  <si>
    <t>66:35:0219016</t>
  </si>
  <si>
    <t>66:35:0201007</t>
  </si>
  <si>
    <t>66:35:0205001</t>
  </si>
  <si>
    <t>66:35:0205002</t>
  </si>
  <si>
    <t>66:35:0205003</t>
  </si>
  <si>
    <t>66:35:0207016</t>
  </si>
  <si>
    <t>66:35:0207011</t>
  </si>
  <si>
    <t>66:35:0207004</t>
  </si>
  <si>
    <t>66:35:0207006</t>
  </si>
  <si>
    <t>66:35:0207007</t>
  </si>
  <si>
    <t>66:35:0207012</t>
  </si>
  <si>
    <t>66:35:0207013</t>
  </si>
  <si>
    <t>66:35:0207014</t>
  </si>
  <si>
    <t>66:35:0201001</t>
  </si>
  <si>
    <t>66:35:0206002</t>
  </si>
  <si>
    <t>66:35:0206003</t>
  </si>
  <si>
    <t>66:36:0601001</t>
  </si>
  <si>
    <t>66:36:2901007</t>
  </si>
  <si>
    <t>66:35:0219010</t>
  </si>
  <si>
    <t>66:35:0201004</t>
  </si>
  <si>
    <t>66:35:0201005</t>
  </si>
  <si>
    <t>66:35:0203003</t>
  </si>
  <si>
    <t>66:35:0204001</t>
  </si>
  <si>
    <t>66:35:0204002</t>
  </si>
  <si>
    <t>66:35:0204003</t>
  </si>
  <si>
    <t>66:35:0204004</t>
  </si>
  <si>
    <t>66:35:0219009</t>
  </si>
  <si>
    <t>66:35:0219011</t>
  </si>
  <si>
    <t>66:35:0219012</t>
  </si>
  <si>
    <t>66:35:0213001</t>
  </si>
  <si>
    <t>66:35:0218008</t>
  </si>
  <si>
    <t>66:35:0218009</t>
  </si>
  <si>
    <t>66:35:0218010</t>
  </si>
  <si>
    <t>66:35:0218011</t>
  </si>
  <si>
    <t>66:35:0220002</t>
  </si>
  <si>
    <t>66:35:0212012</t>
  </si>
  <si>
    <t>66:36:3201007</t>
  </si>
  <si>
    <t>66:35:0201011</t>
  </si>
  <si>
    <t>66:35:0212001</t>
  </si>
  <si>
    <t>66:35:0212009</t>
  </si>
  <si>
    <t>66:35:0212010</t>
  </si>
  <si>
    <t>66:35:0212011</t>
  </si>
  <si>
    <t>66:35:0212013</t>
  </si>
  <si>
    <t>66:35:0212015</t>
  </si>
  <si>
    <t>66:35:0214001</t>
  </si>
  <si>
    <t>66:35:0221003</t>
  </si>
  <si>
    <t>66:35:0212006</t>
  </si>
  <si>
    <t>66:36:3201011</t>
  </si>
  <si>
    <t>66:36:3201012</t>
  </si>
  <si>
    <t>66:35:0212002</t>
  </si>
  <si>
    <t>66:35:0212003</t>
  </si>
  <si>
    <t>66:35:0212004</t>
  </si>
  <si>
    <t>66:35:0212005</t>
  </si>
  <si>
    <t>66:35:0212007</t>
  </si>
  <si>
    <t>66:35:0212017</t>
  </si>
  <si>
    <t>66:35:0215003</t>
  </si>
  <si>
    <t>66:35:0215004</t>
  </si>
  <si>
    <t>66:35:0215007</t>
  </si>
  <si>
    <t>66:35:0221002</t>
  </si>
  <si>
    <t>66:36:0103012</t>
  </si>
  <si>
    <t>66:35:0209002</t>
  </si>
  <si>
    <t>66:36:1301013</t>
  </si>
  <si>
    <t>66:36:3201004</t>
  </si>
  <si>
    <t>66:35:0201008</t>
  </si>
  <si>
    <t>66:35:0208004</t>
  </si>
  <si>
    <t>66:35:0209001</t>
  </si>
  <si>
    <t>66:35:0210001</t>
  </si>
  <si>
    <t>66:35:0210002</t>
  </si>
  <si>
    <t>66:35:0210003</t>
  </si>
  <si>
    <t>66:36:3202002</t>
  </si>
  <si>
    <t>66:36:3201002</t>
  </si>
  <si>
    <t>66:36:3201009</t>
  </si>
  <si>
    <t>66:36:3202003</t>
  </si>
  <si>
    <t>66:35:0211002</t>
  </si>
  <si>
    <t>66:35:0211003</t>
  </si>
  <si>
    <t>66:36:1401002</t>
  </si>
  <si>
    <t>66:36:1301004</t>
  </si>
  <si>
    <t>66:36:1301006</t>
  </si>
  <si>
    <t>66:36:1301016</t>
  </si>
  <si>
    <t>66:36:1301017</t>
  </si>
  <si>
    <t>66:36:3201003</t>
  </si>
  <si>
    <t>66:35:0201009</t>
  </si>
  <si>
    <t>66:35:0201010</t>
  </si>
  <si>
    <t>66:36:1001002</t>
  </si>
  <si>
    <t>66:36:2906001</t>
  </si>
  <si>
    <t>66:36:2906002</t>
  </si>
  <si>
    <t>66:36:2906003</t>
  </si>
  <si>
    <t>66:36:2906004</t>
  </si>
  <si>
    <t>66:36:2906005</t>
  </si>
  <si>
    <t>66:36:2001020</t>
  </si>
  <si>
    <t>66:36:2001013</t>
  </si>
  <si>
    <t>66:36:2001002</t>
  </si>
  <si>
    <t>66:36:2001009</t>
  </si>
  <si>
    <t>66:36:2001017</t>
  </si>
  <si>
    <t>66:36:2001018</t>
  </si>
  <si>
    <t>66:36:3201008</t>
  </si>
  <si>
    <t>66:36:3202001</t>
  </si>
  <si>
    <t>66:36:0107006</t>
  </si>
  <si>
    <t>66:36:0107002</t>
  </si>
  <si>
    <t>66:36:0107003</t>
  </si>
  <si>
    <t>66:36:0107004</t>
  </si>
  <si>
    <t>66:36:0107005</t>
  </si>
  <si>
    <t>66:36:2101002</t>
  </si>
  <si>
    <t>66:36:2301004</t>
  </si>
  <si>
    <t>66:36:3201014</t>
  </si>
  <si>
    <t>66:36:3201015</t>
  </si>
  <si>
    <t>66:36:3202004</t>
  </si>
  <si>
    <t>66:36:2001001</t>
  </si>
  <si>
    <t>66:36:2001003</t>
  </si>
  <si>
    <t>66:36:2001004</t>
  </si>
  <si>
    <t>66:36:2001008</t>
  </si>
  <si>
    <t>66:36:2001016</t>
  </si>
  <si>
    <t>66:36:0102041</t>
  </si>
  <si>
    <t>66:36:0102018</t>
  </si>
  <si>
    <t>66:36:0102024</t>
  </si>
  <si>
    <t>66:36:0102040</t>
  </si>
  <si>
    <t>66:36:0102051</t>
  </si>
  <si>
    <t>66:36:0102057</t>
  </si>
  <si>
    <t>66:36:0102059</t>
  </si>
  <si>
    <t>66:36:0102065</t>
  </si>
  <si>
    <t>66:36:0102066</t>
  </si>
  <si>
    <t>66:36:0102072</t>
  </si>
  <si>
    <t>66:36:0701006</t>
  </si>
  <si>
    <t>66:36:0701010</t>
  </si>
  <si>
    <t>66:36:0701019</t>
  </si>
  <si>
    <t>66:36:0901002</t>
  </si>
  <si>
    <t>66:36:0901004</t>
  </si>
  <si>
    <t>66:36:1201002</t>
  </si>
  <si>
    <t>66:36:1201003</t>
  </si>
  <si>
    <t>66:36:1201004</t>
  </si>
  <si>
    <t>66:36:0102055</t>
  </si>
  <si>
    <t>66:36:0102027</t>
  </si>
  <si>
    <t>66:36:0102025</t>
  </si>
  <si>
    <t>66:36:0102033</t>
  </si>
  <si>
    <t>66:36:0102034</t>
  </si>
  <si>
    <t>66:36:0102035</t>
  </si>
  <si>
    <t>66:36:0102037</t>
  </si>
  <si>
    <t>66:36:0102038</t>
  </si>
  <si>
    <t>66:36:0102039</t>
  </si>
  <si>
    <t>66:36:0102046</t>
  </si>
  <si>
    <t>66:36:0102047</t>
  </si>
  <si>
    <t>66:36:0102048</t>
  </si>
  <si>
    <t>66:36:0102054</t>
  </si>
  <si>
    <t>66:36:0102063</t>
  </si>
  <si>
    <t>66:36:0102064</t>
  </si>
  <si>
    <t>66:36:0105001</t>
  </si>
  <si>
    <t>66:36:0105002</t>
  </si>
  <si>
    <t>66:36:0105003</t>
  </si>
  <si>
    <t>66:36:0102003</t>
  </si>
  <si>
    <t>66:36:0102007</t>
  </si>
  <si>
    <t>66:36:0102014</t>
  </si>
  <si>
    <t>66:36:0102015</t>
  </si>
  <si>
    <t>66:36:0102020</t>
  </si>
  <si>
    <t>66:36:0102021</t>
  </si>
  <si>
    <t>66:36:0102030</t>
  </si>
  <si>
    <t>66:36:0102005</t>
  </si>
  <si>
    <t>66:36:0101001</t>
  </si>
  <si>
    <t>66:36:0102001</t>
  </si>
  <si>
    <t>66:36:0102002</t>
  </si>
  <si>
    <t>66:36:0102006</t>
  </si>
  <si>
    <t>66:36:0102013</t>
  </si>
  <si>
    <t>66:36:0102019</t>
  </si>
  <si>
    <t>66:36:0102028</t>
  </si>
  <si>
    <t>66:36:0102029</t>
  </si>
  <si>
    <t>66:36:0102042</t>
  </si>
  <si>
    <t>66:36:0102043</t>
  </si>
  <si>
    <t>66:36:0103004</t>
  </si>
  <si>
    <t>66:36:0102070</t>
  </si>
  <si>
    <t>66:36:0102031</t>
  </si>
  <si>
    <t>66:36:0102036</t>
  </si>
  <si>
    <t>66:36:0102044</t>
  </si>
  <si>
    <t>66:36:0102045</t>
  </si>
  <si>
    <t>66:36:0102052</t>
  </si>
  <si>
    <t>66:36:0102053</t>
  </si>
  <si>
    <t>66:36:0102060</t>
  </si>
  <si>
    <t>66:36:0102061</t>
  </si>
  <si>
    <t>66:36:0102062</t>
  </si>
  <si>
    <t>66:36:0102067</t>
  </si>
  <si>
    <t>66:36:0102069</t>
  </si>
  <si>
    <t>66:36:0102071</t>
  </si>
  <si>
    <t>66:36:0103005</t>
  </si>
  <si>
    <t>66:36:0103006</t>
  </si>
  <si>
    <t>66:36:0103007</t>
  </si>
  <si>
    <t>66:36:0103008</t>
  </si>
  <si>
    <t>66:36:0103009</t>
  </si>
  <si>
    <t>66:36:0102008</t>
  </si>
  <si>
    <t>66:36:0102009</t>
  </si>
  <si>
    <t>66:36:0102010</t>
  </si>
  <si>
    <t>66:36:0102016</t>
  </si>
  <si>
    <t>66:36:0102017</t>
  </si>
  <si>
    <t>66:36:0102022</t>
  </si>
  <si>
    <t>66:36:0102023</t>
  </si>
  <si>
    <t>66:36:0103001</t>
  </si>
  <si>
    <t>66:36:0103002</t>
  </si>
  <si>
    <t>66:36:0103003</t>
  </si>
  <si>
    <t>66:36:1801006</t>
  </si>
  <si>
    <t>66:36:1801007</t>
  </si>
  <si>
    <t>66:36:1801008</t>
  </si>
  <si>
    <t>66:36:1801010</t>
  </si>
  <si>
    <t>66:36:1801011</t>
  </si>
  <si>
    <t>66:36:1801013</t>
  </si>
  <si>
    <t>66:36:2902008</t>
  </si>
  <si>
    <t>66:36:0501001</t>
  </si>
  <si>
    <t>66:36:0501002</t>
  </si>
  <si>
    <t>66:36:2901002</t>
  </si>
  <si>
    <t>66:36:2901003</t>
  </si>
  <si>
    <t>66:36:2901005</t>
  </si>
  <si>
    <t>66:36:2901006</t>
  </si>
  <si>
    <t>66:36:2902001</t>
  </si>
  <si>
    <t>66:36:2902002</t>
  </si>
  <si>
    <t>66:36:2902004</t>
  </si>
  <si>
    <t>66:36:2902005</t>
  </si>
  <si>
    <t>66:36:2902006</t>
  </si>
  <si>
    <t>66:36:2902007</t>
  </si>
  <si>
    <t>66:36:2905001</t>
  </si>
  <si>
    <t>66:36:2903005</t>
  </si>
  <si>
    <t>66:36:2903006</t>
  </si>
  <si>
    <t>66:36:2903007</t>
  </si>
  <si>
    <t>66:36:0201001</t>
  </si>
  <si>
    <t>66:36:0201002</t>
  </si>
  <si>
    <t>66:36:0201003</t>
  </si>
  <si>
    <t>66:36:0201004</t>
  </si>
  <si>
    <t>66:36:0301001</t>
  </si>
  <si>
    <t>66:36:2801002</t>
  </si>
  <si>
    <t>66:36:2801003</t>
  </si>
  <si>
    <t>66:36:2801004</t>
  </si>
  <si>
    <t>66:36:2801005</t>
  </si>
  <si>
    <t>66:36:2904001</t>
  </si>
  <si>
    <t>66:36:0801003</t>
  </si>
  <si>
    <t>66:36:0801002</t>
  </si>
  <si>
    <t>66:36:2903002</t>
  </si>
  <si>
    <t>66:36:2903003</t>
  </si>
  <si>
    <t>66:36:2903004</t>
  </si>
  <si>
    <t>66:36:2904002</t>
  </si>
  <si>
    <t>66:36:2904003</t>
  </si>
  <si>
    <t>66:36:2904004</t>
  </si>
  <si>
    <t>66:36:2904005</t>
  </si>
  <si>
    <t>66:36:2904006</t>
  </si>
  <si>
    <t>66:36:0801004</t>
  </si>
  <si>
    <t>66:36:0801007</t>
  </si>
  <si>
    <t>66:36:0801008</t>
  </si>
  <si>
    <t>66:36:0801009</t>
  </si>
  <si>
    <t>66:36:0701008</t>
  </si>
  <si>
    <t>66:36:0701005</t>
  </si>
  <si>
    <t>66:36:0701007</t>
  </si>
  <si>
    <t>66:36:0701009</t>
  </si>
  <si>
    <t>66:36:0701012</t>
  </si>
  <si>
    <t>66:36:0701013</t>
  </si>
  <si>
    <t>66:36:0701014</t>
  </si>
  <si>
    <t>66:36:0701018</t>
  </si>
  <si>
    <t>66:36:2001022</t>
  </si>
  <si>
    <t>66:36:2401001</t>
  </si>
  <si>
    <t>66:36:3001017</t>
  </si>
  <si>
    <t>66:36:3001020</t>
  </si>
  <si>
    <t>66:36:3001021</t>
  </si>
  <si>
    <t>66:36:3201005</t>
  </si>
  <si>
    <t>66:36:3201006</t>
  </si>
  <si>
    <t>66:36:2903011</t>
  </si>
  <si>
    <t>66:36:2601001</t>
  </si>
  <si>
    <t>66:36:2601002</t>
  </si>
  <si>
    <t>66:36:2903013</t>
  </si>
  <si>
    <t>66:36:2903014</t>
  </si>
  <si>
    <t>66:36:2903015</t>
  </si>
  <si>
    <t>66:36:3001004</t>
  </si>
  <si>
    <t>66:36:3001011</t>
  </si>
  <si>
    <t>66:36:3001013</t>
  </si>
  <si>
    <t>66:36:2802002</t>
  </si>
  <si>
    <t>66:36:2801007</t>
  </si>
  <si>
    <t>66:36:2801008</t>
  </si>
  <si>
    <t>66:36:2802001</t>
  </si>
  <si>
    <t>66:36:2802003</t>
  </si>
  <si>
    <t>66:36:2802004</t>
  </si>
  <si>
    <t>66:36:2802005</t>
  </si>
  <si>
    <t>66:36:2802006</t>
  </si>
  <si>
    <t>66:36:2802007</t>
  </si>
  <si>
    <t>66:36:2903009</t>
  </si>
  <si>
    <t>66:36:2903010</t>
  </si>
  <si>
    <t>66:36:3001014</t>
  </si>
  <si>
    <t>66:36:2501001</t>
  </si>
  <si>
    <t>66:36:3001003</t>
  </si>
  <si>
    <t>66:36:3001005</t>
  </si>
  <si>
    <t>66:36:3001006</t>
  </si>
  <si>
    <t>66:36:3001007</t>
  </si>
  <si>
    <t>66:36:3001010</t>
  </si>
  <si>
    <t>66:36:3001015</t>
  </si>
  <si>
    <t>66:36:3003001</t>
  </si>
  <si>
    <t>66:36:3001018</t>
  </si>
  <si>
    <t>66:36:3002002</t>
  </si>
  <si>
    <t>66:36:3002003</t>
  </si>
  <si>
    <t>66:36:3002004</t>
  </si>
  <si>
    <t>66:36:3002005</t>
  </si>
  <si>
    <t>66:36:3002007</t>
  </si>
  <si>
    <t>66:36:3002008</t>
  </si>
  <si>
    <t>66:36:3003003</t>
  </si>
  <si>
    <t>66:36:3003005</t>
  </si>
  <si>
    <t>66:36:3003007</t>
  </si>
  <si>
    <t>66:36:3301001</t>
  </si>
  <si>
    <t>66:62:0101001</t>
  </si>
  <si>
    <t>66:62:0101002</t>
  </si>
  <si>
    <t>66:62:0106007</t>
  </si>
  <si>
    <t>66:12:3908004</t>
  </si>
  <si>
    <t>зона влияния ЕКБ на КУ</t>
  </si>
  <si>
    <t>66:12:3908005</t>
  </si>
  <si>
    <t>66:12:7701001</t>
  </si>
  <si>
    <t>66:06:4301007</t>
  </si>
  <si>
    <t>66:06:4301008</t>
  </si>
  <si>
    <t>66:06:4301009</t>
  </si>
  <si>
    <t>66:06:4301010</t>
  </si>
  <si>
    <t>66:06:4504028</t>
  </si>
  <si>
    <t>66:06:4504029</t>
  </si>
  <si>
    <t>66:06:3901001</t>
  </si>
  <si>
    <t>66:06:3901003</t>
  </si>
  <si>
    <t>66:06:3901005</t>
  </si>
  <si>
    <t>66:06:4001001</t>
  </si>
  <si>
    <t>66:06:4504027</t>
  </si>
  <si>
    <t>66:06:1701041</t>
  </si>
  <si>
    <t>66:06:1701042</t>
  </si>
  <si>
    <t>66:06:1701034</t>
  </si>
  <si>
    <t>66:06:1701047</t>
  </si>
  <si>
    <t>66:06:1701049</t>
  </si>
  <si>
    <t>66:06:1701056</t>
  </si>
  <si>
    <t>66:06:1701066</t>
  </si>
  <si>
    <t>66:06:1701067</t>
  </si>
  <si>
    <t>66:06:1101003</t>
  </si>
  <si>
    <t>66:06:1201001</t>
  </si>
  <si>
    <t>66:06:1201004</t>
  </si>
  <si>
    <t>66:06:1201005</t>
  </si>
  <si>
    <t>66:06:4501069</t>
  </si>
  <si>
    <t>66:06:4503002</t>
  </si>
  <si>
    <t>66:06:4503011</t>
  </si>
  <si>
    <t>66:06:4503012</t>
  </si>
  <si>
    <t>66:06:2601020</t>
  </si>
  <si>
    <t>66:06:2601001</t>
  </si>
  <si>
    <t>66:06:2601002</t>
  </si>
  <si>
    <t>66:06:2601015</t>
  </si>
  <si>
    <t>66:06:2601016</t>
  </si>
  <si>
    <t>66:06:2601017</t>
  </si>
  <si>
    <t>66:06:2601018</t>
  </si>
  <si>
    <t>66:06:2601019</t>
  </si>
  <si>
    <t>66:06:2601022</t>
  </si>
  <si>
    <t>66:06:2601023</t>
  </si>
  <si>
    <t>66:06:2601024</t>
  </si>
  <si>
    <t>66:06:4503010</t>
  </si>
  <si>
    <t>66:06:1701030</t>
  </si>
  <si>
    <t>66:06:1701032</t>
  </si>
  <si>
    <t>66:06:1701044</t>
  </si>
  <si>
    <t>66:06:1701046</t>
  </si>
  <si>
    <t>66:06:1701053</t>
  </si>
  <si>
    <t>66:06:1701054</t>
  </si>
  <si>
    <t>66:06:1701055</t>
  </si>
  <si>
    <t>66:06:1701058</t>
  </si>
  <si>
    <t>66:06:1701064</t>
  </si>
  <si>
    <t>66:06:1701071</t>
  </si>
  <si>
    <t>66:06:4503003</t>
  </si>
  <si>
    <t>66:06:4301003</t>
  </si>
  <si>
    <t>66:06:3701006</t>
  </si>
  <si>
    <t>66:06:3701001</t>
  </si>
  <si>
    <t>66:06:3701002</t>
  </si>
  <si>
    <t>66:06:3701003</t>
  </si>
  <si>
    <t>66:06:3701005</t>
  </si>
  <si>
    <t>66:06:4301004</t>
  </si>
  <si>
    <t>66:06:4301012</t>
  </si>
  <si>
    <t>66:06:4504020</t>
  </si>
  <si>
    <t>66:06:4201001</t>
  </si>
  <si>
    <t>66:06:4201002</t>
  </si>
  <si>
    <t>66:06:4201003</t>
  </si>
  <si>
    <t>66:06:4504021</t>
  </si>
  <si>
    <t>66:06:4504022</t>
  </si>
  <si>
    <t>66:06:4504024</t>
  </si>
  <si>
    <t>66:06:4504025</t>
  </si>
  <si>
    <t>66:06:4506001</t>
  </si>
  <si>
    <t>66:06:4506002</t>
  </si>
  <si>
    <t>66:06:4506003</t>
  </si>
  <si>
    <t>66:06:4506004</t>
  </si>
  <si>
    <t>66:06:4506005</t>
  </si>
  <si>
    <t>66:06:3201008</t>
  </si>
  <si>
    <t>66:06:3201001</t>
  </si>
  <si>
    <t>66:06:3201002</t>
  </si>
  <si>
    <t>66:06:3201003</t>
  </si>
  <si>
    <t>66:06:3201004</t>
  </si>
  <si>
    <t>66:06:3201005</t>
  </si>
  <si>
    <t>66:06:3201006</t>
  </si>
  <si>
    <t>66:06:3301001</t>
  </si>
  <si>
    <t>66:06:3401001</t>
  </si>
  <si>
    <t>66:06:3701007</t>
  </si>
  <si>
    <t>66:06:4504005</t>
  </si>
  <si>
    <t>66:06:4504016</t>
  </si>
  <si>
    <t>66:06:4504017</t>
  </si>
  <si>
    <t>66:06:2601006</t>
  </si>
  <si>
    <t>66:06:2601005</t>
  </si>
  <si>
    <t>66:06:2601009</t>
  </si>
  <si>
    <t>66:06:2601010</t>
  </si>
  <si>
    <t>66:06:2601014</t>
  </si>
  <si>
    <t>66:06:4501071</t>
  </si>
  <si>
    <t>66:06:4505001</t>
  </si>
  <si>
    <t>66:06:4505002</t>
  </si>
  <si>
    <t>66:06:4505004</t>
  </si>
  <si>
    <t>66:06:1001001</t>
  </si>
  <si>
    <t>66:06:2101001</t>
  </si>
  <si>
    <t>66:06:3101002</t>
  </si>
  <si>
    <t>66:06:3001002</t>
  </si>
  <si>
    <t>66:06:3101005</t>
  </si>
  <si>
    <t>66:06:3101008</t>
  </si>
  <si>
    <t>66:06:3101009</t>
  </si>
  <si>
    <t>66:06:4501070</t>
  </si>
  <si>
    <t>66:06:4504012</t>
  </si>
  <si>
    <t>66:06:4504013</t>
  </si>
  <si>
    <t>66:06:4504014</t>
  </si>
  <si>
    <t>66:06:4504015</t>
  </si>
  <si>
    <t>66:06:3101006</t>
  </si>
  <si>
    <t>66:06:3101007</t>
  </si>
  <si>
    <t>66:06:3601002</t>
  </si>
  <si>
    <t>66:06:3601003</t>
  </si>
  <si>
    <t>66:06:3601006</t>
  </si>
  <si>
    <t>66:06:3601008</t>
  </si>
  <si>
    <t>66:06:3601011</t>
  </si>
  <si>
    <t>66:06:2501023</t>
  </si>
  <si>
    <t>66:06:2501010</t>
  </si>
  <si>
    <t>66:06:2501017</t>
  </si>
  <si>
    <t>66:06:2501018</t>
  </si>
  <si>
    <t>66:06:2501024</t>
  </si>
  <si>
    <t>66:06:2501026</t>
  </si>
  <si>
    <t>66:06:2501008</t>
  </si>
  <si>
    <t>66:06:2501005</t>
  </si>
  <si>
    <t>66:06:2501001</t>
  </si>
  <si>
    <t>66:06:2501003</t>
  </si>
  <si>
    <t>66:06:2501004</t>
  </si>
  <si>
    <t>66:06:2501007</t>
  </si>
  <si>
    <t>66:06:2101009</t>
  </si>
  <si>
    <t>66:06:2101002</t>
  </si>
  <si>
    <t>66:06:2101004</t>
  </si>
  <si>
    <t>66:06:2101005</t>
  </si>
  <si>
    <t>66:06:2101007</t>
  </si>
  <si>
    <t>66:06:2101008</t>
  </si>
  <si>
    <t>66:06:4501066</t>
  </si>
  <si>
    <t>66:06:4504009</t>
  </si>
  <si>
    <t>66:06:2501011</t>
  </si>
  <si>
    <t>66:06:2901001</t>
  </si>
  <si>
    <t>66:06:2901002</t>
  </si>
  <si>
    <t>66:06:4501068</t>
  </si>
  <si>
    <t>66:06:4504002</t>
  </si>
  <si>
    <t>66:06:4504003</t>
  </si>
  <si>
    <t>66:06:4504011</t>
  </si>
  <si>
    <t>66:06:4504023</t>
  </si>
  <si>
    <t>66:06:2401001</t>
  </si>
  <si>
    <t>66:06:2401002</t>
  </si>
  <si>
    <t>66:06:2801002</t>
  </si>
  <si>
    <t>66:06:2801003</t>
  </si>
  <si>
    <t>66:06:2801004</t>
  </si>
  <si>
    <t>66:06:0701003</t>
  </si>
  <si>
    <t>66:06:0701002</t>
  </si>
  <si>
    <t>66:06:0701006</t>
  </si>
  <si>
    <t>66:06:0801001</t>
  </si>
  <si>
    <t>66:06:0801003</t>
  </si>
  <si>
    <t>66:06:0801004</t>
  </si>
  <si>
    <t>66:06:0801005</t>
  </si>
  <si>
    <t>66:06:0801007</t>
  </si>
  <si>
    <t>66:06:4501017</t>
  </si>
  <si>
    <t>66:06:4501026</t>
  </si>
  <si>
    <t>66:25:4314001</t>
  </si>
  <si>
    <t>66:25:3618001</t>
  </si>
  <si>
    <t>66:25:4308001</t>
  </si>
  <si>
    <t>66:25:4308002</t>
  </si>
  <si>
    <t>66:25:4308003</t>
  </si>
  <si>
    <t>66:25:4309001</t>
  </si>
  <si>
    <t>66:25:4310002</t>
  </si>
  <si>
    <t>66:25:4311001</t>
  </si>
  <si>
    <t>66:25:4312001</t>
  </si>
  <si>
    <t>66:25:4313001</t>
  </si>
  <si>
    <t>66:25:4315001</t>
  </si>
  <si>
    <t>66:25:4316001</t>
  </si>
  <si>
    <t>66:25:4317001</t>
  </si>
  <si>
    <t>66:25:4601003</t>
  </si>
  <si>
    <t>66:25:3901003</t>
  </si>
  <si>
    <t>66:25:3602001</t>
  </si>
  <si>
    <t>66:25:3602004</t>
  </si>
  <si>
    <t>66:25:3604001</t>
  </si>
  <si>
    <t>66:25:3605001</t>
  </si>
  <si>
    <t>66:25:3606001</t>
  </si>
  <si>
    <t>66:25:3607001</t>
  </si>
  <si>
    <t>66:25:3608001</t>
  </si>
  <si>
    <t>66:25:3608002</t>
  </si>
  <si>
    <t>66:25:3615001</t>
  </si>
  <si>
    <t>66:25:3615003</t>
  </si>
  <si>
    <t>66:25:3615005</t>
  </si>
  <si>
    <t>66:25:3615004</t>
  </si>
  <si>
    <t>66:25:3616001</t>
  </si>
  <si>
    <t>66:25:3619001</t>
  </si>
  <si>
    <t>66:25:3620001</t>
  </si>
  <si>
    <t>66:25:4101003</t>
  </si>
  <si>
    <t>66:25:4310001</t>
  </si>
  <si>
    <t>66:25:4501002</t>
  </si>
  <si>
    <t>66:25:4401003</t>
  </si>
  <si>
    <t>66:25:4304003</t>
  </si>
  <si>
    <t>66:25:3614007</t>
  </si>
  <si>
    <t>66:25:4303001</t>
  </si>
  <si>
    <t>66:25:4303002</t>
  </si>
  <si>
    <t>66:25:4303003</t>
  </si>
  <si>
    <t>66:25:4304001</t>
  </si>
  <si>
    <t>66:25:4304002</t>
  </si>
  <si>
    <t>66:25:4401002</t>
  </si>
  <si>
    <t>66:25:4305001</t>
  </si>
  <si>
    <t>66:25:4306001</t>
  </si>
  <si>
    <t>66:25:4306002</t>
  </si>
  <si>
    <t>66:25:4306003</t>
  </si>
  <si>
    <t>66:25:4306004</t>
  </si>
  <si>
    <t>66:25:4307001</t>
  </si>
  <si>
    <t>66:25:4701001</t>
  </si>
  <si>
    <t>66:25:3617001</t>
  </si>
  <si>
    <t>66:25:3612001</t>
  </si>
  <si>
    <t>66:25:3614001</t>
  </si>
  <si>
    <t>66:25:3614002</t>
  </si>
  <si>
    <t>66:25:3614003</t>
  </si>
  <si>
    <t>66:25:3614004</t>
  </si>
  <si>
    <t>66:25:3617002</t>
  </si>
  <si>
    <t>66:25:3614005</t>
  </si>
  <si>
    <t>66:25:3610001</t>
  </si>
  <si>
    <t>66:25:3613001</t>
  </si>
  <si>
    <t>66:25:4303004</t>
  </si>
  <si>
    <t>66:06:0901004</t>
  </si>
  <si>
    <t>66:06:4501058</t>
  </si>
  <si>
    <t>66:06:4501060</t>
  </si>
  <si>
    <t>66:06:4501061</t>
  </si>
  <si>
    <t>66:06:4501063</t>
  </si>
  <si>
    <t>66:06:4501064</t>
  </si>
  <si>
    <t>66:06:4501065</t>
  </si>
  <si>
    <t>66:06:4501023</t>
  </si>
  <si>
    <t>66:06:4501024</t>
  </si>
  <si>
    <t>66:06:4501025</t>
  </si>
  <si>
    <t>66:06:4501039</t>
  </si>
  <si>
    <t>66:06:4501040</t>
  </si>
  <si>
    <t>66:06:4501041</t>
  </si>
  <si>
    <t>66:06:4501042</t>
  </si>
  <si>
    <t>66:06:4501043</t>
  </si>
  <si>
    <t>66:06:4501044</t>
  </si>
  <si>
    <t>66:25:3602003</t>
  </si>
  <si>
    <t>66:25:1333001</t>
  </si>
  <si>
    <t>66:25:1333002</t>
  </si>
  <si>
    <t>66:25:1336001</t>
  </si>
  <si>
    <t>66:25:3601001</t>
  </si>
  <si>
    <t>66:25:3602002</t>
  </si>
  <si>
    <t>66:25:3603001</t>
  </si>
  <si>
    <t>66:25:1321003</t>
  </si>
  <si>
    <t>66:25:1322001</t>
  </si>
  <si>
    <t>66:25:1322003</t>
  </si>
  <si>
    <t>66:25:1323001</t>
  </si>
  <si>
    <t>66:25:1327001</t>
  </si>
  <si>
    <t>66:25:1331001</t>
  </si>
  <si>
    <t>66:25:1332001</t>
  </si>
  <si>
    <t>66:25:1334001</t>
  </si>
  <si>
    <t>66:25:1335001</t>
  </si>
  <si>
    <t>66:25:2721003</t>
  </si>
  <si>
    <t>66:06:4501047</t>
  </si>
  <si>
    <t>66:06:0601002</t>
  </si>
  <si>
    <t>66:06:4501048</t>
  </si>
  <si>
    <t>66:06:4501050</t>
  </si>
  <si>
    <t>66:06:4501054</t>
  </si>
  <si>
    <t>66:06:4501057</t>
  </si>
  <si>
    <t>66:06:4501032</t>
  </si>
  <si>
    <t>66:06:4501033</t>
  </si>
  <si>
    <t>66:06:4501045</t>
  </si>
  <si>
    <t>66:06:4501046</t>
  </si>
  <si>
    <t>66:06:4501015</t>
  </si>
  <si>
    <t>66:06:0401005</t>
  </si>
  <si>
    <t>66:06:0401006</t>
  </si>
  <si>
    <t>66:06:0401011</t>
  </si>
  <si>
    <t>66:06:4501013</t>
  </si>
  <si>
    <t>66:06:4501014</t>
  </si>
  <si>
    <t>66:06:4501016</t>
  </si>
  <si>
    <t>66:25:2724004</t>
  </si>
  <si>
    <t>66:25:2703002</t>
  </si>
  <si>
    <t>66:25:2724001</t>
  </si>
  <si>
    <t>66:25:2724002</t>
  </si>
  <si>
    <t>66:25:2724003</t>
  </si>
  <si>
    <t>66:25:2724005</t>
  </si>
  <si>
    <t>66:25:2724006</t>
  </si>
  <si>
    <t>66:25:2725001</t>
  </si>
  <si>
    <t>66:25:2726001</t>
  </si>
  <si>
    <t>66:25:2731001</t>
  </si>
  <si>
    <t>66:25:3101001</t>
  </si>
  <si>
    <t>66:25:3501001</t>
  </si>
  <si>
    <t>66:25:3701001</t>
  </si>
  <si>
    <t>66:25:3701002</t>
  </si>
  <si>
    <t>66:25:3801001</t>
  </si>
  <si>
    <t>66:06:4501019</t>
  </si>
  <si>
    <t>66:06:4501027</t>
  </si>
  <si>
    <t>66:06:4501028</t>
  </si>
  <si>
    <t>66:06:4501029</t>
  </si>
  <si>
    <t>66:06:4501031</t>
  </si>
  <si>
    <t>66:25:2601002</t>
  </si>
  <si>
    <t>66:25:2601003</t>
  </si>
  <si>
    <t>66:25:2601004</t>
  </si>
  <si>
    <t>66:25:2601006</t>
  </si>
  <si>
    <t>66:25:2601007</t>
  </si>
  <si>
    <t>66:25:2601008</t>
  </si>
  <si>
    <t>66:25:2601011</t>
  </si>
  <si>
    <t>66:25:2601013</t>
  </si>
  <si>
    <t>66:25:2721001</t>
  </si>
  <si>
    <t>66:25:1325015</t>
  </si>
  <si>
    <t>66:25:1325007</t>
  </si>
  <si>
    <t>66:25:1325008</t>
  </si>
  <si>
    <t>66:25:1325009</t>
  </si>
  <si>
    <t>66:25:1325011</t>
  </si>
  <si>
    <t>66:25:1325014</t>
  </si>
  <si>
    <t>66:25:1325016</t>
  </si>
  <si>
    <t>66:25:1325017</t>
  </si>
  <si>
    <t>66:25:1325019</t>
  </si>
  <si>
    <t>66:25:1328001</t>
  </si>
  <si>
    <t>66:25:1412001</t>
  </si>
  <si>
    <t>66:25:1414003</t>
  </si>
  <si>
    <t>66:25:2601019</t>
  </si>
  <si>
    <t>66:25:2601026</t>
  </si>
  <si>
    <t>66:25:2601027</t>
  </si>
  <si>
    <t>66:25:2601032</t>
  </si>
  <si>
    <t>66:25:2601038</t>
  </si>
  <si>
    <t>66:25:2601039</t>
  </si>
  <si>
    <t>66:25:2601040</t>
  </si>
  <si>
    <t>66:25:1416022</t>
  </si>
  <si>
    <t>66:25:1417001</t>
  </si>
  <si>
    <t>66:25:2601015</t>
  </si>
  <si>
    <t>66:25:2601016</t>
  </si>
  <si>
    <t>66:25:2601023</t>
  </si>
  <si>
    <t>66:25:2601024</t>
  </si>
  <si>
    <t>66:25:2601028</t>
  </si>
  <si>
    <t>66:25:1414001</t>
  </si>
  <si>
    <t>66:25:1405003</t>
  </si>
  <si>
    <t>66:25:1405004</t>
  </si>
  <si>
    <t>66:25:1414002</t>
  </si>
  <si>
    <t>66:25:1415002</t>
  </si>
  <si>
    <t>66:25:1415004</t>
  </si>
  <si>
    <t>66:25:2601009</t>
  </si>
  <si>
    <t>66:25:2601012</t>
  </si>
  <si>
    <t>66:25:2728002</t>
  </si>
  <si>
    <t>66:25:2723001</t>
  </si>
  <si>
    <t>66:25:2728001</t>
  </si>
  <si>
    <t>66:25:2728003</t>
  </si>
  <si>
    <t>66:25:2729001</t>
  </si>
  <si>
    <t>66:25:3611001</t>
  </si>
  <si>
    <t>66:25:3614006</t>
  </si>
  <si>
    <t>66:25:2901013</t>
  </si>
  <si>
    <t>66:25:2901025</t>
  </si>
  <si>
    <t>66:25:2901032</t>
  </si>
  <si>
    <t>66:25:1416001</t>
  </si>
  <si>
    <t>66:25:1416009</t>
  </si>
  <si>
    <t>66:25:1416011</t>
  </si>
  <si>
    <t>66:25:1416012</t>
  </si>
  <si>
    <t>66:25:1416014</t>
  </si>
  <si>
    <t>66:25:1416016</t>
  </si>
  <si>
    <t>66:25:1416017</t>
  </si>
  <si>
    <t>66:25:1416018</t>
  </si>
  <si>
    <t>66:25:1416021</t>
  </si>
  <si>
    <t>66:25:2711002</t>
  </si>
  <si>
    <t>66:25:2712001</t>
  </si>
  <si>
    <t>66:25:1416007</t>
  </si>
  <si>
    <t>66:25:1416002</t>
  </si>
  <si>
    <t>66:25:1416003</t>
  </si>
  <si>
    <t>66:25:1416004</t>
  </si>
  <si>
    <t>66:25:1416005</t>
  </si>
  <si>
    <t>66:25:1416006</t>
  </si>
  <si>
    <t>66:25:1416008</t>
  </si>
  <si>
    <t>66:25:1416013</t>
  </si>
  <si>
    <t>66:25:1416023</t>
  </si>
  <si>
    <t>66:25:2713001</t>
  </si>
  <si>
    <t>66:25:2710002</t>
  </si>
  <si>
    <t>66:25:2714001</t>
  </si>
  <si>
    <t>66:25:2715001</t>
  </si>
  <si>
    <t>66:25:2716001</t>
  </si>
  <si>
    <t>66:25:2717001</t>
  </si>
  <si>
    <t>66:25:2718001</t>
  </si>
  <si>
    <t>66:25:2901004</t>
  </si>
  <si>
    <t>66:25:2901008</t>
  </si>
  <si>
    <t>66:25:2901015</t>
  </si>
  <si>
    <t>66:25:2901017</t>
  </si>
  <si>
    <t>66:25:2901023</t>
  </si>
  <si>
    <t>66:25:3609001</t>
  </si>
  <si>
    <t>66:25:5001001</t>
  </si>
  <si>
    <t>66:25:2704001</t>
  </si>
  <si>
    <t>66:25:2730001</t>
  </si>
  <si>
    <t>66:25:2706001</t>
  </si>
  <si>
    <t>66:25:4301001</t>
  </si>
  <si>
    <t>66:25:4302001</t>
  </si>
  <si>
    <t>66:25:4302002</t>
  </si>
  <si>
    <t>66:25:3401004</t>
  </si>
  <si>
    <t>66:25:3401008</t>
  </si>
  <si>
    <t>66:25:3401012</t>
  </si>
  <si>
    <t>66:25:3401013</t>
  </si>
  <si>
    <t>66:25:3401017</t>
  </si>
  <si>
    <t>66:25:3401006</t>
  </si>
  <si>
    <t>66:25:3401007</t>
  </si>
  <si>
    <t>66:25:3401011</t>
  </si>
  <si>
    <t>66:25:3401014</t>
  </si>
  <si>
    <t>66:25:3401015</t>
  </si>
  <si>
    <t>66:25:3401019</t>
  </si>
  <si>
    <t>66:25:2707001</t>
  </si>
  <si>
    <t>66:25:2801003</t>
  </si>
  <si>
    <t>66:25:2801002</t>
  </si>
  <si>
    <t>66:25:2708001</t>
  </si>
  <si>
    <t>66:25:2708002</t>
  </si>
  <si>
    <t>66:25:2708003</t>
  </si>
  <si>
    <t>66:25:2708004</t>
  </si>
  <si>
    <t>66:25:2708005</t>
  </si>
  <si>
    <t>66:25:2709001</t>
  </si>
  <si>
    <t>66:25:2709002</t>
  </si>
  <si>
    <t>66:25:2801004</t>
  </si>
  <si>
    <t>66:25:2801010</t>
  </si>
  <si>
    <t>66:25:2720001</t>
  </si>
  <si>
    <t>66:25:2801001</t>
  </si>
  <si>
    <t>66:25:2801005</t>
  </si>
  <si>
    <t>66:25:2801006</t>
  </si>
  <si>
    <t>66:25:2801007</t>
  </si>
  <si>
    <t>66:25:2801008</t>
  </si>
  <si>
    <t>66:25:0310016</t>
  </si>
  <si>
    <t>66:25:0316001</t>
  </si>
  <si>
    <t>66:25:0318001</t>
  </si>
  <si>
    <t>66:25:0324001</t>
  </si>
  <si>
    <t>66:25:0325001</t>
  </si>
  <si>
    <t>66:25:1407001</t>
  </si>
  <si>
    <t>66:25:1407002</t>
  </si>
  <si>
    <t>66:41:0507022</t>
  </si>
  <si>
    <t>66:41:0507027</t>
  </si>
  <si>
    <t>66:41:0507030</t>
  </si>
  <si>
    <t>66:41:0507049</t>
  </si>
  <si>
    <t>66:41:0507067</t>
  </si>
  <si>
    <t>66:41:0507068</t>
  </si>
  <si>
    <t>66:41:0507075</t>
  </si>
  <si>
    <t>66:41:0507077</t>
  </si>
  <si>
    <t>66:41:0507088</t>
  </si>
  <si>
    <t>66:41:0507098</t>
  </si>
  <si>
    <t>66:41:0507103</t>
  </si>
  <si>
    <t>66:41:0507104</t>
  </si>
  <si>
    <t>66:41:0507110</t>
  </si>
  <si>
    <t>66:41:0507111</t>
  </si>
  <si>
    <t>66:41:0507114</t>
  </si>
  <si>
    <t>66:25:0304004</t>
  </si>
  <si>
    <t>66:25:0304005</t>
  </si>
  <si>
    <t>66:41:0515037</t>
  </si>
  <si>
    <t>66:41:0515015</t>
  </si>
  <si>
    <t>66:41:0515019</t>
  </si>
  <si>
    <t>66:41:0515022</t>
  </si>
  <si>
    <t>66:41:0515023</t>
  </si>
  <si>
    <t>66:41:0515024</t>
  </si>
  <si>
    <t>66:41:0515025</t>
  </si>
  <si>
    <t>66:41:0515032</t>
  </si>
  <si>
    <t>66:41:0515033</t>
  </si>
  <si>
    <t>66:41:0515035</t>
  </si>
  <si>
    <t>66:41:0515036</t>
  </si>
  <si>
    <t>66:41:0515038</t>
  </si>
  <si>
    <t>66:41:0515039</t>
  </si>
  <si>
    <t>66:41:0515040</t>
  </si>
  <si>
    <t>66:25:0310006</t>
  </si>
  <si>
    <t>66:25:0310007</t>
  </si>
  <si>
    <t>66:25:0310010</t>
  </si>
  <si>
    <t>66:41:0507012</t>
  </si>
  <si>
    <t>66:41:0505015</t>
  </si>
  <si>
    <t>cc</t>
  </si>
  <si>
    <t>66:41:0505020</t>
  </si>
  <si>
    <t>66:41:0506033</t>
  </si>
  <si>
    <t>66:41:0507004</t>
  </si>
  <si>
    <t>66:41:0507006</t>
  </si>
  <si>
    <t>66:41:0507008</t>
  </si>
  <si>
    <t>66:41:0507009</t>
  </si>
  <si>
    <t>66:41:0507010</t>
  </si>
  <si>
    <t>66:41:0507011</t>
  </si>
  <si>
    <t>66:41:0507013</t>
  </si>
  <si>
    <t>66:41:0507014</t>
  </si>
  <si>
    <t>66:41:0507017</t>
  </si>
  <si>
    <t>66:41:0507019</t>
  </si>
  <si>
    <t>66:41:0507021</t>
  </si>
  <si>
    <t>66:41:0507026</t>
  </si>
  <si>
    <t>66:41:0507034</t>
  </si>
  <si>
    <t>66:41:0529007</t>
  </si>
  <si>
    <t>66:25:0310009</t>
  </si>
  <si>
    <t>66:25:0310013</t>
  </si>
  <si>
    <t>66:25:0310014</t>
  </si>
  <si>
    <t>66:25:0310015</t>
  </si>
  <si>
    <t>66:25:0323001</t>
  </si>
  <si>
    <t>66:25:2701001</t>
  </si>
  <si>
    <t>66:41:0507065</t>
  </si>
  <si>
    <t>66:41:0507066</t>
  </si>
  <si>
    <t>66:41:0507089</t>
  </si>
  <si>
    <t>66:41:0507090</t>
  </si>
  <si>
    <t>66:41:0525901</t>
  </si>
  <si>
    <t>66:41:0507033</t>
  </si>
  <si>
    <t>66:41:0507048</t>
  </si>
  <si>
    <t>66:41:0525001</t>
  </si>
  <si>
    <t>66:41:0525002</t>
  </si>
  <si>
    <t>66:41:0525003</t>
  </si>
  <si>
    <t>66:41:0525004</t>
  </si>
  <si>
    <t>66:41:0525005</t>
  </si>
  <si>
    <t>66:41:0525006</t>
  </si>
  <si>
    <t>66:41:0525007</t>
  </si>
  <si>
    <t>66:41:0525008</t>
  </si>
  <si>
    <t>66:41:0525009</t>
  </si>
  <si>
    <t>66:41:0525010</t>
  </si>
  <si>
    <t>66:41:0525011</t>
  </si>
  <si>
    <t>66:41:0525012</t>
  </si>
  <si>
    <t>66:41:0525013</t>
  </si>
  <si>
    <t>66:25:0317003</t>
  </si>
  <si>
    <t>66:25:0317001</t>
  </si>
  <si>
    <t>66:41:0528005</t>
  </si>
  <si>
    <t>66:41:0514035</t>
  </si>
  <si>
    <t>66:41:0528001</t>
  </si>
  <si>
    <t>66:41:0528002</t>
  </si>
  <si>
    <t>66:41:0528003</t>
  </si>
  <si>
    <t>66:41:0528004</t>
  </si>
  <si>
    <t>66:41:0528006</t>
  </si>
  <si>
    <t>66:41:0528041</t>
  </si>
  <si>
    <t>66:41:0528901</t>
  </si>
  <si>
    <t>66:25:0310004</t>
  </si>
  <si>
    <t>66:25:0310005</t>
  </si>
  <si>
    <t>66:25:0310008</t>
  </si>
  <si>
    <t>66:25:0317002</t>
  </si>
  <si>
    <t>66:25:0317004</t>
  </si>
  <si>
    <t>66:25:0317005</t>
  </si>
  <si>
    <t>66:25:0317006</t>
  </si>
  <si>
    <t>66:41:0507079</t>
  </si>
  <si>
    <t>66:41:0507035</t>
  </si>
  <si>
    <t>66:41:0507064</t>
  </si>
  <si>
    <t>66:41:0507082</t>
  </si>
  <si>
    <t>66:41:0507083</t>
  </si>
  <si>
    <t>66:41:0507085</t>
  </si>
  <si>
    <t>66:41:0507086</t>
  </si>
  <si>
    <t>66:41:0507087</t>
  </si>
  <si>
    <t>66:41:0507113</t>
  </si>
  <si>
    <t>66:41:0506004</t>
  </si>
  <si>
    <t>66:41:0506001</t>
  </si>
  <si>
    <t>66:41:0506002</t>
  </si>
  <si>
    <t>66:41:0506003</t>
  </si>
  <si>
    <t>66:41:0506007</t>
  </si>
  <si>
    <t>66:41:0506009</t>
  </si>
  <si>
    <t>66:41:0506010</t>
  </si>
  <si>
    <t>66:41:0506011</t>
  </si>
  <si>
    <t>66:41:0506012</t>
  </si>
  <si>
    <t>66:41:0506017</t>
  </si>
  <si>
    <t>66:41:0506018</t>
  </si>
  <si>
    <t>66:41:0506031</t>
  </si>
  <si>
    <t>66:41:0507015</t>
  </si>
  <si>
    <t>66:41:0507016</t>
  </si>
  <si>
    <t>66:41:0507023</t>
  </si>
  <si>
    <t>66:41:0507031</t>
  </si>
  <si>
    <t>66:41:0507032</t>
  </si>
  <si>
    <t>66:41:0507047</t>
  </si>
  <si>
    <t>66:41:0507042</t>
  </si>
  <si>
    <t>66:41:0506032</t>
  </si>
  <si>
    <t>66:41:0506034</t>
  </si>
  <si>
    <t>66:41:0506038</t>
  </si>
  <si>
    <t>66:41:0506041</t>
  </si>
  <si>
    <t>66:41:0507003</t>
  </si>
  <si>
    <t>66:41:0507024</t>
  </si>
  <si>
    <t>66:41:0507025</t>
  </si>
  <si>
    <t>66:41:0507043</t>
  </si>
  <si>
    <t>66:41:0507044</t>
  </si>
  <si>
    <t>66:41:0507046</t>
  </si>
  <si>
    <t>66:41:0507062</t>
  </si>
  <si>
    <t>66:41:0507084</t>
  </si>
  <si>
    <t>66:41:0507091</t>
  </si>
  <si>
    <t>66:41:0506023</t>
  </si>
  <si>
    <t>66:41:0506005</t>
  </si>
  <si>
    <t>66:41:0506006</t>
  </si>
  <si>
    <t>66:41:0506014</t>
  </si>
  <si>
    <t>66:41:0506015</t>
  </si>
  <si>
    <t>66:41:0506016</t>
  </si>
  <si>
    <t>66:41:0506019</t>
  </si>
  <si>
    <t>66:41:0506020</t>
  </si>
  <si>
    <t>66:41:0506022</t>
  </si>
  <si>
    <t>66:41:0506025</t>
  </si>
  <si>
    <t>66:41:0506030</t>
  </si>
  <si>
    <t>66:41:0506901</t>
  </si>
  <si>
    <t>66:41:0505028</t>
  </si>
  <si>
    <t>66:41:0505024</t>
  </si>
  <si>
    <t>66:41:0505025</t>
  </si>
  <si>
    <t>66:41:0505027</t>
  </si>
  <si>
    <t>66:41:0505029</t>
  </si>
  <si>
    <t>66:41:0505031</t>
  </si>
  <si>
    <t>66:41:0505033</t>
  </si>
  <si>
    <t>sw4</t>
  </si>
  <si>
    <t>66:41:0505034</t>
  </si>
  <si>
    <t>66:41:0505041</t>
  </si>
  <si>
    <t>66:41:0505044</t>
  </si>
  <si>
    <t>66:41:0506039</t>
  </si>
  <si>
    <t>66:41:0506040</t>
  </si>
  <si>
    <t>66:41:0511027</t>
  </si>
  <si>
    <t>66:41:0526901</t>
  </si>
  <si>
    <t>66:41:0526006</t>
  </si>
  <si>
    <t>66:41:0526007</t>
  </si>
  <si>
    <t>66:41:0526008</t>
  </si>
  <si>
    <t>66:41:0526009</t>
  </si>
  <si>
    <t>66:41:0526012</t>
  </si>
  <si>
    <t>66:41:0526013</t>
  </si>
  <si>
    <t>66:41:0526014</t>
  </si>
  <si>
    <t>66:41:0526015</t>
  </si>
  <si>
    <t>66:41:0526026</t>
  </si>
  <si>
    <t>66:41:0526050</t>
  </si>
  <si>
    <t>66:41:0526001</t>
  </si>
  <si>
    <t>66:41:0526002</t>
  </si>
  <si>
    <t>66:41:0526003</t>
  </si>
  <si>
    <t>66:41:0526004</t>
  </si>
  <si>
    <t>66:41:0526005</t>
  </si>
  <si>
    <t>66:41:0526010</t>
  </si>
  <si>
    <t>66:41:0526011</t>
  </si>
  <si>
    <t>66:41:0526016</t>
  </si>
  <si>
    <t>66:41:0526049</t>
  </si>
  <si>
    <t>66:41:0515027</t>
  </si>
  <si>
    <t>66:41:0514030</t>
  </si>
  <si>
    <t>66:41:0515009</t>
  </si>
  <si>
    <t>66:41:0515010</t>
  </si>
  <si>
    <t>66:41:0515011</t>
  </si>
  <si>
    <t>66:41:0515012</t>
  </si>
  <si>
    <t>66:41:0515013</t>
  </si>
  <si>
    <t>66:41:0515014</t>
  </si>
  <si>
    <t>66:41:0515026</t>
  </si>
  <si>
    <t>66:41:0515028</t>
  </si>
  <si>
    <t>66:41:0515047</t>
  </si>
  <si>
    <t>66:41:0515051</t>
  </si>
  <si>
    <t>66:41:0515052</t>
  </si>
  <si>
    <t>66:41:0515053</t>
  </si>
  <si>
    <t>66:41:0515054</t>
  </si>
  <si>
    <t>66:41:0515055</t>
  </si>
  <si>
    <t>66:41:0520007</t>
  </si>
  <si>
    <t>66:41:0520001</t>
  </si>
  <si>
    <t>66:41:0520002</t>
  </si>
  <si>
    <t>66:41:0520003</t>
  </si>
  <si>
    <t>66:41:0520004</t>
  </si>
  <si>
    <t>66:41:0520005</t>
  </si>
  <si>
    <t>66:41:0520006</t>
  </si>
  <si>
    <t>66:41:0520008</t>
  </si>
  <si>
    <t>66:41:0520010</t>
  </si>
  <si>
    <t>66:41:0520013</t>
  </si>
  <si>
    <t>66:41:0520014</t>
  </si>
  <si>
    <t>66:41:0520015</t>
  </si>
  <si>
    <t>66:41:0520016</t>
  </si>
  <si>
    <t>66:41:0520019</t>
  </si>
  <si>
    <t>66:41:0520901</t>
  </si>
  <si>
    <t>66:41:0514022</t>
  </si>
  <si>
    <t>66:41:0514043</t>
  </si>
  <si>
    <t>66:41:0515021</t>
  </si>
  <si>
    <t>66:41:0515041</t>
  </si>
  <si>
    <t>66:41:0515042</t>
  </si>
  <si>
    <t>66:41:0515045</t>
  </si>
  <si>
    <t>66:41:0515046</t>
  </si>
  <si>
    <t>66:41:0515048</t>
  </si>
  <si>
    <t>66:41:0515902</t>
  </si>
  <si>
    <t>66:25:0310012</t>
  </si>
  <si>
    <t>66:25:0320001</t>
  </si>
  <si>
    <t>66:25:0321001</t>
  </si>
  <si>
    <t>66:25:0322001</t>
  </si>
  <si>
    <t>66:41:0515044</t>
  </si>
  <si>
    <t>66:41:0515007</t>
  </si>
  <si>
    <t>66:41:0515016</t>
  </si>
  <si>
    <t>66:41:0515029</t>
  </si>
  <si>
    <t>66:41:0515030</t>
  </si>
  <si>
    <t>66:41:0515031</t>
  </si>
  <si>
    <t>66:41:0515034</t>
  </si>
  <si>
    <t>66:41:0515901</t>
  </si>
  <si>
    <t>66:41:0518005</t>
  </si>
  <si>
    <t>66:25:2705001</t>
  </si>
  <si>
    <t>66:41:0515003</t>
  </si>
  <si>
    <t>66:41:0514031</t>
  </si>
  <si>
    <t>66:41:0515001</t>
  </si>
  <si>
    <t>66:41:0515002</t>
  </si>
  <si>
    <t>66:41:0515004</t>
  </si>
  <si>
    <t>66:41:0515005</t>
  </si>
  <si>
    <t>66:41:0515006</t>
  </si>
  <si>
    <t>66:41:0515008</t>
  </si>
  <si>
    <t>66:41:0515017</t>
  </si>
  <si>
    <t>66:41:0515018</t>
  </si>
  <si>
    <t>66:41:0515020</t>
  </si>
  <si>
    <t>66:41:0515061</t>
  </si>
  <si>
    <t>66:25:2722001</t>
  </si>
  <si>
    <t>66:25:3201001</t>
  </si>
  <si>
    <t>66:25:3201003</t>
  </si>
  <si>
    <t>66:25:3201006</t>
  </si>
  <si>
    <t>66:06:1701017</t>
  </si>
  <si>
    <t>66:42:0701002</t>
  </si>
  <si>
    <t>66:06:1701002</t>
  </si>
  <si>
    <t>66:06:1701004</t>
  </si>
  <si>
    <t>66:06:1701016</t>
  </si>
  <si>
    <t>66:06:1701045</t>
  </si>
  <si>
    <t>66:42:0201011</t>
  </si>
  <si>
    <t>66:42:0201012</t>
  </si>
  <si>
    <t>66:42:0701004</t>
  </si>
  <si>
    <t>66:42:0701005</t>
  </si>
  <si>
    <t>66:42:0201006</t>
  </si>
  <si>
    <t>66:42:0201007</t>
  </si>
  <si>
    <t>66:42:0201008</t>
  </si>
  <si>
    <t>66:42:0201009</t>
  </si>
  <si>
    <t>66:42:0201010</t>
  </si>
  <si>
    <t>66:42:0201013</t>
  </si>
  <si>
    <t>66:42:0601002</t>
  </si>
  <si>
    <t>66:25:1312002</t>
  </si>
  <si>
    <t>66:73:0101002</t>
  </si>
  <si>
    <t>66:73:0101008</t>
  </si>
  <si>
    <t>66:73:0101009</t>
  </si>
  <si>
    <t>66:73:0101010</t>
  </si>
  <si>
    <t>66:73:0101011</t>
  </si>
  <si>
    <t>66:25:1312001</t>
  </si>
  <si>
    <t>66:25:1313001</t>
  </si>
  <si>
    <t>66:25:1322002</t>
  </si>
  <si>
    <t>66:66:0101002</t>
  </si>
  <si>
    <t>66:66:0101003</t>
  </si>
  <si>
    <t>66:66:0101005</t>
  </si>
  <si>
    <t>66:66:0101009</t>
  </si>
  <si>
    <t>66:66:0101010</t>
  </si>
  <si>
    <t>66:66:0101011</t>
  </si>
  <si>
    <t>66:66:0101029</t>
  </si>
  <si>
    <t>66:66:0101032</t>
  </si>
  <si>
    <t>66:66:0101033</t>
  </si>
  <si>
    <t>66:66:0101034</t>
  </si>
  <si>
    <t>66:73:0101001</t>
  </si>
  <si>
    <t>66:73:0101004</t>
  </si>
  <si>
    <t>66:73:0101005</t>
  </si>
  <si>
    <t>66:73:0101007</t>
  </si>
  <si>
    <t>66:25:1308001</t>
  </si>
  <si>
    <t>66:25:1308003</t>
  </si>
  <si>
    <t>66:25:1308005</t>
  </si>
  <si>
    <t>66:25:1308006</t>
  </si>
  <si>
    <t>66:66:0101019</t>
  </si>
  <si>
    <t>66:66:0101008</t>
  </si>
  <si>
    <t>66:66:0101006</t>
  </si>
  <si>
    <t>66:66:0101001</t>
  </si>
  <si>
    <t>66:66:0101007</t>
  </si>
  <si>
    <t>66:66:0101013</t>
  </si>
  <si>
    <t>66:66:0101014</t>
  </si>
  <si>
    <t>66:66:0101015</t>
  </si>
  <si>
    <t>66:66:0101016</t>
  </si>
  <si>
    <t>66:66:0101017</t>
  </si>
  <si>
    <t>66:66:0101018</t>
  </si>
  <si>
    <t>66:66:0101020</t>
  </si>
  <si>
    <t>66:66:0101026</t>
  </si>
  <si>
    <t>66:66:0101035</t>
  </si>
  <si>
    <t>66:35:0222007</t>
  </si>
  <si>
    <t>66:06:4601001</t>
  </si>
  <si>
    <t>66:35:0222005</t>
  </si>
  <si>
    <t>66:35:0221005</t>
  </si>
  <si>
    <t>66:35:0222002</t>
  </si>
  <si>
    <t>66:35:0222006</t>
  </si>
  <si>
    <t>66:35:0101020</t>
  </si>
  <si>
    <t>66:35:0101021</t>
  </si>
  <si>
    <t>66:35:0101023</t>
  </si>
  <si>
    <t>66:35:0101024</t>
  </si>
  <si>
    <t>66:35:0101025</t>
  </si>
  <si>
    <t>66:35:0101026</t>
  </si>
  <si>
    <t>66:35:0101027</t>
  </si>
  <si>
    <t>66:35:0101028</t>
  </si>
  <si>
    <t>66:35:0106003</t>
  </si>
  <si>
    <t>66:35:0106004</t>
  </si>
  <si>
    <t>66:35:0106005</t>
  </si>
  <si>
    <t>66:35:0101016</t>
  </si>
  <si>
    <t>66:35:0101008</t>
  </si>
  <si>
    <t>66:35:0101015</t>
  </si>
  <si>
    <t>66:35:0101017</t>
  </si>
  <si>
    <t>66:35:0101018</t>
  </si>
  <si>
    <t>66:35:0104001</t>
  </si>
  <si>
    <t>66:35:0104007</t>
  </si>
  <si>
    <t>66:35:0106001</t>
  </si>
  <si>
    <t>66:35:0106002</t>
  </si>
  <si>
    <t>66:35:0104002</t>
  </si>
  <si>
    <t>66:35:0104003</t>
  </si>
  <si>
    <t>66:35:0104005</t>
  </si>
  <si>
    <t>66:35:0104008</t>
  </si>
  <si>
    <t>66:35:0104013</t>
  </si>
  <si>
    <t>66:35:0101005</t>
  </si>
  <si>
    <t>66:35:0101001</t>
  </si>
  <si>
    <t>66:35:0101003</t>
  </si>
  <si>
    <t>66:35:0101004</t>
  </si>
  <si>
    <t>66:35:0101007</t>
  </si>
  <si>
    <t>66:35:0101009</t>
  </si>
  <si>
    <t>66:35:0101010</t>
  </si>
  <si>
    <t>66:35:0101013</t>
  </si>
  <si>
    <t>66:35:0101014</t>
  </si>
  <si>
    <t>66:35:0102001</t>
  </si>
  <si>
    <t>66:35:0102003</t>
  </si>
  <si>
    <t>66:35:0201013</t>
  </si>
  <si>
    <t>66:35:0221004</t>
  </si>
  <si>
    <t>66:35:0102005</t>
  </si>
  <si>
    <t>66:35:0102004</t>
  </si>
  <si>
    <t>66:35:0103001</t>
  </si>
  <si>
    <t>66:35:0103002</t>
  </si>
  <si>
    <t>66:35:0104004</t>
  </si>
  <si>
    <t>66:35:0216002</t>
  </si>
  <si>
    <t>66:41:0101001</t>
  </si>
  <si>
    <t>ne2</t>
  </si>
  <si>
    <t>66:41:0101008</t>
  </si>
  <si>
    <t>66:41:0101012</t>
  </si>
  <si>
    <t>66:35:0102002</t>
  </si>
  <si>
    <t>66:35:0201012</t>
  </si>
  <si>
    <t>66:35:0201014</t>
  </si>
  <si>
    <t>66:35:0201015</t>
  </si>
  <si>
    <t>66:35:0201017</t>
  </si>
  <si>
    <t>66:35:0201018</t>
  </si>
  <si>
    <t>66:35:0201019</t>
  </si>
  <si>
    <t>66:35:0201020</t>
  </si>
  <si>
    <t>66:41:0101006</t>
  </si>
  <si>
    <t>66:41:0101005</t>
  </si>
  <si>
    <t>66:41:0101007</t>
  </si>
  <si>
    <t>66:41:0103005</t>
  </si>
  <si>
    <t>66:41:0103006</t>
  </si>
  <si>
    <t>66:41:0103007</t>
  </si>
  <si>
    <t>66:41:0103008</t>
  </si>
  <si>
    <t>66:41:0103009</t>
  </si>
  <si>
    <t>66:41:0103011</t>
  </si>
  <si>
    <t>66:41:0103012</t>
  </si>
  <si>
    <t>66:41:0103901</t>
  </si>
  <si>
    <t>66:35:0201021</t>
  </si>
  <si>
    <t>66:35:0201022</t>
  </si>
  <si>
    <t>66:35:0216001</t>
  </si>
  <si>
    <t>66:35:0216003</t>
  </si>
  <si>
    <t>66:35:0216004</t>
  </si>
  <si>
    <t>66:41:0101003</t>
  </si>
  <si>
    <t>66:41:0101014</t>
  </si>
  <si>
    <t>66:41:0101015</t>
  </si>
  <si>
    <t>66:41:0104010</t>
  </si>
  <si>
    <t>66:41:0104011</t>
  </si>
  <si>
    <t>66:41:0104012</t>
  </si>
  <si>
    <t>66:41:0107095</t>
  </si>
  <si>
    <t>66:41:0107105</t>
  </si>
  <si>
    <t>66:41:0101004</t>
  </si>
  <si>
    <t>66:41:0102001</t>
  </si>
  <si>
    <t>66:41:0102005</t>
  </si>
  <si>
    <t>66:41:0102008</t>
  </si>
  <si>
    <t>66:41:0102009</t>
  </si>
  <si>
    <t>66:41:0102046</t>
  </si>
  <si>
    <t>66:41:0112001</t>
  </si>
  <si>
    <t>66:41:0112002</t>
  </si>
  <si>
    <t>66:41:0112003</t>
  </si>
  <si>
    <t>66:41:0112901</t>
  </si>
  <si>
    <t>66:36:3203003</t>
  </si>
  <si>
    <t>66:41:0102032</t>
  </si>
  <si>
    <t>66:41:0102022</t>
  </si>
  <si>
    <t>66:41:0102010</t>
  </si>
  <si>
    <t>66:41:0102011</t>
  </si>
  <si>
    <t>66:41:0102012</t>
  </si>
  <si>
    <t>66:41:0102015</t>
  </si>
  <si>
    <t>66:41:0102016</t>
  </si>
  <si>
    <t>66:41:0102017</t>
  </si>
  <si>
    <t>66:41:0102018</t>
  </si>
  <si>
    <t>66:41:0102021</t>
  </si>
  <si>
    <t>66:41:0102023</t>
  </si>
  <si>
    <t>66:41:0102024</t>
  </si>
  <si>
    <t>66:41:0102034</t>
  </si>
  <si>
    <t>66:41:0102035</t>
  </si>
  <si>
    <t>66:41:0102037</t>
  </si>
  <si>
    <t>66:41:0102039</t>
  </si>
  <si>
    <t>66:41:0102045</t>
  </si>
  <si>
    <t>66:41:0107039</t>
  </si>
  <si>
    <t>66:41:0102028</t>
  </si>
  <si>
    <t>66:41:0102014</t>
  </si>
  <si>
    <t>66:41:0102006</t>
  </si>
  <si>
    <t>66:41:0102026</t>
  </si>
  <si>
    <t>66:41:0102027</t>
  </si>
  <si>
    <t>66:41:0102029</t>
  </si>
  <si>
    <t>66:41:0102030</t>
  </si>
  <si>
    <t>66:41:0102031</t>
  </si>
  <si>
    <t>66:41:0102033</t>
  </si>
  <si>
    <t>66:41:0102038</t>
  </si>
  <si>
    <t>66:41:0102041</t>
  </si>
  <si>
    <t>66:41:0102901</t>
  </si>
  <si>
    <t>66:41:0104004</t>
  </si>
  <si>
    <t>66:41:0113001</t>
  </si>
  <si>
    <t>66:36:3203006</t>
  </si>
  <si>
    <t>66:36:3203007</t>
  </si>
  <si>
    <t>66:41:0113004</t>
  </si>
  <si>
    <t>66:41:0101104</t>
  </si>
  <si>
    <t>66:41:0104001</t>
  </si>
  <si>
    <t>66:41:0104002</t>
  </si>
  <si>
    <t>66:41:0104003</t>
  </si>
  <si>
    <t>66:41:0104005</t>
  </si>
  <si>
    <t>66:41:0104006</t>
  </si>
  <si>
    <t>66:41:0104007</t>
  </si>
  <si>
    <t>66:41:0104008</t>
  </si>
  <si>
    <t>66:41:0104009</t>
  </si>
  <si>
    <t>66:41:0104013</t>
  </si>
  <si>
    <t>66:41:0113002</t>
  </si>
  <si>
    <t>66:41:0113003</t>
  </si>
  <si>
    <t>66:41:0113078</t>
  </si>
  <si>
    <t>66:41:0113079</t>
  </si>
  <si>
    <t>66:36:3203008</t>
  </si>
  <si>
    <t>66:36:0112010</t>
  </si>
  <si>
    <t>66:36:0112007</t>
  </si>
  <si>
    <t>66:36:0112009</t>
  </si>
  <si>
    <t>66:36:0113001</t>
  </si>
  <si>
    <t>66:36:2101003</t>
  </si>
  <si>
    <t>66:36:2101005</t>
  </si>
  <si>
    <t>66:36:2101008</t>
  </si>
  <si>
    <t>66:36:3203001</t>
  </si>
  <si>
    <t>66:36:3203002</t>
  </si>
  <si>
    <t>66:36:3203004</t>
  </si>
  <si>
    <t>66:36:3203005</t>
  </si>
  <si>
    <t>66:41:0109050</t>
  </si>
  <si>
    <t>66:41:0109052</t>
  </si>
  <si>
    <t>nn</t>
  </si>
  <si>
    <t>66:41:0109061</t>
  </si>
  <si>
    <t>66:41:0109062</t>
  </si>
  <si>
    <t>66:41:0109063</t>
  </si>
  <si>
    <t>66:41:0109064</t>
  </si>
  <si>
    <t>66:41:0109065</t>
  </si>
  <si>
    <t>66:41:0109066</t>
  </si>
  <si>
    <t>66:41:0113077</t>
  </si>
  <si>
    <t>66:41:0109041</t>
  </si>
  <si>
    <t>66:41:0109030</t>
  </si>
  <si>
    <t>66:41:0109032</t>
  </si>
  <si>
    <t>66:41:0109034</t>
  </si>
  <si>
    <t>66:41:0109035</t>
  </si>
  <si>
    <t>66:41:0109042</t>
  </si>
  <si>
    <t>66:41:0109043</t>
  </si>
  <si>
    <t>66:41:0109044</t>
  </si>
  <si>
    <t>66:41:0109045</t>
  </si>
  <si>
    <t>66:41:0109046</t>
  </si>
  <si>
    <t>66:41:0109047</t>
  </si>
  <si>
    <t>66:41:0109048</t>
  </si>
  <si>
    <t>66:41:0109049</t>
  </si>
  <si>
    <t>66:41:0109058</t>
  </si>
  <si>
    <t>66:41:0109059</t>
  </si>
  <si>
    <t>66:41:0109060</t>
  </si>
  <si>
    <t>66:41:0109901</t>
  </si>
  <si>
    <t>66:25:2201012</t>
  </si>
  <si>
    <t>66:25:2201001</t>
  </si>
  <si>
    <t>66:25:2201002</t>
  </si>
  <si>
    <t>66:25:2201003</t>
  </si>
  <si>
    <t>66:25:2201004</t>
  </si>
  <si>
    <t>66:25:2201005</t>
  </si>
  <si>
    <t>66:25:2201006</t>
  </si>
  <si>
    <t>66:25:2201007</t>
  </si>
  <si>
    <t>66:25:2201009</t>
  </si>
  <si>
    <t>66:25:2201011</t>
  </si>
  <si>
    <t>66:25:2201013</t>
  </si>
  <si>
    <t>66:25:1311004</t>
  </si>
  <si>
    <t>66:25:1311005</t>
  </si>
  <si>
    <t>66:25:1314001</t>
  </si>
  <si>
    <t>66:25:1315001</t>
  </si>
  <si>
    <t>66:25:4901001</t>
  </si>
  <si>
    <t>66:25:1307008</t>
  </si>
  <si>
    <t>66:25:1310001</t>
  </si>
  <si>
    <t>66:25:1319001</t>
  </si>
  <si>
    <t>66:25:1320001</t>
  </si>
  <si>
    <t>66:25:1321001</t>
  </si>
  <si>
    <t>66:25:1321002</t>
  </si>
  <si>
    <t>66:25:1326001</t>
  </si>
  <si>
    <t>66:25:2101001</t>
  </si>
  <si>
    <t>66:25:1201013</t>
  </si>
  <si>
    <t>66:25:1307003</t>
  </si>
  <si>
    <t>66:25:1308007</t>
  </si>
  <si>
    <t>66:25:1201026</t>
  </si>
  <si>
    <t>66:25:1201019</t>
  </si>
  <si>
    <t>66:25:1201022</t>
  </si>
  <si>
    <t>66:25:1201023</t>
  </si>
  <si>
    <t>66:25:1201024</t>
  </si>
  <si>
    <t>66:25:1201027</t>
  </si>
  <si>
    <t>66:25:1302001</t>
  </si>
  <si>
    <t>66:25:1307011</t>
  </si>
  <si>
    <t>66:25:1307012</t>
  </si>
  <si>
    <t>66:25:1307014</t>
  </si>
  <si>
    <t>66:25:1307015</t>
  </si>
  <si>
    <t>66:25:1307016</t>
  </si>
  <si>
    <t>66:25:1317001</t>
  </si>
  <si>
    <t>66:33:0401004</t>
  </si>
  <si>
    <t>66:25:1101001</t>
  </si>
  <si>
    <t>66:25:1201007</t>
  </si>
  <si>
    <t>66:25:1201008</t>
  </si>
  <si>
    <t>66:25:5101001</t>
  </si>
  <si>
    <t>66:33:0401001</t>
  </si>
  <si>
    <t>66:33:0401002</t>
  </si>
  <si>
    <t>66:33:0401003</t>
  </si>
  <si>
    <t>66:25:1002001</t>
  </si>
  <si>
    <t>66:25:1301001</t>
  </si>
  <si>
    <t>66:25:1301002</t>
  </si>
  <si>
    <t>66:25:1301003</t>
  </si>
  <si>
    <t>66:25:1303001</t>
  </si>
  <si>
    <t>66:25:1304001</t>
  </si>
  <si>
    <t>66:25:1307007</t>
  </si>
  <si>
    <t>66:25:1305001</t>
  </si>
  <si>
    <t>66:25:1307002</t>
  </si>
  <si>
    <t>66:25:1307006</t>
  </si>
  <si>
    <t>66:25:1309001</t>
  </si>
  <si>
    <t>66:25:1316001</t>
  </si>
  <si>
    <t>66:25:1316002</t>
  </si>
  <si>
    <t>66:25:1324001</t>
  </si>
  <si>
    <t>66:25:1324002</t>
  </si>
  <si>
    <t>66:25:1325002</t>
  </si>
  <si>
    <t>66:25:1325003</t>
  </si>
  <si>
    <t>66:25:1325005</t>
  </si>
  <si>
    <t>66:25:1329001</t>
  </si>
  <si>
    <t>66:25:2401005</t>
  </si>
  <si>
    <t>66:25:1001001</t>
  </si>
  <si>
    <t>66:33:0101011</t>
  </si>
  <si>
    <t>66:33:0501001</t>
  </si>
  <si>
    <t>66:25:1001002</t>
  </si>
  <si>
    <t>66:25:1001003</t>
  </si>
  <si>
    <t>66:25:1306001</t>
  </si>
  <si>
    <t>66:25:1307005</t>
  </si>
  <si>
    <t>66:25:1307009</t>
  </si>
  <si>
    <t>66:41:0614005</t>
  </si>
  <si>
    <t>66:41:0614006</t>
  </si>
  <si>
    <t>66:41:0614022</t>
  </si>
  <si>
    <t>66:25:1307010</t>
  </si>
  <si>
    <t>66:25:1325006</t>
  </si>
  <si>
    <t>66:25:1325010</t>
  </si>
  <si>
    <t>66:25:1401003</t>
  </si>
  <si>
    <t>66:25:1413001</t>
  </si>
  <si>
    <t>66:41:0614023</t>
  </si>
  <si>
    <t>66:33:0101006</t>
  </si>
  <si>
    <t>66:25:0307007</t>
  </si>
  <si>
    <t>66:25:0309001</t>
  </si>
  <si>
    <t>66:25:1402002</t>
  </si>
  <si>
    <t>66:25:1404001</t>
  </si>
  <si>
    <t>66:25:1404002</t>
  </si>
  <si>
    <t>66:25:1408001</t>
  </si>
  <si>
    <t>66:25:1409001</t>
  </si>
  <si>
    <t>66:25:0307003</t>
  </si>
  <si>
    <t>66:25:0308001</t>
  </si>
  <si>
    <t>66:25:0501003</t>
  </si>
  <si>
    <t>66:25:0501004</t>
  </si>
  <si>
    <t>66:25:0501008</t>
  </si>
  <si>
    <t>66:25:0501009</t>
  </si>
  <si>
    <t>66:25:0501017</t>
  </si>
  <si>
    <t>66:25:0307004</t>
  </si>
  <si>
    <t>66:25:0307006</t>
  </si>
  <si>
    <t>66:25:0310002</t>
  </si>
  <si>
    <t>66:25:0310003</t>
  </si>
  <si>
    <t>66:25:0310011</t>
  </si>
  <si>
    <t>66:25:0311001</t>
  </si>
  <si>
    <t>66:25:0312001</t>
  </si>
  <si>
    <t>66:25:0313001</t>
  </si>
  <si>
    <t>66:25:1403001</t>
  </si>
  <si>
    <t>66:25:1501001</t>
  </si>
  <si>
    <t>66:25:1406001</t>
  </si>
  <si>
    <t>66:25:1410001</t>
  </si>
  <si>
    <t>66:25:1411001</t>
  </si>
  <si>
    <t>66:25:2702002</t>
  </si>
  <si>
    <t>66:41:0606043</t>
  </si>
  <si>
    <t>se2</t>
  </si>
  <si>
    <t>66:41:0606016</t>
  </si>
  <si>
    <t>66:41:0606042</t>
  </si>
  <si>
    <t>66:41:0606047</t>
  </si>
  <si>
    <t>66:41:0606084</t>
  </si>
  <si>
    <t>66:41:0614044</t>
  </si>
  <si>
    <t>66:06:4501002</t>
  </si>
  <si>
    <t>66:06:4501003</t>
  </si>
  <si>
    <t>66:06:0101002</t>
  </si>
  <si>
    <t>66:06:4501004</t>
  </si>
  <si>
    <t>66:06:4501005</t>
  </si>
  <si>
    <t>66:06:4501006</t>
  </si>
  <si>
    <t>66:06:4501010</t>
  </si>
  <si>
    <t>66:06:4501012</t>
  </si>
  <si>
    <t>66:41:0712022</t>
  </si>
  <si>
    <t>ee</t>
  </si>
  <si>
    <t>66:41:0606020</t>
  </si>
  <si>
    <t>66:41:0606023</t>
  </si>
  <si>
    <t>66:41:0606024</t>
  </si>
  <si>
    <t>66:41:0606029</t>
  </si>
  <si>
    <t>66:41:0606030</t>
  </si>
  <si>
    <t>66:41:0606039</t>
  </si>
  <si>
    <t>66:41:0606077</t>
  </si>
  <si>
    <t>66:41:0606078</t>
  </si>
  <si>
    <t>66:41:0606079</t>
  </si>
  <si>
    <t>66:41:0606080</t>
  </si>
  <si>
    <t>66:41:0712024</t>
  </si>
  <si>
    <t>66:41:0712025</t>
  </si>
  <si>
    <t>66:41:0607027</t>
  </si>
  <si>
    <t>66:41:0607028</t>
  </si>
  <si>
    <t>66:41:0607029</t>
  </si>
  <si>
    <t>66:41:0607031</t>
  </si>
  <si>
    <t>66:41:0611001</t>
  </si>
  <si>
    <t>66:41:0611002</t>
  </si>
  <si>
    <t>66:41:0614001</t>
  </si>
  <si>
    <t>66:41:0614017</t>
  </si>
  <si>
    <t>66:41:0614036</t>
  </si>
  <si>
    <t>66:41:0607003</t>
  </si>
  <si>
    <t>66:41:0607007</t>
  </si>
  <si>
    <t>66:41:0607009</t>
  </si>
  <si>
    <t>66:41:0607010</t>
  </si>
  <si>
    <t>66:41:0607013</t>
  </si>
  <si>
    <t>66:41:0607014</t>
  </si>
  <si>
    <t>66:41:0607015</t>
  </si>
  <si>
    <t>66:41:0607016</t>
  </si>
  <si>
    <t>66:41:0607030</t>
  </si>
  <si>
    <t>66:41:0614034</t>
  </si>
  <si>
    <t>66:41:0614035</t>
  </si>
  <si>
    <t>66:41:0614072</t>
  </si>
  <si>
    <t>66:41:0614073</t>
  </si>
  <si>
    <t>66:41:0606003</t>
  </si>
  <si>
    <t>66:41:0606004</t>
  </si>
  <si>
    <t>66:41:0606011</t>
  </si>
  <si>
    <t>66:41:0606037</t>
  </si>
  <si>
    <t>66:41:0606038</t>
  </si>
  <si>
    <t>66:41:0606040</t>
  </si>
  <si>
    <t>66:41:0606068</t>
  </si>
  <si>
    <t>66:41:0607901</t>
  </si>
  <si>
    <t>66:41:0607021</t>
  </si>
  <si>
    <t>66:41:0607002</t>
  </si>
  <si>
    <t>66:41:0607008</t>
  </si>
  <si>
    <t>66:41:0607019</t>
  </si>
  <si>
    <t>66:41:0607025</t>
  </si>
  <si>
    <t>66:41:0607026</t>
  </si>
  <si>
    <t>66:41:0607032</t>
  </si>
  <si>
    <t>66:41:0607033</t>
  </si>
  <si>
    <t>66:41:0607040</t>
  </si>
  <si>
    <t>66:41:0607041</t>
  </si>
  <si>
    <t>66:41:0606018</t>
  </si>
  <si>
    <t>66:41:0606019</t>
  </si>
  <si>
    <t>66:41:0606026</t>
  </si>
  <si>
    <t>66:41:0606027</t>
  </si>
  <si>
    <t>66:41:0606028</t>
  </si>
  <si>
    <t>66:41:0606036</t>
  </si>
  <si>
    <t>66:41:0606081</t>
  </si>
  <si>
    <t>66:41:0606082</t>
  </si>
  <si>
    <t>66:41:0712023</t>
  </si>
  <si>
    <t>66:41:0712037</t>
  </si>
  <si>
    <t>66:41:0607011</t>
  </si>
  <si>
    <t>66:41:0607006</t>
  </si>
  <si>
    <t>66:41:0607001</t>
  </si>
  <si>
    <t>66:41:0606069</t>
  </si>
  <si>
    <t>66:41:0607004</t>
  </si>
  <si>
    <t>66:41:0607005</t>
  </si>
  <si>
    <t>66:41:0607017</t>
  </si>
  <si>
    <t>66:41:0607037</t>
  </si>
  <si>
    <t>66:41:0607038</t>
  </si>
  <si>
    <t>66:41:0712036</t>
  </si>
  <si>
    <t>66:41:0606035</t>
  </si>
  <si>
    <t>66:41:0606015</t>
  </si>
  <si>
    <t>66:41:0606025</t>
  </si>
  <si>
    <t>66:41:0606083</t>
  </si>
  <si>
    <t>66:41:0712020</t>
  </si>
  <si>
    <t>66:41:0712021</t>
  </si>
  <si>
    <t>66:41:0712034</t>
  </si>
  <si>
    <t>66:41:0712035</t>
  </si>
  <si>
    <t>66:41:0612042</t>
  </si>
  <si>
    <t>se1</t>
  </si>
  <si>
    <t>66:41:0612002</t>
  </si>
  <si>
    <t>66:41:0612015</t>
  </si>
  <si>
    <t>66:41:0612022</t>
  </si>
  <si>
    <t>66:41:0612023</t>
  </si>
  <si>
    <t>66:41:0612024</t>
  </si>
  <si>
    <t>66:41:0612040</t>
  </si>
  <si>
    <t>66:41:0612041</t>
  </si>
  <si>
    <t>66:41:0612046</t>
  </si>
  <si>
    <t>66:41:0612047</t>
  </si>
  <si>
    <t>66:41:0612048</t>
  </si>
  <si>
    <t>66:41:0612049</t>
  </si>
  <si>
    <t>66:41:0614015</t>
  </si>
  <si>
    <t>66:41:0606033</t>
  </si>
  <si>
    <t>66:41:0606034</t>
  </si>
  <si>
    <t>66:41:0606059</t>
  </si>
  <si>
    <t>66:41:0606060</t>
  </si>
  <si>
    <t>66:41:0614003</t>
  </si>
  <si>
    <t>66:41:0614030</t>
  </si>
  <si>
    <t>66:41:0614062</t>
  </si>
  <si>
    <t>66:41:0614063</t>
  </si>
  <si>
    <t>66:41:0614064</t>
  </si>
  <si>
    <t>66:41:0614065</t>
  </si>
  <si>
    <t>66:41:0614066</t>
  </si>
  <si>
    <t>66:41:0614067</t>
  </si>
  <si>
    <t>66:41:0612043</t>
  </si>
  <si>
    <t>66:41:0612020</t>
  </si>
  <si>
    <t>66:41:0612014</t>
  </si>
  <si>
    <t>66:41:0612016</t>
  </si>
  <si>
    <t>66:41:0612019</t>
  </si>
  <si>
    <t>66:41:0612021</t>
  </si>
  <si>
    <t>66:41:0612032</t>
  </si>
  <si>
    <t>66:41:0612035</t>
  </si>
  <si>
    <t>66:41:0612036</t>
  </si>
  <si>
    <t>66:41:0612037</t>
  </si>
  <si>
    <t>66:41:0612038</t>
  </si>
  <si>
    <t>66:41:0612039</t>
  </si>
  <si>
    <t>66:41:0612044</t>
  </si>
  <si>
    <t>66:41:0612062</t>
  </si>
  <si>
    <t>66:41:0612064</t>
  </si>
  <si>
    <t>66:41:0612065</t>
  </si>
  <si>
    <t>66:41:0614020</t>
  </si>
  <si>
    <t>66:41:0614021</t>
  </si>
  <si>
    <t>66:41:0612031</t>
  </si>
  <si>
    <t>66:41:0612011</t>
  </si>
  <si>
    <t>66:41:0612012</t>
  </si>
  <si>
    <t>66:41:0612013</t>
  </si>
  <si>
    <t>66:41:0612017</t>
  </si>
  <si>
    <t>66:41:0612018</t>
  </si>
  <si>
    <t>66:41:0612028</t>
  </si>
  <si>
    <t>66:41:0612029</t>
  </si>
  <si>
    <t>66:41:0612030</t>
  </si>
  <si>
    <t>66:41:0612057</t>
  </si>
  <si>
    <t>66:41:0612058</t>
  </si>
  <si>
    <t>66:41:0612093</t>
  </si>
  <si>
    <t>66:41:0612903</t>
  </si>
  <si>
    <t>66:41:0614012</t>
  </si>
  <si>
    <t>66:41:0606009</t>
  </si>
  <si>
    <t>66:41:0606010</t>
  </si>
  <si>
    <t>66:41:0606012</t>
  </si>
  <si>
    <t>66:41:0606013</t>
  </si>
  <si>
    <t>66:41:0606014</t>
  </si>
  <si>
    <t>66:41:0606032</t>
  </si>
  <si>
    <t>66:41:0712008</t>
  </si>
  <si>
    <t>66:41:0712026</t>
  </si>
  <si>
    <t>66:41:0712027</t>
  </si>
  <si>
    <t>66:41:0712028</t>
  </si>
  <si>
    <t>66:41:0712031</t>
  </si>
  <si>
    <t>66:41:0712042</t>
  </si>
  <si>
    <t>66:41:0712044</t>
  </si>
  <si>
    <t>66:41:0712046</t>
  </si>
  <si>
    <t>66:35:0221006</t>
  </si>
  <si>
    <t>66:41:0702029</t>
  </si>
  <si>
    <t>66:41:0702005</t>
  </si>
  <si>
    <t>66:41:0702006</t>
  </si>
  <si>
    <t>66:41:0702007</t>
  </si>
  <si>
    <t>66:41:0702012</t>
  </si>
  <si>
    <t>66:41:0702013</t>
  </si>
  <si>
    <t>66:41:0702014</t>
  </si>
  <si>
    <t>66:41:0702026</t>
  </si>
  <si>
    <t>66:41:0702027</t>
  </si>
  <si>
    <t>66:41:0702028</t>
  </si>
  <si>
    <t>66:41:0702045</t>
  </si>
  <si>
    <t>66:41:0711066</t>
  </si>
  <si>
    <t>ne1</t>
  </si>
  <si>
    <t>66:41:0711067</t>
  </si>
  <si>
    <t>66:41:0711070</t>
  </si>
  <si>
    <t>66:41:0711071</t>
  </si>
  <si>
    <t>66:41:0711072</t>
  </si>
  <si>
    <t>66:41:0711073</t>
  </si>
  <si>
    <t>66:41:0711901</t>
  </si>
  <si>
    <t>66:35:0106014</t>
  </si>
  <si>
    <t>66:35:0105008</t>
  </si>
  <si>
    <t>66:35:0105009</t>
  </si>
  <si>
    <t>66:35:0106006</t>
  </si>
  <si>
    <t>66:35:0106007</t>
  </si>
  <si>
    <t>66:35:0106008</t>
  </si>
  <si>
    <t>66:35:0106009</t>
  </si>
  <si>
    <t>66:35:0106010</t>
  </si>
  <si>
    <t>66:35:0106011</t>
  </si>
  <si>
    <t>66:35:0106012</t>
  </si>
  <si>
    <t>66:35:0106013</t>
  </si>
  <si>
    <t>66:35:0107001</t>
  </si>
  <si>
    <t>66:35:0107004</t>
  </si>
  <si>
    <t>66:35:0107005</t>
  </si>
  <si>
    <t>66:35:0107006</t>
  </si>
  <si>
    <t>66:35:0105011</t>
  </si>
  <si>
    <t>66:35:0105013</t>
  </si>
  <si>
    <t>66:35:0105015</t>
  </si>
  <si>
    <t>66:35:0105016</t>
  </si>
  <si>
    <t>66:35:0105018</t>
  </si>
  <si>
    <t>66:35:0105019</t>
  </si>
  <si>
    <t>66:35:0105021</t>
  </si>
  <si>
    <t>66:35:0108001</t>
  </si>
  <si>
    <t>66:35:0108003</t>
  </si>
  <si>
    <t>66:35:0109012</t>
  </si>
  <si>
    <t>66:35:0110002</t>
  </si>
  <si>
    <t>66:35:0221014</t>
  </si>
  <si>
    <t>66:41:0712012</t>
  </si>
  <si>
    <t>66:41:0712014</t>
  </si>
  <si>
    <t>66:41:0712015</t>
  </si>
  <si>
    <t>66:41:0712017</t>
  </si>
  <si>
    <t>66:41:0712018</t>
  </si>
  <si>
    <t>66:41:0712019</t>
  </si>
  <si>
    <t>66:41:0712033</t>
  </si>
  <si>
    <t>66:35:0221013</t>
  </si>
  <si>
    <t>66:35:0221015</t>
  </si>
  <si>
    <t>66:35:0221016</t>
  </si>
  <si>
    <t>66:35:0105010</t>
  </si>
  <si>
    <t>66:35:0104011</t>
  </si>
  <si>
    <t>66:35:0105002</t>
  </si>
  <si>
    <t>66:35:0105005</t>
  </si>
  <si>
    <t>66:35:0105006</t>
  </si>
  <si>
    <t>66:35:0105007</t>
  </si>
  <si>
    <t>66:35:0105012</t>
  </si>
  <si>
    <t>66:35:0109003</t>
  </si>
  <si>
    <t>66:35:0109009</t>
  </si>
  <si>
    <t>66:35:0109010</t>
  </si>
  <si>
    <t>66:41:0712011</t>
  </si>
  <si>
    <t>66:41:0712003</t>
  </si>
  <si>
    <t>66:41:0712007</t>
  </si>
  <si>
    <t>66:41:0712009</t>
  </si>
  <si>
    <t>66:41:0712013</t>
  </si>
  <si>
    <t>66:41:0712029</t>
  </si>
  <si>
    <t>66:41:0712030</t>
  </si>
  <si>
    <t>66:41:0712032</t>
  </si>
  <si>
    <t>66:35:0221017</t>
  </si>
  <si>
    <t>66:35:0221018</t>
  </si>
  <si>
    <t>66:35:0221019</t>
  </si>
  <si>
    <t>66:35:0103003</t>
  </si>
  <si>
    <t>66:35:0103004</t>
  </si>
  <si>
    <t>66:35:0103005</t>
  </si>
  <si>
    <t>66:35:0103006</t>
  </si>
  <si>
    <t>66:35:0104017</t>
  </si>
  <si>
    <t>66:35:0109005</t>
  </si>
  <si>
    <t>66:35:0103008</t>
  </si>
  <si>
    <t>66:35:0109006</t>
  </si>
  <si>
    <t>66:35:0109007</t>
  </si>
  <si>
    <t>66:35:0110001</t>
  </si>
  <si>
    <t>66:41:0710024</t>
  </si>
  <si>
    <t>66:41:0710011</t>
  </si>
  <si>
    <t>66:41:0710012</t>
  </si>
  <si>
    <t>66:41:0710013</t>
  </si>
  <si>
    <t>66:41:0710016</t>
  </si>
  <si>
    <t>66:41:0710018</t>
  </si>
  <si>
    <t>66:41:0710019</t>
  </si>
  <si>
    <t>66:41:0710022</t>
  </si>
  <si>
    <t>66:41:0710026</t>
  </si>
  <si>
    <t>66:41:0710027</t>
  </si>
  <si>
    <t>66:41:0710030</t>
  </si>
  <si>
    <t>66:41:0710031</t>
  </si>
  <si>
    <t>66:41:0710032</t>
  </si>
  <si>
    <t>66:41:0710036</t>
  </si>
  <si>
    <t>66:41:0710901</t>
  </si>
  <si>
    <t>66:41:0712001</t>
  </si>
  <si>
    <t>66:41:0712006</t>
  </si>
  <si>
    <t>66:41:0712047</t>
  </si>
  <si>
    <t>66:41:0712048</t>
  </si>
  <si>
    <t>66:41:0710017</t>
  </si>
  <si>
    <t>66:41:0710007</t>
  </si>
  <si>
    <t>66:41:0710001</t>
  </si>
  <si>
    <t>66:41:0710002</t>
  </si>
  <si>
    <t>66:41:0710003</t>
  </si>
  <si>
    <t>66:41:0710004</t>
  </si>
  <si>
    <t>66:41:0710005</t>
  </si>
  <si>
    <t>66:41:0710006</t>
  </si>
  <si>
    <t>66:41:0710008</t>
  </si>
  <si>
    <t>66:41:0710009</t>
  </si>
  <si>
    <t>66:41:0710014</t>
  </si>
  <si>
    <t>66:41:0710015</t>
  </si>
  <si>
    <t>66:41:0710033</t>
  </si>
  <si>
    <t>66:41:0710037</t>
  </si>
  <si>
    <t>66:35:0111005</t>
  </si>
  <si>
    <t>66:35:0111008</t>
  </si>
  <si>
    <t>66:41:0708017</t>
  </si>
  <si>
    <t>66:41:0708018</t>
  </si>
  <si>
    <t>66:35:0109002</t>
  </si>
  <si>
    <t>66:35:0111002</t>
  </si>
  <si>
    <t>66:41:0708023</t>
  </si>
  <si>
    <t>66:41:0708006</t>
  </si>
  <si>
    <t>66:41:0708001</t>
  </si>
  <si>
    <t>66:41:0708007</t>
  </si>
  <si>
    <t>66:41:0708008</t>
  </si>
  <si>
    <t>66:41:0708013</t>
  </si>
  <si>
    <t>66:41:0708014</t>
  </si>
  <si>
    <t>66:41:0708015</t>
  </si>
  <si>
    <t>66:41:0708020</t>
  </si>
  <si>
    <t>66:41:0708024</t>
  </si>
  <si>
    <t>66:41:0708026</t>
  </si>
  <si>
    <t>66:41:0708901</t>
  </si>
  <si>
    <t>66:35:0111003</t>
  </si>
  <si>
    <t>66:35:0111007</t>
  </si>
  <si>
    <t>66:35:0217001</t>
  </si>
  <si>
    <t>66:35:0217002</t>
  </si>
  <si>
    <t>66:35:0217003</t>
  </si>
  <si>
    <t>66:35:0217004</t>
  </si>
  <si>
    <t>66:41:0711022</t>
  </si>
  <si>
    <t>66:41:0710034</t>
  </si>
  <si>
    <t>66:41:0711013</t>
  </si>
  <si>
    <t>66:41:0711014</t>
  </si>
  <si>
    <t>66:41:0711015</t>
  </si>
  <si>
    <t>66:41:0711016</t>
  </si>
  <si>
    <t>66:41:0711021</t>
  </si>
  <si>
    <t>66:41:0711029</t>
  </si>
  <si>
    <t>66:41:0711031</t>
  </si>
  <si>
    <t>66:41:0711075</t>
  </si>
  <si>
    <t>66:41:0711077</t>
  </si>
  <si>
    <t>66:41:0711078</t>
  </si>
  <si>
    <t>66:35:0111004</t>
  </si>
  <si>
    <t>66:41:0708002</t>
  </si>
  <si>
    <t>66:41:0708003</t>
  </si>
  <si>
    <t>66:41:0708004</t>
  </si>
  <si>
    <t>66:41:0708005</t>
  </si>
  <si>
    <t>66:41:0708009</t>
  </si>
  <si>
    <t>66:41:0708011</t>
  </si>
  <si>
    <t>66:41:0708016</t>
  </si>
  <si>
    <t>66:41:0708019</t>
  </si>
  <si>
    <t>66:41:0711034</t>
  </si>
  <si>
    <t>66:41:0710035</t>
  </si>
  <si>
    <t>66:41:0710042</t>
  </si>
  <si>
    <t>66:41:0711028</t>
  </si>
  <si>
    <t>66:41:0711030</t>
  </si>
  <si>
    <t>66:41:0711032</t>
  </si>
  <si>
    <t>66:41:0711033</t>
  </si>
  <si>
    <t>66:41:0711036</t>
  </si>
  <si>
    <t>66:41:0711037</t>
  </si>
  <si>
    <t>66:41:0711038</t>
  </si>
  <si>
    <t>66:41:0711041</t>
  </si>
  <si>
    <t>66:41:0711074</t>
  </si>
  <si>
    <t>66:41:0708021</t>
  </si>
  <si>
    <t>66:41:0708022</t>
  </si>
  <si>
    <t>66:41:0708025</t>
  </si>
  <si>
    <t>66:41:0711007</t>
  </si>
  <si>
    <t>66:41:0711008</t>
  </si>
  <si>
    <t>66:41:0711009</t>
  </si>
  <si>
    <t>66:41:0711010</t>
  </si>
  <si>
    <t>66:41:0711011</t>
  </si>
  <si>
    <t>66:41:0711012</t>
  </si>
  <si>
    <t>66:41:0711017</t>
  </si>
  <si>
    <t>66:41:0711018</t>
  </si>
  <si>
    <t>66:41:0711019</t>
  </si>
  <si>
    <t>66:41:0711020</t>
  </si>
  <si>
    <t>66:41:0711023</t>
  </si>
  <si>
    <t>66:41:0711024</t>
  </si>
  <si>
    <t>66:41:0711025</t>
  </si>
  <si>
    <t>66:41:0711026</t>
  </si>
  <si>
    <t>66:41:0711027</t>
  </si>
  <si>
    <t>66:41:0711040</t>
  </si>
  <si>
    <t>66:41:0708010</t>
  </si>
  <si>
    <t>66:41:0711003</t>
  </si>
  <si>
    <t>66:41:0711004</t>
  </si>
  <si>
    <t>66:41:0711005</t>
  </si>
  <si>
    <t>66:41:0711006</t>
  </si>
  <si>
    <t>66:41:0711044</t>
  </si>
  <si>
    <t>66:41:0711045</t>
  </si>
  <si>
    <t>66:41:0711046</t>
  </si>
  <si>
    <t>66:41:0711065</t>
  </si>
  <si>
    <t>66:41:0711055</t>
  </si>
  <si>
    <t>66:41:0711047</t>
  </si>
  <si>
    <t>66:41:0711048</t>
  </si>
  <si>
    <t>66:41:0711050</t>
  </si>
  <si>
    <t>66:41:0711051</t>
  </si>
  <si>
    <t>66:41:0711052</t>
  </si>
  <si>
    <t>66:41:0711053</t>
  </si>
  <si>
    <t>66:41:0711054</t>
  </si>
  <si>
    <t>66:41:0711056</t>
  </si>
  <si>
    <t>66:41:0711057</t>
  </si>
  <si>
    <t>66:41:0711058</t>
  </si>
  <si>
    <t>66:41:0711049</t>
  </si>
  <si>
    <t>66:41:0110011</t>
  </si>
  <si>
    <t>66:41:0110177</t>
  </si>
  <si>
    <t>66:41:0711002</t>
  </si>
  <si>
    <t>66:41:0711059</t>
  </si>
  <si>
    <t>66:41:0711060</t>
  </si>
  <si>
    <t>66:41:0711061</t>
  </si>
  <si>
    <t>66:41:0711062</t>
  </si>
  <si>
    <t>66:41:0711063</t>
  </si>
  <si>
    <t>66:41:0711064</t>
  </si>
  <si>
    <t>66:41:0711068</t>
  </si>
  <si>
    <t>66:41:0711069</t>
  </si>
  <si>
    <t>66:41:0707006</t>
  </si>
  <si>
    <t>66:41:0703008</t>
  </si>
  <si>
    <t>66:41:0707004</t>
  </si>
  <si>
    <t>66:41:0707005</t>
  </si>
  <si>
    <t>66:41:0707007</t>
  </si>
  <si>
    <t>66:41:0707008</t>
  </si>
  <si>
    <t>66:41:0707009</t>
  </si>
  <si>
    <t>66:41:0614002</t>
  </si>
  <si>
    <t>66:41:0612006</t>
  </si>
  <si>
    <t>66:41:0612067</t>
  </si>
  <si>
    <t>66:41:0612090</t>
  </si>
  <si>
    <t>66:41:0612082</t>
  </si>
  <si>
    <t>66:41:0610005</t>
  </si>
  <si>
    <t>66:41:0610036</t>
  </si>
  <si>
    <t>66:41:0610072</t>
  </si>
  <si>
    <t>66:41:0612050</t>
  </si>
  <si>
    <t>66:41:0612077</t>
  </si>
  <si>
    <t>66:41:0612078</t>
  </si>
  <si>
    <t>66:41:0612079</t>
  </si>
  <si>
    <t>66:41:0612084</t>
  </si>
  <si>
    <t>66:41:0612085</t>
  </si>
  <si>
    <t>66:41:0612086</t>
  </si>
  <si>
    <t>66:41:0612087</t>
  </si>
  <si>
    <t>66:41:0612088</t>
  </si>
  <si>
    <t>66:41:0612089</t>
  </si>
  <si>
    <t>66:41:0612091</t>
  </si>
  <si>
    <t>66:41:0612901</t>
  </si>
  <si>
    <t>66:41:0614078</t>
  </si>
  <si>
    <t>66:41:0614079</t>
  </si>
  <si>
    <t>66:41:0002002</t>
  </si>
  <si>
    <t>66:41:0503018</t>
  </si>
  <si>
    <t>66:41:0503030</t>
  </si>
  <si>
    <t>66:41:0503017</t>
  </si>
  <si>
    <t>66:41:0503012</t>
  </si>
  <si>
    <t>66:41:0503016</t>
  </si>
  <si>
    <t>66:41:0503019</t>
  </si>
  <si>
    <t>66:41:0503021</t>
  </si>
  <si>
    <t>66:41:0503024</t>
  </si>
  <si>
    <t>66:41:0503025</t>
  </si>
  <si>
    <t>66:41:0503028</t>
  </si>
  <si>
    <t>66:41:0509008</t>
  </si>
  <si>
    <t>66:41:0509014</t>
  </si>
  <si>
    <t>66:41:0509015</t>
  </si>
  <si>
    <t>66:41:0509020</t>
  </si>
  <si>
    <t>66:41:0509036</t>
  </si>
  <si>
    <t>66:41:0509042</t>
  </si>
  <si>
    <t>66:41:0509064</t>
  </si>
  <si>
    <t>66:41:0509001</t>
  </si>
  <si>
    <t>66:41:0509004</t>
  </si>
  <si>
    <t>66:41:0509005</t>
  </si>
  <si>
    <t>66:41:0509006</t>
  </si>
  <si>
    <t>66:41:0509007</t>
  </si>
  <si>
    <t>66:41:0509009</t>
  </si>
  <si>
    <t>66:41:0509010</t>
  </si>
  <si>
    <t>66:41:0509011</t>
  </si>
  <si>
    <t>66:41:0509019</t>
  </si>
  <si>
    <t>66:41:0509065</t>
  </si>
  <si>
    <t>66:41:0509067</t>
  </si>
  <si>
    <t>66:41:0610032</t>
  </si>
  <si>
    <t>66:41:0503009</t>
  </si>
  <si>
    <t>66:41:0503010</t>
  </si>
  <si>
    <t>66:41:0503011</t>
  </si>
  <si>
    <t>66:41:0503014</t>
  </si>
  <si>
    <t>66:41:0503023</t>
  </si>
  <si>
    <t>66:41:0503026</t>
  </si>
  <si>
    <t>66:41:0503027</t>
  </si>
  <si>
    <t>66:41:0619901</t>
  </si>
  <si>
    <t>66:41:0509013</t>
  </si>
  <si>
    <t>66:41:0503013</t>
  </si>
  <si>
    <t>66:41:0503015</t>
  </si>
  <si>
    <t>66:41:0503020</t>
  </si>
  <si>
    <t>66:41:0509012</t>
  </si>
  <si>
    <t>66:41:0509016</t>
  </si>
  <si>
    <t>66:41:0509017</t>
  </si>
  <si>
    <t>66:41:0509003</t>
  </si>
  <si>
    <t>66:41:0509018</t>
  </si>
  <si>
    <t>66:41:0509033</t>
  </si>
  <si>
    <t>66:41:0509038</t>
  </si>
  <si>
    <t>66:41:0509039</t>
  </si>
  <si>
    <t>66:41:0509048</t>
  </si>
  <si>
    <t>66:41:0509049</t>
  </si>
  <si>
    <t>66:41:0509050</t>
  </si>
  <si>
    <t>66:41:0509051</t>
  </si>
  <si>
    <t>66:41:0509052</t>
  </si>
  <si>
    <t>66:41:0509055</t>
  </si>
  <si>
    <t>66:41:0509059</t>
  </si>
  <si>
    <t>66:41:0509060</t>
  </si>
  <si>
    <t>66:41:0509062</t>
  </si>
  <si>
    <t>66:41:0605023</t>
  </si>
  <si>
    <t>66:41:0605012</t>
  </si>
  <si>
    <t>66:41:0605013</t>
  </si>
  <si>
    <t>66:41:0605016</t>
  </si>
  <si>
    <t>66:41:0605017</t>
  </si>
  <si>
    <t>66:41:0605018</t>
  </si>
  <si>
    <t>66:41:0605021</t>
  </si>
  <si>
    <t>66:41:0605022</t>
  </si>
  <si>
    <t>66:41:0605024</t>
  </si>
  <si>
    <t>66:41:0509032</t>
  </si>
  <si>
    <t>66:41:0509024</t>
  </si>
  <si>
    <t>66:41:0509021</t>
  </si>
  <si>
    <t>66:41:0509022</t>
  </si>
  <si>
    <t>66:41:0509023</t>
  </si>
  <si>
    <t>66:41:0509026</t>
  </si>
  <si>
    <t>66:41:0509027</t>
  </si>
  <si>
    <t>66:41:0509028</t>
  </si>
  <si>
    <t>66:41:0509029</t>
  </si>
  <si>
    <t>66:41:0509030</t>
  </si>
  <si>
    <t>66:41:0509031</t>
  </si>
  <si>
    <t>66:41:0509046</t>
  </si>
  <si>
    <t>66:41:0509034</t>
  </si>
  <si>
    <t>66:41:0508056</t>
  </si>
  <si>
    <t>66:41:0508061</t>
  </si>
  <si>
    <t>66:41:0508062</t>
  </si>
  <si>
    <t>66:41:0508064</t>
  </si>
  <si>
    <t>66:41:0509002</t>
  </si>
  <si>
    <t>66:41:0509035</t>
  </si>
  <si>
    <t>66:41:0509037</t>
  </si>
  <si>
    <t>66:41:0509043</t>
  </si>
  <si>
    <t>66:41:0509047</t>
  </si>
  <si>
    <t>66:41:0605015</t>
  </si>
  <si>
    <t>66:41:0503003</t>
  </si>
  <si>
    <t>66:41:0503004</t>
  </si>
  <si>
    <t>66:41:0503022</t>
  </si>
  <si>
    <t>66:41:0605002</t>
  </si>
  <si>
    <t>66:41:0605007</t>
  </si>
  <si>
    <t>66:41:0605008</t>
  </si>
  <si>
    <t>66:41:0605009</t>
  </si>
  <si>
    <t>66:41:0605010</t>
  </si>
  <si>
    <t>66:41:0605011</t>
  </si>
  <si>
    <t>66:41:0605014</t>
  </si>
  <si>
    <t>66:41:0605019</t>
  </si>
  <si>
    <t>66:41:0605026</t>
  </si>
  <si>
    <t>66:41:0502099</t>
  </si>
  <si>
    <t>66:41:0502058</t>
  </si>
  <si>
    <t>66:41:0503005</t>
  </si>
  <si>
    <t>66:41:0503006</t>
  </si>
  <si>
    <t>66:41:0503007</t>
  </si>
  <si>
    <t>66:41:0503008</t>
  </si>
  <si>
    <t>66:41:0508040</t>
  </si>
  <si>
    <t>66:41:0508021</t>
  </si>
  <si>
    <t>66:41:0508022</t>
  </si>
  <si>
    <t>66:41:0508023</t>
  </si>
  <si>
    <t>66:41:0508037</t>
  </si>
  <si>
    <t>66:41:0508038</t>
  </si>
  <si>
    <t>66:41:0508039</t>
  </si>
  <si>
    <t>66:41:0508048</t>
  </si>
  <si>
    <t>66:41:0508049</t>
  </si>
  <si>
    <t>66:41:0509025</t>
  </si>
  <si>
    <t>66:41:0509901</t>
  </si>
  <si>
    <t>66:41:0502041</t>
  </si>
  <si>
    <t>66:41:0502036</t>
  </si>
  <si>
    <t>66:41:0502037</t>
  </si>
  <si>
    <t>66:41:0502038</t>
  </si>
  <si>
    <t>66:41:0502039</t>
  </si>
  <si>
    <t>66:41:0502040</t>
  </si>
  <si>
    <t>66:41:0502046</t>
  </si>
  <si>
    <t>66:41:0502047</t>
  </si>
  <si>
    <t>66:41:0502048</t>
  </si>
  <si>
    <t>66:41:0502049</t>
  </si>
  <si>
    <t>66:41:0502055</t>
  </si>
  <si>
    <t>66:41:0502117</t>
  </si>
  <si>
    <t>66:41:0522005</t>
  </si>
  <si>
    <t>66:41:0612008</t>
  </si>
  <si>
    <t>66:41:0612009</t>
  </si>
  <si>
    <t>66:41:0612010</t>
  </si>
  <si>
    <t>66:41:0612025</t>
  </si>
  <si>
    <t>66:41:0612026</t>
  </si>
  <si>
    <t>66:41:0612027</t>
  </si>
  <si>
    <t>66:41:0612051</t>
  </si>
  <si>
    <t>66:41:0612052</t>
  </si>
  <si>
    <t>66:41:0612054</t>
  </si>
  <si>
    <t>66:41:0612073</t>
  </si>
  <si>
    <t>66:41:0612076</t>
  </si>
  <si>
    <t>66:41:0614009</t>
  </si>
  <si>
    <t>66:41:0614077</t>
  </si>
  <si>
    <t>66:41:0614004</t>
  </si>
  <si>
    <t>66:41:0614007</t>
  </si>
  <si>
    <t>66:41:0614024</t>
  </si>
  <si>
    <t>66:41:0614027</t>
  </si>
  <si>
    <t>66:41:0614028</t>
  </si>
  <si>
    <t>66:41:0614075</t>
  </si>
  <si>
    <t>66:41:0614057</t>
  </si>
  <si>
    <t>66:41:0606051</t>
  </si>
  <si>
    <t>66:41:0609008</t>
  </si>
  <si>
    <t>66:41:0609039</t>
  </si>
  <si>
    <t>66:41:0609046</t>
  </si>
  <si>
    <t>66:41:0613001</t>
  </si>
  <si>
    <t>66:41:0613002</t>
  </si>
  <si>
    <t>66:41:0613901</t>
  </si>
  <si>
    <t>66:41:0614041</t>
  </si>
  <si>
    <t>66:41:0614042</t>
  </si>
  <si>
    <t>66:41:0614052</t>
  </si>
  <si>
    <t>66:41:0614054</t>
  </si>
  <si>
    <t>66:41:0614055</t>
  </si>
  <si>
    <t>66:41:0612007</t>
  </si>
  <si>
    <t>66:41:0612003</t>
  </si>
  <si>
    <t>66:41:0609036</t>
  </si>
  <si>
    <t>66:41:0609035</t>
  </si>
  <si>
    <t>66:41:0610012</t>
  </si>
  <si>
    <t>66:41:0612001</t>
  </si>
  <si>
    <t>66:41:0612004</t>
  </si>
  <si>
    <t>66:41:0612005</t>
  </si>
  <si>
    <t>66:41:0612033</t>
  </si>
  <si>
    <t>66:41:0612045</t>
  </si>
  <si>
    <t>66:41:0612902</t>
  </si>
  <si>
    <t>66:41:0610030</t>
  </si>
  <si>
    <t>66:41:0610031</t>
  </si>
  <si>
    <t>66:41:0610033</t>
  </si>
  <si>
    <t>66:41:0612034</t>
  </si>
  <si>
    <t>66:41:0612074</t>
  </si>
  <si>
    <t>66:41:0609047</t>
  </si>
  <si>
    <t>66:41:0609015</t>
  </si>
  <si>
    <t>66:41:0609025</t>
  </si>
  <si>
    <t>66:41:0609029</t>
  </si>
  <si>
    <t>66:41:0609042</t>
  </si>
  <si>
    <t>66:41:0609043</t>
  </si>
  <si>
    <t>66:41:0609044</t>
  </si>
  <si>
    <t>66:41:0609045</t>
  </si>
  <si>
    <t>66:41:0609049</t>
  </si>
  <si>
    <t>66:41:0609050</t>
  </si>
  <si>
    <t>66:41:0609052</t>
  </si>
  <si>
    <t>66:41:0609902</t>
  </si>
  <si>
    <t>66:41:0614076</t>
  </si>
  <si>
    <t>66:41:0609018</t>
  </si>
  <si>
    <t>66:41:0609022</t>
  </si>
  <si>
    <t>66:41:0609023</t>
  </si>
  <si>
    <t>66:41:0609024</t>
  </si>
  <si>
    <t>66:41:0609026</t>
  </si>
  <si>
    <t>66:41:0609027</t>
  </si>
  <si>
    <t>66:41:0609028</t>
  </si>
  <si>
    <t>66:41:0609032</t>
  </si>
  <si>
    <t>66:41:0609033</t>
  </si>
  <si>
    <t>66:41:0609034</t>
  </si>
  <si>
    <t>66:41:0609901</t>
  </si>
  <si>
    <t>66:41:0610020</t>
  </si>
  <si>
    <t>66:41:0606005</t>
  </si>
  <si>
    <t>66:41:0606006</t>
  </si>
  <si>
    <t>66:41:0606007</t>
  </si>
  <si>
    <t>66:41:0606008</t>
  </si>
  <si>
    <t>66:41:0606031</t>
  </si>
  <si>
    <t>66:41:0606048</t>
  </si>
  <si>
    <t>66:41:0606049</t>
  </si>
  <si>
    <t>66:41:0609001</t>
  </si>
  <si>
    <t>66:41:0609007</t>
  </si>
  <si>
    <t>66:41:0712040</t>
  </si>
  <si>
    <t>66:41:0712041</t>
  </si>
  <si>
    <t>66:41:0712045</t>
  </si>
  <si>
    <t>66:41:0712049</t>
  </si>
  <si>
    <t>66:41:0610022</t>
  </si>
  <si>
    <t>66:41:0609017</t>
  </si>
  <si>
    <t>66:41:0609011</t>
  </si>
  <si>
    <t>66:41:0609014</t>
  </si>
  <si>
    <t>66:41:0609030</t>
  </si>
  <si>
    <t>66:41:0609031</t>
  </si>
  <si>
    <t>66:41:0610011</t>
  </si>
  <si>
    <t>66:41:0610015</t>
  </si>
  <si>
    <t>66:41:0610016</t>
  </si>
  <si>
    <t>66:41:0610017</t>
  </si>
  <si>
    <t>66:41:0610019</t>
  </si>
  <si>
    <t>66:41:0610021</t>
  </si>
  <si>
    <t>66:41:0610024</t>
  </si>
  <si>
    <t>66:41:0610029</t>
  </si>
  <si>
    <t>66:41:0610043</t>
  </si>
  <si>
    <t>66:41:0610001</t>
  </si>
  <si>
    <t>66:41:0610002</t>
  </si>
  <si>
    <t>66:41:0610003</t>
  </si>
  <si>
    <t>66:41:0610004</t>
  </si>
  <si>
    <t>66:41:0610006</t>
  </si>
  <si>
    <t>66:41:0610009</t>
  </si>
  <si>
    <t>66:41:0610014</t>
  </si>
  <si>
    <t>66:41:0610025</t>
  </si>
  <si>
    <t>66:41:0610026</t>
  </si>
  <si>
    <t>66:41:0610027</t>
  </si>
  <si>
    <t>66:41:0610035</t>
  </si>
  <si>
    <t>66:41:0610038</t>
  </si>
  <si>
    <t>66:41:0610039</t>
  </si>
  <si>
    <t>66:41:0610040</t>
  </si>
  <si>
    <t>66:41:0610041</t>
  </si>
  <si>
    <t>66:41:0610042</t>
  </si>
  <si>
    <t>66:41:0610044</t>
  </si>
  <si>
    <t>66:41:0608006</t>
  </si>
  <si>
    <t>66:41:0606001</t>
  </si>
  <si>
    <t>66:41:0606002</t>
  </si>
  <si>
    <t>66:41:0608005</t>
  </si>
  <si>
    <t>66:41:0609003</t>
  </si>
  <si>
    <t>66:41:0706006</t>
  </si>
  <si>
    <t>66:41:0706007</t>
  </si>
  <si>
    <t>66:41:0608001</t>
  </si>
  <si>
    <t>66:41:0608003</t>
  </si>
  <si>
    <t>66:41:0608014</t>
  </si>
  <si>
    <t>66:41:0608016</t>
  </si>
  <si>
    <t>66:41:0608019</t>
  </si>
  <si>
    <t>66:41:0608022</t>
  </si>
  <si>
    <t>66:41:0609005</t>
  </si>
  <si>
    <t>66:41:0608036</t>
  </si>
  <si>
    <t>66:41:0608021</t>
  </si>
  <si>
    <t>66:41:0608020</t>
  </si>
  <si>
    <t>66:41:0608023</t>
  </si>
  <si>
    <t>66:41:0608024</t>
  </si>
  <si>
    <t>66:41:0608025</t>
  </si>
  <si>
    <t>66:41:0608026</t>
  </si>
  <si>
    <t>66:41:0608027</t>
  </si>
  <si>
    <t>66:41:0608028</t>
  </si>
  <si>
    <t>66:41:0608029</t>
  </si>
  <si>
    <t>66:41:0608031</t>
  </si>
  <si>
    <t>66:41:0608032</t>
  </si>
  <si>
    <t>66:41:0608033</t>
  </si>
  <si>
    <t>66:41:0608035</t>
  </si>
  <si>
    <t>66:41:0608038</t>
  </si>
  <si>
    <t>66:41:0608901</t>
  </si>
  <si>
    <t>66:41:0609009</t>
  </si>
  <si>
    <t>66:41:0608017</t>
  </si>
  <si>
    <t>66:41:0603025</t>
  </si>
  <si>
    <t>66:41:0603026</t>
  </si>
  <si>
    <t>66:41:0603027</t>
  </si>
  <si>
    <t>66:41:0603028</t>
  </si>
  <si>
    <t>66:41:0603030</t>
  </si>
  <si>
    <t>66:41:0603032</t>
  </si>
  <si>
    <t>66:41:0608007</t>
  </si>
  <si>
    <t>66:41:0608008</t>
  </si>
  <si>
    <t>66:41:0608009</t>
  </si>
  <si>
    <t>66:41:0608010</t>
  </si>
  <si>
    <t>66:41:0608013</t>
  </si>
  <si>
    <t>66:41:0706002</t>
  </si>
  <si>
    <t>66:25:0501001</t>
  </si>
  <si>
    <t>66:41:0521052</t>
  </si>
  <si>
    <t>66:25:0307001</t>
  </si>
  <si>
    <t>66:25:0501010</t>
  </si>
  <si>
    <t>66:25:0501011</t>
  </si>
  <si>
    <t>66:25:0501013</t>
  </si>
  <si>
    <t>66:25:0501016</t>
  </si>
  <si>
    <t>66:25:0501018</t>
  </si>
  <si>
    <t>66:25:0501019</t>
  </si>
  <si>
    <t>66:25:0101005</t>
  </si>
  <si>
    <t>66:25:0101006</t>
  </si>
  <si>
    <t>66:25:0105001</t>
  </si>
  <si>
    <t>66:25:0202002</t>
  </si>
  <si>
    <t>66:25:0201011</t>
  </si>
  <si>
    <t>66:25:0201009</t>
  </si>
  <si>
    <t>66:41:0521051</t>
  </si>
  <si>
    <t>66:25:0201010</t>
  </si>
  <si>
    <t>66:25:0201012</t>
  </si>
  <si>
    <t>66:25:0201013</t>
  </si>
  <si>
    <t>66:25:0201014</t>
  </si>
  <si>
    <t>66:25:0201015</t>
  </si>
  <si>
    <t>66:25:0201017</t>
  </si>
  <si>
    <t>66:25:0201019</t>
  </si>
  <si>
    <t>66:41:0521004</t>
  </si>
  <si>
    <t>66:41:0521016</t>
  </si>
  <si>
    <t>66:41:0521035</t>
  </si>
  <si>
    <t>66:41:0521037</t>
  </si>
  <si>
    <t>66:41:0521038</t>
  </si>
  <si>
    <t>66:41:0521039</t>
  </si>
  <si>
    <t>66:41:0521042</t>
  </si>
  <si>
    <t>66:41:0521043</t>
  </si>
  <si>
    <t>66:41:0521044</t>
  </si>
  <si>
    <t>66:41:0521045</t>
  </si>
  <si>
    <t>66:41:0521046</t>
  </si>
  <si>
    <t>66:41:0521047</t>
  </si>
  <si>
    <t>66:41:0521048</t>
  </si>
  <si>
    <t>66:41:0521050</t>
  </si>
  <si>
    <t>66:41:0521902</t>
  </si>
  <si>
    <t>66:25:0301002</t>
  </si>
  <si>
    <t>66:25:0102001</t>
  </si>
  <si>
    <t>66:41:0509053</t>
  </si>
  <si>
    <t>66:41:0509061</t>
  </si>
  <si>
    <t>66:25:0104001</t>
  </si>
  <si>
    <t>66:41:0521001</t>
  </si>
  <si>
    <t>66:41:0521002</t>
  </si>
  <si>
    <t>66:41:0521006</t>
  </si>
  <si>
    <t>66:41:0521007</t>
  </si>
  <si>
    <t>66:41:0521008</t>
  </si>
  <si>
    <t>66:41:0521009</t>
  </si>
  <si>
    <t>66:41:0521012</t>
  </si>
  <si>
    <t>66:41:0521013</t>
  </si>
  <si>
    <t>66:41:0521014</t>
  </si>
  <si>
    <t>66:41:0521025</t>
  </si>
  <si>
    <t>66:41:0521040</t>
  </si>
  <si>
    <t>66:41:0521054</t>
  </si>
  <si>
    <t>66:25:0306002</t>
  </si>
  <si>
    <t>66:25:0304002</t>
  </si>
  <si>
    <t>66:25:0305001</t>
  </si>
  <si>
    <t>66:25:0306001</t>
  </si>
  <si>
    <t>66:25:0801004</t>
  </si>
  <si>
    <t>66:25:0801006</t>
  </si>
  <si>
    <t>66:41:0521031</t>
  </si>
  <si>
    <t>66:41:0521023</t>
  </si>
  <si>
    <t>66:41:0507097</t>
  </si>
  <si>
    <t>66:41:0521011</t>
  </si>
  <si>
    <t>66:41:0521017</t>
  </si>
  <si>
    <t>66:41:0521018</t>
  </si>
  <si>
    <t>66:41:0521019</t>
  </si>
  <si>
    <t>66:41:0521020</t>
  </si>
  <si>
    <t>66:41:0521022</t>
  </si>
  <si>
    <t>66:41:0521024</t>
  </si>
  <si>
    <t>66:41:0521026</t>
  </si>
  <si>
    <t>66:41:0521027</t>
  </si>
  <si>
    <t>66:41:0521028</t>
  </si>
  <si>
    <t>66:41:0521029</t>
  </si>
  <si>
    <t>66:41:0521030</t>
  </si>
  <si>
    <t>66:41:0521032</t>
  </si>
  <si>
    <t>66:41:0521033</t>
  </si>
  <si>
    <t>66:41:0521034</t>
  </si>
  <si>
    <t>66:41:0521036</t>
  </si>
  <si>
    <t>66:41:0521010</t>
  </si>
  <si>
    <t>66:41:0507094</t>
  </si>
  <si>
    <t>66:41:0507096</t>
  </si>
  <si>
    <t>66:41:0521005</t>
  </si>
  <si>
    <t>66:41:0521015</t>
  </si>
  <si>
    <t>66:41:0521053</t>
  </si>
  <si>
    <t>66:41:0521901</t>
  </si>
  <si>
    <t>66:25:0201002</t>
  </si>
  <si>
    <t>66:25:0201003</t>
  </si>
  <si>
    <t>66:25:0201004</t>
  </si>
  <si>
    <t>66:25:0201005</t>
  </si>
  <si>
    <t>66:25:0201006</t>
  </si>
  <si>
    <t>66:25:0201007</t>
  </si>
  <si>
    <t>66:25:0201008</t>
  </si>
  <si>
    <t>66:41:0507101</t>
  </si>
  <si>
    <t>66:41:0507102</t>
  </si>
  <si>
    <t>66:41:0507106</t>
  </si>
  <si>
    <t>66:41:0507118</t>
  </si>
  <si>
    <t>66:25:0302001</t>
  </si>
  <si>
    <t>66:25:0302002</t>
  </si>
  <si>
    <t>66:25:0303001</t>
  </si>
  <si>
    <t>66:25:0304001</t>
  </si>
  <si>
    <t>66:25:0304003</t>
  </si>
  <si>
    <t>66:41:0508084</t>
  </si>
  <si>
    <t>66:41:0508002</t>
  </si>
  <si>
    <t>66:41:0508066</t>
  </si>
  <si>
    <t>66:41:0508067</t>
  </si>
  <si>
    <t>66:41:0508068</t>
  </si>
  <si>
    <t>66:41:0508069</t>
  </si>
  <si>
    <t>66:41:0508076</t>
  </si>
  <si>
    <t>66:41:0508080</t>
  </si>
  <si>
    <t>66:41:0508081</t>
  </si>
  <si>
    <t>66:41:0508082</t>
  </si>
  <si>
    <t>66:41:0508083</t>
  </si>
  <si>
    <t>66:41:0508085</t>
  </si>
  <si>
    <t>66:41:0508086</t>
  </si>
  <si>
    <t>66:41:0508087</t>
  </si>
  <si>
    <t>66:41:0508088</t>
  </si>
  <si>
    <t>66:41:0508089</t>
  </si>
  <si>
    <t>66:41:0508092</t>
  </si>
  <si>
    <t>66:41:0508095</t>
  </si>
  <si>
    <t>66:41:0508072</t>
  </si>
  <si>
    <t>66:41:0508014</t>
  </si>
  <si>
    <t>66:41:0508030</t>
  </si>
  <si>
    <t>66:41:0508063</t>
  </si>
  <si>
    <t>66:41:0508065</t>
  </si>
  <si>
    <t>66:41:0508073</t>
  </si>
  <si>
    <t>66:41:0508077</t>
  </si>
  <si>
    <t>66:41:0508078</t>
  </si>
  <si>
    <t>66:41:0508079</t>
  </si>
  <si>
    <t>66:41:0508090</t>
  </si>
  <si>
    <t>66:41:0508091</t>
  </si>
  <si>
    <t>66:41:0508096</t>
  </si>
  <si>
    <t>66:25:0701003</t>
  </si>
  <si>
    <t>66:25:0701005</t>
  </si>
  <si>
    <t>66:25:0701007</t>
  </si>
  <si>
    <t>66:41:0507041</t>
  </si>
  <si>
    <t>66:41:0508050</t>
  </si>
  <si>
    <t>66:41:0508051</t>
  </si>
  <si>
    <t>66:41:0508052</t>
  </si>
  <si>
    <t>66:41:0508053</t>
  </si>
  <si>
    <t>66:41:0508057</t>
  </si>
  <si>
    <t>66:41:0508058</t>
  </si>
  <si>
    <t>66:41:0508059</t>
  </si>
  <si>
    <t>66:41:0508070</t>
  </si>
  <si>
    <t>66:41:0508071</t>
  </si>
  <si>
    <t>66:41:0508074</t>
  </si>
  <si>
    <t>66:41:0508901</t>
  </si>
  <si>
    <t>66:41:0507069</t>
  </si>
  <si>
    <t>66:41:0507072</t>
  </si>
  <si>
    <t>66:41:0507076</t>
  </si>
  <si>
    <t>66:41:0507080</t>
  </si>
  <si>
    <t>66:41:0507095</t>
  </si>
  <si>
    <t>66:41:0507100</t>
  </si>
  <si>
    <t>66:41:0507105</t>
  </si>
  <si>
    <t>66:41:0507112</t>
  </si>
  <si>
    <t>66:41:0507117</t>
  </si>
  <si>
    <t>66:41:0507099</t>
  </si>
  <si>
    <t>66:41:0507036</t>
  </si>
  <si>
    <t>66:41:0507018</t>
  </si>
  <si>
    <t>66:41:0507038</t>
  </si>
  <si>
    <t>66:41:0507039</t>
  </si>
  <si>
    <t>66:41:0507040</t>
  </si>
  <si>
    <t>66:41:0507051</t>
  </si>
  <si>
    <t>66:41:0507052</t>
  </si>
  <si>
    <t>66:41:0507107</t>
  </si>
  <si>
    <t>66:41:0507108</t>
  </si>
  <si>
    <t>66:41:0507109</t>
  </si>
  <si>
    <t>66:41:0507116</t>
  </si>
  <si>
    <t>66:41:0507092</t>
  </si>
  <si>
    <t>66:41:0507115</t>
  </si>
  <si>
    <t>66:25:0314001</t>
  </si>
  <si>
    <t>66:25:0315001</t>
  </si>
  <si>
    <t>66:41:0707010</t>
  </si>
  <si>
    <t>66:41:0703010</t>
  </si>
  <si>
    <t>66:41:0704019</t>
  </si>
  <si>
    <t>66:41:0704020</t>
  </si>
  <si>
    <t>66:41:0704021</t>
  </si>
  <si>
    <t>66:41:0704023</t>
  </si>
  <si>
    <t>66:41:0704025</t>
  </si>
  <si>
    <t>66:41:0704026</t>
  </si>
  <si>
    <t>66:41:0704035</t>
  </si>
  <si>
    <t>66:41:0707011</t>
  </si>
  <si>
    <t>66:41:0707012</t>
  </si>
  <si>
    <t>66:41:0707013</t>
  </si>
  <si>
    <t>66:41:0707014</t>
  </si>
  <si>
    <t>66:41:0707017</t>
  </si>
  <si>
    <t>66:41:0707018</t>
  </si>
  <si>
    <t>66:41:0707019</t>
  </si>
  <si>
    <t>66:41:0707020</t>
  </si>
  <si>
    <t>66:41:0707022</t>
  </si>
  <si>
    <t>66:41:0707023</t>
  </si>
  <si>
    <t>66:41:0709016</t>
  </si>
  <si>
    <t>66:41:0602006</t>
  </si>
  <si>
    <t>66:41:0602009</t>
  </si>
  <si>
    <t>66:41:0705006</t>
  </si>
  <si>
    <t>66:41:0705009</t>
  </si>
  <si>
    <t>66:41:0706001</t>
  </si>
  <si>
    <t>66:41:0706008</t>
  </si>
  <si>
    <t>66:41:0709013</t>
  </si>
  <si>
    <t>66:41:0603021</t>
  </si>
  <si>
    <t>66:41:0603019</t>
  </si>
  <si>
    <t>66:41:0603020</t>
  </si>
  <si>
    <t>66:41:0603024</t>
  </si>
  <si>
    <t>66:41:0603029</t>
  </si>
  <si>
    <t>66:41:0603031</t>
  </si>
  <si>
    <t>66:41:0603033</t>
  </si>
  <si>
    <t>66:41:0603034</t>
  </si>
  <si>
    <t>66:41:0605004</t>
  </si>
  <si>
    <t>66:41:0605025</t>
  </si>
  <si>
    <t>66:41:0709014</t>
  </si>
  <si>
    <t>66:41:0709015</t>
  </si>
  <si>
    <t>66:41:0709017</t>
  </si>
  <si>
    <t>66:41:0709018</t>
  </si>
  <si>
    <t>66:41:0709019</t>
  </si>
  <si>
    <t>66:41:0709020</t>
  </si>
  <si>
    <t>66:41:0709021</t>
  </si>
  <si>
    <t>66:41:0709022</t>
  </si>
  <si>
    <t>66:41:0709901</t>
  </si>
  <si>
    <t>66:41:0704045</t>
  </si>
  <si>
    <t>66:41:0704028</t>
  </si>
  <si>
    <t>66:41:0704032</t>
  </si>
  <si>
    <t>66:41:0704034</t>
  </si>
  <si>
    <t>66:41:0704036</t>
  </si>
  <si>
    <t>66:41:0704037</t>
  </si>
  <si>
    <t>66:41:0704038</t>
  </si>
  <si>
    <t>66:41:0704039</t>
  </si>
  <si>
    <t>66:41:0705001</t>
  </si>
  <si>
    <t>66:41:0705003</t>
  </si>
  <si>
    <t>66:41:0705005</t>
  </si>
  <si>
    <t>66:41:0705901</t>
  </si>
  <si>
    <t>66:41:0706016</t>
  </si>
  <si>
    <t>66:41:0602001</t>
  </si>
  <si>
    <t>66:41:0602002</t>
  </si>
  <si>
    <t>66:41:0602005</t>
  </si>
  <si>
    <t>66:41:0602007</t>
  </si>
  <si>
    <t>66:41:0602008</t>
  </si>
  <si>
    <t>66:41:0602011</t>
  </si>
  <si>
    <t>66:41:0602901</t>
  </si>
  <si>
    <t>66:41:0603006</t>
  </si>
  <si>
    <t>66:41:0603007</t>
  </si>
  <si>
    <t>66:41:0603008</t>
  </si>
  <si>
    <t>66:41:0603013</t>
  </si>
  <si>
    <t>66:41:0603015</t>
  </si>
  <si>
    <t>66:41:0603016</t>
  </si>
  <si>
    <t>66:41:0603017</t>
  </si>
  <si>
    <t>66:41:0603018</t>
  </si>
  <si>
    <t>66:41:0603901</t>
  </si>
  <si>
    <t>66:41:0605001</t>
  </si>
  <si>
    <t>66:41:0605003</t>
  </si>
  <si>
    <t>66:41:0603005</t>
  </si>
  <si>
    <t>66:41:0601020</t>
  </si>
  <si>
    <t>66:41:0601016</t>
  </si>
  <si>
    <t>66:41:0601017</t>
  </si>
  <si>
    <t>66:41:0601018</t>
  </si>
  <si>
    <t>66:41:0601019</t>
  </si>
  <si>
    <t>66:41:0601025</t>
  </si>
  <si>
    <t>66:41:0601031</t>
  </si>
  <si>
    <t>66:41:0603001</t>
  </si>
  <si>
    <t>66:41:0603002</t>
  </si>
  <si>
    <t>66:41:0603004</t>
  </si>
  <si>
    <t>66:41:0704040</t>
  </si>
  <si>
    <t>66:41:0704041</t>
  </si>
  <si>
    <t>66:41:0704044</t>
  </si>
  <si>
    <t>66:41:0705004</t>
  </si>
  <si>
    <t>66:41:0601054</t>
  </si>
  <si>
    <t>66:41:0401050</t>
  </si>
  <si>
    <t>66:41:0601037</t>
  </si>
  <si>
    <t>66:41:0601042</t>
  </si>
  <si>
    <t>66:41:0601044</t>
  </si>
  <si>
    <t>66:41:0601045</t>
  </si>
  <si>
    <t>66:41:0601050</t>
  </si>
  <si>
    <t>66:41:0601051</t>
  </si>
  <si>
    <t>66:41:0601053</t>
  </si>
  <si>
    <t>66:41:0601056</t>
  </si>
  <si>
    <t>66:41:0603009</t>
  </si>
  <si>
    <t>66:41:0603010</t>
  </si>
  <si>
    <t>66:41:0603011</t>
  </si>
  <si>
    <t>66:41:0603012</t>
  </si>
  <si>
    <t>66:41:0701028</t>
  </si>
  <si>
    <t>66:41:0701015</t>
  </si>
  <si>
    <t>66:41:0701016</t>
  </si>
  <si>
    <t>66:41:0701024</t>
  </si>
  <si>
    <t>66:41:0701025</t>
  </si>
  <si>
    <t>66:41:0701026</t>
  </si>
  <si>
    <t>66:41:0701027</t>
  </si>
  <si>
    <t>66:41:0704003</t>
  </si>
  <si>
    <t>66:41:0704004</t>
  </si>
  <si>
    <t>66:41:0704005</t>
  </si>
  <si>
    <t>66:41:0704007</t>
  </si>
  <si>
    <t>66:41:0601001</t>
  </si>
  <si>
    <t>66:41:0601002</t>
  </si>
  <si>
    <t>66:41:0601003</t>
  </si>
  <si>
    <t>66:41:0601004</t>
  </si>
  <si>
    <t>66:41:0601005</t>
  </si>
  <si>
    <t>66:41:0601006</t>
  </si>
  <si>
    <t>66:41:0601007</t>
  </si>
  <si>
    <t>66:41:0601009</t>
  </si>
  <si>
    <t>66:41:0601010</t>
  </si>
  <si>
    <t>66:41:0601011</t>
  </si>
  <si>
    <t>66:41:0601013</t>
  </si>
  <si>
    <t>66:41:0704006</t>
  </si>
  <si>
    <t>66:41:0704027</t>
  </si>
  <si>
    <t>66:41:0601034</t>
  </si>
  <si>
    <t>66:41:0402008</t>
  </si>
  <si>
    <t>66:41:0402009</t>
  </si>
  <si>
    <t>66:41:0402018</t>
  </si>
  <si>
    <t>66:41:0601035</t>
  </si>
  <si>
    <t>66:41:0601036</t>
  </si>
  <si>
    <t>66:41:0601039</t>
  </si>
  <si>
    <t>66:41:0601043</t>
  </si>
  <si>
    <t>66:41:0601047</t>
  </si>
  <si>
    <t>66:41:0601048</t>
  </si>
  <si>
    <t>66:41:0601052</t>
  </si>
  <si>
    <t>66:41:0402030</t>
  </si>
  <si>
    <t>66:41:0402014</t>
  </si>
  <si>
    <t>66:41:0402015</t>
  </si>
  <si>
    <t>66:41:0402016</t>
  </si>
  <si>
    <t>66:41:0402017</t>
  </si>
  <si>
    <t>66:41:0402026</t>
  </si>
  <si>
    <t>66:41:0402027</t>
  </si>
  <si>
    <t>66:41:0402028</t>
  </si>
  <si>
    <t>66:41:0402029</t>
  </si>
  <si>
    <t>66:41:0601028</t>
  </si>
  <si>
    <t>66:41:0601008</t>
  </si>
  <si>
    <t>66:41:0601014</t>
  </si>
  <si>
    <t>66:41:0601015</t>
  </si>
  <si>
    <t>66:41:0601021</t>
  </si>
  <si>
    <t>66:41:0601022</t>
  </si>
  <si>
    <t>66:41:0601023</t>
  </si>
  <si>
    <t>66:41:0601024</t>
  </si>
  <si>
    <t>66:41:0601030</t>
  </si>
  <si>
    <t>66:41:0401052</t>
  </si>
  <si>
    <t>66:41:0401046</t>
  </si>
  <si>
    <t>66:41:0401051</t>
  </si>
  <si>
    <t>66:41:0401053</t>
  </si>
  <si>
    <t>66:41:0401054</t>
  </si>
  <si>
    <t>66:41:0401055</t>
  </si>
  <si>
    <t>66:41:0401056</t>
  </si>
  <si>
    <t>66:41:0401057</t>
  </si>
  <si>
    <t>66:41:0402005</t>
  </si>
  <si>
    <t>66:41:0402006</t>
  </si>
  <si>
    <t>66:41:0402007</t>
  </si>
  <si>
    <t>66:41:0601026</t>
  </si>
  <si>
    <t>66:41:0601027</t>
  </si>
  <si>
    <t>66:41:0601032</t>
  </si>
  <si>
    <t>66:41:0601033</t>
  </si>
  <si>
    <t>66:41:0601038</t>
  </si>
  <si>
    <t>66:41:0601046</t>
  </si>
  <si>
    <t>66:41:0701012</t>
  </si>
  <si>
    <t>66:41:0701001</t>
  </si>
  <si>
    <t>66:41:0701002</t>
  </si>
  <si>
    <t>66:41:0701003</t>
  </si>
  <si>
    <t>66:41:0701009</t>
  </si>
  <si>
    <t>66:41:0701010</t>
  </si>
  <si>
    <t>66:41:0701011</t>
  </si>
  <si>
    <t>66:41:0701013</t>
  </si>
  <si>
    <t>66:41:0701014</t>
  </si>
  <si>
    <t>66:41:0701018</t>
  </si>
  <si>
    <t>66:41:0701020</t>
  </si>
  <si>
    <t>66:41:0701021</t>
  </si>
  <si>
    <t>66:41:0701022</t>
  </si>
  <si>
    <t>66:41:0701023</t>
  </si>
  <si>
    <t>66:41:0701901</t>
  </si>
  <si>
    <t>66:41:0401025</t>
  </si>
  <si>
    <t>66:41:0401023</t>
  </si>
  <si>
    <t>66:41:0401026</t>
  </si>
  <si>
    <t>66:41:0401027</t>
  </si>
  <si>
    <t>66:41:0401028</t>
  </si>
  <si>
    <t>66:41:0401029</t>
  </si>
  <si>
    <t>66:41:0401030</t>
  </si>
  <si>
    <t>66:41:0401036</t>
  </si>
  <si>
    <t>66:41:0401037</t>
  </si>
  <si>
    <t>66:41:0401038</t>
  </si>
  <si>
    <t>66:41:0401039</t>
  </si>
  <si>
    <t>66:41:0401040</t>
  </si>
  <si>
    <t>66:41:0401902</t>
  </si>
  <si>
    <t>66:41:0601901</t>
  </si>
  <si>
    <t>66:41:0701019</t>
  </si>
  <si>
    <t>66:41:0401009</t>
  </si>
  <si>
    <t>66:41:0401010</t>
  </si>
  <si>
    <t>66:41:0401011</t>
  </si>
  <si>
    <t>66:41:0401012</t>
  </si>
  <si>
    <t>66:41:0401013</t>
  </si>
  <si>
    <t>66:41:0401015</t>
  </si>
  <si>
    <t>66:41:0401058</t>
  </si>
  <si>
    <t>66:41:0402023</t>
  </si>
  <si>
    <t>66:41:0401004</t>
  </si>
  <si>
    <t>66:41:0401008</t>
  </si>
  <si>
    <t>66:41:0401019</t>
  </si>
  <si>
    <t>66:41:0401020</t>
  </si>
  <si>
    <t>66:41:0401021</t>
  </si>
  <si>
    <t>66:41:0402019</t>
  </si>
  <si>
    <t>66:41:0401033</t>
  </si>
  <si>
    <t>66:41:0401016</t>
  </si>
  <si>
    <t>66:41:0401017</t>
  </si>
  <si>
    <t>66:41:0401031</t>
  </si>
  <si>
    <t>66:41:0401032</t>
  </si>
  <si>
    <t>66:41:0401034</t>
  </si>
  <si>
    <t>66:41:0401035</t>
  </si>
  <si>
    <t>66:41:0401041</t>
  </si>
  <si>
    <t>66:41:0401042</t>
  </si>
  <si>
    <t>66:41:0401043</t>
  </si>
  <si>
    <t>66:41:0401044</t>
  </si>
  <si>
    <t>66:41:0401045</t>
  </si>
  <si>
    <t>66:41:0401049</t>
  </si>
  <si>
    <t>66:41:0401901</t>
  </si>
  <si>
    <t>66:41:0402003</t>
  </si>
  <si>
    <t>66:41:0304026</t>
  </si>
  <si>
    <t>66:41:0401047</t>
  </si>
  <si>
    <t>66:41:0401048</t>
  </si>
  <si>
    <t>66:41:0402001</t>
  </si>
  <si>
    <t>66:41:0402002</t>
  </si>
  <si>
    <t>66:41:0402004</t>
  </si>
  <si>
    <t>66:41:0402012</t>
  </si>
  <si>
    <t>66:41:0402013</t>
  </si>
  <si>
    <t>66:41:0402021</t>
  </si>
  <si>
    <t>66:41:0402022</t>
  </si>
  <si>
    <t>66:41:0403001</t>
  </si>
  <si>
    <t>66:41:0403002</t>
  </si>
  <si>
    <t>66:41:0403003</t>
  </si>
  <si>
    <t>66:41:0403004</t>
  </si>
  <si>
    <t>66:41:0403007</t>
  </si>
  <si>
    <t>66:41:0403015</t>
  </si>
  <si>
    <t>66:41:0403018</t>
  </si>
  <si>
    <t>66:41:0401018</t>
  </si>
  <si>
    <t>66:41:0301013</t>
  </si>
  <si>
    <t>66:41:0301011</t>
  </si>
  <si>
    <t>66:41:0301012</t>
  </si>
  <si>
    <t>66:41:0301014</t>
  </si>
  <si>
    <t>66:41:0304001</t>
  </si>
  <si>
    <t>66:41:0304002</t>
  </si>
  <si>
    <t>66:41:0304003</t>
  </si>
  <si>
    <t>66:41:0401001</t>
  </si>
  <si>
    <t>66:41:0401003</t>
  </si>
  <si>
    <t>66:41:0401005</t>
  </si>
  <si>
    <t>66:41:0401006</t>
  </si>
  <si>
    <t>66:41:0401007</t>
  </si>
  <si>
    <t>66:41:0401022</t>
  </si>
  <si>
    <t>66:41:0304012</t>
  </si>
  <si>
    <t>66:41:0301901</t>
  </si>
  <si>
    <t>66:41:0303075</t>
  </si>
  <si>
    <t>66:41:0303076</t>
  </si>
  <si>
    <t>66:41:0303081</t>
  </si>
  <si>
    <t>66:41:0303082</t>
  </si>
  <si>
    <t>66:41:0303083</t>
  </si>
  <si>
    <t>66:41:0303085</t>
  </si>
  <si>
    <t>66:41:0303096</t>
  </si>
  <si>
    <t>66:41:0304005</t>
  </si>
  <si>
    <t>66:41:0304006</t>
  </si>
  <si>
    <t>66:41:0304009</t>
  </si>
  <si>
    <t>66:41:0304011</t>
  </si>
  <si>
    <t>66:41:0304027</t>
  </si>
  <si>
    <t>66:41:0301017</t>
  </si>
  <si>
    <t>66:41:0303007</t>
  </si>
  <si>
    <t>66:41:0303022</t>
  </si>
  <si>
    <t>66:41:0303042</t>
  </si>
  <si>
    <t>66:41:0303043</t>
  </si>
  <si>
    <t>66:41:0303073</t>
  </si>
  <si>
    <t>66:41:0303074</t>
  </si>
  <si>
    <t>66:41:0304028</t>
  </si>
  <si>
    <t>66:41:0304004</t>
  </si>
  <si>
    <t>66:41:0304008</t>
  </si>
  <si>
    <t>ww2</t>
  </si>
  <si>
    <t>66:41:0304010</t>
  </si>
  <si>
    <t>66:41:0304025</t>
  </si>
  <si>
    <t>66:41:0304029</t>
  </si>
  <si>
    <t>66:41:0303080</t>
  </si>
  <si>
    <t>66:41:0303035</t>
  </si>
  <si>
    <t>66:41:0303036</t>
  </si>
  <si>
    <t>66:41:0303037</t>
  </si>
  <si>
    <t>66:41:0303038</t>
  </si>
  <si>
    <t>66:41:0303039</t>
  </si>
  <si>
    <t>66:41:0303040</t>
  </si>
  <si>
    <t>66:41:0303066</t>
  </si>
  <si>
    <t>66:41:0303067</t>
  </si>
  <si>
    <t>66:41:0303068</t>
  </si>
  <si>
    <t>66:41:0303072</t>
  </si>
  <si>
    <t>66:41:0303077</t>
  </si>
  <si>
    <t>66:41:0303079</t>
  </si>
  <si>
    <t>66:41:0303094</t>
  </si>
  <si>
    <t>66:41:0303095</t>
  </si>
  <si>
    <t>66:41:0110014</t>
  </si>
  <si>
    <t>66:41:0111003</t>
  </si>
  <si>
    <t>66:41:0111004</t>
  </si>
  <si>
    <t>66:41:0702015</t>
  </si>
  <si>
    <t>66:41:0702016</t>
  </si>
  <si>
    <t>66:41:0703001</t>
  </si>
  <si>
    <t>66:41:0703002</t>
  </si>
  <si>
    <t>66:41:0702024</t>
  </si>
  <si>
    <t>66:41:0702023</t>
  </si>
  <si>
    <t>66:41:0702025</t>
  </si>
  <si>
    <t>66:41:0702039</t>
  </si>
  <si>
    <t>66:41:0702040</t>
  </si>
  <si>
    <t>66:41:0702041</t>
  </si>
  <si>
    <t>66:41:0702042</t>
  </si>
  <si>
    <t>66:41:0702043</t>
  </si>
  <si>
    <t>66:41:0702044</t>
  </si>
  <si>
    <t>66:41:0703005</t>
  </si>
  <si>
    <t>66:41:0703006</t>
  </si>
  <si>
    <t>66:41:0703007</t>
  </si>
  <si>
    <t>66:41:0703011</t>
  </si>
  <si>
    <t>66:41:0704010</t>
  </si>
  <si>
    <t>66:41:0704011</t>
  </si>
  <si>
    <t>66:41:0704012</t>
  </si>
  <si>
    <t>66:41:0107081</t>
  </si>
  <si>
    <t>66:41:0107106</t>
  </si>
  <si>
    <t>66:41:0110004</t>
  </si>
  <si>
    <t>66:41:0110005</t>
  </si>
  <si>
    <t>66:41:0110008</t>
  </si>
  <si>
    <t>66:41:0110901</t>
  </si>
  <si>
    <t>66:41:0702901</t>
  </si>
  <si>
    <t>66:41:0702047</t>
  </si>
  <si>
    <t>66:41:0702048</t>
  </si>
  <si>
    <t>66:41:0702049</t>
  </si>
  <si>
    <t>66:41:0702056</t>
  </si>
  <si>
    <t>66:41:0702057</t>
  </si>
  <si>
    <t>66:41:0707001</t>
  </si>
  <si>
    <t>66:41:0702011</t>
  </si>
  <si>
    <t>66:41:0702001</t>
  </si>
  <si>
    <t>66:41:0702002</t>
  </si>
  <si>
    <t>66:41:0702003</t>
  </si>
  <si>
    <t>66:41:0702004</t>
  </si>
  <si>
    <t>66:41:0702010</t>
  </si>
  <si>
    <t>66:41:0702022</t>
  </si>
  <si>
    <t>66:41:0702034</t>
  </si>
  <si>
    <t>66:41:0702035</t>
  </si>
  <si>
    <t>66:41:0702038</t>
  </si>
  <si>
    <t>66:41:0702058</t>
  </si>
  <si>
    <t>66:41:0702060</t>
  </si>
  <si>
    <t>66:41:0702061</t>
  </si>
  <si>
    <t>66:41:0702069</t>
  </si>
  <si>
    <t>66:41:0704009</t>
  </si>
  <si>
    <t>66:41:0108090</t>
  </si>
  <si>
    <t>66:41:0108059</t>
  </si>
  <si>
    <t>66:41:0108062</t>
  </si>
  <si>
    <t>66:41:0108070</t>
  </si>
  <si>
    <t>66:41:0108071</t>
  </si>
  <si>
    <t>66:41:0108072</t>
  </si>
  <si>
    <t>66:41:0108091</t>
  </si>
  <si>
    <t>66:41:0108092</t>
  </si>
  <si>
    <t>66:41:0108095</t>
  </si>
  <si>
    <t>66:41:0108105</t>
  </si>
  <si>
    <t>66:41:0108109</t>
  </si>
  <si>
    <t>66:41:0108060</t>
  </si>
  <si>
    <t>66:41:0108032</t>
  </si>
  <si>
    <t>66:41:0108003</t>
  </si>
  <si>
    <t>66:41:0108004</t>
  </si>
  <si>
    <t>66:41:0108005</t>
  </si>
  <si>
    <t>66:41:0108010</t>
  </si>
  <si>
    <t>66:41:0108022</t>
  </si>
  <si>
    <t>66:41:0108024</t>
  </si>
  <si>
    <t>66:41:0108025</t>
  </si>
  <si>
    <t>66:41:0108026</t>
  </si>
  <si>
    <t>66:41:0108034</t>
  </si>
  <si>
    <t>66:41:0108035</t>
  </si>
  <si>
    <t>66:41:0108036</t>
  </si>
  <si>
    <t>66:41:0108061</t>
  </si>
  <si>
    <t>66:41:0108073</t>
  </si>
  <si>
    <t>66:41:0107098</t>
  </si>
  <si>
    <t>66:41:0108002</t>
  </si>
  <si>
    <t>66:41:0108014</t>
  </si>
  <si>
    <t>66:41:0108020</t>
  </si>
  <si>
    <t>66:41:0108021</t>
  </si>
  <si>
    <t>66:41:0108029</t>
  </si>
  <si>
    <t>66:41:0109051</t>
  </si>
  <si>
    <t>66:41:0110003</t>
  </si>
  <si>
    <t>66:41:0108117</t>
  </si>
  <si>
    <t>66:41:0108084</t>
  </si>
  <si>
    <t>66:41:0108101</t>
  </si>
  <si>
    <t>66:41:0108102</t>
  </si>
  <si>
    <t>66:41:0108103</t>
  </si>
  <si>
    <t>66:41:0108104</t>
  </si>
  <si>
    <t>66:41:0108115</t>
  </si>
  <si>
    <t>66:41:0108118</t>
  </si>
  <si>
    <t>66:41:0108119</t>
  </si>
  <si>
    <t>66:41:0110129</t>
  </si>
  <si>
    <t>66:41:0108901</t>
  </si>
  <si>
    <t>66:41:0108058</t>
  </si>
  <si>
    <t>66:41:0108047</t>
  </si>
  <si>
    <t>66:41:0108053</t>
  </si>
  <si>
    <t>66:41:0108054</t>
  </si>
  <si>
    <t>66:41:0108057</t>
  </si>
  <si>
    <t>66:41:0108068</t>
  </si>
  <si>
    <t>66:41:0108069</t>
  </si>
  <si>
    <t>66:41:0108077</t>
  </si>
  <si>
    <t>66:41:0108086</t>
  </si>
  <si>
    <t>66:41:0108089</t>
  </si>
  <si>
    <t>66:41:0110023</t>
  </si>
  <si>
    <t>66:41:0108007</t>
  </si>
  <si>
    <t>66:41:0108114</t>
  </si>
  <si>
    <t>66:41:0108122</t>
  </si>
  <si>
    <t>66:41:0108124</t>
  </si>
  <si>
    <t>66:41:0108126</t>
  </si>
  <si>
    <t>66:41:0110002</t>
  </si>
  <si>
    <t>66:41:0110015</t>
  </si>
  <si>
    <t>66:41:0110021</t>
  </si>
  <si>
    <t>66:41:0110022</t>
  </si>
  <si>
    <t>66:41:0110024</t>
  </si>
  <si>
    <t>66:41:0702009</t>
  </si>
  <si>
    <t>66:41:0108052</t>
  </si>
  <si>
    <t>66:41:0108011</t>
  </si>
  <si>
    <t>66:41:0108046</t>
  </si>
  <si>
    <t>66:41:0108048</t>
  </si>
  <si>
    <t>66:41:0108051</t>
  </si>
  <si>
    <t>66:41:0108055</t>
  </si>
  <si>
    <t>66:41:0108056</t>
  </si>
  <si>
    <t>66:41:0108066</t>
  </si>
  <si>
    <t>66:41:0108067</t>
  </si>
  <si>
    <t>66:41:0108076</t>
  </si>
  <si>
    <t>66:41:0108100</t>
  </si>
  <si>
    <t>66:41:0108065</t>
  </si>
  <si>
    <t>66:41:0108074</t>
  </si>
  <si>
    <t>66:41:0108075</t>
  </si>
  <si>
    <t>66:41:0108079</t>
  </si>
  <si>
    <t>66:41:0108080</t>
  </si>
  <si>
    <t>66:41:0108081</t>
  </si>
  <si>
    <t>66:41:0108082</t>
  </si>
  <si>
    <t>66:41:0108083</t>
  </si>
  <si>
    <t>66:41:0108099</t>
  </si>
  <si>
    <t>66:41:0106075</t>
  </si>
  <si>
    <t>66:41:0106082</t>
  </si>
  <si>
    <t>66:41:0108009</t>
  </si>
  <si>
    <t>66:41:0108012</t>
  </si>
  <si>
    <t>66:41:0108027</t>
  </si>
  <si>
    <t>66:41:0106104</t>
  </si>
  <si>
    <t>66:41:0106105</t>
  </si>
  <si>
    <t>66:41:0106114</t>
  </si>
  <si>
    <t>66:41:0108006</t>
  </si>
  <si>
    <t>66:41:0108096</t>
  </si>
  <si>
    <t>66:41:0108097</t>
  </si>
  <si>
    <t>66:41:0108098</t>
  </si>
  <si>
    <t>66:41:0108111</t>
  </si>
  <si>
    <t>66:41:0110012</t>
  </si>
  <si>
    <t>66:41:0106045</t>
  </si>
  <si>
    <t>66:41:0106035</t>
  </si>
  <si>
    <t>66:41:0106041</t>
  </si>
  <si>
    <t>66:41:0106096</t>
  </si>
  <si>
    <t>66:41:0108008</t>
  </si>
  <si>
    <t>66:41:0108038</t>
  </si>
  <si>
    <t>66:41:0108042</t>
  </si>
  <si>
    <t>66:41:0108043</t>
  </si>
  <si>
    <t>66:41:0108050</t>
  </si>
  <si>
    <t>66:41:0503002</t>
  </si>
  <si>
    <t>66:41:0502032</t>
  </si>
  <si>
    <t>66:41:0502021</t>
  </si>
  <si>
    <t>66:41:0502020</t>
  </si>
  <si>
    <t>66:41:0502023</t>
  </si>
  <si>
    <t>66:41:0502033</t>
  </si>
  <si>
    <t>66:41:0502034</t>
  </si>
  <si>
    <t>66:41:0502035</t>
  </si>
  <si>
    <t>66:41:0502001</t>
  </si>
  <si>
    <t>66:41:0502016</t>
  </si>
  <si>
    <t>66:41:0502018</t>
  </si>
  <si>
    <t>66:41:0502024</t>
  </si>
  <si>
    <t>66:41:0502025</t>
  </si>
  <si>
    <t>66:41:0502028</t>
  </si>
  <si>
    <t>66:41:0502029</t>
  </si>
  <si>
    <t>66:41:0502031</t>
  </si>
  <si>
    <t>66:41:0502042</t>
  </si>
  <si>
    <t>66:41:0502043</t>
  </si>
  <si>
    <t>66:41:0502044</t>
  </si>
  <si>
    <t>66:41:0502045</t>
  </si>
  <si>
    <t>66:41:0502051</t>
  </si>
  <si>
    <t>66:41:0502054</t>
  </si>
  <si>
    <t>66:41:0502102</t>
  </si>
  <si>
    <t>66:41:0502902</t>
  </si>
  <si>
    <t>66:41:0522001</t>
  </si>
  <si>
    <t>66:41:0522002</t>
  </si>
  <si>
    <t>66:41:0522003</t>
  </si>
  <si>
    <t>66:41:0522004</t>
  </si>
  <si>
    <t>66:41:0507028</t>
  </si>
  <si>
    <t>66:41:0502110</t>
  </si>
  <si>
    <t>66:41:0502005</t>
  </si>
  <si>
    <t>66:41:0502053</t>
  </si>
  <si>
    <t>66:41:0502056</t>
  </si>
  <si>
    <t>66:41:0502103</t>
  </si>
  <si>
    <t>66:41:0502105</t>
  </si>
  <si>
    <t>66:41:0502111</t>
  </si>
  <si>
    <t>66:41:0502112</t>
  </si>
  <si>
    <t>66:41:0502113</t>
  </si>
  <si>
    <t>66:41:0502114</t>
  </si>
  <si>
    <t>66:41:0502115</t>
  </si>
  <si>
    <t>66:41:0502507</t>
  </si>
  <si>
    <t>66:41:0502508</t>
  </si>
  <si>
    <t>66:41:0507002</t>
  </si>
  <si>
    <t>66:41:0502003</t>
  </si>
  <si>
    <t>66:41:0502004</t>
  </si>
  <si>
    <t>66:41:0502006</t>
  </si>
  <si>
    <t>66:41:0502007</t>
  </si>
  <si>
    <t>66:41:0502010</t>
  </si>
  <si>
    <t>66:41:0502014</t>
  </si>
  <si>
    <t>66:41:0502060</t>
  </si>
  <si>
    <t>66:41:0502066</t>
  </si>
  <si>
    <t>66:41:0502087</t>
  </si>
  <si>
    <t>66:41:0503001</t>
  </si>
  <si>
    <t>66:41:0503029</t>
  </si>
  <si>
    <t>66:41:0601055</t>
  </si>
  <si>
    <t>66:41:0601057</t>
  </si>
  <si>
    <t>66:41:0604028</t>
  </si>
  <si>
    <t>66:41:0604030</t>
  </si>
  <si>
    <t>66:41:0605005</t>
  </si>
  <si>
    <t>66:41:0605006</t>
  </si>
  <si>
    <t>66:41:0502097</t>
  </si>
  <si>
    <t>66:41:0502017</t>
  </si>
  <si>
    <t>66:41:0502067</t>
  </si>
  <si>
    <t>66:41:0502068</t>
  </si>
  <si>
    <t>66:41:0502070</t>
  </si>
  <si>
    <t>66:41:0502071</t>
  </si>
  <si>
    <t>66:41:0502091</t>
  </si>
  <si>
    <t>66:41:0502092</t>
  </si>
  <si>
    <t>66:41:0502093</t>
  </si>
  <si>
    <t>66:41:0502094</t>
  </si>
  <si>
    <t>66:41:0502096</t>
  </si>
  <si>
    <t>66:41:0502098</t>
  </si>
  <si>
    <t>66:41:0502101</t>
  </si>
  <si>
    <t>66:41:0502104</t>
  </si>
  <si>
    <t>66:41:0502106</t>
  </si>
  <si>
    <t>66:41:0505012</t>
  </si>
  <si>
    <t>66:41:0502002</t>
  </si>
  <si>
    <t>66:41:0502086</t>
  </si>
  <si>
    <t>66:41:0502088</t>
  </si>
  <si>
    <t>66:41:0502124</t>
  </si>
  <si>
    <t>66:41:0502126</t>
  </si>
  <si>
    <t>66:41:0502901</t>
  </si>
  <si>
    <t>66:41:0505011</t>
  </si>
  <si>
    <t>66:41:0505042</t>
  </si>
  <si>
    <t>66:41:0507001</t>
  </si>
  <si>
    <t>66:41:0502083</t>
  </si>
  <si>
    <t>66:41:0502069</t>
  </si>
  <si>
    <t>66:41:0502075</t>
  </si>
  <si>
    <t>66:41:0502076</t>
  </si>
  <si>
    <t>66:41:0502077</t>
  </si>
  <si>
    <t>66:41:0502078</t>
  </si>
  <si>
    <t>66:41:0502079</t>
  </si>
  <si>
    <t>66:41:0502080</t>
  </si>
  <si>
    <t>66:41:0502084</t>
  </si>
  <si>
    <t>66:41:0502085</t>
  </si>
  <si>
    <t>66:41:0502095</t>
  </si>
  <si>
    <t>66:41:0502100</t>
  </si>
  <si>
    <t>66:41:0506029</t>
  </si>
  <si>
    <t>66:41:0501065</t>
  </si>
  <si>
    <t>66:41:0001001</t>
  </si>
  <si>
    <t>66:41:0501004</t>
  </si>
  <si>
    <t>66:41:0501066</t>
  </si>
  <si>
    <t>66:41:0501072</t>
  </si>
  <si>
    <t>66:41:0502061</t>
  </si>
  <si>
    <t>66:41:0502062</t>
  </si>
  <si>
    <t>66:41:0502063</t>
  </si>
  <si>
    <t>66:41:0502064</t>
  </si>
  <si>
    <t>66:41:0502073</t>
  </si>
  <si>
    <t>66:41:0502074</t>
  </si>
  <si>
    <t>66:41:0604031</t>
  </si>
  <si>
    <t>66:41:0604009</t>
  </si>
  <si>
    <t>66:41:0604001</t>
  </si>
  <si>
    <t>66:41:0604003</t>
  </si>
  <si>
    <t>66:41:0604004</t>
  </si>
  <si>
    <t>66:41:0604005</t>
  </si>
  <si>
    <t>66:41:0604006</t>
  </si>
  <si>
    <t>66:41:0604007</t>
  </si>
  <si>
    <t>66:41:0604008</t>
  </si>
  <si>
    <t>66:41:0604010</t>
  </si>
  <si>
    <t>66:41:0604016</t>
  </si>
  <si>
    <t>66:41:0604017</t>
  </si>
  <si>
    <t>66:41:0604018</t>
  </si>
  <si>
    <t>66:41:0604019</t>
  </si>
  <si>
    <t>66:41:0604020</t>
  </si>
  <si>
    <t>66:41:0604021</t>
  </si>
  <si>
    <t>66:41:0604022</t>
  </si>
  <si>
    <t>66:41:0604023</t>
  </si>
  <si>
    <t>66:41:0604026</t>
  </si>
  <si>
    <t>66:41:0604029</t>
  </si>
  <si>
    <t>66:41:0604901</t>
  </si>
  <si>
    <t>66:41:0501055</t>
  </si>
  <si>
    <t>66:41:0501007</t>
  </si>
  <si>
    <t>66:41:0501008</t>
  </si>
  <si>
    <t>66:41:0501010</t>
  </si>
  <si>
    <t>66:41:0501031</t>
  </si>
  <si>
    <t>66:41:0501032</t>
  </si>
  <si>
    <t>66:41:0501033</t>
  </si>
  <si>
    <t>66:41:0501035</t>
  </si>
  <si>
    <t>66:41:0501054</t>
  </si>
  <si>
    <t>66:41:0501056</t>
  </si>
  <si>
    <t>66:41:0501057</t>
  </si>
  <si>
    <t>66:41:0501062</t>
  </si>
  <si>
    <t>66:41:0505004</t>
  </si>
  <si>
    <t>66:41:0504010</t>
  </si>
  <si>
    <t>66:41:0504012</t>
  </si>
  <si>
    <t>66:41:0504023</t>
  </si>
  <si>
    <t>66:41:0504024</t>
  </si>
  <si>
    <t>66:41:0504025</t>
  </si>
  <si>
    <t>66:41:0504036</t>
  </si>
  <si>
    <t>66:41:0504037</t>
  </si>
  <si>
    <t>66:41:0505009</t>
  </si>
  <si>
    <t>66:41:0505010</t>
  </si>
  <si>
    <t>66:41:0505040</t>
  </si>
  <si>
    <t>66:41:0505901</t>
  </si>
  <si>
    <t>66:41:0504005</t>
  </si>
  <si>
    <t>66:41:0504002</t>
  </si>
  <si>
    <t>66:41:0504003</t>
  </si>
  <si>
    <t>66:41:0504006</t>
  </si>
  <si>
    <t>66:41:0504007</t>
  </si>
  <si>
    <t>66:41:0504011</t>
  </si>
  <si>
    <t>66:41:0505002</t>
  </si>
  <si>
    <t>66:41:0505003</t>
  </si>
  <si>
    <t>66:41:0505005</t>
  </si>
  <si>
    <t>66:41:0501005</t>
  </si>
  <si>
    <t>66:41:0402025</t>
  </si>
  <si>
    <t>66:41:0501003</t>
  </si>
  <si>
    <t>66:41:0501013</t>
  </si>
  <si>
    <t>66:41:0501024</t>
  </si>
  <si>
    <t>66:41:0501025</t>
  </si>
  <si>
    <t>66:41:0501026</t>
  </si>
  <si>
    <t>66:41:0501042</t>
  </si>
  <si>
    <t>66:41:0501045</t>
  </si>
  <si>
    <t>66:41:0501046</t>
  </si>
  <si>
    <t>66:41:0501049</t>
  </si>
  <si>
    <t>66:41:0404005</t>
  </si>
  <si>
    <t>66:41:0501001</t>
  </si>
  <si>
    <t>66:41:0501058</t>
  </si>
  <si>
    <t>66:41:0501060</t>
  </si>
  <si>
    <t>66:41:0501061</t>
  </si>
  <si>
    <t>66:41:0501063</t>
  </si>
  <si>
    <t>66:41:0501064</t>
  </si>
  <si>
    <t>66:41:0501070</t>
  </si>
  <si>
    <t>66:41:0501073</t>
  </si>
  <si>
    <t>66:41:0501075</t>
  </si>
  <si>
    <t>66:41:0505001</t>
  </si>
  <si>
    <t>66:41:0501044</t>
  </si>
  <si>
    <t>66:41:0402044</t>
  </si>
  <si>
    <t>66:41:0402035</t>
  </si>
  <si>
    <t>66:41:0402037</t>
  </si>
  <si>
    <t>66:41:0402038</t>
  </si>
  <si>
    <t>66:41:0402039</t>
  </si>
  <si>
    <t>66:41:0402040</t>
  </si>
  <si>
    <t>66:41:0402041</t>
  </si>
  <si>
    <t>66:41:0402042</t>
  </si>
  <si>
    <t>66:41:0402043</t>
  </si>
  <si>
    <t>66:41:0501021</t>
  </si>
  <si>
    <t>66:41:0501022</t>
  </si>
  <si>
    <t>66:41:0501043</t>
  </si>
  <si>
    <t>66:41:0501047</t>
  </si>
  <si>
    <t>66:41:0501048</t>
  </si>
  <si>
    <t>66:41:0501059</t>
  </si>
  <si>
    <t>66:41:0501901</t>
  </si>
  <si>
    <t>66:41:0504056</t>
  </si>
  <si>
    <t>66:41:0504033</t>
  </si>
  <si>
    <t>66:41:0504031</t>
  </si>
  <si>
    <t>66:41:0504032</t>
  </si>
  <si>
    <t>66:41:0504047</t>
  </si>
  <si>
    <t>66:41:0504048</t>
  </si>
  <si>
    <t>66:41:0504049</t>
  </si>
  <si>
    <t>66:41:0504050</t>
  </si>
  <si>
    <t>66:41:0504054</t>
  </si>
  <si>
    <t>66:41:0504055</t>
  </si>
  <si>
    <t>66:41:0504058</t>
  </si>
  <si>
    <t>66:41:0402010</t>
  </si>
  <si>
    <t>66:41:0402020</t>
  </si>
  <si>
    <t>66:41:0402024</t>
  </si>
  <si>
    <t>66:41:0402032</t>
  </si>
  <si>
    <t>66:41:0402033</t>
  </si>
  <si>
    <t>66:41:0501002</t>
  </si>
  <si>
    <t>66:41:0501009</t>
  </si>
  <si>
    <t>66:41:0504008</t>
  </si>
  <si>
    <t>66:41:0504009</t>
  </si>
  <si>
    <t>66:41:0504022</t>
  </si>
  <si>
    <t>66:41:0504027</t>
  </si>
  <si>
    <t>66:41:0504028</t>
  </si>
  <si>
    <t>66:41:0504901</t>
  </si>
  <si>
    <t>66:41:0504030</t>
  </si>
  <si>
    <t>66:41:0504043</t>
  </si>
  <si>
    <t>66:41:0504044</t>
  </si>
  <si>
    <t>66:41:0504045</t>
  </si>
  <si>
    <t>66:41:0504046</t>
  </si>
  <si>
    <t>66:41:0504062</t>
  </si>
  <si>
    <t>66:41:0507050</t>
  </si>
  <si>
    <t>66:41:0507070</t>
  </si>
  <si>
    <t>66:25:0304006</t>
  </si>
  <si>
    <t>66:25:0306004</t>
  </si>
  <si>
    <t>66:41:0508097</t>
  </si>
  <si>
    <t>66:41:0508041</t>
  </si>
  <si>
    <t>66:41:0508035</t>
  </si>
  <si>
    <t>66:41:0508042</t>
  </si>
  <si>
    <t>66:41:0508043</t>
  </si>
  <si>
    <t>66:41:0508044</t>
  </si>
  <si>
    <t>66:41:0508054</t>
  </si>
  <si>
    <t>66:41:0508055</t>
  </si>
  <si>
    <t>66:41:0508008</t>
  </si>
  <si>
    <t>66:41:0508005</t>
  </si>
  <si>
    <t>66:41:0508006</t>
  </si>
  <si>
    <t>66:41:0508007</t>
  </si>
  <si>
    <t>66:41:0508011</t>
  </si>
  <si>
    <t>66:41:0508013</t>
  </si>
  <si>
    <t>66:41:0508016</t>
  </si>
  <si>
    <t>66:41:0508020</t>
  </si>
  <si>
    <t>66:41:0508025</t>
  </si>
  <si>
    <t>66:41:0508029</t>
  </si>
  <si>
    <t>66:41:0508031</t>
  </si>
  <si>
    <t>66:41:0508036</t>
  </si>
  <si>
    <t>66:41:0508075</t>
  </si>
  <si>
    <t>66:41:0508028</t>
  </si>
  <si>
    <t>66:41:0508009</t>
  </si>
  <si>
    <t>66:41:0508010</t>
  </si>
  <si>
    <t>66:41:0508015</t>
  </si>
  <si>
    <t>66:41:0508017</t>
  </si>
  <si>
    <t>66:41:0508018</t>
  </si>
  <si>
    <t>66:41:0508019</t>
  </si>
  <si>
    <t>66:41:0508024</t>
  </si>
  <si>
    <t>66:41:0508026</t>
  </si>
  <si>
    <t>66:41:0508027</t>
  </si>
  <si>
    <t>66:41:0508032</t>
  </si>
  <si>
    <t>66:41:0508033</t>
  </si>
  <si>
    <t>66:41:0508034</t>
  </si>
  <si>
    <t>66:41:0508045</t>
  </si>
  <si>
    <t>66:41:0508046</t>
  </si>
  <si>
    <t>66:41:0508047</t>
  </si>
  <si>
    <t>66:41:0507005</t>
  </si>
  <si>
    <t>66:41:0507007</t>
  </si>
  <si>
    <t>66:41:0508001</t>
  </si>
  <si>
    <t>66:41:0508003</t>
  </si>
  <si>
    <t>66:41:0508004</t>
  </si>
  <si>
    <t>66:41:0508012</t>
  </si>
  <si>
    <t>66:41:0508094</t>
  </si>
  <si>
    <t>66:41:0529001</t>
  </si>
  <si>
    <t>66:41:0529002</t>
  </si>
  <si>
    <t>66:41:0529003</t>
  </si>
  <si>
    <t>66:41:0529004</t>
  </si>
  <si>
    <t>66:41:0529005</t>
  </si>
  <si>
    <t>66:41:0529008</t>
  </si>
  <si>
    <t>66:41:0529009</t>
  </si>
  <si>
    <t>66:41:0529901</t>
  </si>
  <si>
    <t>66:41:0514021</t>
  </si>
  <si>
    <t>66:41:0514006</t>
  </si>
  <si>
    <t>66:41:0514010</t>
  </si>
  <si>
    <t>66:41:0514013</t>
  </si>
  <si>
    <t>66:41:0514014</t>
  </si>
  <si>
    <t>66:41:0514016</t>
  </si>
  <si>
    <t>66:41:0514017</t>
  </si>
  <si>
    <t>66:41:0514018</t>
  </si>
  <si>
    <t>66:41:0514019</t>
  </si>
  <si>
    <t>66:41:0514020</t>
  </si>
  <si>
    <t>66:41:0514023</t>
  </si>
  <si>
    <t>66:41:0514025</t>
  </si>
  <si>
    <t>66:41:0514027</t>
  </si>
  <si>
    <t>66:41:0514028</t>
  </si>
  <si>
    <t>66:41:0514029</t>
  </si>
  <si>
    <t>66:41:0514037</t>
  </si>
  <si>
    <t>66:41:0514042</t>
  </si>
  <si>
    <t>66:41:0514053</t>
  </si>
  <si>
    <t>66:41:0514001</t>
  </si>
  <si>
    <t>66:41:0507029</t>
  </si>
  <si>
    <t>66:41:0507045</t>
  </si>
  <si>
    <t>66:41:0507053</t>
  </si>
  <si>
    <t>66:41:0507119</t>
  </si>
  <si>
    <t>66:41:0514002</t>
  </si>
  <si>
    <t>66:41:0514003</t>
  </si>
  <si>
    <t>66:41:0514005</t>
  </si>
  <si>
    <t>66:41:0504040</t>
  </si>
  <si>
    <t>66:41:0504034</t>
  </si>
  <si>
    <t>66:41:0504035</t>
  </si>
  <si>
    <t>66:41:0504039</t>
  </si>
  <si>
    <t>66:41:0504041</t>
  </si>
  <si>
    <t>66:41:0504051</t>
  </si>
  <si>
    <t>66:41:0504052</t>
  </si>
  <si>
    <t>66:41:0504074</t>
  </si>
  <si>
    <t>66:41:0504075</t>
  </si>
  <si>
    <t>66:41:0504084</t>
  </si>
  <si>
    <t>66:41:0504085</t>
  </si>
  <si>
    <t>66:41:0504086</t>
  </si>
  <si>
    <t>66:41:0505018</t>
  </si>
  <si>
    <t>66:41:0505019</t>
  </si>
  <si>
    <t>66:41:0504088</t>
  </si>
  <si>
    <t>66:41:0504068</t>
  </si>
  <si>
    <t>66:41:0504069</t>
  </si>
  <si>
    <t>66:41:0504070</t>
  </si>
  <si>
    <t>66:41:0504071</t>
  </si>
  <si>
    <t>66:41:0504072</t>
  </si>
  <si>
    <t>66:41:0504073</t>
  </si>
  <si>
    <t>66:41:0504081</t>
  </si>
  <si>
    <t>66:41:0504082</t>
  </si>
  <si>
    <t>66:41:0504083</t>
  </si>
  <si>
    <t>66:41:0504089</t>
  </si>
  <si>
    <t>66:41:0504090</t>
  </si>
  <si>
    <t>66:41:0504091</t>
  </si>
  <si>
    <t>66:41:0504092</t>
  </si>
  <si>
    <t>66:41:0504093</t>
  </si>
  <si>
    <t>66:41:0504094</t>
  </si>
  <si>
    <t>66:41:0504095</t>
  </si>
  <si>
    <t>66:41:0514012</t>
  </si>
  <si>
    <t>66:41:0505023</t>
  </si>
  <si>
    <t>66:41:0511025</t>
  </si>
  <si>
    <t>66:41:0511026</t>
  </si>
  <si>
    <t>66:41:0514004</t>
  </si>
  <si>
    <t>66:41:0514007</t>
  </si>
  <si>
    <t>66:41:0514008</t>
  </si>
  <si>
    <t>66:41:0514009</t>
  </si>
  <si>
    <t>66:41:0514011</t>
  </si>
  <si>
    <t>66:41:0514024</t>
  </si>
  <si>
    <t>66:41:0514051</t>
  </si>
  <si>
    <t>66:41:0514054</t>
  </si>
  <si>
    <t>66:41:0504096</t>
  </si>
  <si>
    <t>66:41:0504063</t>
  </si>
  <si>
    <t>66:41:0504059</t>
  </si>
  <si>
    <t>66:41:0504060</t>
  </si>
  <si>
    <t>66:41:0504061</t>
  </si>
  <si>
    <t>66:41:0504064</t>
  </si>
  <si>
    <t>66:41:0504065</t>
  </si>
  <si>
    <t>66:41:0504066</t>
  </si>
  <si>
    <t>66:41:0504067</t>
  </si>
  <si>
    <t>66:41:0504076</t>
  </si>
  <si>
    <t>66:41:0504077</t>
  </si>
  <si>
    <t>66:41:0504078</t>
  </si>
  <si>
    <t>66:41:0504079</t>
  </si>
  <si>
    <t>66:41:0504080</t>
  </si>
  <si>
    <t>66:41:0504087</t>
  </si>
  <si>
    <t>66:41:0504097</t>
  </si>
  <si>
    <t>66:41:0504098</t>
  </si>
  <si>
    <t>66:41:0504099</t>
  </si>
  <si>
    <t>66:41:0518017</t>
  </si>
  <si>
    <t>66:41:0518012</t>
  </si>
  <si>
    <t>66:41:0513038</t>
  </si>
  <si>
    <t>66:41:0513039</t>
  </si>
  <si>
    <t>66:41:0513040</t>
  </si>
  <si>
    <t>66:41:0518006</t>
  </si>
  <si>
    <t>66:41:0518007</t>
  </si>
  <si>
    <t>66:41:0518010</t>
  </si>
  <si>
    <t>66:41:0518011</t>
  </si>
  <si>
    <t>66:41:0518013</t>
  </si>
  <si>
    <t>66:41:0518014</t>
  </si>
  <si>
    <t>66:41:0513132</t>
  </si>
  <si>
    <t>66:41:0513041</t>
  </si>
  <si>
    <t>66:41:0513044</t>
  </si>
  <si>
    <t>66:41:0513047</t>
  </si>
  <si>
    <t>66:41:0513049</t>
  </si>
  <si>
    <t>66:41:0511022</t>
  </si>
  <si>
    <t>66:41:0511021</t>
  </si>
  <si>
    <t>66:41:0511023</t>
  </si>
  <si>
    <t>66:41:0511024</t>
  </si>
  <si>
    <t>66:41:0511028</t>
  </si>
  <si>
    <t>66:41:0511030</t>
  </si>
  <si>
    <t>66:41:0511034</t>
  </si>
  <si>
    <t>66:41:0513037</t>
  </si>
  <si>
    <t>66:41:0518901</t>
  </si>
  <si>
    <t>66:41:0518002</t>
  </si>
  <si>
    <t>66:41:0518003</t>
  </si>
  <si>
    <t>66:41:0518004</t>
  </si>
  <si>
    <t>66:41:0518008</t>
  </si>
  <si>
    <t>66:41:0518009</t>
  </si>
  <si>
    <t>66:41:0518015</t>
  </si>
  <si>
    <t>66:41:0518016</t>
  </si>
  <si>
    <t>66:41:0518018</t>
  </si>
  <si>
    <t>66:41:0518019</t>
  </si>
  <si>
    <t>66:41:0518020</t>
  </si>
  <si>
    <t>66:41:0518023</t>
  </si>
  <si>
    <t>66:41:0518024</t>
  </si>
  <si>
    <t>66:41:0518025</t>
  </si>
  <si>
    <t>66:41:0518027</t>
  </si>
  <si>
    <t>66:41:0518028</t>
  </si>
  <si>
    <t>66:41:0518034</t>
  </si>
  <si>
    <t>66:41:0518510</t>
  </si>
  <si>
    <t>66:41:0513042</t>
  </si>
  <si>
    <t>66:41:0704015</t>
  </si>
  <si>
    <t>66:41:0702066</t>
  </si>
  <si>
    <t>66:41:0702073</t>
  </si>
  <si>
    <t>66:41:0702074</t>
  </si>
  <si>
    <t>66:41:0702077</t>
  </si>
  <si>
    <t>66:41:0702078</t>
  </si>
  <si>
    <t>66:41:0702079</t>
  </si>
  <si>
    <t>66:41:0702080</t>
  </si>
  <si>
    <t>66:41:0704002</t>
  </si>
  <si>
    <t>66:41:0704008</t>
  </si>
  <si>
    <t>66:41:0704013</t>
  </si>
  <si>
    <t>66:41:0704014</t>
  </si>
  <si>
    <t>66:41:0704016</t>
  </si>
  <si>
    <t>66:41:0704017</t>
  </si>
  <si>
    <t>66:41:0704018</t>
  </si>
  <si>
    <t>66:41:0704022</t>
  </si>
  <si>
    <t>66:41:0704024</t>
  </si>
  <si>
    <t>66:41:0704901</t>
  </si>
  <si>
    <t>66:41:0702071</t>
  </si>
  <si>
    <t>66:41:0701008</t>
  </si>
  <si>
    <t>66:41:0702062</t>
  </si>
  <si>
    <t>66:41:0702063</t>
  </si>
  <si>
    <t>66:41:0702064</t>
  </si>
  <si>
    <t>66:41:0702065</t>
  </si>
  <si>
    <t>66:41:0702072</t>
  </si>
  <si>
    <t>66:41:0702076</t>
  </si>
  <si>
    <t>66:41:0110016</t>
  </si>
  <si>
    <t>66:41:0110025</t>
  </si>
  <si>
    <t>66:41:0205011</t>
  </si>
  <si>
    <t>66:41:0205018</t>
  </si>
  <si>
    <t>66:41:0205019</t>
  </si>
  <si>
    <t>66:41:0206011</t>
  </si>
  <si>
    <t>66:41:0206013</t>
  </si>
  <si>
    <t>66:41:0702008</t>
  </si>
  <si>
    <t>66:41:0702017</t>
  </si>
  <si>
    <t>66:41:0702030</t>
  </si>
  <si>
    <t>66:41:0702031</t>
  </si>
  <si>
    <t>66:41:0702032</t>
  </si>
  <si>
    <t>66:41:0702033</t>
  </si>
  <si>
    <t>66:41:0702050</t>
  </si>
  <si>
    <t>66:41:0702052</t>
  </si>
  <si>
    <t>66:41:0702053</t>
  </si>
  <si>
    <t>66:41:0702054</t>
  </si>
  <si>
    <t>66:41:0702055</t>
  </si>
  <si>
    <t>66:41:0206010</t>
  </si>
  <si>
    <t>66:41:0206005</t>
  </si>
  <si>
    <t>66:41:0206006</t>
  </si>
  <si>
    <t>66:41:0206008</t>
  </si>
  <si>
    <t>66:41:0206009</t>
  </si>
  <si>
    <t>66:41:0206012</t>
  </si>
  <si>
    <t>66:41:0206014</t>
  </si>
  <si>
    <t>66:41:0206032</t>
  </si>
  <si>
    <t>66:41:0701004</t>
  </si>
  <si>
    <t>66:41:0701005</t>
  </si>
  <si>
    <t>66:41:0701006</t>
  </si>
  <si>
    <t>66:41:0701007</t>
  </si>
  <si>
    <t>66:41:0702051</t>
  </si>
  <si>
    <t>66:41:0206016</t>
  </si>
  <si>
    <t>66:41:0206018</t>
  </si>
  <si>
    <t>66:41:0206020</t>
  </si>
  <si>
    <t>66:41:0206021</t>
  </si>
  <si>
    <t>66:41:0206022</t>
  </si>
  <si>
    <t>66:41:0206023</t>
  </si>
  <si>
    <t>66:41:0206025</t>
  </si>
  <si>
    <t>66:41:0301006</t>
  </si>
  <si>
    <t>66:41:0301007</t>
  </si>
  <si>
    <t>66:41:0301008</t>
  </si>
  <si>
    <t>66:41:0301015</t>
  </si>
  <si>
    <t>66:41:0205007</t>
  </si>
  <si>
    <t>66:41:0205006</t>
  </si>
  <si>
    <t>66:41:0205008</t>
  </si>
  <si>
    <t>66:41:0205009</t>
  </si>
  <si>
    <t>66:41:0205010</t>
  </si>
  <si>
    <t>66:41:0205015</t>
  </si>
  <si>
    <t>66:41:0206026</t>
  </si>
  <si>
    <t>66:41:0206001</t>
  </si>
  <si>
    <t>66:41:0206003</t>
  </si>
  <si>
    <t>66:41:0206004</t>
  </si>
  <si>
    <t>66:41:0206007</t>
  </si>
  <si>
    <t>66:41:0206015</t>
  </si>
  <si>
    <t>66:41:0206017</t>
  </si>
  <si>
    <t>66:41:0206029</t>
  </si>
  <si>
    <t>66:41:0206030</t>
  </si>
  <si>
    <t>66:41:0206031</t>
  </si>
  <si>
    <t>66:41:0206901</t>
  </si>
  <si>
    <t>66:41:0301002</t>
  </si>
  <si>
    <t>66:41:0301001</t>
  </si>
  <si>
    <t>66:41:0301003</t>
  </si>
  <si>
    <t>66:41:0301004</t>
  </si>
  <si>
    <t>66:41:0301005</t>
  </si>
  <si>
    <t>66:41:0301009</t>
  </si>
  <si>
    <t>66:41:0301010</t>
  </si>
  <si>
    <t>66:41:0301016</t>
  </si>
  <si>
    <t>66:41:0303004</t>
  </si>
  <si>
    <t>66:41:0303009</t>
  </si>
  <si>
    <t>66:41:0302033</t>
  </si>
  <si>
    <t>66:41:0206002</t>
  </si>
  <si>
    <t>66:41:0205002</t>
  </si>
  <si>
    <t>66:41:0205003</t>
  </si>
  <si>
    <t>66:41:0205004</t>
  </si>
  <si>
    <t>66:41:0205005</t>
  </si>
  <si>
    <t>66:41:0205013</t>
  </si>
  <si>
    <t>66:41:0205014</t>
  </si>
  <si>
    <t>66:41:0205016</t>
  </si>
  <si>
    <t>66:41:0205017</t>
  </si>
  <si>
    <t>66:41:0205020</t>
  </si>
  <si>
    <t>66:41:0205021</t>
  </si>
  <si>
    <t>66:41:0205022</t>
  </si>
  <si>
    <t>66:41:0205901</t>
  </si>
  <si>
    <t>66:41:0206019</t>
  </si>
  <si>
    <t>66:41:0206024</t>
  </si>
  <si>
    <t>66:41:0206027</t>
  </si>
  <si>
    <t>66:41:0206028</t>
  </si>
  <si>
    <t>66:41:0302034</t>
  </si>
  <si>
    <t>66:41:0302048</t>
  </si>
  <si>
    <t>66:41:0302002</t>
  </si>
  <si>
    <t>66:41:0302040</t>
  </si>
  <si>
    <t>66:41:0302041</t>
  </si>
  <si>
    <t>66:41:0302042</t>
  </si>
  <si>
    <t>66:41:0302044</t>
  </si>
  <si>
    <t>66:41:0302045</t>
  </si>
  <si>
    <t>66:41:0302046</t>
  </si>
  <si>
    <t>66:41:0303001</t>
  </si>
  <si>
    <t>66:41:0303002</t>
  </si>
  <si>
    <t>66:41:0303003</t>
  </si>
  <si>
    <t>66:41:0303005</t>
  </si>
  <si>
    <t>66:41:0303006</t>
  </si>
  <si>
    <t>66:41:0204036</t>
  </si>
  <si>
    <t>66:41:0204037</t>
  </si>
  <si>
    <t>66:41:0204038</t>
  </si>
  <si>
    <t>66:41:0204039</t>
  </si>
  <si>
    <t>66:41:0204040</t>
  </si>
  <si>
    <t>66:41:0204049</t>
  </si>
  <si>
    <t>66:41:0204051</t>
  </si>
  <si>
    <t>66:41:0204061</t>
  </si>
  <si>
    <t>66:41:0204062</t>
  </si>
  <si>
    <t>66:41:0205012</t>
  </si>
  <si>
    <t>66:41:0205046</t>
  </si>
  <si>
    <t>66:41:0303017</t>
  </si>
  <si>
    <t>66:41:0302027</t>
  </si>
  <si>
    <t>66:41:0302030</t>
  </si>
  <si>
    <t>66:41:0302035</t>
  </si>
  <si>
    <t>66:41:0302036</t>
  </si>
  <si>
    <t>66:41:0303016</t>
  </si>
  <si>
    <t>66:41:0303018</t>
  </si>
  <si>
    <t>66:41:0302023</t>
  </si>
  <si>
    <t>66:41:0204048</t>
  </si>
  <si>
    <t>66:41:0204017</t>
  </si>
  <si>
    <t>66:41:0204047</t>
  </si>
  <si>
    <t>66:41:0204050</t>
  </si>
  <si>
    <t>66:41:0302014</t>
  </si>
  <si>
    <t>66:41:0302015</t>
  </si>
  <si>
    <t>66:41:0302016</t>
  </si>
  <si>
    <t>66:41:0302019</t>
  </si>
  <si>
    <t>66:41:0302024</t>
  </si>
  <si>
    <t>66:41:0302031</t>
  </si>
  <si>
    <t>66:41:0302032</t>
  </si>
  <si>
    <t>66:41:0302901</t>
  </si>
  <si>
    <t>66:41:0302902</t>
  </si>
  <si>
    <t>66:41:0109902</t>
  </si>
  <si>
    <t>66:41:0109033</t>
  </si>
  <si>
    <t>66:41:0109036</t>
  </si>
  <si>
    <t>66:41:0109037</t>
  </si>
  <si>
    <t>66:41:0109038</t>
  </si>
  <si>
    <t>66:41:0109039</t>
  </si>
  <si>
    <t>66:41:0109040</t>
  </si>
  <si>
    <t>66:41:0109053</t>
  </si>
  <si>
    <t>66:41:0109054</t>
  </si>
  <si>
    <t>66:41:0109055</t>
  </si>
  <si>
    <t>66:41:0109056</t>
  </si>
  <si>
    <t>66:41:0109057</t>
  </si>
  <si>
    <t>66:41:0109068</t>
  </si>
  <si>
    <t>66:36:0111022</t>
  </si>
  <si>
    <t>66:36:0111012</t>
  </si>
  <si>
    <t>66:36:0111015</t>
  </si>
  <si>
    <t>66:36:0111021</t>
  </si>
  <si>
    <t>66:36:0111024</t>
  </si>
  <si>
    <t>66:36:0111025</t>
  </si>
  <si>
    <t>66:36:0111028</t>
  </si>
  <si>
    <t>66:36:0112001</t>
  </si>
  <si>
    <t>66:36:0112002</t>
  </si>
  <si>
    <t>66:36:0112003</t>
  </si>
  <si>
    <t>66:36:0112004</t>
  </si>
  <si>
    <t>66:36:0112006</t>
  </si>
  <si>
    <t>66:36:0112008</t>
  </si>
  <si>
    <t>66:36:0112011</t>
  </si>
  <si>
    <t>66:36:0112014</t>
  </si>
  <si>
    <t>66:36:0111046</t>
  </si>
  <si>
    <t>66:36:0111048</t>
  </si>
  <si>
    <t>66:36:0111057</t>
  </si>
  <si>
    <t>66:36:0111060</t>
  </si>
  <si>
    <t>66:36:0111061</t>
  </si>
  <si>
    <t>66:36:0112012</t>
  </si>
  <si>
    <t>66:36:0112013</t>
  </si>
  <si>
    <t>66:36:0111029</t>
  </si>
  <si>
    <t>66:36:0111031</t>
  </si>
  <si>
    <t>66:36:0111032</t>
  </si>
  <si>
    <t>66:36:0111033</t>
  </si>
  <si>
    <t>66:36:0111041</t>
  </si>
  <si>
    <t>66:36:0111042</t>
  </si>
  <si>
    <t>66:36:0111043</t>
  </si>
  <si>
    <t>66:36:0111044</t>
  </si>
  <si>
    <t>66:36:0111045</t>
  </si>
  <si>
    <t>66:36:0111047</t>
  </si>
  <si>
    <t>66:36:0111084</t>
  </si>
  <si>
    <t>66:36:0111054</t>
  </si>
  <si>
    <t>66:36:0111055</t>
  </si>
  <si>
    <t>66:36:0111074</t>
  </si>
  <si>
    <t>66:36:0111076</t>
  </si>
  <si>
    <t>66:36:0111077</t>
  </si>
  <si>
    <t>66:36:0111078</t>
  </si>
  <si>
    <t>66:36:0111079</t>
  </si>
  <si>
    <t>66:36:0111080</t>
  </si>
  <si>
    <t>66:36:0111081</t>
  </si>
  <si>
    <t>66:36:0111083</t>
  </si>
  <si>
    <t>66:36:0111085</t>
  </si>
  <si>
    <t>66:36:0111086</t>
  </si>
  <si>
    <t>66:36:0111087</t>
  </si>
  <si>
    <t>66:36:0111088</t>
  </si>
  <si>
    <t>66:36:0111089</t>
  </si>
  <si>
    <t>66:36:0111052</t>
  </si>
  <si>
    <t>66:36:0111027</t>
  </si>
  <si>
    <t>66:36:0111039</t>
  </si>
  <si>
    <t>66:36:0111040</t>
  </si>
  <si>
    <t>66:36:0111051</t>
  </si>
  <si>
    <t>66:36:0111053</t>
  </si>
  <si>
    <t>66:36:0111008</t>
  </si>
  <si>
    <t>66:36:0111009</t>
  </si>
  <si>
    <t>66:36:0111010</t>
  </si>
  <si>
    <t>66:36:0111013</t>
  </si>
  <si>
    <t>66:36:0111018</t>
  </si>
  <si>
    <t>66:36:0111019</t>
  </si>
  <si>
    <t>66:36:0111020</t>
  </si>
  <si>
    <t>66:36:0111023</t>
  </si>
  <si>
    <t>66:36:0109002</t>
  </si>
  <si>
    <t>66:36:0109007</t>
  </si>
  <si>
    <t>66:36:0111002</t>
  </si>
  <si>
    <t>66:36:0111004</t>
  </si>
  <si>
    <t>66:36:0111005</t>
  </si>
  <si>
    <t>66:36:0111006</t>
  </si>
  <si>
    <t>66:36:0111036</t>
  </si>
  <si>
    <t>66:36:0111037</t>
  </si>
  <si>
    <t>66:36:0111049</t>
  </si>
  <si>
    <t>66:36:0111062</t>
  </si>
  <si>
    <t>66:36:0111064</t>
  </si>
  <si>
    <t>66:36:0111065</t>
  </si>
  <si>
    <t>66:36:0111066</t>
  </si>
  <si>
    <t>66:36:0111069</t>
  </si>
  <si>
    <t>66:36:0111071</t>
  </si>
  <si>
    <t>66:36:0111072</t>
  </si>
  <si>
    <t>66:36:0111073</t>
  </si>
  <si>
    <t>66:36:0111075</t>
  </si>
  <si>
    <t>66:41:0109071</t>
  </si>
  <si>
    <t>66:41:0109017</t>
  </si>
  <si>
    <t>66:41:0109014</t>
  </si>
  <si>
    <t>66:41:0109007</t>
  </si>
  <si>
    <t>66:41:0109008</t>
  </si>
  <si>
    <t>66:41:0109009</t>
  </si>
  <si>
    <t>66:41:0109010</t>
  </si>
  <si>
    <t>66:41:0109011</t>
  </si>
  <si>
    <t>66:41:0109015</t>
  </si>
  <si>
    <t>66:41:0109016</t>
  </si>
  <si>
    <t>66:41:0109018</t>
  </si>
  <si>
    <t>66:41:0109019</t>
  </si>
  <si>
    <t>66:41:0109020</t>
  </si>
  <si>
    <t>66:41:0109021</t>
  </si>
  <si>
    <t>66:41:0109022</t>
  </si>
  <si>
    <t>66:41:0109023</t>
  </si>
  <si>
    <t>66:41:0109029</t>
  </si>
  <si>
    <t>66:36:0109006</t>
  </si>
  <si>
    <t>66:36:0102073</t>
  </si>
  <si>
    <t>66:36:0102077</t>
  </si>
  <si>
    <t>66:36:0102078</t>
  </si>
  <si>
    <t>66:36:0102081</t>
  </si>
  <si>
    <t>66:36:0109001</t>
  </si>
  <si>
    <t>66:36:0109003</t>
  </si>
  <si>
    <t>66:36:0109004</t>
  </si>
  <si>
    <t>66:36:0109005</t>
  </si>
  <si>
    <t>66:36:0109009</t>
  </si>
  <si>
    <t>66:36:0109010</t>
  </si>
  <si>
    <t>66:36:0111003</t>
  </si>
  <si>
    <t>66:36:0111007</t>
  </si>
  <si>
    <t>66:36:0111017</t>
  </si>
  <si>
    <t>66:36:0108002</t>
  </si>
  <si>
    <t>66:36:0108004</t>
  </si>
  <si>
    <t>66:36:0110002</t>
  </si>
  <si>
    <t>66:36:0111063</t>
  </si>
  <si>
    <t>66:36:0102076</t>
  </si>
  <si>
    <t>66:36:0102079</t>
  </si>
  <si>
    <t>66:36:0102080</t>
  </si>
  <si>
    <t>66:36:0102082</t>
  </si>
  <si>
    <t>66:36:0102083</t>
  </si>
  <si>
    <t>66:36:0102084</t>
  </si>
  <si>
    <t>66:36:0102085</t>
  </si>
  <si>
    <t>66:36:0105004</t>
  </si>
  <si>
    <t>66:36:0110001</t>
  </si>
  <si>
    <t>66:41:0105005</t>
  </si>
  <si>
    <t>66:41:0109006</t>
  </si>
  <si>
    <t>66:41:0109013</t>
  </si>
  <si>
    <t>66:36:0103017</t>
  </si>
  <si>
    <t>66:36:0103014</t>
  </si>
  <si>
    <t>66:36:0102068</t>
  </si>
  <si>
    <t>66:36:0102074</t>
  </si>
  <si>
    <t>66:36:0102075</t>
  </si>
  <si>
    <t>66:36:0103016</t>
  </si>
  <si>
    <t>66:36:0108001</t>
  </si>
  <si>
    <t>66:36:0108003</t>
  </si>
  <si>
    <t>66:36:0103013</t>
  </si>
  <si>
    <t>66:36:0106004</t>
  </si>
  <si>
    <t>66:36:0106005</t>
  </si>
  <si>
    <t>66:36:0106016</t>
  </si>
  <si>
    <t>66:36:0106017</t>
  </si>
  <si>
    <t>66:36:0106024</t>
  </si>
  <si>
    <t>66:36:0106026</t>
  </si>
  <si>
    <t>66:36:0106028</t>
  </si>
  <si>
    <t>66:36:0106036</t>
  </si>
  <si>
    <t>66:41:0105002</t>
  </si>
  <si>
    <t>66:41:0105024</t>
  </si>
  <si>
    <t>66:41:0109001</t>
  </si>
  <si>
    <t>66:41:0109002</t>
  </si>
  <si>
    <t>66:41:0109003</t>
  </si>
  <si>
    <t>66:41:0109004</t>
  </si>
  <si>
    <t>66:41:0109005</t>
  </si>
  <si>
    <t>66:41:0109012</t>
  </si>
  <si>
    <t>66:41:0109031</t>
  </si>
  <si>
    <t>66:36:3002012</t>
  </si>
  <si>
    <t>66:41:0105001</t>
  </si>
  <si>
    <t>66:41:0105004</t>
  </si>
  <si>
    <t>66:41:0105025</t>
  </si>
  <si>
    <t>66:36:0103010</t>
  </si>
  <si>
    <t>66:36:0103011</t>
  </si>
  <si>
    <t>66:36:0106013</t>
  </si>
  <si>
    <t>66:36:0106020</t>
  </si>
  <si>
    <t>66:36:0106023</t>
  </si>
  <si>
    <t>66:36:0106029</t>
  </si>
  <si>
    <t>66:36:0106031</t>
  </si>
  <si>
    <t>66:36:0106033</t>
  </si>
  <si>
    <t>66:36:0106034</t>
  </si>
  <si>
    <t>66:36:0106003</t>
  </si>
  <si>
    <t>66:36:0106007</t>
  </si>
  <si>
    <t>66:36:0106008</t>
  </si>
  <si>
    <t>66:36:0106009</t>
  </si>
  <si>
    <t>66:36:0106010</t>
  </si>
  <si>
    <t>66:36:0106011</t>
  </si>
  <si>
    <t>66:36:0106019</t>
  </si>
  <si>
    <t>66:36:3002010</t>
  </si>
  <si>
    <t>66:62:0102002</t>
  </si>
  <si>
    <t>66:62:0102007</t>
  </si>
  <si>
    <t>66:62:0102009</t>
  </si>
  <si>
    <t>66:62:0105002</t>
  </si>
  <si>
    <t>66:62:0105003</t>
  </si>
  <si>
    <t>66:62:0107009</t>
  </si>
  <si>
    <t>66:62:0502003</t>
  </si>
  <si>
    <t>66:62:0502005</t>
  </si>
  <si>
    <t>66:62:0502006</t>
  </si>
  <si>
    <t>66:62:0502007</t>
  </si>
  <si>
    <t>66:62:0502008</t>
  </si>
  <si>
    <t>66:62:0503001</t>
  </si>
  <si>
    <t>66:41:0207004</t>
  </si>
  <si>
    <t>nw</t>
  </si>
  <si>
    <t>66:41:0207003</t>
  </si>
  <si>
    <t>66:41:0207005</t>
  </si>
  <si>
    <t>66:41:0207006</t>
  </si>
  <si>
    <t>66:41:0207008</t>
  </si>
  <si>
    <t>66:41:0207015</t>
  </si>
  <si>
    <t>66:41:0207016</t>
  </si>
  <si>
    <t>66:41:0207029</t>
  </si>
  <si>
    <t>66:41:0207030</t>
  </si>
  <si>
    <t>66:41:0207031</t>
  </si>
  <si>
    <t>66:41:0207032</t>
  </si>
  <si>
    <t>66:41:0207902</t>
  </si>
  <si>
    <t>66:62:0102001</t>
  </si>
  <si>
    <t>66:62:0102003</t>
  </si>
  <si>
    <t>66:62:0102004</t>
  </si>
  <si>
    <t>66:62:0104002</t>
  </si>
  <si>
    <t>66:62:0104004</t>
  </si>
  <si>
    <t>66:62:0105001</t>
  </si>
  <si>
    <t>66:62:0107002</t>
  </si>
  <si>
    <t>66:62:0107005</t>
  </si>
  <si>
    <t>66:62:0107006</t>
  </si>
  <si>
    <t>66:62:0502002</t>
  </si>
  <si>
    <t>66:62:0503002</t>
  </si>
  <si>
    <t>66:41:0207024</t>
  </si>
  <si>
    <t>66:41:0207001</t>
  </si>
  <si>
    <t>66:41:0207002</t>
  </si>
  <si>
    <t>66:41:0207007</t>
  </si>
  <si>
    <t>66:41:0207009</t>
  </si>
  <si>
    <t>66:41:0207010</t>
  </si>
  <si>
    <t>66:41:0207013</t>
  </si>
  <si>
    <t>66:41:0207014</t>
  </si>
  <si>
    <t>66:41:0207017</t>
  </si>
  <si>
    <t>66:41:0207018</t>
  </si>
  <si>
    <t>66:41:0207019</t>
  </si>
  <si>
    <t>66:41:0207023</t>
  </si>
  <si>
    <t>66:41:0207901</t>
  </si>
  <si>
    <t>66:62:0104013</t>
  </si>
  <si>
    <t>66:62:0104011</t>
  </si>
  <si>
    <t>66:62:0101003</t>
  </si>
  <si>
    <t>66:62:0104001</t>
  </si>
  <si>
    <t>66:62:0104006</t>
  </si>
  <si>
    <t>66:62:0104007</t>
  </si>
  <si>
    <t>66:62:0104009</t>
  </si>
  <si>
    <t>66:62:0104010</t>
  </si>
  <si>
    <t>66:62:0104012</t>
  </si>
  <si>
    <t>66:62:0106005</t>
  </si>
  <si>
    <t>66:62:0106006</t>
  </si>
  <si>
    <t>66:62:0107001</t>
  </si>
  <si>
    <t>66:41:0108001</t>
  </si>
  <si>
    <t>66:41:0106027</t>
  </si>
  <si>
    <t>66:41:0106019</t>
  </si>
  <si>
    <t>66:41:0106009</t>
  </si>
  <si>
    <t>66:41:0106004</t>
  </si>
  <si>
    <t>66:41:0106011</t>
  </si>
  <si>
    <t>66:41:0106012</t>
  </si>
  <si>
    <t>66:41:0106013</t>
  </si>
  <si>
    <t>66:41:0106014</t>
  </si>
  <si>
    <t>66:41:0106016</t>
  </si>
  <si>
    <t>66:41:0106017</t>
  </si>
  <si>
    <t>66:41:0106018</t>
  </si>
  <si>
    <t>66:41:0106025</t>
  </si>
  <si>
    <t>66:41:0106026</t>
  </si>
  <si>
    <t>66:41:0106028</t>
  </si>
  <si>
    <t>66:41:0106029</t>
  </si>
  <si>
    <t>66:41:0106030</t>
  </si>
  <si>
    <t>66:41:0106031</t>
  </si>
  <si>
    <t>66:41:0106032</t>
  </si>
  <si>
    <t>66:41:0106002</t>
  </si>
  <si>
    <t>66:41:0106022</t>
  </si>
  <si>
    <t>66:41:0106023</t>
  </si>
  <si>
    <t>66:41:0106034</t>
  </si>
  <si>
    <t>66:41:0106039</t>
  </si>
  <si>
    <t>66:41:0106040</t>
  </si>
  <si>
    <t>66:41:0106094</t>
  </si>
  <si>
    <t>66:41:0106095</t>
  </si>
  <si>
    <t>66:41:0106102</t>
  </si>
  <si>
    <t>66:41:0106103</t>
  </si>
  <si>
    <t>66:41:0106112</t>
  </si>
  <si>
    <t>66:41:0106113</t>
  </si>
  <si>
    <t>66:41:0106123</t>
  </si>
  <si>
    <t>66:41:0110020</t>
  </si>
  <si>
    <t>66:41:0106020</t>
  </si>
  <si>
    <t>66:41:0106001</t>
  </si>
  <si>
    <t>66:41:0106005</t>
  </si>
  <si>
    <t>66:41:0106006</t>
  </si>
  <si>
    <t>66:41:0106007</t>
  </si>
  <si>
    <t>66:41:0106008</t>
  </si>
  <si>
    <t>66:41:0106021</t>
  </si>
  <si>
    <t>66:41:0106033</t>
  </si>
  <si>
    <t>66:41:0106054</t>
  </si>
  <si>
    <t>66:41:0106055</t>
  </si>
  <si>
    <t>66:41:0106057</t>
  </si>
  <si>
    <t>66:41:0109026</t>
  </si>
  <si>
    <t>66:41:0109027</t>
  </si>
  <si>
    <t>66:41:0106124</t>
  </si>
  <si>
    <t>66:41:0106101</t>
  </si>
  <si>
    <t>66:41:0106108</t>
  </si>
  <si>
    <t>66:41:0106109</t>
  </si>
  <si>
    <t>66:41:0106110</t>
  </si>
  <si>
    <t>66:41:0106111</t>
  </si>
  <si>
    <t>66:41:0106118</t>
  </si>
  <si>
    <t>66:41:0106119</t>
  </si>
  <si>
    <t>66:41:0106120</t>
  </si>
  <si>
    <t>66:41:0106121</t>
  </si>
  <si>
    <t>66:41:0106122</t>
  </si>
  <si>
    <t>66:41:0106126</t>
  </si>
  <si>
    <t>66:41:0106127</t>
  </si>
  <si>
    <t>66:41:0106128</t>
  </si>
  <si>
    <t>66:41:0106129</t>
  </si>
  <si>
    <t>66:41:0106134</t>
  </si>
  <si>
    <t>66:41:0106052</t>
  </si>
  <si>
    <t>66:41:0106053</t>
  </si>
  <si>
    <t>66:41:0106056</t>
  </si>
  <si>
    <t>66:41:0106058</t>
  </si>
  <si>
    <t>66:41:0106059</t>
  </si>
  <si>
    <t>66:41:0106060</t>
  </si>
  <si>
    <t>66:41:0106061</t>
  </si>
  <si>
    <t>66:41:0106062</t>
  </si>
  <si>
    <t>66:41:0106063</t>
  </si>
  <si>
    <t>66:41:0106065</t>
  </si>
  <si>
    <t>66:41:0106177</t>
  </si>
  <si>
    <t>66:41:0106178</t>
  </si>
  <si>
    <t>66:41:0106115</t>
  </si>
  <si>
    <t>66:41:0106117</t>
  </si>
  <si>
    <t>66:41:0106131</t>
  </si>
  <si>
    <t>66:41:0106132</t>
  </si>
  <si>
    <t>66:41:0106133</t>
  </si>
  <si>
    <t>66:41:0106137</t>
  </si>
  <si>
    <t>66:41:0110019</t>
  </si>
  <si>
    <t>66:41:0110143</t>
  </si>
  <si>
    <t>66:41:0105029</t>
  </si>
  <si>
    <t>66:41:0105009</t>
  </si>
  <si>
    <t>66:41:0105022</t>
  </si>
  <si>
    <t>66:41:0105030</t>
  </si>
  <si>
    <t>66:41:0106046</t>
  </si>
  <si>
    <t>66:41:0109024</t>
  </si>
  <si>
    <t>66:41:0109025</t>
  </si>
  <si>
    <t>66:41:0106901</t>
  </si>
  <si>
    <t>66:41:0106087</t>
  </si>
  <si>
    <t>66:41:0106064</t>
  </si>
  <si>
    <t>66:41:0106066</t>
  </si>
  <si>
    <t>66:41:0106068</t>
  </si>
  <si>
    <t>66:41:0106069</t>
  </si>
  <si>
    <t>66:41:0106070</t>
  </si>
  <si>
    <t>66:41:0106072</t>
  </si>
  <si>
    <t>66:41:0106073</t>
  </si>
  <si>
    <t>66:41:0106078</t>
  </si>
  <si>
    <t>66:41:0106079</t>
  </si>
  <si>
    <t>66:41:0106080</t>
  </si>
  <si>
    <t>66:41:0106097</t>
  </si>
  <si>
    <t>66:41:0106106</t>
  </si>
  <si>
    <t>66:41:0106107</t>
  </si>
  <si>
    <t>66:41:0106071</t>
  </si>
  <si>
    <t>66:41:0106047</t>
  </si>
  <si>
    <t>66:41:0106049</t>
  </si>
  <si>
    <t>66:41:0106050</t>
  </si>
  <si>
    <t>66:41:0106051</t>
  </si>
  <si>
    <t>66:41:0106067</t>
  </si>
  <si>
    <t>66:41:0106074</t>
  </si>
  <si>
    <t>66:41:0106076</t>
  </si>
  <si>
    <t>66:41:0106077</t>
  </si>
  <si>
    <t>66:41:0106081</t>
  </si>
  <si>
    <t>66:41:0106083</t>
  </si>
  <si>
    <t>66:41:0106084</t>
  </si>
  <si>
    <t>66:41:0106085</t>
  </si>
  <si>
    <t>66:41:0106086</t>
  </si>
  <si>
    <t>66:41:0106088</t>
  </si>
  <si>
    <t>66:41:0106138</t>
  </si>
  <si>
    <t>66:41:0106089</t>
  </si>
  <si>
    <t>66:41:0106130</t>
  </si>
  <si>
    <t>66:41:0106135</t>
  </si>
  <si>
    <t>66:41:0106136</t>
  </si>
  <si>
    <t>66:41:0106139</t>
  </si>
  <si>
    <t>66:41:0106140</t>
  </si>
  <si>
    <t>66:41:0106146</t>
  </si>
  <si>
    <t>66:41:0106148</t>
  </si>
  <si>
    <t>66:41:0106150</t>
  </si>
  <si>
    <t>66:41:0106155</t>
  </si>
  <si>
    <t>66:41:0110141</t>
  </si>
  <si>
    <t>66:41:0105013</t>
  </si>
  <si>
    <t>66:41:0105017</t>
  </si>
  <si>
    <t>66:41:0105007</t>
  </si>
  <si>
    <t>66:41:0105008</t>
  </si>
  <si>
    <t>66:41:0105026</t>
  </si>
  <si>
    <t>66:41:0105027</t>
  </si>
  <si>
    <t>66:41:0105028</t>
  </si>
  <si>
    <t>66:41:0105031</t>
  </si>
  <si>
    <t>66:41:0105032</t>
  </si>
  <si>
    <t>66:41:0105033</t>
  </si>
  <si>
    <t>66:41:0105018</t>
  </si>
  <si>
    <t>66:41:0105020</t>
  </si>
  <si>
    <t>66:41:0105021</t>
  </si>
  <si>
    <t>66:41:0106145</t>
  </si>
  <si>
    <t>66:41:0106152</t>
  </si>
  <si>
    <t>66:41:0106153</t>
  </si>
  <si>
    <t>66:41:0106157</t>
  </si>
  <si>
    <t>66:41:0106169</t>
  </si>
  <si>
    <t>66:41:0106154</t>
  </si>
  <si>
    <t>66:41:0106156</t>
  </si>
  <si>
    <t>66:41:0106159</t>
  </si>
  <si>
    <t>66:41:0106160</t>
  </si>
  <si>
    <t>66:41:0106161</t>
  </si>
  <si>
    <t>66:41:0106162</t>
  </si>
  <si>
    <t>66:41:0106163</t>
  </si>
  <si>
    <t>66:41:0106164</t>
  </si>
  <si>
    <t>66:41:0106168</t>
  </si>
  <si>
    <t>66:41:0106170</t>
  </si>
  <si>
    <t>66:41:0106174</t>
  </si>
  <si>
    <t>66:41:0110176</t>
  </si>
  <si>
    <t>66:41:0106167</t>
  </si>
  <si>
    <t>66:41:0105019</t>
  </si>
  <si>
    <t>66:41:0106166</t>
  </si>
  <si>
    <t>66:41:0106171</t>
  </si>
  <si>
    <t>66:41:0106172</t>
  </si>
  <si>
    <t>66:41:0106173</t>
  </si>
  <si>
    <t>66:41:0106175</t>
  </si>
  <si>
    <t>66:41:0110018</t>
  </si>
  <si>
    <t>66:41:0204008</t>
  </si>
  <si>
    <t>66:41:0106036</t>
  </si>
  <si>
    <t>66:41:0106037</t>
  </si>
  <si>
    <t>66:41:0106042</t>
  </si>
  <si>
    <t>66:41:0106043</t>
  </si>
  <si>
    <t>66:41:0106091</t>
  </si>
  <si>
    <t>66:41:0106092</t>
  </si>
  <si>
    <t>66:41:0106093</t>
  </si>
  <si>
    <t>66:41:0106098</t>
  </si>
  <si>
    <t>66:41:0106099</t>
  </si>
  <si>
    <t>66:41:0202001</t>
  </si>
  <si>
    <t>66:41:0202002</t>
  </si>
  <si>
    <t>66:41:0202003</t>
  </si>
  <si>
    <t>66:41:0202004</t>
  </si>
  <si>
    <t>66:41:0202008</t>
  </si>
  <si>
    <t>66:41:0204001</t>
  </si>
  <si>
    <t>66:41:0204016</t>
  </si>
  <si>
    <t>66:41:0204004</t>
  </si>
  <si>
    <t>66:41:0204006</t>
  </si>
  <si>
    <t>66:41:0204007</t>
  </si>
  <si>
    <t>66:41:0204011</t>
  </si>
  <si>
    <t>66:41:0204060</t>
  </si>
  <si>
    <t>66:41:0204005</t>
  </si>
  <si>
    <t>66:41:0204009</t>
  </si>
  <si>
    <t>66:41:0204010</t>
  </si>
  <si>
    <t>66:41:0204012</t>
  </si>
  <si>
    <t>66:41:0204015</t>
  </si>
  <si>
    <t>66:41:0204045</t>
  </si>
  <si>
    <t>66:41:0204058</t>
  </si>
  <si>
    <t>66:41:0204059</t>
  </si>
  <si>
    <t>66:41:0203037</t>
  </si>
  <si>
    <t>66:41:0203029</t>
  </si>
  <si>
    <t>66:41:0203026</t>
  </si>
  <si>
    <t>66:41:0203027</t>
  </si>
  <si>
    <t>66:41:0203028</t>
  </si>
  <si>
    <t>66:41:0203036</t>
  </si>
  <si>
    <t>66:41:0203038</t>
  </si>
  <si>
    <t>66:41:0203039</t>
  </si>
  <si>
    <t>66:41:0203050</t>
  </si>
  <si>
    <t>66:41:0203055</t>
  </si>
  <si>
    <t>66:41:0204013</t>
  </si>
  <si>
    <t>66:41:0204901</t>
  </si>
  <si>
    <t>66:41:0208007</t>
  </si>
  <si>
    <t>66:41:0208010</t>
  </si>
  <si>
    <t>66:41:0207027</t>
  </si>
  <si>
    <t>66:41:0207011</t>
  </si>
  <si>
    <t>66:41:0207012</t>
  </si>
  <si>
    <t>66:41:0207020</t>
  </si>
  <si>
    <t>66:41:0207021</t>
  </si>
  <si>
    <t>66:41:0207022</t>
  </si>
  <si>
    <t>66:41:0207025</t>
  </si>
  <si>
    <t>66:41:0207026</t>
  </si>
  <si>
    <t>66:41:0207028</t>
  </si>
  <si>
    <t>66:41:0303008</t>
  </si>
  <si>
    <t>66:41:0303010</t>
  </si>
  <si>
    <t>66:41:0303019</t>
  </si>
  <si>
    <t>66:41:0303093</t>
  </si>
  <si>
    <t>66:41:0303133</t>
  </si>
  <si>
    <t>66:41:0303135</t>
  </si>
  <si>
    <t>66:41:0303136</t>
  </si>
  <si>
    <t>66:41:0304007</t>
  </si>
  <si>
    <t>66:41:0304013</t>
  </si>
  <si>
    <t>66:41:0304014</t>
  </si>
  <si>
    <t>66:41:0304018</t>
  </si>
  <si>
    <t>66:41:0304019</t>
  </si>
  <si>
    <t>66:41:0304020</t>
  </si>
  <si>
    <t>66:41:0304031</t>
  </si>
  <si>
    <t>66:41:0303052</t>
  </si>
  <si>
    <t>66:41:0303013</t>
  </si>
  <si>
    <t>66:41:0303014</t>
  </si>
  <si>
    <t>66:41:0303015</t>
  </si>
  <si>
    <t>66:41:0303024</t>
  </si>
  <si>
    <t>66:41:0303025</t>
  </si>
  <si>
    <t>66:41:0303026</t>
  </si>
  <si>
    <t>66:41:0303027</t>
  </si>
  <si>
    <t>66:41:0303031</t>
  </si>
  <si>
    <t>66:41:0303032</t>
  </si>
  <si>
    <t>66:41:0303033</t>
  </si>
  <si>
    <t>66:41:0303034</t>
  </si>
  <si>
    <t>66:41:0303051</t>
  </si>
  <si>
    <t>66:41:0303053</t>
  </si>
  <si>
    <t>66:41:0303148</t>
  </si>
  <si>
    <t>66:41:0303120</t>
  </si>
  <si>
    <t>66:41:0303143</t>
  </si>
  <si>
    <t>66:41:0303144</t>
  </si>
  <si>
    <t>66:41:0303145</t>
  </si>
  <si>
    <t>66:41:0303146</t>
  </si>
  <si>
    <t>66:41:0304015</t>
  </si>
  <si>
    <t>66:41:0304016</t>
  </si>
  <si>
    <t>66:41:0304017</t>
  </si>
  <si>
    <t>66:41:0304021</t>
  </si>
  <si>
    <t>66:41:0304022</t>
  </si>
  <si>
    <t>66:41:0304023</t>
  </si>
  <si>
    <t>66:41:0304024</t>
  </si>
  <si>
    <t>66:41:0304032</t>
  </si>
  <si>
    <t>66:41:0304034</t>
  </si>
  <si>
    <t>66:41:0303126</t>
  </si>
  <si>
    <t>66:41:0303099</t>
  </si>
  <si>
    <t>66:41:0303100</t>
  </si>
  <si>
    <t>66:41:0303101</t>
  </si>
  <si>
    <t>66:41:0303102</t>
  </si>
  <si>
    <t>66:41:0303121</t>
  </si>
  <si>
    <t>66:41:0303122</t>
  </si>
  <si>
    <t>66:41:0303124</t>
  </si>
  <si>
    <t>66:41:0303125</t>
  </si>
  <si>
    <t>66:41:0303127</t>
  </si>
  <si>
    <t>66:41:0303128</t>
  </si>
  <si>
    <t>66:41:0303129</t>
  </si>
  <si>
    <t>66:41:0303130</t>
  </si>
  <si>
    <t>66:41:0303131</t>
  </si>
  <si>
    <t>66:41:0303132</t>
  </si>
  <si>
    <t>66:41:0303149</t>
  </si>
  <si>
    <t>66:41:0303150</t>
  </si>
  <si>
    <t>66:41:0303151</t>
  </si>
  <si>
    <t>66:41:0303152</t>
  </si>
  <si>
    <t>66:41:0303154</t>
  </si>
  <si>
    <t>66:41:0302004</t>
  </si>
  <si>
    <t>66:41:0204027</t>
  </si>
  <si>
    <t>66:41:0204031</t>
  </si>
  <si>
    <t>66:41:0204033</t>
  </si>
  <si>
    <t>66:41:0204034</t>
  </si>
  <si>
    <t>66:41:0204044</t>
  </si>
  <si>
    <t>66:41:0302007</t>
  </si>
  <si>
    <t>66:41:0302012</t>
  </si>
  <si>
    <t>66:41:0204043</t>
  </si>
  <si>
    <t>66:41:0204042</t>
  </si>
  <si>
    <t>66:41:0204020</t>
  </si>
  <si>
    <t>66:41:0204021</t>
  </si>
  <si>
    <t>66:41:0204022</t>
  </si>
  <si>
    <t>66:41:0204023</t>
  </si>
  <si>
    <t>66:41:0204024</t>
  </si>
  <si>
    <t>66:41:0204025</t>
  </si>
  <si>
    <t>66:41:0204026</t>
  </si>
  <si>
    <t>66:41:0204028</t>
  </si>
  <si>
    <t>66:41:0204029</t>
  </si>
  <si>
    <t>66:41:0204035</t>
  </si>
  <si>
    <t>66:41:0204055</t>
  </si>
  <si>
    <t>66:41:0204057</t>
  </si>
  <si>
    <t>66:41:0303047</t>
  </si>
  <si>
    <t>66:41:0303028</t>
  </si>
  <si>
    <t>66:41:0303023</t>
  </si>
  <si>
    <t>66:41:0303029</t>
  </si>
  <si>
    <t>66:41:0303030</t>
  </si>
  <si>
    <t>66:41:0303048</t>
  </si>
  <si>
    <t>66:41:0303049</t>
  </si>
  <si>
    <t>66:41:0303050</t>
  </si>
  <si>
    <t>66:41:0303055</t>
  </si>
  <si>
    <t>66:41:0303056</t>
  </si>
  <si>
    <t>66:41:0303057</t>
  </si>
  <si>
    <t>66:41:0305005</t>
  </si>
  <si>
    <t>66:41:0305007</t>
  </si>
  <si>
    <t>66:41:0306085</t>
  </si>
  <si>
    <t>66:41:0303114</t>
  </si>
  <si>
    <t>66:41:0303098</t>
  </si>
  <si>
    <t>66:41:0303105</t>
  </si>
  <si>
    <t>66:41:0303110</t>
  </si>
  <si>
    <t>66:41:0303112</t>
  </si>
  <si>
    <t>66:41:0303113</t>
  </si>
  <si>
    <t>66:41:0303115</t>
  </si>
  <si>
    <t>66:41:0303116</t>
  </si>
  <si>
    <t>66:41:0303117</t>
  </si>
  <si>
    <t>66:41:0303118</t>
  </si>
  <si>
    <t>66:41:0303119</t>
  </si>
  <si>
    <t>66:41:0303157</t>
  </si>
  <si>
    <t>66:41:0303158</t>
  </si>
  <si>
    <t>66:41:0303137</t>
  </si>
  <si>
    <t>66:41:0303138</t>
  </si>
  <si>
    <t>66:41:0303140</t>
  </si>
  <si>
    <t>66:41:0303142</t>
  </si>
  <si>
    <t>66:41:0304030</t>
  </si>
  <si>
    <t>66:41:0306009</t>
  </si>
  <si>
    <t>66:41:0306013</t>
  </si>
  <si>
    <t>66:62:0504008</t>
  </si>
  <si>
    <t>66:41:0105003</t>
  </si>
  <si>
    <t>66:41:0105006</t>
  </si>
  <si>
    <t>66:41:0105010</t>
  </si>
  <si>
    <t>66:41:0105011</t>
  </si>
  <si>
    <t>66:41:0105014</t>
  </si>
  <si>
    <t>66:41:0105015</t>
  </si>
  <si>
    <t>66:41:0105016</t>
  </si>
  <si>
    <t>66:41:0105023</t>
  </si>
  <si>
    <t>66:41:0110017</t>
  </si>
  <si>
    <t>66:41:0303092</t>
  </si>
  <si>
    <t>66:41:0303058</t>
  </si>
  <si>
    <t>66:41:0303059</t>
  </si>
  <si>
    <t>66:41:0303060</t>
  </si>
  <si>
    <t>66:41:0303061</t>
  </si>
  <si>
    <t>66:41:0303062</t>
  </si>
  <si>
    <t>66:41:0303064</t>
  </si>
  <si>
    <t>66:41:0303087</t>
  </si>
  <si>
    <t>66:41:0303088</t>
  </si>
  <si>
    <t>66:41:0303089</t>
  </si>
  <si>
    <t>66:41:0303161</t>
  </si>
  <si>
    <t>66:41:0303901</t>
  </si>
  <si>
    <t>66:41:0305006</t>
  </si>
  <si>
    <t>66:41:0305017</t>
  </si>
  <si>
    <t>66:41:0305018</t>
  </si>
  <si>
    <t>66:41:0305019</t>
  </si>
  <si>
    <t>66:41:0307075</t>
  </si>
  <si>
    <t>66:41:0307076</t>
  </si>
  <si>
    <t>66:41:0307078</t>
  </si>
  <si>
    <t>66:41:0306053</t>
  </si>
  <si>
    <t>66:41:0002001</t>
  </si>
  <si>
    <t>66:41:0303902</t>
  </si>
  <si>
    <t>66:41:0305011</t>
  </si>
  <si>
    <t>66:41:0305012</t>
  </si>
  <si>
    <t>66:41:0305023</t>
  </si>
  <si>
    <t>66:41:0305156</t>
  </si>
  <si>
    <t>66:41:0306003</t>
  </si>
  <si>
    <t>66:41:0306004</t>
  </si>
  <si>
    <t>66:41:0306005</t>
  </si>
  <si>
    <t>66:41:0306006</t>
  </si>
  <si>
    <t>66:41:0306007</t>
  </si>
  <si>
    <t>66:41:0306012</t>
  </si>
  <si>
    <t>66:41:0306025</t>
  </si>
  <si>
    <t>66:41:0306027</t>
  </si>
  <si>
    <t>66:41:0306028</t>
  </si>
  <si>
    <t>66:41:0306029</t>
  </si>
  <si>
    <t>66:41:0204041</t>
  </si>
  <si>
    <t>66:41:0204054</t>
  </si>
  <si>
    <t>66:41:0204018</t>
  </si>
  <si>
    <t>66:41:0204019</t>
  </si>
  <si>
    <t>66:41:0204032</t>
  </si>
  <si>
    <t>66:41:0204052</t>
  </si>
  <si>
    <t>66:41:0204053</t>
  </si>
  <si>
    <t>66:41:0204056</t>
  </si>
  <si>
    <t>66:41:0305001</t>
  </si>
  <si>
    <t>66:41:0305021</t>
  </si>
  <si>
    <t>66:41:0305009</t>
  </si>
  <si>
    <t>66:41:0305010</t>
  </si>
  <si>
    <t>66:41:0305013</t>
  </si>
  <si>
    <t>66:41:0305014</t>
  </si>
  <si>
    <t>66:41:0305015</t>
  </si>
  <si>
    <t>66:41:0305016</t>
  </si>
  <si>
    <t>66:41:0305020</t>
  </si>
  <si>
    <t>66:41:0305901</t>
  </si>
  <si>
    <t>66:41:0306023</t>
  </si>
  <si>
    <t>66:41:0306001</t>
  </si>
  <si>
    <t>66:41:0306002</t>
  </si>
  <si>
    <t>66:41:0306010</t>
  </si>
  <si>
    <t>66:41:0306015</t>
  </si>
  <si>
    <t>66:41:0306016</t>
  </si>
  <si>
    <t>66:41:0306017</t>
  </si>
  <si>
    <t>66:41:0306018</t>
  </si>
  <si>
    <t>66:41:0306019</t>
  </si>
  <si>
    <t>66:41:0306020</t>
  </si>
  <si>
    <t>66:41:0306021</t>
  </si>
  <si>
    <t>66:41:0306024</t>
  </si>
  <si>
    <t>66:41:0306026</t>
  </si>
  <si>
    <t>66:41:0306030</t>
  </si>
  <si>
    <t>66:41:0306036</t>
  </si>
  <si>
    <t>66:41:0306052</t>
  </si>
  <si>
    <t>66:41:0306108</t>
  </si>
  <si>
    <t>66:41:0306902</t>
  </si>
  <si>
    <t>66:41:0504021</t>
  </si>
  <si>
    <t>66:41:0504001</t>
  </si>
  <si>
    <t>66:41:0504013</t>
  </si>
  <si>
    <t>66:41:0504014</t>
  </si>
  <si>
    <t>66:41:0504015</t>
  </si>
  <si>
    <t>66:41:0504016</t>
  </si>
  <si>
    <t>66:41:0504017</t>
  </si>
  <si>
    <t>66:41:0504018</t>
  </si>
  <si>
    <t>66:41:0504019</t>
  </si>
  <si>
    <t>66:41:0504020</t>
  </si>
  <si>
    <t>66:41:0504026</t>
  </si>
  <si>
    <t>66:41:0511003</t>
  </si>
  <si>
    <t>66:41:0402031</t>
  </si>
  <si>
    <t>66:41:0402901</t>
  </si>
  <si>
    <t>66:41:0403010</t>
  </si>
  <si>
    <t>66:41:0403011</t>
  </si>
  <si>
    <t>66:41:0403012</t>
  </si>
  <si>
    <t>66:41:0403013</t>
  </si>
  <si>
    <t>66:41:0403014</t>
  </si>
  <si>
    <t>66:41:0403043</t>
  </si>
  <si>
    <t>66:41:0403044</t>
  </si>
  <si>
    <t>66:41:0403050</t>
  </si>
  <si>
    <t>66:41:0403059</t>
  </si>
  <si>
    <t>66:41:0402034</t>
  </si>
  <si>
    <t>66:41:0403045</t>
  </si>
  <si>
    <t>66:41:0403051</t>
  </si>
  <si>
    <t>66:41:0403052</t>
  </si>
  <si>
    <t>66:41:0403053</t>
  </si>
  <si>
    <t>66:41:0403054</t>
  </si>
  <si>
    <t>66:41:0403055</t>
  </si>
  <si>
    <t>66:41:0403056</t>
  </si>
  <si>
    <t>66:41:0403057</t>
  </si>
  <si>
    <t>66:41:0403058</t>
  </si>
  <si>
    <t>66:41:0403060</t>
  </si>
  <si>
    <t>66:41:0403061</t>
  </si>
  <si>
    <t>66:41:0403062</t>
  </si>
  <si>
    <t>66:41:0403074</t>
  </si>
  <si>
    <t>66:41:0403041</t>
  </si>
  <si>
    <t>66:41:0403006</t>
  </si>
  <si>
    <t>66:41:0403008</t>
  </si>
  <si>
    <t>66:41:0403009</t>
  </si>
  <si>
    <t>66:41:0403029</t>
  </si>
  <si>
    <t>66:41:0403032</t>
  </si>
  <si>
    <t>66:41:0403033</t>
  </si>
  <si>
    <t>66:41:0403034</t>
  </si>
  <si>
    <t>66:41:0403036</t>
  </si>
  <si>
    <t>66:41:0403037</t>
  </si>
  <si>
    <t>66:41:0403038</t>
  </si>
  <si>
    <t>66:41:0403039</t>
  </si>
  <si>
    <t>66:41:0403040</t>
  </si>
  <si>
    <t>66:41:0403042</t>
  </si>
  <si>
    <t>66:41:0403046</t>
  </si>
  <si>
    <t>66:41:0403047</t>
  </si>
  <si>
    <t>66:41:0403048</t>
  </si>
  <si>
    <t>66:41:0403049</t>
  </si>
  <si>
    <t>66:41:0504004</t>
  </si>
  <si>
    <t>66:41:0511032</t>
  </si>
  <si>
    <t>66:41:0403026</t>
  </si>
  <si>
    <t>66:41:0403025</t>
  </si>
  <si>
    <t>66:41:0403019</t>
  </si>
  <si>
    <t>66:41:0403021</t>
  </si>
  <si>
    <t>66:41:0403022</t>
  </si>
  <si>
    <t>66:41:0403023</t>
  </si>
  <si>
    <t>66:41:0403024</t>
  </si>
  <si>
    <t>66:41:0403027</t>
  </si>
  <si>
    <t>66:41:0403028</t>
  </si>
  <si>
    <t>66:41:0403030</t>
  </si>
  <si>
    <t>66:41:0403031</t>
  </si>
  <si>
    <t>66:41:0403035</t>
  </si>
  <si>
    <t>66:41:0403073</t>
  </si>
  <si>
    <t>66:41:0403077</t>
  </si>
  <si>
    <t>66:41:0403079</t>
  </si>
  <si>
    <t>66:41:0403083</t>
  </si>
  <si>
    <t>66:41:0313006</t>
  </si>
  <si>
    <t>66:41:0403017</t>
  </si>
  <si>
    <t>66:41:0403081</t>
  </si>
  <si>
    <t>66:41:0403082</t>
  </si>
  <si>
    <t>66:41:0404004</t>
  </si>
  <si>
    <t>66:41:0404006</t>
  </si>
  <si>
    <t>66:41:0404007</t>
  </si>
  <si>
    <t>66:41:0404008</t>
  </si>
  <si>
    <t>66:41:0404009</t>
  </si>
  <si>
    <t>66:41:0510060</t>
  </si>
  <si>
    <t>66:41:0510001</t>
  </si>
  <si>
    <t>66:41:0510002</t>
  </si>
  <si>
    <t>66:41:0510003</t>
  </si>
  <si>
    <t>66:41:0510004</t>
  </si>
  <si>
    <t>66:41:0510027</t>
  </si>
  <si>
    <t>66:41:0510057</t>
  </si>
  <si>
    <t>66:41:0510058</t>
  </si>
  <si>
    <t>66:41:0510059</t>
  </si>
  <si>
    <t>66:41:0510061</t>
  </si>
  <si>
    <t>66:41:0510062</t>
  </si>
  <si>
    <t>66:41:0510063</t>
  </si>
  <si>
    <t>66:41:0510064</t>
  </si>
  <si>
    <t>66:41:0510065</t>
  </si>
  <si>
    <t>66:41:0510069</t>
  </si>
  <si>
    <t>66:41:0403072</t>
  </si>
  <si>
    <t>66:41:0403020</t>
  </si>
  <si>
    <t>66:41:0403064</t>
  </si>
  <si>
    <t>66:41:0403066</t>
  </si>
  <si>
    <t>66:41:0403067</t>
  </si>
  <si>
    <t>66:41:0403068</t>
  </si>
  <si>
    <t>66:41:0403069</t>
  </si>
  <si>
    <t>66:41:0403070</t>
  </si>
  <si>
    <t>66:41:0403071</t>
  </si>
  <si>
    <t>66:41:0403075</t>
  </si>
  <si>
    <t>66:41:0403076</t>
  </si>
  <si>
    <t>66:41:0403901</t>
  </si>
  <si>
    <t>66:41:0404001</t>
  </si>
  <si>
    <t>66:41:0404002</t>
  </si>
  <si>
    <t>66:41:0404003</t>
  </si>
  <si>
    <t>66:41:0309066</t>
  </si>
  <si>
    <t>66:41:0510050</t>
  </si>
  <si>
    <t>66:41:0510039</t>
  </si>
  <si>
    <t>66:41:0510042</t>
  </si>
  <si>
    <t>66:41:0510043</t>
  </si>
  <si>
    <t>66:41:0510044</t>
  </si>
  <si>
    <t>66:41:0510046</t>
  </si>
  <si>
    <t>66:41:0510047</t>
  </si>
  <si>
    <t>66:41:0510048</t>
  </si>
  <si>
    <t>66:41:0510049</t>
  </si>
  <si>
    <t>66:41:0510051</t>
  </si>
  <si>
    <t>66:41:0510053</t>
  </si>
  <si>
    <t>66:41:0510054</t>
  </si>
  <si>
    <t>66:41:0510055</t>
  </si>
  <si>
    <t>66:41:0510056</t>
  </si>
  <si>
    <t>66:41:0510070</t>
  </si>
  <si>
    <t>66:41:0510020</t>
  </si>
  <si>
    <t>66:41:0510023</t>
  </si>
  <si>
    <t>66:41:0510030</t>
  </si>
  <si>
    <t>66:41:0510032</t>
  </si>
  <si>
    <t>66:41:0510033</t>
  </si>
  <si>
    <t>66:41:0510034</t>
  </si>
  <si>
    <t>66:41:0510036</t>
  </si>
  <si>
    <t>66:41:0510037</t>
  </si>
  <si>
    <t>66:41:0510038</t>
  </si>
  <si>
    <t>66:41:0510040</t>
  </si>
  <si>
    <t>66:41:0510041</t>
  </si>
  <si>
    <t>66:41:0510045</t>
  </si>
  <si>
    <t>66:41:0510052</t>
  </si>
  <si>
    <t>66:41:0510066</t>
  </si>
  <si>
    <t>66:41:0510067</t>
  </si>
  <si>
    <t>66:41:0510902</t>
  </si>
  <si>
    <t>66:41:0404019</t>
  </si>
  <si>
    <t>66:41:0404012</t>
  </si>
  <si>
    <t>66:41:0404010</t>
  </si>
  <si>
    <t>66:41:0404011</t>
  </si>
  <si>
    <t>66:41:0404014</t>
  </si>
  <si>
    <t>66:41:0404015</t>
  </si>
  <si>
    <t>66:41:0404017</t>
  </si>
  <si>
    <t>66:41:0404018</t>
  </si>
  <si>
    <t>66:41:0404901</t>
  </si>
  <si>
    <t>66:41:0510024</t>
  </si>
  <si>
    <t>66:41:0510019</t>
  </si>
  <si>
    <t>66:41:0510021</t>
  </si>
  <si>
    <t>66:41:0510022</t>
  </si>
  <si>
    <t>66:41:0510025</t>
  </si>
  <si>
    <t>66:41:0510026</t>
  </si>
  <si>
    <t>66:41:0510028</t>
  </si>
  <si>
    <t>66:41:0510029</t>
  </si>
  <si>
    <t>66:41:0510031</t>
  </si>
  <si>
    <t>66:41:0510035</t>
  </si>
  <si>
    <t>66:41:0510071</t>
  </si>
  <si>
    <t>66:41:0510018</t>
  </si>
  <si>
    <t>66:41:0510005</t>
  </si>
  <si>
    <t>66:41:0510006</t>
  </si>
  <si>
    <t>66:41:0510007</t>
  </si>
  <si>
    <t>66:41:0510008</t>
  </si>
  <si>
    <t>66:41:0510009</t>
  </si>
  <si>
    <t>66:41:0510010</t>
  </si>
  <si>
    <t>66:41:0510011</t>
  </si>
  <si>
    <t>66:41:0510012</t>
  </si>
  <si>
    <t>66:41:0510013</t>
  </si>
  <si>
    <t>66:41:0510014</t>
  </si>
  <si>
    <t>66:41:0510015</t>
  </si>
  <si>
    <t>66:41:0510016</t>
  </si>
  <si>
    <t>66:41:0510017</t>
  </si>
  <si>
    <t>66:41:0510901</t>
  </si>
  <si>
    <t>66:41:0313007</t>
  </si>
  <si>
    <t>66:41:0313112</t>
  </si>
  <si>
    <t>66:41:0313113</t>
  </si>
  <si>
    <t>66:41:0313114</t>
  </si>
  <si>
    <t>66:41:0313115</t>
  </si>
  <si>
    <t>66:41:0313116</t>
  </si>
  <si>
    <t>66:41:0313117</t>
  </si>
  <si>
    <t>66:41:0313118</t>
  </si>
  <si>
    <t>66:41:0313119</t>
  </si>
  <si>
    <t>66:41:0313122</t>
  </si>
  <si>
    <t>66:41:0404016</t>
  </si>
  <si>
    <t>66:41:0404021</t>
  </si>
  <si>
    <t>66:41:0313033</t>
  </si>
  <si>
    <t>66:41:0313013</t>
  </si>
  <si>
    <t>66:41:0313030</t>
  </si>
  <si>
    <t>66:41:0313031</t>
  </si>
  <si>
    <t>66:41:0313032</t>
  </si>
  <si>
    <t>66:41:0306075</t>
  </si>
  <si>
    <t>66:41:0306011</t>
  </si>
  <si>
    <t>66:41:0306055</t>
  </si>
  <si>
    <t>66:41:0306060</t>
  </si>
  <si>
    <t>66:41:0306073</t>
  </si>
  <si>
    <t>66:41:0306074</t>
  </si>
  <si>
    <t>66:41:0306076</t>
  </si>
  <si>
    <t>66:41:0306077</t>
  </si>
  <si>
    <t>66:41:0306078</t>
  </si>
  <si>
    <t>66:41:0306079</t>
  </si>
  <si>
    <t>66:41:0306080</t>
  </si>
  <si>
    <t>66:41:0306081</t>
  </si>
  <si>
    <t>66:41:0306102</t>
  </si>
  <si>
    <t>66:41:0313001</t>
  </si>
  <si>
    <t>66:41:0313002</t>
  </si>
  <si>
    <t>66:41:0313003</t>
  </si>
  <si>
    <t>66:41:0304033</t>
  </si>
  <si>
    <t>66:41:0309074</t>
  </si>
  <si>
    <t>66:41:0309075</t>
  </si>
  <si>
    <t>66:41:0309086</t>
  </si>
  <si>
    <t>66:41:0309087</t>
  </si>
  <si>
    <t>66:41:0306125</t>
  </si>
  <si>
    <t>66:41:0306095</t>
  </si>
  <si>
    <t>66:41:0306097</t>
  </si>
  <si>
    <t>66:41:0306103</t>
  </si>
  <si>
    <t>66:41:0306104</t>
  </si>
  <si>
    <t>66:41:0306107</t>
  </si>
  <si>
    <t>66:41:0306109</t>
  </si>
  <si>
    <t>66:41:0306115</t>
  </si>
  <si>
    <t>66:41:0306117</t>
  </si>
  <si>
    <t>66:41:0306119</t>
  </si>
  <si>
    <t>66:41:0306120</t>
  </si>
  <si>
    <t>66:41:0313004</t>
  </si>
  <si>
    <t>66:41:0313005</t>
  </si>
  <si>
    <t>66:41:0313121</t>
  </si>
  <si>
    <t>66:41:0313020</t>
  </si>
  <si>
    <t>66:41:0313010</t>
  </si>
  <si>
    <t>66:41:0313028</t>
  </si>
  <si>
    <t>66:41:0313029</t>
  </si>
  <si>
    <t>66:41:0306045</t>
  </si>
  <si>
    <t>66:41:0306041</t>
  </si>
  <si>
    <t>66:41:0306043</t>
  </si>
  <si>
    <t>66:41:0306056</t>
  </si>
  <si>
    <t>66:41:0306058</t>
  </si>
  <si>
    <t>66:41:0306059</t>
  </si>
  <si>
    <t>66:41:0306061</t>
  </si>
  <si>
    <t>66:41:0306062</t>
  </si>
  <si>
    <t>66:41:0306064</t>
  </si>
  <si>
    <t>66:41:0306065</t>
  </si>
  <si>
    <t>66:41:0306067</t>
  </si>
  <si>
    <t>66:41:0306068</t>
  </si>
  <si>
    <t>66:41:0306069</t>
  </si>
  <si>
    <t>66:41:0306070</t>
  </si>
  <si>
    <t>66:41:0306071</t>
  </si>
  <si>
    <t>66:41:0306083</t>
  </si>
  <si>
    <t>66:41:0306084</t>
  </si>
  <si>
    <t>66:41:0306088</t>
  </si>
  <si>
    <t>66:41:0306126</t>
  </si>
  <si>
    <t>66:41:0306037</t>
  </si>
  <si>
    <t>66:41:0306038</t>
  </si>
  <si>
    <t>66:41:0306039</t>
  </si>
  <si>
    <t>66:41:0306040</t>
  </si>
  <si>
    <t>66:41:0306042</t>
  </si>
  <si>
    <t>66:41:0306050</t>
  </si>
  <si>
    <t>66:41:0306051</t>
  </si>
  <si>
    <t>66:41:0306054</t>
  </si>
  <si>
    <t>66:41:0306072</t>
  </si>
  <si>
    <t>66:41:0306082</t>
  </si>
  <si>
    <t>66:41:0306094</t>
  </si>
  <si>
    <t>66:41:0306123</t>
  </si>
  <si>
    <t>66:41:0306129</t>
  </si>
  <si>
    <t>66:41:0306057</t>
  </si>
  <si>
    <t>66:41:0306047</t>
  </si>
  <si>
    <t>66:41:0306044</t>
  </si>
  <si>
    <t>66:41:0306008</t>
  </si>
  <si>
    <t>66:41:0306014</t>
  </si>
  <si>
    <t>66:41:0306022</t>
  </si>
  <si>
    <t>66:41:0306031</t>
  </si>
  <si>
    <t>66:41:0306032</t>
  </si>
  <si>
    <t>66:41:0306033</t>
  </si>
  <si>
    <t>66:41:0306034</t>
  </si>
  <si>
    <t>66:41:0306035</t>
  </si>
  <si>
    <t>66:41:0306049</t>
  </si>
  <si>
    <t>66:41:0306063</t>
  </si>
  <si>
    <t>66:41:0306066</t>
  </si>
  <si>
    <t>66:41:0306090</t>
  </si>
  <si>
    <t>66:41:0306124</t>
  </si>
  <si>
    <t>66:41:0306128</t>
  </si>
  <si>
    <t>66:41:0306096</t>
  </si>
  <si>
    <t>66:41:0306048</t>
  </si>
  <si>
    <t>66:41:0306091</t>
  </si>
  <si>
    <t>66:41:0306092</t>
  </si>
  <si>
    <t>66:41:0306093</t>
  </si>
  <si>
    <t>66:41:0306099</t>
  </si>
  <si>
    <t>66:41:0306100</t>
  </si>
  <si>
    <t>66:41:0306101</t>
  </si>
  <si>
    <t>66:41:0306106</t>
  </si>
  <si>
    <t>66:41:0306901</t>
  </si>
  <si>
    <t>66:41:0309093</t>
  </si>
  <si>
    <t>66:41:0310026</t>
  </si>
  <si>
    <t>66:41:0310117</t>
  </si>
  <si>
    <t>66:41:0313026</t>
  </si>
  <si>
    <t>66:41:0313015</t>
  </si>
  <si>
    <t>66:41:0313017</t>
  </si>
  <si>
    <t>66:41:0313018</t>
  </si>
  <si>
    <t>66:41:0313019</t>
  </si>
  <si>
    <t>66:41:0313024</t>
  </si>
  <si>
    <t>66:41:0313025</t>
  </si>
  <si>
    <t>66:41:0313027</t>
  </si>
  <si>
    <t>66:41:0313093</t>
  </si>
  <si>
    <t>sw2</t>
  </si>
  <si>
    <t>66:41:0313094</t>
  </si>
  <si>
    <t>66:41:0313095</t>
  </si>
  <si>
    <t>66:41:0313098</t>
  </si>
  <si>
    <t>66:41:0306086</t>
  </si>
  <si>
    <t>66:41:0306087</t>
  </si>
  <si>
    <t>66:41:0306105</t>
  </si>
  <si>
    <t>66:41:0306113</t>
  </si>
  <si>
    <t>66:41:0306114</t>
  </si>
  <si>
    <t>66:41:0306116</t>
  </si>
  <si>
    <t>66:41:0306118</t>
  </si>
  <si>
    <t>66:41:0306121</t>
  </si>
  <si>
    <t>66:41:0306122</t>
  </si>
  <si>
    <t>66:41:0306130</t>
  </si>
  <si>
    <t>66:41:0306131</t>
  </si>
  <si>
    <t>66:41:0310005</t>
  </si>
  <si>
    <t>66:41:0310016</t>
  </si>
  <si>
    <t>66:41:0310024</t>
  </si>
  <si>
    <t>66:41:0306089</t>
  </si>
  <si>
    <t>66:41:0306903</t>
  </si>
  <si>
    <t>66:41:0310004</t>
  </si>
  <si>
    <t>66:41:0310019</t>
  </si>
  <si>
    <t>66:41:0310040</t>
  </si>
  <si>
    <t>66:41:0310041</t>
  </si>
  <si>
    <t>66:41:0313009</t>
  </si>
  <si>
    <t>66:41:0518001</t>
  </si>
  <si>
    <t>66:41:0518026</t>
  </si>
  <si>
    <t>66:41:0518030</t>
  </si>
  <si>
    <t>66:25:0319001</t>
  </si>
  <si>
    <t>66:41:0513081</t>
  </si>
  <si>
    <t>66:41:0513077</t>
  </si>
  <si>
    <t>66:41:0513005</t>
  </si>
  <si>
    <t>66:41:0513071</t>
  </si>
  <si>
    <t>66:41:0513072</t>
  </si>
  <si>
    <t>66:41:0513073</t>
  </si>
  <si>
    <t>66:41:0513074</t>
  </si>
  <si>
    <t>66:41:0513075</t>
  </si>
  <si>
    <t>66:41:0513082</t>
  </si>
  <si>
    <t>66:41:0513088</t>
  </si>
  <si>
    <t>66:41:0513089</t>
  </si>
  <si>
    <t>66:41:0513090</t>
  </si>
  <si>
    <t>66:41:0513097</t>
  </si>
  <si>
    <t>66:41:0519056</t>
  </si>
  <si>
    <t>66:41:0519053</t>
  </si>
  <si>
    <t>66:41:0519031</t>
  </si>
  <si>
    <t>66:41:0519032</t>
  </si>
  <si>
    <t>66:41:0519033</t>
  </si>
  <si>
    <t>66:41:0519034</t>
  </si>
  <si>
    <t>66:41:0519035</t>
  </si>
  <si>
    <t>66:41:0519037</t>
  </si>
  <si>
    <t>66:41:0519038</t>
  </si>
  <si>
    <t>66:41:0519039</t>
  </si>
  <si>
    <t>66:41:0519040</t>
  </si>
  <si>
    <t>66:41:0519047</t>
  </si>
  <si>
    <t>66:41:0519051</t>
  </si>
  <si>
    <t>66:41:0519052</t>
  </si>
  <si>
    <t>66:41:0519054</t>
  </si>
  <si>
    <t>66:41:0519055</t>
  </si>
  <si>
    <t>66:41:0519072</t>
  </si>
  <si>
    <t>66:41:0519122</t>
  </si>
  <si>
    <t>66:41:0519095</t>
  </si>
  <si>
    <t>66:41:0519099</t>
  </si>
  <si>
    <t>66:41:0519100</t>
  </si>
  <si>
    <t>66:41:0519103</t>
  </si>
  <si>
    <t>66:41:0519104</t>
  </si>
  <si>
    <t>66:41:0519105</t>
  </si>
  <si>
    <t>66:41:0519115</t>
  </si>
  <si>
    <t>66:41:0519116</t>
  </si>
  <si>
    <t>66:41:0519123</t>
  </si>
  <si>
    <t>66:41:0513043</t>
  </si>
  <si>
    <t>66:41:0513048</t>
  </si>
  <si>
    <t>66:41:0519017</t>
  </si>
  <si>
    <t>66:41:0519050</t>
  </si>
  <si>
    <t>66:41:0519070</t>
  </si>
  <si>
    <t>66:41:0519071</t>
  </si>
  <si>
    <t>66:41:0519082</t>
  </si>
  <si>
    <t>66:41:0519083</t>
  </si>
  <si>
    <t>66:41:0519113</t>
  </si>
  <si>
    <t>66:41:0519120</t>
  </si>
  <si>
    <t>66:41:0519121</t>
  </si>
  <si>
    <t>66:41:0519125</t>
  </si>
  <si>
    <t>66:41:0519126</t>
  </si>
  <si>
    <t>66:41:0519079</t>
  </si>
  <si>
    <t>66:41:0519044</t>
  </si>
  <si>
    <t>66:41:0519057</t>
  </si>
  <si>
    <t>66:41:0519062</t>
  </si>
  <si>
    <t>66:41:0519068</t>
  </si>
  <si>
    <t>66:41:0519069</t>
  </si>
  <si>
    <t>66:41:0519080</t>
  </si>
  <si>
    <t>66:41:0519081</t>
  </si>
  <si>
    <t>66:41:0519094</t>
  </si>
  <si>
    <t>66:41:0519096</t>
  </si>
  <si>
    <t>66:41:0519114</t>
  </si>
  <si>
    <t>66:41:0519119</t>
  </si>
  <si>
    <t>66:41:0519021</t>
  </si>
  <si>
    <t>66:41:0519014</t>
  </si>
  <si>
    <t>66:41:0519005</t>
  </si>
  <si>
    <t>66:41:0519006</t>
  </si>
  <si>
    <t>66:41:0519007</t>
  </si>
  <si>
    <t>66:41:0519013</t>
  </si>
  <si>
    <t>66:41:0519015</t>
  </si>
  <si>
    <t>66:41:0519020</t>
  </si>
  <si>
    <t>66:41:0519022</t>
  </si>
  <si>
    <t>66:41:0519023</t>
  </si>
  <si>
    <t>66:41:0519027</t>
  </si>
  <si>
    <t>66:41:0519028</t>
  </si>
  <si>
    <t>66:41:0519029</t>
  </si>
  <si>
    <t>66:41:0519045</t>
  </si>
  <si>
    <t>66:41:0519046</t>
  </si>
  <si>
    <t>66:41:0519091</t>
  </si>
  <si>
    <t>66:41:0513003</t>
  </si>
  <si>
    <t>66:41:0513091</t>
  </si>
  <si>
    <t>66:41:0513098</t>
  </si>
  <si>
    <t>66:41:0513099</t>
  </si>
  <si>
    <t>66:41:0513101</t>
  </si>
  <si>
    <t>66:41:0513102</t>
  </si>
  <si>
    <t>66:41:0513105</t>
  </si>
  <si>
    <t>66:41:0514015</t>
  </si>
  <si>
    <t>66:41:0514032</t>
  </si>
  <si>
    <t>66:41:0514033</t>
  </si>
  <si>
    <t>66:41:0514044</t>
  </si>
  <si>
    <t>66:41:0514045</t>
  </si>
  <si>
    <t>66:41:0514046</t>
  </si>
  <si>
    <t>66:41:0514047</t>
  </si>
  <si>
    <t>66:41:0514048</t>
  </si>
  <si>
    <t>66:41:0527001</t>
  </si>
  <si>
    <t>66:41:0527002</t>
  </si>
  <si>
    <t>66:41:0519092</t>
  </si>
  <si>
    <t>66:41:0519004</t>
  </si>
  <si>
    <t>66:41:0519011</t>
  </si>
  <si>
    <t>66:41:0519030</t>
  </si>
  <si>
    <t>66:41:0519036</t>
  </si>
  <si>
    <t>66:41:0519049</t>
  </si>
  <si>
    <t>66:41:0519063</t>
  </si>
  <si>
    <t>66:41:0519077</t>
  </si>
  <si>
    <t>66:41:0519078</t>
  </si>
  <si>
    <t>66:41:0519087</t>
  </si>
  <si>
    <t>66:41:0519093</t>
  </si>
  <si>
    <t>66:41:0519110</t>
  </si>
  <si>
    <t>66:41:0519111</t>
  </si>
  <si>
    <t>66:41:0519112</t>
  </si>
  <si>
    <t>66:41:0519117</t>
  </si>
  <si>
    <t>66:41:0519118</t>
  </si>
  <si>
    <t>66:41:0519124</t>
  </si>
  <si>
    <t>66:41:0519127</t>
  </si>
  <si>
    <t>66:41:0519019</t>
  </si>
  <si>
    <t>66:41:0519001</t>
  </si>
  <si>
    <t>66:41:0519002</t>
  </si>
  <si>
    <t>66:41:0519003</t>
  </si>
  <si>
    <t>66:41:0519009</t>
  </si>
  <si>
    <t>66:41:0519010</t>
  </si>
  <si>
    <t>66:41:0519012</t>
  </si>
  <si>
    <t>66:41:0519016</t>
  </si>
  <si>
    <t>66:41:0519018</t>
  </si>
  <si>
    <t>66:41:0519026</t>
  </si>
  <si>
    <t>66:41:0519130</t>
  </si>
  <si>
    <t>66:41:0519065</t>
  </si>
  <si>
    <t>66:41:0519024</t>
  </si>
  <si>
    <t>66:41:0519025</t>
  </si>
  <si>
    <t>66:41:0519041</t>
  </si>
  <si>
    <t>66:41:0519042</t>
  </si>
  <si>
    <t>66:41:0519043</t>
  </si>
  <si>
    <t>66:41:0519058</t>
  </si>
  <si>
    <t>66:41:0519059</t>
  </si>
  <si>
    <t>66:41:0519060</t>
  </si>
  <si>
    <t>66:41:0519061</t>
  </si>
  <si>
    <t>66:41:0519064</t>
  </si>
  <si>
    <t>66:41:0519066</t>
  </si>
  <si>
    <t>66:41:0519067</t>
  </si>
  <si>
    <t>66:41:0519131</t>
  </si>
  <si>
    <t>66:41:0519132</t>
  </si>
  <si>
    <t>66:41:0519133</t>
  </si>
  <si>
    <t>66:41:0519901</t>
  </si>
  <si>
    <t>66:41:0519048</t>
  </si>
  <si>
    <t>66:41:0519073</t>
  </si>
  <si>
    <t>66:41:0519074</t>
  </si>
  <si>
    <t>66:41:0519075</t>
  </si>
  <si>
    <t>66:41:0519076</t>
  </si>
  <si>
    <t>66:41:0519084</t>
  </si>
  <si>
    <t>66:41:0519085</t>
  </si>
  <si>
    <t>66:41:0519086</t>
  </si>
  <si>
    <t>66:41:0519088</t>
  </si>
  <si>
    <t>66:41:0519089</t>
  </si>
  <si>
    <t>66:41:0519090</t>
  </si>
  <si>
    <t>66:41:0523006</t>
  </si>
  <si>
    <t>66:41:0523001</t>
  </si>
  <si>
    <t>66:41:0523002</t>
  </si>
  <si>
    <t>66:41:0523003</t>
  </si>
  <si>
    <t>66:41:0523004</t>
  </si>
  <si>
    <t>66:41:0523005</t>
  </si>
  <si>
    <t>66:41:0523007</t>
  </si>
  <si>
    <t>66:41:0523008</t>
  </si>
  <si>
    <t>66:41:0523009</t>
  </si>
  <si>
    <t>66:41:0523901</t>
  </si>
  <si>
    <t>66:41:0524001</t>
  </si>
  <si>
    <t>66:41:0524002</t>
  </si>
  <si>
    <t>66:41:0524003</t>
  </si>
  <si>
    <t>66:41:0524004</t>
  </si>
  <si>
    <t>66:41:0524005</t>
  </si>
  <si>
    <t>66:41:0524006</t>
  </si>
  <si>
    <t>66:41:0524901</t>
  </si>
  <si>
    <t>66:41:0513035</t>
  </si>
  <si>
    <t>66:41:0513511</t>
  </si>
  <si>
    <t>66:41:0519008</t>
  </si>
  <si>
    <t>66:41:0513006</t>
  </si>
  <si>
    <t>66:41:0513045</t>
  </si>
  <si>
    <t>66:41:0513055</t>
  </si>
  <si>
    <t>66:41:0513059</t>
  </si>
  <si>
    <t>66:41:0513066</t>
  </si>
  <si>
    <t>66:41:0513067</t>
  </si>
  <si>
    <t>66:41:0513070</t>
  </si>
  <si>
    <t>66:41:0513078</t>
  </si>
  <si>
    <t>66:41:0513079</t>
  </si>
  <si>
    <t>66:41:0513080</t>
  </si>
  <si>
    <t>66:41:0513086</t>
  </si>
  <si>
    <t>66:41:0513087</t>
  </si>
  <si>
    <t>66:41:0513094</t>
  </si>
  <si>
    <t>66:41:0513096</t>
  </si>
  <si>
    <t>66:41:0513001</t>
  </si>
  <si>
    <t>66:41:0513002</t>
  </si>
  <si>
    <t>66:41:0513104</t>
  </si>
  <si>
    <t>66:41:0513110</t>
  </si>
  <si>
    <t>66:41:0513111</t>
  </si>
  <si>
    <t>66:41:0513507</t>
  </si>
  <si>
    <t>66:41:0513508</t>
  </si>
  <si>
    <t>66:41:0513509</t>
  </si>
  <si>
    <t>66:41:0513032</t>
  </si>
  <si>
    <t>66:41:0513033</t>
  </si>
  <si>
    <t>66:41:0513036</t>
  </si>
  <si>
    <t>66:41:0513126</t>
  </si>
  <si>
    <t>66:41:0513120</t>
  </si>
  <si>
    <t>66:41:0513113</t>
  </si>
  <si>
    <t>66:41:0513114</t>
  </si>
  <si>
    <t>66:41:0513115</t>
  </si>
  <si>
    <t>66:41:0513116</t>
  </si>
  <si>
    <t>66:41:0513117</t>
  </si>
  <si>
    <t>66:41:0513118</t>
  </si>
  <si>
    <t>66:41:0513119</t>
  </si>
  <si>
    <t>66:41:0513121</t>
  </si>
  <si>
    <t>66:41:0513122</t>
  </si>
  <si>
    <t>66:41:0513123</t>
  </si>
  <si>
    <t>66:41:0513124</t>
  </si>
  <si>
    <t>66:41:0513125</t>
  </si>
  <si>
    <t>66:41:0513128</t>
  </si>
  <si>
    <t>66:41:0513129</t>
  </si>
  <si>
    <t>66:41:0513062</t>
  </si>
  <si>
    <t>66:41:0513060</t>
  </si>
  <si>
    <t>66:41:0513061</t>
  </si>
  <si>
    <t>66:41:0513063</t>
  </si>
  <si>
    <t>66:41:0513064</t>
  </si>
  <si>
    <t>66:41:0513083</t>
  </si>
  <si>
    <t>66:41:0513092</t>
  </si>
  <si>
    <t>66:41:0513093</t>
  </si>
  <si>
    <t>66:41:0513127</t>
  </si>
  <si>
    <t>66:41:0517006</t>
  </si>
  <si>
    <t>66:41:0513027</t>
  </si>
  <si>
    <t>66:41:0513026</t>
  </si>
  <si>
    <t>66:41:0513054</t>
  </si>
  <si>
    <t>66:41:0513130</t>
  </si>
  <si>
    <t>66:41:0517001</t>
  </si>
  <si>
    <t>66:41:0517002</t>
  </si>
  <si>
    <t>66:41:0517003</t>
  </si>
  <si>
    <t>66:41:0517004</t>
  </si>
  <si>
    <t>66:41:0517005</t>
  </si>
  <si>
    <t>66:41:0513011</t>
  </si>
  <si>
    <t>66:41:0513012</t>
  </si>
  <si>
    <t>66:41:0513015</t>
  </si>
  <si>
    <t>66:41:0513016</t>
  </si>
  <si>
    <t>66:41:0513020</t>
  </si>
  <si>
    <t>66:41:0513021</t>
  </si>
  <si>
    <t>66:41:0513022</t>
  </si>
  <si>
    <t>66:41:0513025</t>
  </si>
  <si>
    <t>66:41:0513053</t>
  </si>
  <si>
    <t>66:41:0513024</t>
  </si>
  <si>
    <t>66:41:0512028</t>
  </si>
  <si>
    <t>66:41:0512022</t>
  </si>
  <si>
    <t>66:41:0512023</t>
  </si>
  <si>
    <t>66:41:0512029</t>
  </si>
  <si>
    <t>66:41:0512035</t>
  </si>
  <si>
    <t>66:41:0512036</t>
  </si>
  <si>
    <t>66:41:0512037</t>
  </si>
  <si>
    <t>66:41:0512042</t>
  </si>
  <si>
    <t>66:41:0513018</t>
  </si>
  <si>
    <t>66:41:0513019</t>
  </si>
  <si>
    <t>66:41:0513029</t>
  </si>
  <si>
    <t>66:41:0513030</t>
  </si>
  <si>
    <t>66:41:0513058</t>
  </si>
  <si>
    <t>66:41:0513131</t>
  </si>
  <si>
    <t>66:41:0001002</t>
  </si>
  <si>
    <t>66:41:0313120</t>
  </si>
  <si>
    <t>66:41:0512012</t>
  </si>
  <si>
    <t>66:41:0513004</t>
  </si>
  <si>
    <t>66:41:0513010</t>
  </si>
  <si>
    <t>66:41:0513013</t>
  </si>
  <si>
    <t>66:41:0513014</t>
  </si>
  <si>
    <t>66:41:0513017</t>
  </si>
  <si>
    <t>66:41:0203056</t>
  </si>
  <si>
    <t>66:41:0203030</t>
  </si>
  <si>
    <t>66:41:0203031</t>
  </si>
  <si>
    <t>66:41:0203040</t>
  </si>
  <si>
    <t>66:41:0203041</t>
  </si>
  <si>
    <t>66:41:0203042</t>
  </si>
  <si>
    <t>66:41:0203043</t>
  </si>
  <si>
    <t>66:41:0203044</t>
  </si>
  <si>
    <t>66:41:0203051</t>
  </si>
  <si>
    <t>66:41:0203052</t>
  </si>
  <si>
    <t>66:41:0203053</t>
  </si>
  <si>
    <t>66:41:0203054</t>
  </si>
  <si>
    <t>66:41:0203057</t>
  </si>
  <si>
    <t>66:41:0203058</t>
  </si>
  <si>
    <t>66:41:0203061</t>
  </si>
  <si>
    <t>66:41:0203062</t>
  </si>
  <si>
    <t>66:41:0204014</t>
  </si>
  <si>
    <t>66:41:0203075</t>
  </si>
  <si>
    <t>66:41:0203059</t>
  </si>
  <si>
    <t>66:41:0203060</t>
  </si>
  <si>
    <t>66:41:0203066</t>
  </si>
  <si>
    <t>66:41:0203067</t>
  </si>
  <si>
    <t>66:41:0203068</t>
  </si>
  <si>
    <t>66:41:0203069</t>
  </si>
  <si>
    <t>66:41:0203070</t>
  </si>
  <si>
    <t>66:41:0203071</t>
  </si>
  <si>
    <t>66:41:0203072</t>
  </si>
  <si>
    <t>66:41:0203073</t>
  </si>
  <si>
    <t>66:41:0203079</t>
  </si>
  <si>
    <t>66:41:0203065</t>
  </si>
  <si>
    <t>66:41:0203022</t>
  </si>
  <si>
    <t>66:41:0203023</t>
  </si>
  <si>
    <t>66:41:0203024</t>
  </si>
  <si>
    <t>66:41:0203025</t>
  </si>
  <si>
    <t>66:41:0203032</t>
  </si>
  <si>
    <t>66:41:0203033</t>
  </si>
  <si>
    <t>66:41:0203034</t>
  </si>
  <si>
    <t>66:41:0203035</t>
  </si>
  <si>
    <t>66:41:0203046</t>
  </si>
  <si>
    <t>66:41:0203047</t>
  </si>
  <si>
    <t>66:41:0203048</t>
  </si>
  <si>
    <t>66:41:0203049</t>
  </si>
  <si>
    <t>66:41:0203063</t>
  </si>
  <si>
    <t>66:41:0203064</t>
  </si>
  <si>
    <t>66:41:0203074</t>
  </si>
  <si>
    <t>66:41:0203901</t>
  </si>
  <si>
    <t>66:41:0208006</t>
  </si>
  <si>
    <t>66:41:0307071</t>
  </si>
  <si>
    <t>66:41:0307044</t>
  </si>
  <si>
    <t>66:41:0307061</t>
  </si>
  <si>
    <t>66:41:0307070</t>
  </si>
  <si>
    <t>66:41:0307072</t>
  </si>
  <si>
    <t>66:41:0307073</t>
  </si>
  <si>
    <t>66:41:0307074</t>
  </si>
  <si>
    <t>66:41:0307077</t>
  </si>
  <si>
    <t>66:41:0307084</t>
  </si>
  <si>
    <t>66:41:0309081</t>
  </si>
  <si>
    <t>66:41:0309082</t>
  </si>
  <si>
    <t>66:41:0309083</t>
  </si>
  <si>
    <t>66:41:0309084</t>
  </si>
  <si>
    <t>66:41:0309097</t>
  </si>
  <si>
    <t>66:41:0203004</t>
  </si>
  <si>
    <t>66:41:0203005</t>
  </si>
  <si>
    <t>66:41:0203019</t>
  </si>
  <si>
    <t>66:41:0203020</t>
  </si>
  <si>
    <t>66:41:0203021</t>
  </si>
  <si>
    <t>66:41:0203045</t>
  </si>
  <si>
    <t>66:41:0203076</t>
  </si>
  <si>
    <t>66:41:0203077</t>
  </si>
  <si>
    <t>66:41:0203078</t>
  </si>
  <si>
    <t>66:41:0203009</t>
  </si>
  <si>
    <t>66:41:0203001</t>
  </si>
  <si>
    <t>66:41:0203006</t>
  </si>
  <si>
    <t>66:41:0203007</t>
  </si>
  <si>
    <t>66:41:0203008</t>
  </si>
  <si>
    <t>66:41:0203010</t>
  </si>
  <si>
    <t>66:41:0203011</t>
  </si>
  <si>
    <t>66:41:0203012</t>
  </si>
  <si>
    <t>66:41:0203013</t>
  </si>
  <si>
    <t>66:41:0203014</t>
  </si>
  <si>
    <t>66:41:0203015</t>
  </si>
  <si>
    <t>66:41:0203016</t>
  </si>
  <si>
    <t>66:41:0204002</t>
  </si>
  <si>
    <t>66:41:0204003</t>
  </si>
  <si>
    <t>66:41:0209055</t>
  </si>
  <si>
    <t>66:41:0209056</t>
  </si>
  <si>
    <t>66:41:0209057</t>
  </si>
  <si>
    <t>66:41:0203017</t>
  </si>
  <si>
    <t>66:41:0202005</t>
  </si>
  <si>
    <t>66:41:0202006</t>
  </si>
  <si>
    <t>66:41:0202007</t>
  </si>
  <si>
    <t>66:41:0203003</t>
  </si>
  <si>
    <t>66:41:0203018</t>
  </si>
  <si>
    <t>66:41:0209021</t>
  </si>
  <si>
    <t>66:41:0209022</t>
  </si>
  <si>
    <t>66:41:0209031</t>
  </si>
  <si>
    <t>66:41:0209032</t>
  </si>
  <si>
    <t>66:41:0209034</t>
  </si>
  <si>
    <t>66:41:0309080</t>
  </si>
  <si>
    <t>66:41:0309073</t>
  </si>
  <si>
    <t>66:41:0307082</t>
  </si>
  <si>
    <t>66:41:0307083</t>
  </si>
  <si>
    <t>66:41:0309053</t>
  </si>
  <si>
    <t>66:41:0309054</t>
  </si>
  <si>
    <t>66:41:0309056</t>
  </si>
  <si>
    <t>66:41:0309057</t>
  </si>
  <si>
    <t>66:41:0309068</t>
  </si>
  <si>
    <t>66:41:0309071</t>
  </si>
  <si>
    <t>66:41:0309072</t>
  </si>
  <si>
    <t>66:41:0309077</t>
  </si>
  <si>
    <t>66:41:0309078</t>
  </si>
  <si>
    <t>66:41:0309079</t>
  </si>
  <si>
    <t>66:41:0309085</t>
  </si>
  <si>
    <t>66:41:0208002</t>
  </si>
  <si>
    <t>66:41:0208005</t>
  </si>
  <si>
    <t>66:41:0208009</t>
  </si>
  <si>
    <t>66:41:0307060</t>
  </si>
  <si>
    <t>66:41:0307066</t>
  </si>
  <si>
    <t>66:41:0307067</t>
  </si>
  <si>
    <t>66:41:0307068</t>
  </si>
  <si>
    <t>66:41:0307080</t>
  </si>
  <si>
    <t>66:41:0307081</t>
  </si>
  <si>
    <t>66:41:0209039</t>
  </si>
  <si>
    <t>66:41:0209018</t>
  </si>
  <si>
    <t>ww1</t>
  </si>
  <si>
    <t>66:41:0209019</t>
  </si>
  <si>
    <t>66:41:0209020</t>
  </si>
  <si>
    <t>66:41:0209028</t>
  </si>
  <si>
    <t>66:41:0209029</t>
  </si>
  <si>
    <t>66:41:0209030</t>
  </si>
  <si>
    <t>66:41:0209033</t>
  </si>
  <si>
    <t>66:41:0209036</t>
  </si>
  <si>
    <t>66:41:0209037</t>
  </si>
  <si>
    <t>66:41:0209038</t>
  </si>
  <si>
    <t>66:41:0209040</t>
  </si>
  <si>
    <t>66:41:0209041</t>
  </si>
  <si>
    <t>66:41:0209042</t>
  </si>
  <si>
    <t>66:41:0209063</t>
  </si>
  <si>
    <t>66:41:0209104</t>
  </si>
  <si>
    <t>66:41:0201007</t>
  </si>
  <si>
    <t>66:41:0201008</t>
  </si>
  <si>
    <t>66:41:0208001</t>
  </si>
  <si>
    <t>66:41:0208003</t>
  </si>
  <si>
    <t>66:41:0208008</t>
  </si>
  <si>
    <t>66:41:0208011</t>
  </si>
  <si>
    <t>66:41:0209072</t>
  </si>
  <si>
    <t>66:41:0307059</t>
  </si>
  <si>
    <t>66:41:0307064</t>
  </si>
  <si>
    <t>66:41:0307065</t>
  </si>
  <si>
    <t>66:41:0314018</t>
  </si>
  <si>
    <t>66:41:0314003</t>
  </si>
  <si>
    <t>66:41:0309007</t>
  </si>
  <si>
    <t>66:41:0309015</t>
  </si>
  <si>
    <t>66:41:0309024</t>
  </si>
  <si>
    <t>66:41:0309052</t>
  </si>
  <si>
    <t>66:41:0309055</t>
  </si>
  <si>
    <t>66:41:0309058</t>
  </si>
  <si>
    <t>66:41:0309059</t>
  </si>
  <si>
    <t>66:41:0314001</t>
  </si>
  <si>
    <t>66:41:0314002</t>
  </si>
  <si>
    <t>66:41:0314004</t>
  </si>
  <si>
    <t>66:41:0314005</t>
  </si>
  <si>
    <t>66:41:0314014</t>
  </si>
  <si>
    <t>66:41:0314015</t>
  </si>
  <si>
    <t>66:41:0314016</t>
  </si>
  <si>
    <t>66:41:0314017</t>
  </si>
  <si>
    <t>66:41:0314901</t>
  </si>
  <si>
    <t>66:41:0209078</t>
  </si>
  <si>
    <t>66:41:0209074</t>
  </si>
  <si>
    <t>66:41:0201019</t>
  </si>
  <si>
    <t>66:41:0201002</t>
  </si>
  <si>
    <t>66:41:0201004</t>
  </si>
  <si>
    <t>66:41:0201005</t>
  </si>
  <si>
    <t>66:41:0201006</t>
  </si>
  <si>
    <t>66:41:0201012</t>
  </si>
  <si>
    <t>66:41:0201902</t>
  </si>
  <si>
    <t>66:41:0209071</t>
  </si>
  <si>
    <t>66:41:0209073</t>
  </si>
  <si>
    <t>66:41:0209075</t>
  </si>
  <si>
    <t>66:41:0209076</t>
  </si>
  <si>
    <t>66:41:0201011</t>
  </si>
  <si>
    <t>66:41:0201003</t>
  </si>
  <si>
    <t>66:41:0201009</t>
  </si>
  <si>
    <t>66:41:0201010</t>
  </si>
  <si>
    <t>66:41:0201013</t>
  </si>
  <si>
    <t>66:41:0201014</t>
  </si>
  <si>
    <t>66:41:0201015</t>
  </si>
  <si>
    <t>66:41:0201016</t>
  </si>
  <si>
    <t>66:41:0201017</t>
  </si>
  <si>
    <t>66:41:0201018</t>
  </si>
  <si>
    <t>66:41:0201901</t>
  </si>
  <si>
    <t>66:41:0208004</t>
  </si>
  <si>
    <t>66:41:0307057</t>
  </si>
  <si>
    <t>66:41:0307054</t>
  </si>
  <si>
    <t>66:41:0307013</t>
  </si>
  <si>
    <t>66:41:0307014</t>
  </si>
  <si>
    <t>66:41:0307028</t>
  </si>
  <si>
    <t>66:41:0307034</t>
  </si>
  <si>
    <t>66:41:0307050</t>
  </si>
  <si>
    <t>66:41:0307052</t>
  </si>
  <si>
    <t>66:41:0307053</t>
  </si>
  <si>
    <t>66:41:0307055</t>
  </si>
  <si>
    <t>66:41:0307056</t>
  </si>
  <si>
    <t>66:41:0307058</t>
  </si>
  <si>
    <t>66:41:0307079</t>
  </si>
  <si>
    <t>66:41:0308010</t>
  </si>
  <si>
    <t>66:41:0309008</t>
  </si>
  <si>
    <t>66:41:0309009</t>
  </si>
  <si>
    <t>66:41:0309010</t>
  </si>
  <si>
    <t>66:41:0309012</t>
  </si>
  <si>
    <t>66:41:0309021</t>
  </si>
  <si>
    <t>66:41:0309022</t>
  </si>
  <si>
    <t>66:41:0308021</t>
  </si>
  <si>
    <t>66:41:0308002</t>
  </si>
  <si>
    <t>66:41:0308003</t>
  </si>
  <si>
    <t>66:41:0308004</t>
  </si>
  <si>
    <t>66:41:0308005</t>
  </si>
  <si>
    <t>66:41:0308022</t>
  </si>
  <si>
    <t>66:41:0308009</t>
  </si>
  <si>
    <t>66:41:0307092</t>
  </si>
  <si>
    <t>66:41:0308006</t>
  </si>
  <si>
    <t>66:41:0308007</t>
  </si>
  <si>
    <t>66:41:0308008</t>
  </si>
  <si>
    <t>66:41:0308011</t>
  </si>
  <si>
    <t>66:41:0308012</t>
  </si>
  <si>
    <t>66:41:0308013</t>
  </si>
  <si>
    <t>66:41:0308014</t>
  </si>
  <si>
    <t>66:41:0308015</t>
  </si>
  <si>
    <t>66:41:0308016</t>
  </si>
  <si>
    <t>66:41:0308017</t>
  </si>
  <si>
    <t>66:41:0308018</t>
  </si>
  <si>
    <t>66:41:0308019</t>
  </si>
  <si>
    <t>66:41:0308020</t>
  </si>
  <si>
    <t>66:41:0308023</t>
  </si>
  <si>
    <t>66:41:0308901</t>
  </si>
  <si>
    <t>66:41:0209007</t>
  </si>
  <si>
    <t>66:41:0209010</t>
  </si>
  <si>
    <t>66:41:0209011</t>
  </si>
  <si>
    <t>66:41:0209012</t>
  </si>
  <si>
    <t>66:41:0209016</t>
  </si>
  <si>
    <t>66:41:0209017</t>
  </si>
  <si>
    <t>66:41:0209026</t>
  </si>
  <si>
    <t>66:41:0209027</t>
  </si>
  <si>
    <t>66:41:0209052</t>
  </si>
  <si>
    <t>66:41:0209053</t>
  </si>
  <si>
    <t>66:41:0209054</t>
  </si>
  <si>
    <t>66:41:0209069</t>
  </si>
  <si>
    <t>66:41:0209070</t>
  </si>
  <si>
    <t>66:41:0307032</t>
  </si>
  <si>
    <t>66:41:0307018</t>
  </si>
  <si>
    <t>66:41:0307019</t>
  </si>
  <si>
    <t>66:41:0307020</t>
  </si>
  <si>
    <t>66:41:0307021</t>
  </si>
  <si>
    <t>66:41:0307023</t>
  </si>
  <si>
    <t>66:41:0307024</t>
  </si>
  <si>
    <t>66:41:0307026</t>
  </si>
  <si>
    <t>66:41:0307029</t>
  </si>
  <si>
    <t>66:41:0307030</t>
  </si>
  <si>
    <t>66:41:0307031</t>
  </si>
  <si>
    <t>66:41:0307035</t>
  </si>
  <si>
    <t>66:41:0307036</t>
  </si>
  <si>
    <t>66:41:0307038</t>
  </si>
  <si>
    <t>66:41:0307040</t>
  </si>
  <si>
    <t>66:41:0307041</t>
  </si>
  <si>
    <t>66:41:0308001</t>
  </si>
  <si>
    <t>66:41:0307025</t>
  </si>
  <si>
    <t>66:41:0307043</t>
  </si>
  <si>
    <t>66:41:0307045</t>
  </si>
  <si>
    <t>66:41:0307048</t>
  </si>
  <si>
    <t>66:41:0307086</t>
  </si>
  <si>
    <t>66:41:0307088</t>
  </si>
  <si>
    <t>66:41:0307090</t>
  </si>
  <si>
    <t>66:41:0307095</t>
  </si>
  <si>
    <t>66:41:0309003</t>
  </si>
  <si>
    <t>66:41:0309004</t>
  </si>
  <si>
    <t>66:41:0309005</t>
  </si>
  <si>
    <t>66:41:0309006</t>
  </si>
  <si>
    <t>66:41:0309020</t>
  </si>
  <si>
    <t>66:41:0309100</t>
  </si>
  <si>
    <t>66:41:0201001</t>
  </si>
  <si>
    <t>66:41:0209089</t>
  </si>
  <si>
    <t>66:41:0209090</t>
  </si>
  <si>
    <t>66:41:0209100</t>
  </si>
  <si>
    <t>66:41:0209101</t>
  </si>
  <si>
    <t>66:41:0209113</t>
  </si>
  <si>
    <t>66:41:0307049</t>
  </si>
  <si>
    <t>66:41:0307099</t>
  </si>
  <si>
    <t>66:41:0307042</t>
  </si>
  <si>
    <t>66:41:0307015</t>
  </si>
  <si>
    <t>66:41:0307022</t>
  </si>
  <si>
    <t>66:41:0307089</t>
  </si>
  <si>
    <t>66:41:0307091</t>
  </si>
  <si>
    <t>66:41:0307093</t>
  </si>
  <si>
    <t>66:41:0307094</t>
  </si>
  <si>
    <t>66:41:0307096</t>
  </si>
  <si>
    <t>66:41:0307097</t>
  </si>
  <si>
    <t>66:41:0307098</t>
  </si>
  <si>
    <t>66:41:0511004</t>
  </si>
  <si>
    <t>66:41:0313103</t>
  </si>
  <si>
    <t>66:41:0511001</t>
  </si>
  <si>
    <t>66:41:0511005</t>
  </si>
  <si>
    <t>66:41:0511008</t>
  </si>
  <si>
    <t>66:41:0511009</t>
  </si>
  <si>
    <t>66:41:0511010</t>
  </si>
  <si>
    <t>66:41:0511011</t>
  </si>
  <si>
    <t>66:41:0511015</t>
  </si>
  <si>
    <t>66:41:0511016</t>
  </si>
  <si>
    <t>66:41:0511017</t>
  </si>
  <si>
    <t>66:41:0511018</t>
  </si>
  <si>
    <t>66:41:0511020</t>
  </si>
  <si>
    <t>66:41:0511029</t>
  </si>
  <si>
    <t>66:41:0511031</t>
  </si>
  <si>
    <t>66:41:0511033</t>
  </si>
  <si>
    <t>66:41:0513009</t>
  </si>
  <si>
    <t>66:41:0310011</t>
  </si>
  <si>
    <t>66:41:0310003</t>
  </si>
  <si>
    <t>66:41:0310006</t>
  </si>
  <si>
    <t>66:41:0310007</t>
  </si>
  <si>
    <t>66:41:0310008</t>
  </si>
  <si>
    <t>66:41:0310009</t>
  </si>
  <si>
    <t>66:41:0310010</t>
  </si>
  <si>
    <t>66:41:0310012</t>
  </si>
  <si>
    <t>66:41:0310015</t>
  </si>
  <si>
    <t>66:41:0310018</t>
  </si>
  <si>
    <t>66:41:0310020</t>
  </si>
  <si>
    <t>66:41:0310021</t>
  </si>
  <si>
    <t>66:41:0310023</t>
  </si>
  <si>
    <t>66:41:0313014</t>
  </si>
  <si>
    <t>66:41:0313021</t>
  </si>
  <si>
    <t>66:41:0313022</t>
  </si>
  <si>
    <t>66:41:0313023</t>
  </si>
  <si>
    <t>66:41:0313092</t>
  </si>
  <si>
    <t>66:41:0310031</t>
  </si>
  <si>
    <t>66:41:0310001</t>
  </si>
  <si>
    <t>66:41:0310014</t>
  </si>
  <si>
    <t>66:41:0310022</t>
  </si>
  <si>
    <t>66:41:0310025</t>
  </si>
  <si>
    <t>66:41:0310027</t>
  </si>
  <si>
    <t>66:41:0310028</t>
  </si>
  <si>
    <t>66:41:0310030</t>
  </si>
  <si>
    <t>66:41:0310070</t>
  </si>
  <si>
    <t>66:41:0310104</t>
  </si>
  <si>
    <t>66:41:0315001</t>
  </si>
  <si>
    <t>66:41:0315002</t>
  </si>
  <si>
    <t>66:41:0315005</t>
  </si>
  <si>
    <t>66:41:0315006</t>
  </si>
  <si>
    <t>66:41:0315008</t>
  </si>
  <si>
    <t>66:41:0315014</t>
  </si>
  <si>
    <t>66:41:0315015</t>
  </si>
  <si>
    <t>66:41:0315017</t>
  </si>
  <si>
    <t>66:41:0315013</t>
  </si>
  <si>
    <t>66:41:0309011</t>
  </si>
  <si>
    <t>66:41:0309067</t>
  </si>
  <si>
    <t>66:41:0309089</t>
  </si>
  <si>
    <t>66:41:0315003</t>
  </si>
  <si>
    <t>66:41:0315004</t>
  </si>
  <si>
    <t>66:41:0315007</t>
  </si>
  <si>
    <t>66:41:0315009</t>
  </si>
  <si>
    <t>66:41:0315010</t>
  </si>
  <si>
    <t>66:41:0315011</t>
  </si>
  <si>
    <t>66:41:0315012</t>
  </si>
  <si>
    <t>66:41:0315016</t>
  </si>
  <si>
    <t>66:41:0315901</t>
  </si>
  <si>
    <t>66:41:0310046</t>
  </si>
  <si>
    <t>66:41:0310034</t>
  </si>
  <si>
    <t>66:41:0310035</t>
  </si>
  <si>
    <t>66:41:0310036</t>
  </si>
  <si>
    <t>66:41:0310037</t>
  </si>
  <si>
    <t>66:41:0310038</t>
  </si>
  <si>
    <t>66:41:0310039</t>
  </si>
  <si>
    <t>66:41:0310042</t>
  </si>
  <si>
    <t>66:41:0310045</t>
  </si>
  <si>
    <t>66:41:0310047</t>
  </si>
  <si>
    <t>66:41:0310048</t>
  </si>
  <si>
    <t>66:41:0310101</t>
  </si>
  <si>
    <t>66:41:0309091</t>
  </si>
  <si>
    <t>66:41:0309046</t>
  </si>
  <si>
    <t>66:41:0309050</t>
  </si>
  <si>
    <t>66:41:0309051</t>
  </si>
  <si>
    <t>66:41:0309090</t>
  </si>
  <si>
    <t>66:41:0309092</t>
  </si>
  <si>
    <t>66:41:0310002</t>
  </si>
  <si>
    <t>66:41:0310013</t>
  </si>
  <si>
    <t>66:41:0310017</t>
  </si>
  <si>
    <t>66:41:0310032</t>
  </si>
  <si>
    <t>66:41:0310033</t>
  </si>
  <si>
    <t>66:41:0310118</t>
  </si>
  <si>
    <t>66:41:0310115</t>
  </si>
  <si>
    <t>sw1</t>
  </si>
  <si>
    <t>66:41:0310091</t>
  </si>
  <si>
    <t>66:41:0310044</t>
  </si>
  <si>
    <t>66:41:0310043</t>
  </si>
  <si>
    <t>66:41:0309048</t>
  </si>
  <si>
    <t>66:41:0310029</t>
  </si>
  <si>
    <t>66:41:0310100</t>
  </si>
  <si>
    <t>66:41:0310114</t>
  </si>
  <si>
    <t>66:41:0310116</t>
  </si>
  <si>
    <t>66:41:0310119</t>
  </si>
  <si>
    <t>66:41:0310120</t>
  </si>
  <si>
    <t>66:41:0310121</t>
  </si>
  <si>
    <t>66:41:0313084</t>
  </si>
  <si>
    <t>66:41:0310049</t>
  </si>
  <si>
    <t>66:41:0310050</t>
  </si>
  <si>
    <t>66:41:0310051</t>
  </si>
  <si>
    <t>66:41:0310060</t>
  </si>
  <si>
    <t>66:41:0310102</t>
  </si>
  <si>
    <t>66:41:0313008</t>
  </si>
  <si>
    <t>66:41:0313085</t>
  </si>
  <si>
    <t>66:41:0313100</t>
  </si>
  <si>
    <t>66:41:0313102</t>
  </si>
  <si>
    <t>66:41:0313108</t>
  </si>
  <si>
    <t>66:41:0511006</t>
  </si>
  <si>
    <t>66:41:0511007</t>
  </si>
  <si>
    <t>66:41:0309070</t>
  </si>
  <si>
    <t>66:41:0309013</t>
  </si>
  <si>
    <t>66:41:0309032</t>
  </si>
  <si>
    <t>66:41:0309061</t>
  </si>
  <si>
    <t>66:41:0309062</t>
  </si>
  <si>
    <t>66:41:0309063</t>
  </si>
  <si>
    <t>66:41:0309064</t>
  </si>
  <si>
    <t>66:41:0309065</t>
  </si>
  <si>
    <t>66:41:0309069</t>
  </si>
  <si>
    <t>66:41:0310108</t>
  </si>
  <si>
    <t>66:41:0309043</t>
  </si>
  <si>
    <t>66:41:0309045</t>
  </si>
  <si>
    <t>66:41:0309047</t>
  </si>
  <si>
    <t>66:41:0309049</t>
  </si>
  <si>
    <t>66:41:0309098</t>
  </si>
  <si>
    <t>66:41:0310057</t>
  </si>
  <si>
    <t>66:41:0310058</t>
  </si>
  <si>
    <t>66:41:0310105</t>
  </si>
  <si>
    <t>66:41:0310106</t>
  </si>
  <si>
    <t>66:41:0310107</t>
  </si>
  <si>
    <t>66:41:0310109</t>
  </si>
  <si>
    <t>66:41:0310110</t>
  </si>
  <si>
    <t>66:41:0310111</t>
  </si>
  <si>
    <t>66:41:0310112</t>
  </si>
  <si>
    <t>66:41:0310113</t>
  </si>
  <si>
    <t>66:41:0310901</t>
  </si>
  <si>
    <t>66:41:0511013</t>
  </si>
  <si>
    <t>66:41:0313104</t>
  </si>
  <si>
    <t>66:41:0313105</t>
  </si>
  <si>
    <t>66:41:0313106</t>
  </si>
  <si>
    <t>66:41:0511012</t>
  </si>
  <si>
    <t>66:41:0511014</t>
  </si>
  <si>
    <t>66:41:0511035</t>
  </si>
  <si>
    <t>66:41:0513007</t>
  </si>
  <si>
    <t>66:41:0513008</t>
  </si>
  <si>
    <t>66:41:0311013</t>
  </si>
  <si>
    <t>66:41:0311003</t>
  </si>
  <si>
    <t>66:41:0311006</t>
  </si>
  <si>
    <t>66:41:0311007</t>
  </si>
  <si>
    <t>66:41:0311008</t>
  </si>
  <si>
    <t>66:41:0311010</t>
  </si>
  <si>
    <t>66:41:0311011</t>
  </si>
  <si>
    <t>66:41:0311012</t>
  </si>
  <si>
    <t>66:41:0311014</t>
  </si>
  <si>
    <t>66:41:0311016</t>
  </si>
  <si>
    <t>66:41:0311017</t>
  </si>
  <si>
    <t>66:41:0313086</t>
  </si>
  <si>
    <t>66:41:0313087</t>
  </si>
  <si>
    <t>66:41:0313088</t>
  </si>
  <si>
    <t>66:41:0313097</t>
  </si>
  <si>
    <t>66:41:0313110</t>
  </si>
  <si>
    <t>66:41:0309094</t>
  </si>
  <si>
    <t>66:41:0309027</t>
  </si>
  <si>
    <t>66:41:0309028</t>
  </si>
  <si>
    <t>66:41:0309029</t>
  </si>
  <si>
    <t>66:41:0309035</t>
  </si>
  <si>
    <t>66:41:0309036</t>
  </si>
  <si>
    <t>66:41:0309042</t>
  </si>
  <si>
    <t>66:41:0309044</t>
  </si>
  <si>
    <t>66:41:0309095</t>
  </si>
  <si>
    <t>66:41:0309096</t>
  </si>
  <si>
    <t>66:41:0311901</t>
  </si>
  <si>
    <t>66:41:0310090</t>
  </si>
  <si>
    <t>66:41:0311001</t>
  </si>
  <si>
    <t>66:41:0311004</t>
  </si>
  <si>
    <t>66:41:0311005</t>
  </si>
  <si>
    <t>66:41:0311015</t>
  </si>
  <si>
    <t>66:41:0311018</t>
  </si>
  <si>
    <t>66:41:0311019</t>
  </si>
  <si>
    <t>66:41:0311020</t>
  </si>
  <si>
    <t>66:41:0309039</t>
  </si>
  <si>
    <t>66:41:0310052</t>
  </si>
  <si>
    <t>66:41:0310053</t>
  </si>
  <si>
    <t>66:41:0310054</t>
  </si>
  <si>
    <t>66:41:0310055</t>
  </si>
  <si>
    <t>66:41:0310056</t>
  </si>
  <si>
    <t>66:41:0310059</t>
  </si>
  <si>
    <t>66:41:0309041</t>
  </si>
  <si>
    <t>66:41:0310061</t>
  </si>
  <si>
    <t>66:41:0310064</t>
  </si>
  <si>
    <t>66:41:0310072</t>
  </si>
  <si>
    <t>66:41:0310077</t>
  </si>
  <si>
    <t>66:41:0310089</t>
  </si>
  <si>
    <t>66:41:0310098</t>
  </si>
  <si>
    <t>66:41:0311002</t>
  </si>
  <si>
    <t>66:41:0311009</t>
  </si>
  <si>
    <t>66:41:0313011</t>
  </si>
  <si>
    <t>66:41:0313012</t>
  </si>
  <si>
    <t>66:41:0313043</t>
  </si>
  <si>
    <t>66:41:0313107</t>
  </si>
  <si>
    <t>66:19:1909002</t>
  </si>
  <si>
    <t>Влияние Нижнего Тагила</t>
  </si>
  <si>
    <t>66:19:1907004</t>
  </si>
  <si>
    <t>66:19:1907005</t>
  </si>
  <si>
    <t>66:19:2901001</t>
  </si>
  <si>
    <t>66:19:1906002</t>
  </si>
  <si>
    <t>66:19:1906003</t>
  </si>
  <si>
    <t>66:19:1906004</t>
  </si>
  <si>
    <t>66:19:1906005</t>
  </si>
  <si>
    <t>66:19:1906006</t>
  </si>
  <si>
    <t>66:19:1906007</t>
  </si>
  <si>
    <t>66:19:1906008</t>
  </si>
  <si>
    <t>66:19:1906009</t>
  </si>
  <si>
    <t>66:19:1906010</t>
  </si>
  <si>
    <t>66:19:1906011</t>
  </si>
  <si>
    <t>66:19:1907001</t>
  </si>
  <si>
    <t>66:19:1907002</t>
  </si>
  <si>
    <t>66:19:1907003</t>
  </si>
  <si>
    <t>66:19:3101002</t>
  </si>
  <si>
    <t>66:19:1906001</t>
  </si>
  <si>
    <t>66:19:1906012</t>
  </si>
  <si>
    <t>66:19:3001001</t>
  </si>
  <si>
    <t>66:19:3101001</t>
  </si>
  <si>
    <t>66:19:3101003</t>
  </si>
  <si>
    <t>66:19:3101004</t>
  </si>
  <si>
    <t>66:19:3101005</t>
  </si>
  <si>
    <t>66:19:3101006</t>
  </si>
  <si>
    <t>66:19:3101007</t>
  </si>
  <si>
    <t>66:19:1905011</t>
  </si>
  <si>
    <t>66:19:1908002</t>
  </si>
  <si>
    <t>66:19:1905008</t>
  </si>
  <si>
    <t>66:19:1905010</t>
  </si>
  <si>
    <t>66:19:1905009</t>
  </si>
  <si>
    <t>66:19:1101005</t>
  </si>
  <si>
    <t>66:19:1101001</t>
  </si>
  <si>
    <t>66:19:1101002</t>
  </si>
  <si>
    <t>66:19:1101003</t>
  </si>
  <si>
    <t>66:19:1101004</t>
  </si>
  <si>
    <t>66:19:1101006</t>
  </si>
  <si>
    <t>66:62:0106009</t>
  </si>
  <si>
    <t>66:62:0107012</t>
  </si>
  <si>
    <t>66:62:0107014</t>
  </si>
  <si>
    <t>66:62:0504006</t>
  </si>
  <si>
    <t>66:36:3501001</t>
  </si>
  <si>
    <t>66:62:0201002</t>
  </si>
  <si>
    <t>66:62:0201003</t>
  </si>
  <si>
    <t>66:62:0601001</t>
  </si>
  <si>
    <t>66:36:2701001</t>
  </si>
  <si>
    <t>66:36:3101002</t>
  </si>
  <si>
    <t>66:36:1501012</t>
  </si>
  <si>
    <t>66:62:0103007</t>
  </si>
  <si>
    <t>66:62:0103001</t>
  </si>
  <si>
    <t>66:62:0103002</t>
  </si>
  <si>
    <t>66:62:0103004</t>
  </si>
  <si>
    <t>66:62:0103005</t>
  </si>
  <si>
    <t>66:62:0103006</t>
  </si>
  <si>
    <t>66:62:0103008</t>
  </si>
  <si>
    <t>66:62:0104008</t>
  </si>
  <si>
    <t>66:62:0106001</t>
  </si>
  <si>
    <t>66:62:0106002</t>
  </si>
  <si>
    <t>66:36:3101015</t>
  </si>
  <si>
    <t>66:36:3401001</t>
  </si>
  <si>
    <t>66:36:3103001</t>
  </si>
  <si>
    <t>66:62:0504002</t>
  </si>
  <si>
    <t>66:62:0504003</t>
  </si>
  <si>
    <t>66:62:0504004</t>
  </si>
  <si>
    <t>66:62:0504005</t>
  </si>
  <si>
    <t>66:36:1601001</t>
  </si>
  <si>
    <t>66:36:1601002</t>
  </si>
  <si>
    <t>66:36:3103003</t>
  </si>
  <si>
    <t>66:36:3103004</t>
  </si>
  <si>
    <t>66:36:3103005</t>
  </si>
  <si>
    <t>66:36:3103006</t>
  </si>
  <si>
    <t>66:36:3103007</t>
  </si>
  <si>
    <t>66:36:1501025</t>
  </si>
  <si>
    <t>66:36:1501020</t>
  </si>
  <si>
    <t>66:36:1501013</t>
  </si>
  <si>
    <t>66:36:1501015</t>
  </si>
  <si>
    <t>66:36:1501017</t>
  </si>
  <si>
    <t>66:36:1501021</t>
  </si>
  <si>
    <t>66:36:1501022</t>
  </si>
  <si>
    <t>66:36:1501023</t>
  </si>
  <si>
    <t>66:36:1501024</t>
  </si>
  <si>
    <t>66:36:1501011</t>
  </si>
  <si>
    <t>66:36:1501001</t>
  </si>
  <si>
    <t>66:36:1501003</t>
  </si>
  <si>
    <t>66:36:1501004</t>
  </si>
  <si>
    <t>66:36:1501005</t>
  </si>
  <si>
    <t>66:36:1501006</t>
  </si>
  <si>
    <t>66:36:1501007</t>
  </si>
  <si>
    <t>66:36:1501009</t>
  </si>
  <si>
    <t>66:36:3101012</t>
  </si>
  <si>
    <t>66:36:3101013</t>
  </si>
  <si>
    <t>66:36:3101014</t>
  </si>
  <si>
    <t>66:41:0307007</t>
  </si>
  <si>
    <t>66:41:0209099</t>
  </si>
  <si>
    <t>66:41:0209111</t>
  </si>
  <si>
    <t>66:41:0209112</t>
  </si>
  <si>
    <t>66:41:0209118</t>
  </si>
  <si>
    <t>66:41:0307004</t>
  </si>
  <si>
    <t>66:41:0307006</t>
  </si>
  <si>
    <t>66:41:0307008</t>
  </si>
  <si>
    <t>66:41:0307009</t>
  </si>
  <si>
    <t>66:41:0307017</t>
  </si>
  <si>
    <t>66:41:0307046</t>
  </si>
  <si>
    <t>66:41:0209001</t>
  </si>
  <si>
    <t>66:36:1501008</t>
  </si>
  <si>
    <t>66:36:1501018</t>
  </si>
  <si>
    <t>66:36:1501019</t>
  </si>
  <si>
    <t>66:36:3101008</t>
  </si>
  <si>
    <t>66:36:3101010</t>
  </si>
  <si>
    <t>66:36:3101011</t>
  </si>
  <si>
    <t>66:41:0209013</t>
  </si>
  <si>
    <t>66:41:0209014</t>
  </si>
  <si>
    <t>66:41:0209015</t>
  </si>
  <si>
    <t>66:41:0209023</t>
  </si>
  <si>
    <t>66:41:0209024</t>
  </si>
  <si>
    <t>66:41:0209025</t>
  </si>
  <si>
    <t>66:41:0209048</t>
  </si>
  <si>
    <t>66:41:0209049</t>
  </si>
  <si>
    <t>66:41:0209050</t>
  </si>
  <si>
    <t>66:41:0209051</t>
  </si>
  <si>
    <t>66:41:0209096</t>
  </si>
  <si>
    <t>66:41:0209064</t>
  </si>
  <si>
    <t>66:41:0209065</t>
  </si>
  <si>
    <t>66:41:0209066</t>
  </si>
  <si>
    <t>66:41:0209067</t>
  </si>
  <si>
    <t>66:41:0209068</t>
  </si>
  <si>
    <t>66:41:0209085</t>
  </si>
  <si>
    <t>66:41:0209086</t>
  </si>
  <si>
    <t>66:41:0209087</t>
  </si>
  <si>
    <t>66:41:0209088</t>
  </si>
  <si>
    <t>66:41:0209097</t>
  </si>
  <si>
    <t>66:41:0209098</t>
  </si>
  <si>
    <t>66:41:0209003</t>
  </si>
  <si>
    <t>66:41:0209002</t>
  </si>
  <si>
    <t>66:41:0209004</t>
  </si>
  <si>
    <t>66:41:0209005</t>
  </si>
  <si>
    <t>66:41:0209006</t>
  </si>
  <si>
    <t>66:41:0209008</t>
  </si>
  <si>
    <t>66:41:0209009</t>
  </si>
  <si>
    <t>66:58:2902050</t>
  </si>
  <si>
    <t>66:58:2902028</t>
  </si>
  <si>
    <t>66:58:2902037</t>
  </si>
  <si>
    <t>66:41:0512001</t>
  </si>
  <si>
    <t>66:41:0512002</t>
  </si>
  <si>
    <t>66:41:0512003</t>
  </si>
  <si>
    <t>66:41:0512018</t>
  </si>
  <si>
    <t>66:41:0512044</t>
  </si>
  <si>
    <t>66:41:0517007</t>
  </si>
  <si>
    <t>66:41:0517008</t>
  </si>
  <si>
    <t>66:41:0517009</t>
  </si>
  <si>
    <t>66:41:0517010</t>
  </si>
  <si>
    <t>66:41:0517011</t>
  </si>
  <si>
    <t>66:41:0517901</t>
  </si>
  <si>
    <t>66:21:1101001</t>
  </si>
  <si>
    <t>66:41:0313046</t>
  </si>
  <si>
    <t>66:41:0313071</t>
  </si>
  <si>
    <t>66:41:0313074</t>
  </si>
  <si>
    <t>66:41:0313083</t>
  </si>
  <si>
    <t>66:41:0313096</t>
  </si>
  <si>
    <t>66:41:0512008</t>
  </si>
  <si>
    <t>66:41:0512011</t>
  </si>
  <si>
    <t>66:41:0512015</t>
  </si>
  <si>
    <t>66:41:0512020</t>
  </si>
  <si>
    <t>66:41:0512027</t>
  </si>
  <si>
    <t>66:41:0512039</t>
  </si>
  <si>
    <t>66:41:0512040</t>
  </si>
  <si>
    <t>66:41:0313091</t>
  </si>
  <si>
    <t>66:41:0310096</t>
  </si>
  <si>
    <t>66:41:0310084</t>
  </si>
  <si>
    <t>66:41:0310066</t>
  </si>
  <si>
    <t>66:41:0310075</t>
  </si>
  <si>
    <t>66:41:0310076</t>
  </si>
  <si>
    <t>66:41:0310081</t>
  </si>
  <si>
    <t>66:41:0310082</t>
  </si>
  <si>
    <t>66:41:0310083</t>
  </si>
  <si>
    <t>66:41:0310085</t>
  </si>
  <si>
    <t>66:41:0310092</t>
  </si>
  <si>
    <t>66:41:0310094</t>
  </si>
  <si>
    <t>66:41:0310095</t>
  </si>
  <si>
    <t>66:41:0310097</t>
  </si>
  <si>
    <t>66:41:0310103</t>
  </si>
  <si>
    <t>66:41:0313045</t>
  </si>
  <si>
    <t>66:41:0309038</t>
  </si>
  <si>
    <t>66:41:0309025</t>
  </si>
  <si>
    <t>66:41:0309026</t>
  </si>
  <si>
    <t>66:41:0309030</t>
  </si>
  <si>
    <t>66:41:0309031</t>
  </si>
  <si>
    <t>66:41:0309033</t>
  </si>
  <si>
    <t>66:41:0309034</t>
  </si>
  <si>
    <t>66:41:0309037</t>
  </si>
  <si>
    <t>66:41:0310074</t>
  </si>
  <si>
    <t>66:41:0309040</t>
  </si>
  <si>
    <t>66:41:0310062</t>
  </si>
  <si>
    <t>66:41:0310063</t>
  </si>
  <si>
    <t>66:41:0310065</t>
  </si>
  <si>
    <t>66:41:0310067</t>
  </si>
  <si>
    <t>66:41:0310068</t>
  </si>
  <si>
    <t>66:41:0310069</t>
  </si>
  <si>
    <t>66:41:0313034</t>
  </si>
  <si>
    <t>66:41:0313035</t>
  </si>
  <si>
    <t>66:41:0313036</t>
  </si>
  <si>
    <t>66:41:0313066</t>
  </si>
  <si>
    <t>66:41:0310071</t>
  </si>
  <si>
    <t>66:41:0310073</t>
  </si>
  <si>
    <t>66:41:0310078</t>
  </si>
  <si>
    <t>66:41:0310079</t>
  </si>
  <si>
    <t>66:41:0310080</t>
  </si>
  <si>
    <t>66:41:0310087</t>
  </si>
  <si>
    <t>66:41:0310088</t>
  </si>
  <si>
    <t>66:41:0310093</t>
  </si>
  <si>
    <t>66:41:0310099</t>
  </si>
  <si>
    <t>66:41:0312008</t>
  </si>
  <si>
    <t>66:41:0313016</t>
  </si>
  <si>
    <t>66:41:0313054</t>
  </si>
  <si>
    <t>66:41:0313070</t>
  </si>
  <si>
    <t>66:41:0313089</t>
  </si>
  <si>
    <t>66:41:0313090</t>
  </si>
  <si>
    <t>66:41:0313111</t>
  </si>
  <si>
    <t>66:41:0512010</t>
  </si>
  <si>
    <t>66:41:0313073</t>
  </si>
  <si>
    <t>66:41:0512005</t>
  </si>
  <si>
    <t>66:41:0512006</t>
  </si>
  <si>
    <t>66:41:0512014</t>
  </si>
  <si>
    <t>66:41:0512019</t>
  </si>
  <si>
    <t>66:41:0512024</t>
  </si>
  <si>
    <t>66:41:0512033</t>
  </si>
  <si>
    <t>66:41:0307027</t>
  </si>
  <si>
    <t>66:58:2902061</t>
  </si>
  <si>
    <t>66:41:0307005</t>
  </si>
  <si>
    <t>66:41:0307010</t>
  </si>
  <si>
    <t>66:41:0307011</t>
  </si>
  <si>
    <t>66:41:0307012</t>
  </si>
  <si>
    <t>66:41:0307016</t>
  </si>
  <si>
    <t>66:41:0309001</t>
  </si>
  <si>
    <t>66:41:0309002</t>
  </si>
  <si>
    <t>66:41:0309016</t>
  </si>
  <si>
    <t>66:41:0309019</t>
  </si>
  <si>
    <t>66:41:0309099</t>
  </si>
  <si>
    <t>66:41:0313061</t>
  </si>
  <si>
    <t>66:41:0312010</t>
  </si>
  <si>
    <t>66:41:0310086</t>
  </si>
  <si>
    <t>66:41:0312001</t>
  </si>
  <si>
    <t>66:41:0312002</t>
  </si>
  <si>
    <t>66:41:0312003</t>
  </si>
  <si>
    <t>66:41:0312004</t>
  </si>
  <si>
    <t>66:41:0312005</t>
  </si>
  <si>
    <t>66:41:0312007</t>
  </si>
  <si>
    <t>66:41:0312009</t>
  </si>
  <si>
    <t>66:41:0312011</t>
  </si>
  <si>
    <t>66:41:0312901</t>
  </si>
  <si>
    <t>66:41:0313052</t>
  </si>
  <si>
    <t>66:41:0313053</t>
  </si>
  <si>
    <t>66:41:0313069</t>
  </si>
  <si>
    <t>66:41:0313067</t>
  </si>
  <si>
    <t>66:41:0313068</t>
  </si>
  <si>
    <t>66:41:0313072</t>
  </si>
  <si>
    <t>66:41:0313081</t>
  </si>
  <si>
    <t>66:41:0512004</t>
  </si>
  <si>
    <t>66:41:0516018</t>
  </si>
  <si>
    <t>66:41:0516014</t>
  </si>
  <si>
    <t>66:41:0313082</t>
  </si>
  <si>
    <t>66:41:0516004</t>
  </si>
  <si>
    <t>66:41:0516007</t>
  </si>
  <si>
    <t>66:41:0516009</t>
  </si>
  <si>
    <t>66:41:0516012</t>
  </si>
  <si>
    <t>66:41:0516013</t>
  </si>
  <si>
    <t>66:41:0516015</t>
  </si>
  <si>
    <t>66:41:0516016</t>
  </si>
  <si>
    <t>66:41:0516008</t>
  </si>
  <si>
    <t>66:41:0516001</t>
  </si>
  <si>
    <t>66:41:0516002</t>
  </si>
  <si>
    <t>66:41:0516003</t>
  </si>
  <si>
    <t>66:41:0516005</t>
  </si>
  <si>
    <t>66:41:0516006</t>
  </si>
  <si>
    <t>66:41:0516010</t>
  </si>
  <si>
    <t>66:41:0516011</t>
  </si>
  <si>
    <t>66:41:0516017</t>
  </si>
  <si>
    <t>66:41:0516019</t>
  </si>
  <si>
    <t>66:41:0516020</t>
  </si>
  <si>
    <t>66:41:0516901</t>
  </si>
  <si>
    <t>66:41:0313049</t>
  </si>
  <si>
    <t>66:41:0313050</t>
  </si>
  <si>
    <t>66:41:0313051</t>
  </si>
  <si>
    <t>66:41:0313058</t>
  </si>
  <si>
    <t>66:41:0313059</t>
  </si>
  <si>
    <t>66:41:0313060</t>
  </si>
  <si>
    <t>66:41:0313064</t>
  </si>
  <si>
    <t>66:41:0313065</t>
  </si>
  <si>
    <t>66:41:0313076</t>
  </si>
  <si>
    <t>66:41:0313077</t>
  </si>
  <si>
    <t>66:41:0313078</t>
  </si>
  <si>
    <t>66:41:0313079</t>
  </si>
  <si>
    <t>66:41:0313080</t>
  </si>
  <si>
    <t>66:41:0313101</t>
  </si>
  <si>
    <t>66:58:2902036</t>
  </si>
  <si>
    <t>66:58:2301002</t>
  </si>
  <si>
    <t>66:58:2902032</t>
  </si>
  <si>
    <t>66:58:2902033</t>
  </si>
  <si>
    <t>66:58:2902034</t>
  </si>
  <si>
    <t>66:58:2902035</t>
  </si>
  <si>
    <t>66:58:2902057</t>
  </si>
  <si>
    <t>66:58:2902044</t>
  </si>
  <si>
    <t>66:58:2902045</t>
  </si>
  <si>
    <t>66:58:2902046</t>
  </si>
  <si>
    <t>66:58:2902047</t>
  </si>
  <si>
    <t>66:58:2902048</t>
  </si>
  <si>
    <t>66:58:2902049</t>
  </si>
  <si>
    <t>66:58:2902053</t>
  </si>
  <si>
    <t>66:58:2902054</t>
  </si>
  <si>
    <t>66:58:2902055</t>
  </si>
  <si>
    <t>66:58:2902056</t>
  </si>
  <si>
    <t>66:58:2902058</t>
  </si>
  <si>
    <t>66:58:2902040</t>
  </si>
  <si>
    <t>66:58:2902031</t>
  </si>
  <si>
    <t>66:58:2902039</t>
  </si>
  <si>
    <t>66:58:2902041</t>
  </si>
  <si>
    <t>66:58:2902043</t>
  </si>
  <si>
    <t>66:58:2902051</t>
  </si>
  <si>
    <t>66:58:2902052</t>
  </si>
  <si>
    <t>66:41:0313047</t>
  </si>
  <si>
    <t>66:41:0313048</t>
  </si>
  <si>
    <t>66:41:0313055</t>
  </si>
  <si>
    <t>66:41:0313056</t>
  </si>
  <si>
    <t>66:41:0313057</t>
  </si>
  <si>
    <t>66:41:0313062</t>
  </si>
  <si>
    <t>66:41:0313063</t>
  </si>
  <si>
    <t>66:41:0313075</t>
  </si>
  <si>
    <t>66:41:0512043</t>
  </si>
  <si>
    <t>66:40:0101019</t>
  </si>
  <si>
    <t>66:40:0101014</t>
  </si>
  <si>
    <t>66:40:0101026</t>
  </si>
  <si>
    <t>66:40:0101007</t>
  </si>
  <si>
    <t>66:40:0101011</t>
  </si>
  <si>
    <t>66:40:0101012</t>
  </si>
  <si>
    <t>66:40:0101013</t>
  </si>
  <si>
    <t>66:40:0101018</t>
  </si>
  <si>
    <t>66:40:0101040</t>
  </si>
  <si>
    <t>66:21:1301016</t>
  </si>
  <si>
    <t>66:21:0701001</t>
  </si>
  <si>
    <t>66:36:3102001</t>
  </si>
  <si>
    <t>66:36:3102003</t>
  </si>
  <si>
    <t>66:36:3102006</t>
  </si>
  <si>
    <t>66:36:3102007</t>
  </si>
  <si>
    <t>66:36:3102008</t>
  </si>
  <si>
    <t>66:36:3102010</t>
  </si>
  <si>
    <t>66:36:3101007</t>
  </si>
  <si>
    <t>66:36:1701001</t>
  </si>
  <si>
    <t>66:36:1701002</t>
  </si>
  <si>
    <t>66:36:1701003</t>
  </si>
  <si>
    <t>66:36:1701005</t>
  </si>
  <si>
    <t>66:36:1701006</t>
  </si>
  <si>
    <t>66:36:3101003</t>
  </si>
  <si>
    <t>66:36:3101004</t>
  </si>
  <si>
    <t>66:36:3101005</t>
  </si>
  <si>
    <t>66:36:3101006</t>
  </si>
  <si>
    <t>66:36:3101016</t>
  </si>
  <si>
    <t>66:36:3102002</t>
  </si>
  <si>
    <t>66:58:0102001</t>
  </si>
  <si>
    <t>66:58:0101001</t>
  </si>
  <si>
    <t>66:58:0101002</t>
  </si>
  <si>
    <t>66:41:0209077</t>
  </si>
  <si>
    <t>66:41:0209110</t>
  </si>
  <si>
    <t>66:41:0209115</t>
  </si>
  <si>
    <t>66:41:0209209</t>
  </si>
  <si>
    <t>66:41:0210053</t>
  </si>
  <si>
    <t>66:41:0210088</t>
  </si>
  <si>
    <t>66:41:0210091</t>
  </si>
  <si>
    <t>66:41:0307002</t>
  </si>
  <si>
    <t>66:41:0307003</t>
  </si>
  <si>
    <t>66:41:0312006</t>
  </si>
  <si>
    <t>66:41:0210003</t>
  </si>
  <si>
    <t>66:41:0209083</t>
  </si>
  <si>
    <t>66:41:0209084</t>
  </si>
  <si>
    <t>66:41:0209094</t>
  </si>
  <si>
    <t>66:41:0210002</t>
  </si>
  <si>
    <t>66:41:0210013</t>
  </si>
  <si>
    <t>66:41:0210014</t>
  </si>
  <si>
    <t>66:41:0210016</t>
  </si>
  <si>
    <t>66:41:0210020</t>
  </si>
  <si>
    <t>66:41:0210029</t>
  </si>
  <si>
    <t>66:41:0210085</t>
  </si>
  <si>
    <t>66:41:0210062</t>
  </si>
  <si>
    <t>66:41:0210021</t>
  </si>
  <si>
    <t>66:41:0210051</t>
  </si>
  <si>
    <t>66:41:0210052</t>
  </si>
  <si>
    <t>66:41:0210063</t>
  </si>
  <si>
    <t>66:41:0210064</t>
  </si>
  <si>
    <t>66:41:0210065</t>
  </si>
  <si>
    <t>66:41:0210066</t>
  </si>
  <si>
    <t>66:41:0210084</t>
  </si>
  <si>
    <t>66:41:0210086</t>
  </si>
  <si>
    <t>66:41:0210902</t>
  </si>
  <si>
    <t>66:41:0210040</t>
  </si>
  <si>
    <t>66:41:0209095</t>
  </si>
  <si>
    <t>66:41:0210030</t>
  </si>
  <si>
    <t>66:41:0210036</t>
  </si>
  <si>
    <t>66:41:0210039</t>
  </si>
  <si>
    <t>66:41:0210041</t>
  </si>
  <si>
    <t>66:41:0210042</t>
  </si>
  <si>
    <t>66:41:0210043</t>
  </si>
  <si>
    <t>66:41:0210048</t>
  </si>
  <si>
    <t>66:41:0210049</t>
  </si>
  <si>
    <t>66:41:0210050</t>
  </si>
  <si>
    <t>66:41:0209059</t>
  </si>
  <si>
    <t>66:41:0209043</t>
  </si>
  <si>
    <t>66:41:0209044</t>
  </si>
  <si>
    <t>66:41:0209045</t>
  </si>
  <si>
    <t>66:41:0209046</t>
  </si>
  <si>
    <t>66:41:0209047</t>
  </si>
  <si>
    <t>66:41:0209058</t>
  </si>
  <si>
    <t>66:41:0209060</t>
  </si>
  <si>
    <t>66:41:0209061</t>
  </si>
  <si>
    <t>66:41:0209062</t>
  </si>
  <si>
    <t>66:41:0209079</t>
  </si>
  <si>
    <t>66:41:0209080</t>
  </si>
  <si>
    <t>66:41:0209081</t>
  </si>
  <si>
    <t>66:41:0209082</t>
  </si>
  <si>
    <t>66:41:0209105</t>
  </si>
  <si>
    <t>66:41:0210023</t>
  </si>
  <si>
    <t>66:41:0209093</t>
  </si>
  <si>
    <t>66:41:0210001</t>
  </si>
  <si>
    <t>66:41:0210005</t>
  </si>
  <si>
    <t>66:41:0210006</t>
  </si>
  <si>
    <t>66:41:0210007</t>
  </si>
  <si>
    <t>66:41:0210009</t>
  </si>
  <si>
    <t>66:41:0210010</t>
  </si>
  <si>
    <t>66:41:0210011</t>
  </si>
  <si>
    <t>66:41:0210012</t>
  </si>
  <si>
    <t>66:41:0210038</t>
  </si>
  <si>
    <t>66:41:0210015</t>
  </si>
  <si>
    <t>66:41:0209103</t>
  </si>
  <si>
    <t>66:41:0210008</t>
  </si>
  <si>
    <t>66:41:0210017</t>
  </si>
  <si>
    <t>66:41:0210019</t>
  </si>
  <si>
    <t>66:41:0210022</t>
  </si>
  <si>
    <t>66:41:0210026</t>
  </si>
  <si>
    <t>66:41:0210034</t>
  </si>
  <si>
    <t>66:41:0210035</t>
  </si>
  <si>
    <t>66:41:0210037</t>
  </si>
  <si>
    <t>66:41:0210045</t>
  </si>
  <si>
    <t>66:41:0210054</t>
  </si>
  <si>
    <t>66:41:0210104</t>
  </si>
  <si>
    <t>66:41:0210901</t>
  </si>
  <si>
    <t>66:41:0210004</t>
  </si>
  <si>
    <t>66:41:0210044</t>
  </si>
  <si>
    <t>66:41:0210046</t>
  </si>
  <si>
    <t>66:41:0210047</t>
  </si>
  <si>
    <t>66:41:0210058</t>
  </si>
  <si>
    <t>66:41:0210059</t>
  </si>
  <si>
    <t>66:41:0210060</t>
  </si>
  <si>
    <t>66:41:0210061</t>
  </si>
  <si>
    <t>66:41:0210067</t>
  </si>
  <si>
    <t>66:41:0210068</t>
  </si>
  <si>
    <t>66:41:0210071</t>
  </si>
  <si>
    <t>66:41:0210092</t>
  </si>
  <si>
    <t>66:41:0210106</t>
  </si>
  <si>
    <t>66:41:0210087</t>
  </si>
  <si>
    <t>66:41:0210077</t>
  </si>
  <si>
    <t>66:41:0209114</t>
  </si>
  <si>
    <t>66:41:0209208</t>
  </si>
  <si>
    <t>66:41:0210070</t>
  </si>
  <si>
    <t>66:41:0210072</t>
  </si>
  <si>
    <t>66:41:0210073</t>
  </si>
  <si>
    <t>66:41:0210074</t>
  </si>
  <si>
    <t>66:41:0210079</t>
  </si>
  <si>
    <t>66:41:0210082</t>
  </si>
  <si>
    <t>66:41:0210903</t>
  </si>
  <si>
    <t>66:41:0307001</t>
  </si>
  <si>
    <t>66:41:0209092</t>
  </si>
  <si>
    <t>66:41:0209091</t>
  </si>
  <si>
    <t>66:41:0209102</t>
  </si>
  <si>
    <t>66:41:0210018</t>
  </si>
  <si>
    <t>66:41:0210105</t>
  </si>
  <si>
    <t>66:41:0209035</t>
  </si>
  <si>
    <t>66:41:0209207</t>
  </si>
  <si>
    <t>66:58:2902067</t>
  </si>
  <si>
    <t>66:58:2902060</t>
  </si>
  <si>
    <t>66:58:2902074</t>
  </si>
  <si>
    <t>66:58:2902075</t>
  </si>
  <si>
    <t>66:58:2902076</t>
  </si>
  <si>
    <t>66:58:2902078</t>
  </si>
  <si>
    <t>66:58:2902079</t>
  </si>
  <si>
    <t>66:58:2902080</t>
  </si>
  <si>
    <t>66:58:2902081</t>
  </si>
  <si>
    <t>66:58:2902082</t>
  </si>
  <si>
    <t>66:41:0313037</t>
  </si>
  <si>
    <t>66:41:0313038</t>
  </si>
  <si>
    <t>66:41:0313039</t>
  </si>
  <si>
    <t>66:41:0313040</t>
  </si>
  <si>
    <t>66:41:0313041</t>
  </si>
  <si>
    <t>66:41:0313042</t>
  </si>
  <si>
    <t>66:41:0313044</t>
  </si>
  <si>
    <t>66:58:2601001</t>
  </si>
  <si>
    <t>66:58:2902062</t>
  </si>
  <si>
    <t>66:58:2902066</t>
  </si>
  <si>
    <t>66:58:2902073</t>
  </si>
  <si>
    <t>66:21:1401001</t>
  </si>
  <si>
    <t>66:58:2902063</t>
  </si>
  <si>
    <t>66:58:2902068</t>
  </si>
  <si>
    <t>66:58:2902072</t>
  </si>
  <si>
    <t>66:21:0301001</t>
  </si>
  <si>
    <t>66:21:0101094</t>
  </si>
  <si>
    <t>66:21:0101092</t>
  </si>
  <si>
    <t>66:21:0101093</t>
  </si>
  <si>
    <t>66:21:1301001</t>
  </si>
  <si>
    <t>66:21:1301006</t>
  </si>
  <si>
    <t>66:21:1301007</t>
  </si>
  <si>
    <t>66:21:1301008</t>
  </si>
  <si>
    <t>66:58:2902070</t>
  </si>
  <si>
    <t>66:58:2902071</t>
  </si>
  <si>
    <t>66:21:0101006</t>
  </si>
  <si>
    <t>66:21:0101009</t>
  </si>
  <si>
    <t>66:21:0101018</t>
  </si>
  <si>
    <t>66:21:0101027</t>
  </si>
  <si>
    <t>66:21:0101036</t>
  </si>
  <si>
    <t>66:21:1301009</t>
  </si>
  <si>
    <t>66:21:1301010</t>
  </si>
  <si>
    <t>66:21:1301011</t>
  </si>
  <si>
    <t>66:21:1301012</t>
  </si>
  <si>
    <t>66:21:0101039</t>
  </si>
  <si>
    <t>66:21:0101062</t>
  </si>
  <si>
    <t>66:21:0101003</t>
  </si>
  <si>
    <t>66:21:0101002</t>
  </si>
  <si>
    <t>66:21:0101005</t>
  </si>
  <si>
    <t>66:21:0101043</t>
  </si>
  <si>
    <t>66:21:0101015</t>
  </si>
  <si>
    <t>66:21:0101022</t>
  </si>
  <si>
    <t>66:21:0101031</t>
  </si>
  <si>
    <t>66:21:0101037</t>
  </si>
  <si>
    <t>66:21:0101044</t>
  </si>
  <si>
    <t>66:21:0101045</t>
  </si>
  <si>
    <t>66:21:0101046</t>
  </si>
  <si>
    <t>66:21:0101048</t>
  </si>
  <si>
    <t>66:21:0101049</t>
  </si>
  <si>
    <t>66:21:0101056</t>
  </si>
  <si>
    <t>66:21:0101057</t>
  </si>
  <si>
    <t>66:21:0101058</t>
  </si>
  <si>
    <t>66:21:0101060</t>
  </si>
  <si>
    <t>66:21:0101059</t>
  </si>
  <si>
    <t>66:21:0101067</t>
  </si>
  <si>
    <t>66:21:0101075</t>
  </si>
  <si>
    <t>66:21:0101082</t>
  </si>
  <si>
    <t>66:59:0201004</t>
  </si>
  <si>
    <t>66:59:0206001</t>
  </si>
  <si>
    <t>66:59:0217003</t>
  </si>
  <si>
    <t>66:59:0203001</t>
  </si>
  <si>
    <t>66:59:0205001</t>
  </si>
  <si>
    <t>66:59:0216002</t>
  </si>
  <si>
    <t>66:59:0217015</t>
  </si>
  <si>
    <t>66:59:0217016</t>
  </si>
  <si>
    <t>66:21:1401004</t>
  </si>
  <si>
    <t>66:21:1401005</t>
  </si>
  <si>
    <t>66:59:0101014</t>
  </si>
  <si>
    <t>66:59:0101016</t>
  </si>
  <si>
    <t>66:59:0101018</t>
  </si>
  <si>
    <t>66:59:0101020</t>
  </si>
  <si>
    <t>66:59:0217011</t>
  </si>
  <si>
    <t>66:59:0101010</t>
  </si>
  <si>
    <t>66:59:0101013</t>
  </si>
  <si>
    <t>66:59:0101015</t>
  </si>
  <si>
    <t>66:59:0101021</t>
  </si>
  <si>
    <t>66:59:0101022</t>
  </si>
  <si>
    <t>66:59:0101023</t>
  </si>
  <si>
    <t>66:59:0101025</t>
  </si>
  <si>
    <t>66:59:0101029</t>
  </si>
  <si>
    <t>66:59:0210002</t>
  </si>
  <si>
    <t>66:59:0210003</t>
  </si>
  <si>
    <t>66:21:1302003</t>
  </si>
  <si>
    <t>66:59:0217001</t>
  </si>
  <si>
    <t>66:59:0217004</t>
  </si>
  <si>
    <t>66:21:1301014</t>
  </si>
  <si>
    <t>66:21:1301015</t>
  </si>
  <si>
    <t>66:21:1302001</t>
  </si>
  <si>
    <t>66:21:1302002</t>
  </si>
  <si>
    <t>66:21:1302004</t>
  </si>
  <si>
    <t>66:21:1402001</t>
  </si>
  <si>
    <t>66:21:1402002</t>
  </si>
  <si>
    <t>66:21:1402003</t>
  </si>
  <si>
    <t>66:59:0101027</t>
  </si>
  <si>
    <t>66:59:0102015</t>
  </si>
  <si>
    <t>66:59:0102023</t>
  </si>
  <si>
    <t>66:59:0211003</t>
  </si>
  <si>
    <t>66:59:0212001</t>
  </si>
  <si>
    <t>66:59:0217017</t>
  </si>
  <si>
    <t>66:59:0101009</t>
  </si>
  <si>
    <t>66:59:0101011</t>
  </si>
  <si>
    <t>66:59:0101012</t>
  </si>
  <si>
    <t>66:59:0101024</t>
  </si>
  <si>
    <t>66:59:0101028</t>
  </si>
  <si>
    <t>66:59:0102001</t>
  </si>
  <si>
    <t>66:59:0217007</t>
  </si>
  <si>
    <t>66:21:1301003</t>
  </si>
  <si>
    <t>66:59:0214009</t>
  </si>
  <si>
    <t>66:59:0214001</t>
  </si>
  <si>
    <t>66:59:0214002</t>
  </si>
  <si>
    <t>66:59:0214003</t>
  </si>
  <si>
    <t>66:59:0214004</t>
  </si>
  <si>
    <t>66:59:0214006</t>
  </si>
  <si>
    <t>66:59:0214007</t>
  </si>
  <si>
    <t>66:59:0214011</t>
  </si>
  <si>
    <t>66:59:0214012</t>
  </si>
  <si>
    <t>66:59:0217005</t>
  </si>
  <si>
    <t>66:59:0103003</t>
  </si>
  <si>
    <t>66:59:0102019</t>
  </si>
  <si>
    <t>66:59:0102005</t>
  </si>
  <si>
    <t>66:59:0102011</t>
  </si>
  <si>
    <t>66:59:0102017</t>
  </si>
  <si>
    <t>66:59:0102020</t>
  </si>
  <si>
    <t>66:59:0102030</t>
  </si>
  <si>
    <t>66:59:0103001</t>
  </si>
  <si>
    <t>66:59:0103004</t>
  </si>
  <si>
    <t>66:59:0103005</t>
  </si>
  <si>
    <t>66:59:0102027</t>
  </si>
  <si>
    <t>66:59:0102002</t>
  </si>
  <si>
    <t>66:59:0102003</t>
  </si>
  <si>
    <t>66:59:0102004</t>
  </si>
  <si>
    <t>66:59:0102028</t>
  </si>
  <si>
    <t>66:59:0102029</t>
  </si>
  <si>
    <t>66:59:0217006</t>
  </si>
  <si>
    <t>66:59:0217008</t>
  </si>
  <si>
    <t>66:59:0217009</t>
  </si>
  <si>
    <t>66:59:0217010</t>
  </si>
  <si>
    <t>66:21:1205002</t>
  </si>
  <si>
    <t>66:21:1301005</t>
  </si>
  <si>
    <t>66:59:0102022</t>
  </si>
  <si>
    <t>66:59:0102024</t>
  </si>
  <si>
    <t>66:59:0102025</t>
  </si>
  <si>
    <t>66:59:0102026</t>
  </si>
  <si>
    <t>66:59:0217002</t>
  </si>
  <si>
    <t>66:21:1205003</t>
  </si>
  <si>
    <t>66:59:0214005</t>
  </si>
  <si>
    <t>66:59:0214010</t>
  </si>
  <si>
    <t>66:21:1204003</t>
  </si>
  <si>
    <t>66:21:1301002</t>
  </si>
  <si>
    <t>66:21:1301004</t>
  </si>
  <si>
    <t>66:58:2902010</t>
  </si>
  <si>
    <t>66:58:2902011</t>
  </si>
  <si>
    <t>66:58:2902012</t>
  </si>
  <si>
    <t>66:58:2902014</t>
  </si>
  <si>
    <t>66:58:2902015</t>
  </si>
  <si>
    <t>66:58:2902016</t>
  </si>
  <si>
    <t>66:58:2902017</t>
  </si>
  <si>
    <t>66:58:2902020</t>
  </si>
  <si>
    <t>66:58:2902021</t>
  </si>
  <si>
    <t>66:58:2902024</t>
  </si>
  <si>
    <t>66:58:2902027</t>
  </si>
  <si>
    <t>66:58:2902029</t>
  </si>
  <si>
    <t>66:58:0110008</t>
  </si>
  <si>
    <t>66:58:2902009</t>
  </si>
  <si>
    <t>66:58:2902007</t>
  </si>
  <si>
    <t>66:58:0110006</t>
  </si>
  <si>
    <t>66:58:0116001</t>
  </si>
  <si>
    <t>66:58:2902005</t>
  </si>
  <si>
    <t>66:58:2902006</t>
  </si>
  <si>
    <t>66:58:2902008</t>
  </si>
  <si>
    <t>66:58:0113011</t>
  </si>
  <si>
    <t>66:58:0116002</t>
  </si>
  <si>
    <t>66:58:0116003</t>
  </si>
  <si>
    <t>66:58:0116004</t>
  </si>
  <si>
    <t>66:58:0119004</t>
  </si>
  <si>
    <t>66:58:0119009</t>
  </si>
  <si>
    <t>66:58:0120001</t>
  </si>
  <si>
    <t>66:58:0120002</t>
  </si>
  <si>
    <t>66:58:0120005</t>
  </si>
  <si>
    <t>66:58:0120006</t>
  </si>
  <si>
    <t>66:58:0120008</t>
  </si>
  <si>
    <t>66:58:0120009</t>
  </si>
  <si>
    <t>66:58:0120010</t>
  </si>
  <si>
    <t>66:58:0107002</t>
  </si>
  <si>
    <t>66:58:0108004</t>
  </si>
  <si>
    <t>66:58:0118008</t>
  </si>
  <si>
    <t>66:58:0111013</t>
  </si>
  <si>
    <t>66:58:0119002</t>
  </si>
  <si>
    <t>66:58:0119003</t>
  </si>
  <si>
    <t>66:58:0119006</t>
  </si>
  <si>
    <t>66:58:0119008</t>
  </si>
  <si>
    <t>66:58:0120012</t>
  </si>
  <si>
    <t>66:58:0120015</t>
  </si>
  <si>
    <t>66:58:0120016</t>
  </si>
  <si>
    <t>66:58:2902025</t>
  </si>
  <si>
    <t>66:58:2902026</t>
  </si>
  <si>
    <t>66:21:0101001</t>
  </si>
  <si>
    <t>66:58:0102003</t>
  </si>
  <si>
    <t>66:58:0102002</t>
  </si>
  <si>
    <t>66:58:0103002</t>
  </si>
  <si>
    <t>66:58:0114001</t>
  </si>
  <si>
    <t>66:58:0115001</t>
  </si>
  <si>
    <t>66:58:0118003</t>
  </si>
  <si>
    <t>66:58:0112004</t>
  </si>
  <si>
    <t>66:58:0113001</t>
  </si>
  <si>
    <t>66:58:0113005</t>
  </si>
  <si>
    <t>66:58:0113007</t>
  </si>
  <si>
    <t>66:58:0113008</t>
  </si>
  <si>
    <t>66:58:0113010</t>
  </si>
  <si>
    <t>66:58:0118002</t>
  </si>
  <si>
    <t>66:58:0118009</t>
  </si>
  <si>
    <t>66:58:0104001</t>
  </si>
  <si>
    <t>66:58:0104002</t>
  </si>
  <si>
    <t>66:58:0104004</t>
  </si>
  <si>
    <t>66:58:0104005</t>
  </si>
  <si>
    <t>66:58:0104007</t>
  </si>
  <si>
    <t>66:58:0104008</t>
  </si>
  <si>
    <t>66:58:0104009</t>
  </si>
  <si>
    <t>66:58:0113002</t>
  </si>
  <si>
    <t>66:58:0113003</t>
  </si>
  <si>
    <t>66:58:0113004</t>
  </si>
  <si>
    <t>66:58:2901012</t>
  </si>
  <si>
    <t>66:58:0111012</t>
  </si>
  <si>
    <t>66:58:0111002</t>
  </si>
  <si>
    <t>66:58:0111003</t>
  </si>
  <si>
    <t>66:58:0111004</t>
  </si>
  <si>
    <t>66:58:0111005</t>
  </si>
  <si>
    <t>66:58:0111008</t>
  </si>
  <si>
    <t>66:58:0111010</t>
  </si>
  <si>
    <t>66:58:0111011</t>
  </si>
  <si>
    <t>66:58:2901010</t>
  </si>
  <si>
    <t>66:58:2901013</t>
  </si>
  <si>
    <t>66:58:2901014</t>
  </si>
  <si>
    <t>66:58:2901006</t>
  </si>
  <si>
    <t>66:58:2901007</t>
  </si>
  <si>
    <t>66:58:2901008</t>
  </si>
  <si>
    <t>66:58:2901009</t>
  </si>
  <si>
    <t>66:58:0201001</t>
  </si>
  <si>
    <t>66:21:0101007</t>
  </si>
  <si>
    <t>66:21:0101013</t>
  </si>
  <si>
    <t>66:21:0101019</t>
  </si>
  <si>
    <t>66:21:0101028</t>
  </si>
  <si>
    <t>66:21:0101029</t>
  </si>
  <si>
    <t>66:21:0101047</t>
  </si>
  <si>
    <t>66:21:0101084</t>
  </si>
  <si>
    <t>66:21:0101085</t>
  </si>
  <si>
    <t>66:21:0101086</t>
  </si>
  <si>
    <t>66:21:1204007</t>
  </si>
  <si>
    <t>66:21:0101054</t>
  </si>
  <si>
    <t>66:21:0101055</t>
  </si>
  <si>
    <t>66:21:0101066</t>
  </si>
  <si>
    <t>66:21:0101074</t>
  </si>
  <si>
    <t>66:21:0101080</t>
  </si>
  <si>
    <t>66:21:0101081</t>
  </si>
  <si>
    <t>66:21:0101087</t>
  </si>
  <si>
    <t>66:21:0101089</t>
  </si>
  <si>
    <t>66:21:0101090</t>
  </si>
  <si>
    <t>66:21:1204005</t>
  </si>
  <si>
    <t>66:58:2901005</t>
  </si>
  <si>
    <t>66:58:1301003</t>
  </si>
  <si>
    <t>66:58:2901003</t>
  </si>
  <si>
    <t>66:58:2901004</t>
  </si>
  <si>
    <t>66:58:1501001</t>
  </si>
  <si>
    <t>66:58:1601001</t>
  </si>
  <si>
    <t>66:58:1601003</t>
  </si>
  <si>
    <t>66:58:2803002</t>
  </si>
  <si>
    <t>66:21:1204004</t>
  </si>
  <si>
    <t>66:58:2803010</t>
  </si>
  <si>
    <t>66:58:2803011</t>
  </si>
  <si>
    <t>66:21:1202002</t>
  </si>
  <si>
    <t>66:21:1202003</t>
  </si>
  <si>
    <t>66:21:1202004</t>
  </si>
  <si>
    <t>66:21:1202005</t>
  </si>
  <si>
    <t>66:21:1204001</t>
  </si>
  <si>
    <t>66:21:1204009</t>
  </si>
  <si>
    <t>66:58:2803003</t>
  </si>
  <si>
    <t>66:58:2803001</t>
  </si>
  <si>
    <t>66:58:1201005</t>
  </si>
  <si>
    <t>66:58:1201006</t>
  </si>
  <si>
    <t>66:58:1401003</t>
  </si>
  <si>
    <t>66:58:1501002</t>
  </si>
  <si>
    <t>66:58:1501003</t>
  </si>
  <si>
    <t>66:58:1501004</t>
  </si>
  <si>
    <t>66:58:1501005</t>
  </si>
  <si>
    <t>66:58:1701001</t>
  </si>
  <si>
    <t>66:58:2803022</t>
  </si>
  <si>
    <t>66:58:2803007</t>
  </si>
  <si>
    <t>66:58:2803006</t>
  </si>
  <si>
    <t>66:58:2803008</t>
  </si>
  <si>
    <t>66:58:2803009</t>
  </si>
  <si>
    <t>66:58:2803012</t>
  </si>
  <si>
    <t>66:58:2803013</t>
  </si>
  <si>
    <t>66:58:2803014</t>
  </si>
  <si>
    <t>66:58:2803015</t>
  </si>
  <si>
    <t>66:58:2803016</t>
  </si>
  <si>
    <t>66:58:2803017</t>
  </si>
  <si>
    <t>66:58:2803018</t>
  </si>
  <si>
    <t>66:58:2803019</t>
  </si>
  <si>
    <t>66:58:2803020</t>
  </si>
  <si>
    <t>66:58:2803021</t>
  </si>
  <si>
    <t>66:58:3101001</t>
  </si>
  <si>
    <t>66:58:2803025</t>
  </si>
  <si>
    <t>66:58:1201001</t>
  </si>
  <si>
    <t>66:58:1201004</t>
  </si>
  <si>
    <t>66:58:2001001</t>
  </si>
  <si>
    <t>66:58:2802005</t>
  </si>
  <si>
    <t>66:21:1201004</t>
  </si>
  <si>
    <t>66:21:1201003</t>
  </si>
  <si>
    <t>66:21:1201001</t>
  </si>
  <si>
    <t>66:21:1201002</t>
  </si>
  <si>
    <t>66:21:1201006</t>
  </si>
  <si>
    <t>66:21:1201007</t>
  </si>
  <si>
    <t>66:21:1201008</t>
  </si>
  <si>
    <t>66:21:1204002</t>
  </si>
  <si>
    <t>66:58:2803024</t>
  </si>
  <si>
    <t>66:58:2803023</t>
  </si>
  <si>
    <t>66:58:2803026</t>
  </si>
  <si>
    <t>66:58:2803027</t>
  </si>
  <si>
    <t>66:58:2803028</t>
  </si>
  <si>
    <t>66:58:2803029</t>
  </si>
  <si>
    <t>66:58:2803030</t>
  </si>
  <si>
    <t>66:58:2803031</t>
  </si>
  <si>
    <t>66:58:2803032</t>
  </si>
  <si>
    <t>66:58:2803033</t>
  </si>
  <si>
    <t>66:58:2803035</t>
  </si>
  <si>
    <t>66:58:2803037</t>
  </si>
  <si>
    <t>66:58:2803038</t>
  </si>
  <si>
    <t>66:58:0801001</t>
  </si>
  <si>
    <t>66:58:0801002</t>
  </si>
  <si>
    <t>66:58:0901003</t>
  </si>
  <si>
    <t>66:58:2802002</t>
  </si>
  <si>
    <t>66:58:2802003</t>
  </si>
  <si>
    <t>66:58:2802004</t>
  </si>
  <si>
    <t>66:58:1101009</t>
  </si>
  <si>
    <t>66:58:1101002</t>
  </si>
  <si>
    <t>66:58:1101001</t>
  </si>
  <si>
    <t>66:58:0901005</t>
  </si>
  <si>
    <t>66:58:1101005</t>
  </si>
  <si>
    <t>66:58:1101008</t>
  </si>
  <si>
    <t>66:58:1101010</t>
  </si>
  <si>
    <t>66:58:1101011</t>
  </si>
  <si>
    <t>66:58:1101012</t>
  </si>
  <si>
    <t>66:58:2701001</t>
  </si>
  <si>
    <t>66:58:0701003</t>
  </si>
  <si>
    <t>66:58:0701004</t>
  </si>
  <si>
    <t>66:58:0701005</t>
  </si>
  <si>
    <t>66:58:0701009</t>
  </si>
  <si>
    <t>66:58:2802001</t>
  </si>
  <si>
    <t>66:58:2901001</t>
  </si>
  <si>
    <t>66:58:2802006</t>
  </si>
  <si>
    <t>66:58:0701007</t>
  </si>
  <si>
    <t>66:58:2801001</t>
  </si>
  <si>
    <t>66:58:3001001</t>
  </si>
  <si>
    <t>66:58:0701001</t>
  </si>
  <si>
    <t>66:58:0401001</t>
  </si>
  <si>
    <t>66:58:0601002</t>
  </si>
  <si>
    <t>66:41:0000000</t>
  </si>
  <si>
    <t>sw_3</t>
  </si>
  <si>
    <t>Вспомогательный столбец</t>
  </si>
  <si>
    <t>Status_kc</t>
  </si>
  <si>
    <t>Segment</t>
  </si>
  <si>
    <t>13. СЕГМЕНТ "Садоводство и огородничество, малоэтажная жилая застройка"</t>
  </si>
  <si>
    <t>Категория земель</t>
  </si>
  <si>
    <t>Разрешенное использование участка Вид разрешенного использования по классификатору</t>
  </si>
  <si>
    <t>Код населённого пункта</t>
  </si>
  <si>
    <t>loc_SgCode</t>
  </si>
  <si>
    <t>loc_GroupName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</si>
  <si>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</si>
  <si>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</si>
  <si>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</si>
  <si>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</si>
  <si>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</si>
  <si>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</si>
  <si>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</si>
  <si>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</si>
  <si>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</si>
  <si>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</si>
  <si>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</si>
  <si>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</si>
  <si>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</si>
  <si>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</si>
  <si>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</si>
  <si>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</si>
  <si>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</si>
  <si>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</si>
  <si>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</si>
  <si>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</si>
  <si>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</si>
  <si>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</si>
  <si>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</si>
  <si>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</si>
  <si>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</si>
  <si>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</si>
  <si>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</si>
  <si>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</si>
  <si>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</si>
  <si>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</si>
  <si>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</si>
  <si>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</si>
  <si>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</si>
  <si>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</si>
  <si>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</si>
  <si>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</si>
  <si>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</si>
  <si>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</si>
  <si>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</si>
  <si>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</si>
  <si>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</si>
  <si>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</si>
  <si>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</si>
  <si>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</si>
  <si>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</si>
  <si>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</si>
  <si>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</si>
  <si>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</si>
  <si>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</si>
  <si>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</si>
  <si>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</si>
  <si>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</si>
  <si>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</si>
  <si>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</si>
  <si>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</si>
  <si>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</si>
  <si>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</si>
  <si>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</si>
  <si>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</si>
  <si>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</si>
  <si>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</si>
  <si>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</si>
  <si>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</si>
  <si>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</si>
  <si>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</si>
  <si>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</si>
  <si>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</si>
  <si>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</si>
  <si>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</si>
  <si>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</si>
  <si>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</si>
  <si>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</si>
  <si>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</si>
  <si>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</si>
  <si>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</si>
  <si>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</si>
  <si>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</si>
  <si>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</si>
  <si>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</si>
  <si>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</si>
  <si>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</si>
  <si>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</si>
  <si>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</si>
  <si>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</si>
  <si>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</si>
  <si>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</si>
  <si>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</si>
  <si>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</si>
  <si>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</si>
  <si>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</si>
  <si>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</si>
  <si>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</si>
  <si>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</si>
  <si>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</si>
  <si>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</si>
  <si>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</si>
  <si>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</si>
  <si>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</si>
  <si>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</si>
  <si>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</si>
  <si>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</si>
  <si>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</si>
  <si>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</si>
  <si>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</si>
  <si>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</si>
  <si>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</si>
  <si>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</si>
  <si>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</si>
  <si>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</si>
  <si>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</si>
  <si>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</si>
  <si>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</si>
  <si>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</si>
  <si>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</si>
  <si>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</si>
  <si>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</si>
  <si>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</si>
  <si>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</si>
  <si>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</si>
  <si>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</si>
  <si>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</si>
  <si>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</si>
  <si>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</si>
  <si>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</si>
  <si>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</si>
  <si>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</si>
  <si>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</si>
  <si>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</si>
  <si>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</si>
  <si>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</si>
  <si>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</si>
  <si>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</si>
  <si>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</si>
  <si>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</si>
  <si>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</si>
  <si>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</si>
  <si>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</si>
  <si>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</si>
  <si>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</si>
  <si>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</si>
  <si>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</si>
  <si>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</si>
  <si>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</si>
  <si>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</si>
  <si>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</si>
  <si>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</si>
  <si>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</si>
  <si>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</si>
  <si>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</si>
  <si>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</si>
  <si>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</si>
  <si>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</si>
  <si>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</si>
  <si>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</si>
  <si>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</si>
  <si>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</si>
  <si>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</si>
  <si>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</si>
  <si>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</si>
  <si>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</si>
  <si>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</si>
  <si>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</si>
  <si>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</si>
  <si>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</si>
  <si>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</si>
  <si>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</si>
  <si>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</si>
  <si>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</si>
  <si>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</si>
  <si>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</si>
  <si>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</si>
  <si>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</si>
  <si>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</si>
  <si>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</si>
  <si>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</si>
  <si>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</si>
  <si>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</si>
  <si>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</si>
  <si>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</si>
  <si>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</si>
  <si>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</si>
  <si>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</si>
  <si>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</si>
  <si>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</si>
  <si>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</si>
  <si>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</si>
  <si>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</si>
  <si>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</si>
  <si>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</si>
  <si>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</si>
  <si>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</si>
  <si>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</si>
  <si>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</si>
  <si>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</si>
  <si>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</si>
  <si>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</si>
  <si>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</si>
  <si>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</si>
  <si>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</si>
  <si>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</si>
  <si>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</si>
  <si>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</si>
  <si>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</si>
  <si>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</si>
  <si>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</si>
  <si>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</si>
  <si>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</si>
  <si>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</si>
  <si>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</si>
  <si>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</si>
  <si>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</si>
  <si>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</si>
  <si>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</si>
  <si>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</si>
  <si>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</si>
  <si>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</si>
  <si>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</si>
  <si>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</si>
  <si>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</si>
  <si>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</si>
  <si>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</si>
  <si>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</si>
  <si>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</si>
  <si>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</si>
  <si>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</si>
  <si>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</si>
  <si>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</si>
  <si>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</si>
  <si>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</si>
  <si>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</si>
  <si>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</si>
  <si>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</si>
  <si>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</si>
  <si>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</si>
  <si>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</si>
  <si>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</si>
  <si>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</si>
  <si>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</si>
  <si>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</si>
  <si>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</si>
  <si>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</si>
  <si>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</si>
  <si>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</si>
  <si>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</si>
  <si>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</si>
  <si>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</si>
  <si>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</si>
  <si>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</si>
  <si>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</si>
  <si>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</si>
  <si>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</si>
  <si>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</si>
  <si>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</si>
  <si>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</si>
  <si>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</si>
  <si>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</si>
  <si>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</si>
  <si>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</si>
  <si>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</si>
  <si>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</si>
  <si>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</si>
  <si>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</si>
  <si>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</si>
  <si>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</si>
  <si>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</si>
  <si>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</si>
  <si>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</si>
  <si>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</si>
  <si>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</si>
  <si>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</si>
  <si>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</si>
  <si>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</si>
  <si>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</si>
  <si>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</si>
  <si>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</si>
  <si>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</si>
  <si>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</si>
  <si>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</si>
  <si>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</si>
  <si>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</si>
  <si>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</si>
  <si>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</si>
  <si>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</si>
  <si>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</si>
  <si>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</si>
  <si>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</si>
  <si>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</si>
  <si>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</si>
  <si>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</si>
  <si>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</si>
  <si>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</si>
  <si>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</si>
  <si>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</si>
  <si>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</si>
  <si>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</si>
  <si>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</si>
  <si>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</si>
  <si>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</si>
  <si>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</si>
  <si>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</si>
  <si>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</si>
  <si>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</si>
  <si>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</si>
  <si>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</si>
  <si>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</si>
  <si>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</si>
  <si>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</si>
  <si>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</si>
  <si>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</si>
  <si>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</si>
  <si>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</si>
  <si>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</si>
  <si>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</si>
  <si>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</si>
  <si>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</si>
  <si>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</si>
  <si>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</si>
  <si>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</si>
  <si>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</si>
  <si>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</si>
  <si>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</si>
  <si>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</si>
  <si>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</si>
  <si>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</si>
  <si>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</si>
  <si>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</si>
  <si>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</si>
  <si>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</si>
  <si>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</si>
  <si>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</si>
  <si>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</si>
  <si>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</si>
  <si>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</si>
  <si>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</si>
  <si>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</si>
  <si>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</si>
  <si>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</si>
  <si>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</si>
  <si>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</si>
  <si>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</si>
  <si>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</si>
  <si>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</si>
  <si>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</si>
  <si>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</si>
  <si>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</si>
  <si>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</si>
  <si>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</si>
  <si>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</si>
  <si>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</si>
  <si>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</si>
  <si>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</si>
  <si>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</si>
  <si>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</si>
  <si>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</si>
  <si>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</si>
  <si>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</si>
  <si>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</si>
  <si>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</si>
  <si>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</si>
  <si>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</si>
  <si>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</si>
  <si>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</si>
  <si>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</si>
  <si>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</si>
  <si>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</si>
  <si>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</si>
  <si>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</si>
  <si>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</si>
  <si>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</si>
  <si>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</si>
  <si>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</si>
  <si>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</si>
  <si>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</si>
  <si>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</si>
  <si>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</si>
  <si>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</si>
  <si>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</si>
  <si>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</si>
  <si>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</si>
  <si>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</si>
  <si>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</si>
  <si>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</si>
  <si>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</si>
  <si>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</si>
  <si>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</si>
  <si>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</si>
  <si>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</si>
  <si>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</si>
  <si>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</si>
  <si>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</si>
  <si>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</si>
  <si>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</si>
  <si>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</si>
  <si>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</si>
  <si>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</si>
  <si>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</si>
  <si>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</si>
  <si>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</si>
  <si>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</si>
  <si>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</si>
  <si>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</si>
  <si>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</si>
  <si>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</si>
  <si>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</si>
  <si>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</si>
  <si>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</si>
  <si>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</si>
  <si>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</si>
  <si>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</si>
  <si>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</si>
  <si>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</si>
  <si>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</si>
  <si>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</si>
  <si>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</si>
  <si>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</si>
  <si>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</si>
  <si>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</si>
  <si>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</si>
  <si>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</si>
  <si>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</si>
  <si>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</si>
  <si>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</si>
  <si>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</si>
  <si>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</si>
  <si>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</si>
  <si>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</si>
  <si>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</si>
  <si>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</si>
  <si>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</si>
  <si>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</si>
  <si>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</si>
  <si>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</si>
  <si>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</si>
  <si>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</si>
  <si>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</si>
  <si>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</si>
  <si>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</si>
  <si>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</si>
  <si>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</si>
  <si>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</si>
  <si>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</si>
  <si>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</si>
  <si>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</si>
  <si>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</si>
  <si>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</si>
  <si>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</si>
  <si>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</si>
  <si>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</si>
  <si>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</si>
  <si>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</si>
  <si>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</si>
  <si>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</si>
  <si>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</si>
  <si>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</si>
  <si>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</si>
  <si>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</si>
  <si>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</si>
  <si>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</si>
  <si>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</si>
  <si>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</si>
  <si>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</si>
  <si>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</si>
  <si>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</si>
  <si>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</si>
  <si>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</si>
  <si>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</si>
  <si>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</si>
  <si>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</si>
  <si>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</si>
  <si>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</si>
  <si>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</si>
  <si>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</si>
  <si>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</si>
  <si>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</si>
  <si>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</si>
  <si>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</si>
  <si>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</si>
  <si>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</si>
  <si>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</si>
  <si>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</si>
  <si>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</si>
  <si>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</si>
  <si>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</si>
  <si>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</si>
  <si>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</si>
  <si>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</si>
  <si>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</si>
  <si>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</si>
  <si>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</si>
  <si>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</si>
  <si>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</si>
  <si>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</si>
  <si>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</si>
  <si>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</si>
  <si>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</si>
  <si>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</si>
  <si>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</si>
  <si>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</si>
  <si>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</si>
  <si>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</si>
  <si>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</si>
  <si>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</si>
  <si>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</si>
  <si>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</si>
  <si>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</si>
  <si>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</si>
  <si>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</si>
  <si>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</si>
  <si>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</si>
  <si>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</si>
  <si>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</si>
  <si>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</si>
  <si>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</si>
  <si>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</si>
  <si>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</si>
  <si>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</si>
  <si>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</si>
  <si>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</si>
  <si>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</si>
  <si>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</si>
  <si>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</si>
  <si>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</si>
  <si>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</si>
  <si>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</si>
  <si>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</si>
  <si>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ID</t>
  </si>
  <si>
    <t>CadastralBlock</t>
  </si>
  <si>
    <t>loc_factor_830</t>
  </si>
  <si>
    <t>DistanceToVZC</t>
  </si>
  <si>
    <t>InfluenceZone_IGS</t>
  </si>
  <si>
    <t>Area</t>
  </si>
  <si>
    <t>PresenceGas</t>
  </si>
  <si>
    <t>PresencePower</t>
  </si>
  <si>
    <t>PresenceWaterDisposal</t>
  </si>
  <si>
    <t>PresenceWaterSupply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</si>
  <si>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</si>
  <si>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</si>
  <si>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</si>
  <si>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</si>
  <si>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</si>
  <si>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</si>
  <si>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</si>
  <si>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</si>
  <si>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</si>
  <si>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</si>
  <si>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</si>
  <si>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</si>
  <si>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</si>
  <si>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Flag_Category</t>
  </si>
  <si>
    <t>ID_Group</t>
  </si>
  <si>
    <t>UtilizationByDoc</t>
  </si>
  <si>
    <t>VRICode_NEW</t>
  </si>
  <si>
    <t>PraviloVRI</t>
  </si>
  <si>
    <t>New_id_group</t>
  </si>
  <si>
    <t>ControlSP</t>
  </si>
  <si>
    <t>VRI_IGS</t>
  </si>
  <si>
    <t>Cot_name</t>
  </si>
  <si>
    <t>ParcelCategory</t>
  </si>
  <si>
    <t>Utilization</t>
  </si>
  <si>
    <t>LocalityCode</t>
  </si>
  <si>
    <t>Parcels</t>
  </si>
  <si>
    <t>СТ16_Ф1_М20_18052021_Бунаков_НовыеОбъекты</t>
  </si>
  <si>
    <t>Проверка отклонения УПКС от текущего диапазона</t>
  </si>
  <si>
    <t>Текущий диапазон УПКС от 19 руб. до 1 914 руб.</t>
  </si>
  <si>
    <t>Код расчета вида использования текущий</t>
  </si>
  <si>
    <t>ВРИ по документу новое</t>
  </si>
  <si>
    <t>Код расчета вида использования новый</t>
  </si>
  <si>
    <t>Код расчета вида использования новый с учетом КП</t>
  </si>
  <si>
    <t>Участие объекта на комиссии, в заявлениях, в судах и прочее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</si>
  <si>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(CadastralCost='' OR CadastralCost is Null) AND New_id_group=8020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</si>
</sst>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"/>
    <numFmt numFmtId="165" formatCode="0.0000"/>
    <numFmt numFmtId="166" formatCode="0.00000000000000000000"/>
    <numFmt numFmtId="167" formatCode="#,##0.000"/>
    <numFmt numFmtId="168" formatCode="0.00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9"/>
      <color rgb="FF595959"/>
      <name val="Calibri"/>
      <family val="2"/>
      <charset val="204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8"/>
      <color rgb="FF0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8" fillId="0" borderId="0"/>
    <xf numFmtId="0" fontId="19" fillId="0" borderId="0"/>
    <xf numFmtId="0" fontId="17" fillId="0" borderId="0"/>
    <xf numFmtId="0" fontId="24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9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2" xfId="0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3" fillId="4" borderId="0" xfId="0" applyFont="1" applyFill="1"/>
    <xf numFmtId="0" fontId="0" fillId="4" borderId="0" xfId="0" applyFill="1"/>
    <xf numFmtId="0" fontId="0" fillId="0" borderId="0" xfId="0" applyBorder="1" applyAlignment="1"/>
    <xf numFmtId="0" fontId="20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3" borderId="4" xfId="0" applyFill="1" applyBorder="1" applyAlignment="1"/>
    <xf numFmtId="0" fontId="26" fillId="0" borderId="5" xfId="0" applyFont="1" applyBorder="1"/>
    <xf numFmtId="0" fontId="26" fillId="0" borderId="0" xfId="0" applyFont="1" applyBorder="1"/>
    <xf numFmtId="0" fontId="26" fillId="0" borderId="0" xfId="0" applyFont="1"/>
    <xf numFmtId="0" fontId="27" fillId="0" borderId="0" xfId="0" applyFont="1"/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3" borderId="10" xfId="0" applyFill="1" applyBorder="1" applyAlignment="1"/>
    <xf numFmtId="0" fontId="0" fillId="3" borderId="11" xfId="0" applyFill="1" applyBorder="1" applyAlignment="1"/>
    <xf numFmtId="0" fontId="26" fillId="0" borderId="6" xfId="0" applyFont="1" applyBorder="1"/>
    <xf numFmtId="0" fontId="0" fillId="0" borderId="13" xfId="0" applyBorder="1"/>
    <xf numFmtId="0" fontId="0" fillId="0" borderId="14" xfId="0" applyBorder="1"/>
    <xf numFmtId="0" fontId="26" fillId="2" borderId="12" xfId="0" applyFont="1" applyFill="1" applyBorder="1" applyAlignment="1">
      <alignment horizontal="center" wrapText="1"/>
    </xf>
    <xf numFmtId="0" fontId="28" fillId="0" borderId="0" xfId="0" applyFont="1" applyFill="1" applyBorder="1"/>
    <xf numFmtId="0" fontId="0" fillId="0" borderId="0" xfId="0" applyFill="1" applyBorder="1"/>
    <xf numFmtId="0" fontId="0" fillId="3" borderId="0" xfId="0" applyFill="1" applyBorder="1" applyAlignment="1"/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164" fontId="22" fillId="6" borderId="1" xfId="0" applyNumberFormat="1" applyFont="1" applyFill="1" applyBorder="1" applyAlignment="1">
      <alignment horizontal="center" vertical="center" wrapText="1"/>
    </xf>
    <xf numFmtId="165" fontId="22" fillId="6" borderId="7" xfId="0" applyNumberFormat="1" applyFont="1" applyFill="1" applyBorder="1" applyAlignment="1">
      <alignment horizontal="center" vertical="center" wrapText="1"/>
    </xf>
    <xf numFmtId="165" fontId="22" fillId="2" borderId="1" xfId="0" applyNumberFormat="1" applyFont="1" applyFill="1" applyBorder="1" applyAlignment="1">
      <alignment horizontal="center" vertical="center" wrapText="1"/>
    </xf>
    <xf numFmtId="165" fontId="22" fillId="0" borderId="3" xfId="0" applyNumberFormat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165" fontId="22" fillId="6" borderId="1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vertical="center"/>
    </xf>
    <xf numFmtId="165" fontId="25" fillId="6" borderId="19" xfId="0" applyNumberFormat="1" applyFont="1" applyFill="1" applyBorder="1" applyAlignment="1">
      <alignment vertical="center"/>
    </xf>
    <xf numFmtId="165" fontId="25" fillId="7" borderId="20" xfId="0" applyNumberFormat="1" applyFont="1" applyFill="1" applyBorder="1" applyAlignment="1">
      <alignment vertical="center"/>
    </xf>
    <xf numFmtId="165" fontId="25" fillId="0" borderId="21" xfId="0" applyNumberFormat="1" applyFont="1" applyFill="1" applyBorder="1" applyAlignment="1">
      <alignment vertical="center"/>
    </xf>
    <xf numFmtId="165" fontId="25" fillId="6" borderId="1" xfId="0" applyNumberFormat="1" applyFont="1" applyFill="1" applyBorder="1" applyAlignment="1">
      <alignment vertical="center"/>
    </xf>
    <xf numFmtId="0" fontId="25" fillId="0" borderId="20" xfId="0" applyFont="1" applyFill="1" applyBorder="1" applyAlignment="1">
      <alignment vertical="center"/>
    </xf>
    <xf numFmtId="0" fontId="25" fillId="0" borderId="20" xfId="0" applyFont="1" applyFill="1" applyBorder="1" applyAlignment="1">
      <alignment vertical="center" wrapText="1"/>
    </xf>
    <xf numFmtId="164" fontId="25" fillId="6" borderId="1" xfId="0" applyNumberFormat="1" applyFont="1" applyFill="1" applyBorder="1" applyAlignment="1">
      <alignment vertical="center"/>
    </xf>
    <xf numFmtId="0" fontId="25" fillId="0" borderId="0" xfId="0" applyFont="1" applyFill="1" applyAlignment="1">
      <alignment vertical="center"/>
    </xf>
    <xf numFmtId="0" fontId="25" fillId="0" borderId="22" xfId="0" applyFont="1" applyFill="1" applyBorder="1" applyAlignment="1">
      <alignment vertical="center" wrapText="1"/>
    </xf>
    <xf numFmtId="0" fontId="25" fillId="0" borderId="22" xfId="0" applyFont="1" applyFill="1" applyBorder="1" applyAlignment="1">
      <alignment vertical="center"/>
    </xf>
    <xf numFmtId="0" fontId="25" fillId="0" borderId="2" xfId="0" applyFont="1" applyFill="1" applyBorder="1" applyAlignment="1">
      <alignment vertical="center" wrapText="1"/>
    </xf>
    <xf numFmtId="0" fontId="25" fillId="0" borderId="2" xfId="0" applyFont="1" applyFill="1" applyBorder="1" applyAlignment="1">
      <alignment vertical="center"/>
    </xf>
    <xf numFmtId="0" fontId="25" fillId="0" borderId="1" xfId="0" applyFont="1" applyFill="1" applyBorder="1" applyAlignment="1">
      <alignment horizontal="center" vertical="center" wrapText="1"/>
    </xf>
    <xf numFmtId="164" fontId="25" fillId="6" borderId="20" xfId="0" applyNumberFormat="1" applyFont="1" applyFill="1" applyBorder="1" applyAlignment="1">
      <alignment vertical="center"/>
    </xf>
    <xf numFmtId="0" fontId="25" fillId="0" borderId="19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vertical="center"/>
    </xf>
    <xf numFmtId="165" fontId="25" fillId="6" borderId="3" xfId="0" applyNumberFormat="1" applyFont="1" applyFill="1" applyBorder="1" applyAlignment="1">
      <alignment vertical="center"/>
    </xf>
    <xf numFmtId="0" fontId="25" fillId="0" borderId="16" xfId="0" applyFont="1" applyFill="1" applyBorder="1" applyAlignment="1">
      <alignment vertical="center" wrapText="1"/>
    </xf>
    <xf numFmtId="165" fontId="25" fillId="7" borderId="22" xfId="0" applyNumberFormat="1" applyFont="1" applyFill="1" applyBorder="1" applyAlignment="1">
      <alignment vertical="center"/>
    </xf>
    <xf numFmtId="165" fontId="25" fillId="0" borderId="23" xfId="0" applyNumberFormat="1" applyFont="1" applyFill="1" applyBorder="1" applyAlignment="1">
      <alignment vertical="center"/>
    </xf>
    <xf numFmtId="0" fontId="25" fillId="0" borderId="1" xfId="0" applyFont="1" applyFill="1" applyBorder="1" applyAlignment="1">
      <alignment horizontal="center"/>
    </xf>
    <xf numFmtId="0" fontId="25" fillId="0" borderId="1" xfId="0" applyFont="1" applyFill="1" applyBorder="1"/>
    <xf numFmtId="0" fontId="25" fillId="0" borderId="0" xfId="0" applyFont="1" applyFill="1"/>
    <xf numFmtId="0" fontId="25" fillId="0" borderId="20" xfId="0" applyFont="1" applyFill="1" applyBorder="1" applyAlignment="1"/>
    <xf numFmtId="165" fontId="25" fillId="0" borderId="20" xfId="0" applyNumberFormat="1" applyFont="1" applyFill="1" applyBorder="1" applyAlignment="1"/>
    <xf numFmtId="165" fontId="30" fillId="8" borderId="1" xfId="0" applyNumberFormat="1" applyFont="1" applyFill="1" applyBorder="1" applyAlignment="1">
      <alignment horizontal="left" vertical="top" wrapText="1"/>
    </xf>
    <xf numFmtId="0" fontId="25" fillId="0" borderId="20" xfId="0" applyFont="1" applyFill="1" applyBorder="1" applyAlignment="1">
      <alignment horizontal="center" vertical="center"/>
    </xf>
    <xf numFmtId="165" fontId="30" fillId="2" borderId="1" xfId="0" applyNumberFormat="1" applyFont="1" applyFill="1" applyBorder="1" applyAlignment="1">
      <alignment horizontal="center" vertical="top" wrapText="1"/>
    </xf>
    <xf numFmtId="0" fontId="31" fillId="7" borderId="22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/>
    </xf>
    <xf numFmtId="0" fontId="25" fillId="0" borderId="20" xfId="0" applyFont="1" applyFill="1" applyBorder="1"/>
    <xf numFmtId="164" fontId="25" fillId="0" borderId="4" xfId="0" applyNumberFormat="1" applyFont="1" applyFill="1" applyBorder="1"/>
    <xf numFmtId="165" fontId="25" fillId="0" borderId="4" xfId="0" applyNumberFormat="1" applyFont="1" applyFill="1" applyBorder="1"/>
    <xf numFmtId="165" fontId="25" fillId="7" borderId="20" xfId="0" applyNumberFormat="1" applyFont="1" applyFill="1" applyBorder="1"/>
    <xf numFmtId="0" fontId="25" fillId="0" borderId="4" xfId="0" applyFont="1" applyFill="1" applyBorder="1"/>
    <xf numFmtId="165" fontId="25" fillId="0" borderId="20" xfId="0" applyNumberFormat="1" applyFont="1" applyFill="1" applyBorder="1"/>
    <xf numFmtId="165" fontId="25" fillId="0" borderId="21" xfId="0" applyNumberFormat="1" applyFont="1" applyFill="1" applyBorder="1"/>
    <xf numFmtId="0" fontId="25" fillId="0" borderId="17" xfId="0" applyFont="1" applyFill="1" applyBorder="1" applyAlignment="1">
      <alignment horizontal="center"/>
    </xf>
    <xf numFmtId="164" fontId="25" fillId="0" borderId="17" xfId="0" applyNumberFormat="1" applyFont="1" applyFill="1" applyBorder="1"/>
    <xf numFmtId="165" fontId="25" fillId="0" borderId="17" xfId="0" applyNumberFormat="1" applyFont="1" applyFill="1" applyBorder="1"/>
    <xf numFmtId="165" fontId="25" fillId="7" borderId="2" xfId="0" applyNumberFormat="1" applyFont="1" applyFill="1" applyBorder="1"/>
    <xf numFmtId="0" fontId="25" fillId="0" borderId="17" xfId="0" applyFont="1" applyFill="1" applyBorder="1"/>
    <xf numFmtId="165" fontId="25" fillId="0" borderId="2" xfId="0" applyNumberFormat="1" applyFont="1" applyFill="1" applyBorder="1"/>
    <xf numFmtId="165" fontId="25" fillId="0" borderId="18" xfId="0" applyNumberFormat="1" applyFont="1" applyFill="1" applyBorder="1"/>
    <xf numFmtId="0" fontId="25" fillId="0" borderId="0" xfId="0" applyFont="1" applyAlignment="1">
      <alignment horizontal="center"/>
    </xf>
    <xf numFmtId="164" fontId="25" fillId="0" borderId="0" xfId="0" applyNumberFormat="1" applyFont="1"/>
    <xf numFmtId="165" fontId="25" fillId="0" borderId="0" xfId="0" applyNumberFormat="1" applyFont="1"/>
    <xf numFmtId="165" fontId="25" fillId="7" borderId="22" xfId="0" applyNumberFormat="1" applyFont="1" applyFill="1" applyBorder="1"/>
    <xf numFmtId="165" fontId="25" fillId="0" borderId="0" xfId="0" applyNumberFormat="1" applyFont="1" applyFill="1"/>
    <xf numFmtId="0" fontId="3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top" wrapText="1"/>
    </xf>
    <xf numFmtId="0" fontId="22" fillId="0" borderId="1" xfId="1" applyFont="1" applyFill="1" applyBorder="1" applyAlignment="1">
      <alignment horizontal="left" vertical="center" wrapText="1"/>
    </xf>
    <xf numFmtId="0" fontId="0" fillId="0" borderId="0" xfId="0" applyFill="1"/>
    <xf numFmtId="0" fontId="14" fillId="4" borderId="0" xfId="0" applyFont="1" applyFill="1"/>
    <xf numFmtId="0" fontId="0" fillId="5" borderId="0" xfId="0" applyFill="1" applyBorder="1"/>
    <xf numFmtId="49" fontId="0" fillId="3" borderId="0" xfId="0" applyNumberFormat="1" applyFill="1" applyBorder="1" applyAlignment="1">
      <alignment wrapText="1"/>
    </xf>
    <xf numFmtId="0" fontId="20" fillId="2" borderId="0" xfId="0" applyFont="1" applyFill="1" applyBorder="1" applyAlignment="1">
      <alignment horizontal="center"/>
    </xf>
    <xf numFmtId="166" fontId="31" fillId="0" borderId="0" xfId="0" applyNumberFormat="1" applyFont="1"/>
    <xf numFmtId="0" fontId="20" fillId="2" borderId="4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3" fillId="0" borderId="0" xfId="0" applyFont="1"/>
    <xf numFmtId="165" fontId="34" fillId="0" borderId="0" xfId="0" applyNumberFormat="1" applyFont="1" applyFill="1"/>
    <xf numFmtId="165" fontId="0" fillId="0" borderId="0" xfId="0" applyNumberFormat="1"/>
    <xf numFmtId="0" fontId="31" fillId="0" borderId="0" xfId="0" applyFont="1" applyAlignment="1">
      <alignment wrapText="1"/>
    </xf>
    <xf numFmtId="0" fontId="35" fillId="0" borderId="0" xfId="0" applyFont="1" applyAlignment="1">
      <alignment horizontal="center" vertical="center" readingOrder="1"/>
    </xf>
    <xf numFmtId="0" fontId="25" fillId="0" borderId="4" xfId="0" applyFont="1" applyFill="1" applyBorder="1" applyAlignment="1">
      <alignment horizontal="center"/>
    </xf>
    <xf numFmtId="0" fontId="25" fillId="0" borderId="17" xfId="0" applyFont="1" applyFill="1" applyBorder="1" applyAlignment="1">
      <alignment horizontal="center"/>
    </xf>
    <xf numFmtId="0" fontId="24" fillId="0" borderId="1" xfId="4" applyFont="1" applyFill="1" applyBorder="1" applyAlignment="1">
      <alignment horizontal="center"/>
    </xf>
    <xf numFmtId="164" fontId="25" fillId="9" borderId="1" xfId="0" applyNumberFormat="1" applyFont="1" applyFill="1" applyBorder="1" applyAlignment="1">
      <alignment vertical="center"/>
    </xf>
    <xf numFmtId="164" fontId="25" fillId="2" borderId="1" xfId="0" applyNumberFormat="1" applyFont="1" applyFill="1" applyBorder="1" applyAlignment="1">
      <alignment vertical="center"/>
    </xf>
    <xf numFmtId="0" fontId="31" fillId="7" borderId="20" xfId="0" applyFont="1" applyFill="1" applyBorder="1" applyAlignment="1">
      <alignment horizontal="center" vertical="center" wrapText="1"/>
    </xf>
    <xf numFmtId="165" fontId="25" fillId="2" borderId="21" xfId="0" applyNumberFormat="1" applyFont="1" applyFill="1" applyBorder="1" applyAlignment="1">
      <alignment vertical="center" wrapText="1"/>
    </xf>
    <xf numFmtId="0" fontId="0" fillId="0" borderId="16" xfId="0" applyFill="1" applyBorder="1"/>
    <xf numFmtId="0" fontId="26" fillId="0" borderId="0" xfId="0" applyFont="1" applyBorder="1" applyAlignment="1">
      <alignment horizontal="center"/>
    </xf>
    <xf numFmtId="0" fontId="0" fillId="0" borderId="17" xfId="0" applyFill="1" applyBorder="1"/>
    <xf numFmtId="0" fontId="0" fillId="3" borderId="0" xfId="0" applyFill="1" applyBorder="1" applyAlignment="1">
      <alignment horizontal="center"/>
    </xf>
    <xf numFmtId="0" fontId="26" fillId="0" borderId="1" xfId="0" applyFont="1" applyBorder="1"/>
    <xf numFmtId="0" fontId="27" fillId="0" borderId="1" xfId="0" applyFont="1" applyBorder="1"/>
    <xf numFmtId="0" fontId="26" fillId="0" borderId="1" xfId="0" applyFont="1" applyBorder="1" applyAlignment="1">
      <alignment horizontal="center"/>
    </xf>
    <xf numFmtId="0" fontId="0" fillId="0" borderId="5" xfId="0" applyBorder="1" applyAlignment="1"/>
    <xf numFmtId="0" fontId="26" fillId="0" borderId="27" xfId="0" applyFont="1" applyBorder="1"/>
    <xf numFmtId="0" fontId="0" fillId="0" borderId="29" xfId="0" applyFill="1" applyBorder="1"/>
    <xf numFmtId="0" fontId="0" fillId="2" borderId="29" xfId="0" applyFill="1" applyBorder="1"/>
    <xf numFmtId="0" fontId="20" fillId="2" borderId="27" xfId="0" applyFont="1" applyFill="1" applyBorder="1" applyAlignment="1">
      <alignment horizontal="center"/>
    </xf>
    <xf numFmtId="0" fontId="0" fillId="0" borderId="30" xfId="0" applyFill="1" applyBorder="1"/>
    <xf numFmtId="0" fontId="0" fillId="0" borderId="31" xfId="0" applyBorder="1"/>
    <xf numFmtId="0" fontId="26" fillId="0" borderId="27" xfId="0" applyFont="1" applyBorder="1" applyAlignment="1">
      <alignment horizontal="center"/>
    </xf>
    <xf numFmtId="0" fontId="26" fillId="0" borderId="28" xfId="0" applyFont="1" applyBorder="1" applyAlignment="1">
      <alignment horizontal="center"/>
    </xf>
    <xf numFmtId="0" fontId="0" fillId="0" borderId="1" xfId="0" applyBorder="1"/>
    <xf numFmtId="0" fontId="26" fillId="0" borderId="7" xfId="0" applyFont="1" applyBorder="1"/>
    <xf numFmtId="0" fontId="0" fillId="0" borderId="27" xfId="0" applyBorder="1"/>
    <xf numFmtId="0" fontId="0" fillId="0" borderId="28" xfId="0" applyBorder="1"/>
    <xf numFmtId="166" fontId="36" fillId="0" borderId="0" xfId="0" applyNumberFormat="1" applyFont="1"/>
    <xf numFmtId="166" fontId="0" fillId="0" borderId="0" xfId="0" applyNumberFormat="1"/>
    <xf numFmtId="0" fontId="37" fillId="2" borderId="0" xfId="0" applyFont="1" applyFill="1"/>
    <xf numFmtId="49" fontId="28" fillId="0" borderId="0" xfId="0" applyNumberFormat="1" applyFont="1" applyFill="1" applyBorder="1"/>
    <xf numFmtId="4" fontId="22" fillId="0" borderId="1" xfId="1" applyNumberFormat="1" applyFont="1" applyFill="1" applyBorder="1" applyAlignment="1">
      <alignment horizontal="left" vertical="center" wrapText="1"/>
    </xf>
    <xf numFmtId="4" fontId="0" fillId="0" borderId="0" xfId="0" applyNumberFormat="1"/>
    <xf numFmtId="167" fontId="28" fillId="0" borderId="0" xfId="0" applyNumberFormat="1" applyFont="1" applyFill="1" applyBorder="1"/>
    <xf numFmtId="168" fontId="25" fillId="2" borderId="21" xfId="0" applyNumberFormat="1" applyFont="1" applyFill="1" applyBorder="1" applyAlignment="1">
      <alignment vertical="center"/>
    </xf>
    <xf numFmtId="0" fontId="22" fillId="9" borderId="0" xfId="12" applyFont="1" applyFill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38" fillId="9" borderId="0" xfId="0" applyFont="1" applyFill="1" applyAlignment="1">
      <alignment horizontal="center" vertical="center" wrapText="1"/>
    </xf>
    <xf numFmtId="0" fontId="26" fillId="9" borderId="0" xfId="0" applyFont="1" applyFill="1" applyAlignment="1">
      <alignment horizontal="center" vertical="center" wrapText="1"/>
    </xf>
    <xf numFmtId="4" fontId="26" fillId="9" borderId="0" xfId="0" applyNumberFormat="1" applyFont="1" applyFill="1" applyAlignment="1">
      <alignment horizontal="center" vertical="center"/>
    </xf>
    <xf numFmtId="1" fontId="28" fillId="0" borderId="0" xfId="0" applyNumberFormat="1" applyFont="1" applyFill="1" applyBorder="1"/>
    <xf numFmtId="1" fontId="0" fillId="0" borderId="0" xfId="0" applyNumberFormat="1"/>
    <xf numFmtId="1" fontId="26" fillId="9" borderId="0" xfId="0" applyNumberFormat="1" applyFont="1" applyFill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0" fillId="4" borderId="0" xfId="0" applyFont="1" applyFill="1"/>
    <xf numFmtId="0" fontId="10" fillId="0" borderId="0" xfId="14"/>
    <xf numFmtId="0" fontId="22" fillId="0" borderId="0" xfId="14" applyFont="1" applyAlignment="1">
      <alignment horizontal="left" vertical="center" wrapText="1"/>
    </xf>
    <xf numFmtId="0" fontId="21" fillId="0" borderId="0" xfId="14" quotePrefix="1" applyFont="1" applyAlignment="1">
      <alignment vertical="top" wrapText="1"/>
    </xf>
    <xf numFmtId="0" fontId="10" fillId="0" borderId="0" xfId="0" applyFont="1" applyFill="1"/>
    <xf numFmtId="0" fontId="22" fillId="7" borderId="0" xfId="0" applyFont="1" applyFill="1" applyBorder="1" applyAlignment="1">
      <alignment vertical="center" wrapText="1"/>
    </xf>
    <xf numFmtId="0" fontId="22" fillId="0" borderId="0" xfId="16" applyFont="1" applyAlignment="1">
      <alignment horizontal="center" wrapText="1"/>
    </xf>
    <xf numFmtId="0" fontId="22" fillId="0" borderId="0" xfId="18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0" xfId="20" applyFont="1" applyAlignment="1">
      <alignment horizontal="left" vertical="center" wrapText="1"/>
    </xf>
    <xf numFmtId="0" fontId="39" fillId="10" borderId="0" xfId="0" applyFont="1" applyFill="1" applyAlignment="1">
      <alignment horizontal="center" vertical="top" wrapText="1"/>
    </xf>
    <xf numFmtId="0" fontId="40" fillId="11" borderId="0" xfId="0" applyFont="1" applyFill="1" applyAlignment="1">
      <alignment vertical="top" wrapText="1"/>
    </xf>
    <xf numFmtId="4" fontId="41" fillId="0" borderId="0" xfId="0" applyNumberFormat="1" applyFont="1" applyAlignment="1">
      <alignment wrapText="1"/>
    </xf>
    <xf numFmtId="0" fontId="22" fillId="11" borderId="0" xfId="0" applyFont="1" applyFill="1" applyAlignment="1">
      <alignment horizontal="left" vertical="center" wrapText="1"/>
    </xf>
    <xf numFmtId="0" fontId="22" fillId="6" borderId="0" xfId="23" applyFont="1" applyFill="1" applyAlignment="1">
      <alignment horizontal="left" vertical="center" wrapText="1"/>
    </xf>
    <xf numFmtId="0" fontId="22" fillId="6" borderId="0" xfId="24" applyFont="1" applyFill="1" applyAlignment="1">
      <alignment horizontal="left" vertical="center" wrapText="1"/>
    </xf>
    <xf numFmtId="0" fontId="0" fillId="6" borderId="0" xfId="0" applyFill="1"/>
    <xf numFmtId="0" fontId="40" fillId="6" borderId="0" xfId="0" applyFont="1" applyFill="1" applyAlignment="1">
      <alignment vertical="top" wrapText="1"/>
    </xf>
    <xf numFmtId="0" fontId="21" fillId="2" borderId="0" xfId="22" applyFont="1" applyFill="1" applyAlignment="1">
      <alignment vertical="top" wrapText="1"/>
    </xf>
    <xf numFmtId="0" fontId="21" fillId="2" borderId="0" xfId="22" quotePrefix="1" applyFont="1" applyFill="1" applyAlignment="1">
      <alignment vertical="top" wrapText="1"/>
    </xf>
    <xf numFmtId="0" fontId="2" fillId="2" borderId="0" xfId="22" applyFill="1"/>
    <xf numFmtId="0" fontId="25" fillId="0" borderId="22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21" xfId="0" applyFont="1" applyFill="1" applyBorder="1" applyAlignment="1">
      <alignment horizontal="center" vertical="center" wrapText="1"/>
    </xf>
    <xf numFmtId="0" fontId="31" fillId="2" borderId="16" xfId="0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31" fillId="2" borderId="18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20" fillId="2" borderId="15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26" xfId="0" applyFill="1" applyBorder="1" applyAlignment="1">
      <alignment horizontal="center"/>
    </xf>
  </cellXfs>
  <cellStyles count="25">
    <cellStyle name="Обычный" xfId="0" builtinId="0"/>
    <cellStyle name="Обычный 10" xfId="12"/>
    <cellStyle name="Обычный 11" xfId="13"/>
    <cellStyle name="Обычный 12" xfId="14"/>
    <cellStyle name="Обычный 13" xfId="15"/>
    <cellStyle name="Обычный 14" xfId="16"/>
    <cellStyle name="Обычный 14 2" xfId="23"/>
    <cellStyle name="Обычный 15" xfId="17"/>
    <cellStyle name="Обычный 16" xfId="18"/>
    <cellStyle name="Обычный 17" xfId="19"/>
    <cellStyle name="Обычный 18" xfId="20"/>
    <cellStyle name="Обычный 19" xfId="21"/>
    <cellStyle name="Обычный 2" xfId="2"/>
    <cellStyle name="Обычный 20" xfId="22"/>
    <cellStyle name="Обычный 22" xfId="24"/>
    <cellStyle name="Обычный 3" xfId="1"/>
    <cellStyle name="Обычный 3 2" xfId="6"/>
    <cellStyle name="Обычный 4" xfId="3"/>
    <cellStyle name="Обычный 4 2" xfId="7"/>
    <cellStyle name="Обычный 5" xfId="4"/>
    <cellStyle name="Обычный 6" xfId="5"/>
    <cellStyle name="Обычный 6 2" xfId="8"/>
    <cellStyle name="Обычный 7" xfId="9"/>
    <cellStyle name="Обычный 8" xfId="11"/>
    <cellStyle name="Обычный 9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факторы'!$C$9:$C$88</c:f>
              <c:numCache>
                <c:formatCode>General</c:formatCode>
                <c:ptCount val="80"/>
                <c:pt idx="0">
                  <c:v>0.90917758867864051</c:v>
                </c:pt>
                <c:pt idx="1">
                  <c:v>0.90917758867864051</c:v>
                </c:pt>
                <c:pt idx="2">
                  <c:v>0.90917758867864051</c:v>
                </c:pt>
                <c:pt idx="3">
                  <c:v>0.91985224732353377</c:v>
                </c:pt>
                <c:pt idx="4">
                  <c:v>0.92970391057157775</c:v>
                </c:pt>
                <c:pt idx="5">
                  <c:v>0.93877256169266754</c:v>
                </c:pt>
                <c:pt idx="6">
                  <c:v>0.9470945904617829</c:v>
                </c:pt>
                <c:pt idx="7">
                  <c:v>0.95470326164600794</c:v>
                </c:pt>
                <c:pt idx="8">
                  <c:v>0.96162910809653346</c:v>
                </c:pt>
                <c:pt idx="9">
                  <c:v>0.96790026293098608</c:v>
                </c:pt>
                <c:pt idx="10">
                  <c:v>0.9735427421111067</c:v>
                </c:pt>
                <c:pt idx="11">
                  <c:v>0.97858068632187867</c:v>
                </c:pt>
                <c:pt idx="12">
                  <c:v>0.983036569229782</c:v>
                </c:pt>
                <c:pt idx="13">
                  <c:v>0.98693137779077933</c:v>
                </c:pt>
                <c:pt idx="14">
                  <c:v>0.99028476918604813</c:v>
                </c:pt>
                <c:pt idx="15">
                  <c:v>0.99311520810800169</c:v>
                </c:pt>
                <c:pt idx="16">
                  <c:v>0.99544008744405432</c:v>
                </c:pt>
                <c:pt idx="17">
                  <c:v>0.99727583486899207</c:v>
                </c:pt>
                <c:pt idx="18">
                  <c:v>0.99863800742736253</c:v>
                </c:pt>
                <c:pt idx="19">
                  <c:v>0.99954137584142799</c:v>
                </c:pt>
                <c:pt idx="20">
                  <c:v>1.0000000000000011</c:v>
                </c:pt>
                <c:pt idx="21">
                  <c:v>1.0000272968551853</c:v>
                </c:pt>
                <c:pt idx="22">
                  <c:v>0.99963610176708873</c:v>
                </c:pt>
                <c:pt idx="23">
                  <c:v>0.99883872418275599</c:v>
                </c:pt>
                <c:pt idx="24">
                  <c:v>0.99764699840843041</c:v>
                </c:pt>
                <c:pt idx="25">
                  <c:v>0.99607233012876761</c:v>
                </c:pt>
                <c:pt idx="26">
                  <c:v>0.99412573923877978</c:v>
                </c:pt>
                <c:pt idx="27">
                  <c:v>0.99181789948088539</c:v>
                </c:pt>
                <c:pt idx="28">
                  <c:v>0.98915917531795461</c:v>
                </c:pt>
                <c:pt idx="29">
                  <c:v>0.98615965642159631</c:v>
                </c:pt>
                <c:pt idx="30">
                  <c:v>0.98282919011149117</c:v>
                </c:pt>
                <c:pt idx="31">
                  <c:v>0.97917741204497033</c:v>
                </c:pt>
                <c:pt idx="32">
                  <c:v>0.97521377542518517</c:v>
                </c:pt>
                <c:pt idx="33">
                  <c:v>0.97094757897018624</c:v>
                </c:pt>
                <c:pt idx="34">
                  <c:v>0.96638799386329832</c:v>
                </c:pt>
                <c:pt idx="35">
                  <c:v>0.96154408988670292</c:v>
                </c:pt>
                <c:pt idx="36">
                  <c:v>0.95642486092460666</c:v>
                </c:pt>
                <c:pt idx="37">
                  <c:v>0.95103925000933021</c:v>
                </c:pt>
                <c:pt idx="38">
                  <c:v>0.94539617407271848</c:v>
                </c:pt>
                <c:pt idx="39">
                  <c:v>0.93950454855611376</c:v>
                </c:pt>
                <c:pt idx="40">
                  <c:v>0.93337331202443685</c:v>
                </c:pt>
                <c:pt idx="41">
                  <c:v>0.92701145092342907</c:v>
                </c:pt>
                <c:pt idx="42">
                  <c:v>0.9204280246135359</c:v>
                </c:pt>
                <c:pt idx="43">
                  <c:v>0.91363219080902014</c:v>
                </c:pt>
                <c:pt idx="44">
                  <c:v>0.90663323154639996</c:v>
                </c:pt>
                <c:pt idx="45">
                  <c:v>0.89944057980196068</c:v>
                </c:pt>
                <c:pt idx="46">
                  <c:v>0.89206384687356399</c:v>
                </c:pt>
                <c:pt idx="47">
                  <c:v>0.8845128506369665</c:v>
                </c:pt>
                <c:pt idx="48">
                  <c:v>0.87679764478098043</c:v>
                </c:pt>
                <c:pt idx="49">
                  <c:v>0.86892854911863371</c:v>
                </c:pt>
                <c:pt idx="50">
                  <c:v>0.86091618106252821</c:v>
                </c:pt>
                <c:pt idx="51">
                  <c:v>0.85277148834129213</c:v>
                </c:pt>
                <c:pt idx="52">
                  <c:v>0.84450578301971591</c:v>
                </c:pt>
                <c:pt idx="53">
                  <c:v>0.83613077686708337</c:v>
                </c:pt>
                <c:pt idx="54">
                  <c:v>0.82765861809552432</c:v>
                </c:pt>
                <c:pt idx="55">
                  <c:v>0.81910192946188676</c:v>
                </c:pt>
                <c:pt idx="56">
                  <c:v>0.81047384769158315</c:v>
                </c:pt>
                <c:pt idx="57">
                  <c:v>0.80178806413981707</c:v>
                </c:pt>
                <c:pt idx="58">
                  <c:v>0.79305886655320357</c:v>
                </c:pt>
                <c:pt idx="59">
                  <c:v>0.78430118173155872</c:v>
                </c:pt>
                <c:pt idx="60">
                  <c:v>0.77553061881403018</c:v>
                </c:pt>
                <c:pt idx="61">
                  <c:v>0.76676351282418742</c:v>
                </c:pt>
                <c:pt idx="62">
                  <c:v>0.75801696800372964</c:v>
                </c:pt>
                <c:pt idx="63">
                  <c:v>0.74930890034277875</c:v>
                </c:pt>
                <c:pt idx="64">
                  <c:v>0.74065807857540356</c:v>
                </c:pt>
                <c:pt idx="65">
                  <c:v>0.73208416275168464</c:v>
                </c:pt>
                <c:pt idx="66">
                  <c:v>0.72360773932282363</c:v>
                </c:pt>
                <c:pt idx="67">
                  <c:v>0.71525035148518334</c:v>
                </c:pt>
                <c:pt idx="68">
                  <c:v>0.70703452332611227</c:v>
                </c:pt>
                <c:pt idx="69">
                  <c:v>0.6989837761043064</c:v>
                </c:pt>
                <c:pt idx="70">
                  <c:v>0.69112263478833269</c:v>
                </c:pt>
                <c:pt idx="71">
                  <c:v>0.68347662277979826</c:v>
                </c:pt>
                <c:pt idx="72">
                  <c:v>0.67607224257708476</c:v>
                </c:pt>
                <c:pt idx="73">
                  <c:v>0.66893694000981641</c:v>
                </c:pt>
                <c:pt idx="74">
                  <c:v>0.66209904961532229</c:v>
                </c:pt>
                <c:pt idx="75">
                  <c:v>0.65558771876149879</c:v>
                </c:pt>
                <c:pt idx="76">
                  <c:v>0.64943280827309358</c:v>
                </c:pt>
                <c:pt idx="77">
                  <c:v>0.64366476761840707</c:v>
                </c:pt>
                <c:pt idx="78">
                  <c:v>0.63831448318618089</c:v>
                </c:pt>
                <c:pt idx="79">
                  <c:v>0.63341309884799035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факторы'!$B$9:$B$88</c:f>
              <c:numCache>
                <c:formatCode>General</c:formatCode>
                <c:ptCount val="80"/>
                <c:pt idx="0">
                  <c:v>0.82522277104920294</c:v>
                </c:pt>
                <c:pt idx="1">
                  <c:v>0.82522277104920294</c:v>
                </c:pt>
                <c:pt idx="2">
                  <c:v>0.82522277104920294</c:v>
                </c:pt>
                <c:pt idx="3">
                  <c:v>0.84488760487426895</c:v>
                </c:pt>
                <c:pt idx="4">
                  <c:v>0.86324358968992487</c:v>
                </c:pt>
                <c:pt idx="5">
                  <c:v>0.88031653936692977</c:v>
                </c:pt>
                <c:pt idx="6">
                  <c:v>0.89613226777604249</c:v>
                </c:pt>
                <c:pt idx="7">
                  <c:v>0.9107165887880222</c:v>
                </c:pt>
                <c:pt idx="8">
                  <c:v>0.92409531627362784</c:v>
                </c:pt>
                <c:pt idx="9">
                  <c:v>0.93629426410361838</c:v>
                </c:pt>
                <c:pt idx="10">
                  <c:v>0.94733924614875287</c:v>
                </c:pt>
                <c:pt idx="11">
                  <c:v>0.95725607627979059</c:v>
                </c:pt>
                <c:pt idx="12">
                  <c:v>0.96607056836749017</c:v>
                </c:pt>
                <c:pt idx="13">
                  <c:v>0.97380853628261077</c:v>
                </c:pt>
                <c:pt idx="14">
                  <c:v>0.98049579389591146</c:v>
                </c:pt>
                <c:pt idx="15">
                  <c:v>0.9861581550781513</c:v>
                </c:pt>
                <c:pt idx="16">
                  <c:v>0.99082143370008913</c:v>
                </c:pt>
                <c:pt idx="17">
                  <c:v>0.99451144363248423</c:v>
                </c:pt>
                <c:pt idx="18">
                  <c:v>0.99725399874609555</c:v>
                </c:pt>
                <c:pt idx="19">
                  <c:v>0.99907491291168182</c:v>
                </c:pt>
                <c:pt idx="20">
                  <c:v>1.0000000000000024</c:v>
                </c:pt>
                <c:pt idx="21">
                  <c:v>1.0000550738818161</c:v>
                </c:pt>
                <c:pt idx="22">
                  <c:v>0.99926594842788219</c:v>
                </c:pt>
                <c:pt idx="23">
                  <c:v>0.99765843750895944</c:v>
                </c:pt>
                <c:pt idx="24">
                  <c:v>0.99525835499580717</c:v>
                </c:pt>
                <c:pt idx="25">
                  <c:v>0.99209151475918411</c:v>
                </c:pt>
                <c:pt idx="26">
                  <c:v>0.98818373066984933</c:v>
                </c:pt>
                <c:pt idx="27">
                  <c:v>0.98356081659856176</c:v>
                </c:pt>
                <c:pt idx="28">
                  <c:v>0.9782485864160807</c:v>
                </c:pt>
                <c:pt idx="29">
                  <c:v>0.97227285399316488</c:v>
                </c:pt>
                <c:pt idx="30">
                  <c:v>0.96565943320057379</c:v>
                </c:pt>
                <c:pt idx="31">
                  <c:v>0.95843413790906584</c:v>
                </c:pt>
                <c:pt idx="32">
                  <c:v>0.95062278198940042</c:v>
                </c:pt>
                <c:pt idx="33">
                  <c:v>0.94225117931233648</c:v>
                </c:pt>
                <c:pt idx="34">
                  <c:v>0.93334514374863298</c:v>
                </c:pt>
                <c:pt idx="35">
                  <c:v>0.92393048916904896</c:v>
                </c:pt>
                <c:pt idx="36">
                  <c:v>0.91403302944434373</c:v>
                </c:pt>
                <c:pt idx="37">
                  <c:v>0.90367857844527588</c:v>
                </c:pt>
                <c:pt idx="38">
                  <c:v>0.89289295004260449</c:v>
                </c:pt>
                <c:pt idx="39">
                  <c:v>0.88170195810708885</c:v>
                </c:pt>
                <c:pt idx="40">
                  <c:v>0.87013141650948789</c:v>
                </c:pt>
                <c:pt idx="41">
                  <c:v>0.85820713912056057</c:v>
                </c:pt>
                <c:pt idx="42">
                  <c:v>0.84595493981106562</c:v>
                </c:pt>
                <c:pt idx="43">
                  <c:v>0.83340063245176266</c:v>
                </c:pt>
                <c:pt idx="44">
                  <c:v>0.82057003091341041</c:v>
                </c:pt>
                <c:pt idx="45">
                  <c:v>0.8074889490667676</c:v>
                </c:pt>
                <c:pt idx="46">
                  <c:v>0.79418320078259375</c:v>
                </c:pt>
                <c:pt idx="47">
                  <c:v>0.78067859993164779</c:v>
                </c:pt>
                <c:pt idx="48">
                  <c:v>0.76700096038468846</c:v>
                </c:pt>
                <c:pt idx="49">
                  <c:v>0.75317609601247471</c:v>
                </c:pt>
                <c:pt idx="50">
                  <c:v>0.73922982068576626</c:v>
                </c:pt>
                <c:pt idx="51">
                  <c:v>0.7251879482753214</c:v>
                </c:pt>
                <c:pt idx="52">
                  <c:v>0.71107629265189942</c:v>
                </c:pt>
                <c:pt idx="53">
                  <c:v>0.69692066768625904</c:v>
                </c:pt>
                <c:pt idx="54">
                  <c:v>0.68274688724915988</c:v>
                </c:pt>
                <c:pt idx="55">
                  <c:v>0.66858076521136067</c:v>
                </c:pt>
                <c:pt idx="56">
                  <c:v>0.65444811544362058</c:v>
                </c:pt>
                <c:pt idx="57">
                  <c:v>0.64037475181669823</c:v>
                </c:pt>
                <c:pt idx="58">
                  <c:v>0.6263864882013529</c:v>
                </c:pt>
                <c:pt idx="59">
                  <c:v>0.61250913846834354</c:v>
                </c:pt>
                <c:pt idx="60">
                  <c:v>0.59876851648842955</c:v>
                </c:pt>
                <c:pt idx="61">
                  <c:v>0.58519043613236954</c:v>
                </c:pt>
                <c:pt idx="62">
                  <c:v>0.57180071127092247</c:v>
                </c:pt>
                <c:pt idx="63">
                  <c:v>0.55862515577484717</c:v>
                </c:pt>
                <c:pt idx="64">
                  <c:v>0.5456895835149036</c:v>
                </c:pt>
                <c:pt idx="65">
                  <c:v>0.53301980836184981</c:v>
                </c:pt>
                <c:pt idx="66">
                  <c:v>0.52064164418644532</c:v>
                </c:pt>
                <c:pt idx="67">
                  <c:v>0.50858090485944896</c:v>
                </c:pt>
                <c:pt idx="68">
                  <c:v>0.49686340425162007</c:v>
                </c:pt>
                <c:pt idx="69">
                  <c:v>0.48551495623371699</c:v>
                </c:pt>
                <c:pt idx="70">
                  <c:v>0.47456137467649934</c:v>
                </c:pt>
                <c:pt idx="71">
                  <c:v>0.46402847345072584</c:v>
                </c:pt>
                <c:pt idx="72">
                  <c:v>0.45394206642715584</c:v>
                </c:pt>
                <c:pt idx="73">
                  <c:v>0.4443279674765484</c:v>
                </c:pt>
                <c:pt idx="74">
                  <c:v>0.43521199046966164</c:v>
                </c:pt>
                <c:pt idx="75">
                  <c:v>0.42661994927725622</c:v>
                </c:pt>
                <c:pt idx="76">
                  <c:v>0.41857765777008871</c:v>
                </c:pt>
                <c:pt idx="77">
                  <c:v>0.41111092981892045</c:v>
                </c:pt>
                <c:pt idx="78">
                  <c:v>0.40424557929450999</c:v>
                </c:pt>
                <c:pt idx="79">
                  <c:v>0.39800742006761564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BB-4332-A823-8456F578AE7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8.1528662420382161E-2"/>
                  <c:y val="-0.45705551657028581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факторы'!$E$9:$E$28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1250</c:v>
                </c:pt>
                <c:pt idx="7">
                  <c:v>1500</c:v>
                </c:pt>
                <c:pt idx="8">
                  <c:v>1750</c:v>
                </c:pt>
                <c:pt idx="9">
                  <c:v>2000</c:v>
                </c:pt>
                <c:pt idx="10">
                  <c:v>2250</c:v>
                </c:pt>
                <c:pt idx="11">
                  <c:v>2500</c:v>
                </c:pt>
                <c:pt idx="12">
                  <c:v>2750</c:v>
                </c:pt>
                <c:pt idx="13">
                  <c:v>3000</c:v>
                </c:pt>
                <c:pt idx="14">
                  <c:v>3250</c:v>
                </c:pt>
                <c:pt idx="15">
                  <c:v>3500</c:v>
                </c:pt>
                <c:pt idx="16">
                  <c:v>3750</c:v>
                </c:pt>
                <c:pt idx="17">
                  <c:v>4000</c:v>
                </c:pt>
                <c:pt idx="18">
                  <c:v>5000</c:v>
                </c:pt>
                <c:pt idx="19">
                  <c:v>6000</c:v>
                </c:pt>
              </c:numCache>
            </c:numRef>
          </c:xVal>
          <c:yVal>
            <c:numRef>
              <c:f>'количественные факторы'!$F$9:$F$28</c:f>
              <c:numCache>
                <c:formatCode>General</c:formatCode>
                <c:ptCount val="20"/>
                <c:pt idx="0">
                  <c:v>0.90917758867864051</c:v>
                </c:pt>
                <c:pt idx="1">
                  <c:v>0.90917758867864051</c:v>
                </c:pt>
                <c:pt idx="2">
                  <c:v>0.92970391057157775</c:v>
                </c:pt>
                <c:pt idx="3">
                  <c:v>0.96790026293098608</c:v>
                </c:pt>
                <c:pt idx="4">
                  <c:v>0.99028476918604813</c:v>
                </c:pt>
                <c:pt idx="5">
                  <c:v>0.99954137584142799</c:v>
                </c:pt>
                <c:pt idx="6">
                  <c:v>0.99764699840843041</c:v>
                </c:pt>
                <c:pt idx="7">
                  <c:v>0.98615965642159631</c:v>
                </c:pt>
                <c:pt idx="8">
                  <c:v>0.96638799386329832</c:v>
                </c:pt>
                <c:pt idx="9">
                  <c:v>0.93950454855611376</c:v>
                </c:pt>
                <c:pt idx="10">
                  <c:v>0.90663323154639996</c:v>
                </c:pt>
                <c:pt idx="11">
                  <c:v>0.86892854911863371</c:v>
                </c:pt>
                <c:pt idx="12">
                  <c:v>0.82765861809552432</c:v>
                </c:pt>
                <c:pt idx="13">
                  <c:v>0.78430118173155872</c:v>
                </c:pt>
                <c:pt idx="14">
                  <c:v>0.74065807857540356</c:v>
                </c:pt>
                <c:pt idx="15">
                  <c:v>0.6989837761043064</c:v>
                </c:pt>
                <c:pt idx="16">
                  <c:v>0.66209904961532229</c:v>
                </c:pt>
                <c:pt idx="17">
                  <c:v>0.63341309884799035</c:v>
                </c:pt>
                <c:pt idx="18">
                  <c:v>0.45</c:v>
                </c:pt>
                <c:pt idx="19">
                  <c:v>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DA6-4164-806E-3021D2F4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54672"/>
        <c:axId val="565458200"/>
      </c:scatterChart>
      <c:valAx>
        <c:axId val="5654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458200"/>
        <c:crosses val="autoZero"/>
        <c:crossBetween val="midCat"/>
      </c:valAx>
      <c:valAx>
        <c:axId val="56545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45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факторы'!$U$10:$U$41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</c:numCache>
            </c:numRef>
          </c:xVal>
          <c:yVal>
            <c:numRef>
              <c:f>'количественные факторы'!$W$9:$W$41</c:f>
              <c:numCache>
                <c:formatCode>General</c:formatCode>
                <c:ptCount val="33"/>
                <c:pt idx="0">
                  <c:v>1.0000000000590388</c:v>
                </c:pt>
                <c:pt idx="1">
                  <c:v>1.0000000000590388</c:v>
                </c:pt>
                <c:pt idx="2">
                  <c:v>1.0000000000590388</c:v>
                </c:pt>
                <c:pt idx="3">
                  <c:v>1.0000000000590388</c:v>
                </c:pt>
                <c:pt idx="4">
                  <c:v>1.0000000000000013</c:v>
                </c:pt>
                <c:pt idx="5">
                  <c:v>0.99917556681305664</c:v>
                </c:pt>
                <c:pt idx="6">
                  <c:v>0.99645743491717109</c:v>
                </c:pt>
                <c:pt idx="7">
                  <c:v>0.9919154079878606</c:v>
                </c:pt>
                <c:pt idx="8">
                  <c:v>0.98561721948295233</c:v>
                </c:pt>
                <c:pt idx="9">
                  <c:v>0.97762895468617994</c:v>
                </c:pt>
                <c:pt idx="10">
                  <c:v>0.96801542984891409</c:v>
                </c:pt>
                <c:pt idx="11">
                  <c:v>0.95684053798002466</c:v>
                </c:pt>
                <c:pt idx="12">
                  <c:v>0.94416756930163415</c:v>
                </c:pt>
                <c:pt idx="13">
                  <c:v>0.93005951326995295</c:v>
                </c:pt>
                <c:pt idx="14">
                  <c:v>0.9145793482685689</c:v>
                </c:pt>
                <c:pt idx="15">
                  <c:v>0.89779032455685648</c:v>
                </c:pt>
                <c:pt idx="16">
                  <c:v>0.87975624575928379</c:v>
                </c:pt>
                <c:pt idx="17">
                  <c:v>0.86054175408878542</c:v>
                </c:pt>
                <c:pt idx="18">
                  <c:v>0.84021262459840507</c:v>
                </c:pt>
                <c:pt idx="19">
                  <c:v>0.81883607405073344</c:v>
                </c:pt>
                <c:pt idx="20">
                  <c:v>0.79648109049533788</c:v>
                </c:pt>
                <c:pt idx="21">
                  <c:v>0.77321879037179253</c:v>
                </c:pt>
                <c:pt idx="22">
                  <c:v>0.74912281094202993</c:v>
                </c:pt>
                <c:pt idx="23">
                  <c:v>0.72426974714344494</c:v>
                </c:pt>
                <c:pt idx="24">
                  <c:v>0.69873964359738849</c:v>
                </c:pt>
                <c:pt idx="25">
                  <c:v>0.67261655457017744</c:v>
                </c:pt>
                <c:pt idx="26">
                  <c:v>0.64598918723537258</c:v>
                </c:pt>
                <c:pt idx="27">
                  <c:v>0.63251558518227935</c:v>
                </c:pt>
                <c:pt idx="28">
                  <c:v>0.63251558518227935</c:v>
                </c:pt>
                <c:pt idx="29">
                  <c:v>0.63251558518227935</c:v>
                </c:pt>
                <c:pt idx="30">
                  <c:v>0.63251558518227935</c:v>
                </c:pt>
                <c:pt idx="31">
                  <c:v>0.63251558518227935</c:v>
                </c:pt>
                <c:pt idx="32">
                  <c:v>0.63251558518227935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'количественные факторы'!$U$10:$U$41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</c:numCache>
            </c:numRef>
          </c:xVal>
          <c:yVal>
            <c:numRef>
              <c:f>'количественные факторы'!$V$10:$V$41</c:f>
              <c:numCache>
                <c:formatCode>General</c:formatCode>
                <c:ptCount val="32"/>
                <c:pt idx="0">
                  <c:v>1.000000000082631</c:v>
                </c:pt>
                <c:pt idx="1">
                  <c:v>1.000000000082631</c:v>
                </c:pt>
                <c:pt idx="2">
                  <c:v>1.000000000082631</c:v>
                </c:pt>
                <c:pt idx="3">
                  <c:v>1.000000000000002</c:v>
                </c:pt>
                <c:pt idx="4">
                  <c:v>0.99884630788678053</c:v>
                </c:pt>
                <c:pt idx="5">
                  <c:v>0.99504531413818464</c:v>
                </c:pt>
                <c:pt idx="6">
                  <c:v>0.98870305831750394</c:v>
                </c:pt>
                <c:pt idx="7">
                  <c:v>0.97992778023256899</c:v>
                </c:pt>
                <c:pt idx="8">
                  <c:v>0.96882991993575152</c:v>
                </c:pt>
                <c:pt idx="9">
                  <c:v>0.95552211772396378</c:v>
                </c:pt>
                <c:pt idx="10">
                  <c:v>0.94011921413865918</c:v>
                </c:pt>
                <c:pt idx="11">
                  <c:v>0.92273824996583187</c:v>
                </c:pt>
                <c:pt idx="12">
                  <c:v>0.90349846623601682</c:v>
                </c:pt>
                <c:pt idx="13">
                  <c:v>0.88252130422428987</c:v>
                </c:pt>
                <c:pt idx="14">
                  <c:v>0.85993040545026822</c:v>
                </c:pt>
                <c:pt idx="15">
                  <c:v>0.83585161167810929</c:v>
                </c:pt>
                <c:pt idx="16">
                  <c:v>0.8104129649165116</c:v>
                </c:pt>
                <c:pt idx="17">
                  <c:v>0.78374470741871494</c:v>
                </c:pt>
                <c:pt idx="18">
                  <c:v>0.75597928168249917</c:v>
                </c:pt>
                <c:pt idx="19">
                  <c:v>0.72725133045018586</c:v>
                </c:pt>
                <c:pt idx="20">
                  <c:v>0.69769769670863724</c:v>
                </c:pt>
                <c:pt idx="21">
                  <c:v>0.66745742368925609</c:v>
                </c:pt>
                <c:pt idx="22">
                  <c:v>0.63667175486798644</c:v>
                </c:pt>
                <c:pt idx="23">
                  <c:v>0.60548413396531264</c:v>
                </c:pt>
                <c:pt idx="24">
                  <c:v>0.57404020494626085</c:v>
                </c:pt>
                <c:pt idx="25">
                  <c:v>0.54248781202039753</c:v>
                </c:pt>
                <c:pt idx="26">
                  <c:v>0.52671775828470246</c:v>
                </c:pt>
                <c:pt idx="27">
                  <c:v>0.52671775828470246</c:v>
                </c:pt>
                <c:pt idx="28">
                  <c:v>0.52671775828470246</c:v>
                </c:pt>
                <c:pt idx="29">
                  <c:v>0.52671775828470246</c:v>
                </c:pt>
                <c:pt idx="30">
                  <c:v>0.52671775828470246</c:v>
                </c:pt>
                <c:pt idx="31">
                  <c:v>0.52671775828470246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57024"/>
        <c:axId val="565459768"/>
      </c:scatterChart>
      <c:valAx>
        <c:axId val="56545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459768"/>
        <c:crosses val="autoZero"/>
        <c:crossBetween val="midCat"/>
      </c:valAx>
      <c:valAx>
        <c:axId val="56545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45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8.3577982504253086E-3"/>
                  <c:y val="0.1798228346456692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</a:t>
                    </a:r>
                    <a:r>
                      <a:rPr lang="ru-RU"/>
                      <a:t>167685587011</a:t>
                    </a:r>
                    <a:r>
                      <a:rPr lang="en-US"/>
                      <a:t>*(x)^4+0,000015</a:t>
                    </a:r>
                    <a:r>
                      <a:rPr lang="ru-RU"/>
                      <a:t>2896622956704</a:t>
                    </a:r>
                    <a:r>
                      <a:rPr lang="en-US"/>
                      <a:t>*(x)^3-0,001</a:t>
                    </a:r>
                    <a:r>
                      <a:rPr lang="ru-RU"/>
                      <a:t>64875861673315</a:t>
                    </a:r>
                    <a:r>
                      <a:rPr lang="en-US"/>
                      <a:t>*(x)^2+0,01</a:t>
                    </a:r>
                    <a:r>
                      <a:rPr lang="ru-RU"/>
                      <a:t>51997782316484</a:t>
                    </a:r>
                    <a:r>
                      <a:rPr lang="en-US"/>
                      <a:t>*(x)+0,9</a:t>
                    </a:r>
                    <a:r>
                      <a:rPr lang="ru-RU"/>
                      <a:t>62501568438211</a:t>
                    </a:r>
                    <a:r>
                      <a:rPr lang="en-US"/>
                      <a:t>)))))*0,</a:t>
                    </a:r>
                    <a:r>
                      <a:rPr lang="ru-RU"/>
                      <a:t>7145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факторы'!$U$10:$U$41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</c:numCache>
            </c:numRef>
          </c:xVal>
          <c:yVal>
            <c:numRef>
              <c:f>'количественные факторы'!$W$9:$W$41</c:f>
              <c:numCache>
                <c:formatCode>General</c:formatCode>
                <c:ptCount val="33"/>
                <c:pt idx="0">
                  <c:v>1.0000000000590388</c:v>
                </c:pt>
                <c:pt idx="1">
                  <c:v>1.0000000000590388</c:v>
                </c:pt>
                <c:pt idx="2">
                  <c:v>1.0000000000590388</c:v>
                </c:pt>
                <c:pt idx="3">
                  <c:v>1.0000000000590388</c:v>
                </c:pt>
                <c:pt idx="4">
                  <c:v>1.0000000000000013</c:v>
                </c:pt>
                <c:pt idx="5">
                  <c:v>0.99917556681305664</c:v>
                </c:pt>
                <c:pt idx="6">
                  <c:v>0.99645743491717109</c:v>
                </c:pt>
                <c:pt idx="7">
                  <c:v>0.9919154079878606</c:v>
                </c:pt>
                <c:pt idx="8">
                  <c:v>0.98561721948295233</c:v>
                </c:pt>
                <c:pt idx="9">
                  <c:v>0.97762895468617994</c:v>
                </c:pt>
                <c:pt idx="10">
                  <c:v>0.96801542984891409</c:v>
                </c:pt>
                <c:pt idx="11">
                  <c:v>0.95684053798002466</c:v>
                </c:pt>
                <c:pt idx="12">
                  <c:v>0.94416756930163415</c:v>
                </c:pt>
                <c:pt idx="13">
                  <c:v>0.93005951326995295</c:v>
                </c:pt>
                <c:pt idx="14">
                  <c:v>0.9145793482685689</c:v>
                </c:pt>
                <c:pt idx="15">
                  <c:v>0.89779032455685648</c:v>
                </c:pt>
                <c:pt idx="16">
                  <c:v>0.87975624575928379</c:v>
                </c:pt>
                <c:pt idx="17">
                  <c:v>0.86054175408878542</c:v>
                </c:pt>
                <c:pt idx="18">
                  <c:v>0.84021262459840507</c:v>
                </c:pt>
                <c:pt idx="19">
                  <c:v>0.81883607405073344</c:v>
                </c:pt>
                <c:pt idx="20">
                  <c:v>0.79648109049533788</c:v>
                </c:pt>
                <c:pt idx="21">
                  <c:v>0.77321879037179253</c:v>
                </c:pt>
                <c:pt idx="22">
                  <c:v>0.74912281094202993</c:v>
                </c:pt>
                <c:pt idx="23">
                  <c:v>0.72426974714344494</c:v>
                </c:pt>
                <c:pt idx="24">
                  <c:v>0.69873964359738849</c:v>
                </c:pt>
                <c:pt idx="25">
                  <c:v>0.67261655457017744</c:v>
                </c:pt>
                <c:pt idx="26">
                  <c:v>0.64598918723537258</c:v>
                </c:pt>
                <c:pt idx="27">
                  <c:v>0.63251558518227935</c:v>
                </c:pt>
                <c:pt idx="28">
                  <c:v>0.63251558518227935</c:v>
                </c:pt>
                <c:pt idx="29">
                  <c:v>0.63251558518227935</c:v>
                </c:pt>
                <c:pt idx="30">
                  <c:v>0.63251558518227935</c:v>
                </c:pt>
                <c:pt idx="31">
                  <c:v>0.63251558518227935</c:v>
                </c:pt>
                <c:pt idx="32">
                  <c:v>0.63251558518227935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57416"/>
        <c:axId val="565457808"/>
      </c:scatterChart>
      <c:valAx>
        <c:axId val="565457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457808"/>
        <c:crosses val="autoZero"/>
        <c:crossBetween val="midCat"/>
      </c:valAx>
      <c:valAx>
        <c:axId val="5654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457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площади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факторы'!$C$9:$C$88</c:f>
              <c:numCache>
                <c:formatCode>General</c:formatCode>
                <c:ptCount val="80"/>
                <c:pt idx="0">
                  <c:v>0.90917758867864051</c:v>
                </c:pt>
                <c:pt idx="1">
                  <c:v>0.90917758867864051</c:v>
                </c:pt>
                <c:pt idx="2">
                  <c:v>0.90917758867864051</c:v>
                </c:pt>
                <c:pt idx="3">
                  <c:v>0.91985224732353377</c:v>
                </c:pt>
                <c:pt idx="4">
                  <c:v>0.92970391057157775</c:v>
                </c:pt>
                <c:pt idx="5">
                  <c:v>0.93877256169266754</c:v>
                </c:pt>
                <c:pt idx="6">
                  <c:v>0.9470945904617829</c:v>
                </c:pt>
                <c:pt idx="7">
                  <c:v>0.95470326164600794</c:v>
                </c:pt>
                <c:pt idx="8">
                  <c:v>0.96162910809653346</c:v>
                </c:pt>
                <c:pt idx="9">
                  <c:v>0.96790026293098608</c:v>
                </c:pt>
                <c:pt idx="10">
                  <c:v>0.9735427421111067</c:v>
                </c:pt>
                <c:pt idx="11">
                  <c:v>0.97858068632187867</c:v>
                </c:pt>
                <c:pt idx="12">
                  <c:v>0.983036569229782</c:v>
                </c:pt>
                <c:pt idx="13">
                  <c:v>0.98693137779077933</c:v>
                </c:pt>
                <c:pt idx="14">
                  <c:v>0.99028476918604813</c:v>
                </c:pt>
                <c:pt idx="15">
                  <c:v>0.99311520810800169</c:v>
                </c:pt>
                <c:pt idx="16">
                  <c:v>0.99544008744405432</c:v>
                </c:pt>
                <c:pt idx="17">
                  <c:v>0.99727583486899207</c:v>
                </c:pt>
                <c:pt idx="18">
                  <c:v>0.99863800742736253</c:v>
                </c:pt>
                <c:pt idx="19">
                  <c:v>0.99954137584142799</c:v>
                </c:pt>
                <c:pt idx="20">
                  <c:v>1.0000000000000011</c:v>
                </c:pt>
                <c:pt idx="21">
                  <c:v>1.0000272968551853</c:v>
                </c:pt>
                <c:pt idx="22">
                  <c:v>0.99963610176708873</c:v>
                </c:pt>
                <c:pt idx="23">
                  <c:v>0.99883872418275599</c:v>
                </c:pt>
                <c:pt idx="24">
                  <c:v>0.99764699840843041</c:v>
                </c:pt>
                <c:pt idx="25">
                  <c:v>0.99607233012876761</c:v>
                </c:pt>
                <c:pt idx="26">
                  <c:v>0.99412573923877978</c:v>
                </c:pt>
                <c:pt idx="27">
                  <c:v>0.99181789948088539</c:v>
                </c:pt>
                <c:pt idx="28">
                  <c:v>0.98915917531795461</c:v>
                </c:pt>
                <c:pt idx="29">
                  <c:v>0.98615965642159631</c:v>
                </c:pt>
                <c:pt idx="30">
                  <c:v>0.98282919011149117</c:v>
                </c:pt>
                <c:pt idx="31">
                  <c:v>0.97917741204497033</c:v>
                </c:pt>
                <c:pt idx="32">
                  <c:v>0.97521377542518517</c:v>
                </c:pt>
                <c:pt idx="33">
                  <c:v>0.97094757897018624</c:v>
                </c:pt>
                <c:pt idx="34">
                  <c:v>0.96638799386329832</c:v>
                </c:pt>
                <c:pt idx="35">
                  <c:v>0.96154408988670292</c:v>
                </c:pt>
                <c:pt idx="36">
                  <c:v>0.95642486092460666</c:v>
                </c:pt>
                <c:pt idx="37">
                  <c:v>0.95103925000933021</c:v>
                </c:pt>
                <c:pt idx="38">
                  <c:v>0.94539617407271848</c:v>
                </c:pt>
                <c:pt idx="39">
                  <c:v>0.93950454855611376</c:v>
                </c:pt>
                <c:pt idx="40">
                  <c:v>0.93337331202443685</c:v>
                </c:pt>
                <c:pt idx="41">
                  <c:v>0.92701145092342907</c:v>
                </c:pt>
                <c:pt idx="42">
                  <c:v>0.9204280246135359</c:v>
                </c:pt>
                <c:pt idx="43">
                  <c:v>0.91363219080902014</c:v>
                </c:pt>
                <c:pt idx="44">
                  <c:v>0.90663323154639996</c:v>
                </c:pt>
                <c:pt idx="45">
                  <c:v>0.89944057980196068</c:v>
                </c:pt>
                <c:pt idx="46">
                  <c:v>0.89206384687356399</c:v>
                </c:pt>
                <c:pt idx="47">
                  <c:v>0.8845128506369665</c:v>
                </c:pt>
                <c:pt idx="48">
                  <c:v>0.87679764478098043</c:v>
                </c:pt>
                <c:pt idx="49">
                  <c:v>0.86892854911863371</c:v>
                </c:pt>
                <c:pt idx="50">
                  <c:v>0.86091618106252821</c:v>
                </c:pt>
                <c:pt idx="51">
                  <c:v>0.85277148834129213</c:v>
                </c:pt>
                <c:pt idx="52">
                  <c:v>0.84450578301971591</c:v>
                </c:pt>
                <c:pt idx="53">
                  <c:v>0.83613077686708337</c:v>
                </c:pt>
                <c:pt idx="54">
                  <c:v>0.82765861809552432</c:v>
                </c:pt>
                <c:pt idx="55">
                  <c:v>0.81910192946188676</c:v>
                </c:pt>
                <c:pt idx="56">
                  <c:v>0.81047384769158315</c:v>
                </c:pt>
                <c:pt idx="57">
                  <c:v>0.80178806413981707</c:v>
                </c:pt>
                <c:pt idx="58">
                  <c:v>0.79305886655320357</c:v>
                </c:pt>
                <c:pt idx="59">
                  <c:v>0.78430118173155872</c:v>
                </c:pt>
                <c:pt idx="60">
                  <c:v>0.77553061881403018</c:v>
                </c:pt>
                <c:pt idx="61">
                  <c:v>0.76676351282418742</c:v>
                </c:pt>
                <c:pt idx="62">
                  <c:v>0.75801696800372964</c:v>
                </c:pt>
                <c:pt idx="63">
                  <c:v>0.74930890034277875</c:v>
                </c:pt>
                <c:pt idx="64">
                  <c:v>0.74065807857540356</c:v>
                </c:pt>
                <c:pt idx="65">
                  <c:v>0.73208416275168464</c:v>
                </c:pt>
                <c:pt idx="66">
                  <c:v>0.72360773932282363</c:v>
                </c:pt>
                <c:pt idx="67">
                  <c:v>0.71525035148518334</c:v>
                </c:pt>
                <c:pt idx="68">
                  <c:v>0.70703452332611227</c:v>
                </c:pt>
                <c:pt idx="69">
                  <c:v>0.6989837761043064</c:v>
                </c:pt>
                <c:pt idx="70">
                  <c:v>0.69112263478833269</c:v>
                </c:pt>
                <c:pt idx="71">
                  <c:v>0.68347662277979826</c:v>
                </c:pt>
                <c:pt idx="72">
                  <c:v>0.67607224257708476</c:v>
                </c:pt>
                <c:pt idx="73">
                  <c:v>0.66893694000981641</c:v>
                </c:pt>
                <c:pt idx="74">
                  <c:v>0.66209904961532229</c:v>
                </c:pt>
                <c:pt idx="75">
                  <c:v>0.65558771876149879</c:v>
                </c:pt>
                <c:pt idx="76">
                  <c:v>0.64943280827309358</c:v>
                </c:pt>
                <c:pt idx="77">
                  <c:v>0.64366476761840707</c:v>
                </c:pt>
                <c:pt idx="78">
                  <c:v>0.63831448318618089</c:v>
                </c:pt>
                <c:pt idx="79">
                  <c:v>0.63341309884799035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9616100434998071E-2"/>
                  <c:y val="0.12832528889410166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факторы'!$E$9:$E$28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1250</c:v>
                </c:pt>
                <c:pt idx="7">
                  <c:v>1500</c:v>
                </c:pt>
                <c:pt idx="8">
                  <c:v>1750</c:v>
                </c:pt>
                <c:pt idx="9">
                  <c:v>2000</c:v>
                </c:pt>
                <c:pt idx="10">
                  <c:v>2250</c:v>
                </c:pt>
                <c:pt idx="11">
                  <c:v>2500</c:v>
                </c:pt>
                <c:pt idx="12">
                  <c:v>2750</c:v>
                </c:pt>
                <c:pt idx="13">
                  <c:v>3000</c:v>
                </c:pt>
                <c:pt idx="14">
                  <c:v>3250</c:v>
                </c:pt>
                <c:pt idx="15">
                  <c:v>3500</c:v>
                </c:pt>
                <c:pt idx="16">
                  <c:v>3750</c:v>
                </c:pt>
                <c:pt idx="17">
                  <c:v>4000</c:v>
                </c:pt>
                <c:pt idx="18">
                  <c:v>5000</c:v>
                </c:pt>
                <c:pt idx="19">
                  <c:v>6000</c:v>
                </c:pt>
              </c:numCache>
            </c:numRef>
          </c:xVal>
          <c:yVal>
            <c:numRef>
              <c:f>'количественные факторы'!$F$9:$F$28</c:f>
              <c:numCache>
                <c:formatCode>General</c:formatCode>
                <c:ptCount val="20"/>
                <c:pt idx="0">
                  <c:v>0.90917758867864051</c:v>
                </c:pt>
                <c:pt idx="1">
                  <c:v>0.90917758867864051</c:v>
                </c:pt>
                <c:pt idx="2">
                  <c:v>0.92970391057157775</c:v>
                </c:pt>
                <c:pt idx="3">
                  <c:v>0.96790026293098608</c:v>
                </c:pt>
                <c:pt idx="4">
                  <c:v>0.99028476918604813</c:v>
                </c:pt>
                <c:pt idx="5">
                  <c:v>0.99954137584142799</c:v>
                </c:pt>
                <c:pt idx="6">
                  <c:v>0.99764699840843041</c:v>
                </c:pt>
                <c:pt idx="7">
                  <c:v>0.98615965642159631</c:v>
                </c:pt>
                <c:pt idx="8">
                  <c:v>0.96638799386329832</c:v>
                </c:pt>
                <c:pt idx="9">
                  <c:v>0.93950454855611376</c:v>
                </c:pt>
                <c:pt idx="10">
                  <c:v>0.90663323154639996</c:v>
                </c:pt>
                <c:pt idx="11">
                  <c:v>0.86892854911863371</c:v>
                </c:pt>
                <c:pt idx="12">
                  <c:v>0.82765861809552432</c:v>
                </c:pt>
                <c:pt idx="13">
                  <c:v>0.78430118173155872</c:v>
                </c:pt>
                <c:pt idx="14">
                  <c:v>0.74065807857540356</c:v>
                </c:pt>
                <c:pt idx="15">
                  <c:v>0.6989837761043064</c:v>
                </c:pt>
                <c:pt idx="16">
                  <c:v>0.66209904961532229</c:v>
                </c:pt>
                <c:pt idx="17">
                  <c:v>0.63341309884799035</c:v>
                </c:pt>
                <c:pt idx="18">
                  <c:v>0.45</c:v>
                </c:pt>
                <c:pt idx="19">
                  <c:v>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DE-4B33-A77E-91C8B7C9D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47232"/>
        <c:axId val="399551152"/>
      </c:scatterChart>
      <c:valAx>
        <c:axId val="39954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51152"/>
        <c:crosses val="autoZero"/>
        <c:crossBetween val="midCat"/>
      </c:valAx>
      <c:valAx>
        <c:axId val="3995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4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7</xdr:row>
      <xdr:rowOff>76200</xdr:rowOff>
    </xdr:from>
    <xdr:to>
      <xdr:col>18</xdr:col>
      <xdr:colOff>190500</xdr:colOff>
      <xdr:row>26</xdr:row>
      <xdr:rowOff>90487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838199</xdr:colOff>
      <xdr:row>7</xdr:row>
      <xdr:rowOff>566737</xdr:rowOff>
    </xdr:from>
    <xdr:to>
      <xdr:col>40</xdr:col>
      <xdr:colOff>161925</xdr:colOff>
      <xdr:row>26</xdr:row>
      <xdr:rowOff>95250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847725</xdr:colOff>
      <xdr:row>27</xdr:row>
      <xdr:rowOff>95250</xdr:rowOff>
    </xdr:from>
    <xdr:to>
      <xdr:col>38</xdr:col>
      <xdr:colOff>485775</xdr:colOff>
      <xdr:row>49</xdr:row>
      <xdr:rowOff>171450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542925</xdr:colOff>
      <xdr:row>28</xdr:row>
      <xdr:rowOff>180975</xdr:rowOff>
    </xdr:from>
    <xdr:to>
      <xdr:col>19</xdr:col>
      <xdr:colOff>38100</xdr:colOff>
      <xdr:row>50</xdr:row>
      <xdr:rowOff>14287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M6"/>
  <sheetViews>
    <sheetView tabSelected="1" topLeftCell="AN1" zoomScale="82" zoomScaleNormal="82" workbookViewId="0">
      <selection activeCell="AZ5" sqref="AZ5"/>
    </sheetView>
  </sheetViews>
  <sheetFormatPr defaultColWidth="8.42578125" defaultRowHeight="15" x14ac:dyDescent="0.25"/>
  <cols>
    <col min="1" max="1" width="13.5703125" style="17" customWidth="1"/>
    <col min="2" max="3" width="12.5703125" style="17" bestFit="1" customWidth="1"/>
    <col min="4" max="4" width="12.85546875" style="17" bestFit="1" customWidth="1"/>
    <col min="5" max="5" width="14.42578125" style="17" bestFit="1" customWidth="1"/>
    <col min="6" max="14" width="12.85546875" style="17" bestFit="1" customWidth="1"/>
    <col min="15" max="15" width="12.5703125" style="17" bestFit="1" customWidth="1"/>
    <col min="16" max="16" width="12.85546875" style="17" bestFit="1" customWidth="1"/>
    <col min="17" max="17" width="19.42578125" style="17" bestFit="1" customWidth="1"/>
    <col min="18" max="18" width="12.5703125" style="17" bestFit="1" customWidth="1"/>
    <col min="19" max="19" width="13.140625" style="17" bestFit="1" customWidth="1"/>
    <col min="20" max="20" width="11" style="17" bestFit="1" customWidth="1"/>
    <col min="21" max="21" width="12.85546875" style="17" bestFit="1" customWidth="1"/>
    <col min="22" max="22" width="12.7109375" style="17" bestFit="1" customWidth="1"/>
    <col min="23" max="24" width="13.42578125" style="17" bestFit="1" customWidth="1"/>
    <col min="25" max="25" width="13" style="17" bestFit="1" customWidth="1"/>
    <col min="26" max="26" width="13.42578125" style="17" bestFit="1" customWidth="1"/>
    <col min="27" max="27" width="13.140625" style="17" bestFit="1" customWidth="1"/>
    <col min="28" max="28" width="12.85546875" style="17" bestFit="1" customWidth="1"/>
    <col min="29" max="29" width="10.5703125" style="17" bestFit="1" customWidth="1"/>
    <col min="30" max="30" width="12.85546875" style="17" bestFit="1" customWidth="1"/>
    <col min="31" max="31" width="12.28515625" style="17" bestFit="1" customWidth="1"/>
    <col min="32" max="32" width="12.85546875" style="17" bestFit="1" customWidth="1"/>
    <col min="33" max="34" width="13" style="17" bestFit="1" customWidth="1"/>
    <col min="35" max="35" width="11.5703125" style="17" bestFit="1" customWidth="1"/>
    <col min="36" max="36" width="12" style="17" bestFit="1" customWidth="1"/>
    <col min="37" max="37" width="13.140625" style="17" bestFit="1" customWidth="1"/>
    <col min="38" max="39" width="12.7109375" style="17" bestFit="1" customWidth="1"/>
    <col min="40" max="40" width="12.28515625" style="17" bestFit="1" customWidth="1"/>
    <col min="41" max="42" width="12.7109375" style="17" bestFit="1" customWidth="1"/>
    <col min="43" max="43" width="23.7109375" style="17" bestFit="1" customWidth="1"/>
    <col min="44" max="44" width="13.42578125" style="17" bestFit="1" customWidth="1"/>
    <col min="45" max="45" width="13" style="17" bestFit="1" customWidth="1"/>
    <col min="46" max="46" width="13.140625" style="17" bestFit="1" customWidth="1"/>
    <col min="47" max="47" width="12.7109375" style="17" bestFit="1" customWidth="1"/>
    <col min="48" max="48" width="10.7109375" style="17" bestFit="1" customWidth="1"/>
    <col min="49" max="49" width="12.85546875" style="17" bestFit="1" customWidth="1"/>
    <col min="50" max="50" width="17.28515625" style="17" bestFit="1" customWidth="1"/>
    <col min="51" max="51" width="26.85546875" style="17" bestFit="1" customWidth="1"/>
    <col min="52" max="53" width="13.140625" style="17" bestFit="1" customWidth="1"/>
    <col min="54" max="54" width="13.140625" style="17" customWidth="1"/>
    <col min="55" max="55" width="15.140625" style="17" bestFit="1" customWidth="1"/>
    <col min="56" max="56" width="22.85546875" style="17" bestFit="1" customWidth="1"/>
    <col min="57" max="57" width="6.42578125" style="17" bestFit="1" customWidth="1"/>
    <col min="58" max="58" width="21.42578125" style="17" bestFit="1" customWidth="1"/>
    <col min="59" max="59" width="4.140625" style="17" bestFit="1" customWidth="1"/>
    <col min="60" max="60" width="22.7109375" style="17" bestFit="1" customWidth="1"/>
    <col min="61" max="61" width="6.42578125" style="17" bestFit="1" customWidth="1"/>
    <col min="62" max="62" width="22" style="17" bestFit="1" customWidth="1"/>
    <col min="63" max="63" width="4.140625" style="17" bestFit="1" customWidth="1"/>
    <col min="64" max="64" width="22" style="17" bestFit="1" customWidth="1"/>
    <col min="65" max="65" width="4.140625" style="17" bestFit="1" customWidth="1"/>
    <col min="66" max="66" width="15.28515625" style="17" bestFit="1" customWidth="1"/>
    <col min="67" max="67" width="4.140625" style="17" bestFit="1" customWidth="1"/>
    <col min="68" max="68" width="15.5703125" style="17" bestFit="1" customWidth="1"/>
    <col min="69" max="69" width="6.42578125" style="17" bestFit="1" customWidth="1"/>
    <col min="70" max="70" width="10.140625" style="17" bestFit="1" customWidth="1"/>
    <col min="71" max="71" width="15.28515625" style="17" bestFit="1" customWidth="1"/>
    <col min="72" max="72" width="7.42578125" style="17" bestFit="1" customWidth="1"/>
    <col min="73" max="75" width="15.28515625" style="17" bestFit="1" customWidth="1"/>
    <col min="76" max="76" width="5.140625" style="17" bestFit="1" customWidth="1"/>
    <col min="77" max="77" width="7.28515625" style="17" bestFit="1" customWidth="1"/>
    <col min="78" max="78" width="9.85546875" style="17" bestFit="1" customWidth="1"/>
    <col min="79" max="79" width="17.7109375" style="17" bestFit="1" customWidth="1"/>
    <col min="80" max="80" width="10.5703125" style="17" bestFit="1" customWidth="1"/>
    <col min="81" max="81" width="22.28515625" style="17" bestFit="1" customWidth="1"/>
    <col min="82" max="82" width="16.5703125" style="140" bestFit="1" customWidth="1"/>
    <col min="83" max="83" width="13" style="150" bestFit="1" customWidth="1"/>
    <col min="84" max="84" width="40.140625" style="17" bestFit="1" customWidth="1"/>
    <col min="85" max="85" width="12.85546875" style="17" bestFit="1" customWidth="1"/>
    <col min="86" max="86" width="14.42578125" style="17" bestFit="1" customWidth="1"/>
    <col min="87" max="87" width="11.28515625" style="17" customWidth="1"/>
    <col min="88" max="88" width="10.28515625" style="17" bestFit="1" customWidth="1"/>
    <col min="89" max="89" width="13.140625" style="17" customWidth="1"/>
    <col min="90" max="90" width="23.28515625" style="17" customWidth="1"/>
    <col min="91" max="91" width="34.7109375" style="17" customWidth="1"/>
    <col min="92" max="16384" width="8.42578125" style="17"/>
  </cols>
  <sheetData>
    <row r="1" spans="1:91" s="19" customFormat="1" ht="51" customHeight="1" x14ac:dyDescent="0.25">
      <c r="A1" s="163" t="s">
        <v>16</v>
      </c>
      <c r="B1" s="163" t="s">
        <v>17</v>
      </c>
      <c r="C1" s="163" t="s">
        <v>18</v>
      </c>
      <c r="D1" s="163" t="s">
        <v>136</v>
      </c>
      <c r="E1" s="163" t="s">
        <v>323</v>
      </c>
      <c r="F1" s="163" t="s">
        <v>45</v>
      </c>
      <c r="G1" s="163" t="s">
        <v>47</v>
      </c>
      <c r="H1" s="163" t="s">
        <v>44</v>
      </c>
      <c r="I1" s="163" t="s">
        <v>48</v>
      </c>
      <c r="J1" s="163" t="s">
        <v>324</v>
      </c>
      <c r="K1" s="163" t="s">
        <v>27</v>
      </c>
      <c r="L1" s="163" t="s">
        <v>325</v>
      </c>
      <c r="M1" s="163" t="s">
        <v>70</v>
      </c>
      <c r="N1" s="163" t="s">
        <v>301</v>
      </c>
      <c r="O1" s="163" t="s">
        <v>300</v>
      </c>
      <c r="P1" s="163" t="s">
        <v>326</v>
      </c>
      <c r="Q1" s="163" t="s">
        <v>327</v>
      </c>
      <c r="R1" s="163" t="s">
        <v>328</v>
      </c>
      <c r="S1" s="163" t="s">
        <v>329</v>
      </c>
      <c r="T1" s="163" t="s">
        <v>19</v>
      </c>
      <c r="U1" s="163" t="s">
        <v>4</v>
      </c>
      <c r="V1" s="163" t="s">
        <v>9</v>
      </c>
      <c r="W1" s="163" t="s">
        <v>13</v>
      </c>
      <c r="X1" s="163" t="s">
        <v>10</v>
      </c>
      <c r="Y1" s="163" t="s">
        <v>330</v>
      </c>
      <c r="Z1" s="163" t="s">
        <v>331</v>
      </c>
      <c r="AA1" s="163" t="s">
        <v>332</v>
      </c>
      <c r="AB1" s="163" t="s">
        <v>333</v>
      </c>
      <c r="AC1" s="163" t="s">
        <v>334</v>
      </c>
      <c r="AD1" s="163" t="s">
        <v>335</v>
      </c>
      <c r="AE1" s="163" t="s">
        <v>336</v>
      </c>
      <c r="AF1" s="163" t="s">
        <v>337</v>
      </c>
      <c r="AG1" s="163" t="s">
        <v>338</v>
      </c>
      <c r="AH1" s="163" t="s">
        <v>339</v>
      </c>
      <c r="AI1" s="163" t="s">
        <v>340</v>
      </c>
      <c r="AJ1" s="163" t="s">
        <v>341</v>
      </c>
      <c r="AK1" s="163" t="s">
        <v>342</v>
      </c>
      <c r="AL1" s="163" t="s">
        <v>343</v>
      </c>
      <c r="AM1" s="163" t="s">
        <v>344</v>
      </c>
      <c r="AN1" s="163" t="s">
        <v>345</v>
      </c>
      <c r="AO1" s="168" t="s">
        <v>346</v>
      </c>
      <c r="AP1" s="169" t="s">
        <v>7950</v>
      </c>
      <c r="AQ1" s="167" t="s">
        <v>7951</v>
      </c>
      <c r="AR1" s="167" t="s">
        <v>7952</v>
      </c>
      <c r="AS1" s="163" t="s">
        <v>348</v>
      </c>
      <c r="AT1" s="163" t="s">
        <v>349</v>
      </c>
      <c r="AU1" s="163" t="s">
        <v>350</v>
      </c>
      <c r="AV1" s="163" t="s">
        <v>1352</v>
      </c>
      <c r="AW1" s="163" t="s">
        <v>1353</v>
      </c>
      <c r="AX1" s="163" t="s">
        <v>7381</v>
      </c>
      <c r="AY1" s="163" t="s">
        <v>7382</v>
      </c>
      <c r="AZ1" s="163" t="s">
        <v>7383</v>
      </c>
      <c r="BA1" s="167" t="s">
        <v>7953</v>
      </c>
      <c r="BB1" s="170"/>
      <c r="BC1" s="162"/>
      <c r="BD1" s="30" t="s">
        <v>317</v>
      </c>
      <c r="BE1" s="92" t="s">
        <v>116</v>
      </c>
      <c r="BF1" s="30" t="s">
        <v>45</v>
      </c>
      <c r="BG1" s="92" t="s">
        <v>117</v>
      </c>
      <c r="BH1" s="30" t="s">
        <v>47</v>
      </c>
      <c r="BI1" s="92" t="s">
        <v>118</v>
      </c>
      <c r="BJ1" s="30" t="s">
        <v>48</v>
      </c>
      <c r="BK1" s="92" t="s">
        <v>119</v>
      </c>
      <c r="BL1" s="30" t="s">
        <v>44</v>
      </c>
      <c r="BM1" s="92" t="s">
        <v>120</v>
      </c>
      <c r="BN1" s="30" t="s">
        <v>27</v>
      </c>
      <c r="BO1" s="92" t="s">
        <v>121</v>
      </c>
      <c r="BP1" s="30" t="s">
        <v>77</v>
      </c>
      <c r="BQ1" s="92" t="s">
        <v>122</v>
      </c>
      <c r="BR1" s="30" t="s">
        <v>7377</v>
      </c>
      <c r="BS1" s="152" t="s">
        <v>70</v>
      </c>
      <c r="BT1" s="92" t="s">
        <v>123</v>
      </c>
      <c r="BU1" s="93" t="s">
        <v>136</v>
      </c>
      <c r="BV1" s="92" t="s">
        <v>127</v>
      </c>
      <c r="BW1" s="31" t="s">
        <v>301</v>
      </c>
      <c r="BX1" s="92" t="s">
        <v>128</v>
      </c>
      <c r="BY1" s="30"/>
      <c r="BZ1" s="162"/>
      <c r="CA1" s="30" t="s">
        <v>146</v>
      </c>
      <c r="CB1" s="30" t="s">
        <v>147</v>
      </c>
      <c r="CC1" s="94" t="s">
        <v>148</v>
      </c>
      <c r="CD1" s="139" t="s">
        <v>149</v>
      </c>
      <c r="CE1" s="149">
        <v>8020</v>
      </c>
      <c r="CF1" s="158"/>
      <c r="CM1" s="164" t="s">
        <v>7949</v>
      </c>
    </row>
    <row r="2" spans="1:91" s="144" customFormat="1" ht="76.5" x14ac:dyDescent="0.25">
      <c r="A2" s="163" t="s">
        <v>7911</v>
      </c>
      <c r="B2" s="163" t="s">
        <v>315</v>
      </c>
      <c r="C2" s="163" t="s">
        <v>7912</v>
      </c>
      <c r="D2" s="163" t="s">
        <v>140</v>
      </c>
      <c r="E2" s="163" t="s">
        <v>28</v>
      </c>
      <c r="F2" s="163" t="s">
        <v>137</v>
      </c>
      <c r="G2" s="163" t="s">
        <v>29</v>
      </c>
      <c r="H2" s="163" t="s">
        <v>139</v>
      </c>
      <c r="I2" s="163" t="s">
        <v>138</v>
      </c>
      <c r="J2" s="163" t="s">
        <v>7913</v>
      </c>
      <c r="K2" s="163" t="s">
        <v>31</v>
      </c>
      <c r="L2" s="163" t="s">
        <v>90</v>
      </c>
      <c r="M2" s="163" t="s">
        <v>30</v>
      </c>
      <c r="N2" s="163" t="s">
        <v>314</v>
      </c>
      <c r="O2" s="163" t="s">
        <v>7914</v>
      </c>
      <c r="P2" s="163" t="s">
        <v>7915</v>
      </c>
      <c r="Q2" s="163" t="s">
        <v>142</v>
      </c>
      <c r="R2" s="163" t="s">
        <v>143</v>
      </c>
      <c r="S2" s="163" t="s">
        <v>145</v>
      </c>
      <c r="T2" s="163" t="s">
        <v>7916</v>
      </c>
      <c r="U2" s="163" t="s">
        <v>7917</v>
      </c>
      <c r="V2" s="163" t="s">
        <v>7918</v>
      </c>
      <c r="W2" s="163" t="s">
        <v>7919</v>
      </c>
      <c r="X2" s="163" t="s">
        <v>7920</v>
      </c>
      <c r="Y2" s="163" t="s">
        <v>7921</v>
      </c>
      <c r="Z2" s="163" t="s">
        <v>7922</v>
      </c>
      <c r="AA2" s="163" t="s">
        <v>7923</v>
      </c>
      <c r="AB2" s="163" t="s">
        <v>7924</v>
      </c>
      <c r="AC2" s="163" t="s">
        <v>7925</v>
      </c>
      <c r="AD2" s="163" t="s">
        <v>7926</v>
      </c>
      <c r="AE2" s="163" t="s">
        <v>7378</v>
      </c>
      <c r="AF2" s="163" t="s">
        <v>7927</v>
      </c>
      <c r="AG2" s="163" t="s">
        <v>7928</v>
      </c>
      <c r="AH2" s="163" t="s">
        <v>7929</v>
      </c>
      <c r="AI2" s="163" t="s">
        <v>7930</v>
      </c>
      <c r="AJ2" s="163" t="s">
        <v>7931</v>
      </c>
      <c r="AK2" s="163" t="s">
        <v>7932</v>
      </c>
      <c r="AL2" s="163" t="s">
        <v>7933</v>
      </c>
      <c r="AM2" s="163" t="s">
        <v>7934</v>
      </c>
      <c r="AN2" s="163" t="s">
        <v>7935</v>
      </c>
      <c r="AO2" s="163" t="s">
        <v>7910</v>
      </c>
      <c r="AP2" s="163" t="s">
        <v>316</v>
      </c>
      <c r="AQ2" s="163" t="s">
        <v>7936</v>
      </c>
      <c r="AR2" s="163" t="s">
        <v>7937</v>
      </c>
      <c r="AS2" s="163" t="s">
        <v>7938</v>
      </c>
      <c r="AT2" s="163" t="s">
        <v>7939</v>
      </c>
      <c r="AU2" s="163" t="s">
        <v>7940</v>
      </c>
      <c r="AV2" s="163" t="s">
        <v>7941</v>
      </c>
      <c r="AW2" s="163" t="s">
        <v>7942</v>
      </c>
      <c r="AX2" s="163" t="s">
        <v>7943</v>
      </c>
      <c r="AY2" s="163" t="s">
        <v>7944</v>
      </c>
      <c r="AZ2" s="163" t="s">
        <v>7945</v>
      </c>
      <c r="BA2" s="155" t="s">
        <v>1354</v>
      </c>
      <c r="BB2" s="171" t="s">
        <v>7954</v>
      </c>
      <c r="BC2" s="143" t="s">
        <v>315</v>
      </c>
      <c r="BD2" s="146" t="s">
        <v>28</v>
      </c>
      <c r="BE2" s="145"/>
      <c r="BF2" s="147" t="s">
        <v>137</v>
      </c>
      <c r="BG2" s="145"/>
      <c r="BH2" s="147" t="s">
        <v>29</v>
      </c>
      <c r="BI2" s="145"/>
      <c r="BJ2" s="146" t="s">
        <v>138</v>
      </c>
      <c r="BK2" s="145"/>
      <c r="BL2" s="146" t="s">
        <v>139</v>
      </c>
      <c r="BM2" s="145"/>
      <c r="BN2" s="147" t="s">
        <v>31</v>
      </c>
      <c r="BO2" s="145"/>
      <c r="BP2" s="147" t="s">
        <v>90</v>
      </c>
      <c r="BQ2" s="145"/>
      <c r="BR2" s="147"/>
      <c r="BS2" s="147" t="s">
        <v>30</v>
      </c>
      <c r="BT2" s="145"/>
      <c r="BU2" s="147" t="s">
        <v>140</v>
      </c>
      <c r="BV2" s="147" t="s">
        <v>313</v>
      </c>
      <c r="BW2" s="147" t="s">
        <v>314</v>
      </c>
      <c r="BX2" s="145"/>
      <c r="BY2" s="145"/>
      <c r="BZ2" s="145"/>
      <c r="CA2" s="147" t="s">
        <v>141</v>
      </c>
      <c r="CB2" s="147"/>
      <c r="CC2" s="145" t="s">
        <v>142</v>
      </c>
      <c r="CD2" s="148" t="s">
        <v>143</v>
      </c>
      <c r="CE2" s="151" t="s">
        <v>144</v>
      </c>
      <c r="CF2" s="147" t="s">
        <v>145</v>
      </c>
      <c r="CG2" s="28" t="s">
        <v>7378</v>
      </c>
      <c r="CH2" s="28" t="s">
        <v>316</v>
      </c>
      <c r="CI2" s="28" t="s">
        <v>7379</v>
      </c>
      <c r="CJ2" s="159" t="s">
        <v>7384</v>
      </c>
      <c r="CK2" s="160" t="s">
        <v>7385</v>
      </c>
      <c r="CL2" s="161" t="s">
        <v>7910</v>
      </c>
      <c r="CM2" s="165" t="s">
        <v>7948</v>
      </c>
    </row>
    <row r="3" spans="1:91" s="144" customFormat="1" x14ac:dyDescent="0.25">
      <c r="A3" s="163" t="s">
        <v>7946</v>
      </c>
      <c r="B3" s="163" t="s">
        <v>7946</v>
      </c>
      <c r="C3" s="163" t="s">
        <v>7946</v>
      </c>
      <c r="D3" s="163" t="s">
        <v>7946</v>
      </c>
      <c r="E3" s="163" t="s">
        <v>7946</v>
      </c>
      <c r="F3" s="163" t="s">
        <v>7946</v>
      </c>
      <c r="G3" s="163" t="s">
        <v>7946</v>
      </c>
      <c r="H3" s="163" t="s">
        <v>7946</v>
      </c>
      <c r="I3" s="163" t="s">
        <v>7946</v>
      </c>
      <c r="J3" s="163" t="s">
        <v>7946</v>
      </c>
      <c r="K3" s="163" t="s">
        <v>7946</v>
      </c>
      <c r="L3" s="163" t="s">
        <v>7946</v>
      </c>
      <c r="M3" s="163" t="s">
        <v>7946</v>
      </c>
      <c r="N3" s="163" t="s">
        <v>7946</v>
      </c>
      <c r="O3" s="163" t="s">
        <v>7946</v>
      </c>
      <c r="P3" s="163" t="s">
        <v>7946</v>
      </c>
      <c r="Q3" s="163" t="s">
        <v>7946</v>
      </c>
      <c r="R3" s="163" t="s">
        <v>7946</v>
      </c>
      <c r="S3" s="163" t="s">
        <v>7946</v>
      </c>
      <c r="T3" s="163" t="s">
        <v>7946</v>
      </c>
      <c r="U3" s="163" t="s">
        <v>7946</v>
      </c>
      <c r="V3" s="163" t="s">
        <v>7946</v>
      </c>
      <c r="W3" s="163" t="s">
        <v>7946</v>
      </c>
      <c r="X3" s="163" t="s">
        <v>7946</v>
      </c>
      <c r="Y3" s="163" t="s">
        <v>7946</v>
      </c>
      <c r="Z3" s="163" t="s">
        <v>7946</v>
      </c>
      <c r="AA3" s="163" t="s">
        <v>7946</v>
      </c>
      <c r="AB3" s="163" t="s">
        <v>7946</v>
      </c>
      <c r="AC3" s="163" t="s">
        <v>7946</v>
      </c>
      <c r="AD3" s="163" t="s">
        <v>7946</v>
      </c>
      <c r="AE3" s="163" t="s">
        <v>7946</v>
      </c>
      <c r="AF3" s="163" t="s">
        <v>7946</v>
      </c>
      <c r="AG3" s="163" t="s">
        <v>7946</v>
      </c>
      <c r="AH3" s="163" t="s">
        <v>7946</v>
      </c>
      <c r="AI3" s="163" t="s">
        <v>7946</v>
      </c>
      <c r="AJ3" s="163" t="s">
        <v>7946</v>
      </c>
      <c r="AK3" s="163" t="s">
        <v>7946</v>
      </c>
      <c r="AL3" s="163" t="s">
        <v>7946</v>
      </c>
      <c r="AM3" s="163" t="s">
        <v>7946</v>
      </c>
      <c r="AN3" s="163" t="s">
        <v>7946</v>
      </c>
      <c r="AO3" s="163" t="s">
        <v>7946</v>
      </c>
      <c r="AP3" s="163" t="s">
        <v>7946</v>
      </c>
      <c r="AQ3" s="163" t="s">
        <v>7946</v>
      </c>
      <c r="AR3" s="163" t="s">
        <v>7946</v>
      </c>
      <c r="AS3" s="163" t="s">
        <v>7946</v>
      </c>
      <c r="AT3" s="163" t="s">
        <v>7946</v>
      </c>
      <c r="AU3" s="163" t="s">
        <v>7946</v>
      </c>
      <c r="AV3" s="163" t="s">
        <v>7946</v>
      </c>
      <c r="AW3" s="163" t="s">
        <v>7946</v>
      </c>
      <c r="AX3" s="163" t="s">
        <v>7946</v>
      </c>
      <c r="AY3" s="163" t="s">
        <v>7946</v>
      </c>
      <c r="AZ3" s="163" t="s">
        <v>7946</v>
      </c>
      <c r="BA3" s="155"/>
      <c r="BB3" s="155"/>
      <c r="BC3" s="143"/>
      <c r="BD3" s="146"/>
      <c r="BE3" s="145"/>
      <c r="BF3" s="147"/>
      <c r="BG3" s="145"/>
      <c r="BH3" s="147"/>
      <c r="BI3" s="145"/>
      <c r="BJ3" s="146"/>
      <c r="BK3" s="145"/>
      <c r="BL3" s="146"/>
      <c r="BM3" s="145"/>
      <c r="BN3" s="147"/>
      <c r="BO3" s="145"/>
      <c r="BP3" s="147"/>
      <c r="BQ3" s="145"/>
      <c r="BR3" s="147"/>
      <c r="BS3" s="147"/>
      <c r="BT3" s="145"/>
      <c r="BU3" s="147"/>
      <c r="BV3" s="147"/>
      <c r="BW3" s="147"/>
      <c r="BX3" s="145"/>
      <c r="BY3" s="145"/>
      <c r="BZ3" s="145"/>
      <c r="CA3" s="147"/>
      <c r="CB3" s="147"/>
      <c r="CC3" s="145"/>
      <c r="CD3" s="148"/>
      <c r="CE3" s="151"/>
      <c r="CF3" s="147"/>
      <c r="CG3" s="28"/>
      <c r="CH3" s="28"/>
      <c r="CI3" s="28"/>
      <c r="CJ3" s="159"/>
      <c r="CK3" s="160"/>
      <c r="CL3" s="161"/>
    </row>
    <row r="4" spans="1:91" s="27" customFormat="1" ht="36.75" customHeight="1" x14ac:dyDescent="0.25">
      <c r="A4" s="172"/>
      <c r="B4" s="173"/>
      <c r="C4" s="173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2"/>
      <c r="P4" s="172"/>
      <c r="Q4" s="174"/>
      <c r="R4" s="174"/>
      <c r="S4" s="174"/>
      <c r="T4" s="172"/>
      <c r="U4" s="174"/>
      <c r="V4" s="174"/>
      <c r="W4" s="174"/>
      <c r="X4" s="174"/>
      <c r="Y4" s="174"/>
      <c r="Z4" s="174"/>
      <c r="AA4" s="174"/>
      <c r="AB4" s="173"/>
      <c r="AC4" s="174"/>
      <c r="AD4" s="172"/>
      <c r="AE4" s="172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2"/>
      <c r="AR4" s="173"/>
      <c r="AS4" s="172"/>
      <c r="AT4" s="172"/>
      <c r="AU4" s="174"/>
      <c r="AV4" s="174"/>
      <c r="AW4" s="174"/>
      <c r="AX4" s="172"/>
      <c r="AY4" s="172"/>
      <c r="AZ4" s="173"/>
      <c r="BA4" s="154">
        <f>IF(OR(AR4="13:021",AR4="13:011"),IF(AV4="Коттеджные_поселки","13:031",AR4),IF(OR(AR4="02:010",AR4="02:011",AR4="02:020",AR4="02:021",AR4="02:023"),IF(AV4="Коттеджные_поселки","02:019",AR4),AR4))</f>
        <v>0</v>
      </c>
      <c r="BB4" s="154" t="str">
        <f>IF(AU4="",IF(AF4&lt;&gt;"","ОСПАРИВАНИЕ",IF(Y4="","",Y4)),AU4)</f>
        <v/>
      </c>
      <c r="BC4" s="27">
        <f>B4</f>
        <v>0</v>
      </c>
      <c r="BD4" s="27" t="e">
        <f>VLOOKUP(BA4,модули!$K$27:$L$37,2,0)</f>
        <v>#N/A</v>
      </c>
      <c r="BE4" s="27" t="e">
        <f>VLOOKUP(BD4,модули!$L$27:'модули'!$M$37,2,FALSE)</f>
        <v>#N/A</v>
      </c>
      <c r="BF4" s="27" t="s">
        <v>46</v>
      </c>
      <c r="BG4" s="27">
        <f>VLOOKUP(BF4,модули!$B$7:'модули'!$D$18,3,FALSE)</f>
        <v>1</v>
      </c>
      <c r="BH4" s="27" t="s">
        <v>9</v>
      </c>
      <c r="BI4" s="27">
        <f>VLOOKUP(BH4,модули!$F$7:'модули'!$H$18,3,FALSE)</f>
        <v>1.2297</v>
      </c>
      <c r="BJ4" s="27" t="s">
        <v>24</v>
      </c>
      <c r="BK4" s="27">
        <f>VLOOKUP(BJ4,модули!$J$7:'модули'!$L$18,3,FALSE)</f>
        <v>1</v>
      </c>
      <c r="BL4" s="27" t="s">
        <v>26</v>
      </c>
      <c r="BM4" s="27">
        <f>VLOOKUP(BL4,модули!$N$7:'модули'!$P$18,3,FALSE)</f>
        <v>1</v>
      </c>
      <c r="BN4" s="27" t="s">
        <v>14</v>
      </c>
      <c r="BO4" s="27">
        <f>VLOOKUP(BN4,модули!$R$7:'модули'!$T$16,3,FALSE)</f>
        <v>1</v>
      </c>
      <c r="BP4" s="27" t="s">
        <v>75</v>
      </c>
      <c r="BQ4" s="27">
        <f>VLOOKUP(BP4,модули!$V$7:'модули'!$X$17,3,FALSE)</f>
        <v>1.2423</v>
      </c>
      <c r="BR4" s="27" t="e">
        <f>IFERROR(IF(P4="",VLOOKUP(C4,модули!$Q$26:$R$7017,2,0),P4),VLOOKUP(AB4,модули!$T$26:$U$39,2,0))</f>
        <v>#N/A</v>
      </c>
      <c r="BS4" s="27" t="e">
        <f>VLOOKUP(BR4,модули!$A$27:$B$90,2,0)</f>
        <v>#N/A</v>
      </c>
      <c r="BT4" s="18" t="e">
        <f>VLOOKUP(BS4,модули!$B$27:'модули'!$D$90,3,FALSE)</f>
        <v>#N/A</v>
      </c>
      <c r="BU4" s="27">
        <f>T4</f>
        <v>0</v>
      </c>
      <c r="BV4" s="17">
        <f>ROUND(IF(BU4&lt;модули!$A$99,модули!$B$99,IF(BU4&gt;модули!$A$100,модули!$B$100,( ( -0.00000000000000024*BU4^4 + 0.00000000001297181*BU4^3- 0.00000011794827687*BU4^2 + 0.00020947190264916*BU4 + 0.892271997522451)))),4)</f>
        <v>0.89229999999999998</v>
      </c>
      <c r="BW4" s="27" t="e">
        <f>IF(O4="",VLOOKUP(BR4,модули!$F$27:$G$90,2,0),O4)</f>
        <v>#N/A</v>
      </c>
      <c r="BX4" s="17" t="e">
        <f>ROUND(EXP(LN(IF(BW4&lt;модули!$H$99,модули!$I$99,IF(BW4&gt;модули!$H$100,модули!$I$100,((9.167685587011E-08*(BW4)^4+0.000015289662956704*(BW4)^3-0.00161875861673315*(BW4)^2+0.0151997782316484*(BW4)+0.962501568438211)))))*модули!$K$98),4)</f>
        <v>#N/A</v>
      </c>
      <c r="BY4" s="27">
        <f>коэффициенты!$G$2</f>
        <v>501.25900000000001</v>
      </c>
      <c r="BZ4" s="27" t="e">
        <f>BI4*BG4*BK4*BM4*BO4*BQ4*BE4*BT4*BV4*BX4*BY4</f>
        <v>#N/A</v>
      </c>
      <c r="CA4" s="27" t="s">
        <v>131</v>
      </c>
      <c r="CB4" s="27">
        <f>0.91</f>
        <v>0.91</v>
      </c>
      <c r="CC4" s="141" t="e">
        <f t="shared" ref="CC4" si="0">ROUND(CB4*BZ4,2)</f>
        <v>#N/A</v>
      </c>
      <c r="CD4" s="141" t="e">
        <f>ROUND(CC4*BU4,2)</f>
        <v>#N/A</v>
      </c>
      <c r="CE4" s="149">
        <f>$CE$1</f>
        <v>8020</v>
      </c>
      <c r="CF4" s="138" t="s">
        <v>7947</v>
      </c>
      <c r="CG4" s="17" t="e">
        <f>IF(OR(CD4&lt;0,CD4=0),"ОТРИЦАТЕЛЬНОЕ ЗНАЧЕНИЕ","Готов")</f>
        <v>#N/A</v>
      </c>
      <c r="CH4" s="17">
        <f>BA4</f>
        <v>0</v>
      </c>
      <c r="CI4" s="17" t="s">
        <v>7380</v>
      </c>
      <c r="CJ4" s="27">
        <f>13</f>
        <v>13</v>
      </c>
      <c r="CK4" s="27" t="e">
        <f>VLOOKUP(CH4,'справочник ври'!$A$3:$B$271,2,0)</f>
        <v>#N/A</v>
      </c>
      <c r="CL4" s="161">
        <f>AQ4</f>
        <v>0</v>
      </c>
      <c r="CM4" s="166" t="e">
        <f>IF(OR(CC4&lt;19,CC4&gt;1914),"Отклонение УПКС","УПКС в допустимом интервале")</f>
        <v>#N/A</v>
      </c>
    </row>
    <row r="5" spans="1:91" x14ac:dyDescent="0.25">
      <c r="BA5" s="154">
        <f t="shared" ref="BA5:BA6" si="1">IF(OR(AR5="13:021",AR5="13:011"),IF(AV5="Коттеджные_поселки","13:031",AR5),IF(OR(AR5="02:010",AR5="02:011",AR5="02:020",AR5="02:021",AR5="02:023"),IF(AV5="Коттеджные_поселки","02:019",AR5),AR5))</f>
        <v>0</v>
      </c>
      <c r="BB5" s="154" t="str">
        <f t="shared" ref="BB5:BB6" si="2">IF(AU5="",IF(AF5&lt;&gt;"","ОСПАРИВАНИЕ",IF(Y5="","",Y5)),AU5)</f>
        <v/>
      </c>
      <c r="BC5" s="27">
        <f t="shared" ref="BC5:BC6" si="3">B5</f>
        <v>0</v>
      </c>
      <c r="BD5" s="27" t="e">
        <f>VLOOKUP(BA5,модули!$K$27:$L$37,2,0)</f>
        <v>#N/A</v>
      </c>
      <c r="BE5" s="27" t="e">
        <f>VLOOKUP(BD5,модули!$L$27:'модули'!$M$37,2,FALSE)</f>
        <v>#N/A</v>
      </c>
      <c r="BF5" s="27" t="s">
        <v>46</v>
      </c>
      <c r="BG5" s="27">
        <f>VLOOKUP(BF5,модули!$B$7:'модули'!$D$18,3,FALSE)</f>
        <v>1</v>
      </c>
      <c r="BH5" s="27" t="s">
        <v>9</v>
      </c>
      <c r="BI5" s="27">
        <f>VLOOKUP(BH5,модули!$F$7:'модули'!$H$18,3,FALSE)</f>
        <v>1.2297</v>
      </c>
      <c r="BJ5" s="27" t="s">
        <v>24</v>
      </c>
      <c r="BK5" s="27">
        <f>VLOOKUP(BJ5,модули!$J$7:'модули'!$L$18,3,FALSE)</f>
        <v>1</v>
      </c>
      <c r="BL5" s="27" t="s">
        <v>26</v>
      </c>
      <c r="BM5" s="27">
        <f>VLOOKUP(BL5,модули!$N$7:'модули'!$P$18,3,FALSE)</f>
        <v>1</v>
      </c>
      <c r="BN5" s="27" t="s">
        <v>14</v>
      </c>
      <c r="BO5" s="27">
        <f>VLOOKUP(BN5,модули!$R$7:'модули'!$T$16,3,FALSE)</f>
        <v>1</v>
      </c>
      <c r="BP5" s="27" t="s">
        <v>75</v>
      </c>
      <c r="BQ5" s="27">
        <f>VLOOKUP(BP5,модули!$V$7:'модули'!$X$17,3,FALSE)</f>
        <v>1.2423</v>
      </c>
      <c r="BR5" s="27" t="e">
        <f>IFERROR(IF(P5="",VLOOKUP(C5,модули!$Q$26:$R$7017,2,0),P5),VLOOKUP(AB5,модули!$T$26:$U$39,2,0))</f>
        <v>#N/A</v>
      </c>
      <c r="BS5" s="27" t="e">
        <f>VLOOKUP(BR5,модули!$A$27:$B$90,2,0)</f>
        <v>#N/A</v>
      </c>
      <c r="BT5" s="18" t="e">
        <f>VLOOKUP(BS5,модули!$B$27:'модули'!$D$90,3,FALSE)</f>
        <v>#N/A</v>
      </c>
      <c r="BU5" s="27">
        <f t="shared" ref="BU5:BU6" si="4">T5</f>
        <v>0</v>
      </c>
      <c r="BV5" s="17">
        <f>ROUND(IF(BU5&lt;модули!$A$99,модули!$B$99,IF(BU5&gt;модули!$A$100,модули!$B$100,( ( -0.00000000000000024*BU5^4 + 0.00000000001297181*BU5^3- 0.00000011794827687*BU5^2 + 0.00020947190264916*BU5 + 0.892271997522451)))),4)</f>
        <v>0.89229999999999998</v>
      </c>
      <c r="BW5" s="27" t="e">
        <f>IF(O5="",VLOOKUP(BR5,модули!$F$27:$G$90,2,0),O5)</f>
        <v>#N/A</v>
      </c>
      <c r="BX5" s="17" t="e">
        <f>ROUND(EXP(LN(IF(BW5&lt;модули!$H$99,модули!$I$99,IF(BW5&gt;модули!$H$100,модули!$I$100,((9.167685587011E-08*(BW5)^4+0.000015289662956704*(BW5)^3-0.00161875861673315*(BW5)^2+0.0151997782316484*(BW5)+0.962501568438211)))))*модули!$K$98),4)</f>
        <v>#N/A</v>
      </c>
      <c r="BY5" s="27">
        <f>коэффициенты!$G$2</f>
        <v>501.25900000000001</v>
      </c>
      <c r="BZ5" s="27" t="e">
        <f t="shared" ref="BZ5:BZ6" si="5">BI5*BG5*BK5*BM5*BO5*BQ5*BE5*BT5*BV5*BX5*BY5</f>
        <v>#N/A</v>
      </c>
      <c r="CA5" s="27" t="s">
        <v>131</v>
      </c>
      <c r="CB5" s="27">
        <f t="shared" ref="CB5:CB6" si="6">0.91</f>
        <v>0.91</v>
      </c>
      <c r="CC5" s="141" t="e">
        <f t="shared" ref="CC5:CC6" si="7">ROUND(CB5*BZ5,2)</f>
        <v>#N/A</v>
      </c>
      <c r="CD5" s="141" t="e">
        <f t="shared" ref="CD5:CD6" si="8">ROUND(CC5*BU5,2)</f>
        <v>#N/A</v>
      </c>
      <c r="CE5" s="149">
        <f t="shared" ref="CE5:CE6" si="9">$CE$1</f>
        <v>8020</v>
      </c>
      <c r="CF5" s="138" t="s">
        <v>7947</v>
      </c>
      <c r="CG5" s="17" t="e">
        <f t="shared" ref="CG5:CG6" si="10">IF(OR(CD5&lt;0,CD5=0),"ОТРИЦАТЕЛЬНОЕ ЗНАЧЕНИЕ","Готов")</f>
        <v>#N/A</v>
      </c>
      <c r="CH5" s="17">
        <f t="shared" ref="CH5:CH6" si="11">BA5</f>
        <v>0</v>
      </c>
      <c r="CI5" s="17" t="s">
        <v>7380</v>
      </c>
      <c r="CJ5" s="27">
        <f>13</f>
        <v>13</v>
      </c>
      <c r="CK5" s="27" t="e">
        <f>VLOOKUP(CH5,'справочник ври'!$A$3:$B$271,2,0)</f>
        <v>#N/A</v>
      </c>
      <c r="CL5" s="161">
        <f t="shared" ref="CL5:CL6" si="12">AQ5</f>
        <v>0</v>
      </c>
      <c r="CM5" s="166" t="e">
        <f t="shared" ref="CM5:CM6" si="13">IF(OR(CC5&lt;19,CC5&gt;1914),"Отклонение УПКС","УПКС в допустимом интервале")</f>
        <v>#N/A</v>
      </c>
    </row>
    <row r="6" spans="1:91" x14ac:dyDescent="0.25">
      <c r="A6" s="17" t="s">
        <v>7955</v>
      </c>
      <c r="BA6" s="154">
        <f t="shared" si="1"/>
        <v>0</v>
      </c>
      <c r="BB6" s="154" t="str">
        <f t="shared" si="2"/>
        <v/>
      </c>
      <c r="BC6" s="27">
        <f t="shared" si="3"/>
        <v>0</v>
      </c>
      <c r="BD6" s="27" t="e">
        <f>VLOOKUP(BA6,модули!$K$27:$L$37,2,0)</f>
        <v>#N/A</v>
      </c>
      <c r="BE6" s="27" t="e">
        <f>VLOOKUP(BD6,модули!$L$27:'модули'!$M$37,2,FALSE)</f>
        <v>#N/A</v>
      </c>
      <c r="BF6" s="27" t="s">
        <v>46</v>
      </c>
      <c r="BG6" s="27">
        <f>VLOOKUP(BF6,модули!$B$7:'модули'!$D$18,3,FALSE)</f>
        <v>1</v>
      </c>
      <c r="BH6" s="27" t="s">
        <v>9</v>
      </c>
      <c r="BI6" s="27">
        <f>VLOOKUP(BH6,модули!$F$7:'модули'!$H$18,3,FALSE)</f>
        <v>1.2297</v>
      </c>
      <c r="BJ6" s="27" t="s">
        <v>24</v>
      </c>
      <c r="BK6" s="27">
        <f>VLOOKUP(BJ6,модули!$J$7:'модули'!$L$18,3,FALSE)</f>
        <v>1</v>
      </c>
      <c r="BL6" s="27" t="s">
        <v>26</v>
      </c>
      <c r="BM6" s="27">
        <f>VLOOKUP(BL6,модули!$N$7:'модули'!$P$18,3,FALSE)</f>
        <v>1</v>
      </c>
      <c r="BN6" s="27" t="s">
        <v>14</v>
      </c>
      <c r="BO6" s="27">
        <f>VLOOKUP(BN6,модули!$R$7:'модули'!$T$16,3,FALSE)</f>
        <v>1</v>
      </c>
      <c r="BP6" s="27" t="s">
        <v>75</v>
      </c>
      <c r="BQ6" s="27">
        <f>VLOOKUP(BP6,модули!$V$7:'модули'!$X$17,3,FALSE)</f>
        <v>1.2423</v>
      </c>
      <c r="BR6" s="27" t="e">
        <f>IFERROR(IF(P6="",VLOOKUP(C6,модули!$Q$26:$R$7017,2,0),P6),VLOOKUP(AB6,модули!$T$26:$U$39,2,0))</f>
        <v>#N/A</v>
      </c>
      <c r="BS6" s="27" t="e">
        <f>VLOOKUP(BR6,модули!$A$27:$B$90,2,0)</f>
        <v>#N/A</v>
      </c>
      <c r="BT6" s="18" t="e">
        <f>VLOOKUP(BS6,модули!$B$27:'модули'!$D$90,3,FALSE)</f>
        <v>#N/A</v>
      </c>
      <c r="BU6" s="27">
        <f t="shared" si="4"/>
        <v>0</v>
      </c>
      <c r="BV6" s="17">
        <f>ROUND(IF(BU6&lt;модули!$A$99,модули!$B$99,IF(BU6&gt;модули!$A$100,модули!$B$100,( ( -0.00000000000000024*BU6^4 + 0.00000000001297181*BU6^3- 0.00000011794827687*BU6^2 + 0.00020947190264916*BU6 + 0.892271997522451)))),4)</f>
        <v>0.89229999999999998</v>
      </c>
      <c r="BW6" s="27" t="e">
        <f>IF(O6="",VLOOKUP(BR6,модули!$F$27:$G$90,2,0),O6)</f>
        <v>#N/A</v>
      </c>
      <c r="BX6" s="17" t="e">
        <f>ROUND(EXP(LN(IF(BW6&lt;модули!$H$99,модули!$I$99,IF(BW6&gt;модули!$H$100,модули!$I$100,((9.167685587011E-08*(BW6)^4+0.000015289662956704*(BW6)^3-0.00161875861673315*(BW6)^2+0.0151997782316484*(BW6)+0.962501568438211)))))*модули!$K$98),4)</f>
        <v>#N/A</v>
      </c>
      <c r="BY6" s="27">
        <f>коэффициенты!$G$2</f>
        <v>501.25900000000001</v>
      </c>
      <c r="BZ6" s="27" t="e">
        <f t="shared" si="5"/>
        <v>#N/A</v>
      </c>
      <c r="CA6" s="27" t="s">
        <v>131</v>
      </c>
      <c r="CB6" s="27">
        <f t="shared" si="6"/>
        <v>0.91</v>
      </c>
      <c r="CC6" s="141" t="e">
        <f t="shared" si="7"/>
        <v>#N/A</v>
      </c>
      <c r="CD6" s="141" t="e">
        <f t="shared" si="8"/>
        <v>#N/A</v>
      </c>
      <c r="CE6" s="149">
        <f t="shared" si="9"/>
        <v>8020</v>
      </c>
      <c r="CF6" s="138" t="s">
        <v>7947</v>
      </c>
      <c r="CG6" s="17" t="e">
        <f t="shared" si="10"/>
        <v>#N/A</v>
      </c>
      <c r="CH6" s="17">
        <f t="shared" si="11"/>
        <v>0</v>
      </c>
      <c r="CI6" s="17" t="s">
        <v>7380</v>
      </c>
      <c r="CJ6" s="27">
        <f>13</f>
        <v>13</v>
      </c>
      <c r="CK6" s="27" t="e">
        <f>VLOOKUP(CH6,'справочник ври'!$A$3:$B$271,2,0)</f>
        <v>#N/A</v>
      </c>
      <c r="CL6" s="161">
        <f t="shared" si="12"/>
        <v>0</v>
      </c>
      <c r="CM6" s="166" t="e">
        <f t="shared" si="13"/>
        <v>#N/A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P89"/>
  <sheetViews>
    <sheetView workbookViewId="0">
      <selection activeCell="D35" sqref="D35"/>
    </sheetView>
  </sheetViews>
  <sheetFormatPr defaultColWidth="9.140625" defaultRowHeight="12.75" x14ac:dyDescent="0.2"/>
  <cols>
    <col min="1" max="1" width="9.140625" style="39"/>
    <col min="2" max="2" width="17.28515625" style="39" customWidth="1"/>
    <col min="3" max="3" width="14.28515625" style="39" customWidth="1"/>
    <col min="4" max="4" width="9.140625" style="87" customWidth="1"/>
    <col min="5" max="5" width="23.28515625" style="39" customWidth="1"/>
    <col min="6" max="6" width="22" style="88" customWidth="1"/>
    <col min="7" max="7" width="15.7109375" style="89" customWidth="1"/>
    <col min="8" max="8" width="15.7109375" style="90" customWidth="1"/>
    <col min="9" max="9" width="15.7109375" style="91" customWidth="1"/>
    <col min="10" max="10" width="12.85546875" style="39" customWidth="1"/>
    <col min="11" max="11" width="11.85546875" style="39" customWidth="1"/>
    <col min="12" max="12" width="13.42578125" style="39" customWidth="1"/>
    <col min="13" max="13" width="14.85546875" style="39" customWidth="1"/>
    <col min="14" max="14" width="9.140625" style="39" hidden="1" customWidth="1"/>
    <col min="15" max="15" width="9.140625" style="39"/>
    <col min="16" max="16" width="19.7109375" style="39" hidden="1" customWidth="1"/>
    <col min="17" max="17" width="0" style="39" hidden="1" customWidth="1"/>
    <col min="18" max="16384" width="9.140625" style="39"/>
  </cols>
  <sheetData>
    <row r="1" spans="1:16" ht="57.75" customHeight="1" x14ac:dyDescent="0.2">
      <c r="A1" s="32" t="s">
        <v>102</v>
      </c>
      <c r="B1" s="32" t="s">
        <v>103</v>
      </c>
      <c r="C1" s="32" t="s">
        <v>104</v>
      </c>
      <c r="D1" s="32" t="s">
        <v>95</v>
      </c>
      <c r="E1" s="32" t="s">
        <v>96</v>
      </c>
      <c r="F1" s="33" t="s">
        <v>105</v>
      </c>
      <c r="G1" s="34" t="s">
        <v>106</v>
      </c>
      <c r="H1" s="35" t="s">
        <v>107</v>
      </c>
      <c r="I1" s="36" t="s">
        <v>108</v>
      </c>
      <c r="J1" s="32" t="s">
        <v>109</v>
      </c>
      <c r="K1" s="32" t="s">
        <v>110</v>
      </c>
      <c r="L1" s="32" t="s">
        <v>111</v>
      </c>
      <c r="M1" s="32" t="s">
        <v>112</v>
      </c>
      <c r="N1" s="37"/>
      <c r="O1" s="32" t="s">
        <v>113</v>
      </c>
      <c r="P1" s="38" t="s">
        <v>114</v>
      </c>
    </row>
    <row r="2" spans="1:16" ht="15" x14ac:dyDescent="0.25">
      <c r="A2" s="40"/>
      <c r="B2" s="41"/>
      <c r="C2" s="41"/>
      <c r="D2" s="40"/>
      <c r="E2" s="41"/>
      <c r="F2" s="17">
        <v>6.2171229480000001</v>
      </c>
      <c r="G2" s="42">
        <f t="shared" ref="G2:G65" si="0">ROUND(EXP(F2),4)</f>
        <v>501.25900000000001</v>
      </c>
      <c r="H2" s="43"/>
      <c r="I2" s="44"/>
      <c r="J2" s="41"/>
      <c r="K2" s="41"/>
      <c r="L2" s="41"/>
      <c r="M2" s="41"/>
      <c r="O2" s="41"/>
      <c r="P2" s="45"/>
    </row>
    <row r="3" spans="1:16" ht="30.75" customHeight="1" x14ac:dyDescent="0.2">
      <c r="A3" s="46">
        <v>8020</v>
      </c>
      <c r="B3" s="47" t="s">
        <v>69</v>
      </c>
      <c r="C3" s="46" t="s">
        <v>115</v>
      </c>
      <c r="D3" s="40" t="s">
        <v>0</v>
      </c>
      <c r="E3" s="47" t="s">
        <v>80</v>
      </c>
      <c r="F3" s="48">
        <v>0</v>
      </c>
      <c r="G3" s="42">
        <f t="shared" si="0"/>
        <v>1</v>
      </c>
      <c r="H3" s="43"/>
      <c r="I3" s="44"/>
      <c r="J3" s="41"/>
      <c r="K3" s="41"/>
      <c r="L3" s="41"/>
      <c r="M3" s="41"/>
      <c r="N3" s="49"/>
      <c r="O3" s="176" t="s">
        <v>116</v>
      </c>
      <c r="P3" s="45">
        <f>F3</f>
        <v>0</v>
      </c>
    </row>
    <row r="4" spans="1:16" ht="25.5" x14ac:dyDescent="0.25">
      <c r="A4" s="51">
        <v>8020</v>
      </c>
      <c r="B4" s="50"/>
      <c r="C4" s="51"/>
      <c r="D4" s="40" t="s">
        <v>1</v>
      </c>
      <c r="E4" s="47" t="s">
        <v>81</v>
      </c>
      <c r="F4" s="17">
        <v>9.8466460000000006E-2</v>
      </c>
      <c r="G4" s="42">
        <f t="shared" si="0"/>
        <v>1.1034999999999999</v>
      </c>
      <c r="H4" s="43"/>
      <c r="I4" s="44"/>
      <c r="J4" s="41"/>
      <c r="K4" s="41"/>
      <c r="L4" s="41"/>
      <c r="M4" s="41"/>
      <c r="N4" s="49"/>
      <c r="O4" s="175"/>
      <c r="P4" s="45">
        <f>F4</f>
        <v>9.8466460000000006E-2</v>
      </c>
    </row>
    <row r="5" spans="1:16" ht="25.5" x14ac:dyDescent="0.25">
      <c r="A5" s="46">
        <v>8020</v>
      </c>
      <c r="B5" s="52"/>
      <c r="C5" s="53"/>
      <c r="D5" s="40" t="s">
        <v>2</v>
      </c>
      <c r="E5" s="47" t="s">
        <v>82</v>
      </c>
      <c r="F5" s="17">
        <v>0.33946031110000002</v>
      </c>
      <c r="G5" s="42">
        <f t="shared" si="0"/>
        <v>1.4041999999999999</v>
      </c>
      <c r="H5" s="43"/>
      <c r="I5" s="44"/>
      <c r="J5" s="41"/>
      <c r="K5" s="41"/>
      <c r="L5" s="41"/>
      <c r="M5" s="41"/>
      <c r="N5" s="49"/>
      <c r="O5" s="177"/>
      <c r="P5" s="45">
        <f>F5</f>
        <v>0.33946031110000002</v>
      </c>
    </row>
    <row r="6" spans="1:16" ht="15" x14ac:dyDescent="0.25">
      <c r="A6" s="51">
        <v>8020</v>
      </c>
      <c r="B6" s="47" t="s">
        <v>3</v>
      </c>
      <c r="C6" s="46" t="s">
        <v>115</v>
      </c>
      <c r="D6" s="54" t="s">
        <v>5</v>
      </c>
      <c r="E6" s="47" t="s">
        <v>4</v>
      </c>
      <c r="F6" s="17">
        <v>0.35394829439999997</v>
      </c>
      <c r="G6" s="42">
        <f t="shared" si="0"/>
        <v>1.4247000000000001</v>
      </c>
      <c r="H6" s="43"/>
      <c r="I6" s="44"/>
      <c r="J6" s="41"/>
      <c r="K6" s="41"/>
      <c r="L6" s="41"/>
      <c r="M6" s="41"/>
      <c r="N6" s="49"/>
      <c r="O6" s="176" t="s">
        <v>117</v>
      </c>
      <c r="P6" s="45">
        <f>F6</f>
        <v>0.35394829439999997</v>
      </c>
    </row>
    <row r="7" spans="1:16" ht="29.25" customHeight="1" x14ac:dyDescent="0.25">
      <c r="A7" s="46">
        <v>8020</v>
      </c>
      <c r="B7" s="50"/>
      <c r="C7" s="51"/>
      <c r="D7" s="54" t="s">
        <v>6</v>
      </c>
      <c r="E7" s="47" t="s">
        <v>93</v>
      </c>
      <c r="F7" s="17">
        <v>0.3172708682</v>
      </c>
      <c r="G7" s="42">
        <f t="shared" si="0"/>
        <v>1.3734</v>
      </c>
      <c r="H7" s="43"/>
      <c r="I7" s="44"/>
      <c r="J7" s="41"/>
      <c r="K7" s="41"/>
      <c r="L7" s="41"/>
      <c r="M7" s="41"/>
      <c r="N7" s="49"/>
      <c r="O7" s="175"/>
      <c r="P7" s="45">
        <f>F7</f>
        <v>0.3172708682</v>
      </c>
    </row>
    <row r="8" spans="1:16" x14ac:dyDescent="0.2">
      <c r="A8" s="51">
        <v>8020</v>
      </c>
      <c r="B8" s="52"/>
      <c r="C8" s="53"/>
      <c r="D8" s="54" t="s">
        <v>7</v>
      </c>
      <c r="E8" s="47" t="s">
        <v>46</v>
      </c>
      <c r="F8" s="48">
        <f t="shared" ref="F8" si="1">ROUND(P8,4)</f>
        <v>0</v>
      </c>
      <c r="G8" s="42">
        <f t="shared" si="0"/>
        <v>1</v>
      </c>
      <c r="H8" s="43"/>
      <c r="I8" s="44"/>
      <c r="J8" s="41"/>
      <c r="K8" s="41"/>
      <c r="L8" s="41"/>
      <c r="M8" s="41"/>
      <c r="N8" s="49"/>
      <c r="O8" s="177"/>
      <c r="P8" s="45"/>
    </row>
    <row r="9" spans="1:16" ht="25.5" x14ac:dyDescent="0.25">
      <c r="A9" s="46">
        <v>8020</v>
      </c>
      <c r="B9" s="47" t="s">
        <v>8</v>
      </c>
      <c r="C9" s="46" t="s">
        <v>115</v>
      </c>
      <c r="D9" s="54" t="s">
        <v>5</v>
      </c>
      <c r="E9" s="47" t="s">
        <v>9</v>
      </c>
      <c r="F9" s="17">
        <v>0.2067946812</v>
      </c>
      <c r="G9" s="42">
        <f t="shared" si="0"/>
        <v>1.2297</v>
      </c>
      <c r="H9" s="43"/>
      <c r="I9" s="44"/>
      <c r="J9" s="41"/>
      <c r="K9" s="41"/>
      <c r="L9" s="41"/>
      <c r="M9" s="41"/>
      <c r="N9" s="49"/>
      <c r="O9" s="176" t="s">
        <v>118</v>
      </c>
      <c r="P9" s="45">
        <f t="shared" ref="P9:P19" si="2">F9</f>
        <v>0.2067946812</v>
      </c>
    </row>
    <row r="10" spans="1:16" ht="27.75" customHeight="1" x14ac:dyDescent="0.25">
      <c r="A10" s="51">
        <v>8020</v>
      </c>
      <c r="B10" s="50"/>
      <c r="C10" s="51"/>
      <c r="D10" s="54" t="s">
        <v>6</v>
      </c>
      <c r="E10" s="47" t="s">
        <v>99</v>
      </c>
      <c r="F10" s="17">
        <v>9.5905143299999995E-2</v>
      </c>
      <c r="G10" s="42">
        <f t="shared" si="0"/>
        <v>1.1007</v>
      </c>
      <c r="H10" s="43"/>
      <c r="I10" s="44"/>
      <c r="J10" s="41"/>
      <c r="K10" s="41"/>
      <c r="L10" s="41"/>
      <c r="M10" s="41"/>
      <c r="N10" s="49"/>
      <c r="O10" s="175"/>
      <c r="P10" s="45">
        <f t="shared" si="2"/>
        <v>9.5905143299999995E-2</v>
      </c>
    </row>
    <row r="11" spans="1:16" ht="25.5" x14ac:dyDescent="0.2">
      <c r="A11" s="46">
        <v>8020</v>
      </c>
      <c r="B11" s="50"/>
      <c r="C11" s="51"/>
      <c r="D11" s="54" t="s">
        <v>7</v>
      </c>
      <c r="E11" s="47" t="s">
        <v>49</v>
      </c>
      <c r="F11" s="55">
        <v>0</v>
      </c>
      <c r="G11" s="42">
        <f t="shared" si="0"/>
        <v>1</v>
      </c>
      <c r="H11" s="43"/>
      <c r="I11" s="44"/>
      <c r="J11" s="46"/>
      <c r="K11" s="46"/>
      <c r="L11" s="46"/>
      <c r="M11" s="46"/>
      <c r="N11" s="49"/>
      <c r="O11" s="177"/>
      <c r="P11" s="45">
        <f t="shared" si="2"/>
        <v>0</v>
      </c>
    </row>
    <row r="12" spans="1:16" ht="21.75" customHeight="1" x14ac:dyDescent="0.25">
      <c r="A12" s="51">
        <v>8020</v>
      </c>
      <c r="B12" s="56" t="s">
        <v>23</v>
      </c>
      <c r="C12" s="46" t="s">
        <v>115</v>
      </c>
      <c r="D12" s="54" t="s">
        <v>5</v>
      </c>
      <c r="E12" s="47" t="s">
        <v>10</v>
      </c>
      <c r="F12" s="17">
        <v>0.1552098371</v>
      </c>
      <c r="G12" s="42">
        <f t="shared" si="0"/>
        <v>1.1678999999999999</v>
      </c>
      <c r="H12" s="43"/>
      <c r="I12" s="44"/>
      <c r="J12" s="41"/>
      <c r="K12" s="41"/>
      <c r="L12" s="41"/>
      <c r="M12" s="41"/>
      <c r="N12" s="57"/>
      <c r="O12" s="176" t="s">
        <v>119</v>
      </c>
      <c r="P12" s="58">
        <f t="shared" si="2"/>
        <v>0.1552098371</v>
      </c>
    </row>
    <row r="13" spans="1:16" ht="25.5" customHeight="1" x14ac:dyDescent="0.2">
      <c r="A13" s="46">
        <v>8020</v>
      </c>
      <c r="B13" s="59"/>
      <c r="C13" s="53"/>
      <c r="D13" s="54" t="s">
        <v>7</v>
      </c>
      <c r="E13" s="47" t="s">
        <v>24</v>
      </c>
      <c r="F13" s="48">
        <v>0</v>
      </c>
      <c r="G13" s="42">
        <f t="shared" si="0"/>
        <v>1</v>
      </c>
      <c r="H13" s="43"/>
      <c r="I13" s="44"/>
      <c r="J13" s="41"/>
      <c r="K13" s="41"/>
      <c r="L13" s="41"/>
      <c r="M13" s="41"/>
      <c r="N13" s="57"/>
      <c r="O13" s="177"/>
      <c r="P13" s="58">
        <f t="shared" si="2"/>
        <v>0</v>
      </c>
    </row>
    <row r="14" spans="1:16" ht="23.25" customHeight="1" x14ac:dyDescent="0.25">
      <c r="A14" s="51">
        <v>8020</v>
      </c>
      <c r="B14" s="50" t="s">
        <v>25</v>
      </c>
      <c r="C14" s="46" t="s">
        <v>115</v>
      </c>
      <c r="D14" s="54" t="s">
        <v>5</v>
      </c>
      <c r="E14" s="47" t="s">
        <v>13</v>
      </c>
      <c r="F14" s="17">
        <v>9.5564567599999997E-2</v>
      </c>
      <c r="G14" s="42">
        <f t="shared" si="0"/>
        <v>1.1003000000000001</v>
      </c>
      <c r="H14" s="60"/>
      <c r="I14" s="61"/>
      <c r="J14" s="53"/>
      <c r="K14" s="53"/>
      <c r="L14" s="53"/>
      <c r="M14" s="53"/>
      <c r="N14" s="49"/>
      <c r="O14" s="176" t="s">
        <v>120</v>
      </c>
      <c r="P14" s="58">
        <f t="shared" si="2"/>
        <v>9.5564567599999997E-2</v>
      </c>
    </row>
    <row r="15" spans="1:16" ht="24" customHeight="1" x14ac:dyDescent="0.2">
      <c r="A15" s="46">
        <v>8020</v>
      </c>
      <c r="B15" s="52"/>
      <c r="C15" s="53"/>
      <c r="D15" s="54" t="s">
        <v>7</v>
      </c>
      <c r="E15" s="47" t="s">
        <v>26</v>
      </c>
      <c r="F15" s="48">
        <v>0</v>
      </c>
      <c r="G15" s="42">
        <f t="shared" si="0"/>
        <v>1</v>
      </c>
      <c r="H15" s="43"/>
      <c r="I15" s="44"/>
      <c r="J15" s="41"/>
      <c r="K15" s="41"/>
      <c r="L15" s="41"/>
      <c r="M15" s="41"/>
      <c r="N15" s="49"/>
      <c r="O15" s="177"/>
      <c r="P15" s="58">
        <f t="shared" si="2"/>
        <v>0</v>
      </c>
    </row>
    <row r="16" spans="1:16" ht="21.75" customHeight="1" x14ac:dyDescent="0.25">
      <c r="A16" s="51">
        <v>8020</v>
      </c>
      <c r="B16" s="50" t="s">
        <v>78</v>
      </c>
      <c r="C16" s="46" t="s">
        <v>115</v>
      </c>
      <c r="D16" s="54" t="s">
        <v>5</v>
      </c>
      <c r="E16" s="47" t="s">
        <v>41</v>
      </c>
      <c r="F16" s="17">
        <v>-1.2283471319999999</v>
      </c>
      <c r="G16" s="42">
        <f t="shared" si="0"/>
        <v>0.2928</v>
      </c>
      <c r="H16" s="43"/>
      <c r="I16" s="44"/>
      <c r="J16" s="41"/>
      <c r="K16" s="41"/>
      <c r="L16" s="41"/>
      <c r="M16" s="41"/>
      <c r="N16" s="49"/>
      <c r="O16" s="176" t="s">
        <v>121</v>
      </c>
      <c r="P16" s="58">
        <f t="shared" si="2"/>
        <v>-1.2283471319999999</v>
      </c>
    </row>
    <row r="17" spans="1:16" ht="21.75" customHeight="1" x14ac:dyDescent="0.2">
      <c r="A17" s="46">
        <v>8020</v>
      </c>
      <c r="B17" s="52"/>
      <c r="C17" s="53"/>
      <c r="D17" s="54" t="s">
        <v>7</v>
      </c>
      <c r="E17" s="47" t="s">
        <v>14</v>
      </c>
      <c r="F17" s="48">
        <v>0</v>
      </c>
      <c r="G17" s="42">
        <f t="shared" si="0"/>
        <v>1</v>
      </c>
      <c r="H17" s="43"/>
      <c r="I17" s="44"/>
      <c r="J17" s="41"/>
      <c r="K17" s="41"/>
      <c r="L17" s="41"/>
      <c r="M17" s="41"/>
      <c r="N17" s="49"/>
      <c r="O17" s="177"/>
      <c r="P17" s="58">
        <f t="shared" si="2"/>
        <v>0</v>
      </c>
    </row>
    <row r="18" spans="1:16" ht="24" customHeight="1" x14ac:dyDescent="0.25">
      <c r="A18" s="51">
        <v>8020</v>
      </c>
      <c r="B18" s="50" t="s">
        <v>79</v>
      </c>
      <c r="C18" s="46" t="s">
        <v>115</v>
      </c>
      <c r="D18" s="54" t="s">
        <v>5</v>
      </c>
      <c r="E18" s="47" t="s">
        <v>75</v>
      </c>
      <c r="F18" s="17">
        <v>0.21695848879999999</v>
      </c>
      <c r="G18" s="42">
        <f t="shared" si="0"/>
        <v>1.2423</v>
      </c>
      <c r="H18" s="43"/>
      <c r="I18" s="44"/>
      <c r="J18" s="41"/>
      <c r="K18" s="41"/>
      <c r="L18" s="41"/>
      <c r="M18" s="41"/>
      <c r="N18" s="49"/>
      <c r="O18" s="176" t="s">
        <v>122</v>
      </c>
      <c r="P18" s="58">
        <f t="shared" si="2"/>
        <v>0.21695848879999999</v>
      </c>
    </row>
    <row r="19" spans="1:16" ht="18" customHeight="1" x14ac:dyDescent="0.2">
      <c r="A19" s="46">
        <v>8020</v>
      </c>
      <c r="B19" s="50"/>
      <c r="C19" s="51"/>
      <c r="D19" s="54" t="s">
        <v>7</v>
      </c>
      <c r="E19" s="47" t="s">
        <v>76</v>
      </c>
      <c r="F19" s="48">
        <v>0</v>
      </c>
      <c r="G19" s="42">
        <f t="shared" si="0"/>
        <v>1</v>
      </c>
      <c r="H19" s="43"/>
      <c r="I19" s="44"/>
      <c r="J19" s="41"/>
      <c r="K19" s="41"/>
      <c r="L19" s="41"/>
      <c r="M19" s="41"/>
      <c r="N19" s="49"/>
      <c r="O19" s="177"/>
      <c r="P19" s="58">
        <f t="shared" si="2"/>
        <v>0</v>
      </c>
    </row>
    <row r="20" spans="1:16" ht="21" customHeight="1" x14ac:dyDescent="0.2">
      <c r="A20" s="51">
        <v>8020</v>
      </c>
      <c r="B20" s="50" t="s">
        <v>15</v>
      </c>
      <c r="C20" s="46" t="s">
        <v>115</v>
      </c>
      <c r="D20" s="62" t="s">
        <v>171</v>
      </c>
      <c r="E20" s="47" t="s">
        <v>172</v>
      </c>
      <c r="F20" s="48">
        <v>0</v>
      </c>
      <c r="G20" s="42">
        <f t="shared" si="0"/>
        <v>1</v>
      </c>
      <c r="H20" s="43"/>
      <c r="I20" s="44"/>
      <c r="J20" s="41"/>
      <c r="K20" s="41"/>
      <c r="L20" s="41"/>
      <c r="M20" s="41"/>
      <c r="N20" s="49"/>
      <c r="O20" s="176" t="s">
        <v>123</v>
      </c>
      <c r="P20" s="45">
        <f>F20</f>
        <v>0</v>
      </c>
    </row>
    <row r="21" spans="1:16" x14ac:dyDescent="0.2">
      <c r="A21" s="46">
        <v>8020</v>
      </c>
      <c r="B21" s="51"/>
      <c r="C21" s="51"/>
      <c r="D21" s="62" t="s">
        <v>173</v>
      </c>
      <c r="E21" s="47" t="s">
        <v>174</v>
      </c>
      <c r="F21" s="48">
        <v>-0.4526668116</v>
      </c>
      <c r="G21" s="42">
        <f t="shared" si="0"/>
        <v>0.63590000000000002</v>
      </c>
      <c r="H21" s="43"/>
      <c r="I21" s="44"/>
      <c r="J21" s="63"/>
      <c r="K21" s="63"/>
      <c r="L21" s="63"/>
      <c r="M21" s="63"/>
      <c r="N21" s="64"/>
      <c r="O21" s="175"/>
      <c r="P21" s="45">
        <f>F21</f>
        <v>-0.4526668116</v>
      </c>
    </row>
    <row r="22" spans="1:16" x14ac:dyDescent="0.2">
      <c r="A22" s="51">
        <v>8020</v>
      </c>
      <c r="B22" s="51"/>
      <c r="C22" s="51"/>
      <c r="D22" s="62" t="s">
        <v>175</v>
      </c>
      <c r="E22" s="47" t="s">
        <v>176</v>
      </c>
      <c r="F22" s="48">
        <v>-0.41739421300000001</v>
      </c>
      <c r="G22" s="42">
        <f t="shared" si="0"/>
        <v>0.65880000000000005</v>
      </c>
      <c r="H22" s="43"/>
      <c r="I22" s="44"/>
      <c r="J22" s="63"/>
      <c r="K22" s="63"/>
      <c r="L22" s="63"/>
      <c r="M22" s="63"/>
      <c r="N22" s="64"/>
      <c r="O22" s="175"/>
      <c r="P22" s="45">
        <f>F22</f>
        <v>-0.41739421300000001</v>
      </c>
    </row>
    <row r="23" spans="1:16" x14ac:dyDescent="0.2">
      <c r="A23" s="46">
        <v>8020</v>
      </c>
      <c r="B23" s="51"/>
      <c r="C23" s="51"/>
      <c r="D23" s="62" t="s">
        <v>177</v>
      </c>
      <c r="E23" s="63" t="s">
        <v>178</v>
      </c>
      <c r="F23" s="48">
        <v>-1.4929497749</v>
      </c>
      <c r="G23" s="42">
        <f t="shared" si="0"/>
        <v>0.22470000000000001</v>
      </c>
      <c r="H23" s="43"/>
      <c r="I23" s="44"/>
      <c r="J23" s="63"/>
      <c r="K23" s="63"/>
      <c r="L23" s="63"/>
      <c r="M23" s="63"/>
      <c r="N23" s="64"/>
      <c r="O23" s="175"/>
      <c r="P23" s="45">
        <f>F23</f>
        <v>-1.4929497749</v>
      </c>
    </row>
    <row r="24" spans="1:16" x14ac:dyDescent="0.2">
      <c r="A24" s="51">
        <v>8020</v>
      </c>
      <c r="B24" s="51"/>
      <c r="C24" s="51"/>
      <c r="D24" s="62" t="s">
        <v>179</v>
      </c>
      <c r="E24" s="63" t="s">
        <v>180</v>
      </c>
      <c r="F24" s="48">
        <v>-1.5559249892</v>
      </c>
      <c r="G24" s="42">
        <f t="shared" si="0"/>
        <v>0.21099999999999999</v>
      </c>
      <c r="H24" s="43"/>
      <c r="I24" s="44"/>
      <c r="J24" s="63"/>
      <c r="K24" s="63"/>
      <c r="L24" s="63"/>
      <c r="M24" s="63"/>
      <c r="N24" s="64"/>
      <c r="O24" s="175"/>
      <c r="P24" s="45"/>
    </row>
    <row r="25" spans="1:16" x14ac:dyDescent="0.2">
      <c r="A25" s="46">
        <v>8020</v>
      </c>
      <c r="B25" s="51"/>
      <c r="C25" s="51"/>
      <c r="D25" s="62" t="s">
        <v>181</v>
      </c>
      <c r="E25" s="63" t="s">
        <v>182</v>
      </c>
      <c r="F25" s="48">
        <v>-0.93615191750000004</v>
      </c>
      <c r="G25" s="42">
        <f t="shared" si="0"/>
        <v>0.3921</v>
      </c>
      <c r="H25" s="43"/>
      <c r="I25" s="44"/>
      <c r="J25" s="63"/>
      <c r="K25" s="63"/>
      <c r="L25" s="63"/>
      <c r="M25" s="63"/>
      <c r="N25" s="64"/>
      <c r="O25" s="175"/>
      <c r="P25" s="45"/>
    </row>
    <row r="26" spans="1:16" x14ac:dyDescent="0.2">
      <c r="A26" s="51">
        <v>8020</v>
      </c>
      <c r="B26" s="51"/>
      <c r="C26" s="51"/>
      <c r="D26" s="62" t="s">
        <v>183</v>
      </c>
      <c r="E26" s="63" t="s">
        <v>184</v>
      </c>
      <c r="F26" s="48">
        <v>-0.88111084829999997</v>
      </c>
      <c r="G26" s="42">
        <f t="shared" si="0"/>
        <v>0.4143</v>
      </c>
      <c r="H26" s="43"/>
      <c r="I26" s="44"/>
      <c r="J26" s="63"/>
      <c r="K26" s="63"/>
      <c r="L26" s="63"/>
      <c r="M26" s="63"/>
      <c r="N26" s="64"/>
      <c r="O26" s="175"/>
      <c r="P26" s="45"/>
    </row>
    <row r="27" spans="1:16" x14ac:dyDescent="0.2">
      <c r="A27" s="46">
        <v>8020</v>
      </c>
      <c r="B27" s="51"/>
      <c r="C27" s="51"/>
      <c r="D27" s="62" t="s">
        <v>185</v>
      </c>
      <c r="E27" s="63" t="s">
        <v>186</v>
      </c>
      <c r="F27" s="48">
        <v>-0.98013796549999999</v>
      </c>
      <c r="G27" s="42">
        <f t="shared" si="0"/>
        <v>0.37530000000000002</v>
      </c>
      <c r="H27" s="43"/>
      <c r="I27" s="44"/>
      <c r="J27" s="63"/>
      <c r="K27" s="63"/>
      <c r="L27" s="63"/>
      <c r="M27" s="63"/>
      <c r="N27" s="64"/>
      <c r="O27" s="175"/>
      <c r="P27" s="45"/>
    </row>
    <row r="28" spans="1:16" x14ac:dyDescent="0.2">
      <c r="A28" s="51">
        <v>8020</v>
      </c>
      <c r="B28" s="51"/>
      <c r="C28" s="51"/>
      <c r="D28" s="62" t="s">
        <v>187</v>
      </c>
      <c r="E28" s="63" t="s">
        <v>188</v>
      </c>
      <c r="F28" s="48">
        <v>-1.177492508</v>
      </c>
      <c r="G28" s="42">
        <f t="shared" si="0"/>
        <v>0.30809999999999998</v>
      </c>
      <c r="H28" s="43"/>
      <c r="I28" s="44"/>
      <c r="J28" s="63"/>
      <c r="K28" s="63"/>
      <c r="L28" s="63"/>
      <c r="M28" s="63"/>
      <c r="N28" s="64"/>
      <c r="O28" s="175"/>
      <c r="P28" s="45"/>
    </row>
    <row r="29" spans="1:16" x14ac:dyDescent="0.2">
      <c r="A29" s="46">
        <v>8020</v>
      </c>
      <c r="B29" s="51"/>
      <c r="C29" s="51"/>
      <c r="D29" s="62" t="s">
        <v>189</v>
      </c>
      <c r="E29" s="63" t="s">
        <v>190</v>
      </c>
      <c r="F29" s="48">
        <v>-1.0831564083</v>
      </c>
      <c r="G29" s="42">
        <f t="shared" si="0"/>
        <v>0.33850000000000002</v>
      </c>
      <c r="H29" s="43"/>
      <c r="I29" s="44"/>
      <c r="J29" s="63"/>
      <c r="K29" s="63"/>
      <c r="L29" s="63"/>
      <c r="M29" s="63"/>
      <c r="N29" s="64"/>
      <c r="O29" s="175"/>
      <c r="P29" s="45"/>
    </row>
    <row r="30" spans="1:16" x14ac:dyDescent="0.2">
      <c r="A30" s="51">
        <v>8020</v>
      </c>
      <c r="B30" s="51"/>
      <c r="C30" s="51"/>
      <c r="D30" s="62" t="s">
        <v>191</v>
      </c>
      <c r="E30" s="63" t="s">
        <v>192</v>
      </c>
      <c r="F30" s="48">
        <v>-1.4544215573999999</v>
      </c>
      <c r="G30" s="42">
        <f t="shared" si="0"/>
        <v>0.23350000000000001</v>
      </c>
      <c r="H30" s="43"/>
      <c r="I30" s="44"/>
      <c r="J30" s="63"/>
      <c r="K30" s="63"/>
      <c r="L30" s="63"/>
      <c r="M30" s="63"/>
      <c r="N30" s="64"/>
      <c r="O30" s="175"/>
      <c r="P30" s="45"/>
    </row>
    <row r="31" spans="1:16" x14ac:dyDescent="0.2">
      <c r="A31" s="46">
        <v>8020</v>
      </c>
      <c r="B31" s="51"/>
      <c r="C31" s="51"/>
      <c r="D31" s="62" t="s">
        <v>193</v>
      </c>
      <c r="E31" s="63" t="s">
        <v>194</v>
      </c>
      <c r="F31" s="48">
        <v>-1.4080490300999999</v>
      </c>
      <c r="G31" s="42">
        <f t="shared" si="0"/>
        <v>0.24460000000000001</v>
      </c>
      <c r="H31" s="43"/>
      <c r="I31" s="44"/>
      <c r="J31" s="63"/>
      <c r="K31" s="63"/>
      <c r="L31" s="63"/>
      <c r="M31" s="63"/>
      <c r="N31" s="64"/>
      <c r="O31" s="175"/>
      <c r="P31" s="45"/>
    </row>
    <row r="32" spans="1:16" x14ac:dyDescent="0.2">
      <c r="A32" s="51">
        <v>8020</v>
      </c>
      <c r="B32" s="51"/>
      <c r="C32" s="51"/>
      <c r="D32" s="62" t="s">
        <v>195</v>
      </c>
      <c r="E32" s="63" t="s">
        <v>196</v>
      </c>
      <c r="F32" s="48">
        <v>-1.4703159716</v>
      </c>
      <c r="G32" s="42">
        <f t="shared" si="0"/>
        <v>0.22989999999999999</v>
      </c>
      <c r="H32" s="43"/>
      <c r="I32" s="44"/>
      <c r="J32" s="63"/>
      <c r="K32" s="63"/>
      <c r="L32" s="63"/>
      <c r="M32" s="63"/>
      <c r="N32" s="64"/>
      <c r="O32" s="175"/>
      <c r="P32" s="45"/>
    </row>
    <row r="33" spans="1:16" x14ac:dyDescent="0.2">
      <c r="A33" s="46">
        <v>8020</v>
      </c>
      <c r="B33" s="51"/>
      <c r="C33" s="51"/>
      <c r="D33" s="62" t="s">
        <v>197</v>
      </c>
      <c r="E33" s="63" t="s">
        <v>198</v>
      </c>
      <c r="F33" s="48">
        <v>-1.6546604546000001</v>
      </c>
      <c r="G33" s="42">
        <f t="shared" si="0"/>
        <v>0.19120000000000001</v>
      </c>
      <c r="H33" s="43"/>
      <c r="I33" s="44"/>
      <c r="J33" s="63"/>
      <c r="K33" s="63"/>
      <c r="L33" s="63"/>
      <c r="M33" s="63"/>
      <c r="N33" s="64"/>
      <c r="O33" s="175"/>
      <c r="P33" s="45"/>
    </row>
    <row r="34" spans="1:16" x14ac:dyDescent="0.2">
      <c r="A34" s="51">
        <v>8020</v>
      </c>
      <c r="B34" s="51"/>
      <c r="C34" s="51"/>
      <c r="D34" s="62" t="s">
        <v>199</v>
      </c>
      <c r="E34" s="63" t="s">
        <v>200</v>
      </c>
      <c r="F34" s="48">
        <v>-0.19647319990000001</v>
      </c>
      <c r="G34" s="42">
        <f t="shared" si="0"/>
        <v>0.8216</v>
      </c>
      <c r="H34" s="43"/>
      <c r="I34" s="44"/>
      <c r="J34" s="63"/>
      <c r="K34" s="63"/>
      <c r="L34" s="63"/>
      <c r="M34" s="63"/>
      <c r="N34" s="64"/>
      <c r="O34" s="175"/>
      <c r="P34" s="45"/>
    </row>
    <row r="35" spans="1:16" x14ac:dyDescent="0.2">
      <c r="A35" s="46">
        <v>8020</v>
      </c>
      <c r="B35" s="51"/>
      <c r="C35" s="51"/>
      <c r="D35" s="62" t="s">
        <v>1458</v>
      </c>
      <c r="E35" s="63" t="s">
        <v>202</v>
      </c>
      <c r="F35" s="48">
        <v>-0.88179076180000004</v>
      </c>
      <c r="G35" s="42">
        <f t="shared" si="0"/>
        <v>0.41399999999999998</v>
      </c>
      <c r="H35" s="43"/>
      <c r="I35" s="44"/>
      <c r="J35" s="63"/>
      <c r="K35" s="63"/>
      <c r="L35" s="63"/>
      <c r="M35" s="63"/>
      <c r="N35" s="64"/>
      <c r="O35" s="175"/>
      <c r="P35" s="45"/>
    </row>
    <row r="36" spans="1:16" x14ac:dyDescent="0.2">
      <c r="A36" s="51">
        <v>8020</v>
      </c>
      <c r="B36" s="51"/>
      <c r="C36" s="51"/>
      <c r="D36" s="62" t="s">
        <v>203</v>
      </c>
      <c r="E36" s="63" t="s">
        <v>204</v>
      </c>
      <c r="F36" s="48">
        <v>-1.2420744204</v>
      </c>
      <c r="G36" s="42">
        <f t="shared" si="0"/>
        <v>0.2888</v>
      </c>
      <c r="H36" s="43"/>
      <c r="I36" s="44"/>
      <c r="J36" s="63"/>
      <c r="K36" s="63"/>
      <c r="L36" s="63"/>
      <c r="M36" s="63"/>
      <c r="N36" s="64"/>
      <c r="O36" s="175"/>
      <c r="P36" s="45"/>
    </row>
    <row r="37" spans="1:16" x14ac:dyDescent="0.2">
      <c r="A37" s="46">
        <v>8020</v>
      </c>
      <c r="B37" s="51"/>
      <c r="C37" s="51"/>
      <c r="D37" s="62" t="s">
        <v>205</v>
      </c>
      <c r="E37" s="63" t="s">
        <v>206</v>
      </c>
      <c r="F37" s="48">
        <v>-1.17632979</v>
      </c>
      <c r="G37" s="42">
        <f t="shared" si="0"/>
        <v>0.30840000000000001</v>
      </c>
      <c r="H37" s="43"/>
      <c r="I37" s="44"/>
      <c r="J37" s="63"/>
      <c r="K37" s="63"/>
      <c r="L37" s="63"/>
      <c r="M37" s="63"/>
      <c r="N37" s="64"/>
      <c r="O37" s="175"/>
      <c r="P37" s="45"/>
    </row>
    <row r="38" spans="1:16" x14ac:dyDescent="0.2">
      <c r="A38" s="51">
        <v>8020</v>
      </c>
      <c r="B38" s="51"/>
      <c r="C38" s="51"/>
      <c r="D38" s="62" t="s">
        <v>207</v>
      </c>
      <c r="E38" s="63" t="s">
        <v>208</v>
      </c>
      <c r="F38" s="48">
        <v>-0.73829418560000004</v>
      </c>
      <c r="G38" s="42">
        <f t="shared" si="0"/>
        <v>0.47789999999999999</v>
      </c>
      <c r="H38" s="43"/>
      <c r="I38" s="44"/>
      <c r="J38" s="63"/>
      <c r="K38" s="63"/>
      <c r="L38" s="63"/>
      <c r="M38" s="63"/>
      <c r="N38" s="64"/>
      <c r="O38" s="175"/>
      <c r="P38" s="45"/>
    </row>
    <row r="39" spans="1:16" x14ac:dyDescent="0.2">
      <c r="A39" s="46">
        <v>8020</v>
      </c>
      <c r="B39" s="51"/>
      <c r="C39" s="51"/>
      <c r="D39" s="62" t="s">
        <v>209</v>
      </c>
      <c r="E39" s="63" t="s">
        <v>210</v>
      </c>
      <c r="F39" s="48">
        <v>-0.68769521680000001</v>
      </c>
      <c r="G39" s="42">
        <f t="shared" si="0"/>
        <v>0.50270000000000004</v>
      </c>
      <c r="H39" s="43"/>
      <c r="I39" s="44"/>
      <c r="J39" s="63"/>
      <c r="K39" s="63"/>
      <c r="L39" s="63"/>
      <c r="M39" s="63"/>
      <c r="N39" s="64"/>
      <c r="O39" s="175"/>
      <c r="P39" s="45"/>
    </row>
    <row r="40" spans="1:16" x14ac:dyDescent="0.2">
      <c r="A40" s="51">
        <v>8020</v>
      </c>
      <c r="B40" s="51"/>
      <c r="C40" s="51"/>
      <c r="D40" s="110" t="s">
        <v>211</v>
      </c>
      <c r="E40" s="63" t="s">
        <v>212</v>
      </c>
      <c r="F40" s="48">
        <v>-0.65899009590000002</v>
      </c>
      <c r="G40" s="42">
        <f t="shared" si="0"/>
        <v>0.51739999999999997</v>
      </c>
      <c r="H40" s="43"/>
      <c r="I40" s="44"/>
      <c r="J40" s="63"/>
      <c r="K40" s="63"/>
      <c r="L40" s="63"/>
      <c r="M40" s="63"/>
      <c r="N40" s="64"/>
      <c r="O40" s="175"/>
      <c r="P40" s="45"/>
    </row>
    <row r="41" spans="1:16" x14ac:dyDescent="0.2">
      <c r="A41" s="46">
        <v>8020</v>
      </c>
      <c r="B41" s="51"/>
      <c r="C41" s="51"/>
      <c r="D41" s="110" t="s">
        <v>213</v>
      </c>
      <c r="E41" s="63" t="s">
        <v>214</v>
      </c>
      <c r="F41" s="48">
        <v>0.31961613280000001</v>
      </c>
      <c r="G41" s="42">
        <f t="shared" si="0"/>
        <v>1.3766</v>
      </c>
      <c r="H41" s="43"/>
      <c r="I41" s="44"/>
      <c r="J41" s="63"/>
      <c r="K41" s="63"/>
      <c r="L41" s="63"/>
      <c r="M41" s="63"/>
      <c r="N41" s="64"/>
      <c r="O41" s="175"/>
      <c r="P41" s="45"/>
    </row>
    <row r="42" spans="1:16" x14ac:dyDescent="0.2">
      <c r="A42" s="51">
        <v>8020</v>
      </c>
      <c r="B42" s="51"/>
      <c r="C42" s="51"/>
      <c r="D42" s="110" t="s">
        <v>215</v>
      </c>
      <c r="E42" s="63" t="s">
        <v>216</v>
      </c>
      <c r="F42" s="48">
        <v>-1.1281432451</v>
      </c>
      <c r="G42" s="42">
        <f t="shared" si="0"/>
        <v>0.3236</v>
      </c>
      <c r="H42" s="43"/>
      <c r="I42" s="44"/>
      <c r="J42" s="63"/>
      <c r="K42" s="63"/>
      <c r="L42" s="63"/>
      <c r="M42" s="63"/>
      <c r="N42" s="64"/>
      <c r="O42" s="175"/>
      <c r="P42" s="45"/>
    </row>
    <row r="43" spans="1:16" x14ac:dyDescent="0.2">
      <c r="A43" s="46">
        <v>8020</v>
      </c>
      <c r="B43" s="51"/>
      <c r="C43" s="51"/>
      <c r="D43" s="110" t="s">
        <v>217</v>
      </c>
      <c r="E43" s="63" t="s">
        <v>218</v>
      </c>
      <c r="F43" s="48">
        <v>-1.5067298926999999</v>
      </c>
      <c r="G43" s="42">
        <f t="shared" si="0"/>
        <v>0.22159999999999999</v>
      </c>
      <c r="H43" s="43"/>
      <c r="I43" s="44"/>
      <c r="J43" s="63"/>
      <c r="K43" s="63"/>
      <c r="L43" s="63"/>
      <c r="M43" s="63"/>
      <c r="N43" s="64"/>
      <c r="O43" s="175"/>
      <c r="P43" s="45"/>
    </row>
    <row r="44" spans="1:16" x14ac:dyDescent="0.2">
      <c r="A44" s="51">
        <v>8020</v>
      </c>
      <c r="B44" s="51"/>
      <c r="C44" s="51"/>
      <c r="D44" s="110" t="s">
        <v>219</v>
      </c>
      <c r="E44" s="63" t="s">
        <v>220</v>
      </c>
      <c r="F44" s="48">
        <v>-1.7288932179000001</v>
      </c>
      <c r="G44" s="42">
        <f t="shared" si="0"/>
        <v>0.17749999999999999</v>
      </c>
      <c r="H44" s="43"/>
      <c r="I44" s="44"/>
      <c r="J44" s="63"/>
      <c r="K44" s="63"/>
      <c r="L44" s="63"/>
      <c r="M44" s="63"/>
      <c r="N44" s="64"/>
      <c r="O44" s="175"/>
      <c r="P44" s="45"/>
    </row>
    <row r="45" spans="1:16" x14ac:dyDescent="0.2">
      <c r="A45" s="46">
        <v>8020</v>
      </c>
      <c r="B45" s="51"/>
      <c r="C45" s="51"/>
      <c r="D45" s="110" t="s">
        <v>221</v>
      </c>
      <c r="E45" s="63" t="s">
        <v>222</v>
      </c>
      <c r="F45" s="48">
        <v>0.1354773987</v>
      </c>
      <c r="G45" s="42">
        <f t="shared" si="0"/>
        <v>1.1451</v>
      </c>
      <c r="H45" s="43"/>
      <c r="I45" s="44"/>
      <c r="J45" s="63"/>
      <c r="K45" s="63"/>
      <c r="L45" s="63"/>
      <c r="M45" s="63"/>
      <c r="N45" s="64"/>
      <c r="O45" s="175"/>
      <c r="P45" s="45"/>
    </row>
    <row r="46" spans="1:16" x14ac:dyDescent="0.2">
      <c r="A46" s="51">
        <v>8020</v>
      </c>
      <c r="B46" s="51"/>
      <c r="C46" s="51"/>
      <c r="D46" s="62" t="s">
        <v>223</v>
      </c>
      <c r="E46" s="63" t="s">
        <v>224</v>
      </c>
      <c r="F46" s="48">
        <v>-1.2604046512</v>
      </c>
      <c r="G46" s="42">
        <f t="shared" si="0"/>
        <v>0.28349999999999997</v>
      </c>
      <c r="H46" s="43"/>
      <c r="I46" s="44"/>
      <c r="J46" s="63"/>
      <c r="K46" s="63"/>
      <c r="L46" s="63"/>
      <c r="M46" s="63"/>
      <c r="N46" s="64"/>
      <c r="O46" s="175"/>
      <c r="P46" s="45"/>
    </row>
    <row r="47" spans="1:16" x14ac:dyDescent="0.2">
      <c r="A47" s="46">
        <v>8020</v>
      </c>
      <c r="B47" s="51"/>
      <c r="C47" s="51"/>
      <c r="D47" s="62" t="s">
        <v>225</v>
      </c>
      <c r="E47" s="63" t="s">
        <v>226</v>
      </c>
      <c r="F47" s="48">
        <v>-0.41761483710000002</v>
      </c>
      <c r="G47" s="42">
        <f t="shared" si="0"/>
        <v>0.65859999999999996</v>
      </c>
      <c r="H47" s="43"/>
      <c r="I47" s="44"/>
      <c r="J47" s="63"/>
      <c r="K47" s="63"/>
      <c r="L47" s="63"/>
      <c r="M47" s="63"/>
      <c r="N47" s="64"/>
      <c r="O47" s="175"/>
      <c r="P47" s="45"/>
    </row>
    <row r="48" spans="1:16" x14ac:dyDescent="0.2">
      <c r="A48" s="51">
        <v>8020</v>
      </c>
      <c r="B48" s="51"/>
      <c r="C48" s="51"/>
      <c r="D48" s="62" t="s">
        <v>227</v>
      </c>
      <c r="E48" s="63" t="s">
        <v>228</v>
      </c>
      <c r="F48" s="48">
        <v>-1.5022759323999999</v>
      </c>
      <c r="G48" s="42">
        <f t="shared" si="0"/>
        <v>0.22259999999999999</v>
      </c>
      <c r="H48" s="43"/>
      <c r="I48" s="44"/>
      <c r="J48" s="63"/>
      <c r="K48" s="63"/>
      <c r="L48" s="63"/>
      <c r="M48" s="63"/>
      <c r="N48" s="64"/>
      <c r="O48" s="175"/>
      <c r="P48" s="45"/>
    </row>
    <row r="49" spans="1:16" x14ac:dyDescent="0.2">
      <c r="A49" s="46">
        <v>8020</v>
      </c>
      <c r="B49" s="51"/>
      <c r="C49" s="51"/>
      <c r="D49" s="62" t="s">
        <v>229</v>
      </c>
      <c r="E49" s="63" t="s">
        <v>230</v>
      </c>
      <c r="F49" s="48">
        <v>0.24850877069999999</v>
      </c>
      <c r="G49" s="42">
        <f t="shared" si="0"/>
        <v>1.2821</v>
      </c>
      <c r="H49" s="43"/>
      <c r="I49" s="44"/>
      <c r="J49" s="63"/>
      <c r="K49" s="63"/>
      <c r="L49" s="63"/>
      <c r="M49" s="63"/>
      <c r="N49" s="64"/>
      <c r="O49" s="175"/>
      <c r="P49" s="45"/>
    </row>
    <row r="50" spans="1:16" x14ac:dyDescent="0.2">
      <c r="A50" s="51">
        <v>8020</v>
      </c>
      <c r="B50" s="51"/>
      <c r="C50" s="51"/>
      <c r="D50" s="62" t="s">
        <v>231</v>
      </c>
      <c r="E50" s="63" t="s">
        <v>232</v>
      </c>
      <c r="F50" s="48">
        <v>0.26227613319999998</v>
      </c>
      <c r="G50" s="42">
        <f t="shared" si="0"/>
        <v>1.2999000000000001</v>
      </c>
      <c r="H50" s="43"/>
      <c r="I50" s="44"/>
      <c r="J50" s="63"/>
      <c r="K50" s="63"/>
      <c r="L50" s="63"/>
      <c r="M50" s="63"/>
      <c r="N50" s="64"/>
      <c r="O50" s="175"/>
      <c r="P50" s="45"/>
    </row>
    <row r="51" spans="1:16" x14ac:dyDescent="0.2">
      <c r="A51" s="46">
        <v>8020</v>
      </c>
      <c r="B51" s="51"/>
      <c r="C51" s="51"/>
      <c r="D51" s="62" t="s">
        <v>233</v>
      </c>
      <c r="E51" s="63" t="s">
        <v>234</v>
      </c>
      <c r="F51" s="111">
        <v>-0.35883871070000001</v>
      </c>
      <c r="G51" s="42">
        <f t="shared" si="0"/>
        <v>0.69850000000000001</v>
      </c>
      <c r="H51" s="43"/>
      <c r="I51" s="44"/>
      <c r="J51" s="63"/>
      <c r="K51" s="63"/>
      <c r="L51" s="63"/>
      <c r="M51" s="63"/>
      <c r="N51" s="64"/>
      <c r="O51" s="175"/>
      <c r="P51" s="45"/>
    </row>
    <row r="52" spans="1:16" x14ac:dyDescent="0.2">
      <c r="A52" s="51">
        <v>8020</v>
      </c>
      <c r="B52" s="51"/>
      <c r="C52" s="51"/>
      <c r="D52" s="62" t="s">
        <v>235</v>
      </c>
      <c r="E52" s="63" t="s">
        <v>236</v>
      </c>
      <c r="F52" s="111">
        <v>-0.93236359420000003</v>
      </c>
      <c r="G52" s="42">
        <f t="shared" si="0"/>
        <v>0.39360000000000001</v>
      </c>
      <c r="H52" s="43"/>
      <c r="I52" s="44"/>
      <c r="J52" s="63"/>
      <c r="K52" s="63"/>
      <c r="L52" s="63"/>
      <c r="M52" s="63"/>
      <c r="N52" s="64"/>
      <c r="O52" s="175"/>
      <c r="P52" s="45"/>
    </row>
    <row r="53" spans="1:16" x14ac:dyDescent="0.2">
      <c r="A53" s="46">
        <v>8020</v>
      </c>
      <c r="B53" s="51"/>
      <c r="C53" s="51"/>
      <c r="D53" s="62" t="s">
        <v>237</v>
      </c>
      <c r="E53" s="63" t="s">
        <v>238</v>
      </c>
      <c r="F53" s="111">
        <v>-0.70521818459999996</v>
      </c>
      <c r="G53" s="42">
        <f t="shared" si="0"/>
        <v>0.49399999999999999</v>
      </c>
      <c r="H53" s="43"/>
      <c r="I53" s="44"/>
      <c r="J53" s="63"/>
      <c r="K53" s="63"/>
      <c r="L53" s="63"/>
      <c r="M53" s="63"/>
      <c r="N53" s="64"/>
      <c r="O53" s="175"/>
      <c r="P53" s="45"/>
    </row>
    <row r="54" spans="1:16" x14ac:dyDescent="0.2">
      <c r="A54" s="51">
        <v>8020</v>
      </c>
      <c r="B54" s="51"/>
      <c r="C54" s="51"/>
      <c r="D54" s="62" t="s">
        <v>239</v>
      </c>
      <c r="E54" s="63" t="s">
        <v>240</v>
      </c>
      <c r="F54" s="111">
        <v>-0.50380998099999996</v>
      </c>
      <c r="G54" s="42">
        <f t="shared" si="0"/>
        <v>0.60419999999999996</v>
      </c>
      <c r="H54" s="43"/>
      <c r="I54" s="44"/>
      <c r="J54" s="63"/>
      <c r="K54" s="63"/>
      <c r="L54" s="63"/>
      <c r="M54" s="63"/>
      <c r="N54" s="64"/>
      <c r="O54" s="175"/>
      <c r="P54" s="45"/>
    </row>
    <row r="55" spans="1:16" x14ac:dyDescent="0.2">
      <c r="A55" s="46">
        <v>8020</v>
      </c>
      <c r="B55" s="51"/>
      <c r="C55" s="51"/>
      <c r="D55" s="62" t="s">
        <v>241</v>
      </c>
      <c r="E55" s="63" t="s">
        <v>242</v>
      </c>
      <c r="F55" s="111">
        <v>-1.0001886902999999</v>
      </c>
      <c r="G55" s="42">
        <f t="shared" si="0"/>
        <v>0.36780000000000002</v>
      </c>
      <c r="H55" s="43"/>
      <c r="I55" s="44"/>
      <c r="J55" s="63"/>
      <c r="K55" s="63"/>
      <c r="L55" s="63"/>
      <c r="M55" s="63"/>
      <c r="N55" s="64"/>
      <c r="O55" s="175"/>
      <c r="P55" s="45"/>
    </row>
    <row r="56" spans="1:16" x14ac:dyDescent="0.2">
      <c r="A56" s="51">
        <v>8020</v>
      </c>
      <c r="B56" s="51"/>
      <c r="C56" s="51"/>
      <c r="D56" s="62" t="s">
        <v>243</v>
      </c>
      <c r="E56" s="63" t="s">
        <v>244</v>
      </c>
      <c r="F56" s="111">
        <v>-0.39115791579999998</v>
      </c>
      <c r="G56" s="42">
        <f t="shared" si="0"/>
        <v>0.67630000000000001</v>
      </c>
      <c r="H56" s="43"/>
      <c r="I56" s="44"/>
      <c r="J56" s="63"/>
      <c r="K56" s="63"/>
      <c r="L56" s="63"/>
      <c r="M56" s="63"/>
      <c r="N56" s="64"/>
      <c r="O56" s="175"/>
      <c r="P56" s="45"/>
    </row>
    <row r="57" spans="1:16" x14ac:dyDescent="0.2">
      <c r="A57" s="46">
        <v>8020</v>
      </c>
      <c r="B57" s="51"/>
      <c r="C57" s="51"/>
      <c r="D57" s="62" t="s">
        <v>245</v>
      </c>
      <c r="E57" s="63" t="s">
        <v>246</v>
      </c>
      <c r="F57" s="111">
        <v>-0.50582387070000001</v>
      </c>
      <c r="G57" s="42">
        <f t="shared" si="0"/>
        <v>0.60299999999999998</v>
      </c>
      <c r="H57" s="43"/>
      <c r="I57" s="44"/>
      <c r="J57" s="63"/>
      <c r="K57" s="63"/>
      <c r="L57" s="63"/>
      <c r="M57" s="63"/>
      <c r="N57" s="64"/>
      <c r="O57" s="175"/>
      <c r="P57" s="45"/>
    </row>
    <row r="58" spans="1:16" x14ac:dyDescent="0.2">
      <c r="A58" s="51">
        <v>8020</v>
      </c>
      <c r="B58" s="51"/>
      <c r="C58" s="51"/>
      <c r="D58" s="62" t="s">
        <v>247</v>
      </c>
      <c r="E58" s="63" t="s">
        <v>248</v>
      </c>
      <c r="F58" s="111">
        <v>-0.33864111400000002</v>
      </c>
      <c r="G58" s="42">
        <f t="shared" si="0"/>
        <v>0.7127</v>
      </c>
      <c r="H58" s="43"/>
      <c r="I58" s="44"/>
      <c r="J58" s="63"/>
      <c r="K58" s="63"/>
      <c r="L58" s="63"/>
      <c r="M58" s="63"/>
      <c r="N58" s="64"/>
      <c r="O58" s="175"/>
      <c r="P58" s="45"/>
    </row>
    <row r="59" spans="1:16" x14ac:dyDescent="0.2">
      <c r="A59" s="46">
        <v>8020</v>
      </c>
      <c r="B59" s="51"/>
      <c r="C59" s="51"/>
      <c r="D59" s="62" t="s">
        <v>249</v>
      </c>
      <c r="E59" s="63" t="s">
        <v>250</v>
      </c>
      <c r="F59" s="111">
        <v>-0.3430911136</v>
      </c>
      <c r="G59" s="42">
        <f t="shared" si="0"/>
        <v>0.70960000000000001</v>
      </c>
      <c r="H59" s="43"/>
      <c r="I59" s="44"/>
      <c r="J59" s="63"/>
      <c r="K59" s="63"/>
      <c r="L59" s="63"/>
      <c r="M59" s="63"/>
      <c r="N59" s="64"/>
      <c r="O59" s="175"/>
      <c r="P59" s="45"/>
    </row>
    <row r="60" spans="1:16" x14ac:dyDescent="0.2">
      <c r="A60" s="51">
        <v>8020</v>
      </c>
      <c r="B60" s="51"/>
      <c r="C60" s="51"/>
      <c r="D60" s="62" t="s">
        <v>251</v>
      </c>
      <c r="E60" s="63" t="s">
        <v>252</v>
      </c>
      <c r="F60" s="111">
        <v>-0.1562303854</v>
      </c>
      <c r="G60" s="42">
        <f t="shared" si="0"/>
        <v>0.85540000000000005</v>
      </c>
      <c r="H60" s="43"/>
      <c r="I60" s="44"/>
      <c r="J60" s="63"/>
      <c r="K60" s="63"/>
      <c r="L60" s="63"/>
      <c r="M60" s="63"/>
      <c r="N60" s="64"/>
      <c r="O60" s="175"/>
      <c r="P60" s="45"/>
    </row>
    <row r="61" spans="1:16" x14ac:dyDescent="0.2">
      <c r="A61" s="46">
        <v>8020</v>
      </c>
      <c r="B61" s="51"/>
      <c r="C61" s="51"/>
      <c r="D61" s="62" t="s">
        <v>253</v>
      </c>
      <c r="E61" s="63" t="s">
        <v>254</v>
      </c>
      <c r="F61" s="111">
        <v>-0.39938370090000003</v>
      </c>
      <c r="G61" s="42">
        <f t="shared" si="0"/>
        <v>0.67069999999999996</v>
      </c>
      <c r="H61" s="43"/>
      <c r="I61" s="44"/>
      <c r="J61" s="63"/>
      <c r="K61" s="63"/>
      <c r="L61" s="63"/>
      <c r="M61" s="63"/>
      <c r="N61" s="64"/>
      <c r="O61" s="175"/>
      <c r="P61" s="45"/>
    </row>
    <row r="62" spans="1:16" x14ac:dyDescent="0.2">
      <c r="A62" s="51">
        <v>8020</v>
      </c>
      <c r="B62" s="51"/>
      <c r="C62" s="51"/>
      <c r="D62" s="62" t="s">
        <v>255</v>
      </c>
      <c r="E62" s="63" t="s">
        <v>256</v>
      </c>
      <c r="F62" s="111">
        <v>-0.44128844319999999</v>
      </c>
      <c r="G62" s="42">
        <f t="shared" si="0"/>
        <v>0.64319999999999999</v>
      </c>
      <c r="H62" s="43"/>
      <c r="I62" s="44"/>
      <c r="J62" s="63"/>
      <c r="K62" s="63"/>
      <c r="L62" s="63"/>
      <c r="M62" s="63"/>
      <c r="N62" s="64"/>
      <c r="O62" s="175"/>
      <c r="P62" s="45"/>
    </row>
    <row r="63" spans="1:16" x14ac:dyDescent="0.2">
      <c r="A63" s="46">
        <v>8020</v>
      </c>
      <c r="B63" s="51"/>
      <c r="C63" s="51"/>
      <c r="D63" s="62" t="s">
        <v>257</v>
      </c>
      <c r="E63" s="63" t="s">
        <v>258</v>
      </c>
      <c r="F63" s="111">
        <v>-0.35499490280000001</v>
      </c>
      <c r="G63" s="42">
        <f t="shared" si="0"/>
        <v>0.70120000000000005</v>
      </c>
      <c r="H63" s="43"/>
      <c r="I63" s="44"/>
      <c r="J63" s="63"/>
      <c r="K63" s="63"/>
      <c r="L63" s="63"/>
      <c r="M63" s="63"/>
      <c r="N63" s="64"/>
      <c r="O63" s="175"/>
      <c r="P63" s="45"/>
    </row>
    <row r="64" spans="1:16" x14ac:dyDescent="0.2">
      <c r="A64" s="51">
        <v>8020</v>
      </c>
      <c r="B64" s="51"/>
      <c r="C64" s="51"/>
      <c r="D64" s="62" t="s">
        <v>259</v>
      </c>
      <c r="E64" s="63" t="s">
        <v>260</v>
      </c>
      <c r="F64" s="111">
        <v>5.1859096200000003E-2</v>
      </c>
      <c r="G64" s="42">
        <f t="shared" si="0"/>
        <v>1.0531999999999999</v>
      </c>
      <c r="H64" s="43"/>
      <c r="I64" s="44"/>
      <c r="J64" s="63"/>
      <c r="K64" s="63"/>
      <c r="L64" s="63"/>
      <c r="M64" s="63"/>
      <c r="N64" s="64"/>
      <c r="O64" s="175"/>
      <c r="P64" s="45"/>
    </row>
    <row r="65" spans="1:16" x14ac:dyDescent="0.2">
      <c r="A65" s="46">
        <v>8020</v>
      </c>
      <c r="B65" s="51"/>
      <c r="C65" s="51"/>
      <c r="D65" s="62" t="s">
        <v>261</v>
      </c>
      <c r="E65" s="63" t="s">
        <v>262</v>
      </c>
      <c r="F65" s="111">
        <v>-1.1667829579</v>
      </c>
      <c r="G65" s="42">
        <f t="shared" si="0"/>
        <v>0.31140000000000001</v>
      </c>
      <c r="H65" s="43"/>
      <c r="I65" s="44"/>
      <c r="J65" s="63"/>
      <c r="K65" s="63"/>
      <c r="L65" s="63"/>
      <c r="M65" s="63"/>
      <c r="N65" s="64"/>
      <c r="O65" s="175"/>
      <c r="P65" s="45"/>
    </row>
    <row r="66" spans="1:16" x14ac:dyDescent="0.2">
      <c r="A66" s="51">
        <v>8020</v>
      </c>
      <c r="B66" s="51"/>
      <c r="C66" s="51"/>
      <c r="D66" s="62" t="s">
        <v>263</v>
      </c>
      <c r="E66" s="63" t="s">
        <v>264</v>
      </c>
      <c r="F66" s="112">
        <f>F69</f>
        <v>-0.75060315209999995</v>
      </c>
      <c r="G66" s="42">
        <f t="shared" ref="G66:G83" si="3">ROUND(EXP(F66),4)</f>
        <v>0.47210000000000002</v>
      </c>
      <c r="H66" s="43"/>
      <c r="I66" s="44"/>
      <c r="J66" s="63"/>
      <c r="K66" s="63"/>
      <c r="L66" s="63"/>
      <c r="M66" s="63"/>
      <c r="N66" s="64"/>
      <c r="O66" s="175"/>
      <c r="P66" s="45"/>
    </row>
    <row r="67" spans="1:16" x14ac:dyDescent="0.2">
      <c r="A67" s="46">
        <v>8020</v>
      </c>
      <c r="B67" s="51"/>
      <c r="C67" s="51"/>
      <c r="D67" s="62" t="s">
        <v>265</v>
      </c>
      <c r="E67" s="63" t="s">
        <v>266</v>
      </c>
      <c r="F67" s="112">
        <f>F69</f>
        <v>-0.75060315209999995</v>
      </c>
      <c r="G67" s="42">
        <f t="shared" si="3"/>
        <v>0.47210000000000002</v>
      </c>
      <c r="H67" s="43"/>
      <c r="I67" s="44"/>
      <c r="J67" s="63"/>
      <c r="K67" s="63"/>
      <c r="L67" s="63"/>
      <c r="M67" s="63"/>
      <c r="N67" s="64"/>
      <c r="O67" s="175"/>
      <c r="P67" s="45"/>
    </row>
    <row r="68" spans="1:16" x14ac:dyDescent="0.2">
      <c r="A68" s="51">
        <v>8020</v>
      </c>
      <c r="B68" s="51"/>
      <c r="C68" s="51"/>
      <c r="D68" s="62" t="s">
        <v>267</v>
      </c>
      <c r="E68" s="63" t="s">
        <v>268</v>
      </c>
      <c r="F68" s="112">
        <f>F65</f>
        <v>-1.1667829579</v>
      </c>
      <c r="G68" s="42">
        <f t="shared" si="3"/>
        <v>0.31140000000000001</v>
      </c>
      <c r="H68" s="43"/>
      <c r="I68" s="44"/>
      <c r="J68" s="63"/>
      <c r="K68" s="63"/>
      <c r="L68" s="63"/>
      <c r="M68" s="63"/>
      <c r="N68" s="64"/>
      <c r="O68" s="175"/>
      <c r="P68" s="45"/>
    </row>
    <row r="69" spans="1:16" x14ac:dyDescent="0.2">
      <c r="A69" s="46">
        <v>8020</v>
      </c>
      <c r="B69" s="51"/>
      <c r="C69" s="51"/>
      <c r="D69" s="62" t="s">
        <v>269</v>
      </c>
      <c r="E69" s="63" t="s">
        <v>270</v>
      </c>
      <c r="F69" s="111">
        <v>-0.75060315209999995</v>
      </c>
      <c r="G69" s="42">
        <f t="shared" si="3"/>
        <v>0.47210000000000002</v>
      </c>
      <c r="H69" s="43"/>
      <c r="I69" s="44"/>
      <c r="J69" s="63"/>
      <c r="K69" s="63"/>
      <c r="L69" s="63"/>
      <c r="M69" s="63"/>
      <c r="N69" s="64"/>
      <c r="O69" s="175"/>
      <c r="P69" s="45"/>
    </row>
    <row r="70" spans="1:16" x14ac:dyDescent="0.2">
      <c r="A70" s="51">
        <v>8020</v>
      </c>
      <c r="B70" s="51"/>
      <c r="C70" s="51"/>
      <c r="D70" s="62" t="s">
        <v>271</v>
      </c>
      <c r="E70" s="63" t="s">
        <v>272</v>
      </c>
      <c r="F70" s="111">
        <v>4.8848821600000002E-2</v>
      </c>
      <c r="G70" s="42">
        <f t="shared" si="3"/>
        <v>1.0501</v>
      </c>
      <c r="H70" s="43"/>
      <c r="I70" s="44"/>
      <c r="J70" s="63"/>
      <c r="K70" s="63"/>
      <c r="L70" s="63"/>
      <c r="M70" s="63"/>
      <c r="N70" s="64"/>
      <c r="O70" s="175"/>
      <c r="P70" s="45"/>
    </row>
    <row r="71" spans="1:16" x14ac:dyDescent="0.2">
      <c r="A71" s="46">
        <v>8020</v>
      </c>
      <c r="B71" s="51"/>
      <c r="C71" s="51"/>
      <c r="D71" s="62" t="s">
        <v>273</v>
      </c>
      <c r="E71" s="63" t="s">
        <v>274</v>
      </c>
      <c r="F71" s="111">
        <v>-1.0133746675999999</v>
      </c>
      <c r="G71" s="42">
        <f t="shared" si="3"/>
        <v>0.36299999999999999</v>
      </c>
      <c r="H71" s="43"/>
      <c r="I71" s="44"/>
      <c r="J71" s="63"/>
      <c r="K71" s="63"/>
      <c r="L71" s="63"/>
      <c r="M71" s="63"/>
      <c r="N71" s="64"/>
      <c r="O71" s="175"/>
      <c r="P71" s="45"/>
    </row>
    <row r="72" spans="1:16" x14ac:dyDescent="0.2">
      <c r="A72" s="51">
        <v>8020</v>
      </c>
      <c r="B72" s="51"/>
      <c r="C72" s="51"/>
      <c r="D72" s="62" t="s">
        <v>275</v>
      </c>
      <c r="E72" s="63" t="s">
        <v>276</v>
      </c>
      <c r="F72" s="111">
        <v>-0.6704476788</v>
      </c>
      <c r="G72" s="42">
        <f t="shared" si="3"/>
        <v>0.51149999999999995</v>
      </c>
      <c r="H72" s="43"/>
      <c r="I72" s="44"/>
      <c r="J72" s="63"/>
      <c r="K72" s="63"/>
      <c r="L72" s="63"/>
      <c r="M72" s="63"/>
      <c r="N72" s="64"/>
      <c r="O72" s="175"/>
      <c r="P72" s="45"/>
    </row>
    <row r="73" spans="1:16" x14ac:dyDescent="0.2">
      <c r="A73" s="46">
        <v>8020</v>
      </c>
      <c r="B73" s="51"/>
      <c r="C73" s="51"/>
      <c r="D73" s="62" t="s">
        <v>277</v>
      </c>
      <c r="E73" s="63" t="s">
        <v>278</v>
      </c>
      <c r="F73" s="112">
        <f>F74</f>
        <v>-1.0036577815000001</v>
      </c>
      <c r="G73" s="42">
        <f t="shared" si="3"/>
        <v>0.36649999999999999</v>
      </c>
      <c r="H73" s="43"/>
      <c r="I73" s="44"/>
      <c r="J73" s="63"/>
      <c r="K73" s="63"/>
      <c r="L73" s="63"/>
      <c r="M73" s="63"/>
      <c r="N73" s="64"/>
      <c r="O73" s="175"/>
      <c r="P73" s="45"/>
    </row>
    <row r="74" spans="1:16" x14ac:dyDescent="0.2">
      <c r="A74" s="51">
        <v>8020</v>
      </c>
      <c r="B74" s="51"/>
      <c r="C74" s="51"/>
      <c r="D74" s="62" t="s">
        <v>279</v>
      </c>
      <c r="E74" s="63" t="s">
        <v>280</v>
      </c>
      <c r="F74" s="111">
        <v>-1.0036577815000001</v>
      </c>
      <c r="G74" s="42">
        <f t="shared" si="3"/>
        <v>0.36649999999999999</v>
      </c>
      <c r="H74" s="43"/>
      <c r="I74" s="44"/>
      <c r="J74" s="63"/>
      <c r="K74" s="63"/>
      <c r="L74" s="63"/>
      <c r="M74" s="63"/>
      <c r="N74" s="64"/>
      <c r="O74" s="175"/>
      <c r="P74" s="45"/>
    </row>
    <row r="75" spans="1:16" x14ac:dyDescent="0.2">
      <c r="A75" s="46">
        <v>8020</v>
      </c>
      <c r="B75" s="51"/>
      <c r="C75" s="51"/>
      <c r="D75" s="62" t="s">
        <v>281</v>
      </c>
      <c r="E75" s="63" t="s">
        <v>282</v>
      </c>
      <c r="F75" s="111">
        <v>-1.5278123536999999</v>
      </c>
      <c r="G75" s="42">
        <f t="shared" si="3"/>
        <v>0.217</v>
      </c>
      <c r="H75" s="43"/>
      <c r="I75" s="44"/>
      <c r="J75" s="63"/>
      <c r="K75" s="63"/>
      <c r="L75" s="63"/>
      <c r="M75" s="63"/>
      <c r="N75" s="64"/>
      <c r="O75" s="175"/>
      <c r="P75" s="45"/>
    </row>
    <row r="76" spans="1:16" x14ac:dyDescent="0.2">
      <c r="A76" s="51">
        <v>8020</v>
      </c>
      <c r="B76" s="51"/>
      <c r="C76" s="51"/>
      <c r="D76" s="62" t="s">
        <v>283</v>
      </c>
      <c r="E76" s="63" t="s">
        <v>284</v>
      </c>
      <c r="F76" s="111">
        <v>-0.90086530760000005</v>
      </c>
      <c r="G76" s="42">
        <f t="shared" si="3"/>
        <v>0.40620000000000001</v>
      </c>
      <c r="H76" s="43"/>
      <c r="I76" s="44"/>
      <c r="J76" s="63"/>
      <c r="K76" s="63"/>
      <c r="L76" s="63"/>
      <c r="M76" s="63"/>
      <c r="N76" s="64"/>
      <c r="O76" s="175"/>
      <c r="P76" s="45"/>
    </row>
    <row r="77" spans="1:16" x14ac:dyDescent="0.2">
      <c r="A77" s="46">
        <v>8020</v>
      </c>
      <c r="B77" s="51"/>
      <c r="C77" s="51"/>
      <c r="D77" s="62" t="s">
        <v>285</v>
      </c>
      <c r="E77" s="63" t="s">
        <v>286</v>
      </c>
      <c r="F77" s="112">
        <f>F71</f>
        <v>-1.0133746675999999</v>
      </c>
      <c r="G77" s="42">
        <f t="shared" si="3"/>
        <v>0.36299999999999999</v>
      </c>
      <c r="H77" s="43"/>
      <c r="I77" s="44"/>
      <c r="J77" s="63"/>
      <c r="K77" s="63"/>
      <c r="L77" s="63"/>
      <c r="M77" s="63"/>
      <c r="N77" s="64"/>
      <c r="O77" s="175"/>
      <c r="P77" s="45"/>
    </row>
    <row r="78" spans="1:16" x14ac:dyDescent="0.2">
      <c r="A78" s="51">
        <v>8020</v>
      </c>
      <c r="B78" s="51"/>
      <c r="C78" s="51"/>
      <c r="D78" s="62" t="s">
        <v>287</v>
      </c>
      <c r="E78" s="63" t="s">
        <v>288</v>
      </c>
      <c r="F78" s="48">
        <v>-0.59974430580000004</v>
      </c>
      <c r="G78" s="42">
        <f t="shared" si="3"/>
        <v>0.54900000000000004</v>
      </c>
      <c r="H78" s="43"/>
      <c r="I78" s="44"/>
      <c r="J78" s="63"/>
      <c r="K78" s="63"/>
      <c r="L78" s="63"/>
      <c r="M78" s="63"/>
      <c r="N78" s="64"/>
      <c r="O78" s="175"/>
      <c r="P78" s="45"/>
    </row>
    <row r="79" spans="1:16" x14ac:dyDescent="0.2">
      <c r="A79" s="46">
        <v>8020</v>
      </c>
      <c r="B79" s="51"/>
      <c r="C79" s="51"/>
      <c r="D79" s="62" t="s">
        <v>289</v>
      </c>
      <c r="E79" s="63" t="s">
        <v>290</v>
      </c>
      <c r="F79" s="48">
        <v>0.29854691709999998</v>
      </c>
      <c r="G79" s="42">
        <f t="shared" si="3"/>
        <v>1.3479000000000001</v>
      </c>
      <c r="H79" s="43"/>
      <c r="I79" s="44"/>
      <c r="J79" s="63"/>
      <c r="K79" s="63"/>
      <c r="L79" s="63"/>
      <c r="M79" s="63"/>
      <c r="N79" s="64"/>
      <c r="O79" s="175"/>
      <c r="P79" s="45"/>
    </row>
    <row r="80" spans="1:16" x14ac:dyDescent="0.2">
      <c r="A80" s="51">
        <v>8020</v>
      </c>
      <c r="B80" s="51"/>
      <c r="C80" s="51"/>
      <c r="D80" s="62" t="s">
        <v>291</v>
      </c>
      <c r="E80" s="63" t="s">
        <v>292</v>
      </c>
      <c r="F80" s="48">
        <v>-0.98085767040000005</v>
      </c>
      <c r="G80" s="42">
        <f t="shared" si="3"/>
        <v>0.375</v>
      </c>
      <c r="H80" s="43"/>
      <c r="I80" s="44"/>
      <c r="J80" s="63"/>
      <c r="K80" s="63"/>
      <c r="L80" s="63"/>
      <c r="M80" s="63"/>
      <c r="N80" s="64"/>
      <c r="O80" s="175"/>
      <c r="P80" s="45"/>
    </row>
    <row r="81" spans="1:16" x14ac:dyDescent="0.2">
      <c r="A81" s="46">
        <v>8020</v>
      </c>
      <c r="B81" s="51"/>
      <c r="C81" s="51"/>
      <c r="D81" s="62" t="s">
        <v>293</v>
      </c>
      <c r="E81" s="63" t="s">
        <v>294</v>
      </c>
      <c r="F81" s="48">
        <v>-1.65680325E-2</v>
      </c>
      <c r="G81" s="42">
        <f t="shared" si="3"/>
        <v>0.98360000000000003</v>
      </c>
      <c r="H81" s="43"/>
      <c r="I81" s="44"/>
      <c r="J81" s="63"/>
      <c r="K81" s="63"/>
      <c r="L81" s="63"/>
      <c r="M81" s="63"/>
      <c r="N81" s="64"/>
      <c r="O81" s="175"/>
      <c r="P81" s="45"/>
    </row>
    <row r="82" spans="1:16" x14ac:dyDescent="0.2">
      <c r="A82" s="51">
        <v>8020</v>
      </c>
      <c r="B82" s="51"/>
      <c r="C82" s="51"/>
      <c r="D82" s="62" t="s">
        <v>295</v>
      </c>
      <c r="E82" s="63" t="s">
        <v>296</v>
      </c>
      <c r="F82" s="48">
        <v>-1.4193964132000001</v>
      </c>
      <c r="G82" s="42">
        <f t="shared" si="3"/>
        <v>0.2419</v>
      </c>
      <c r="H82" s="43"/>
      <c r="I82" s="44"/>
      <c r="J82" s="63"/>
      <c r="K82" s="63"/>
      <c r="L82" s="63"/>
      <c r="M82" s="63"/>
      <c r="N82" s="64"/>
      <c r="O82" s="175"/>
      <c r="P82" s="45"/>
    </row>
    <row r="83" spans="1:16" x14ac:dyDescent="0.2">
      <c r="A83" s="46">
        <v>8020</v>
      </c>
      <c r="B83" s="51"/>
      <c r="C83" s="51"/>
      <c r="D83" s="62" t="s">
        <v>297</v>
      </c>
      <c r="E83" s="63" t="s">
        <v>298</v>
      </c>
      <c r="F83" s="48">
        <v>-0.49227635139999998</v>
      </c>
      <c r="G83" s="42">
        <f t="shared" si="3"/>
        <v>0.61119999999999997</v>
      </c>
      <c r="H83" s="43"/>
      <c r="I83" s="44"/>
      <c r="J83" s="63"/>
      <c r="K83" s="63"/>
      <c r="L83" s="63"/>
      <c r="M83" s="63"/>
      <c r="N83" s="64"/>
      <c r="O83" s="175"/>
      <c r="P83" s="45"/>
    </row>
    <row r="84" spans="1:16" ht="102.75" customHeight="1" x14ac:dyDescent="0.2">
      <c r="A84" s="51">
        <v>8020</v>
      </c>
      <c r="B84" s="40" t="s">
        <v>124</v>
      </c>
      <c r="C84" s="40" t="s">
        <v>125</v>
      </c>
      <c r="D84" s="69"/>
      <c r="E84" s="178" t="s">
        <v>299</v>
      </c>
      <c r="F84" s="179"/>
      <c r="G84" s="180"/>
      <c r="H84" s="113"/>
      <c r="I84" s="114" t="s">
        <v>126</v>
      </c>
      <c r="J84" s="65">
        <f>модули!A99</f>
        <v>0</v>
      </c>
      <c r="K84" s="65">
        <f>модули!A100</f>
        <v>6000</v>
      </c>
      <c r="L84" s="65">
        <f>модули!B99</f>
        <v>0.89229999999999998</v>
      </c>
      <c r="M84" s="66">
        <f>модули!B100</f>
        <v>0.39379999999999998</v>
      </c>
      <c r="N84" s="64"/>
      <c r="O84" s="40" t="s">
        <v>127</v>
      </c>
      <c r="P84" s="67"/>
    </row>
    <row r="85" spans="1:16" ht="108.75" customHeight="1" x14ac:dyDescent="0.2">
      <c r="A85" s="46">
        <v>8020</v>
      </c>
      <c r="B85" s="71" t="s">
        <v>300</v>
      </c>
      <c r="C85" s="68" t="s">
        <v>125</v>
      </c>
      <c r="D85" s="69"/>
      <c r="E85" s="181" t="s">
        <v>312</v>
      </c>
      <c r="F85" s="182"/>
      <c r="G85" s="183"/>
      <c r="H85" s="70"/>
      <c r="I85" s="142">
        <f>'количественные факторы'!B2</f>
        <v>0.71448643076157303</v>
      </c>
      <c r="J85" s="65">
        <f>модули!H99</f>
        <v>5</v>
      </c>
      <c r="K85" s="65">
        <f>модули!H100</f>
        <v>27.5</v>
      </c>
      <c r="L85" s="65">
        <f>модули!L99</f>
        <v>1.0000000000590388</v>
      </c>
      <c r="M85" s="66">
        <f>ROUND(модули!L100,4)</f>
        <v>0.63249999999999995</v>
      </c>
      <c r="N85" s="64"/>
      <c r="O85" s="68" t="s">
        <v>128</v>
      </c>
      <c r="P85" s="67"/>
    </row>
    <row r="86" spans="1:16" ht="25.5" customHeight="1" x14ac:dyDescent="0.2">
      <c r="A86" s="175">
        <v>8020</v>
      </c>
      <c r="B86" s="108" t="s">
        <v>129</v>
      </c>
      <c r="C86" s="184" t="s">
        <v>130</v>
      </c>
      <c r="D86" s="72"/>
      <c r="E86" s="73" t="s">
        <v>131</v>
      </c>
      <c r="F86" s="74"/>
      <c r="G86" s="75" t="e">
        <f>'расчетОО '!#REF!</f>
        <v>#REF!</v>
      </c>
      <c r="H86" s="76"/>
      <c r="I86" s="75"/>
      <c r="J86" s="77"/>
      <c r="K86" s="77"/>
      <c r="L86" s="77"/>
      <c r="M86" s="78"/>
      <c r="N86" s="78"/>
      <c r="O86" s="186" t="s">
        <v>132</v>
      </c>
      <c r="P86" s="79"/>
    </row>
    <row r="87" spans="1:16" ht="15.75" customHeight="1" x14ac:dyDescent="0.2">
      <c r="A87" s="175"/>
      <c r="B87" s="109"/>
      <c r="C87" s="185"/>
      <c r="D87" s="80"/>
      <c r="E87" s="73" t="s">
        <v>133</v>
      </c>
      <c r="F87" s="81"/>
      <c r="G87" s="82">
        <v>1</v>
      </c>
      <c r="H87" s="83"/>
      <c r="I87" s="82"/>
      <c r="J87" s="84"/>
      <c r="K87" s="84"/>
      <c r="L87" s="84"/>
      <c r="M87" s="85"/>
      <c r="N87" s="85"/>
      <c r="O87" s="187"/>
      <c r="P87" s="86"/>
    </row>
    <row r="89" spans="1:16" ht="15" x14ac:dyDescent="0.25">
      <c r="B89" s="17"/>
    </row>
  </sheetData>
  <mergeCells count="13">
    <mergeCell ref="A86:A87"/>
    <mergeCell ref="O3:O5"/>
    <mergeCell ref="O6:O8"/>
    <mergeCell ref="O9:O11"/>
    <mergeCell ref="O12:O13"/>
    <mergeCell ref="O14:O15"/>
    <mergeCell ref="O16:O17"/>
    <mergeCell ref="O20:O83"/>
    <mergeCell ref="E84:G84"/>
    <mergeCell ref="E85:G85"/>
    <mergeCell ref="C86:C87"/>
    <mergeCell ref="O86:O87"/>
    <mergeCell ref="O18:O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271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316</v>
      </c>
      <c r="B1" t="s">
        <v>7385</v>
      </c>
    </row>
    <row r="2" spans="1:2" x14ac:dyDescent="0.25">
      <c r="A2" t="s">
        <v>347</v>
      </c>
      <c r="B2" t="s">
        <v>7386</v>
      </c>
    </row>
    <row r="3" spans="1:2" x14ac:dyDescent="0.25">
      <c r="A3" t="s">
        <v>7387</v>
      </c>
      <c r="B3" t="s">
        <v>7388</v>
      </c>
    </row>
    <row r="4" spans="1:2" x14ac:dyDescent="0.25">
      <c r="A4" t="s">
        <v>7389</v>
      </c>
      <c r="B4" t="s">
        <v>7390</v>
      </c>
    </row>
    <row r="5" spans="1:2" x14ac:dyDescent="0.25">
      <c r="A5" t="s">
        <v>7391</v>
      </c>
      <c r="B5" t="s">
        <v>7392</v>
      </c>
    </row>
    <row r="6" spans="1:2" x14ac:dyDescent="0.25">
      <c r="A6" t="s">
        <v>7393</v>
      </c>
      <c r="B6" t="s">
        <v>7394</v>
      </c>
    </row>
    <row r="7" spans="1:2" x14ac:dyDescent="0.25">
      <c r="A7" t="s">
        <v>7395</v>
      </c>
      <c r="B7" t="s">
        <v>7396</v>
      </c>
    </row>
    <row r="8" spans="1:2" x14ac:dyDescent="0.25">
      <c r="A8" t="s">
        <v>7397</v>
      </c>
      <c r="B8" t="s">
        <v>7398</v>
      </c>
    </row>
    <row r="9" spans="1:2" x14ac:dyDescent="0.25">
      <c r="A9" t="s">
        <v>7399</v>
      </c>
      <c r="B9" t="s">
        <v>7400</v>
      </c>
    </row>
    <row r="10" spans="1:2" x14ac:dyDescent="0.25">
      <c r="A10" t="s">
        <v>7401</v>
      </c>
      <c r="B10" t="s">
        <v>7402</v>
      </c>
    </row>
    <row r="11" spans="1:2" x14ac:dyDescent="0.25">
      <c r="A11" t="s">
        <v>7403</v>
      </c>
      <c r="B11" t="s">
        <v>7404</v>
      </c>
    </row>
    <row r="12" spans="1:2" x14ac:dyDescent="0.25">
      <c r="A12" t="s">
        <v>7405</v>
      </c>
      <c r="B12" t="s">
        <v>7406</v>
      </c>
    </row>
    <row r="13" spans="1:2" x14ac:dyDescent="0.25">
      <c r="A13" t="s">
        <v>7407</v>
      </c>
      <c r="B13" t="s">
        <v>7408</v>
      </c>
    </row>
    <row r="14" spans="1:2" x14ac:dyDescent="0.25">
      <c r="A14" t="s">
        <v>7409</v>
      </c>
      <c r="B14" t="s">
        <v>7410</v>
      </c>
    </row>
    <row r="15" spans="1:2" x14ac:dyDescent="0.25">
      <c r="A15" t="s">
        <v>7411</v>
      </c>
      <c r="B15" t="s">
        <v>7412</v>
      </c>
    </row>
    <row r="16" spans="1:2" x14ac:dyDescent="0.25">
      <c r="A16" t="s">
        <v>7413</v>
      </c>
      <c r="B16" t="s">
        <v>7414</v>
      </c>
    </row>
    <row r="17" spans="1:2" x14ac:dyDescent="0.25">
      <c r="A17" t="s">
        <v>7415</v>
      </c>
      <c r="B17" t="s">
        <v>7416</v>
      </c>
    </row>
    <row r="18" spans="1:2" x14ac:dyDescent="0.25">
      <c r="A18" t="s">
        <v>7417</v>
      </c>
      <c r="B18" t="s">
        <v>7418</v>
      </c>
    </row>
    <row r="19" spans="1:2" x14ac:dyDescent="0.25">
      <c r="A19" t="s">
        <v>7419</v>
      </c>
      <c r="B19" t="s">
        <v>7420</v>
      </c>
    </row>
    <row r="20" spans="1:2" x14ac:dyDescent="0.25">
      <c r="A20" t="s">
        <v>7421</v>
      </c>
      <c r="B20" t="s">
        <v>7422</v>
      </c>
    </row>
    <row r="21" spans="1:2" x14ac:dyDescent="0.25">
      <c r="A21" t="s">
        <v>7423</v>
      </c>
      <c r="B21" t="s">
        <v>7424</v>
      </c>
    </row>
    <row r="22" spans="1:2" x14ac:dyDescent="0.25">
      <c r="A22" t="s">
        <v>7425</v>
      </c>
      <c r="B22" t="s">
        <v>7426</v>
      </c>
    </row>
    <row r="23" spans="1:2" x14ac:dyDescent="0.25">
      <c r="A23" t="s">
        <v>7427</v>
      </c>
      <c r="B23" t="s">
        <v>7428</v>
      </c>
    </row>
    <row r="24" spans="1:2" x14ac:dyDescent="0.25">
      <c r="A24" t="s">
        <v>7429</v>
      </c>
      <c r="B24" t="s">
        <v>7430</v>
      </c>
    </row>
    <row r="25" spans="1:2" x14ac:dyDescent="0.25">
      <c r="A25" t="s">
        <v>7431</v>
      </c>
      <c r="B25" t="s">
        <v>7432</v>
      </c>
    </row>
    <row r="26" spans="1:2" x14ac:dyDescent="0.25">
      <c r="A26" t="s">
        <v>7433</v>
      </c>
      <c r="B26" t="s">
        <v>7434</v>
      </c>
    </row>
    <row r="27" spans="1:2" x14ac:dyDescent="0.25">
      <c r="A27" t="s">
        <v>7435</v>
      </c>
      <c r="B27" t="s">
        <v>7436</v>
      </c>
    </row>
    <row r="28" spans="1:2" x14ac:dyDescent="0.25">
      <c r="A28" t="s">
        <v>7437</v>
      </c>
      <c r="B28" t="s">
        <v>7438</v>
      </c>
    </row>
    <row r="29" spans="1:2" x14ac:dyDescent="0.25">
      <c r="A29" t="s">
        <v>7439</v>
      </c>
      <c r="B29" t="s">
        <v>7440</v>
      </c>
    </row>
    <row r="30" spans="1:2" x14ac:dyDescent="0.25">
      <c r="A30" t="s">
        <v>7441</v>
      </c>
      <c r="B30" t="s">
        <v>7442</v>
      </c>
    </row>
    <row r="31" spans="1:2" x14ac:dyDescent="0.25">
      <c r="A31" t="s">
        <v>7443</v>
      </c>
      <c r="B31" t="s">
        <v>7444</v>
      </c>
    </row>
    <row r="32" spans="1:2" x14ac:dyDescent="0.25">
      <c r="A32" t="s">
        <v>7445</v>
      </c>
      <c r="B32" t="s">
        <v>7446</v>
      </c>
    </row>
    <row r="33" spans="1:2" x14ac:dyDescent="0.25">
      <c r="A33" t="s">
        <v>7447</v>
      </c>
      <c r="B33" t="s">
        <v>7448</v>
      </c>
    </row>
    <row r="34" spans="1:2" x14ac:dyDescent="0.25">
      <c r="A34" t="s">
        <v>7449</v>
      </c>
      <c r="B34" t="s">
        <v>7450</v>
      </c>
    </row>
    <row r="35" spans="1:2" x14ac:dyDescent="0.25">
      <c r="A35" t="s">
        <v>7451</v>
      </c>
      <c r="B35" t="s">
        <v>7452</v>
      </c>
    </row>
    <row r="36" spans="1:2" x14ac:dyDescent="0.25">
      <c r="A36" t="s">
        <v>7453</v>
      </c>
      <c r="B36" t="s">
        <v>7454</v>
      </c>
    </row>
    <row r="37" spans="1:2" x14ac:dyDescent="0.25">
      <c r="A37" t="s">
        <v>7455</v>
      </c>
      <c r="B37" t="s">
        <v>7456</v>
      </c>
    </row>
    <row r="38" spans="1:2" x14ac:dyDescent="0.25">
      <c r="A38" t="s">
        <v>7457</v>
      </c>
      <c r="B38" t="s">
        <v>7458</v>
      </c>
    </row>
    <row r="39" spans="1:2" x14ac:dyDescent="0.25">
      <c r="A39" t="s">
        <v>7459</v>
      </c>
      <c r="B39" t="s">
        <v>7460</v>
      </c>
    </row>
    <row r="40" spans="1:2" x14ac:dyDescent="0.25">
      <c r="A40" t="s">
        <v>7461</v>
      </c>
      <c r="B40" t="s">
        <v>7462</v>
      </c>
    </row>
    <row r="41" spans="1:2" x14ac:dyDescent="0.25">
      <c r="A41" t="s">
        <v>7463</v>
      </c>
      <c r="B41" t="s">
        <v>7464</v>
      </c>
    </row>
    <row r="42" spans="1:2" x14ac:dyDescent="0.25">
      <c r="A42" t="s">
        <v>7465</v>
      </c>
      <c r="B42" t="s">
        <v>7466</v>
      </c>
    </row>
    <row r="43" spans="1:2" x14ac:dyDescent="0.25">
      <c r="A43" t="s">
        <v>7467</v>
      </c>
      <c r="B43" t="s">
        <v>7468</v>
      </c>
    </row>
    <row r="44" spans="1:2" x14ac:dyDescent="0.25">
      <c r="A44" t="s">
        <v>7469</v>
      </c>
      <c r="B44" t="s">
        <v>7470</v>
      </c>
    </row>
    <row r="45" spans="1:2" x14ac:dyDescent="0.25">
      <c r="A45" t="s">
        <v>7471</v>
      </c>
      <c r="B45" t="s">
        <v>7472</v>
      </c>
    </row>
    <row r="46" spans="1:2" x14ac:dyDescent="0.25">
      <c r="A46" t="s">
        <v>7473</v>
      </c>
      <c r="B46" t="s">
        <v>7474</v>
      </c>
    </row>
    <row r="47" spans="1:2" x14ac:dyDescent="0.25">
      <c r="A47" t="s">
        <v>7475</v>
      </c>
      <c r="B47" t="s">
        <v>7476</v>
      </c>
    </row>
    <row r="48" spans="1:2" x14ac:dyDescent="0.25">
      <c r="A48" t="s">
        <v>7477</v>
      </c>
      <c r="B48" t="s">
        <v>7478</v>
      </c>
    </row>
    <row r="49" spans="1:2" x14ac:dyDescent="0.25">
      <c r="A49" t="s">
        <v>7479</v>
      </c>
      <c r="B49" t="s">
        <v>7480</v>
      </c>
    </row>
    <row r="50" spans="1:2" x14ac:dyDescent="0.25">
      <c r="A50" t="s">
        <v>7481</v>
      </c>
      <c r="B50" t="s">
        <v>7482</v>
      </c>
    </row>
    <row r="51" spans="1:2" x14ac:dyDescent="0.25">
      <c r="A51" t="s">
        <v>7483</v>
      </c>
      <c r="B51" t="s">
        <v>7484</v>
      </c>
    </row>
    <row r="52" spans="1:2" x14ac:dyDescent="0.25">
      <c r="A52" t="s">
        <v>7485</v>
      </c>
      <c r="B52" t="s">
        <v>7486</v>
      </c>
    </row>
    <row r="53" spans="1:2" x14ac:dyDescent="0.25">
      <c r="A53" t="s">
        <v>7487</v>
      </c>
      <c r="B53" t="s">
        <v>7488</v>
      </c>
    </row>
    <row r="54" spans="1:2" x14ac:dyDescent="0.25">
      <c r="A54" t="s">
        <v>7489</v>
      </c>
      <c r="B54" t="s">
        <v>7490</v>
      </c>
    </row>
    <row r="55" spans="1:2" x14ac:dyDescent="0.25">
      <c r="A55" t="s">
        <v>7491</v>
      </c>
      <c r="B55" t="s">
        <v>7492</v>
      </c>
    </row>
    <row r="56" spans="1:2" x14ac:dyDescent="0.25">
      <c r="A56" t="s">
        <v>7493</v>
      </c>
      <c r="B56" t="s">
        <v>7494</v>
      </c>
    </row>
    <row r="57" spans="1:2" x14ac:dyDescent="0.25">
      <c r="A57" t="s">
        <v>7495</v>
      </c>
      <c r="B57" t="s">
        <v>7496</v>
      </c>
    </row>
    <row r="58" spans="1:2" x14ac:dyDescent="0.25">
      <c r="A58" t="s">
        <v>7497</v>
      </c>
      <c r="B58" t="s">
        <v>7498</v>
      </c>
    </row>
    <row r="59" spans="1:2" x14ac:dyDescent="0.25">
      <c r="A59" t="s">
        <v>7499</v>
      </c>
      <c r="B59" t="s">
        <v>7500</v>
      </c>
    </row>
    <row r="60" spans="1:2" x14ac:dyDescent="0.25">
      <c r="A60" t="s">
        <v>7501</v>
      </c>
      <c r="B60" t="s">
        <v>7502</v>
      </c>
    </row>
    <row r="61" spans="1:2" x14ac:dyDescent="0.25">
      <c r="A61" t="s">
        <v>7503</v>
      </c>
      <c r="B61" t="s">
        <v>7504</v>
      </c>
    </row>
    <row r="62" spans="1:2" x14ac:dyDescent="0.25">
      <c r="A62" t="s">
        <v>7505</v>
      </c>
      <c r="B62" t="s">
        <v>7506</v>
      </c>
    </row>
    <row r="63" spans="1:2" x14ac:dyDescent="0.25">
      <c r="A63" t="s">
        <v>7507</v>
      </c>
      <c r="B63" t="s">
        <v>7508</v>
      </c>
    </row>
    <row r="64" spans="1:2" x14ac:dyDescent="0.25">
      <c r="A64" t="s">
        <v>7509</v>
      </c>
      <c r="B64" t="s">
        <v>7510</v>
      </c>
    </row>
    <row r="65" spans="1:2" x14ac:dyDescent="0.25">
      <c r="A65" t="s">
        <v>7511</v>
      </c>
      <c r="B65" t="s">
        <v>7512</v>
      </c>
    </row>
    <row r="66" spans="1:2" x14ac:dyDescent="0.25">
      <c r="A66" t="s">
        <v>7513</v>
      </c>
      <c r="B66" t="s">
        <v>7514</v>
      </c>
    </row>
    <row r="67" spans="1:2" x14ac:dyDescent="0.25">
      <c r="A67" t="s">
        <v>7515</v>
      </c>
      <c r="B67" t="s">
        <v>7516</v>
      </c>
    </row>
    <row r="68" spans="1:2" x14ac:dyDescent="0.25">
      <c r="A68" t="s">
        <v>7517</v>
      </c>
      <c r="B68" t="s">
        <v>7518</v>
      </c>
    </row>
    <row r="69" spans="1:2" x14ac:dyDescent="0.25">
      <c r="A69" t="s">
        <v>7519</v>
      </c>
      <c r="B69" t="s">
        <v>7520</v>
      </c>
    </row>
    <row r="70" spans="1:2" x14ac:dyDescent="0.25">
      <c r="A70" t="s">
        <v>7521</v>
      </c>
      <c r="B70" t="s">
        <v>7522</v>
      </c>
    </row>
    <row r="71" spans="1:2" x14ac:dyDescent="0.25">
      <c r="A71" t="s">
        <v>7523</v>
      </c>
      <c r="B71" t="s">
        <v>7524</v>
      </c>
    </row>
    <row r="72" spans="1:2" x14ac:dyDescent="0.25">
      <c r="A72" t="s">
        <v>7525</v>
      </c>
      <c r="B72" t="s">
        <v>7526</v>
      </c>
    </row>
    <row r="73" spans="1:2" x14ac:dyDescent="0.25">
      <c r="A73" t="s">
        <v>7527</v>
      </c>
      <c r="B73" t="s">
        <v>7528</v>
      </c>
    </row>
    <row r="74" spans="1:2" x14ac:dyDescent="0.25">
      <c r="A74" t="s">
        <v>7529</v>
      </c>
      <c r="B74" t="s">
        <v>7530</v>
      </c>
    </row>
    <row r="75" spans="1:2" x14ac:dyDescent="0.25">
      <c r="A75" t="s">
        <v>7531</v>
      </c>
      <c r="B75" t="s">
        <v>7532</v>
      </c>
    </row>
    <row r="76" spans="1:2" x14ac:dyDescent="0.25">
      <c r="A76" t="s">
        <v>7533</v>
      </c>
      <c r="B76" t="s">
        <v>7534</v>
      </c>
    </row>
    <row r="77" spans="1:2" x14ac:dyDescent="0.25">
      <c r="A77" t="s">
        <v>7535</v>
      </c>
      <c r="B77" t="s">
        <v>7536</v>
      </c>
    </row>
    <row r="78" spans="1:2" x14ac:dyDescent="0.25">
      <c r="A78" t="s">
        <v>7537</v>
      </c>
      <c r="B78" t="s">
        <v>7538</v>
      </c>
    </row>
    <row r="79" spans="1:2" x14ac:dyDescent="0.25">
      <c r="A79" t="s">
        <v>7539</v>
      </c>
      <c r="B79" t="s">
        <v>7540</v>
      </c>
    </row>
    <row r="80" spans="1:2" x14ac:dyDescent="0.25">
      <c r="A80" t="s">
        <v>7541</v>
      </c>
      <c r="B80" t="s">
        <v>7542</v>
      </c>
    </row>
    <row r="81" spans="1:2" x14ac:dyDescent="0.25">
      <c r="A81" t="s">
        <v>7543</v>
      </c>
      <c r="B81" t="s">
        <v>7544</v>
      </c>
    </row>
    <row r="82" spans="1:2" x14ac:dyDescent="0.25">
      <c r="A82" t="s">
        <v>7545</v>
      </c>
      <c r="B82" t="s">
        <v>7546</v>
      </c>
    </row>
    <row r="83" spans="1:2" x14ac:dyDescent="0.25">
      <c r="A83" t="s">
        <v>7547</v>
      </c>
      <c r="B83" t="s">
        <v>7548</v>
      </c>
    </row>
    <row r="84" spans="1:2" x14ac:dyDescent="0.25">
      <c r="A84" t="s">
        <v>7549</v>
      </c>
      <c r="B84" t="s">
        <v>7550</v>
      </c>
    </row>
    <row r="85" spans="1:2" x14ac:dyDescent="0.25">
      <c r="A85" t="s">
        <v>7551</v>
      </c>
      <c r="B85" t="s">
        <v>7552</v>
      </c>
    </row>
    <row r="86" spans="1:2" x14ac:dyDescent="0.25">
      <c r="A86" t="s">
        <v>7553</v>
      </c>
      <c r="B86" t="s">
        <v>7554</v>
      </c>
    </row>
    <row r="87" spans="1:2" x14ac:dyDescent="0.25">
      <c r="A87" t="s">
        <v>7555</v>
      </c>
      <c r="B87" t="s">
        <v>7556</v>
      </c>
    </row>
    <row r="88" spans="1:2" x14ac:dyDescent="0.25">
      <c r="A88" t="s">
        <v>7557</v>
      </c>
      <c r="B88" t="s">
        <v>7558</v>
      </c>
    </row>
    <row r="89" spans="1:2" x14ac:dyDescent="0.25">
      <c r="A89" t="s">
        <v>7559</v>
      </c>
      <c r="B89" t="s">
        <v>7560</v>
      </c>
    </row>
    <row r="90" spans="1:2" x14ac:dyDescent="0.25">
      <c r="A90" t="s">
        <v>7561</v>
      </c>
      <c r="B90" t="s">
        <v>7562</v>
      </c>
    </row>
    <row r="91" spans="1:2" x14ac:dyDescent="0.25">
      <c r="A91" t="s">
        <v>7563</v>
      </c>
      <c r="B91" t="s">
        <v>7564</v>
      </c>
    </row>
    <row r="92" spans="1:2" x14ac:dyDescent="0.25">
      <c r="A92" t="s">
        <v>7565</v>
      </c>
      <c r="B92" t="s">
        <v>7566</v>
      </c>
    </row>
    <row r="93" spans="1:2" x14ac:dyDescent="0.25">
      <c r="A93" t="s">
        <v>7567</v>
      </c>
      <c r="B93" t="s">
        <v>7568</v>
      </c>
    </row>
    <row r="94" spans="1:2" x14ac:dyDescent="0.25">
      <c r="A94" t="s">
        <v>7569</v>
      </c>
      <c r="B94" t="s">
        <v>7570</v>
      </c>
    </row>
    <row r="95" spans="1:2" x14ac:dyDescent="0.25">
      <c r="A95" t="s">
        <v>7571</v>
      </c>
      <c r="B95" t="s">
        <v>7572</v>
      </c>
    </row>
    <row r="96" spans="1:2" x14ac:dyDescent="0.25">
      <c r="A96" t="s">
        <v>7573</v>
      </c>
      <c r="B96" t="s">
        <v>7574</v>
      </c>
    </row>
    <row r="97" spans="1:2" x14ac:dyDescent="0.25">
      <c r="A97" t="s">
        <v>7575</v>
      </c>
      <c r="B97" t="s">
        <v>7576</v>
      </c>
    </row>
    <row r="98" spans="1:2" x14ac:dyDescent="0.25">
      <c r="A98" t="s">
        <v>7577</v>
      </c>
      <c r="B98" t="s">
        <v>7578</v>
      </c>
    </row>
    <row r="99" spans="1:2" x14ac:dyDescent="0.25">
      <c r="A99" t="s">
        <v>7579</v>
      </c>
      <c r="B99" t="s">
        <v>7580</v>
      </c>
    </row>
    <row r="100" spans="1:2" x14ac:dyDescent="0.25">
      <c r="A100" t="s">
        <v>7581</v>
      </c>
      <c r="B100" t="s">
        <v>7582</v>
      </c>
    </row>
    <row r="101" spans="1:2" x14ac:dyDescent="0.25">
      <c r="A101" t="s">
        <v>7583</v>
      </c>
      <c r="B101" t="s">
        <v>7584</v>
      </c>
    </row>
    <row r="102" spans="1:2" x14ac:dyDescent="0.25">
      <c r="A102" t="s">
        <v>7585</v>
      </c>
      <c r="B102" t="s">
        <v>7586</v>
      </c>
    </row>
    <row r="103" spans="1:2" x14ac:dyDescent="0.25">
      <c r="A103" t="s">
        <v>7587</v>
      </c>
      <c r="B103" t="s">
        <v>7588</v>
      </c>
    </row>
    <row r="104" spans="1:2" x14ac:dyDescent="0.25">
      <c r="A104" t="s">
        <v>7589</v>
      </c>
      <c r="B104" t="s">
        <v>7590</v>
      </c>
    </row>
    <row r="105" spans="1:2" x14ac:dyDescent="0.25">
      <c r="A105" t="s">
        <v>7591</v>
      </c>
      <c r="B105" t="s">
        <v>7592</v>
      </c>
    </row>
    <row r="106" spans="1:2" x14ac:dyDescent="0.25">
      <c r="A106" t="s">
        <v>7593</v>
      </c>
      <c r="B106" t="s">
        <v>7594</v>
      </c>
    </row>
    <row r="107" spans="1:2" x14ac:dyDescent="0.25">
      <c r="A107" t="s">
        <v>7595</v>
      </c>
      <c r="B107" t="s">
        <v>7596</v>
      </c>
    </row>
    <row r="108" spans="1:2" x14ac:dyDescent="0.25">
      <c r="A108" t="s">
        <v>7597</v>
      </c>
      <c r="B108" t="s">
        <v>7598</v>
      </c>
    </row>
    <row r="109" spans="1:2" x14ac:dyDescent="0.25">
      <c r="A109" t="s">
        <v>7599</v>
      </c>
      <c r="B109" t="s">
        <v>7600</v>
      </c>
    </row>
    <row r="110" spans="1:2" x14ac:dyDescent="0.25">
      <c r="A110" t="s">
        <v>7601</v>
      </c>
      <c r="B110" t="s">
        <v>7602</v>
      </c>
    </row>
    <row r="111" spans="1:2" x14ac:dyDescent="0.25">
      <c r="A111" t="s">
        <v>7603</v>
      </c>
      <c r="B111" t="s">
        <v>7604</v>
      </c>
    </row>
    <row r="112" spans="1:2" x14ac:dyDescent="0.25">
      <c r="A112" t="s">
        <v>7605</v>
      </c>
      <c r="B112" t="s">
        <v>7606</v>
      </c>
    </row>
    <row r="113" spans="1:2" x14ac:dyDescent="0.25">
      <c r="A113" t="s">
        <v>7607</v>
      </c>
      <c r="B113" t="s">
        <v>7608</v>
      </c>
    </row>
    <row r="114" spans="1:2" x14ac:dyDescent="0.25">
      <c r="A114" t="s">
        <v>7609</v>
      </c>
      <c r="B114" t="s">
        <v>7610</v>
      </c>
    </row>
    <row r="115" spans="1:2" x14ac:dyDescent="0.25">
      <c r="A115" t="s">
        <v>7611</v>
      </c>
      <c r="B115" t="s">
        <v>7612</v>
      </c>
    </row>
    <row r="116" spans="1:2" x14ac:dyDescent="0.25">
      <c r="A116" t="s">
        <v>7613</v>
      </c>
      <c r="B116" t="s">
        <v>7614</v>
      </c>
    </row>
    <row r="117" spans="1:2" x14ac:dyDescent="0.25">
      <c r="A117" t="s">
        <v>7615</v>
      </c>
      <c r="B117" t="s">
        <v>7616</v>
      </c>
    </row>
    <row r="118" spans="1:2" x14ac:dyDescent="0.25">
      <c r="A118" t="s">
        <v>7617</v>
      </c>
      <c r="B118" t="s">
        <v>7618</v>
      </c>
    </row>
    <row r="119" spans="1:2" x14ac:dyDescent="0.25">
      <c r="A119" t="s">
        <v>7619</v>
      </c>
      <c r="B119" t="s">
        <v>7620</v>
      </c>
    </row>
    <row r="120" spans="1:2" x14ac:dyDescent="0.25">
      <c r="A120" t="s">
        <v>7621</v>
      </c>
      <c r="B120" t="s">
        <v>7622</v>
      </c>
    </row>
    <row r="121" spans="1:2" x14ac:dyDescent="0.25">
      <c r="A121" t="s">
        <v>7623</v>
      </c>
      <c r="B121" t="s">
        <v>7624</v>
      </c>
    </row>
    <row r="122" spans="1:2" x14ac:dyDescent="0.25">
      <c r="A122" t="s">
        <v>7625</v>
      </c>
      <c r="B122" t="s">
        <v>7626</v>
      </c>
    </row>
    <row r="123" spans="1:2" x14ac:dyDescent="0.25">
      <c r="A123" t="s">
        <v>7627</v>
      </c>
      <c r="B123" t="s">
        <v>7628</v>
      </c>
    </row>
    <row r="124" spans="1:2" x14ac:dyDescent="0.25">
      <c r="A124" t="s">
        <v>7629</v>
      </c>
      <c r="B124" t="s">
        <v>7630</v>
      </c>
    </row>
    <row r="125" spans="1:2" x14ac:dyDescent="0.25">
      <c r="A125" t="s">
        <v>7631</v>
      </c>
      <c r="B125" t="s">
        <v>7632</v>
      </c>
    </row>
    <row r="126" spans="1:2" x14ac:dyDescent="0.25">
      <c r="A126" t="s">
        <v>7633</v>
      </c>
      <c r="B126" t="s">
        <v>7634</v>
      </c>
    </row>
    <row r="127" spans="1:2" x14ac:dyDescent="0.25">
      <c r="A127" t="s">
        <v>7635</v>
      </c>
      <c r="B127" t="s">
        <v>7636</v>
      </c>
    </row>
    <row r="128" spans="1:2" x14ac:dyDescent="0.25">
      <c r="A128" t="s">
        <v>7637</v>
      </c>
      <c r="B128" t="s">
        <v>7638</v>
      </c>
    </row>
    <row r="129" spans="1:2" x14ac:dyDescent="0.25">
      <c r="A129" t="s">
        <v>7639</v>
      </c>
      <c r="B129" t="s">
        <v>7640</v>
      </c>
    </row>
    <row r="130" spans="1:2" x14ac:dyDescent="0.25">
      <c r="A130" t="s">
        <v>7641</v>
      </c>
      <c r="B130" t="s">
        <v>7642</v>
      </c>
    </row>
    <row r="131" spans="1:2" x14ac:dyDescent="0.25">
      <c r="A131" t="s">
        <v>7643</v>
      </c>
      <c r="B131" t="s">
        <v>7644</v>
      </c>
    </row>
    <row r="132" spans="1:2" x14ac:dyDescent="0.25">
      <c r="A132" t="s">
        <v>7645</v>
      </c>
      <c r="B132" t="s">
        <v>7646</v>
      </c>
    </row>
    <row r="133" spans="1:2" x14ac:dyDescent="0.25">
      <c r="A133" t="s">
        <v>7647</v>
      </c>
      <c r="B133" t="s">
        <v>7648</v>
      </c>
    </row>
    <row r="134" spans="1:2" x14ac:dyDescent="0.25">
      <c r="A134" t="s">
        <v>7649</v>
      </c>
      <c r="B134" t="s">
        <v>7650</v>
      </c>
    </row>
    <row r="135" spans="1:2" x14ac:dyDescent="0.25">
      <c r="A135" t="s">
        <v>7651</v>
      </c>
      <c r="B135" t="s">
        <v>7652</v>
      </c>
    </row>
    <row r="136" spans="1:2" x14ac:dyDescent="0.25">
      <c r="A136" t="s">
        <v>7653</v>
      </c>
      <c r="B136" t="s">
        <v>7654</v>
      </c>
    </row>
    <row r="137" spans="1:2" x14ac:dyDescent="0.25">
      <c r="A137" t="s">
        <v>7655</v>
      </c>
      <c r="B137" t="s">
        <v>7656</v>
      </c>
    </row>
    <row r="138" spans="1:2" x14ac:dyDescent="0.25">
      <c r="A138" t="s">
        <v>7657</v>
      </c>
      <c r="B138" t="s">
        <v>7658</v>
      </c>
    </row>
    <row r="139" spans="1:2" x14ac:dyDescent="0.25">
      <c r="A139" t="s">
        <v>7659</v>
      </c>
      <c r="B139" t="s">
        <v>7660</v>
      </c>
    </row>
    <row r="140" spans="1:2" x14ac:dyDescent="0.25">
      <c r="A140" t="s">
        <v>7661</v>
      </c>
      <c r="B140" t="s">
        <v>7662</v>
      </c>
    </row>
    <row r="141" spans="1:2" x14ac:dyDescent="0.25">
      <c r="A141" t="s">
        <v>7663</v>
      </c>
      <c r="B141" t="s">
        <v>7664</v>
      </c>
    </row>
    <row r="142" spans="1:2" x14ac:dyDescent="0.25">
      <c r="A142" t="s">
        <v>7665</v>
      </c>
      <c r="B142" t="s">
        <v>7666</v>
      </c>
    </row>
    <row r="143" spans="1:2" x14ac:dyDescent="0.25">
      <c r="A143" t="s">
        <v>7667</v>
      </c>
      <c r="B143" t="s">
        <v>7668</v>
      </c>
    </row>
    <row r="144" spans="1:2" x14ac:dyDescent="0.25">
      <c r="A144" t="s">
        <v>7669</v>
      </c>
      <c r="B144" t="s">
        <v>7670</v>
      </c>
    </row>
    <row r="145" spans="1:2" x14ac:dyDescent="0.25">
      <c r="A145" t="s">
        <v>7671</v>
      </c>
      <c r="B145" t="s">
        <v>7672</v>
      </c>
    </row>
    <row r="146" spans="1:2" x14ac:dyDescent="0.25">
      <c r="A146" t="s">
        <v>7673</v>
      </c>
      <c r="B146" t="s">
        <v>7674</v>
      </c>
    </row>
    <row r="147" spans="1:2" x14ac:dyDescent="0.25">
      <c r="A147" t="s">
        <v>7675</v>
      </c>
      <c r="B147" t="s">
        <v>7676</v>
      </c>
    </row>
    <row r="148" spans="1:2" x14ac:dyDescent="0.25">
      <c r="A148" t="s">
        <v>7677</v>
      </c>
      <c r="B148" t="s">
        <v>7678</v>
      </c>
    </row>
    <row r="149" spans="1:2" x14ac:dyDescent="0.25">
      <c r="A149" t="s">
        <v>7679</v>
      </c>
      <c r="B149" t="s">
        <v>7680</v>
      </c>
    </row>
    <row r="150" spans="1:2" x14ac:dyDescent="0.25">
      <c r="A150" t="s">
        <v>7681</v>
      </c>
      <c r="B150" t="s">
        <v>7682</v>
      </c>
    </row>
    <row r="151" spans="1:2" x14ac:dyDescent="0.25">
      <c r="A151" t="s">
        <v>7683</v>
      </c>
      <c r="B151" t="s">
        <v>7684</v>
      </c>
    </row>
    <row r="152" spans="1:2" x14ac:dyDescent="0.25">
      <c r="A152" t="s">
        <v>7685</v>
      </c>
      <c r="B152" t="s">
        <v>7686</v>
      </c>
    </row>
    <row r="153" spans="1:2" x14ac:dyDescent="0.25">
      <c r="A153" t="s">
        <v>7687</v>
      </c>
      <c r="B153" t="s">
        <v>7688</v>
      </c>
    </row>
    <row r="154" spans="1:2" x14ac:dyDescent="0.25">
      <c r="A154" t="s">
        <v>7689</v>
      </c>
      <c r="B154" t="s">
        <v>7690</v>
      </c>
    </row>
    <row r="155" spans="1:2" x14ac:dyDescent="0.25">
      <c r="A155" t="s">
        <v>7691</v>
      </c>
      <c r="B155" t="s">
        <v>7692</v>
      </c>
    </row>
    <row r="156" spans="1:2" x14ac:dyDescent="0.25">
      <c r="A156" t="s">
        <v>7693</v>
      </c>
      <c r="B156" t="s">
        <v>7694</v>
      </c>
    </row>
    <row r="157" spans="1:2" x14ac:dyDescent="0.25">
      <c r="A157" t="s">
        <v>7695</v>
      </c>
      <c r="B157" t="s">
        <v>7696</v>
      </c>
    </row>
    <row r="158" spans="1:2" x14ac:dyDescent="0.25">
      <c r="A158" t="s">
        <v>7697</v>
      </c>
      <c r="B158" t="s">
        <v>7698</v>
      </c>
    </row>
    <row r="159" spans="1:2" x14ac:dyDescent="0.25">
      <c r="A159" t="s">
        <v>7699</v>
      </c>
      <c r="B159" t="s">
        <v>7700</v>
      </c>
    </row>
    <row r="160" spans="1:2" x14ac:dyDescent="0.25">
      <c r="A160" t="s">
        <v>7701</v>
      </c>
      <c r="B160" t="s">
        <v>7702</v>
      </c>
    </row>
    <row r="161" spans="1:2" x14ac:dyDescent="0.25">
      <c r="A161" t="s">
        <v>7703</v>
      </c>
      <c r="B161" t="s">
        <v>7704</v>
      </c>
    </row>
    <row r="162" spans="1:2" x14ac:dyDescent="0.25">
      <c r="A162" t="s">
        <v>7705</v>
      </c>
      <c r="B162" t="s">
        <v>7706</v>
      </c>
    </row>
    <row r="163" spans="1:2" x14ac:dyDescent="0.25">
      <c r="A163" t="s">
        <v>7707</v>
      </c>
      <c r="B163" t="s">
        <v>7708</v>
      </c>
    </row>
    <row r="164" spans="1:2" x14ac:dyDescent="0.25">
      <c r="A164" t="s">
        <v>7709</v>
      </c>
      <c r="B164" t="s">
        <v>7710</v>
      </c>
    </row>
    <row r="165" spans="1:2" x14ac:dyDescent="0.25">
      <c r="A165" t="s">
        <v>7711</v>
      </c>
      <c r="B165" t="s">
        <v>7712</v>
      </c>
    </row>
    <row r="166" spans="1:2" x14ac:dyDescent="0.25">
      <c r="A166" t="s">
        <v>7713</v>
      </c>
      <c r="B166" t="s">
        <v>7714</v>
      </c>
    </row>
    <row r="167" spans="1:2" x14ac:dyDescent="0.25">
      <c r="A167" t="s">
        <v>7715</v>
      </c>
      <c r="B167" t="s">
        <v>7716</v>
      </c>
    </row>
    <row r="168" spans="1:2" x14ac:dyDescent="0.25">
      <c r="A168" t="s">
        <v>7717</v>
      </c>
      <c r="B168" t="s">
        <v>7718</v>
      </c>
    </row>
    <row r="169" spans="1:2" x14ac:dyDescent="0.25">
      <c r="A169" t="s">
        <v>7719</v>
      </c>
      <c r="B169" t="s">
        <v>7720</v>
      </c>
    </row>
    <row r="170" spans="1:2" x14ac:dyDescent="0.25">
      <c r="A170" t="s">
        <v>7721</v>
      </c>
      <c r="B170" t="s">
        <v>7722</v>
      </c>
    </row>
    <row r="171" spans="1:2" x14ac:dyDescent="0.25">
      <c r="A171" t="s">
        <v>7723</v>
      </c>
      <c r="B171" t="s">
        <v>7724</v>
      </c>
    </row>
    <row r="172" spans="1:2" x14ac:dyDescent="0.25">
      <c r="A172" t="s">
        <v>7725</v>
      </c>
      <c r="B172" t="s">
        <v>7726</v>
      </c>
    </row>
    <row r="173" spans="1:2" x14ac:dyDescent="0.25">
      <c r="A173" t="s">
        <v>7727</v>
      </c>
      <c r="B173" t="s">
        <v>7728</v>
      </c>
    </row>
    <row r="174" spans="1:2" x14ac:dyDescent="0.25">
      <c r="A174" t="s">
        <v>7729</v>
      </c>
      <c r="B174" t="s">
        <v>7730</v>
      </c>
    </row>
    <row r="175" spans="1:2" x14ac:dyDescent="0.25">
      <c r="A175" t="s">
        <v>7731</v>
      </c>
      <c r="B175" t="s">
        <v>7732</v>
      </c>
    </row>
    <row r="176" spans="1:2" x14ac:dyDescent="0.25">
      <c r="A176" t="s">
        <v>7733</v>
      </c>
      <c r="B176" t="s">
        <v>7734</v>
      </c>
    </row>
    <row r="177" spans="1:2" x14ac:dyDescent="0.25">
      <c r="A177" t="s">
        <v>7735</v>
      </c>
      <c r="B177" t="s">
        <v>7736</v>
      </c>
    </row>
    <row r="178" spans="1:2" x14ac:dyDescent="0.25">
      <c r="A178" t="s">
        <v>7737</v>
      </c>
      <c r="B178" t="s">
        <v>7738</v>
      </c>
    </row>
    <row r="179" spans="1:2" x14ac:dyDescent="0.25">
      <c r="A179" t="s">
        <v>7739</v>
      </c>
      <c r="B179" t="s">
        <v>7740</v>
      </c>
    </row>
    <row r="180" spans="1:2" x14ac:dyDescent="0.25">
      <c r="A180" t="s">
        <v>7741</v>
      </c>
      <c r="B180" t="s">
        <v>7909</v>
      </c>
    </row>
    <row r="181" spans="1:2" x14ac:dyDescent="0.25">
      <c r="A181" t="s">
        <v>7742</v>
      </c>
      <c r="B181" t="s">
        <v>7743</v>
      </c>
    </row>
    <row r="182" spans="1:2" x14ac:dyDescent="0.25">
      <c r="A182" t="s">
        <v>7744</v>
      </c>
      <c r="B182" t="s">
        <v>7745</v>
      </c>
    </row>
    <row r="183" spans="1:2" x14ac:dyDescent="0.25">
      <c r="A183" t="s">
        <v>7746</v>
      </c>
      <c r="B183" t="s">
        <v>7747</v>
      </c>
    </row>
    <row r="184" spans="1:2" x14ac:dyDescent="0.25">
      <c r="A184" t="s">
        <v>7748</v>
      </c>
      <c r="B184" t="s">
        <v>7749</v>
      </c>
    </row>
    <row r="185" spans="1:2" x14ac:dyDescent="0.25">
      <c r="A185" t="s">
        <v>7750</v>
      </c>
      <c r="B185" t="s">
        <v>7751</v>
      </c>
    </row>
    <row r="186" spans="1:2" x14ac:dyDescent="0.25">
      <c r="A186" t="s">
        <v>7752</v>
      </c>
      <c r="B186" t="s">
        <v>7753</v>
      </c>
    </row>
    <row r="187" spans="1:2" x14ac:dyDescent="0.25">
      <c r="A187" t="s">
        <v>7754</v>
      </c>
      <c r="B187" t="s">
        <v>7755</v>
      </c>
    </row>
    <row r="188" spans="1:2" x14ac:dyDescent="0.25">
      <c r="A188" t="s">
        <v>7756</v>
      </c>
      <c r="B188" t="s">
        <v>7757</v>
      </c>
    </row>
    <row r="189" spans="1:2" x14ac:dyDescent="0.25">
      <c r="A189" t="s">
        <v>7758</v>
      </c>
      <c r="B189" t="s">
        <v>7759</v>
      </c>
    </row>
    <row r="190" spans="1:2" x14ac:dyDescent="0.25">
      <c r="A190" t="s">
        <v>7760</v>
      </c>
      <c r="B190" t="s">
        <v>7761</v>
      </c>
    </row>
    <row r="191" spans="1:2" x14ac:dyDescent="0.25">
      <c r="A191" t="s">
        <v>7762</v>
      </c>
      <c r="B191" t="s">
        <v>7763</v>
      </c>
    </row>
    <row r="192" spans="1:2" x14ac:dyDescent="0.25">
      <c r="A192" t="s">
        <v>7764</v>
      </c>
      <c r="B192" t="s">
        <v>7765</v>
      </c>
    </row>
    <row r="193" spans="1:2" x14ac:dyDescent="0.25">
      <c r="A193" t="s">
        <v>7766</v>
      </c>
      <c r="B193" t="s">
        <v>7767</v>
      </c>
    </row>
    <row r="194" spans="1:2" x14ac:dyDescent="0.25">
      <c r="A194" t="s">
        <v>7768</v>
      </c>
      <c r="B194" t="s">
        <v>7769</v>
      </c>
    </row>
    <row r="195" spans="1:2" x14ac:dyDescent="0.25">
      <c r="A195" t="s">
        <v>7770</v>
      </c>
      <c r="B195" t="s">
        <v>7771</v>
      </c>
    </row>
    <row r="196" spans="1:2" x14ac:dyDescent="0.25">
      <c r="A196" t="s">
        <v>7772</v>
      </c>
      <c r="B196" t="s">
        <v>7773</v>
      </c>
    </row>
    <row r="197" spans="1:2" x14ac:dyDescent="0.25">
      <c r="A197" t="s">
        <v>7774</v>
      </c>
      <c r="B197" t="s">
        <v>7775</v>
      </c>
    </row>
    <row r="198" spans="1:2" x14ac:dyDescent="0.25">
      <c r="A198" t="s">
        <v>7776</v>
      </c>
      <c r="B198" t="s">
        <v>7777</v>
      </c>
    </row>
    <row r="199" spans="1:2" x14ac:dyDescent="0.25">
      <c r="A199" t="s">
        <v>7778</v>
      </c>
      <c r="B199" t="s">
        <v>7779</v>
      </c>
    </row>
    <row r="200" spans="1:2" x14ac:dyDescent="0.25">
      <c r="A200" t="s">
        <v>7780</v>
      </c>
      <c r="B200" t="s">
        <v>7781</v>
      </c>
    </row>
    <row r="201" spans="1:2" x14ac:dyDescent="0.25">
      <c r="A201" t="s">
        <v>7782</v>
      </c>
      <c r="B201" t="s">
        <v>7783</v>
      </c>
    </row>
    <row r="202" spans="1:2" x14ac:dyDescent="0.25">
      <c r="A202" t="s">
        <v>7784</v>
      </c>
      <c r="B202" t="s">
        <v>7785</v>
      </c>
    </row>
    <row r="203" spans="1:2" x14ac:dyDescent="0.25">
      <c r="A203" t="s">
        <v>7786</v>
      </c>
      <c r="B203" t="s">
        <v>7787</v>
      </c>
    </row>
    <row r="204" spans="1:2" x14ac:dyDescent="0.25">
      <c r="A204" t="s">
        <v>7788</v>
      </c>
      <c r="B204" t="s">
        <v>7789</v>
      </c>
    </row>
    <row r="205" spans="1:2" x14ac:dyDescent="0.25">
      <c r="A205" t="s">
        <v>7790</v>
      </c>
      <c r="B205" t="s">
        <v>7791</v>
      </c>
    </row>
    <row r="206" spans="1:2" x14ac:dyDescent="0.25">
      <c r="A206" t="s">
        <v>7792</v>
      </c>
      <c r="B206" t="s">
        <v>7793</v>
      </c>
    </row>
    <row r="207" spans="1:2" x14ac:dyDescent="0.25">
      <c r="A207" t="s">
        <v>7794</v>
      </c>
      <c r="B207" t="s">
        <v>7795</v>
      </c>
    </row>
    <row r="208" spans="1:2" x14ac:dyDescent="0.25">
      <c r="A208" t="s">
        <v>7796</v>
      </c>
      <c r="B208" t="s">
        <v>7797</v>
      </c>
    </row>
    <row r="209" spans="1:2" x14ac:dyDescent="0.25">
      <c r="A209" t="s">
        <v>7798</v>
      </c>
      <c r="B209" t="s">
        <v>7799</v>
      </c>
    </row>
    <row r="210" spans="1:2" x14ac:dyDescent="0.25">
      <c r="A210" t="s">
        <v>7800</v>
      </c>
      <c r="B210" t="s">
        <v>7801</v>
      </c>
    </row>
    <row r="211" spans="1:2" x14ac:dyDescent="0.25">
      <c r="A211" t="s">
        <v>7802</v>
      </c>
      <c r="B211" t="s">
        <v>7803</v>
      </c>
    </row>
    <row r="212" spans="1:2" x14ac:dyDescent="0.25">
      <c r="A212" t="s">
        <v>7804</v>
      </c>
      <c r="B212" t="s">
        <v>7805</v>
      </c>
    </row>
    <row r="213" spans="1:2" x14ac:dyDescent="0.25">
      <c r="A213" t="s">
        <v>7806</v>
      </c>
      <c r="B213" t="s">
        <v>7807</v>
      </c>
    </row>
    <row r="214" spans="1:2" x14ac:dyDescent="0.25">
      <c r="A214" t="s">
        <v>7808</v>
      </c>
      <c r="B214" t="s">
        <v>7809</v>
      </c>
    </row>
    <row r="215" spans="1:2" x14ac:dyDescent="0.25">
      <c r="A215" t="s">
        <v>7810</v>
      </c>
      <c r="B215" t="s">
        <v>7811</v>
      </c>
    </row>
    <row r="216" spans="1:2" x14ac:dyDescent="0.25">
      <c r="A216" t="s">
        <v>7812</v>
      </c>
      <c r="B216" t="s">
        <v>7813</v>
      </c>
    </row>
    <row r="217" spans="1:2" x14ac:dyDescent="0.25">
      <c r="A217" t="s">
        <v>7814</v>
      </c>
      <c r="B217" t="s">
        <v>7815</v>
      </c>
    </row>
    <row r="218" spans="1:2" x14ac:dyDescent="0.25">
      <c r="A218" t="s">
        <v>7816</v>
      </c>
      <c r="B218" t="s">
        <v>7817</v>
      </c>
    </row>
    <row r="219" spans="1:2" x14ac:dyDescent="0.25">
      <c r="A219" t="s">
        <v>7818</v>
      </c>
      <c r="B219" t="s">
        <v>7819</v>
      </c>
    </row>
    <row r="220" spans="1:2" x14ac:dyDescent="0.25">
      <c r="A220" t="s">
        <v>7820</v>
      </c>
      <c r="B220" t="s">
        <v>7821</v>
      </c>
    </row>
    <row r="221" spans="1:2" x14ac:dyDescent="0.25">
      <c r="A221" t="s">
        <v>7822</v>
      </c>
      <c r="B221" t="s">
        <v>7823</v>
      </c>
    </row>
    <row r="222" spans="1:2" x14ac:dyDescent="0.25">
      <c r="A222" t="s">
        <v>7824</v>
      </c>
      <c r="B222" t="s">
        <v>7825</v>
      </c>
    </row>
    <row r="223" spans="1:2" x14ac:dyDescent="0.25">
      <c r="A223" t="s">
        <v>7826</v>
      </c>
      <c r="B223" t="s">
        <v>7827</v>
      </c>
    </row>
    <row r="224" spans="1:2" x14ac:dyDescent="0.25">
      <c r="A224" t="s">
        <v>7828</v>
      </c>
      <c r="B224" t="s">
        <v>7829</v>
      </c>
    </row>
    <row r="225" spans="1:2" x14ac:dyDescent="0.25">
      <c r="A225" t="s">
        <v>7830</v>
      </c>
      <c r="B225" t="s">
        <v>7831</v>
      </c>
    </row>
    <row r="226" spans="1:2" x14ac:dyDescent="0.25">
      <c r="A226" t="s">
        <v>7832</v>
      </c>
      <c r="B226" t="s">
        <v>7833</v>
      </c>
    </row>
    <row r="227" spans="1:2" x14ac:dyDescent="0.25">
      <c r="A227" t="s">
        <v>7834</v>
      </c>
      <c r="B227" t="s">
        <v>7835</v>
      </c>
    </row>
    <row r="228" spans="1:2" x14ac:dyDescent="0.25">
      <c r="A228" t="s">
        <v>7836</v>
      </c>
      <c r="B228" t="s">
        <v>7837</v>
      </c>
    </row>
    <row r="229" spans="1:2" x14ac:dyDescent="0.25">
      <c r="A229" t="s">
        <v>7838</v>
      </c>
      <c r="B229" t="s">
        <v>7839</v>
      </c>
    </row>
    <row r="230" spans="1:2" x14ac:dyDescent="0.25">
      <c r="A230" t="s">
        <v>7840</v>
      </c>
      <c r="B230" t="s">
        <v>7841</v>
      </c>
    </row>
    <row r="231" spans="1:2" x14ac:dyDescent="0.25">
      <c r="A231" t="s">
        <v>7842</v>
      </c>
      <c r="B231" t="s">
        <v>7843</v>
      </c>
    </row>
    <row r="232" spans="1:2" x14ac:dyDescent="0.25">
      <c r="A232" t="s">
        <v>7844</v>
      </c>
      <c r="B232" t="s">
        <v>7845</v>
      </c>
    </row>
    <row r="233" spans="1:2" x14ac:dyDescent="0.25">
      <c r="A233" t="s">
        <v>7846</v>
      </c>
      <c r="B233" t="s">
        <v>7847</v>
      </c>
    </row>
    <row r="234" spans="1:2" x14ac:dyDescent="0.25">
      <c r="A234" t="s">
        <v>7848</v>
      </c>
      <c r="B234" t="s">
        <v>7849</v>
      </c>
    </row>
    <row r="235" spans="1:2" x14ac:dyDescent="0.25">
      <c r="A235" t="s">
        <v>7850</v>
      </c>
      <c r="B235" t="s">
        <v>7851</v>
      </c>
    </row>
    <row r="236" spans="1:2" x14ac:dyDescent="0.25">
      <c r="A236" t="s">
        <v>7852</v>
      </c>
      <c r="B236" t="s">
        <v>7853</v>
      </c>
    </row>
    <row r="237" spans="1:2" x14ac:dyDescent="0.25">
      <c r="A237" t="s">
        <v>7854</v>
      </c>
      <c r="B237" t="s">
        <v>7855</v>
      </c>
    </row>
    <row r="238" spans="1:2" x14ac:dyDescent="0.25">
      <c r="A238" t="s">
        <v>7856</v>
      </c>
      <c r="B238" t="s">
        <v>7857</v>
      </c>
    </row>
    <row r="239" spans="1:2" x14ac:dyDescent="0.25">
      <c r="A239" t="s">
        <v>7858</v>
      </c>
      <c r="B239" t="s">
        <v>7859</v>
      </c>
    </row>
    <row r="240" spans="1:2" x14ac:dyDescent="0.25">
      <c r="A240" t="s">
        <v>7860</v>
      </c>
      <c r="B240" t="s">
        <v>7861</v>
      </c>
    </row>
    <row r="241" spans="1:2" x14ac:dyDescent="0.25">
      <c r="A241" t="s">
        <v>7862</v>
      </c>
      <c r="B241" t="s">
        <v>7863</v>
      </c>
    </row>
    <row r="242" spans="1:2" x14ac:dyDescent="0.25">
      <c r="A242" t="s">
        <v>7864</v>
      </c>
      <c r="B242" t="s">
        <v>7865</v>
      </c>
    </row>
    <row r="243" spans="1:2" x14ac:dyDescent="0.25">
      <c r="A243" t="s">
        <v>7866</v>
      </c>
      <c r="B243" t="s">
        <v>7867</v>
      </c>
    </row>
    <row r="244" spans="1:2" x14ac:dyDescent="0.25">
      <c r="A244" t="s">
        <v>7868</v>
      </c>
      <c r="B244" t="s">
        <v>7869</v>
      </c>
    </row>
    <row r="245" spans="1:2" x14ac:dyDescent="0.25">
      <c r="A245" t="s">
        <v>7870</v>
      </c>
      <c r="B245" t="s">
        <v>7871</v>
      </c>
    </row>
    <row r="246" spans="1:2" x14ac:dyDescent="0.25">
      <c r="A246" t="s">
        <v>7872</v>
      </c>
      <c r="B246" t="s">
        <v>7873</v>
      </c>
    </row>
    <row r="247" spans="1:2" x14ac:dyDescent="0.25">
      <c r="A247" t="s">
        <v>7874</v>
      </c>
      <c r="B247" t="s">
        <v>7875</v>
      </c>
    </row>
    <row r="248" spans="1:2" x14ac:dyDescent="0.25">
      <c r="A248" t="s">
        <v>7876</v>
      </c>
      <c r="B248" t="s">
        <v>7877</v>
      </c>
    </row>
    <row r="249" spans="1:2" x14ac:dyDescent="0.25">
      <c r="A249" t="s">
        <v>7878</v>
      </c>
      <c r="B249" t="s">
        <v>7879</v>
      </c>
    </row>
    <row r="250" spans="1:2" x14ac:dyDescent="0.25">
      <c r="A250" t="s">
        <v>7880</v>
      </c>
      <c r="B250" t="s">
        <v>7881</v>
      </c>
    </row>
    <row r="251" spans="1:2" x14ac:dyDescent="0.25">
      <c r="A251" t="s">
        <v>7882</v>
      </c>
      <c r="B251" t="s">
        <v>7883</v>
      </c>
    </row>
    <row r="252" spans="1:2" x14ac:dyDescent="0.25">
      <c r="A252" t="s">
        <v>7884</v>
      </c>
      <c r="B252" t="s">
        <v>7885</v>
      </c>
    </row>
    <row r="253" spans="1:2" x14ac:dyDescent="0.25">
      <c r="A253" t="s">
        <v>7886</v>
      </c>
      <c r="B253" t="s">
        <v>7887</v>
      </c>
    </row>
    <row r="254" spans="1:2" x14ac:dyDescent="0.25">
      <c r="A254" t="s">
        <v>7888</v>
      </c>
      <c r="B254" t="s">
        <v>7889</v>
      </c>
    </row>
    <row r="255" spans="1:2" x14ac:dyDescent="0.25">
      <c r="A255" t="s">
        <v>7890</v>
      </c>
      <c r="B255" t="s">
        <v>7891</v>
      </c>
    </row>
    <row r="256" spans="1:2" x14ac:dyDescent="0.25">
      <c r="A256" t="s">
        <v>51</v>
      </c>
      <c r="B256" t="s">
        <v>50</v>
      </c>
    </row>
    <row r="257" spans="1:2" x14ac:dyDescent="0.25">
      <c r="A257" t="s">
        <v>43</v>
      </c>
      <c r="B257" t="s">
        <v>7892</v>
      </c>
    </row>
    <row r="258" spans="1:2" x14ac:dyDescent="0.25">
      <c r="A258" t="s">
        <v>7893</v>
      </c>
      <c r="B258" t="s">
        <v>7894</v>
      </c>
    </row>
    <row r="259" spans="1:2" x14ac:dyDescent="0.25">
      <c r="A259" t="s">
        <v>7895</v>
      </c>
      <c r="B259" t="s">
        <v>7896</v>
      </c>
    </row>
    <row r="260" spans="1:2" x14ac:dyDescent="0.25">
      <c r="A260" t="s">
        <v>56</v>
      </c>
      <c r="B260" t="s">
        <v>55</v>
      </c>
    </row>
    <row r="261" spans="1:2" x14ac:dyDescent="0.25">
      <c r="A261" t="s">
        <v>58</v>
      </c>
      <c r="B261" t="s">
        <v>7897</v>
      </c>
    </row>
    <row r="262" spans="1:2" x14ac:dyDescent="0.25">
      <c r="A262" t="s">
        <v>66</v>
      </c>
      <c r="B262" t="s">
        <v>65</v>
      </c>
    </row>
    <row r="263" spans="1:2" x14ac:dyDescent="0.25">
      <c r="A263" t="s">
        <v>68</v>
      </c>
      <c r="B263" t="s">
        <v>7898</v>
      </c>
    </row>
    <row r="264" spans="1:2" x14ac:dyDescent="0.25">
      <c r="A264" t="s">
        <v>63</v>
      </c>
      <c r="B264" t="s">
        <v>7899</v>
      </c>
    </row>
    <row r="265" spans="1:2" x14ac:dyDescent="0.25">
      <c r="A265" t="s">
        <v>20</v>
      </c>
      <c r="B265" t="s">
        <v>7900</v>
      </c>
    </row>
    <row r="266" spans="1:2" x14ac:dyDescent="0.25">
      <c r="A266" t="s">
        <v>7901</v>
      </c>
      <c r="B266" t="s">
        <v>7902</v>
      </c>
    </row>
    <row r="267" spans="1:2" x14ac:dyDescent="0.25">
      <c r="A267" t="s">
        <v>42</v>
      </c>
      <c r="B267" t="s">
        <v>7903</v>
      </c>
    </row>
    <row r="268" spans="1:2" x14ac:dyDescent="0.25">
      <c r="A268" t="s">
        <v>60</v>
      </c>
      <c r="B268" t="s">
        <v>7904</v>
      </c>
    </row>
    <row r="269" spans="1:2" x14ac:dyDescent="0.25">
      <c r="A269" t="s">
        <v>54</v>
      </c>
      <c r="B269" t="s">
        <v>53</v>
      </c>
    </row>
    <row r="270" spans="1:2" x14ac:dyDescent="0.25">
      <c r="A270" t="s">
        <v>7905</v>
      </c>
      <c r="B270" t="s">
        <v>7906</v>
      </c>
    </row>
    <row r="271" spans="1:2" x14ac:dyDescent="0.25">
      <c r="A271" t="s">
        <v>7907</v>
      </c>
      <c r="B271" t="s">
        <v>7908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J1"/>
  <sheetViews>
    <sheetView topLeftCell="H1" workbookViewId="0">
      <selection activeCell="H2" sqref="A2:XFD91"/>
    </sheetView>
  </sheetViews>
  <sheetFormatPr defaultRowHeight="15" x14ac:dyDescent="0.25"/>
  <sheetData>
    <row r="1" spans="1:36" ht="26.25" x14ac:dyDescent="0.25">
      <c r="A1" s="143" t="s">
        <v>315</v>
      </c>
      <c r="B1" s="146" t="s">
        <v>28</v>
      </c>
      <c r="C1" s="145"/>
      <c r="D1" s="147" t="s">
        <v>137</v>
      </c>
      <c r="E1" s="145"/>
      <c r="F1" s="147" t="s">
        <v>29</v>
      </c>
      <c r="G1" s="145"/>
      <c r="H1" s="146" t="s">
        <v>138</v>
      </c>
      <c r="I1" s="145"/>
      <c r="J1" s="146" t="s">
        <v>139</v>
      </c>
      <c r="K1" s="145"/>
      <c r="L1" s="147" t="s">
        <v>31</v>
      </c>
      <c r="M1" s="145"/>
      <c r="N1" s="147" t="s">
        <v>90</v>
      </c>
      <c r="O1" s="145"/>
      <c r="P1" s="147"/>
      <c r="Q1" s="147" t="s">
        <v>30</v>
      </c>
      <c r="R1" s="145"/>
      <c r="S1" s="147" t="s">
        <v>140</v>
      </c>
      <c r="T1" s="147" t="s">
        <v>313</v>
      </c>
      <c r="U1" s="147" t="s">
        <v>314</v>
      </c>
      <c r="V1" s="145"/>
      <c r="W1" s="145"/>
      <c r="X1" s="145"/>
      <c r="Y1" s="147" t="s">
        <v>141</v>
      </c>
      <c r="Z1" s="147"/>
      <c r="AA1" s="145" t="s">
        <v>142</v>
      </c>
      <c r="AB1" s="148" t="s">
        <v>143</v>
      </c>
      <c r="AC1" s="151" t="s">
        <v>144</v>
      </c>
      <c r="AD1" s="147" t="s">
        <v>145</v>
      </c>
      <c r="AE1" s="28" t="s">
        <v>7378</v>
      </c>
      <c r="AF1" s="28" t="s">
        <v>316</v>
      </c>
      <c r="AG1" s="28" t="s">
        <v>7379</v>
      </c>
      <c r="AH1" s="159" t="s">
        <v>7384</v>
      </c>
      <c r="AI1" s="160" t="s">
        <v>7385</v>
      </c>
      <c r="AJ1" s="161" t="s">
        <v>7910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X7017"/>
  <sheetViews>
    <sheetView topLeftCell="J1" zoomScaleNormal="100" workbookViewId="0">
      <selection activeCell="R166" sqref="R166:R340"/>
    </sheetView>
  </sheetViews>
  <sheetFormatPr defaultRowHeight="15" x14ac:dyDescent="0.25"/>
  <cols>
    <col min="1" max="1" width="22.28515625" bestFit="1" customWidth="1"/>
    <col min="2" max="2" width="24" customWidth="1"/>
    <col min="3" max="3" width="23" customWidth="1"/>
    <col min="4" max="4" width="23.5703125" customWidth="1"/>
    <col min="5" max="6" width="31.7109375" bestFit="1" customWidth="1"/>
    <col min="7" max="7" width="13.42578125" customWidth="1"/>
    <col min="8" max="8" width="16.85546875" customWidth="1"/>
    <col min="9" max="9" width="23" customWidth="1"/>
    <col min="10" max="10" width="19.140625" customWidth="1"/>
    <col min="11" max="11" width="13.42578125" bestFit="1" customWidth="1"/>
    <col min="12" max="12" width="19.28515625" bestFit="1" customWidth="1"/>
    <col min="13" max="13" width="13.140625" customWidth="1"/>
    <col min="14" max="14" width="26.140625" bestFit="1" customWidth="1"/>
    <col min="16" max="16" width="18.5703125" customWidth="1"/>
    <col min="17" max="17" width="26.5703125" customWidth="1"/>
    <col min="18" max="18" width="24.85546875" bestFit="1" customWidth="1"/>
    <col min="20" max="20" width="14.5703125" customWidth="1"/>
    <col min="21" max="21" width="22.5703125" bestFit="1" customWidth="1"/>
    <col min="22" max="22" width="21.140625" customWidth="1"/>
  </cols>
  <sheetData>
    <row r="1" spans="1:24" x14ac:dyDescent="0.25">
      <c r="H1" s="17"/>
    </row>
    <row r="2" spans="1:24" s="7" customFormat="1" x14ac:dyDescent="0.25">
      <c r="A2" s="6" t="s">
        <v>37</v>
      </c>
    </row>
    <row r="3" spans="1:24" ht="15.75" thickBot="1" x14ac:dyDescent="0.3">
      <c r="D3" s="17"/>
      <c r="H3" s="17"/>
      <c r="L3" s="17"/>
      <c r="P3" s="17"/>
      <c r="T3" s="17"/>
      <c r="X3" s="17"/>
    </row>
    <row r="4" spans="1:24" x14ac:dyDescent="0.25">
      <c r="A4" s="11" t="s">
        <v>45</v>
      </c>
      <c r="B4" s="12"/>
      <c r="C4" s="12"/>
      <c r="D4" s="12"/>
      <c r="E4" s="11" t="s">
        <v>47</v>
      </c>
      <c r="F4" s="12"/>
      <c r="G4" s="12"/>
      <c r="H4" s="12"/>
      <c r="I4" s="11" t="s">
        <v>48</v>
      </c>
      <c r="J4" s="12"/>
      <c r="K4" s="11"/>
      <c r="L4" s="11"/>
      <c r="M4" s="11" t="s">
        <v>44</v>
      </c>
      <c r="N4" s="12"/>
      <c r="O4" s="12"/>
      <c r="P4" s="12"/>
      <c r="Q4" s="11" t="s">
        <v>27</v>
      </c>
      <c r="R4" s="12"/>
      <c r="S4" s="12"/>
      <c r="T4" s="29"/>
      <c r="U4" s="20" t="s">
        <v>83</v>
      </c>
      <c r="V4" s="21"/>
      <c r="W4" s="22"/>
      <c r="X4" s="29"/>
    </row>
    <row r="5" spans="1:24" s="15" customFormat="1" ht="11.25" x14ac:dyDescent="0.2">
      <c r="A5" s="13" t="s">
        <v>94</v>
      </c>
      <c r="B5" s="14" t="s">
        <v>39</v>
      </c>
      <c r="C5" s="14"/>
      <c r="D5" s="14"/>
      <c r="E5" s="13" t="s">
        <v>94</v>
      </c>
      <c r="F5" s="14" t="s">
        <v>39</v>
      </c>
      <c r="G5" s="14"/>
      <c r="H5" s="14"/>
      <c r="I5" s="13" t="s">
        <v>94</v>
      </c>
      <c r="J5" s="14" t="s">
        <v>39</v>
      </c>
      <c r="K5" s="14"/>
      <c r="L5" s="14"/>
      <c r="M5" s="13" t="s">
        <v>94</v>
      </c>
      <c r="N5" s="14" t="s">
        <v>39</v>
      </c>
      <c r="O5" s="14"/>
      <c r="P5" s="14"/>
      <c r="Q5" s="13" t="s">
        <v>39</v>
      </c>
      <c r="R5" s="14"/>
      <c r="S5" s="14"/>
      <c r="T5" s="14"/>
      <c r="U5" s="13" t="s">
        <v>94</v>
      </c>
      <c r="V5" s="14" t="s">
        <v>39</v>
      </c>
      <c r="W5" s="23"/>
      <c r="X5" s="14"/>
    </row>
    <row r="6" spans="1:24" x14ac:dyDescent="0.25">
      <c r="A6" s="3"/>
      <c r="B6" s="4"/>
      <c r="C6" s="4"/>
      <c r="D6" s="18"/>
      <c r="E6" s="3"/>
      <c r="F6" s="4"/>
      <c r="G6" s="4"/>
      <c r="H6" s="18"/>
      <c r="I6" s="3"/>
      <c r="J6" s="4"/>
      <c r="K6" s="4"/>
      <c r="L6" s="18"/>
      <c r="M6" s="3"/>
      <c r="N6" s="4"/>
      <c r="O6" s="18"/>
      <c r="P6" s="18"/>
      <c r="Q6" s="3"/>
      <c r="R6" s="4"/>
      <c r="S6" s="4"/>
      <c r="T6" s="18"/>
      <c r="U6" s="3"/>
      <c r="V6" s="18"/>
      <c r="W6" s="5"/>
      <c r="X6" s="18"/>
    </row>
    <row r="7" spans="1:24" x14ac:dyDescent="0.25">
      <c r="A7" s="3" t="s">
        <v>100</v>
      </c>
      <c r="B7" s="18" t="s">
        <v>91</v>
      </c>
      <c r="C7" s="18" t="s">
        <v>97</v>
      </c>
      <c r="D7" s="18"/>
      <c r="E7" s="3" t="s">
        <v>100</v>
      </c>
      <c r="F7" s="18" t="s">
        <v>91</v>
      </c>
      <c r="G7" s="18" t="s">
        <v>97</v>
      </c>
      <c r="H7" s="18"/>
      <c r="I7" s="3" t="s">
        <v>100</v>
      </c>
      <c r="J7" s="18" t="s">
        <v>91</v>
      </c>
      <c r="K7" s="18" t="s">
        <v>97</v>
      </c>
      <c r="L7" s="18"/>
      <c r="M7" s="3" t="s">
        <v>100</v>
      </c>
      <c r="N7" s="18" t="s">
        <v>91</v>
      </c>
      <c r="O7" s="18" t="s">
        <v>97</v>
      </c>
      <c r="P7" s="18"/>
      <c r="Q7" s="3" t="s">
        <v>40</v>
      </c>
      <c r="R7" s="18" t="s">
        <v>91</v>
      </c>
      <c r="S7" s="18" t="s">
        <v>97</v>
      </c>
      <c r="T7" s="18"/>
      <c r="U7" s="3" t="s">
        <v>40</v>
      </c>
      <c r="V7" s="18" t="s">
        <v>91</v>
      </c>
      <c r="W7" s="18" t="s">
        <v>97</v>
      </c>
      <c r="X7" s="18"/>
    </row>
    <row r="8" spans="1:24" x14ac:dyDescent="0.25">
      <c r="A8" s="3" t="s">
        <v>22</v>
      </c>
      <c r="B8" s="18" t="s">
        <v>4</v>
      </c>
      <c r="C8" s="18" t="s">
        <v>5</v>
      </c>
      <c r="D8" s="18">
        <f>коэффициенты!G6</f>
        <v>1.4247000000000001</v>
      </c>
      <c r="E8" s="3" t="s">
        <v>22</v>
      </c>
      <c r="F8" s="18" t="s">
        <v>9</v>
      </c>
      <c r="G8" s="18" t="s">
        <v>5</v>
      </c>
      <c r="H8" s="18">
        <f>коэффициенты!G9</f>
        <v>1.2297</v>
      </c>
      <c r="I8" s="3" t="s">
        <v>22</v>
      </c>
      <c r="J8" s="18" t="s">
        <v>10</v>
      </c>
      <c r="K8" s="18" t="s">
        <v>5</v>
      </c>
      <c r="L8" s="18">
        <f>коэффициенты!G12</f>
        <v>1.1678999999999999</v>
      </c>
      <c r="M8" s="3" t="s">
        <v>22</v>
      </c>
      <c r="N8" s="18" t="s">
        <v>13</v>
      </c>
      <c r="O8" s="18" t="s">
        <v>5</v>
      </c>
      <c r="P8" s="18">
        <f>коэффициенты!G14</f>
        <v>1.1003000000000001</v>
      </c>
      <c r="Q8" s="3" t="s">
        <v>41</v>
      </c>
      <c r="R8" s="18" t="s">
        <v>41</v>
      </c>
      <c r="S8" s="18" t="s">
        <v>5</v>
      </c>
      <c r="T8" s="18">
        <f>коэффициенты!G16</f>
        <v>0.2928</v>
      </c>
      <c r="U8" s="3" t="s">
        <v>73</v>
      </c>
      <c r="V8" s="18" t="s">
        <v>75</v>
      </c>
      <c r="W8" s="18" t="s">
        <v>5</v>
      </c>
      <c r="X8" s="18">
        <f>коэффициенты!G18</f>
        <v>1.2423</v>
      </c>
    </row>
    <row r="9" spans="1:24" ht="15.75" customHeight="1" x14ac:dyDescent="0.25">
      <c r="A9" s="3" t="s">
        <v>11</v>
      </c>
      <c r="B9" s="18" t="s">
        <v>4</v>
      </c>
      <c r="C9" s="18" t="s">
        <v>5</v>
      </c>
      <c r="D9" s="18">
        <f>коэффициенты!G6</f>
        <v>1.4247000000000001</v>
      </c>
      <c r="E9" s="3" t="s">
        <v>11</v>
      </c>
      <c r="F9" s="18" t="s">
        <v>9</v>
      </c>
      <c r="G9" s="18" t="s">
        <v>5</v>
      </c>
      <c r="H9" s="18">
        <f>коэффициенты!G9</f>
        <v>1.2297</v>
      </c>
      <c r="I9" s="3" t="s">
        <v>11</v>
      </c>
      <c r="J9" s="18" t="s">
        <v>10</v>
      </c>
      <c r="K9" s="18" t="s">
        <v>5</v>
      </c>
      <c r="L9" s="18">
        <f>коэффициенты!G12</f>
        <v>1.1678999999999999</v>
      </c>
      <c r="M9" s="3" t="s">
        <v>11</v>
      </c>
      <c r="N9" s="18" t="s">
        <v>13</v>
      </c>
      <c r="O9" s="18" t="s">
        <v>5</v>
      </c>
      <c r="P9" s="18">
        <f>коэффициенты!G14</f>
        <v>1.1003000000000001</v>
      </c>
      <c r="Q9" s="3" t="s">
        <v>11</v>
      </c>
      <c r="R9" s="18" t="s">
        <v>41</v>
      </c>
      <c r="S9" s="18" t="s">
        <v>5</v>
      </c>
      <c r="T9" s="18">
        <f>коэффициенты!G16</f>
        <v>0.2928</v>
      </c>
      <c r="U9" s="3" t="s">
        <v>74</v>
      </c>
      <c r="V9" s="18" t="s">
        <v>75</v>
      </c>
      <c r="W9" s="18" t="s">
        <v>5</v>
      </c>
      <c r="X9" s="18">
        <f>коэффициенты!G18</f>
        <v>1.2423</v>
      </c>
    </row>
    <row r="10" spans="1:24" x14ac:dyDescent="0.25">
      <c r="A10" s="3" t="s">
        <v>33</v>
      </c>
      <c r="B10" s="18" t="s">
        <v>4</v>
      </c>
      <c r="C10" s="18" t="s">
        <v>5</v>
      </c>
      <c r="D10" s="18">
        <f>коэффициенты!G6</f>
        <v>1.4247000000000001</v>
      </c>
      <c r="E10" s="3" t="s">
        <v>33</v>
      </c>
      <c r="F10" s="18" t="s">
        <v>9</v>
      </c>
      <c r="G10" s="18" t="s">
        <v>5</v>
      </c>
      <c r="H10" s="18">
        <f>коэффициенты!G9</f>
        <v>1.2297</v>
      </c>
      <c r="I10" s="3" t="s">
        <v>33</v>
      </c>
      <c r="J10" s="18" t="s">
        <v>10</v>
      </c>
      <c r="K10" s="18" t="s">
        <v>5</v>
      </c>
      <c r="L10" s="18">
        <f>коэффициенты!G12</f>
        <v>1.1678999999999999</v>
      </c>
      <c r="M10" s="3" t="s">
        <v>33</v>
      </c>
      <c r="N10" s="18" t="s">
        <v>13</v>
      </c>
      <c r="O10" s="18" t="s">
        <v>5</v>
      </c>
      <c r="P10" s="18">
        <f>коэффициенты!G14</f>
        <v>1.1003000000000001</v>
      </c>
      <c r="Q10" s="3" t="s">
        <v>33</v>
      </c>
      <c r="R10" s="18" t="s">
        <v>41</v>
      </c>
      <c r="S10" s="18" t="s">
        <v>5</v>
      </c>
      <c r="T10" s="18">
        <f>коэффициенты!G16</f>
        <v>0.2928</v>
      </c>
      <c r="U10" s="3" t="s">
        <v>89</v>
      </c>
      <c r="V10" s="18" t="s">
        <v>75</v>
      </c>
      <c r="W10" s="18" t="s">
        <v>5</v>
      </c>
      <c r="X10" s="18">
        <f>коэффициенты!G18</f>
        <v>1.2423</v>
      </c>
    </row>
    <row r="11" spans="1:24" x14ac:dyDescent="0.25">
      <c r="A11" s="3" t="s">
        <v>34</v>
      </c>
      <c r="B11" s="18" t="s">
        <v>4</v>
      </c>
      <c r="C11" s="18" t="s">
        <v>5</v>
      </c>
      <c r="D11" s="18">
        <f>коэффициенты!G6</f>
        <v>1.4247000000000001</v>
      </c>
      <c r="E11" s="3" t="s">
        <v>34</v>
      </c>
      <c r="F11" s="18" t="s">
        <v>9</v>
      </c>
      <c r="G11" s="18" t="s">
        <v>5</v>
      </c>
      <c r="H11" s="18">
        <f>коэффициенты!G9</f>
        <v>1.2297</v>
      </c>
      <c r="I11" s="3" t="s">
        <v>34</v>
      </c>
      <c r="J11" s="18" t="s">
        <v>10</v>
      </c>
      <c r="K11" s="18" t="s">
        <v>5</v>
      </c>
      <c r="L11" s="18">
        <f>коэффициенты!G12</f>
        <v>1.1678999999999999</v>
      </c>
      <c r="M11" s="3" t="s">
        <v>34</v>
      </c>
      <c r="N11" s="18" t="s">
        <v>13</v>
      </c>
      <c r="O11" s="18" t="s">
        <v>5</v>
      </c>
      <c r="P11" s="18">
        <f>коэффициенты!G14</f>
        <v>1.1003000000000001</v>
      </c>
      <c r="Q11" s="3" t="s">
        <v>34</v>
      </c>
      <c r="R11" s="18" t="s">
        <v>41</v>
      </c>
      <c r="S11" s="18" t="s">
        <v>5</v>
      </c>
      <c r="T11" s="18">
        <f>коэффициенты!G16</f>
        <v>0.2928</v>
      </c>
      <c r="U11" s="3" t="s">
        <v>88</v>
      </c>
      <c r="V11" s="18" t="s">
        <v>75</v>
      </c>
      <c r="W11" s="18" t="s">
        <v>5</v>
      </c>
      <c r="X11" s="18">
        <f>коэффициенты!G18</f>
        <v>1.2423</v>
      </c>
    </row>
    <row r="12" spans="1:24" x14ac:dyDescent="0.25">
      <c r="A12" s="3" t="s">
        <v>35</v>
      </c>
      <c r="B12" s="18" t="s">
        <v>46</v>
      </c>
      <c r="C12" s="18" t="s">
        <v>7</v>
      </c>
      <c r="D12" s="18">
        <f>коэффициенты!G8</f>
        <v>1</v>
      </c>
      <c r="E12" s="3" t="s">
        <v>35</v>
      </c>
      <c r="F12" s="18" t="s">
        <v>49</v>
      </c>
      <c r="G12" s="18" t="s">
        <v>7</v>
      </c>
      <c r="H12" s="18">
        <f>коэффициенты!G11</f>
        <v>1</v>
      </c>
      <c r="I12" s="3" t="s">
        <v>35</v>
      </c>
      <c r="J12" s="18" t="s">
        <v>24</v>
      </c>
      <c r="K12" s="18" t="s">
        <v>7</v>
      </c>
      <c r="L12" s="18">
        <f>коэффициенты!G13</f>
        <v>1</v>
      </c>
      <c r="M12" s="3" t="s">
        <v>35</v>
      </c>
      <c r="N12" s="18" t="s">
        <v>26</v>
      </c>
      <c r="O12" s="18" t="s">
        <v>7</v>
      </c>
      <c r="P12" s="18">
        <f>коэффициенты!G15</f>
        <v>1</v>
      </c>
      <c r="Q12" s="3" t="s">
        <v>35</v>
      </c>
      <c r="R12" s="18" t="s">
        <v>14</v>
      </c>
      <c r="S12" s="18" t="s">
        <v>5</v>
      </c>
      <c r="T12" s="18">
        <f>коэффициенты!G17</f>
        <v>1</v>
      </c>
      <c r="U12" s="3" t="s">
        <v>34</v>
      </c>
      <c r="V12" s="18" t="s">
        <v>75</v>
      </c>
      <c r="W12" s="18" t="s">
        <v>5</v>
      </c>
      <c r="X12" s="18">
        <f>коэффициенты!G18</f>
        <v>1.2423</v>
      </c>
    </row>
    <row r="13" spans="1:24" x14ac:dyDescent="0.25">
      <c r="A13" s="3" t="s">
        <v>36</v>
      </c>
      <c r="B13" s="18" t="s">
        <v>46</v>
      </c>
      <c r="C13" s="18" t="s">
        <v>7</v>
      </c>
      <c r="D13" s="18">
        <f>коэффициенты!G8</f>
        <v>1</v>
      </c>
      <c r="E13" s="3" t="s">
        <v>36</v>
      </c>
      <c r="F13" s="18" t="s">
        <v>49</v>
      </c>
      <c r="G13" s="18" t="s">
        <v>7</v>
      </c>
      <c r="H13" s="18">
        <f>коэффициенты!G11</f>
        <v>1</v>
      </c>
      <c r="I13" s="3" t="s">
        <v>36</v>
      </c>
      <c r="J13" s="18" t="s">
        <v>24</v>
      </c>
      <c r="K13" s="18" t="s">
        <v>7</v>
      </c>
      <c r="L13" s="18">
        <f>коэффициенты!G13</f>
        <v>1</v>
      </c>
      <c r="M13" s="3" t="s">
        <v>36</v>
      </c>
      <c r="N13" s="18" t="s">
        <v>26</v>
      </c>
      <c r="O13" s="18" t="s">
        <v>7</v>
      </c>
      <c r="P13" s="18">
        <f>коэффициенты!G15</f>
        <v>1</v>
      </c>
      <c r="Q13" s="3" t="s">
        <v>36</v>
      </c>
      <c r="R13" s="18" t="s">
        <v>14</v>
      </c>
      <c r="S13" s="18" t="s">
        <v>7</v>
      </c>
      <c r="T13" s="18">
        <f>коэффициенты!G17</f>
        <v>1</v>
      </c>
      <c r="U13" s="3" t="s">
        <v>35</v>
      </c>
      <c r="V13" s="18" t="s">
        <v>76</v>
      </c>
      <c r="W13" s="18" t="s">
        <v>7</v>
      </c>
      <c r="X13" s="18">
        <f>коэффициенты!G19</f>
        <v>1</v>
      </c>
    </row>
    <row r="14" spans="1:24" x14ac:dyDescent="0.25">
      <c r="A14" s="3" t="s">
        <v>12</v>
      </c>
      <c r="B14" s="18" t="s">
        <v>46</v>
      </c>
      <c r="C14" s="18" t="s">
        <v>7</v>
      </c>
      <c r="D14" s="18">
        <f>коэффициенты!G8</f>
        <v>1</v>
      </c>
      <c r="E14" s="3" t="s">
        <v>12</v>
      </c>
      <c r="F14" s="18" t="s">
        <v>49</v>
      </c>
      <c r="G14" s="18" t="s">
        <v>7</v>
      </c>
      <c r="H14" s="18">
        <f>коэффициенты!G11</f>
        <v>1</v>
      </c>
      <c r="I14" s="3" t="s">
        <v>12</v>
      </c>
      <c r="J14" s="18" t="s">
        <v>24</v>
      </c>
      <c r="K14" s="18" t="s">
        <v>7</v>
      </c>
      <c r="L14" s="18">
        <f>коэффициенты!G13</f>
        <v>1</v>
      </c>
      <c r="M14" s="3" t="s">
        <v>12</v>
      </c>
      <c r="N14" s="18" t="s">
        <v>26</v>
      </c>
      <c r="O14" s="18" t="s">
        <v>7</v>
      </c>
      <c r="P14" s="18">
        <f>коэффициенты!G15</f>
        <v>1</v>
      </c>
      <c r="Q14" s="3" t="s">
        <v>14</v>
      </c>
      <c r="R14" s="18" t="s">
        <v>14</v>
      </c>
      <c r="S14" s="18" t="s">
        <v>7</v>
      </c>
      <c r="T14" s="18">
        <f>коэффициенты!G17</f>
        <v>1</v>
      </c>
      <c r="U14" s="3" t="s">
        <v>36</v>
      </c>
      <c r="V14" s="18" t="s">
        <v>76</v>
      </c>
      <c r="W14" s="18" t="s">
        <v>7</v>
      </c>
      <c r="X14" s="18">
        <f>коэффициенты!G19</f>
        <v>1</v>
      </c>
    </row>
    <row r="15" spans="1:24" x14ac:dyDescent="0.25">
      <c r="A15" s="3" t="s">
        <v>21</v>
      </c>
      <c r="B15" s="18" t="s">
        <v>46</v>
      </c>
      <c r="C15" s="18" t="s">
        <v>7</v>
      </c>
      <c r="D15" s="18">
        <f>коэффициенты!G8</f>
        <v>1</v>
      </c>
      <c r="E15" s="3" t="s">
        <v>21</v>
      </c>
      <c r="F15" s="18" t="s">
        <v>49</v>
      </c>
      <c r="G15" s="18" t="s">
        <v>7</v>
      </c>
      <c r="H15" s="18">
        <f>коэффициенты!G11</f>
        <v>1</v>
      </c>
      <c r="I15" s="3" t="s">
        <v>21</v>
      </c>
      <c r="J15" s="18" t="s">
        <v>24</v>
      </c>
      <c r="K15" s="18" t="s">
        <v>7</v>
      </c>
      <c r="L15" s="18">
        <f>коэффициенты!G13</f>
        <v>1</v>
      </c>
      <c r="M15" s="3" t="s">
        <v>21</v>
      </c>
      <c r="N15" s="18" t="s">
        <v>26</v>
      </c>
      <c r="O15" s="18" t="s">
        <v>7</v>
      </c>
      <c r="P15" s="18">
        <f>коэффициенты!G15</f>
        <v>1</v>
      </c>
      <c r="Q15" s="3"/>
      <c r="R15" s="18" t="s">
        <v>14</v>
      </c>
      <c r="S15" s="18" t="s">
        <v>7</v>
      </c>
      <c r="T15" s="18">
        <f>коэффициенты!G17</f>
        <v>1</v>
      </c>
      <c r="U15" s="3" t="s">
        <v>12</v>
      </c>
      <c r="V15" s="18" t="s">
        <v>76</v>
      </c>
      <c r="W15" s="18" t="s">
        <v>7</v>
      </c>
      <c r="X15" s="18">
        <f>коэффициенты!G19</f>
        <v>1</v>
      </c>
    </row>
    <row r="16" spans="1:24" s="17" customFormat="1" x14ac:dyDescent="0.25">
      <c r="A16" s="3" t="s">
        <v>32</v>
      </c>
      <c r="B16" s="28" t="s">
        <v>93</v>
      </c>
      <c r="C16" s="28" t="s">
        <v>6</v>
      </c>
      <c r="D16" s="28">
        <f>коэффициенты!G7</f>
        <v>1.3734</v>
      </c>
      <c r="E16" s="3" t="s">
        <v>98</v>
      </c>
      <c r="F16" s="28" t="s">
        <v>99</v>
      </c>
      <c r="G16" s="18" t="s">
        <v>6</v>
      </c>
      <c r="H16" s="18">
        <f>коэффициенты!G9</f>
        <v>1.2297</v>
      </c>
      <c r="I16" s="3">
        <v>0</v>
      </c>
      <c r="J16" s="18" t="s">
        <v>24</v>
      </c>
      <c r="K16" s="18" t="s">
        <v>7</v>
      </c>
      <c r="L16" s="18">
        <f>коэффициенты!G13</f>
        <v>1</v>
      </c>
      <c r="M16" s="3">
        <v>0</v>
      </c>
      <c r="N16" s="18" t="s">
        <v>26</v>
      </c>
      <c r="O16" s="18" t="s">
        <v>7</v>
      </c>
      <c r="P16" s="18">
        <f>коэффициенты!G15</f>
        <v>1</v>
      </c>
      <c r="Q16" s="3">
        <v>0</v>
      </c>
      <c r="R16" s="18" t="s">
        <v>14</v>
      </c>
      <c r="S16" s="18" t="s">
        <v>7</v>
      </c>
      <c r="T16" s="18">
        <f>коэффициенты!G17</f>
        <v>1</v>
      </c>
      <c r="U16" s="3" t="s">
        <v>21</v>
      </c>
      <c r="V16" s="18" t="s">
        <v>76</v>
      </c>
      <c r="W16" s="18" t="s">
        <v>7</v>
      </c>
      <c r="X16" s="18">
        <f>коэффициенты!G19</f>
        <v>1</v>
      </c>
    </row>
    <row r="17" spans="1:24" s="17" customFormat="1" x14ac:dyDescent="0.25">
      <c r="A17" s="3" t="s">
        <v>92</v>
      </c>
      <c r="B17" s="28" t="s">
        <v>93</v>
      </c>
      <c r="C17" s="28" t="s">
        <v>6</v>
      </c>
      <c r="D17" s="28">
        <f>коэффициенты!G7</f>
        <v>1.3734</v>
      </c>
      <c r="E17" s="3" t="s">
        <v>101</v>
      </c>
      <c r="F17" s="28" t="s">
        <v>99</v>
      </c>
      <c r="G17" s="18" t="s">
        <v>6</v>
      </c>
      <c r="H17" s="18">
        <f>коэффициенты!G9</f>
        <v>1.2297</v>
      </c>
      <c r="I17" s="3"/>
      <c r="J17" s="18" t="s">
        <v>24</v>
      </c>
      <c r="K17" s="18" t="s">
        <v>7</v>
      </c>
      <c r="L17" s="18">
        <f>коэффициенты!G13</f>
        <v>1</v>
      </c>
      <c r="M17" s="3"/>
      <c r="N17" s="18" t="s">
        <v>26</v>
      </c>
      <c r="O17" s="18" t="s">
        <v>7</v>
      </c>
      <c r="P17" s="18">
        <f>коэффициенты!G15</f>
        <v>1</v>
      </c>
      <c r="Q17" s="3"/>
      <c r="R17" s="18"/>
      <c r="S17" s="18"/>
      <c r="T17" s="18"/>
      <c r="U17" s="3">
        <v>0</v>
      </c>
      <c r="V17" s="18" t="s">
        <v>75</v>
      </c>
      <c r="W17" s="18" t="s">
        <v>5</v>
      </c>
      <c r="X17" s="18">
        <f>коэффициенты!G18</f>
        <v>1.2423</v>
      </c>
    </row>
    <row r="18" spans="1:24" x14ac:dyDescent="0.25">
      <c r="A18" s="3">
        <v>0</v>
      </c>
      <c r="B18" s="18" t="s">
        <v>46</v>
      </c>
      <c r="C18" s="18" t="s">
        <v>7</v>
      </c>
      <c r="D18" s="18">
        <f>коэффициенты!G8</f>
        <v>1</v>
      </c>
      <c r="E18" s="3">
        <v>0</v>
      </c>
      <c r="F18" s="18" t="s">
        <v>49</v>
      </c>
      <c r="G18" s="18" t="s">
        <v>7</v>
      </c>
      <c r="H18" s="18">
        <f>коэффициенты!G11</f>
        <v>1</v>
      </c>
      <c r="I18" s="3"/>
      <c r="J18" s="18" t="s">
        <v>24</v>
      </c>
      <c r="K18" s="18" t="s">
        <v>7</v>
      </c>
      <c r="L18" s="18">
        <f>коэффициенты!G13</f>
        <v>1</v>
      </c>
      <c r="M18" s="3"/>
      <c r="N18" s="18" t="s">
        <v>26</v>
      </c>
      <c r="O18" s="18" t="s">
        <v>7</v>
      </c>
      <c r="P18" s="18">
        <f>коэффициенты!G15</f>
        <v>1</v>
      </c>
      <c r="Q18" s="3"/>
      <c r="R18" s="18"/>
      <c r="S18" s="18"/>
      <c r="T18" s="18"/>
      <c r="U18" s="3"/>
      <c r="V18" s="18" t="s">
        <v>75</v>
      </c>
      <c r="W18" s="18" t="s">
        <v>5</v>
      </c>
      <c r="X18" s="18">
        <f>коэффициенты!G18</f>
        <v>1.2423</v>
      </c>
    </row>
    <row r="19" spans="1:24" ht="23.25" x14ac:dyDescent="0.25">
      <c r="A19" s="26" t="s">
        <v>72</v>
      </c>
      <c r="B19" s="188" t="s">
        <v>71</v>
      </c>
      <c r="C19" s="193"/>
      <c r="D19" s="101"/>
      <c r="E19" s="26" t="s">
        <v>72</v>
      </c>
      <c r="F19" s="188" t="s">
        <v>71</v>
      </c>
      <c r="G19" s="193"/>
      <c r="H19" s="101"/>
      <c r="I19" s="26" t="s">
        <v>72</v>
      </c>
      <c r="J19" s="188" t="s">
        <v>71</v>
      </c>
      <c r="K19" s="193"/>
      <c r="L19" s="101"/>
      <c r="M19" s="26" t="s">
        <v>72</v>
      </c>
      <c r="N19" s="188" t="s">
        <v>71</v>
      </c>
      <c r="O19" s="193"/>
      <c r="P19" s="101"/>
      <c r="Q19" s="26" t="s">
        <v>72</v>
      </c>
      <c r="R19" s="188" t="s">
        <v>71</v>
      </c>
      <c r="S19" s="193"/>
      <c r="T19" s="99"/>
      <c r="U19" s="26" t="s">
        <v>72</v>
      </c>
      <c r="V19" s="188" t="s">
        <v>71</v>
      </c>
      <c r="W19" s="193"/>
      <c r="X19" s="102"/>
    </row>
    <row r="20" spans="1:24" s="10" customFormat="1" ht="15.75" thickBot="1" x14ac:dyDescent="0.3">
      <c r="B20" s="10" t="str">
        <f>IF(A20=$A$17,$B$17,IF(A20=$A$16,$B$16,IF(A20=$A$8,$B$8,IF(A20=$A$9,$B$9,IF(A20=$A$10,$B$10,IF(A20=$A$11,$B$11,IF(A20=$A$12,$B$12,IF(A20=$A$13,$B$13,IF(A20=$A$14,$B$14,IF(A20=$A$15,$B$15,IF(A20=$A$18,B$18,$B$7)))))))))))</f>
        <v>Отсутствие газоснабжения</v>
      </c>
      <c r="C20" s="10" t="str">
        <f>VLOOKUP(B20,$B$7:$C$18,2,FALSE)</f>
        <v>NO</v>
      </c>
      <c r="D20" s="10">
        <f>VLOOKUP(B20,$B$7:$D$18,3,FALSE)</f>
        <v>1</v>
      </c>
      <c r="E20" s="10" t="s">
        <v>32</v>
      </c>
      <c r="F20" s="10" t="str">
        <f>IF(E20=$E$16,$F$17,IF(E20=$E$15,$F$16,IF(E20=$E$7,$F$8,IF(E20=$E$8,$F$9,IF(E20=$E$9,$F$10,IF(E20=$E$10,$F$11,IF(E20=$E$11,$F$12,IF(E20=$E$12,$F$13,IF(E20=$E$13,$F$14,IF(E20=$E$14,$F$15,IF(E20=$E$17,F$18,$F$7)))))))))))</f>
        <v>Ошибка определения</v>
      </c>
      <c r="G20" s="10" t="str">
        <f>VLOOKUP(F20,$F$7:$G$18,2,FALSE)</f>
        <v>!MST!</v>
      </c>
      <c r="H20" s="10">
        <f>VLOOKUP(F20,$F$7:$H$18,3,FALSE)</f>
        <v>0</v>
      </c>
      <c r="I20" s="10" t="s">
        <v>22</v>
      </c>
      <c r="J20" s="10" t="str">
        <f>IF(I20=$I$8,$J$8,IF(I20=$I$9,$J$9,IF(I20=$I$10,$J$10,IF(I20=$I$11,$J$11,IF(I20=$I$12,$J$12,IF(I20=$I$13,$J$13,IF(I20=$I$14,$J$14,IF(I20=$I$15,$J$15,IF(I20=$I$18,J$18,$J$7)))))))))</f>
        <v>Наличие водоснабжения</v>
      </c>
      <c r="K20" s="10" t="str">
        <f>VLOOKUP(J20,$J$7:$K$18,2,FALSE)</f>
        <v>YS</v>
      </c>
      <c r="L20" s="10">
        <f>VLOOKUP(J20,$J$7:$L$18,3,FALSE)</f>
        <v>1.1678999999999999</v>
      </c>
      <c r="M20" s="10" t="s">
        <v>32</v>
      </c>
      <c r="N20" s="10" t="str">
        <f>IF(M20=$M$8,$N$8,IF(M20=$M$9,$N$9,IF(M20=$M$10,$N$10,IF(M20=$M$11,$N$11,IF(M20=$M$12,$N$12,IF(M20=$M$13,$N$13,IF(M20=$M$14,$N$14,IF(M20=$M$15,$N$15,IF(M20=$M$18,N$18,$N$7)))))))))</f>
        <v>Ошибка определения</v>
      </c>
      <c r="O20" s="10" t="str">
        <f>VLOOKUP(N20,$N$7:$O$18,2,FALSE)</f>
        <v>!MST!</v>
      </c>
      <c r="P20" s="10">
        <f>VLOOKUP(N20,$N$7:$P$18,3,FALSE)</f>
        <v>0</v>
      </c>
      <c r="R20" s="10" t="str">
        <f>IF(Q20=$Q$8,$R$8,IF(Q20=$Q$9,$R$9,IF(Q20=$Q$10,$R$10,IF(Q20=$Q$11,$R$11,IF(Q20=$Q$12,$R$12,IF(Q20=$Q$13,$R$13,IF(Q20=$Q$14,$R$14,IF(Q20=$Q$15,$R$15,IF(Q20=$Q$16,R$16,$R$7)))))))))</f>
        <v>Отсутствие ЛЭП</v>
      </c>
      <c r="S20" s="10" t="str">
        <f>VLOOKUP(R20,$R$7:$S$16,2,FALSE)</f>
        <v>YS</v>
      </c>
      <c r="T20" s="10">
        <f>VLOOKUP(R20,$R$7:$T$16,3,FALSE)</f>
        <v>1</v>
      </c>
      <c r="U20"/>
      <c r="V20" s="24" t="str">
        <f>IF(U20=$U$7,$V$7,IF(U20=$U$8,$V$8,IF(U20=$U$9,$V$9,IF(U20=$U$10,$V$10,IF(U20=$U$11,$V$11,IF(U20=$U$12,$V$12,IF(U20=$U$13,$V$13,IF(U20=$U$14,$V$14,IF(U20=$U$15,$V$15,IF(U20=$U$16,$V$16,IF(U20=$U$17,V$17,$V$7)))))))))))</f>
        <v>Наличие подъезда</v>
      </c>
      <c r="W20" s="25" t="str">
        <f>VLOOKUP(V20,$V$7:$W$17,2,FALSE)</f>
        <v>YS</v>
      </c>
      <c r="X20" s="25">
        <f>VLOOKUP(V20,$V$7:$X$17,3,FALSE)</f>
        <v>1.2423</v>
      </c>
    </row>
    <row r="21" spans="1:24" x14ac:dyDescent="0.25">
      <c r="H21" s="17"/>
      <c r="L21" s="17"/>
      <c r="P21" s="17"/>
      <c r="S21" s="3"/>
      <c r="T21" s="18"/>
      <c r="U21" s="17"/>
      <c r="V21" s="18"/>
      <c r="W21" s="18"/>
      <c r="X21" s="18"/>
    </row>
    <row r="22" spans="1:24" s="6" customFormat="1" x14ac:dyDescent="0.25">
      <c r="A22" s="6" t="s">
        <v>38</v>
      </c>
    </row>
    <row r="23" spans="1:24" s="17" customFormat="1" ht="15.75" thickBot="1" x14ac:dyDescent="0.3"/>
    <row r="24" spans="1:24" s="17" customFormat="1" x14ac:dyDescent="0.25">
      <c r="A24" s="190" t="str">
        <f xml:space="preserve">  коэффициенты!B20</f>
        <v>Зона влияния ИЖС</v>
      </c>
      <c r="B24" s="191"/>
      <c r="C24" s="191"/>
      <c r="D24" s="192"/>
      <c r="E24" s="190" t="s">
        <v>302</v>
      </c>
      <c r="F24" s="191"/>
      <c r="G24" s="196"/>
      <c r="H24" s="118"/>
      <c r="J24" s="194" t="str">
        <f xml:space="preserve">  коэффициенты!B3</f>
        <v>Вид разрешенного использования</v>
      </c>
      <c r="K24" s="194"/>
      <c r="L24" s="194"/>
      <c r="M24" s="194"/>
    </row>
    <row r="25" spans="1:24" s="17" customFormat="1" x14ac:dyDescent="0.25">
      <c r="A25" s="122"/>
      <c r="B25" s="8"/>
      <c r="C25" s="18"/>
      <c r="D25" s="8"/>
      <c r="E25" s="122"/>
      <c r="F25" s="18"/>
      <c r="G25" s="5"/>
      <c r="J25" s="195"/>
      <c r="K25" s="195"/>
      <c r="L25" s="195"/>
      <c r="M25" s="195"/>
      <c r="Q25" s="17" t="s">
        <v>1355</v>
      </c>
      <c r="R25" s="17" t="s">
        <v>1356</v>
      </c>
      <c r="T25" s="17" t="s">
        <v>1357</v>
      </c>
      <c r="U25" s="17" t="s">
        <v>1358</v>
      </c>
    </row>
    <row r="26" spans="1:24" s="16" customFormat="1" x14ac:dyDescent="0.25">
      <c r="A26" s="123" t="str">
        <f xml:space="preserve">  коэффициенты!D1</f>
        <v>Градации (код)</v>
      </c>
      <c r="B26" s="119" t="str">
        <f xml:space="preserve">  коэффициенты!E1</f>
        <v>Возможные градации (описание)</v>
      </c>
      <c r="C26" s="120"/>
      <c r="D26" s="132" t="str">
        <f xml:space="preserve">  коэффициенты!G1</f>
        <v>Значение градации</v>
      </c>
      <c r="E26" s="129" t="s">
        <v>303</v>
      </c>
      <c r="F26" s="121" t="s">
        <v>304</v>
      </c>
      <c r="G26" s="130" t="s">
        <v>303</v>
      </c>
      <c r="H26" s="116"/>
      <c r="I26" s="15" t="s">
        <v>84</v>
      </c>
      <c r="J26" s="15" t="str">
        <f xml:space="preserve">  коэффициенты!D1</f>
        <v>Градации (код)</v>
      </c>
      <c r="K26" s="15" t="s">
        <v>85</v>
      </c>
      <c r="L26" s="15" t="str">
        <f xml:space="preserve">  коэффициенты!E1</f>
        <v>Возможные градации (описание)</v>
      </c>
      <c r="M26" s="15" t="str">
        <f xml:space="preserve">  коэффициенты!G1</f>
        <v>Значение градации</v>
      </c>
      <c r="Q26" s="17" t="s">
        <v>1359</v>
      </c>
      <c r="R26" s="17" t="s">
        <v>197</v>
      </c>
      <c r="S26" s="17"/>
      <c r="T26" s="156" t="s">
        <v>390</v>
      </c>
      <c r="U26" s="17" t="s">
        <v>199</v>
      </c>
    </row>
    <row r="27" spans="1:24" s="17" customFormat="1" x14ac:dyDescent="0.25">
      <c r="A27" s="124" t="str">
        <f>коэффициенты!D20</f>
        <v>aram_1</v>
      </c>
      <c r="B27" s="2" t="str">
        <f>коэффициенты!E20</f>
        <v>Арамильский_1</v>
      </c>
      <c r="C27" s="18" t="str">
        <f>B27</f>
        <v>Арамильский_1</v>
      </c>
      <c r="D27" s="115">
        <f>коэффициенты!G20</f>
        <v>1</v>
      </c>
      <c r="E27" s="133">
        <v>5.0016920000000002</v>
      </c>
      <c r="F27" s="131" t="s">
        <v>171</v>
      </c>
      <c r="G27" s="134">
        <v>5.0016920000000002</v>
      </c>
      <c r="I27" s="17" t="s">
        <v>50</v>
      </c>
      <c r="J27" s="18" t="s">
        <v>2</v>
      </c>
      <c r="K27" s="17" t="s">
        <v>51</v>
      </c>
      <c r="L27" s="17" t="str">
        <f xml:space="preserve">  коэффициенты!E5</f>
        <v>Индивидуальные поселения</v>
      </c>
      <c r="M27" s="18">
        <f>ROUND(  коэффициенты!G5,4)</f>
        <v>1.4041999999999999</v>
      </c>
      <c r="Q27" s="17" t="s">
        <v>440</v>
      </c>
      <c r="R27" s="17" t="s">
        <v>197</v>
      </c>
      <c r="T27" s="17" t="s">
        <v>382</v>
      </c>
      <c r="U27" s="17" t="s">
        <v>211</v>
      </c>
    </row>
    <row r="28" spans="1:24" s="17" customFormat="1" x14ac:dyDescent="0.25">
      <c r="A28" s="124" t="str">
        <f>коэффициенты!D21</f>
        <v>aram_2</v>
      </c>
      <c r="B28" s="2" t="str">
        <f>коэффициенты!E21</f>
        <v>Арамильский_2</v>
      </c>
      <c r="C28" s="18" t="str">
        <f t="shared" ref="C28:C90" si="0">B28</f>
        <v>Арамильский_2</v>
      </c>
      <c r="D28" s="115">
        <f>коэффициенты!G21</f>
        <v>0.63590000000000002</v>
      </c>
      <c r="E28" s="133">
        <v>5</v>
      </c>
      <c r="F28" s="131" t="s">
        <v>173</v>
      </c>
      <c r="G28" s="134">
        <v>5</v>
      </c>
      <c r="I28" s="17" t="s">
        <v>52</v>
      </c>
      <c r="J28" s="18" t="s">
        <v>2</v>
      </c>
      <c r="K28" s="17" t="s">
        <v>43</v>
      </c>
      <c r="L28" s="17" t="str">
        <f xml:space="preserve">  коэффициенты!E5</f>
        <v>Индивидуальные поселения</v>
      </c>
      <c r="M28" s="17">
        <f>ROUND(  коэффициенты!G5,4)</f>
        <v>1.4041999999999999</v>
      </c>
      <c r="Q28" s="17" t="s">
        <v>1360</v>
      </c>
      <c r="R28" s="17" t="s">
        <v>177</v>
      </c>
      <c r="T28" s="17" t="s">
        <v>322</v>
      </c>
      <c r="U28" s="17" t="s">
        <v>253</v>
      </c>
    </row>
    <row r="29" spans="1:24" s="17" customFormat="1" x14ac:dyDescent="0.25">
      <c r="A29" s="124" t="str">
        <f>коэффициенты!D22</f>
        <v>Belo_1</v>
      </c>
      <c r="B29" s="2" t="str">
        <f>коэффициенты!E22</f>
        <v>Белоярский_1</v>
      </c>
      <c r="C29" s="18" t="str">
        <f t="shared" si="0"/>
        <v>Белоярский_1</v>
      </c>
      <c r="D29" s="115">
        <f>коэффициенты!G22</f>
        <v>0.65880000000000005</v>
      </c>
      <c r="E29" s="133">
        <v>5.2800159999999998</v>
      </c>
      <c r="F29" s="131" t="s">
        <v>175</v>
      </c>
      <c r="G29" s="134">
        <v>5.2800159999999998</v>
      </c>
      <c r="I29" s="17" t="s">
        <v>53</v>
      </c>
      <c r="J29" s="18" t="s">
        <v>2</v>
      </c>
      <c r="K29" s="17" t="s">
        <v>54</v>
      </c>
      <c r="L29" s="17" t="str">
        <f xml:space="preserve">  коэффициенты!E5</f>
        <v>Индивидуальные поселения</v>
      </c>
      <c r="M29" s="17">
        <f>ROUND(  коэффициенты!G5,4)</f>
        <v>1.4041999999999999</v>
      </c>
      <c r="Q29" s="17" t="s">
        <v>1361</v>
      </c>
      <c r="R29" s="17" t="s">
        <v>197</v>
      </c>
      <c r="T29" s="17" t="s">
        <v>388</v>
      </c>
      <c r="U29" s="17" t="s">
        <v>287</v>
      </c>
    </row>
    <row r="30" spans="1:24" s="17" customFormat="1" x14ac:dyDescent="0.25">
      <c r="A30" s="124" t="str">
        <f>коэффициенты!D23</f>
        <v>Belo_10</v>
      </c>
      <c r="B30" s="2" t="str">
        <f>коэффициенты!E23</f>
        <v>Белоярский_10</v>
      </c>
      <c r="C30" s="18" t="str">
        <f t="shared" si="0"/>
        <v>Белоярский_10</v>
      </c>
      <c r="D30" s="115">
        <f>коэффициенты!G23</f>
        <v>0.22470000000000001</v>
      </c>
      <c r="E30" s="133">
        <v>5.9595229999999999</v>
      </c>
      <c r="F30" s="131" t="s">
        <v>177</v>
      </c>
      <c r="G30" s="134">
        <v>5.9595229999999999</v>
      </c>
      <c r="I30" s="17" t="s">
        <v>55</v>
      </c>
      <c r="J30" s="18" t="s">
        <v>2</v>
      </c>
      <c r="K30" s="17" t="s">
        <v>56</v>
      </c>
      <c r="L30" s="17" t="str">
        <f xml:space="preserve">  коэффициенты!E5</f>
        <v>Индивидуальные поселения</v>
      </c>
      <c r="M30" s="17">
        <f>ROUND(  коэффициенты!G5,4)</f>
        <v>1.4041999999999999</v>
      </c>
      <c r="Q30" s="17" t="s">
        <v>777</v>
      </c>
      <c r="R30" s="17" t="s">
        <v>177</v>
      </c>
      <c r="T30" s="17" t="s">
        <v>358</v>
      </c>
      <c r="U30" s="17" t="s">
        <v>175</v>
      </c>
    </row>
    <row r="31" spans="1:24" s="17" customFormat="1" x14ac:dyDescent="0.25">
      <c r="A31" s="124" t="str">
        <f>коэффициенты!D24</f>
        <v>Belo_11</v>
      </c>
      <c r="B31" s="2" t="str">
        <f>коэффициенты!E24</f>
        <v>Белоярский_11</v>
      </c>
      <c r="C31" s="18" t="str">
        <f t="shared" si="0"/>
        <v>Белоярский_11</v>
      </c>
      <c r="D31" s="115">
        <f>коэффициенты!G24</f>
        <v>0.21099999999999999</v>
      </c>
      <c r="E31" s="133">
        <v>5.0604420000000001</v>
      </c>
      <c r="F31" s="131" t="s">
        <v>179</v>
      </c>
      <c r="G31" s="134">
        <v>5.0604420000000001</v>
      </c>
      <c r="I31" s="17" t="s">
        <v>65</v>
      </c>
      <c r="J31" s="18" t="s">
        <v>2</v>
      </c>
      <c r="K31" s="17" t="s">
        <v>66</v>
      </c>
      <c r="L31" s="17" t="str">
        <f xml:space="preserve">  коэффициенты!E5</f>
        <v>Индивидуальные поселения</v>
      </c>
      <c r="M31" s="17">
        <f>ROUND(  коэффициенты!G5,4)</f>
        <v>1.4041999999999999</v>
      </c>
      <c r="Q31" s="17" t="s">
        <v>1362</v>
      </c>
      <c r="R31" s="17" t="s">
        <v>177</v>
      </c>
      <c r="T31" s="17" t="s">
        <v>370</v>
      </c>
      <c r="U31" s="17" t="s">
        <v>205</v>
      </c>
    </row>
    <row r="32" spans="1:24" s="17" customFormat="1" x14ac:dyDescent="0.25">
      <c r="A32" s="124" t="str">
        <f>коэффициенты!D25</f>
        <v>Belo_12</v>
      </c>
      <c r="B32" s="2" t="str">
        <f>коэффициенты!E25</f>
        <v>Белоярский_12</v>
      </c>
      <c r="C32" s="18" t="str">
        <f t="shared" si="0"/>
        <v>Белоярский_12</v>
      </c>
      <c r="D32" s="115">
        <f>коэффициенты!G25</f>
        <v>0.3921</v>
      </c>
      <c r="E32" s="133">
        <v>5.0008080000000001</v>
      </c>
      <c r="F32" s="131" t="s">
        <v>181</v>
      </c>
      <c r="G32" s="134">
        <v>5.0008080000000001</v>
      </c>
      <c r="I32" s="17" t="s">
        <v>67</v>
      </c>
      <c r="J32" s="18" t="s">
        <v>2</v>
      </c>
      <c r="K32" s="17" t="s">
        <v>68</v>
      </c>
      <c r="L32" s="17" t="str">
        <f xml:space="preserve">  коэффициенты!E5</f>
        <v>Индивидуальные поселения</v>
      </c>
      <c r="M32" s="17">
        <f>ROUND(  коэффициенты!G5,4)</f>
        <v>1.4041999999999999</v>
      </c>
      <c r="Q32" s="17" t="s">
        <v>1363</v>
      </c>
      <c r="R32" s="17" t="s">
        <v>177</v>
      </c>
      <c r="T32" s="17" t="s">
        <v>1143</v>
      </c>
      <c r="U32" s="17" t="s">
        <v>285</v>
      </c>
    </row>
    <row r="33" spans="1:21" s="17" customFormat="1" x14ac:dyDescent="0.25">
      <c r="A33" s="124" t="str">
        <f>коэффициенты!D26</f>
        <v>Belo_2</v>
      </c>
      <c r="B33" s="2" t="str">
        <f>коэффициенты!E26</f>
        <v>Белоярский_2</v>
      </c>
      <c r="C33" s="18" t="str">
        <f t="shared" si="0"/>
        <v>Белоярский_2</v>
      </c>
      <c r="D33" s="115">
        <f>коэффициенты!G26</f>
        <v>0.4143</v>
      </c>
      <c r="E33" s="133">
        <v>5.0012220000000003</v>
      </c>
      <c r="F33" s="131" t="s">
        <v>183</v>
      </c>
      <c r="G33" s="134">
        <v>5.0012220000000003</v>
      </c>
      <c r="I33" s="17" t="s">
        <v>57</v>
      </c>
      <c r="J33" s="18" t="s">
        <v>2</v>
      </c>
      <c r="K33" s="17" t="s">
        <v>58</v>
      </c>
      <c r="L33" s="17" t="str">
        <f xml:space="preserve">  коэффициенты!E5</f>
        <v>Индивидуальные поселения</v>
      </c>
      <c r="M33" s="17">
        <f>ROUND(  коэффициенты!G5,4)</f>
        <v>1.4041999999999999</v>
      </c>
      <c r="Q33" s="17" t="s">
        <v>1364</v>
      </c>
      <c r="R33" s="17" t="s">
        <v>177</v>
      </c>
      <c r="T33" s="17" t="s">
        <v>405</v>
      </c>
      <c r="U33" s="17" t="s">
        <v>171</v>
      </c>
    </row>
    <row r="34" spans="1:21" s="17" customFormat="1" x14ac:dyDescent="0.25">
      <c r="A34" s="124" t="str">
        <f>коэффициенты!D27</f>
        <v>Belo_3</v>
      </c>
      <c r="B34" s="2" t="str">
        <f>коэффициенты!E27</f>
        <v>Белоярский_3</v>
      </c>
      <c r="C34" s="18" t="str">
        <f t="shared" si="0"/>
        <v>Белоярский_3</v>
      </c>
      <c r="D34" s="115">
        <f>коэффициенты!G27</f>
        <v>0.37530000000000002</v>
      </c>
      <c r="E34" s="133">
        <v>5</v>
      </c>
      <c r="F34" s="131" t="s">
        <v>185</v>
      </c>
      <c r="G34" s="134">
        <v>5</v>
      </c>
      <c r="I34" s="17" t="s">
        <v>59</v>
      </c>
      <c r="J34" s="18" t="s">
        <v>2</v>
      </c>
      <c r="K34" s="17" t="s">
        <v>60</v>
      </c>
      <c r="L34" s="17" t="str">
        <f xml:space="preserve">  коэффициенты!E5</f>
        <v>Индивидуальные поселения</v>
      </c>
      <c r="M34" s="17">
        <f>ROUND(  коэффициенты!G5,4)</f>
        <v>1.4041999999999999</v>
      </c>
      <c r="Q34" s="17" t="s">
        <v>1365</v>
      </c>
      <c r="R34" s="17" t="s">
        <v>177</v>
      </c>
      <c r="T34" s="17" t="s">
        <v>368</v>
      </c>
      <c r="U34" s="17" t="s">
        <v>203</v>
      </c>
    </row>
    <row r="35" spans="1:21" s="17" customFormat="1" x14ac:dyDescent="0.25">
      <c r="A35" s="124" t="str">
        <f>коэффициенты!D28</f>
        <v>Belo_4</v>
      </c>
      <c r="B35" s="2" t="str">
        <f>коэффициенты!E28</f>
        <v>Белоярский_4</v>
      </c>
      <c r="C35" s="18" t="str">
        <f t="shared" si="0"/>
        <v>Белоярский_4</v>
      </c>
      <c r="D35" s="115">
        <f>коэффициенты!G28</f>
        <v>0.30809999999999998</v>
      </c>
      <c r="E35" s="133">
        <v>5</v>
      </c>
      <c r="F35" s="131" t="s">
        <v>187</v>
      </c>
      <c r="G35" s="134">
        <v>5</v>
      </c>
      <c r="I35" s="17" t="s">
        <v>61</v>
      </c>
      <c r="J35" s="18" t="s">
        <v>0</v>
      </c>
      <c r="K35" s="17" t="s">
        <v>20</v>
      </c>
      <c r="L35" s="1" t="str">
        <f xml:space="preserve">  коэффициенты!E3</f>
        <v>Садовые объединения</v>
      </c>
      <c r="M35" s="17">
        <f>ROUND(  коэффициенты!G3,4)</f>
        <v>1</v>
      </c>
      <c r="Q35" s="17" t="s">
        <v>1366</v>
      </c>
      <c r="R35" s="17" t="s">
        <v>177</v>
      </c>
      <c r="T35" s="17" t="s">
        <v>366</v>
      </c>
      <c r="U35" s="17" t="s">
        <v>289</v>
      </c>
    </row>
    <row r="36" spans="1:21" s="17" customFormat="1" x14ac:dyDescent="0.25">
      <c r="A36" s="124" t="str">
        <f>коэффициенты!D29</f>
        <v>Belo_5</v>
      </c>
      <c r="B36" s="2" t="str">
        <f>коэффициенты!E29</f>
        <v>Белоярский_5</v>
      </c>
      <c r="C36" s="18" t="str">
        <f t="shared" si="0"/>
        <v>Белоярский_5</v>
      </c>
      <c r="D36" s="115">
        <f>коэффициенты!G29</f>
        <v>0.33850000000000002</v>
      </c>
      <c r="E36" s="133">
        <v>5</v>
      </c>
      <c r="F36" s="131" t="s">
        <v>189</v>
      </c>
      <c r="G36" s="134">
        <v>5</v>
      </c>
      <c r="I36" s="17" t="s">
        <v>62</v>
      </c>
      <c r="J36" s="18" t="s">
        <v>0</v>
      </c>
      <c r="K36" s="17" t="s">
        <v>63</v>
      </c>
      <c r="L36" s="1" t="str">
        <f xml:space="preserve">  коэффициенты!E3</f>
        <v>Садовые объединения</v>
      </c>
      <c r="M36" s="17">
        <f>ROUND(  коэффициенты!G3,4)</f>
        <v>1</v>
      </c>
      <c r="Q36" s="17" t="s">
        <v>1367</v>
      </c>
      <c r="R36" s="17" t="s">
        <v>197</v>
      </c>
      <c r="T36" s="17" t="s">
        <v>1368</v>
      </c>
      <c r="U36" s="17" t="s">
        <v>1369</v>
      </c>
    </row>
    <row r="37" spans="1:21" s="17" customFormat="1" x14ac:dyDescent="0.25">
      <c r="A37" s="124" t="str">
        <f>коэффициенты!D30</f>
        <v>Belo_6</v>
      </c>
      <c r="B37" s="2" t="str">
        <f>коэффициенты!E30</f>
        <v>Белоярский_6</v>
      </c>
      <c r="C37" s="18" t="str">
        <f t="shared" si="0"/>
        <v>Белоярский_6</v>
      </c>
      <c r="D37" s="115">
        <f>коэффициенты!G30</f>
        <v>0.23350000000000001</v>
      </c>
      <c r="E37" s="133">
        <v>5.1784100000000004</v>
      </c>
      <c r="F37" s="131" t="s">
        <v>191</v>
      </c>
      <c r="G37" s="134">
        <v>5.1784100000000004</v>
      </c>
      <c r="I37" s="17" t="s">
        <v>64</v>
      </c>
      <c r="J37" s="18" t="s">
        <v>1</v>
      </c>
      <c r="K37" s="17" t="s">
        <v>42</v>
      </c>
      <c r="L37" s="1" t="str">
        <f xml:space="preserve">  коэффициенты!E4</f>
        <v>Дачные и коттеджные объединения</v>
      </c>
      <c r="M37" s="17">
        <f>ROUND(  коэффициенты!G4,4)</f>
        <v>1.1034999999999999</v>
      </c>
      <c r="Q37" s="17" t="s">
        <v>1370</v>
      </c>
      <c r="R37" s="17" t="s">
        <v>197</v>
      </c>
      <c r="T37" s="17" t="s">
        <v>386</v>
      </c>
      <c r="U37" s="17" t="s">
        <v>229</v>
      </c>
    </row>
    <row r="38" spans="1:21" s="17" customFormat="1" x14ac:dyDescent="0.25">
      <c r="A38" s="124" t="str">
        <f>коэффициенты!D31</f>
        <v>Belo_7</v>
      </c>
      <c r="B38" s="2" t="str">
        <f>коэффициенты!E31</f>
        <v>Белоярский_7</v>
      </c>
      <c r="C38" s="18" t="str">
        <f t="shared" si="0"/>
        <v>Белоярский_7</v>
      </c>
      <c r="D38" s="115">
        <f>коэффициенты!G31</f>
        <v>0.24460000000000001</v>
      </c>
      <c r="E38" s="133">
        <v>5.5794579999999998</v>
      </c>
      <c r="F38" s="131" t="s">
        <v>193</v>
      </c>
      <c r="G38" s="134">
        <v>5.5794579999999998</v>
      </c>
      <c r="K38" s="9" t="s">
        <v>72</v>
      </c>
      <c r="L38" s="188" t="s">
        <v>71</v>
      </c>
      <c r="M38" s="189"/>
      <c r="Q38" s="17" t="s">
        <v>1371</v>
      </c>
      <c r="R38" s="17" t="s">
        <v>177</v>
      </c>
      <c r="T38" s="17" t="s">
        <v>319</v>
      </c>
      <c r="U38" s="17" t="s">
        <v>295</v>
      </c>
    </row>
    <row r="39" spans="1:21" s="17" customFormat="1" x14ac:dyDescent="0.25">
      <c r="A39" s="124" t="str">
        <f>коэффициенты!D32</f>
        <v>Belo_8</v>
      </c>
      <c r="B39" s="2" t="str">
        <f>коэффициенты!E32</f>
        <v>Белоярский_8</v>
      </c>
      <c r="C39" s="18" t="str">
        <f t="shared" si="0"/>
        <v>Белоярский_8</v>
      </c>
      <c r="D39" s="115">
        <f>коэффициенты!G32</f>
        <v>0.22989999999999999</v>
      </c>
      <c r="E39" s="133">
        <v>5.3031800000000002</v>
      </c>
      <c r="F39" s="131" t="s">
        <v>195</v>
      </c>
      <c r="G39" s="134">
        <v>5.3031800000000002</v>
      </c>
      <c r="K39" s="17" t="s">
        <v>42</v>
      </c>
      <c r="L39" s="18" t="str">
        <f>VLOOKUP(K39,$K$27:$L$37,2,FALSE)</f>
        <v>Дачные и коттеджные объединения</v>
      </c>
      <c r="M39" s="18">
        <f>VLOOKUP(L39,$L$27:$M$37,2,FALSE)</f>
        <v>1.1034999999999999</v>
      </c>
      <c r="Q39" s="17" t="s">
        <v>677</v>
      </c>
      <c r="R39" s="17" t="s">
        <v>177</v>
      </c>
      <c r="T39" s="17" t="s">
        <v>363</v>
      </c>
      <c r="U39" s="17" t="s">
        <v>223</v>
      </c>
    </row>
    <row r="40" spans="1:21" s="17" customFormat="1" x14ac:dyDescent="0.25">
      <c r="A40" s="124" t="str">
        <f>коэффициенты!D33</f>
        <v>Belo_9</v>
      </c>
      <c r="B40" s="2" t="str">
        <f>коэффициенты!E33</f>
        <v>Белоярский_9</v>
      </c>
      <c r="C40" s="18" t="str">
        <f t="shared" si="0"/>
        <v>Белоярский_9</v>
      </c>
      <c r="D40" s="115">
        <f>коэффициенты!G33</f>
        <v>0.19120000000000001</v>
      </c>
      <c r="E40" s="133">
        <v>8.4892389999999995</v>
      </c>
      <c r="F40" s="131" t="s">
        <v>197</v>
      </c>
      <c r="G40" s="134">
        <v>8.4892389999999995</v>
      </c>
      <c r="K40" s="18" t="s">
        <v>1</v>
      </c>
      <c r="L40" s="1" t="str">
        <f>VLOOKUP(K40,$J$27:$L$37,3,FALSE)</f>
        <v>Дачные и коттеджные объединения</v>
      </c>
      <c r="M40" s="17">
        <f>VLOOKUP(K40,$J$27:$M$37,4,FALSE)</f>
        <v>1.1034999999999999</v>
      </c>
      <c r="Q40" s="17" t="s">
        <v>1372</v>
      </c>
      <c r="R40" s="17" t="s">
        <v>177</v>
      </c>
    </row>
    <row r="41" spans="1:21" s="17" customFormat="1" x14ac:dyDescent="0.25">
      <c r="A41" s="124" t="str">
        <f>коэффициенты!D34</f>
        <v>berz_1</v>
      </c>
      <c r="B41" s="2" t="str">
        <f>коэффициенты!E34</f>
        <v>Березовский_1</v>
      </c>
      <c r="C41" s="18" t="str">
        <f t="shared" si="0"/>
        <v>Березовский_1</v>
      </c>
      <c r="D41" s="115">
        <f>коэффициенты!G34</f>
        <v>0.8216</v>
      </c>
      <c r="E41" s="133">
        <v>6.6826150000000002</v>
      </c>
      <c r="F41" s="131" t="s">
        <v>199</v>
      </c>
      <c r="G41" s="134">
        <v>6.6826150000000002</v>
      </c>
      <c r="Q41" s="17" t="s">
        <v>1373</v>
      </c>
      <c r="R41" s="17" t="s">
        <v>177</v>
      </c>
    </row>
    <row r="42" spans="1:21" s="17" customFormat="1" x14ac:dyDescent="0.25">
      <c r="A42" s="124" t="s">
        <v>201</v>
      </c>
      <c r="B42" s="2" t="str">
        <f>коэффициенты!E35</f>
        <v>Березовский_2</v>
      </c>
      <c r="C42" s="18" t="str">
        <f t="shared" si="0"/>
        <v>Березовский_2</v>
      </c>
      <c r="D42" s="115">
        <f>коэффициенты!G35</f>
        <v>0.41399999999999998</v>
      </c>
      <c r="E42" s="133">
        <v>8.0010340000000006</v>
      </c>
      <c r="F42" s="131" t="s">
        <v>201</v>
      </c>
      <c r="G42" s="134">
        <v>8.0010340000000006</v>
      </c>
      <c r="Q42" s="17" t="s">
        <v>1374</v>
      </c>
      <c r="R42" s="17" t="s">
        <v>177</v>
      </c>
    </row>
    <row r="43" spans="1:21" s="17" customFormat="1" x14ac:dyDescent="0.25">
      <c r="A43" s="124" t="str">
        <f>коэффициенты!D36</f>
        <v>degt_1</v>
      </c>
      <c r="B43" s="2" t="str">
        <f>коэффициенты!E36</f>
        <v>Дегтярский_1</v>
      </c>
      <c r="C43" s="18" t="str">
        <f t="shared" si="0"/>
        <v>Дегтярский_1</v>
      </c>
      <c r="D43" s="115">
        <f>коэффициенты!G36</f>
        <v>0.2888</v>
      </c>
      <c r="E43" s="133">
        <v>5.2157249999999999</v>
      </c>
      <c r="F43" s="131" t="s">
        <v>203</v>
      </c>
      <c r="G43" s="134">
        <v>5.2157249999999999</v>
      </c>
      <c r="Q43" s="17" t="s">
        <v>1375</v>
      </c>
      <c r="R43" s="17" t="s">
        <v>177</v>
      </c>
    </row>
    <row r="44" spans="1:21" s="17" customFormat="1" x14ac:dyDescent="0.25">
      <c r="A44" s="124" t="str">
        <f>коэффициенты!D37</f>
        <v>pole_1</v>
      </c>
      <c r="B44" s="2" t="str">
        <f>коэффициенты!E37</f>
        <v>Полевской_1</v>
      </c>
      <c r="C44" s="18" t="str">
        <f t="shared" si="0"/>
        <v>Полевской_1</v>
      </c>
      <c r="D44" s="115">
        <f>коэффициенты!G37</f>
        <v>0.30840000000000001</v>
      </c>
      <c r="E44" s="133">
        <v>8.0994089999999996</v>
      </c>
      <c r="F44" s="131" t="s">
        <v>205</v>
      </c>
      <c r="G44" s="134">
        <v>8.0994089999999996</v>
      </c>
      <c r="Q44" s="17" t="s">
        <v>1376</v>
      </c>
      <c r="R44" s="17" t="s">
        <v>177</v>
      </c>
    </row>
    <row r="45" spans="1:21" s="17" customFormat="1" x14ac:dyDescent="0.25">
      <c r="A45" s="124" t="str">
        <f>коэффициенты!D38</f>
        <v>pole_2</v>
      </c>
      <c r="B45" s="2" t="str">
        <f>коэффициенты!E38</f>
        <v>Полевской_2</v>
      </c>
      <c r="C45" s="18" t="str">
        <f t="shared" si="0"/>
        <v>Полевской_2</v>
      </c>
      <c r="D45" s="115">
        <f>коэффициенты!G38</f>
        <v>0.47789999999999999</v>
      </c>
      <c r="E45" s="133">
        <v>6.1646190000000001</v>
      </c>
      <c r="F45" s="131" t="s">
        <v>207</v>
      </c>
      <c r="G45" s="134">
        <v>6.1646190000000001</v>
      </c>
      <c r="Q45" s="17" t="s">
        <v>1275</v>
      </c>
      <c r="R45" s="17" t="s">
        <v>177</v>
      </c>
    </row>
    <row r="46" spans="1:21" s="17" customFormat="1" x14ac:dyDescent="0.25">
      <c r="A46" s="124" t="str">
        <f>коэффициенты!D39</f>
        <v>pole_3</v>
      </c>
      <c r="B46" s="2" t="str">
        <f>коэффициенты!E39</f>
        <v>Полевской_3</v>
      </c>
      <c r="C46" s="18" t="str">
        <f t="shared" si="0"/>
        <v>Полевской_3</v>
      </c>
      <c r="D46" s="115">
        <f>коэффициенты!G39</f>
        <v>0.50270000000000004</v>
      </c>
      <c r="E46" s="133">
        <v>5.1305319999999996</v>
      </c>
      <c r="F46" s="131" t="s">
        <v>209</v>
      </c>
      <c r="G46" s="134">
        <v>5.1305319999999996</v>
      </c>
      <c r="Q46" s="17" t="s">
        <v>776</v>
      </c>
      <c r="R46" s="17" t="s">
        <v>177</v>
      </c>
    </row>
    <row r="47" spans="1:21" s="17" customFormat="1" x14ac:dyDescent="0.25">
      <c r="A47" s="124" t="str">
        <f>коэффициенты!D40</f>
        <v>purl_1</v>
      </c>
      <c r="B47" s="2" t="str">
        <f>коэффициенты!E40</f>
        <v>Первоуральск_1</v>
      </c>
      <c r="C47" s="18" t="str">
        <f t="shared" si="0"/>
        <v>Первоуральск_1</v>
      </c>
      <c r="D47" s="115">
        <f>коэффициенты!G40</f>
        <v>0.51739999999999997</v>
      </c>
      <c r="E47" s="133">
        <v>5.2471290000000002</v>
      </c>
      <c r="F47" s="131" t="s">
        <v>211</v>
      </c>
      <c r="G47" s="134">
        <v>5.2471290000000002</v>
      </c>
      <c r="Q47" s="17" t="s">
        <v>646</v>
      </c>
      <c r="R47" s="17" t="s">
        <v>177</v>
      </c>
    </row>
    <row r="48" spans="1:21" s="17" customFormat="1" x14ac:dyDescent="0.25">
      <c r="A48" s="124" t="str">
        <f>коэффициенты!D41</f>
        <v>purl_2</v>
      </c>
      <c r="B48" s="2" t="str">
        <f>коэффициенты!E41</f>
        <v>Первоуральск_2</v>
      </c>
      <c r="C48" s="18" t="str">
        <f t="shared" si="0"/>
        <v>Первоуральск_2</v>
      </c>
      <c r="D48" s="115">
        <f>коэффициенты!G41</f>
        <v>1.3766</v>
      </c>
      <c r="E48" s="133">
        <v>5.9671060000000002</v>
      </c>
      <c r="F48" s="131" t="s">
        <v>213</v>
      </c>
      <c r="G48" s="134">
        <v>5.9671060000000002</v>
      </c>
      <c r="Q48" s="17" t="s">
        <v>1377</v>
      </c>
      <c r="R48" s="17" t="s">
        <v>177</v>
      </c>
    </row>
    <row r="49" spans="1:18" s="17" customFormat="1" x14ac:dyDescent="0.25">
      <c r="A49" s="124" t="str">
        <f>коэффициенты!D42</f>
        <v>purl_3</v>
      </c>
      <c r="B49" s="2" t="str">
        <f>коэффициенты!E42</f>
        <v>Первоуральск_3</v>
      </c>
      <c r="C49" s="18" t="str">
        <f t="shared" si="0"/>
        <v>Первоуральск_3</v>
      </c>
      <c r="D49" s="115">
        <f>коэффициенты!G42</f>
        <v>0.3236</v>
      </c>
      <c r="E49" s="133">
        <v>5.8269820000000001</v>
      </c>
      <c r="F49" s="131" t="s">
        <v>215</v>
      </c>
      <c r="G49" s="134">
        <v>5.8269820000000001</v>
      </c>
      <c r="Q49" s="17" t="s">
        <v>1378</v>
      </c>
      <c r="R49" s="17" t="s">
        <v>177</v>
      </c>
    </row>
    <row r="50" spans="1:18" s="17" customFormat="1" x14ac:dyDescent="0.25">
      <c r="A50" s="124" t="str">
        <f>коэффициенты!D43</f>
        <v>purl_4</v>
      </c>
      <c r="B50" s="2" t="str">
        <f>коэффициенты!E43</f>
        <v>Первоуральск_4</v>
      </c>
      <c r="C50" s="18" t="str">
        <f t="shared" si="0"/>
        <v>Первоуральск_4</v>
      </c>
      <c r="D50" s="115">
        <f>коэффициенты!G43</f>
        <v>0.22159999999999999</v>
      </c>
      <c r="E50" s="133">
        <v>6.3166710000000004</v>
      </c>
      <c r="F50" s="131" t="s">
        <v>217</v>
      </c>
      <c r="G50" s="134">
        <v>6.3166710000000004</v>
      </c>
      <c r="Q50" s="17" t="s">
        <v>647</v>
      </c>
      <c r="R50" s="17" t="s">
        <v>177</v>
      </c>
    </row>
    <row r="51" spans="1:18" s="17" customFormat="1" x14ac:dyDescent="0.25">
      <c r="A51" s="124" t="str">
        <f>коэффициенты!D44</f>
        <v>purl_5</v>
      </c>
      <c r="B51" s="2" t="str">
        <f>коэффициенты!E44</f>
        <v>Первоуральск_5</v>
      </c>
      <c r="C51" s="18" t="str">
        <f t="shared" si="0"/>
        <v>Первоуральск_5</v>
      </c>
      <c r="D51" s="115">
        <f>коэффициенты!G44</f>
        <v>0.17749999999999999</v>
      </c>
      <c r="E51" s="133">
        <v>7.273847</v>
      </c>
      <c r="F51" s="131" t="s">
        <v>219</v>
      </c>
      <c r="G51" s="134">
        <v>7.273847</v>
      </c>
      <c r="Q51" s="17" t="s">
        <v>1088</v>
      </c>
      <c r="R51" s="17" t="s">
        <v>177</v>
      </c>
    </row>
    <row r="52" spans="1:18" s="17" customFormat="1" x14ac:dyDescent="0.25">
      <c r="A52" s="124" t="str">
        <f>коэффициенты!D45</f>
        <v>purl_6</v>
      </c>
      <c r="B52" s="2" t="str">
        <f>коэффициенты!E45</f>
        <v>Первоуральск_6</v>
      </c>
      <c r="C52" s="18" t="str">
        <f t="shared" si="0"/>
        <v>Первоуральск_6</v>
      </c>
      <c r="D52" s="115">
        <f>коэффициенты!G45</f>
        <v>1.1451</v>
      </c>
      <c r="E52" s="133">
        <v>9.0048739999999992</v>
      </c>
      <c r="F52" s="131" t="s">
        <v>221</v>
      </c>
      <c r="G52" s="134">
        <v>9.0048739999999992</v>
      </c>
      <c r="Q52" s="17" t="s">
        <v>1379</v>
      </c>
      <c r="R52" s="17" t="s">
        <v>177</v>
      </c>
    </row>
    <row r="53" spans="1:18" s="17" customFormat="1" x14ac:dyDescent="0.25">
      <c r="A53" s="124" t="str">
        <f>коэффициенты!D46</f>
        <v>revd_1</v>
      </c>
      <c r="B53" s="2" t="str">
        <f>коэффициенты!E46</f>
        <v>Ревдинский_1</v>
      </c>
      <c r="C53" s="18" t="str">
        <f t="shared" si="0"/>
        <v>Ревдинский_1</v>
      </c>
      <c r="D53" s="115">
        <f>коэффициенты!G46</f>
        <v>0.28349999999999997</v>
      </c>
      <c r="E53" s="133">
        <v>5.0717100000000004</v>
      </c>
      <c r="F53" s="131" t="s">
        <v>223</v>
      </c>
      <c r="G53" s="134">
        <v>5.0717100000000004</v>
      </c>
      <c r="Q53" s="17" t="s">
        <v>1136</v>
      </c>
      <c r="R53" s="17" t="s">
        <v>177</v>
      </c>
    </row>
    <row r="54" spans="1:18" s="17" customFormat="1" x14ac:dyDescent="0.25">
      <c r="A54" s="124" t="str">
        <f>коэффициенты!D47</f>
        <v>revd_2</v>
      </c>
      <c r="B54" s="2" t="str">
        <f>коэффициенты!E47</f>
        <v>Ревдинский_2</v>
      </c>
      <c r="C54" s="18" t="str">
        <f t="shared" si="0"/>
        <v>Ревдинский_2</v>
      </c>
      <c r="D54" s="115">
        <f>коэффициенты!G47</f>
        <v>0.65859999999999996</v>
      </c>
      <c r="E54" s="133">
        <v>5</v>
      </c>
      <c r="F54" s="131" t="s">
        <v>225</v>
      </c>
      <c r="G54" s="134">
        <v>5</v>
      </c>
      <c r="Q54" s="17" t="s">
        <v>1054</v>
      </c>
      <c r="R54" s="17" t="s">
        <v>177</v>
      </c>
    </row>
    <row r="55" spans="1:18" s="17" customFormat="1" x14ac:dyDescent="0.25">
      <c r="A55" s="124" t="str">
        <f>коэффициенты!D48</f>
        <v>revd_3</v>
      </c>
      <c r="B55" s="2" t="str">
        <f>коэффициенты!E48</f>
        <v>Ревдинский_3</v>
      </c>
      <c r="C55" s="18" t="str">
        <f t="shared" si="0"/>
        <v>Ревдинский_3</v>
      </c>
      <c r="D55" s="115">
        <f>коэффициенты!G48</f>
        <v>0.22259999999999999</v>
      </c>
      <c r="E55" s="133">
        <v>11.245514</v>
      </c>
      <c r="F55" s="131" t="s">
        <v>227</v>
      </c>
      <c r="G55" s="134">
        <v>11.245514</v>
      </c>
      <c r="Q55" s="17" t="s">
        <v>945</v>
      </c>
      <c r="R55" s="17" t="s">
        <v>177</v>
      </c>
    </row>
    <row r="56" spans="1:18" s="17" customFormat="1" x14ac:dyDescent="0.25">
      <c r="A56" s="124" t="str">
        <f>коэффициенты!D49</f>
        <v>surl_1</v>
      </c>
      <c r="B56" s="2" t="str">
        <f>коэффициенты!E49</f>
        <v>Среднеуральский_1</v>
      </c>
      <c r="C56" s="18" t="str">
        <f t="shared" si="0"/>
        <v>Среднеуральский_1</v>
      </c>
      <c r="D56" s="115">
        <f>коэффициенты!G49</f>
        <v>1.2821</v>
      </c>
      <c r="E56" s="133">
        <v>5.1156579999999998</v>
      </c>
      <c r="F56" s="131" t="s">
        <v>229</v>
      </c>
      <c r="G56" s="134">
        <v>5.1156579999999998</v>
      </c>
      <c r="Q56" s="17" t="s">
        <v>1380</v>
      </c>
      <c r="R56" s="17" t="s">
        <v>177</v>
      </c>
    </row>
    <row r="57" spans="1:18" s="17" customFormat="1" x14ac:dyDescent="0.25">
      <c r="A57" s="124" t="str">
        <f>коэффициенты!D50</f>
        <v>surl_2</v>
      </c>
      <c r="B57" s="2" t="str">
        <f>коэффициенты!E50</f>
        <v>Среднеуральский_2</v>
      </c>
      <c r="C57" s="18" t="str">
        <f t="shared" si="0"/>
        <v>Среднеуральский_2</v>
      </c>
      <c r="D57" s="115">
        <f>коэффициенты!G50</f>
        <v>1.2999000000000001</v>
      </c>
      <c r="E57" s="133">
        <v>5</v>
      </c>
      <c r="F57" s="131" t="s">
        <v>231</v>
      </c>
      <c r="G57" s="134">
        <v>5</v>
      </c>
      <c r="Q57" s="17" t="s">
        <v>1381</v>
      </c>
      <c r="R57" s="17" t="s">
        <v>177</v>
      </c>
    </row>
    <row r="58" spans="1:18" s="17" customFormat="1" x14ac:dyDescent="0.25">
      <c r="A58" s="124" t="str">
        <f>коэффициенты!D51</f>
        <v>sysr_1</v>
      </c>
      <c r="B58" s="2" t="str">
        <f>коэффициенты!E51</f>
        <v>Сысертский_1</v>
      </c>
      <c r="C58" s="18" t="str">
        <f t="shared" si="0"/>
        <v>Сысертский_1</v>
      </c>
      <c r="D58" s="115">
        <f>коэффициенты!G51</f>
        <v>0.69850000000000001</v>
      </c>
      <c r="E58" s="133">
        <v>5</v>
      </c>
      <c r="F58" s="131" t="s">
        <v>233</v>
      </c>
      <c r="G58" s="134">
        <v>5</v>
      </c>
      <c r="Q58" s="17" t="s">
        <v>1382</v>
      </c>
      <c r="R58" s="17" t="s">
        <v>177</v>
      </c>
    </row>
    <row r="59" spans="1:18" s="17" customFormat="1" x14ac:dyDescent="0.25">
      <c r="A59" s="124" t="str">
        <f>коэффициенты!D52</f>
        <v>sysr_10</v>
      </c>
      <c r="B59" s="2" t="str">
        <f>коэффициенты!E52</f>
        <v>Сысертский_10</v>
      </c>
      <c r="C59" s="18" t="str">
        <f t="shared" si="0"/>
        <v>Сысертский_10</v>
      </c>
      <c r="D59" s="115">
        <f>коэффициенты!G52</f>
        <v>0.39360000000000001</v>
      </c>
      <c r="E59" s="133">
        <v>5</v>
      </c>
      <c r="F59" s="131" t="s">
        <v>235</v>
      </c>
      <c r="G59" s="134">
        <v>5</v>
      </c>
      <c r="Q59" s="17" t="s">
        <v>1383</v>
      </c>
      <c r="R59" s="17" t="s">
        <v>179</v>
      </c>
    </row>
    <row r="60" spans="1:18" s="17" customFormat="1" x14ac:dyDescent="0.25">
      <c r="A60" s="124" t="str">
        <f>коэффициенты!D53</f>
        <v>sysr_11</v>
      </c>
      <c r="B60" s="2" t="str">
        <f>коэффициенты!E53</f>
        <v>Сысертский_11</v>
      </c>
      <c r="C60" s="18" t="str">
        <f t="shared" si="0"/>
        <v>Сысертский_11</v>
      </c>
      <c r="D60" s="115">
        <f>коэффициенты!G53</f>
        <v>0.49399999999999999</v>
      </c>
      <c r="E60" s="133">
        <v>5</v>
      </c>
      <c r="F60" s="131" t="s">
        <v>237</v>
      </c>
      <c r="G60" s="134">
        <v>5</v>
      </c>
      <c r="Q60" s="17" t="s">
        <v>1384</v>
      </c>
      <c r="R60" s="17" t="s">
        <v>179</v>
      </c>
    </row>
    <row r="61" spans="1:18" s="17" customFormat="1" x14ac:dyDescent="0.25">
      <c r="A61" s="124" t="str">
        <f>коэффициенты!D54</f>
        <v>sysr_12</v>
      </c>
      <c r="B61" s="2" t="str">
        <f>коэффициенты!E54</f>
        <v>Сысертский_12</v>
      </c>
      <c r="C61" s="18" t="str">
        <f t="shared" si="0"/>
        <v>Сысертский_12</v>
      </c>
      <c r="D61" s="115">
        <f>коэффициенты!G54</f>
        <v>0.60419999999999996</v>
      </c>
      <c r="E61" s="133">
        <v>5</v>
      </c>
      <c r="F61" s="131" t="s">
        <v>239</v>
      </c>
      <c r="G61" s="134">
        <v>5</v>
      </c>
      <c r="Q61" s="17" t="s">
        <v>1385</v>
      </c>
      <c r="R61" s="17" t="s">
        <v>179</v>
      </c>
    </row>
    <row r="62" spans="1:18" s="17" customFormat="1" x14ac:dyDescent="0.25">
      <c r="A62" s="124" t="str">
        <f>коэффициенты!D55</f>
        <v>sysr_13</v>
      </c>
      <c r="B62" s="2" t="str">
        <f>коэффициенты!E55</f>
        <v>Сысертский_13</v>
      </c>
      <c r="C62" s="18" t="str">
        <f t="shared" si="0"/>
        <v>Сысертский_13</v>
      </c>
      <c r="D62" s="115">
        <f>коэффициенты!G55</f>
        <v>0.36780000000000002</v>
      </c>
      <c r="E62" s="133">
        <v>5</v>
      </c>
      <c r="F62" s="131" t="s">
        <v>241</v>
      </c>
      <c r="G62" s="134">
        <v>5</v>
      </c>
      <c r="Q62" s="17" t="s">
        <v>1386</v>
      </c>
      <c r="R62" s="17" t="s">
        <v>179</v>
      </c>
    </row>
    <row r="63" spans="1:18" s="17" customFormat="1" x14ac:dyDescent="0.25">
      <c r="A63" s="124" t="str">
        <f>коэффициенты!D56</f>
        <v>sysr_14</v>
      </c>
      <c r="B63" s="2" t="str">
        <f>коэффициенты!E56</f>
        <v>Сысертский_14</v>
      </c>
      <c r="C63" s="18" t="str">
        <f t="shared" si="0"/>
        <v>Сысертский_14</v>
      </c>
      <c r="D63" s="115">
        <f>коэффициенты!G56</f>
        <v>0.67630000000000001</v>
      </c>
      <c r="E63" s="133">
        <v>5</v>
      </c>
      <c r="F63" s="131" t="s">
        <v>243</v>
      </c>
      <c r="G63" s="134">
        <v>5</v>
      </c>
      <c r="Q63" s="17" t="s">
        <v>940</v>
      </c>
      <c r="R63" s="17" t="s">
        <v>179</v>
      </c>
    </row>
    <row r="64" spans="1:18" s="17" customFormat="1" x14ac:dyDescent="0.25">
      <c r="A64" s="124" t="str">
        <f>коэффициенты!D57</f>
        <v>sysr_15</v>
      </c>
      <c r="B64" s="2" t="str">
        <f>коэффициенты!E57</f>
        <v>Сысертский_15</v>
      </c>
      <c r="C64" s="18" t="str">
        <f t="shared" si="0"/>
        <v>Сысертский_15</v>
      </c>
      <c r="D64" s="115">
        <f>коэффициенты!G57</f>
        <v>0.60299999999999998</v>
      </c>
      <c r="E64" s="133">
        <v>5</v>
      </c>
      <c r="F64" s="131" t="s">
        <v>245</v>
      </c>
      <c r="G64" s="134">
        <v>5</v>
      </c>
      <c r="Q64" s="17" t="s">
        <v>1387</v>
      </c>
      <c r="R64" s="17" t="s">
        <v>179</v>
      </c>
    </row>
    <row r="65" spans="1:21" s="17" customFormat="1" x14ac:dyDescent="0.25">
      <c r="A65" s="124" t="str">
        <f>коэффициенты!D58</f>
        <v>sysr_16</v>
      </c>
      <c r="B65" s="2" t="str">
        <f>коэффициенты!E58</f>
        <v>Сысертский_16</v>
      </c>
      <c r="C65" s="18" t="str">
        <f t="shared" si="0"/>
        <v>Сысертский_16</v>
      </c>
      <c r="D65" s="115">
        <f>коэффициенты!G58</f>
        <v>0.7127</v>
      </c>
      <c r="E65" s="133">
        <v>5</v>
      </c>
      <c r="F65" s="131" t="s">
        <v>247</v>
      </c>
      <c r="G65" s="134">
        <v>5</v>
      </c>
      <c r="Q65" s="17" t="s">
        <v>1388</v>
      </c>
      <c r="R65" s="17" t="s">
        <v>179</v>
      </c>
    </row>
    <row r="66" spans="1:21" s="17" customFormat="1" x14ac:dyDescent="0.25">
      <c r="A66" s="124" t="str">
        <f>коэффициенты!D59</f>
        <v>sysr_17</v>
      </c>
      <c r="B66" s="2" t="str">
        <f>коэффициенты!E59</f>
        <v>Сысертский_17</v>
      </c>
      <c r="C66" s="18" t="str">
        <f t="shared" si="0"/>
        <v>Сысертский_17</v>
      </c>
      <c r="D66" s="115">
        <f>коэффициенты!G59</f>
        <v>0.70960000000000001</v>
      </c>
      <c r="E66" s="133">
        <v>5</v>
      </c>
      <c r="F66" s="131" t="s">
        <v>249</v>
      </c>
      <c r="G66" s="134">
        <v>5</v>
      </c>
      <c r="Q66" s="17" t="s">
        <v>918</v>
      </c>
      <c r="R66" s="17" t="s">
        <v>179</v>
      </c>
    </row>
    <row r="67" spans="1:21" s="17" customFormat="1" x14ac:dyDescent="0.25">
      <c r="A67" s="124" t="str">
        <f>коэффициенты!D60</f>
        <v>sysr_18</v>
      </c>
      <c r="B67" s="2" t="str">
        <f>коэффициенты!E60</f>
        <v>Сысертский_18</v>
      </c>
      <c r="C67" s="18" t="str">
        <f t="shared" si="0"/>
        <v>Сысертский_18</v>
      </c>
      <c r="D67" s="115">
        <f>коэффициенты!G60</f>
        <v>0.85540000000000005</v>
      </c>
      <c r="E67" s="133">
        <v>5.0126879999999998</v>
      </c>
      <c r="F67" s="131" t="s">
        <v>251</v>
      </c>
      <c r="G67" s="134">
        <v>5.0126879999999998</v>
      </c>
      <c r="Q67" s="17" t="s">
        <v>1184</v>
      </c>
      <c r="R67" s="17" t="s">
        <v>179</v>
      </c>
    </row>
    <row r="68" spans="1:21" s="17" customFormat="1" x14ac:dyDescent="0.25">
      <c r="A68" s="124" t="str">
        <f>коэффициенты!D61</f>
        <v>sysr_19</v>
      </c>
      <c r="B68" s="2" t="str">
        <f>коэффициенты!E61</f>
        <v>Сысертский_19</v>
      </c>
      <c r="C68" s="18" t="str">
        <f t="shared" si="0"/>
        <v>Сысертский_19</v>
      </c>
      <c r="D68" s="115">
        <f>коэффициенты!G61</f>
        <v>0.67069999999999996</v>
      </c>
      <c r="E68" s="133">
        <v>5.9524900000000001</v>
      </c>
      <c r="F68" s="131" t="s">
        <v>253</v>
      </c>
      <c r="G68" s="134">
        <v>5.9524900000000001</v>
      </c>
      <c r="Q68" s="17" t="s">
        <v>1305</v>
      </c>
      <c r="R68" s="17" t="s">
        <v>179</v>
      </c>
    </row>
    <row r="69" spans="1:21" s="17" customFormat="1" x14ac:dyDescent="0.25">
      <c r="A69" s="124" t="str">
        <f>коэффициенты!D62</f>
        <v>sysr_2</v>
      </c>
      <c r="B69" s="2" t="str">
        <f>коэффициенты!E62</f>
        <v>Сысертский_2</v>
      </c>
      <c r="C69" s="18" t="str">
        <f t="shared" si="0"/>
        <v>Сысертский_2</v>
      </c>
      <c r="D69" s="115">
        <f>коэффициенты!G62</f>
        <v>0.64319999999999999</v>
      </c>
      <c r="E69" s="133">
        <v>5</v>
      </c>
      <c r="F69" s="131" t="s">
        <v>255</v>
      </c>
      <c r="G69" s="134">
        <v>5</v>
      </c>
      <c r="Q69" s="17" t="s">
        <v>1333</v>
      </c>
      <c r="R69" s="17" t="s">
        <v>195</v>
      </c>
    </row>
    <row r="70" spans="1:21" s="17" customFormat="1" x14ac:dyDescent="0.25">
      <c r="A70" s="124" t="str">
        <f>коэффициенты!D63</f>
        <v>sysr_20</v>
      </c>
      <c r="B70" s="2" t="str">
        <f>коэффициенты!E63</f>
        <v>Сысертский_20</v>
      </c>
      <c r="C70" s="18" t="str">
        <f t="shared" si="0"/>
        <v>Сысертский_20</v>
      </c>
      <c r="D70" s="115">
        <f>коэффициенты!G63</f>
        <v>0.70120000000000005</v>
      </c>
      <c r="E70" s="133">
        <v>5</v>
      </c>
      <c r="F70" s="131" t="s">
        <v>257</v>
      </c>
      <c r="G70" s="134">
        <v>5</v>
      </c>
      <c r="Q70" s="17" t="s">
        <v>1389</v>
      </c>
      <c r="R70" s="17" t="s">
        <v>195</v>
      </c>
    </row>
    <row r="71" spans="1:21" s="17" customFormat="1" x14ac:dyDescent="0.25">
      <c r="A71" s="124" t="str">
        <f>коэффициенты!D64</f>
        <v>sysr_21</v>
      </c>
      <c r="B71" s="2" t="str">
        <f>коэффициенты!E64</f>
        <v>Сысертский_21</v>
      </c>
      <c r="C71" s="18" t="str">
        <f t="shared" si="0"/>
        <v>Сысертский_21</v>
      </c>
      <c r="D71" s="115">
        <f>коэффициенты!G64</f>
        <v>1.0531999999999999</v>
      </c>
      <c r="E71" s="133">
        <v>5.0349190000000004</v>
      </c>
      <c r="F71" s="131" t="s">
        <v>259</v>
      </c>
      <c r="G71" s="134">
        <v>5.0349190000000004</v>
      </c>
      <c r="Q71" s="17" t="s">
        <v>1390</v>
      </c>
      <c r="R71" s="17" t="s">
        <v>195</v>
      </c>
      <c r="S71" s="153"/>
      <c r="T71" s="153"/>
      <c r="U71" s="153"/>
    </row>
    <row r="72" spans="1:21" s="17" customFormat="1" x14ac:dyDescent="0.25">
      <c r="A72" s="124" t="str">
        <f>коэффициенты!D65</f>
        <v>sysr_22</v>
      </c>
      <c r="B72" s="2" t="str">
        <f>коэффициенты!E65</f>
        <v>Сысертский_22</v>
      </c>
      <c r="C72" s="18" t="str">
        <f t="shared" si="0"/>
        <v>Сысертский_22</v>
      </c>
      <c r="D72" s="115">
        <f>коэффициенты!G65</f>
        <v>0.31140000000000001</v>
      </c>
      <c r="E72" s="133">
        <v>5.1270020000000001</v>
      </c>
      <c r="F72" s="131" t="s">
        <v>261</v>
      </c>
      <c r="G72" s="134">
        <v>5.1270020000000001</v>
      </c>
      <c r="Q72" s="17" t="s">
        <v>1391</v>
      </c>
      <c r="R72" s="17" t="s">
        <v>197</v>
      </c>
    </row>
    <row r="73" spans="1:21" s="17" customFormat="1" x14ac:dyDescent="0.25">
      <c r="A73" s="124" t="str">
        <f>коэффициенты!D66</f>
        <v>sysr_23</v>
      </c>
      <c r="B73" s="2" t="str">
        <f>коэффициенты!E66</f>
        <v>Сысертский_23</v>
      </c>
      <c r="C73" s="18" t="str">
        <f t="shared" si="0"/>
        <v>Сысертский_23</v>
      </c>
      <c r="D73" s="115">
        <f>коэффициенты!G66</f>
        <v>0.47210000000000002</v>
      </c>
      <c r="E73" s="133">
        <v>5</v>
      </c>
      <c r="F73" s="131" t="s">
        <v>263</v>
      </c>
      <c r="G73" s="134">
        <v>5</v>
      </c>
      <c r="Q73" s="17" t="s">
        <v>1392</v>
      </c>
      <c r="R73" s="17" t="s">
        <v>197</v>
      </c>
      <c r="S73" s="157"/>
      <c r="T73" s="157"/>
      <c r="U73" s="157"/>
    </row>
    <row r="74" spans="1:21" s="17" customFormat="1" x14ac:dyDescent="0.25">
      <c r="A74" s="124" t="str">
        <f>коэффициенты!D67</f>
        <v>sysr_24</v>
      </c>
      <c r="B74" s="2" t="str">
        <f>коэффициенты!E67</f>
        <v>Сысертский_24</v>
      </c>
      <c r="C74" s="18" t="str">
        <f t="shared" si="0"/>
        <v>Сысертский_24</v>
      </c>
      <c r="D74" s="115">
        <f>коэффициенты!G67</f>
        <v>0.47210000000000002</v>
      </c>
      <c r="E74" s="133">
        <v>5</v>
      </c>
      <c r="F74" s="131" t="s">
        <v>265</v>
      </c>
      <c r="G74" s="134">
        <v>5</v>
      </c>
      <c r="Q74" s="17" t="s">
        <v>457</v>
      </c>
      <c r="R74" s="17" t="s">
        <v>197</v>
      </c>
    </row>
    <row r="75" spans="1:21" s="17" customFormat="1" x14ac:dyDescent="0.25">
      <c r="A75" s="124" t="str">
        <f>коэффициенты!D68</f>
        <v>sysr_25</v>
      </c>
      <c r="B75" s="2" t="str">
        <f>коэффициенты!E68</f>
        <v>Сысертский_25</v>
      </c>
      <c r="C75" s="18" t="str">
        <f t="shared" si="0"/>
        <v>Сысертский_25</v>
      </c>
      <c r="D75" s="115">
        <f>коэффициенты!G68</f>
        <v>0.31140000000000001</v>
      </c>
      <c r="E75" s="133">
        <v>5</v>
      </c>
      <c r="F75" s="131" t="s">
        <v>267</v>
      </c>
      <c r="G75" s="134">
        <v>5</v>
      </c>
      <c r="Q75" s="17" t="s">
        <v>1393</v>
      </c>
      <c r="R75" s="17" t="s">
        <v>197</v>
      </c>
      <c r="S75" s="29" t="s">
        <v>135</v>
      </c>
      <c r="T75" s="29" t="s">
        <v>152</v>
      </c>
      <c r="U75" s="29" t="s">
        <v>153</v>
      </c>
    </row>
    <row r="76" spans="1:21" s="17" customFormat="1" x14ac:dyDescent="0.25">
      <c r="A76" s="124" t="str">
        <f>коэффициенты!D69</f>
        <v>sysr_26</v>
      </c>
      <c r="B76" s="2" t="str">
        <f>коэффициенты!E69</f>
        <v>Сысертский_26</v>
      </c>
      <c r="C76" s="18" t="str">
        <f t="shared" si="0"/>
        <v>Сысертский_26</v>
      </c>
      <c r="D76" s="115">
        <f>коэффициенты!G69</f>
        <v>0.47210000000000002</v>
      </c>
      <c r="E76" s="133">
        <v>6.1598470000000001</v>
      </c>
      <c r="F76" s="131" t="s">
        <v>269</v>
      </c>
      <c r="G76" s="134">
        <v>6.1598470000000001</v>
      </c>
      <c r="Q76" s="17" t="s">
        <v>1394</v>
      </c>
      <c r="R76" s="17" t="s">
        <v>197</v>
      </c>
      <c r="S76" s="18"/>
      <c r="U76" s="18" t="s">
        <v>156</v>
      </c>
    </row>
    <row r="77" spans="1:21" s="17" customFormat="1" x14ac:dyDescent="0.25">
      <c r="A77" s="124" t="str">
        <f>коэффициенты!D70</f>
        <v>sysr_3</v>
      </c>
      <c r="B77" s="2" t="str">
        <f>коэффициенты!E70</f>
        <v>Сысертский_3</v>
      </c>
      <c r="C77" s="18" t="str">
        <f t="shared" si="0"/>
        <v>Сысертский_3</v>
      </c>
      <c r="D77" s="115">
        <f>коэффициенты!G70</f>
        <v>1.0501</v>
      </c>
      <c r="E77" s="133">
        <v>5.034567</v>
      </c>
      <c r="F77" s="131" t="s">
        <v>271</v>
      </c>
      <c r="G77" s="134">
        <v>5.034567</v>
      </c>
      <c r="Q77" s="17" t="s">
        <v>1395</v>
      </c>
      <c r="R77" s="17" t="s">
        <v>197</v>
      </c>
      <c r="S77" s="18">
        <v>5</v>
      </c>
      <c r="T77" s="105">
        <f>(9.167685587011E-08*(S77)^4+0.0000152896622956704*(S77)^3-0.00161875861673315*(S77)^2+0.0151997782316484*(S77)+0.962501568438211)</f>
        <v>1.0000000000000018</v>
      </c>
      <c r="U77" s="17">
        <f>LN(T77)</f>
        <v>1.7763568394002489E-15</v>
      </c>
    </row>
    <row r="78" spans="1:21" s="17" customFormat="1" x14ac:dyDescent="0.25">
      <c r="A78" s="124" t="str">
        <f>коэффициенты!D71</f>
        <v>sysr_4</v>
      </c>
      <c r="B78" s="2" t="str">
        <f>коэффициенты!E71</f>
        <v>Сысертский_4</v>
      </c>
      <c r="C78" s="18" t="str">
        <f t="shared" si="0"/>
        <v>Сысертский_4</v>
      </c>
      <c r="D78" s="115">
        <f>коэффициенты!G71</f>
        <v>0.36299999999999999</v>
      </c>
      <c r="E78" s="133">
        <v>5</v>
      </c>
      <c r="F78" s="131" t="s">
        <v>273</v>
      </c>
      <c r="G78" s="134">
        <v>5</v>
      </c>
      <c r="Q78" s="17" t="s">
        <v>516</v>
      </c>
      <c r="R78" s="17" t="s">
        <v>191</v>
      </c>
      <c r="S78" s="18">
        <v>27.5</v>
      </c>
      <c r="T78" s="105">
        <f>(9.167685587011E-08*(S78)^4+0.0000152896622956704*(S78)^3-0.00161875861673315*(S78)^2+0.0151997782316484*(S78)+0.962501568438211)</f>
        <v>0.52671774453726927</v>
      </c>
      <c r="U78" s="17">
        <f>LN(T78)</f>
        <v>-0.64109046303319772</v>
      </c>
    </row>
    <row r="79" spans="1:21" s="17" customFormat="1" x14ac:dyDescent="0.25">
      <c r="A79" s="124" t="str">
        <f>коэффициенты!D72</f>
        <v>sysr_5</v>
      </c>
      <c r="B79" s="2" t="str">
        <f>коэффициенты!E72</f>
        <v>Сысертский_5</v>
      </c>
      <c r="C79" s="18" t="str">
        <f t="shared" si="0"/>
        <v>Сысертский_5</v>
      </c>
      <c r="D79" s="115">
        <f>коэффициенты!G72</f>
        <v>0.51149999999999995</v>
      </c>
      <c r="E79" s="133">
        <v>5.0000470000000004</v>
      </c>
      <c r="F79" s="131" t="s">
        <v>275</v>
      </c>
      <c r="G79" s="134">
        <v>5.0000470000000004</v>
      </c>
      <c r="Q79" s="17" t="s">
        <v>766</v>
      </c>
      <c r="R79" s="17" t="s">
        <v>191</v>
      </c>
      <c r="U79" s="18"/>
    </row>
    <row r="80" spans="1:21" s="17" customFormat="1" x14ac:dyDescent="0.25">
      <c r="A80" s="124" t="str">
        <f>коэффициенты!D73</f>
        <v>sysr_6</v>
      </c>
      <c r="B80" s="2" t="str">
        <f>коэффициенты!E73</f>
        <v>Сысертский_6</v>
      </c>
      <c r="C80" s="18" t="str">
        <f t="shared" si="0"/>
        <v>Сысертский_6</v>
      </c>
      <c r="D80" s="115">
        <f>коэффициенты!G73</f>
        <v>0.36649999999999999</v>
      </c>
      <c r="E80" s="133">
        <v>5</v>
      </c>
      <c r="F80" s="131" t="s">
        <v>277</v>
      </c>
      <c r="G80" s="134">
        <v>5</v>
      </c>
      <c r="Q80" s="17" t="s">
        <v>917</v>
      </c>
      <c r="R80" s="17" t="s">
        <v>191</v>
      </c>
      <c r="S80" s="9" t="s">
        <v>72</v>
      </c>
      <c r="T80" s="188" t="s">
        <v>71</v>
      </c>
      <c r="U80" s="189"/>
    </row>
    <row r="81" spans="1:21" s="17" customFormat="1" x14ac:dyDescent="0.25">
      <c r="A81" s="124" t="str">
        <f>коэффициенты!D74</f>
        <v>sysr_7</v>
      </c>
      <c r="B81" s="2" t="str">
        <f>коэффициенты!E74</f>
        <v>Сысертский_7</v>
      </c>
      <c r="C81" s="18" t="str">
        <f t="shared" si="0"/>
        <v>Сысертский_7</v>
      </c>
      <c r="D81" s="115">
        <f>коэффициенты!G74</f>
        <v>0.36649999999999999</v>
      </c>
      <c r="E81" s="133">
        <v>5</v>
      </c>
      <c r="F81" s="131" t="s">
        <v>279</v>
      </c>
      <c r="G81" s="134">
        <v>5</v>
      </c>
      <c r="Q81" s="17" t="s">
        <v>767</v>
      </c>
      <c r="R81" s="17" t="s">
        <v>191</v>
      </c>
      <c r="S81" s="18">
        <v>7.07</v>
      </c>
      <c r="T81" s="17">
        <f>ROUND((EXP(LN(IF(S81&lt;$H$99,$I$99,IF(S81&gt;$H$100,$I$100,(((9.167685587011E-08*(S81)^4+0.0000152896622956704*(S81)^3-0.00161875861673315*(S81)^2+0.0151997782316484*(S81)+0.962501568438211))))))*$K$98)),4)</f>
        <v>0.99619999999999997</v>
      </c>
    </row>
    <row r="82" spans="1:21" s="17" customFormat="1" x14ac:dyDescent="0.25">
      <c r="A82" s="124" t="str">
        <f>коэффициенты!D75</f>
        <v>sysr_8</v>
      </c>
      <c r="B82" s="2" t="str">
        <f>коэффициенты!E75</f>
        <v>Сысертский_8</v>
      </c>
      <c r="C82" s="18" t="str">
        <f t="shared" si="0"/>
        <v>Сысертский_8</v>
      </c>
      <c r="D82" s="115">
        <f>коэффициенты!G75</f>
        <v>0.217</v>
      </c>
      <c r="E82" s="133">
        <v>5</v>
      </c>
      <c r="F82" s="131" t="s">
        <v>281</v>
      </c>
      <c r="G82" s="134">
        <v>5</v>
      </c>
      <c r="Q82" s="17" t="s">
        <v>1336</v>
      </c>
      <c r="R82" s="17" t="s">
        <v>191</v>
      </c>
    </row>
    <row r="83" spans="1:21" s="17" customFormat="1" x14ac:dyDescent="0.25">
      <c r="A83" s="124" t="str">
        <f>коэффициенты!D76</f>
        <v>sysr_9</v>
      </c>
      <c r="B83" s="2" t="str">
        <f>коэффициенты!E76</f>
        <v>Сысертский_9</v>
      </c>
      <c r="C83" s="18" t="str">
        <f t="shared" si="0"/>
        <v>Сысертский_9</v>
      </c>
      <c r="D83" s="115">
        <f>коэффициенты!G76</f>
        <v>0.40620000000000001</v>
      </c>
      <c r="E83" s="133">
        <v>5</v>
      </c>
      <c r="F83" s="131" t="s">
        <v>283</v>
      </c>
      <c r="G83" s="134">
        <v>5</v>
      </c>
      <c r="Q83" s="17" t="s">
        <v>1396</v>
      </c>
      <c r="R83" s="17" t="s">
        <v>191</v>
      </c>
    </row>
    <row r="84" spans="1:21" s="17" customFormat="1" x14ac:dyDescent="0.25">
      <c r="A84" s="124" t="str">
        <f>коэффициенты!D77</f>
        <v>urls_1</v>
      </c>
      <c r="B84" s="2" t="str">
        <f>коэффициенты!E77</f>
        <v>Уральский_1</v>
      </c>
      <c r="C84" s="18" t="str">
        <f t="shared" si="0"/>
        <v>Уральский_1</v>
      </c>
      <c r="D84" s="115">
        <f>коэффициенты!G77</f>
        <v>0.36299999999999999</v>
      </c>
      <c r="E84" s="133">
        <v>5</v>
      </c>
      <c r="F84" s="131" t="s">
        <v>285</v>
      </c>
      <c r="G84" s="134">
        <v>5</v>
      </c>
      <c r="Q84" s="17" t="s">
        <v>1397</v>
      </c>
      <c r="R84" s="17" t="s">
        <v>191</v>
      </c>
    </row>
    <row r="85" spans="1:21" s="17" customFormat="1" x14ac:dyDescent="0.25">
      <c r="A85" s="124" t="str">
        <f>коэффициенты!D78</f>
        <v>vdbr_1</v>
      </c>
      <c r="B85" s="2" t="str">
        <f>коэффициенты!E78</f>
        <v>Верхне-Дуброво_1</v>
      </c>
      <c r="C85" s="18" t="str">
        <f t="shared" si="0"/>
        <v>Верхне-Дуброво_1</v>
      </c>
      <c r="D85" s="115">
        <f>коэффициенты!G78</f>
        <v>0.54900000000000004</v>
      </c>
      <c r="E85" s="133">
        <v>5</v>
      </c>
      <c r="F85" s="131" t="s">
        <v>287</v>
      </c>
      <c r="G85" s="134">
        <v>5</v>
      </c>
      <c r="Q85" s="17" t="s">
        <v>1398</v>
      </c>
      <c r="R85" s="17" t="s">
        <v>191</v>
      </c>
      <c r="S85" s="18"/>
    </row>
    <row r="86" spans="1:21" s="17" customFormat="1" x14ac:dyDescent="0.25">
      <c r="A86" s="124" t="str">
        <f>коэффициенты!D79</f>
        <v>vpsh_1</v>
      </c>
      <c r="B86" s="2" t="str">
        <f>коэффициенты!E79</f>
        <v>ВерхнеПышминский_1</v>
      </c>
      <c r="C86" s="18" t="str">
        <f t="shared" si="0"/>
        <v>ВерхнеПышминский_1</v>
      </c>
      <c r="D86" s="115">
        <f>коэффициенты!G79</f>
        <v>1.3479000000000001</v>
      </c>
      <c r="E86" s="133">
        <v>6.0545109999999998</v>
      </c>
      <c r="F86" s="131" t="s">
        <v>289</v>
      </c>
      <c r="G86" s="134">
        <v>6.0545109999999998</v>
      </c>
      <c r="Q86" s="17" t="s">
        <v>1399</v>
      </c>
      <c r="R86" s="17" t="s">
        <v>191</v>
      </c>
    </row>
    <row r="87" spans="1:21" s="17" customFormat="1" x14ac:dyDescent="0.25">
      <c r="A87" s="124" t="str">
        <f>коэффициенты!D80</f>
        <v>vpsh_2</v>
      </c>
      <c r="B87" s="2" t="str">
        <f>коэффициенты!E80</f>
        <v>ВерхнеПышминский_2</v>
      </c>
      <c r="C87" s="18" t="str">
        <f t="shared" si="0"/>
        <v>ВерхнеПышминский_2</v>
      </c>
      <c r="D87" s="115">
        <f>коэффициенты!G80</f>
        <v>0.375</v>
      </c>
      <c r="E87" s="133">
        <v>8.136533</v>
      </c>
      <c r="F87" s="131" t="s">
        <v>291</v>
      </c>
      <c r="G87" s="134">
        <v>8.136533</v>
      </c>
      <c r="Q87" s="17" t="s">
        <v>768</v>
      </c>
      <c r="R87" s="17" t="s">
        <v>191</v>
      </c>
    </row>
    <row r="88" spans="1:21" s="17" customFormat="1" x14ac:dyDescent="0.25">
      <c r="A88" s="124" t="str">
        <f>коэффициенты!D81</f>
        <v>vpsh_3</v>
      </c>
      <c r="B88" s="2" t="str">
        <f>коэффициенты!E81</f>
        <v>ВерхнеПышминский_3</v>
      </c>
      <c r="C88" s="18" t="str">
        <f t="shared" si="0"/>
        <v>ВерхнеПышминский_3</v>
      </c>
      <c r="D88" s="115">
        <f>коэффициенты!G81</f>
        <v>0.98360000000000003</v>
      </c>
      <c r="E88" s="133">
        <v>5.957821</v>
      </c>
      <c r="F88" s="131" t="s">
        <v>293</v>
      </c>
      <c r="G88" s="134">
        <v>5.957821</v>
      </c>
      <c r="Q88" s="17" t="s">
        <v>772</v>
      </c>
      <c r="R88" s="17" t="s">
        <v>191</v>
      </c>
    </row>
    <row r="89" spans="1:21" s="17" customFormat="1" x14ac:dyDescent="0.25">
      <c r="A89" s="124" t="str">
        <f>коэффициенты!D82</f>
        <v>zare_1</v>
      </c>
      <c r="B89" s="2" t="str">
        <f>коэффициенты!E82</f>
        <v>Заречный_1</v>
      </c>
      <c r="C89" s="18" t="str">
        <f t="shared" si="0"/>
        <v>Заречный_1</v>
      </c>
      <c r="D89" s="115">
        <f>коэффициенты!G82</f>
        <v>0.2419</v>
      </c>
      <c r="E89" s="133">
        <v>6.4313339999999997</v>
      </c>
      <c r="F89" s="131" t="s">
        <v>297</v>
      </c>
      <c r="G89" s="134">
        <v>5.1994119999999997</v>
      </c>
      <c r="Q89" s="17" t="s">
        <v>396</v>
      </c>
      <c r="R89" s="17" t="s">
        <v>191</v>
      </c>
    </row>
    <row r="90" spans="1:21" s="17" customFormat="1" x14ac:dyDescent="0.25">
      <c r="A90" s="124" t="str">
        <f>коэффициенты!D83</f>
        <v>vpsh_4</v>
      </c>
      <c r="B90" s="2" t="str">
        <f>коэффициенты!E83</f>
        <v>ВерхнеПышминский_4</v>
      </c>
      <c r="C90" s="18" t="str">
        <f t="shared" si="0"/>
        <v>ВерхнеПышминский_4</v>
      </c>
      <c r="D90" s="115">
        <f>коэффициенты!G83</f>
        <v>0.61119999999999997</v>
      </c>
      <c r="E90" s="133">
        <v>5.1994119999999997</v>
      </c>
      <c r="F90" s="131" t="s">
        <v>295</v>
      </c>
      <c r="G90" s="134">
        <v>6.4313339999999997</v>
      </c>
      <c r="Q90" s="17" t="s">
        <v>1232</v>
      </c>
      <c r="R90" s="17" t="s">
        <v>191</v>
      </c>
    </row>
    <row r="91" spans="1:21" s="17" customFormat="1" x14ac:dyDescent="0.25">
      <c r="A91" s="125" t="s">
        <v>305</v>
      </c>
      <c r="B91" s="115"/>
      <c r="C91" s="117"/>
      <c r="D91" s="117"/>
      <c r="E91" s="3"/>
      <c r="F91" s="18"/>
      <c r="G91" s="5"/>
      <c r="Q91" s="17" t="s">
        <v>1400</v>
      </c>
      <c r="R91" s="17" t="s">
        <v>191</v>
      </c>
    </row>
    <row r="92" spans="1:21" s="17" customFormat="1" x14ac:dyDescent="0.25">
      <c r="A92" s="124" t="s">
        <v>86</v>
      </c>
      <c r="B92" s="115" t="s">
        <v>87</v>
      </c>
      <c r="C92" s="2" t="s">
        <v>234</v>
      </c>
      <c r="D92" s="117"/>
      <c r="E92" s="3"/>
      <c r="F92" s="18"/>
      <c r="G92" s="5"/>
      <c r="Q92" s="17" t="s">
        <v>1401</v>
      </c>
      <c r="R92" s="17" t="s">
        <v>191</v>
      </c>
    </row>
    <row r="93" spans="1:21" s="17" customFormat="1" x14ac:dyDescent="0.25">
      <c r="A93" s="126" t="s">
        <v>72</v>
      </c>
      <c r="B93" s="188" t="s">
        <v>71</v>
      </c>
      <c r="C93" s="189"/>
      <c r="D93" s="18"/>
      <c r="E93" s="3"/>
      <c r="F93" s="18"/>
      <c r="G93" s="5"/>
      <c r="Q93" s="17" t="s">
        <v>1402</v>
      </c>
      <c r="R93" s="17" t="s">
        <v>295</v>
      </c>
    </row>
    <row r="94" spans="1:21" s="17" customFormat="1" ht="15.75" thickBot="1" x14ac:dyDescent="0.3">
      <c r="A94" s="127" t="s">
        <v>86</v>
      </c>
      <c r="B94" s="128" t="str">
        <f>VLOOKUP(A94,$A$27:$B$92,2,FALSE)</f>
        <v>Юг</v>
      </c>
      <c r="C94" s="128" t="str">
        <f>VLOOKUP(B94,$B$27:$C$92,2,FALSE)</f>
        <v>Сысертский_1</v>
      </c>
      <c r="D94" s="128">
        <f>VLOOKUP(C94,$B$27:$D$90,3,FALSE)</f>
        <v>0.69850000000000001</v>
      </c>
      <c r="E94" s="127" t="s">
        <v>296</v>
      </c>
      <c r="F94" s="128"/>
      <c r="G94" s="25">
        <f>VLOOKUP(E94,$B$27:$G$90,6,FALSE)</f>
        <v>5.1994119999999997</v>
      </c>
      <c r="Q94" s="17" t="s">
        <v>1403</v>
      </c>
      <c r="R94" s="17" t="s">
        <v>295</v>
      </c>
    </row>
    <row r="95" spans="1:21" s="96" customFormat="1" x14ac:dyDescent="0.25">
      <c r="A95" s="6" t="s">
        <v>150</v>
      </c>
      <c r="Q95" s="17" t="s">
        <v>1404</v>
      </c>
      <c r="R95" s="17" t="s">
        <v>295</v>
      </c>
      <c r="S95" s="17"/>
      <c r="T95" s="17"/>
      <c r="U95" s="17"/>
    </row>
    <row r="96" spans="1:21" s="17" customFormat="1" x14ac:dyDescent="0.25">
      <c r="Q96" s="17" t="s">
        <v>1405</v>
      </c>
      <c r="R96" s="17" t="s">
        <v>295</v>
      </c>
    </row>
    <row r="97" spans="1:18" s="17" customFormat="1" x14ac:dyDescent="0.25">
      <c r="A97" s="29" t="s">
        <v>134</v>
      </c>
      <c r="B97" s="97" t="s">
        <v>151</v>
      </c>
      <c r="C97" s="29"/>
      <c r="D97" s="98"/>
      <c r="E97" s="98"/>
      <c r="H97" s="29" t="s">
        <v>135</v>
      </c>
      <c r="I97" s="29" t="s">
        <v>152</v>
      </c>
      <c r="J97" s="29" t="s">
        <v>153</v>
      </c>
      <c r="K97" s="98" t="s">
        <v>154</v>
      </c>
      <c r="L97" s="98" t="s">
        <v>155</v>
      </c>
      <c r="Q97" s="17" t="s">
        <v>1406</v>
      </c>
      <c r="R97" s="17" t="s">
        <v>295</v>
      </c>
    </row>
    <row r="98" spans="1:18" s="17" customFormat="1" x14ac:dyDescent="0.25">
      <c r="A98" s="18"/>
      <c r="C98" s="18"/>
      <c r="D98" s="18"/>
      <c r="H98" s="18"/>
      <c r="J98" s="18" t="s">
        <v>156</v>
      </c>
      <c r="K98" s="17">
        <f>'количественные факторы'!B2</f>
        <v>0.71448643076157303</v>
      </c>
      <c r="L98" s="18"/>
      <c r="M98" s="18"/>
      <c r="Q98" s="17" t="s">
        <v>1407</v>
      </c>
      <c r="R98" s="17" t="s">
        <v>295</v>
      </c>
    </row>
    <row r="99" spans="1:18" s="17" customFormat="1" x14ac:dyDescent="0.25">
      <c r="A99" s="18">
        <v>0</v>
      </c>
      <c r="B99" s="17">
        <f>ROUND(((( ( -0.00000000000000024*A99^4 + 0.00000000001297181*A99^3- 0.00000011794827687*A99^2 + 0.00020947190264916*A99 + 0.892271997522451)))),4)</f>
        <v>0.89229999999999998</v>
      </c>
      <c r="C99" s="18" t="s">
        <v>157</v>
      </c>
      <c r="F99" s="18"/>
      <c r="G99" s="18"/>
      <c r="H99" s="18">
        <v>5</v>
      </c>
      <c r="I99" s="136">
        <f>(9.167685587011E-08*(H99)^4+0.000015289662956704*(H99)^3-0.00161875861673315*(H99)^2+0.0151997782316484*(H99)+0.962501568438211)</f>
        <v>1.000000000082631</v>
      </c>
      <c r="J99" s="17">
        <f>LN(I99)</f>
        <v>8.2631013139572433E-11</v>
      </c>
      <c r="K99" s="17">
        <f>J99*$K$98</f>
        <v>5.903873764830575E-11</v>
      </c>
      <c r="L99" s="17">
        <f>EXP(K99)</f>
        <v>1.0000000000590388</v>
      </c>
      <c r="M99" s="18" t="s">
        <v>157</v>
      </c>
      <c r="Q99" s="17" t="s">
        <v>1408</v>
      </c>
      <c r="R99" s="17" t="s">
        <v>295</v>
      </c>
    </row>
    <row r="100" spans="1:18" s="17" customFormat="1" x14ac:dyDescent="0.25">
      <c r="A100" s="18">
        <v>6000</v>
      </c>
      <c r="B100" s="17">
        <f>ROUND(((( ( -0.00000000000000024*A100^4 + 0.00000000001297181*A100^3- 0.00000011794827687*A100^2 + 0.00020947190264916*A100 + 0.892271997522451)))),4)</f>
        <v>0.39379999999999998</v>
      </c>
      <c r="C100" s="18" t="s">
        <v>158</v>
      </c>
      <c r="F100" s="18"/>
      <c r="G100" s="18"/>
      <c r="H100" s="18">
        <v>27.5</v>
      </c>
      <c r="I100" s="17">
        <f>(9.167685587011E-08*(H100)^4+0.000015289662956704*(H100)^3-0.00161875861673315*(H100)^2+0.0151997782316484*(H100)+0.962501568438211)</f>
        <v>0.52671775828470246</v>
      </c>
      <c r="J100" s="17">
        <f>LN(I100)</f>
        <v>-0.64109043693300816</v>
      </c>
      <c r="K100" s="17">
        <f>J100*$K$98</f>
        <v>-0.45805041807964231</v>
      </c>
      <c r="L100" s="17">
        <f>EXP(K100)</f>
        <v>0.63251558518227935</v>
      </c>
      <c r="M100" s="18" t="s">
        <v>158</v>
      </c>
      <c r="Q100" s="17" t="s">
        <v>1409</v>
      </c>
      <c r="R100" s="17" t="s">
        <v>295</v>
      </c>
    </row>
    <row r="101" spans="1:18" s="17" customFormat="1" x14ac:dyDescent="0.25">
      <c r="A101" s="9" t="s">
        <v>72</v>
      </c>
      <c r="B101" s="188" t="s">
        <v>71</v>
      </c>
      <c r="C101" s="189"/>
      <c r="D101" s="99"/>
      <c r="E101" s="99"/>
      <c r="J101" s="18"/>
      <c r="Q101" s="17" t="s">
        <v>1410</v>
      </c>
      <c r="R101" s="17" t="s">
        <v>295</v>
      </c>
    </row>
    <row r="102" spans="1:18" s="17" customFormat="1" x14ac:dyDescent="0.25">
      <c r="A102" s="18">
        <v>976000</v>
      </c>
      <c r="B102" s="17">
        <f>ROUND(IF(A102&lt;$A$99,$B$99,IF(A102&gt;$A$100,$B$100,( ( -0.00000000000000024*A102^4 + 0.00000000001297181*A102^3- 0.00000011794827687*A102^2 + 0.00020947190264916*A102 + 0.892271997522451)))),4)</f>
        <v>0.39379999999999998</v>
      </c>
      <c r="C102" s="18"/>
      <c r="D102" s="18"/>
      <c r="E102" s="18"/>
      <c r="H102" s="9" t="s">
        <v>72</v>
      </c>
      <c r="I102" s="188" t="s">
        <v>71</v>
      </c>
      <c r="J102" s="189"/>
      <c r="Q102" s="17" t="s">
        <v>1411</v>
      </c>
      <c r="R102" s="17" t="s">
        <v>295</v>
      </c>
    </row>
    <row r="103" spans="1:18" s="17" customFormat="1" x14ac:dyDescent="0.25">
      <c r="B103" s="17">
        <f>( -0.00000000000000024*A102^4 + 0.00000000001297181*A102^3- 0.00000011794827687*A102^2 + 0.00020947190264916*A102 + 0.892271997522451)</f>
        <v>-205828322.30180019</v>
      </c>
      <c r="H103" s="18">
        <v>5.0999999999999996</v>
      </c>
      <c r="I103" s="17">
        <f>ROUND((EXP(LN(IF(H103&lt;$H$99,$I$99,IF(H103&gt;$H$100,$I$100,((9.167685587011E-08*(H103)^4+0.000015289662956704*(H103)^3-0.00161875861673315*(H103)^2+0.0151997782316484*(H103)+0.962501568438211)))))*$K$98)),4)</f>
        <v>1</v>
      </c>
      <c r="Q103" s="17" t="s">
        <v>1412</v>
      </c>
      <c r="R103" s="17" t="s">
        <v>295</v>
      </c>
    </row>
    <row r="104" spans="1:18" s="17" customFormat="1" x14ac:dyDescent="0.25">
      <c r="Q104" s="17" t="s">
        <v>529</v>
      </c>
      <c r="R104" s="17" t="s">
        <v>295</v>
      </c>
    </row>
    <row r="105" spans="1:18" s="17" customFormat="1" x14ac:dyDescent="0.25">
      <c r="Q105" s="17" t="s">
        <v>1413</v>
      </c>
      <c r="R105" s="17" t="s">
        <v>295</v>
      </c>
    </row>
    <row r="106" spans="1:18" s="17" customFormat="1" x14ac:dyDescent="0.25">
      <c r="A106" s="17" t="s">
        <v>159</v>
      </c>
      <c r="Q106" s="17" t="s">
        <v>1414</v>
      </c>
      <c r="R106" s="17" t="s">
        <v>295</v>
      </c>
    </row>
    <row r="107" spans="1:18" s="17" customFormat="1" x14ac:dyDescent="0.25">
      <c r="H107" s="18"/>
      <c r="Q107" s="17" t="s">
        <v>1415</v>
      </c>
      <c r="R107" s="17" t="s">
        <v>295</v>
      </c>
    </row>
    <row r="108" spans="1:18" s="17" customFormat="1" x14ac:dyDescent="0.25">
      <c r="Q108" s="17" t="s">
        <v>598</v>
      </c>
      <c r="R108" s="17" t="s">
        <v>197</v>
      </c>
    </row>
    <row r="109" spans="1:18" s="17" customFormat="1" x14ac:dyDescent="0.25">
      <c r="A109" s="17" t="s">
        <v>307</v>
      </c>
      <c r="Q109" s="17" t="s">
        <v>1416</v>
      </c>
      <c r="R109" s="17" t="s">
        <v>197</v>
      </c>
    </row>
    <row r="110" spans="1:18" s="17" customFormat="1" x14ac:dyDescent="0.25">
      <c r="Q110" s="17" t="s">
        <v>1417</v>
      </c>
      <c r="R110" s="17" t="s">
        <v>197</v>
      </c>
    </row>
    <row r="111" spans="1:18" s="17" customFormat="1" x14ac:dyDescent="0.25">
      <c r="Q111" s="17" t="s">
        <v>955</v>
      </c>
      <c r="R111" s="17" t="s">
        <v>197</v>
      </c>
    </row>
    <row r="112" spans="1:18" s="17" customFormat="1" x14ac:dyDescent="0.25">
      <c r="Q112" s="17" t="s">
        <v>1418</v>
      </c>
      <c r="R112" s="17" t="s">
        <v>191</v>
      </c>
    </row>
    <row r="113" spans="1:18" s="17" customFormat="1" x14ac:dyDescent="0.25">
      <c r="A113" s="100"/>
      <c r="Q113" s="17" t="s">
        <v>1419</v>
      </c>
      <c r="R113" s="17" t="s">
        <v>295</v>
      </c>
    </row>
    <row r="114" spans="1:18" s="17" customFormat="1" x14ac:dyDescent="0.25">
      <c r="A114" s="100"/>
      <c r="Q114" s="17" t="s">
        <v>1026</v>
      </c>
      <c r="R114" s="17" t="s">
        <v>295</v>
      </c>
    </row>
    <row r="115" spans="1:18" s="17" customFormat="1" x14ac:dyDescent="0.25">
      <c r="A115" s="100"/>
      <c r="Q115" s="17" t="s">
        <v>1420</v>
      </c>
      <c r="R115" s="17" t="s">
        <v>295</v>
      </c>
    </row>
    <row r="116" spans="1:18" s="17" customFormat="1" x14ac:dyDescent="0.25">
      <c r="A116" s="100"/>
      <c r="Q116" s="17" t="s">
        <v>653</v>
      </c>
      <c r="R116" s="17" t="s">
        <v>295</v>
      </c>
    </row>
    <row r="117" spans="1:18" s="17" customFormat="1" x14ac:dyDescent="0.25">
      <c r="A117" s="100"/>
      <c r="Q117" s="17" t="s">
        <v>970</v>
      </c>
      <c r="R117" s="17" t="s">
        <v>191</v>
      </c>
    </row>
    <row r="118" spans="1:18" s="17" customFormat="1" x14ac:dyDescent="0.25">
      <c r="Q118" s="17" t="s">
        <v>1421</v>
      </c>
      <c r="R118" s="17" t="s">
        <v>191</v>
      </c>
    </row>
    <row r="119" spans="1:18" s="17" customFormat="1" x14ac:dyDescent="0.25">
      <c r="Q119" s="17" t="s">
        <v>1422</v>
      </c>
      <c r="R119" s="17" t="s">
        <v>191</v>
      </c>
    </row>
    <row r="120" spans="1:18" s="17" customFormat="1" x14ac:dyDescent="0.25">
      <c r="Q120" s="17" t="s">
        <v>971</v>
      </c>
      <c r="R120" s="17" t="s">
        <v>191</v>
      </c>
    </row>
    <row r="121" spans="1:18" s="17" customFormat="1" x14ac:dyDescent="0.25">
      <c r="Q121" s="17" t="s">
        <v>1423</v>
      </c>
      <c r="R121" s="17" t="s">
        <v>191</v>
      </c>
    </row>
    <row r="122" spans="1:18" s="17" customFormat="1" x14ac:dyDescent="0.25">
      <c r="Q122" s="17" t="s">
        <v>775</v>
      </c>
      <c r="R122" s="17" t="s">
        <v>191</v>
      </c>
    </row>
    <row r="123" spans="1:18" s="17" customFormat="1" x14ac:dyDescent="0.25">
      <c r="Q123" s="17" t="s">
        <v>1424</v>
      </c>
      <c r="R123" s="17" t="s">
        <v>295</v>
      </c>
    </row>
    <row r="124" spans="1:18" s="17" customFormat="1" x14ac:dyDescent="0.25">
      <c r="Q124" s="17" t="s">
        <v>1425</v>
      </c>
      <c r="R124" s="17" t="s">
        <v>295</v>
      </c>
    </row>
    <row r="125" spans="1:18" s="17" customFormat="1" x14ac:dyDescent="0.25">
      <c r="Q125" s="17" t="s">
        <v>1426</v>
      </c>
      <c r="R125" s="17" t="s">
        <v>295</v>
      </c>
    </row>
    <row r="126" spans="1:18" s="17" customFormat="1" x14ac:dyDescent="0.25">
      <c r="Q126" s="17" t="s">
        <v>1427</v>
      </c>
      <c r="R126" s="17" t="s">
        <v>295</v>
      </c>
    </row>
    <row r="127" spans="1:18" s="17" customFormat="1" x14ac:dyDescent="0.25">
      <c r="Q127" s="17" t="s">
        <v>1428</v>
      </c>
      <c r="R127" s="17" t="s">
        <v>295</v>
      </c>
    </row>
    <row r="128" spans="1:18" s="17" customFormat="1" x14ac:dyDescent="0.25">
      <c r="Q128" s="17" t="s">
        <v>1429</v>
      </c>
      <c r="R128" s="17" t="s">
        <v>295</v>
      </c>
    </row>
    <row r="129" spans="17:18" s="17" customFormat="1" x14ac:dyDescent="0.25">
      <c r="Q129" s="17" t="s">
        <v>1430</v>
      </c>
      <c r="R129" s="17" t="s">
        <v>295</v>
      </c>
    </row>
    <row r="130" spans="17:18" s="17" customFormat="1" x14ac:dyDescent="0.25">
      <c r="Q130" s="17" t="s">
        <v>1431</v>
      </c>
      <c r="R130" s="17" t="s">
        <v>295</v>
      </c>
    </row>
    <row r="131" spans="17:18" s="17" customFormat="1" x14ac:dyDescent="0.25">
      <c r="Q131" s="17" t="s">
        <v>1432</v>
      </c>
      <c r="R131" s="17" t="s">
        <v>295</v>
      </c>
    </row>
    <row r="132" spans="17:18" s="17" customFormat="1" x14ac:dyDescent="0.25">
      <c r="Q132" s="17" t="s">
        <v>1433</v>
      </c>
      <c r="R132" s="17" t="s">
        <v>295</v>
      </c>
    </row>
    <row r="133" spans="17:18" s="17" customFormat="1" x14ac:dyDescent="0.25">
      <c r="Q133" s="17" t="s">
        <v>1434</v>
      </c>
      <c r="R133" s="17" t="s">
        <v>295</v>
      </c>
    </row>
    <row r="134" spans="17:18" s="17" customFormat="1" x14ac:dyDescent="0.25">
      <c r="Q134" s="17" t="s">
        <v>1025</v>
      </c>
      <c r="R134" s="17" t="s">
        <v>295</v>
      </c>
    </row>
    <row r="135" spans="17:18" s="17" customFormat="1" x14ac:dyDescent="0.25">
      <c r="Q135" s="17" t="s">
        <v>1435</v>
      </c>
      <c r="R135" s="17" t="s">
        <v>295</v>
      </c>
    </row>
    <row r="136" spans="17:18" s="17" customFormat="1" x14ac:dyDescent="0.25">
      <c r="Q136" s="17" t="s">
        <v>1436</v>
      </c>
      <c r="R136" s="17" t="s">
        <v>295</v>
      </c>
    </row>
    <row r="137" spans="17:18" s="17" customFormat="1" x14ac:dyDescent="0.25">
      <c r="Q137" s="17" t="s">
        <v>449</v>
      </c>
      <c r="R137" s="17" t="s">
        <v>295</v>
      </c>
    </row>
    <row r="138" spans="17:18" s="17" customFormat="1" x14ac:dyDescent="0.25">
      <c r="Q138" s="17" t="s">
        <v>1437</v>
      </c>
      <c r="R138" s="17" t="s">
        <v>295</v>
      </c>
    </row>
    <row r="139" spans="17:18" s="17" customFormat="1" x14ac:dyDescent="0.25">
      <c r="Q139" s="17" t="s">
        <v>579</v>
      </c>
      <c r="R139" s="17" t="s">
        <v>197</v>
      </c>
    </row>
    <row r="140" spans="17:18" s="17" customFormat="1" x14ac:dyDescent="0.25">
      <c r="Q140" s="17" t="s">
        <v>968</v>
      </c>
      <c r="R140" s="17" t="s">
        <v>197</v>
      </c>
    </row>
    <row r="141" spans="17:18" s="17" customFormat="1" x14ac:dyDescent="0.25">
      <c r="Q141" s="17" t="s">
        <v>969</v>
      </c>
      <c r="R141" s="17" t="s">
        <v>197</v>
      </c>
    </row>
    <row r="142" spans="17:18" s="17" customFormat="1" x14ac:dyDescent="0.25">
      <c r="Q142" s="17" t="s">
        <v>1438</v>
      </c>
      <c r="R142" s="17" t="s">
        <v>295</v>
      </c>
    </row>
    <row r="143" spans="17:18" s="17" customFormat="1" x14ac:dyDescent="0.25">
      <c r="Q143" s="17" t="s">
        <v>1439</v>
      </c>
      <c r="R143" s="17" t="s">
        <v>295</v>
      </c>
    </row>
    <row r="144" spans="17:18" s="17" customFormat="1" x14ac:dyDescent="0.25">
      <c r="Q144" s="17" t="s">
        <v>1440</v>
      </c>
      <c r="R144" s="17" t="s">
        <v>295</v>
      </c>
    </row>
    <row r="145" spans="17:18" s="17" customFormat="1" x14ac:dyDescent="0.25">
      <c r="Q145" s="17" t="s">
        <v>1441</v>
      </c>
      <c r="R145" s="17" t="s">
        <v>295</v>
      </c>
    </row>
    <row r="146" spans="17:18" s="17" customFormat="1" x14ac:dyDescent="0.25">
      <c r="Q146" s="17" t="s">
        <v>1442</v>
      </c>
      <c r="R146" s="17" t="s">
        <v>295</v>
      </c>
    </row>
    <row r="147" spans="17:18" s="17" customFormat="1" x14ac:dyDescent="0.25">
      <c r="Q147" s="17" t="s">
        <v>1443</v>
      </c>
      <c r="R147" s="17" t="s">
        <v>295</v>
      </c>
    </row>
    <row r="148" spans="17:18" s="17" customFormat="1" x14ac:dyDescent="0.25">
      <c r="Q148" s="17" t="s">
        <v>1444</v>
      </c>
      <c r="R148" s="17" t="s">
        <v>295</v>
      </c>
    </row>
    <row r="149" spans="17:18" s="17" customFormat="1" x14ac:dyDescent="0.25">
      <c r="Q149" s="17" t="s">
        <v>1445</v>
      </c>
      <c r="R149" s="17" t="s">
        <v>295</v>
      </c>
    </row>
    <row r="150" spans="17:18" s="17" customFormat="1" x14ac:dyDescent="0.25">
      <c r="Q150" s="17" t="s">
        <v>1446</v>
      </c>
      <c r="R150" s="17" t="s">
        <v>295</v>
      </c>
    </row>
    <row r="151" spans="17:18" s="17" customFormat="1" x14ac:dyDescent="0.25">
      <c r="Q151" s="17" t="s">
        <v>1447</v>
      </c>
      <c r="R151" s="17" t="s">
        <v>295</v>
      </c>
    </row>
    <row r="152" spans="17:18" s="17" customFormat="1" x14ac:dyDescent="0.25">
      <c r="Q152" s="17" t="s">
        <v>1448</v>
      </c>
      <c r="R152" s="17" t="s">
        <v>295</v>
      </c>
    </row>
    <row r="153" spans="17:18" s="17" customFormat="1" x14ac:dyDescent="0.25">
      <c r="Q153" s="17" t="s">
        <v>1449</v>
      </c>
      <c r="R153" s="17" t="s">
        <v>295</v>
      </c>
    </row>
    <row r="154" spans="17:18" s="17" customFormat="1" x14ac:dyDescent="0.25">
      <c r="Q154" s="17" t="s">
        <v>1450</v>
      </c>
      <c r="R154" s="17" t="s">
        <v>295</v>
      </c>
    </row>
    <row r="155" spans="17:18" s="17" customFormat="1" x14ac:dyDescent="0.25">
      <c r="Q155" s="17" t="s">
        <v>1451</v>
      </c>
      <c r="R155" s="17" t="s">
        <v>295</v>
      </c>
    </row>
    <row r="156" spans="17:18" s="17" customFormat="1" x14ac:dyDescent="0.25">
      <c r="Q156" s="17" t="s">
        <v>1114</v>
      </c>
      <c r="R156" s="17" t="s">
        <v>295</v>
      </c>
    </row>
    <row r="157" spans="17:18" s="17" customFormat="1" x14ac:dyDescent="0.25">
      <c r="Q157" s="17" t="s">
        <v>1056</v>
      </c>
      <c r="R157" s="17" t="s">
        <v>295</v>
      </c>
    </row>
    <row r="158" spans="17:18" s="17" customFormat="1" x14ac:dyDescent="0.25">
      <c r="Q158" s="17" t="s">
        <v>749</v>
      </c>
      <c r="R158" s="17" t="s">
        <v>295</v>
      </c>
    </row>
    <row r="159" spans="17:18" s="17" customFormat="1" x14ac:dyDescent="0.25">
      <c r="Q159" s="17" t="s">
        <v>1452</v>
      </c>
      <c r="R159" s="17" t="s">
        <v>295</v>
      </c>
    </row>
    <row r="160" spans="17:18" s="17" customFormat="1" x14ac:dyDescent="0.25">
      <c r="Q160" s="17" t="s">
        <v>1453</v>
      </c>
      <c r="R160" s="17" t="s">
        <v>295</v>
      </c>
    </row>
    <row r="161" spans="17:18" s="17" customFormat="1" x14ac:dyDescent="0.25">
      <c r="Q161" s="17" t="s">
        <v>1454</v>
      </c>
      <c r="R161" s="17" t="s">
        <v>295</v>
      </c>
    </row>
    <row r="162" spans="17:18" s="17" customFormat="1" x14ac:dyDescent="0.25">
      <c r="Q162" s="17" t="s">
        <v>1455</v>
      </c>
      <c r="R162" s="17" t="s">
        <v>295</v>
      </c>
    </row>
    <row r="163" spans="17:18" s="17" customFormat="1" x14ac:dyDescent="0.25">
      <c r="Q163" s="17" t="s">
        <v>1456</v>
      </c>
      <c r="R163" s="17" t="s">
        <v>295</v>
      </c>
    </row>
    <row r="164" spans="17:18" s="17" customFormat="1" x14ac:dyDescent="0.25">
      <c r="Q164" s="17" t="s">
        <v>1457</v>
      </c>
      <c r="R164" s="17" t="s">
        <v>295</v>
      </c>
    </row>
    <row r="165" spans="17:18" s="17" customFormat="1" x14ac:dyDescent="0.25">
      <c r="Q165" s="17" t="s">
        <v>703</v>
      </c>
      <c r="R165" s="17" t="s">
        <v>295</v>
      </c>
    </row>
    <row r="166" spans="17:18" s="17" customFormat="1" x14ac:dyDescent="0.25">
      <c r="Q166" s="17" t="s">
        <v>1247</v>
      </c>
      <c r="R166" s="17" t="s">
        <v>201</v>
      </c>
    </row>
    <row r="167" spans="17:18" s="17" customFormat="1" x14ac:dyDescent="0.25">
      <c r="Q167" s="17" t="s">
        <v>1014</v>
      </c>
      <c r="R167" s="17" t="s">
        <v>201</v>
      </c>
    </row>
    <row r="168" spans="17:18" s="17" customFormat="1" x14ac:dyDescent="0.25">
      <c r="Q168" s="17" t="s">
        <v>1459</v>
      </c>
      <c r="R168" s="17" t="s">
        <v>201</v>
      </c>
    </row>
    <row r="169" spans="17:18" s="17" customFormat="1" x14ac:dyDescent="0.25">
      <c r="Q169" s="17" t="s">
        <v>1460</v>
      </c>
      <c r="R169" s="17" t="s">
        <v>201</v>
      </c>
    </row>
    <row r="170" spans="17:18" s="17" customFormat="1" x14ac:dyDescent="0.25">
      <c r="Q170" s="17" t="s">
        <v>1461</v>
      </c>
      <c r="R170" s="17" t="s">
        <v>201</v>
      </c>
    </row>
    <row r="171" spans="17:18" s="17" customFormat="1" x14ac:dyDescent="0.25">
      <c r="Q171" s="17" t="s">
        <v>1462</v>
      </c>
      <c r="R171" s="17" t="s">
        <v>201</v>
      </c>
    </row>
    <row r="172" spans="17:18" s="17" customFormat="1" x14ac:dyDescent="0.25">
      <c r="Q172" s="17" t="s">
        <v>1163</v>
      </c>
      <c r="R172" s="17" t="s">
        <v>201</v>
      </c>
    </row>
    <row r="173" spans="17:18" s="17" customFormat="1" x14ac:dyDescent="0.25">
      <c r="Q173" s="17" t="s">
        <v>1463</v>
      </c>
      <c r="R173" s="17" t="s">
        <v>201</v>
      </c>
    </row>
    <row r="174" spans="17:18" s="17" customFormat="1" x14ac:dyDescent="0.25">
      <c r="Q174" s="17" t="s">
        <v>1464</v>
      </c>
      <c r="R174" s="17" t="s">
        <v>201</v>
      </c>
    </row>
    <row r="175" spans="17:18" s="17" customFormat="1" x14ac:dyDescent="0.25">
      <c r="Q175" s="17" t="s">
        <v>1465</v>
      </c>
      <c r="R175" s="17" t="s">
        <v>201</v>
      </c>
    </row>
    <row r="176" spans="17:18" s="17" customFormat="1" x14ac:dyDescent="0.25">
      <c r="Q176" s="17" t="s">
        <v>1466</v>
      </c>
      <c r="R176" s="17" t="s">
        <v>201</v>
      </c>
    </row>
    <row r="177" spans="17:18" s="17" customFormat="1" x14ac:dyDescent="0.25">
      <c r="Q177" s="17" t="s">
        <v>1467</v>
      </c>
      <c r="R177" s="17" t="s">
        <v>201</v>
      </c>
    </row>
    <row r="178" spans="17:18" s="17" customFormat="1" x14ac:dyDescent="0.25">
      <c r="Q178" s="17" t="s">
        <v>698</v>
      </c>
      <c r="R178" s="17" t="s">
        <v>201</v>
      </c>
    </row>
    <row r="179" spans="17:18" s="17" customFormat="1" x14ac:dyDescent="0.25">
      <c r="Q179" s="17" t="s">
        <v>511</v>
      </c>
      <c r="R179" s="17" t="s">
        <v>201</v>
      </c>
    </row>
    <row r="180" spans="17:18" s="17" customFormat="1" x14ac:dyDescent="0.25">
      <c r="Q180" s="17" t="s">
        <v>737</v>
      </c>
      <c r="R180" s="17" t="s">
        <v>201</v>
      </c>
    </row>
    <row r="181" spans="17:18" s="17" customFormat="1" x14ac:dyDescent="0.25">
      <c r="Q181" s="17" t="s">
        <v>1468</v>
      </c>
      <c r="R181" s="17" t="s">
        <v>201</v>
      </c>
    </row>
    <row r="182" spans="17:18" s="17" customFormat="1" x14ac:dyDescent="0.25">
      <c r="Q182" s="17" t="s">
        <v>1013</v>
      </c>
      <c r="R182" s="17" t="s">
        <v>201</v>
      </c>
    </row>
    <row r="183" spans="17:18" s="17" customFormat="1" x14ac:dyDescent="0.25">
      <c r="Q183" s="17" t="s">
        <v>1469</v>
      </c>
      <c r="R183" s="17" t="s">
        <v>287</v>
      </c>
    </row>
    <row r="184" spans="17:18" s="17" customFormat="1" x14ac:dyDescent="0.25">
      <c r="Q184" s="17" t="s">
        <v>1470</v>
      </c>
      <c r="R184" s="17" t="s">
        <v>287</v>
      </c>
    </row>
    <row r="185" spans="17:18" s="17" customFormat="1" x14ac:dyDescent="0.25">
      <c r="Q185" s="17" t="s">
        <v>1471</v>
      </c>
      <c r="R185" s="17" t="s">
        <v>295</v>
      </c>
    </row>
    <row r="186" spans="17:18" s="17" customFormat="1" x14ac:dyDescent="0.25">
      <c r="Q186" s="17" t="s">
        <v>1472</v>
      </c>
      <c r="R186" s="17" t="s">
        <v>199</v>
      </c>
    </row>
    <row r="187" spans="17:18" s="17" customFormat="1" x14ac:dyDescent="0.25">
      <c r="Q187" s="17" t="s">
        <v>1029</v>
      </c>
      <c r="R187" s="17" t="s">
        <v>199</v>
      </c>
    </row>
    <row r="188" spans="17:18" s="17" customFormat="1" x14ac:dyDescent="0.25">
      <c r="Q188" s="17" t="s">
        <v>1328</v>
      </c>
      <c r="R188" s="17" t="s">
        <v>199</v>
      </c>
    </row>
    <row r="189" spans="17:18" s="17" customFormat="1" x14ac:dyDescent="0.25">
      <c r="Q189" s="17" t="s">
        <v>933</v>
      </c>
      <c r="R189" s="17" t="s">
        <v>199</v>
      </c>
    </row>
    <row r="190" spans="17:18" s="17" customFormat="1" x14ac:dyDescent="0.25">
      <c r="Q190" s="17" t="s">
        <v>1301</v>
      </c>
      <c r="R190" s="17" t="s">
        <v>199</v>
      </c>
    </row>
    <row r="191" spans="17:18" s="17" customFormat="1" x14ac:dyDescent="0.25">
      <c r="Q191" s="17" t="s">
        <v>682</v>
      </c>
      <c r="R191" s="17" t="s">
        <v>201</v>
      </c>
    </row>
    <row r="192" spans="17:18" s="17" customFormat="1" x14ac:dyDescent="0.25">
      <c r="Q192" s="17" t="s">
        <v>1473</v>
      </c>
      <c r="R192" s="17" t="s">
        <v>201</v>
      </c>
    </row>
    <row r="193" spans="17:18" s="17" customFormat="1" x14ac:dyDescent="0.25">
      <c r="Q193" s="17" t="s">
        <v>1474</v>
      </c>
      <c r="R193" s="17" t="s">
        <v>201</v>
      </c>
    </row>
    <row r="194" spans="17:18" s="17" customFormat="1" x14ac:dyDescent="0.25">
      <c r="Q194" s="17" t="s">
        <v>1324</v>
      </c>
      <c r="R194" s="17" t="s">
        <v>201</v>
      </c>
    </row>
    <row r="195" spans="17:18" s="17" customFormat="1" x14ac:dyDescent="0.25">
      <c r="Q195" s="17" t="s">
        <v>1475</v>
      </c>
      <c r="R195" s="17" t="s">
        <v>201</v>
      </c>
    </row>
    <row r="196" spans="17:18" s="17" customFormat="1" x14ac:dyDescent="0.25">
      <c r="Q196" s="17" t="s">
        <v>1476</v>
      </c>
      <c r="R196" s="17" t="s">
        <v>201</v>
      </c>
    </row>
    <row r="197" spans="17:18" s="17" customFormat="1" x14ac:dyDescent="0.25">
      <c r="Q197" s="17" t="s">
        <v>1477</v>
      </c>
      <c r="R197" s="17" t="s">
        <v>201</v>
      </c>
    </row>
    <row r="198" spans="17:18" s="17" customFormat="1" x14ac:dyDescent="0.25">
      <c r="Q198" s="17" t="s">
        <v>909</v>
      </c>
      <c r="R198" s="17" t="s">
        <v>201</v>
      </c>
    </row>
    <row r="199" spans="17:18" s="17" customFormat="1" x14ac:dyDescent="0.25">
      <c r="Q199" s="17" t="s">
        <v>1478</v>
      </c>
      <c r="R199" s="17" t="s">
        <v>201</v>
      </c>
    </row>
    <row r="200" spans="17:18" s="17" customFormat="1" x14ac:dyDescent="0.25">
      <c r="Q200" s="17" t="s">
        <v>1479</v>
      </c>
      <c r="R200" s="17" t="s">
        <v>201</v>
      </c>
    </row>
    <row r="201" spans="17:18" s="17" customFormat="1" x14ac:dyDescent="0.25">
      <c r="Q201" s="17" t="s">
        <v>1480</v>
      </c>
      <c r="R201" s="17" t="s">
        <v>201</v>
      </c>
    </row>
    <row r="202" spans="17:18" s="17" customFormat="1" x14ac:dyDescent="0.25">
      <c r="Q202" s="17" t="s">
        <v>1481</v>
      </c>
      <c r="R202" s="17" t="s">
        <v>201</v>
      </c>
    </row>
    <row r="203" spans="17:18" s="17" customFormat="1" x14ac:dyDescent="0.25">
      <c r="Q203" s="17" t="s">
        <v>1482</v>
      </c>
      <c r="R203" s="17" t="s">
        <v>201</v>
      </c>
    </row>
    <row r="204" spans="17:18" s="17" customFormat="1" x14ac:dyDescent="0.25">
      <c r="Q204" s="17" t="s">
        <v>1483</v>
      </c>
      <c r="R204" s="17" t="s">
        <v>201</v>
      </c>
    </row>
    <row r="205" spans="17:18" s="17" customFormat="1" x14ac:dyDescent="0.25">
      <c r="Q205" s="17" t="s">
        <v>1484</v>
      </c>
      <c r="R205" s="17" t="s">
        <v>201</v>
      </c>
    </row>
    <row r="206" spans="17:18" s="17" customFormat="1" x14ac:dyDescent="0.25">
      <c r="Q206" s="17" t="s">
        <v>1485</v>
      </c>
      <c r="R206" s="17" t="s">
        <v>201</v>
      </c>
    </row>
    <row r="207" spans="17:18" s="17" customFormat="1" x14ac:dyDescent="0.25">
      <c r="Q207" s="17" t="s">
        <v>1007</v>
      </c>
      <c r="R207" s="17" t="s">
        <v>201</v>
      </c>
    </row>
    <row r="208" spans="17:18" s="17" customFormat="1" x14ac:dyDescent="0.25">
      <c r="Q208" s="17" t="s">
        <v>1486</v>
      </c>
      <c r="R208" s="17" t="s">
        <v>201</v>
      </c>
    </row>
    <row r="209" spans="17:18" s="17" customFormat="1" x14ac:dyDescent="0.25">
      <c r="Q209" s="17" t="s">
        <v>1487</v>
      </c>
      <c r="R209" s="17" t="s">
        <v>201</v>
      </c>
    </row>
    <row r="210" spans="17:18" s="17" customFormat="1" x14ac:dyDescent="0.25">
      <c r="Q210" s="17" t="s">
        <v>1488</v>
      </c>
      <c r="R210" s="17" t="s">
        <v>201</v>
      </c>
    </row>
    <row r="211" spans="17:18" s="17" customFormat="1" x14ac:dyDescent="0.25">
      <c r="Q211" s="17" t="s">
        <v>1489</v>
      </c>
      <c r="R211" s="17" t="s">
        <v>201</v>
      </c>
    </row>
    <row r="212" spans="17:18" s="17" customFormat="1" x14ac:dyDescent="0.25">
      <c r="Q212" s="17" t="s">
        <v>389</v>
      </c>
      <c r="R212" s="17" t="s">
        <v>201</v>
      </c>
    </row>
    <row r="213" spans="17:18" s="17" customFormat="1" x14ac:dyDescent="0.25">
      <c r="Q213" s="17" t="s">
        <v>1490</v>
      </c>
      <c r="R213" s="17" t="s">
        <v>201</v>
      </c>
    </row>
    <row r="214" spans="17:18" s="17" customFormat="1" x14ac:dyDescent="0.25">
      <c r="Q214" s="17" t="s">
        <v>1491</v>
      </c>
      <c r="R214" s="17" t="s">
        <v>201</v>
      </c>
    </row>
    <row r="215" spans="17:18" s="17" customFormat="1" x14ac:dyDescent="0.25">
      <c r="Q215" s="17" t="s">
        <v>636</v>
      </c>
      <c r="R215" s="17" t="s">
        <v>201</v>
      </c>
    </row>
    <row r="216" spans="17:18" s="17" customFormat="1" x14ac:dyDescent="0.25">
      <c r="Q216" s="17" t="s">
        <v>1492</v>
      </c>
      <c r="R216" s="17" t="s">
        <v>201</v>
      </c>
    </row>
    <row r="217" spans="17:18" s="17" customFormat="1" x14ac:dyDescent="0.25">
      <c r="Q217" s="17" t="s">
        <v>1008</v>
      </c>
      <c r="R217" s="17" t="s">
        <v>201</v>
      </c>
    </row>
    <row r="218" spans="17:18" s="17" customFormat="1" x14ac:dyDescent="0.25">
      <c r="Q218" s="17" t="s">
        <v>1493</v>
      </c>
      <c r="R218" s="17" t="s">
        <v>201</v>
      </c>
    </row>
    <row r="219" spans="17:18" s="17" customFormat="1" x14ac:dyDescent="0.25">
      <c r="Q219" s="17" t="s">
        <v>1494</v>
      </c>
      <c r="R219" s="17" t="s">
        <v>201</v>
      </c>
    </row>
    <row r="220" spans="17:18" s="17" customFormat="1" x14ac:dyDescent="0.25">
      <c r="Q220" s="17" t="s">
        <v>932</v>
      </c>
      <c r="R220" s="17" t="s">
        <v>201</v>
      </c>
    </row>
    <row r="221" spans="17:18" s="17" customFormat="1" x14ac:dyDescent="0.25">
      <c r="Q221" s="17" t="s">
        <v>1009</v>
      </c>
      <c r="R221" s="17" t="s">
        <v>201</v>
      </c>
    </row>
    <row r="222" spans="17:18" s="17" customFormat="1" x14ac:dyDescent="0.25">
      <c r="Q222" s="17" t="s">
        <v>1495</v>
      </c>
      <c r="R222" s="17" t="s">
        <v>201</v>
      </c>
    </row>
    <row r="223" spans="17:18" s="17" customFormat="1" x14ac:dyDescent="0.25">
      <c r="Q223" s="17" t="s">
        <v>1496</v>
      </c>
      <c r="R223" s="17" t="s">
        <v>201</v>
      </c>
    </row>
    <row r="224" spans="17:18" s="17" customFormat="1" x14ac:dyDescent="0.25">
      <c r="Q224" s="17" t="s">
        <v>1497</v>
      </c>
      <c r="R224" s="17" t="s">
        <v>201</v>
      </c>
    </row>
    <row r="225" spans="1:21" s="17" customFormat="1" x14ac:dyDescent="0.25">
      <c r="Q225" s="17" t="s">
        <v>614</v>
      </c>
      <c r="R225" s="17" t="s">
        <v>201</v>
      </c>
    </row>
    <row r="226" spans="1:21" s="17" customFormat="1" x14ac:dyDescent="0.25">
      <c r="Q226" s="17" t="s">
        <v>1498</v>
      </c>
      <c r="R226" s="17" t="s">
        <v>201</v>
      </c>
    </row>
    <row r="227" spans="1:21" s="17" customFormat="1" x14ac:dyDescent="0.25">
      <c r="Q227" s="17" t="s">
        <v>1119</v>
      </c>
      <c r="R227" s="17" t="s">
        <v>201</v>
      </c>
    </row>
    <row r="228" spans="1:21" s="17" customFormat="1" x14ac:dyDescent="0.25">
      <c r="Q228" s="17" t="s">
        <v>1006</v>
      </c>
      <c r="R228" s="17" t="s">
        <v>201</v>
      </c>
    </row>
    <row r="229" spans="1:21" s="17" customFormat="1" x14ac:dyDescent="0.25">
      <c r="Q229" s="17" t="s">
        <v>1499</v>
      </c>
      <c r="R229" s="17" t="s">
        <v>201</v>
      </c>
    </row>
    <row r="230" spans="1:21" s="17" customFormat="1" x14ac:dyDescent="0.25">
      <c r="Q230" s="17" t="s">
        <v>1500</v>
      </c>
      <c r="R230" s="17" t="s">
        <v>201</v>
      </c>
    </row>
    <row r="231" spans="1:21" s="17" customFormat="1" x14ac:dyDescent="0.25">
      <c r="Q231" s="17" t="s">
        <v>1501</v>
      </c>
      <c r="R231" s="17" t="s">
        <v>291</v>
      </c>
    </row>
    <row r="232" spans="1:21" s="17" customFormat="1" x14ac:dyDescent="0.25">
      <c r="G232"/>
      <c r="H232"/>
      <c r="I232"/>
      <c r="J232"/>
      <c r="K232"/>
      <c r="L232"/>
      <c r="Q232" s="17" t="s">
        <v>503</v>
      </c>
      <c r="R232" s="17" t="s">
        <v>291</v>
      </c>
    </row>
    <row r="233" spans="1:21" s="17" customFormat="1" x14ac:dyDescent="0.25">
      <c r="G233"/>
      <c r="H233"/>
      <c r="I233"/>
      <c r="J233"/>
      <c r="K233"/>
      <c r="L233"/>
      <c r="Q233" s="17" t="s">
        <v>1502</v>
      </c>
      <c r="R233" s="17" t="s">
        <v>291</v>
      </c>
    </row>
    <row r="234" spans="1:21" s="17" customFormat="1" x14ac:dyDescent="0.25">
      <c r="G234"/>
      <c r="H234"/>
      <c r="I234"/>
      <c r="J234"/>
      <c r="K234"/>
      <c r="L234"/>
      <c r="Q234" s="17" t="s">
        <v>1503</v>
      </c>
      <c r="R234" s="17" t="s">
        <v>201</v>
      </c>
    </row>
    <row r="235" spans="1:21" s="17" customFormat="1" x14ac:dyDescent="0.25">
      <c r="G235"/>
      <c r="H235"/>
      <c r="I235"/>
      <c r="J235"/>
      <c r="K235"/>
      <c r="L235"/>
      <c r="Q235" s="17" t="s">
        <v>1504</v>
      </c>
      <c r="R235" s="17" t="s">
        <v>201</v>
      </c>
    </row>
    <row r="236" spans="1:21" x14ac:dyDescent="0.25">
      <c r="A236" s="17"/>
      <c r="B236" s="17"/>
      <c r="C236" s="17"/>
      <c r="D236" s="17"/>
      <c r="E236" s="17"/>
      <c r="F236" s="17"/>
      <c r="Q236" s="17" t="s">
        <v>1505</v>
      </c>
      <c r="R236" s="17" t="s">
        <v>201</v>
      </c>
      <c r="S236" s="17"/>
      <c r="T236" s="17"/>
      <c r="U236" s="17"/>
    </row>
    <row r="237" spans="1:21" x14ac:dyDescent="0.25">
      <c r="Q237" s="17" t="s">
        <v>1005</v>
      </c>
      <c r="R237" s="17" t="s">
        <v>201</v>
      </c>
      <c r="S237" s="17"/>
      <c r="T237" s="17"/>
      <c r="U237" s="17"/>
    </row>
    <row r="238" spans="1:21" x14ac:dyDescent="0.25">
      <c r="Q238" s="17" t="s">
        <v>560</v>
      </c>
      <c r="R238" s="17" t="s">
        <v>201</v>
      </c>
      <c r="S238" s="17"/>
      <c r="T238" s="17"/>
      <c r="U238" s="17"/>
    </row>
    <row r="239" spans="1:21" x14ac:dyDescent="0.25">
      <c r="Q239" s="17" t="s">
        <v>1506</v>
      </c>
      <c r="R239" s="17" t="s">
        <v>201</v>
      </c>
      <c r="S239" s="17"/>
      <c r="T239" s="17"/>
      <c r="U239" s="17"/>
    </row>
    <row r="240" spans="1:21" x14ac:dyDescent="0.25">
      <c r="Q240" s="17" t="s">
        <v>487</v>
      </c>
      <c r="R240" s="17" t="s">
        <v>201</v>
      </c>
      <c r="S240" s="17"/>
      <c r="T240" s="17"/>
      <c r="U240" s="17"/>
    </row>
    <row r="241" spans="17:21" x14ac:dyDescent="0.25">
      <c r="Q241" s="17" t="s">
        <v>1507</v>
      </c>
      <c r="R241" s="17" t="s">
        <v>201</v>
      </c>
      <c r="S241" s="17"/>
      <c r="T241" s="17"/>
      <c r="U241" s="17"/>
    </row>
    <row r="242" spans="17:21" x14ac:dyDescent="0.25">
      <c r="Q242" s="17" t="s">
        <v>1508</v>
      </c>
      <c r="R242" s="17" t="s">
        <v>201</v>
      </c>
      <c r="S242" s="17"/>
      <c r="T242" s="17"/>
      <c r="U242" s="17"/>
    </row>
    <row r="243" spans="17:21" x14ac:dyDescent="0.25">
      <c r="Q243" s="17" t="s">
        <v>1509</v>
      </c>
      <c r="R243" s="17" t="s">
        <v>201</v>
      </c>
      <c r="S243" s="17"/>
      <c r="T243" s="17"/>
      <c r="U243" s="17"/>
    </row>
    <row r="244" spans="17:21" x14ac:dyDescent="0.25">
      <c r="Q244" s="17" t="s">
        <v>1510</v>
      </c>
      <c r="R244" s="17" t="s">
        <v>201</v>
      </c>
      <c r="S244" s="17"/>
      <c r="T244" s="17"/>
      <c r="U244" s="17"/>
    </row>
    <row r="245" spans="17:21" x14ac:dyDescent="0.25">
      <c r="Q245" s="17" t="s">
        <v>731</v>
      </c>
      <c r="R245" s="17" t="s">
        <v>201</v>
      </c>
      <c r="S245" s="17"/>
      <c r="T245" s="17"/>
      <c r="U245" s="17"/>
    </row>
    <row r="246" spans="17:21" x14ac:dyDescent="0.25">
      <c r="Q246" s="17" t="s">
        <v>1511</v>
      </c>
      <c r="R246" s="17" t="s">
        <v>201</v>
      </c>
      <c r="S246" s="17"/>
      <c r="T246" s="17"/>
      <c r="U246" s="17"/>
    </row>
    <row r="247" spans="17:21" x14ac:dyDescent="0.25">
      <c r="Q247" s="17" t="s">
        <v>1512</v>
      </c>
      <c r="R247" s="17" t="s">
        <v>201</v>
      </c>
      <c r="S247" s="17"/>
      <c r="T247" s="17"/>
      <c r="U247" s="17"/>
    </row>
    <row r="248" spans="17:21" x14ac:dyDescent="0.25">
      <c r="Q248" s="17" t="s">
        <v>1513</v>
      </c>
      <c r="R248" s="17" t="s">
        <v>201</v>
      </c>
      <c r="S248" s="17"/>
      <c r="T248" s="17"/>
      <c r="U248" s="17"/>
    </row>
    <row r="249" spans="17:21" x14ac:dyDescent="0.25">
      <c r="Q249" s="17" t="s">
        <v>1010</v>
      </c>
      <c r="R249" s="17" t="s">
        <v>201</v>
      </c>
      <c r="S249" s="17"/>
      <c r="T249" s="17"/>
      <c r="U249" s="17"/>
    </row>
    <row r="250" spans="17:21" x14ac:dyDescent="0.25">
      <c r="Q250" s="17" t="s">
        <v>1314</v>
      </c>
      <c r="R250" s="17" t="s">
        <v>201</v>
      </c>
      <c r="S250" s="17"/>
      <c r="T250" s="17"/>
      <c r="U250" s="17"/>
    </row>
    <row r="251" spans="17:21" x14ac:dyDescent="0.25">
      <c r="Q251" s="17" t="s">
        <v>1011</v>
      </c>
      <c r="R251" s="17" t="s">
        <v>201</v>
      </c>
      <c r="S251" s="17"/>
      <c r="T251" s="17"/>
      <c r="U251" s="17"/>
    </row>
    <row r="252" spans="17:21" x14ac:dyDescent="0.25">
      <c r="Q252" s="17" t="s">
        <v>957</v>
      </c>
      <c r="R252" s="17" t="s">
        <v>201</v>
      </c>
      <c r="S252" s="17"/>
      <c r="T252" s="17"/>
      <c r="U252" s="17"/>
    </row>
    <row r="253" spans="17:21" x14ac:dyDescent="0.25">
      <c r="Q253" s="17" t="s">
        <v>1514</v>
      </c>
      <c r="R253" s="17" t="s">
        <v>201</v>
      </c>
      <c r="S253" s="17"/>
      <c r="T253" s="17"/>
      <c r="U253" s="17"/>
    </row>
    <row r="254" spans="17:21" x14ac:dyDescent="0.25">
      <c r="Q254" s="17" t="s">
        <v>446</v>
      </c>
      <c r="R254" s="17" t="s">
        <v>201</v>
      </c>
      <c r="S254" s="17"/>
      <c r="T254" s="17"/>
      <c r="U254" s="17"/>
    </row>
    <row r="255" spans="17:21" x14ac:dyDescent="0.25">
      <c r="Q255" s="17" t="s">
        <v>1515</v>
      </c>
      <c r="R255" s="17" t="s">
        <v>201</v>
      </c>
      <c r="S255" s="17"/>
      <c r="T255" s="17"/>
      <c r="U255" s="17"/>
    </row>
    <row r="256" spans="17:21" x14ac:dyDescent="0.25">
      <c r="Q256" s="17" t="s">
        <v>1516</v>
      </c>
      <c r="R256" s="17" t="s">
        <v>201</v>
      </c>
      <c r="S256" s="17"/>
      <c r="T256" s="17"/>
      <c r="U256" s="17"/>
    </row>
    <row r="257" spans="17:21" x14ac:dyDescent="0.25">
      <c r="Q257" s="17" t="s">
        <v>1517</v>
      </c>
      <c r="R257" s="17" t="s">
        <v>201</v>
      </c>
      <c r="S257" s="17"/>
      <c r="T257" s="17"/>
      <c r="U257" s="17"/>
    </row>
    <row r="258" spans="17:21" x14ac:dyDescent="0.25">
      <c r="Q258" s="17" t="s">
        <v>1518</v>
      </c>
      <c r="R258" s="17" t="s">
        <v>201</v>
      </c>
      <c r="S258" s="17"/>
      <c r="T258" s="17"/>
      <c r="U258" s="17"/>
    </row>
    <row r="259" spans="17:21" x14ac:dyDescent="0.25">
      <c r="Q259" s="17" t="s">
        <v>699</v>
      </c>
      <c r="R259" s="17" t="s">
        <v>201</v>
      </c>
      <c r="S259" s="17"/>
      <c r="T259" s="17"/>
      <c r="U259" s="17"/>
    </row>
    <row r="260" spans="17:21" x14ac:dyDescent="0.25">
      <c r="Q260" s="17" t="s">
        <v>1519</v>
      </c>
      <c r="R260" s="17" t="s">
        <v>201</v>
      </c>
      <c r="S260" s="17"/>
      <c r="T260" s="17"/>
      <c r="U260" s="17"/>
    </row>
    <row r="261" spans="17:21" x14ac:dyDescent="0.25">
      <c r="Q261" s="17" t="s">
        <v>1520</v>
      </c>
      <c r="R261" s="17" t="s">
        <v>201</v>
      </c>
      <c r="S261" s="17"/>
      <c r="T261" s="17"/>
      <c r="U261" s="17"/>
    </row>
    <row r="262" spans="17:21" x14ac:dyDescent="0.25">
      <c r="Q262" s="17" t="s">
        <v>1521</v>
      </c>
      <c r="R262" s="17" t="s">
        <v>289</v>
      </c>
      <c r="S262" s="17"/>
      <c r="T262" s="17"/>
      <c r="U262" s="17"/>
    </row>
    <row r="263" spans="17:21" x14ac:dyDescent="0.25">
      <c r="Q263" s="17" t="s">
        <v>663</v>
      </c>
      <c r="R263" s="17" t="s">
        <v>289</v>
      </c>
      <c r="S263" s="17"/>
      <c r="T263" s="17"/>
      <c r="U263" s="17"/>
    </row>
    <row r="264" spans="17:21" x14ac:dyDescent="0.25">
      <c r="Q264" s="17" t="s">
        <v>1522</v>
      </c>
      <c r="R264" s="17" t="s">
        <v>201</v>
      </c>
      <c r="S264" s="17"/>
      <c r="T264" s="17"/>
      <c r="U264" s="17"/>
    </row>
    <row r="265" spans="17:21" x14ac:dyDescent="0.25">
      <c r="Q265" s="17" t="s">
        <v>486</v>
      </c>
      <c r="R265" s="17" t="s">
        <v>201</v>
      </c>
      <c r="S265" s="17"/>
      <c r="T265" s="17"/>
      <c r="U265" s="17"/>
    </row>
    <row r="266" spans="17:21" x14ac:dyDescent="0.25">
      <c r="Q266" s="17" t="s">
        <v>1523</v>
      </c>
      <c r="R266" s="17" t="s">
        <v>201</v>
      </c>
      <c r="S266" s="17"/>
      <c r="T266" s="17"/>
      <c r="U266" s="17"/>
    </row>
    <row r="267" spans="17:21" x14ac:dyDescent="0.25">
      <c r="Q267" s="17" t="s">
        <v>1524</v>
      </c>
      <c r="R267" s="17" t="s">
        <v>201</v>
      </c>
      <c r="S267" s="17"/>
      <c r="T267" s="17"/>
      <c r="U267" s="17"/>
    </row>
    <row r="268" spans="17:21" x14ac:dyDescent="0.25">
      <c r="Q268" s="17" t="s">
        <v>1525</v>
      </c>
      <c r="R268" s="17" t="s">
        <v>201</v>
      </c>
      <c r="S268" s="17"/>
      <c r="T268" s="17"/>
      <c r="U268" s="17"/>
    </row>
    <row r="269" spans="17:21" x14ac:dyDescent="0.25">
      <c r="Q269" s="17" t="s">
        <v>1526</v>
      </c>
      <c r="R269" s="17" t="s">
        <v>201</v>
      </c>
      <c r="S269" s="17"/>
      <c r="T269" s="17"/>
      <c r="U269" s="17"/>
    </row>
    <row r="270" spans="17:21" x14ac:dyDescent="0.25">
      <c r="Q270" s="17" t="s">
        <v>1527</v>
      </c>
      <c r="R270" s="17" t="s">
        <v>201</v>
      </c>
      <c r="S270" s="17"/>
      <c r="T270" s="17"/>
      <c r="U270" s="17"/>
    </row>
    <row r="271" spans="17:21" x14ac:dyDescent="0.25">
      <c r="Q271" s="17" t="s">
        <v>392</v>
      </c>
      <c r="R271" s="17" t="s">
        <v>201</v>
      </c>
      <c r="S271" s="17"/>
      <c r="T271" s="17"/>
      <c r="U271" s="17"/>
    </row>
    <row r="272" spans="17:21" x14ac:dyDescent="0.25">
      <c r="Q272" s="17" t="s">
        <v>1528</v>
      </c>
      <c r="R272" s="17" t="s">
        <v>201</v>
      </c>
      <c r="S272" s="17"/>
      <c r="T272" s="17"/>
      <c r="U272" s="17"/>
    </row>
    <row r="273" spans="17:21" x14ac:dyDescent="0.25">
      <c r="Q273" s="17" t="s">
        <v>908</v>
      </c>
      <c r="R273" s="17" t="s">
        <v>201</v>
      </c>
      <c r="S273" s="17"/>
      <c r="T273" s="17"/>
      <c r="U273" s="17"/>
    </row>
    <row r="274" spans="17:21" x14ac:dyDescent="0.25">
      <c r="Q274" s="17" t="s">
        <v>521</v>
      </c>
      <c r="R274" s="17" t="s">
        <v>201</v>
      </c>
      <c r="S274" s="17"/>
      <c r="T274" s="17"/>
      <c r="U274" s="17"/>
    </row>
    <row r="275" spans="17:21" x14ac:dyDescent="0.25">
      <c r="Q275" s="17" t="s">
        <v>1529</v>
      </c>
      <c r="R275" s="17" t="s">
        <v>201</v>
      </c>
      <c r="S275" s="17"/>
      <c r="T275" s="17"/>
      <c r="U275" s="17"/>
    </row>
    <row r="276" spans="17:21" x14ac:dyDescent="0.25">
      <c r="Q276" s="17" t="s">
        <v>650</v>
      </c>
      <c r="R276" s="17" t="s">
        <v>201</v>
      </c>
      <c r="S276" s="17"/>
      <c r="T276" s="17"/>
      <c r="U276" s="17"/>
    </row>
    <row r="277" spans="17:21" x14ac:dyDescent="0.25">
      <c r="Q277" s="17" t="s">
        <v>1530</v>
      </c>
      <c r="R277" s="17" t="s">
        <v>201</v>
      </c>
      <c r="S277" s="17"/>
      <c r="T277" s="17"/>
      <c r="U277" s="17"/>
    </row>
    <row r="278" spans="17:21" x14ac:dyDescent="0.25">
      <c r="Q278" s="17" t="s">
        <v>1531</v>
      </c>
      <c r="R278" s="17" t="s">
        <v>201</v>
      </c>
      <c r="S278" s="17"/>
      <c r="T278" s="17"/>
      <c r="U278" s="17"/>
    </row>
    <row r="279" spans="17:21" x14ac:dyDescent="0.25">
      <c r="Q279" s="17" t="s">
        <v>1236</v>
      </c>
      <c r="R279" s="17" t="s">
        <v>289</v>
      </c>
      <c r="S279" s="17"/>
      <c r="T279" s="17"/>
      <c r="U279" s="17"/>
    </row>
    <row r="280" spans="17:21" x14ac:dyDescent="0.25">
      <c r="Q280" s="17" t="s">
        <v>1532</v>
      </c>
      <c r="R280" s="17" t="s">
        <v>289</v>
      </c>
      <c r="S280" s="17"/>
      <c r="T280" s="17"/>
      <c r="U280" s="17"/>
    </row>
    <row r="281" spans="17:21" x14ac:dyDescent="0.25">
      <c r="Q281" s="17" t="s">
        <v>1533</v>
      </c>
      <c r="R281" s="17" t="s">
        <v>289</v>
      </c>
      <c r="S281" s="17"/>
      <c r="T281" s="17"/>
      <c r="U281" s="17"/>
    </row>
    <row r="282" spans="17:21" x14ac:dyDescent="0.25">
      <c r="Q282" s="17" t="s">
        <v>1534</v>
      </c>
      <c r="R282" s="17" t="s">
        <v>201</v>
      </c>
      <c r="S282" s="17"/>
      <c r="T282" s="17"/>
      <c r="U282" s="17"/>
    </row>
    <row r="283" spans="17:21" x14ac:dyDescent="0.25">
      <c r="Q283" s="17" t="s">
        <v>1535</v>
      </c>
      <c r="R283" s="17" t="s">
        <v>201</v>
      </c>
      <c r="S283" s="17"/>
      <c r="T283" s="17"/>
      <c r="U283" s="17"/>
    </row>
    <row r="284" spans="17:21" x14ac:dyDescent="0.25">
      <c r="Q284" s="17" t="s">
        <v>1536</v>
      </c>
      <c r="R284" s="17" t="s">
        <v>201</v>
      </c>
      <c r="S284" s="17"/>
      <c r="T284" s="17"/>
      <c r="U284" s="17"/>
    </row>
    <row r="285" spans="17:21" x14ac:dyDescent="0.25">
      <c r="Q285" s="17" t="s">
        <v>1537</v>
      </c>
      <c r="R285" s="17" t="s">
        <v>201</v>
      </c>
      <c r="S285" s="17"/>
      <c r="T285" s="17"/>
      <c r="U285" s="17"/>
    </row>
    <row r="286" spans="17:21" x14ac:dyDescent="0.25">
      <c r="Q286" s="17" t="s">
        <v>1538</v>
      </c>
      <c r="R286" s="17" t="s">
        <v>201</v>
      </c>
      <c r="S286" s="17"/>
      <c r="T286" s="17"/>
      <c r="U286" s="17"/>
    </row>
    <row r="287" spans="17:21" x14ac:dyDescent="0.25">
      <c r="Q287" s="17" t="s">
        <v>570</v>
      </c>
      <c r="R287" s="17" t="s">
        <v>201</v>
      </c>
      <c r="S287" s="17"/>
      <c r="T287" s="17"/>
      <c r="U287" s="17"/>
    </row>
    <row r="288" spans="17:21" x14ac:dyDescent="0.25">
      <c r="Q288" s="17" t="s">
        <v>1539</v>
      </c>
      <c r="R288" s="17" t="s">
        <v>201</v>
      </c>
      <c r="S288" s="17"/>
      <c r="T288" s="17"/>
      <c r="U288" s="17"/>
    </row>
    <row r="289" spans="17:21" x14ac:dyDescent="0.25">
      <c r="Q289" s="17" t="s">
        <v>627</v>
      </c>
      <c r="R289" s="17" t="s">
        <v>201</v>
      </c>
      <c r="S289" s="17"/>
      <c r="T289" s="17"/>
      <c r="U289" s="17"/>
    </row>
    <row r="290" spans="17:21" x14ac:dyDescent="0.25">
      <c r="Q290" s="17" t="s">
        <v>1164</v>
      </c>
      <c r="R290" s="17" t="s">
        <v>201</v>
      </c>
      <c r="S290" s="17"/>
      <c r="T290" s="17"/>
      <c r="U290" s="17"/>
    </row>
    <row r="291" spans="17:21" x14ac:dyDescent="0.25">
      <c r="Q291" s="17" t="s">
        <v>1540</v>
      </c>
      <c r="R291" s="17" t="s">
        <v>201</v>
      </c>
      <c r="S291" s="17"/>
      <c r="T291" s="17"/>
      <c r="U291" s="17"/>
    </row>
    <row r="292" spans="17:21" x14ac:dyDescent="0.25">
      <c r="Q292" s="17" t="s">
        <v>1541</v>
      </c>
      <c r="R292" s="17" t="s">
        <v>201</v>
      </c>
      <c r="S292" s="17"/>
      <c r="T292" s="17"/>
      <c r="U292" s="17"/>
    </row>
    <row r="293" spans="17:21" x14ac:dyDescent="0.25">
      <c r="Q293" s="17" t="s">
        <v>605</v>
      </c>
      <c r="R293" s="17" t="s">
        <v>201</v>
      </c>
      <c r="S293" s="17"/>
      <c r="T293" s="17"/>
      <c r="U293" s="17"/>
    </row>
    <row r="294" spans="17:21" x14ac:dyDescent="0.25">
      <c r="Q294" s="17" t="s">
        <v>1012</v>
      </c>
      <c r="R294" s="17" t="s">
        <v>201</v>
      </c>
      <c r="S294" s="17"/>
      <c r="T294" s="17"/>
      <c r="U294" s="17"/>
    </row>
    <row r="295" spans="17:21" x14ac:dyDescent="0.25">
      <c r="Q295" s="17" t="s">
        <v>1542</v>
      </c>
      <c r="R295" s="17" t="s">
        <v>201</v>
      </c>
      <c r="S295" s="17"/>
      <c r="T295" s="17"/>
      <c r="U295" s="17"/>
    </row>
    <row r="296" spans="17:21" x14ac:dyDescent="0.25">
      <c r="Q296" s="17" t="s">
        <v>1543</v>
      </c>
      <c r="R296" s="17" t="s">
        <v>199</v>
      </c>
      <c r="S296" s="17"/>
      <c r="T296" s="17"/>
      <c r="U296" s="17"/>
    </row>
    <row r="297" spans="17:21" x14ac:dyDescent="0.25">
      <c r="Q297" s="17" t="s">
        <v>1544</v>
      </c>
      <c r="R297" s="17" t="s">
        <v>289</v>
      </c>
      <c r="S297" s="17"/>
      <c r="T297" s="17"/>
      <c r="U297" s="17"/>
    </row>
    <row r="298" spans="17:21" x14ac:dyDescent="0.25">
      <c r="Q298" s="17" t="s">
        <v>1545</v>
      </c>
      <c r="R298" s="17" t="s">
        <v>201</v>
      </c>
      <c r="S298" s="17"/>
      <c r="T298" s="17"/>
      <c r="U298" s="17"/>
    </row>
    <row r="299" spans="17:21" x14ac:dyDescent="0.25">
      <c r="Q299" s="17" t="s">
        <v>835</v>
      </c>
      <c r="R299" s="17" t="s">
        <v>297</v>
      </c>
      <c r="S299" s="17"/>
      <c r="T299" s="17"/>
      <c r="U299" s="17"/>
    </row>
    <row r="300" spans="17:21" x14ac:dyDescent="0.25">
      <c r="Q300" s="17" t="s">
        <v>537</v>
      </c>
      <c r="R300" s="17" t="s">
        <v>297</v>
      </c>
      <c r="S300" s="17"/>
      <c r="T300" s="17"/>
      <c r="U300" s="17"/>
    </row>
    <row r="301" spans="17:21" x14ac:dyDescent="0.25">
      <c r="Q301" s="17" t="s">
        <v>1175</v>
      </c>
      <c r="R301" s="17" t="s">
        <v>297</v>
      </c>
      <c r="S301" s="17"/>
      <c r="T301" s="17"/>
      <c r="U301" s="17"/>
    </row>
    <row r="302" spans="17:21" x14ac:dyDescent="0.25">
      <c r="Q302" s="17" t="s">
        <v>525</v>
      </c>
      <c r="R302" s="17" t="s">
        <v>297</v>
      </c>
      <c r="S302" s="17"/>
      <c r="T302" s="17"/>
      <c r="U302" s="17"/>
    </row>
    <row r="303" spans="17:21" x14ac:dyDescent="0.25">
      <c r="Q303" s="17" t="s">
        <v>1325</v>
      </c>
      <c r="R303" s="17" t="s">
        <v>297</v>
      </c>
      <c r="S303" s="17"/>
      <c r="T303" s="17"/>
      <c r="U303" s="17"/>
    </row>
    <row r="304" spans="17:21" x14ac:dyDescent="0.25">
      <c r="Q304" s="17" t="s">
        <v>1546</v>
      </c>
      <c r="R304" s="17" t="s">
        <v>297</v>
      </c>
      <c r="S304" s="17"/>
      <c r="T304" s="17"/>
      <c r="U304" s="17"/>
    </row>
    <row r="305" spans="17:21" x14ac:dyDescent="0.25">
      <c r="Q305" s="17" t="s">
        <v>639</v>
      </c>
      <c r="R305" s="17" t="s">
        <v>297</v>
      </c>
      <c r="S305" s="17"/>
      <c r="T305" s="17"/>
      <c r="U305" s="17"/>
    </row>
    <row r="306" spans="17:21" x14ac:dyDescent="0.25">
      <c r="Q306" s="17" t="s">
        <v>1547</v>
      </c>
      <c r="R306" s="17" t="s">
        <v>297</v>
      </c>
      <c r="S306" s="17"/>
      <c r="T306" s="17"/>
      <c r="U306" s="17"/>
    </row>
    <row r="307" spans="17:21" x14ac:dyDescent="0.25">
      <c r="Q307" s="17" t="s">
        <v>1548</v>
      </c>
      <c r="R307" s="17" t="s">
        <v>201</v>
      </c>
      <c r="S307" s="17"/>
      <c r="T307" s="17"/>
      <c r="U307" s="17"/>
    </row>
    <row r="308" spans="17:21" x14ac:dyDescent="0.25">
      <c r="Q308" s="17" t="s">
        <v>545</v>
      </c>
      <c r="R308" s="17" t="s">
        <v>201</v>
      </c>
      <c r="S308" s="17"/>
      <c r="T308" s="17"/>
      <c r="U308" s="17"/>
    </row>
    <row r="309" spans="17:21" x14ac:dyDescent="0.25">
      <c r="Q309" s="17" t="s">
        <v>730</v>
      </c>
      <c r="R309" s="17" t="s">
        <v>201</v>
      </c>
      <c r="S309" s="17"/>
      <c r="T309" s="17"/>
      <c r="U309" s="17"/>
    </row>
    <row r="310" spans="17:21" x14ac:dyDescent="0.25">
      <c r="Q310" s="17" t="s">
        <v>468</v>
      </c>
      <c r="R310" s="17" t="s">
        <v>201</v>
      </c>
      <c r="S310" s="17"/>
      <c r="T310" s="17"/>
      <c r="U310" s="17"/>
    </row>
    <row r="311" spans="17:21" x14ac:dyDescent="0.25">
      <c r="Q311" s="17" t="s">
        <v>1549</v>
      </c>
      <c r="R311" s="17" t="s">
        <v>201</v>
      </c>
      <c r="S311" s="17"/>
      <c r="T311" s="17"/>
      <c r="U311" s="17"/>
    </row>
    <row r="312" spans="17:21" x14ac:dyDescent="0.25">
      <c r="Q312" s="17" t="s">
        <v>1550</v>
      </c>
      <c r="R312" s="17" t="s">
        <v>201</v>
      </c>
      <c r="S312" s="17"/>
      <c r="T312" s="17"/>
      <c r="U312" s="17"/>
    </row>
    <row r="313" spans="17:21" x14ac:dyDescent="0.25">
      <c r="Q313" s="17" t="s">
        <v>1551</v>
      </c>
      <c r="R313" s="17" t="s">
        <v>201</v>
      </c>
      <c r="S313" s="17"/>
      <c r="T313" s="17"/>
      <c r="U313" s="17"/>
    </row>
    <row r="314" spans="17:21" x14ac:dyDescent="0.25">
      <c r="Q314" s="17" t="s">
        <v>1552</v>
      </c>
      <c r="R314" s="17" t="s">
        <v>201</v>
      </c>
      <c r="S314" s="17"/>
      <c r="T314" s="17"/>
      <c r="U314" s="17"/>
    </row>
    <row r="315" spans="17:21" x14ac:dyDescent="0.25">
      <c r="Q315" s="17" t="s">
        <v>1553</v>
      </c>
      <c r="R315" s="17" t="s">
        <v>201</v>
      </c>
      <c r="S315" s="17"/>
      <c r="T315" s="17"/>
      <c r="U315" s="17"/>
    </row>
    <row r="316" spans="17:21" x14ac:dyDescent="0.25">
      <c r="Q316" s="17" t="s">
        <v>1554</v>
      </c>
      <c r="R316" s="17" t="s">
        <v>289</v>
      </c>
      <c r="S316" s="17"/>
      <c r="T316" s="17"/>
      <c r="U316" s="17"/>
    </row>
    <row r="317" spans="17:21" x14ac:dyDescent="0.25">
      <c r="Q317" s="17" t="s">
        <v>1555</v>
      </c>
      <c r="R317" s="17" t="s">
        <v>289</v>
      </c>
      <c r="S317" s="17"/>
      <c r="T317" s="17"/>
      <c r="U317" s="17"/>
    </row>
    <row r="318" spans="17:21" x14ac:dyDescent="0.25">
      <c r="Q318" s="17" t="s">
        <v>1556</v>
      </c>
      <c r="R318" s="17" t="s">
        <v>289</v>
      </c>
      <c r="S318" s="17"/>
      <c r="T318" s="17"/>
      <c r="U318" s="17"/>
    </row>
    <row r="319" spans="17:21" x14ac:dyDescent="0.25">
      <c r="Q319" s="17" t="s">
        <v>1557</v>
      </c>
      <c r="R319" s="17" t="s">
        <v>289</v>
      </c>
      <c r="S319" s="17"/>
      <c r="T319" s="17"/>
      <c r="U319" s="17"/>
    </row>
    <row r="320" spans="17:21" x14ac:dyDescent="0.25">
      <c r="Q320" s="17" t="s">
        <v>1558</v>
      </c>
      <c r="R320" s="17" t="s">
        <v>201</v>
      </c>
      <c r="S320" s="17"/>
      <c r="T320" s="17"/>
      <c r="U320" s="17"/>
    </row>
    <row r="321" spans="17:21" x14ac:dyDescent="0.25">
      <c r="Q321" s="17" t="s">
        <v>1559</v>
      </c>
      <c r="R321" s="17" t="s">
        <v>201</v>
      </c>
      <c r="S321" s="17"/>
      <c r="T321" s="17"/>
      <c r="U321" s="17"/>
    </row>
    <row r="322" spans="17:21" x14ac:dyDescent="0.25">
      <c r="Q322" s="17" t="s">
        <v>1560</v>
      </c>
      <c r="R322" s="17" t="s">
        <v>297</v>
      </c>
      <c r="S322" s="17"/>
      <c r="T322" s="17"/>
      <c r="U322" s="17"/>
    </row>
    <row r="323" spans="17:21" x14ac:dyDescent="0.25">
      <c r="Q323" s="17" t="s">
        <v>416</v>
      </c>
      <c r="R323" s="17" t="s">
        <v>297</v>
      </c>
      <c r="S323" s="17"/>
      <c r="T323" s="17"/>
      <c r="U323" s="17"/>
    </row>
    <row r="324" spans="17:21" x14ac:dyDescent="0.25">
      <c r="Q324" s="17" t="s">
        <v>832</v>
      </c>
      <c r="R324" s="17" t="s">
        <v>297</v>
      </c>
      <c r="S324" s="17"/>
      <c r="T324" s="17"/>
      <c r="U324" s="17"/>
    </row>
    <row r="325" spans="17:21" x14ac:dyDescent="0.25">
      <c r="Q325" s="17" t="s">
        <v>833</v>
      </c>
      <c r="R325" s="17" t="s">
        <v>297</v>
      </c>
      <c r="S325" s="17"/>
      <c r="T325" s="17"/>
      <c r="U325" s="17"/>
    </row>
    <row r="326" spans="17:21" x14ac:dyDescent="0.25">
      <c r="Q326" s="17" t="s">
        <v>1561</v>
      </c>
      <c r="R326" s="17" t="s">
        <v>297</v>
      </c>
      <c r="S326" s="17"/>
      <c r="T326" s="17"/>
      <c r="U326" s="17"/>
    </row>
    <row r="327" spans="17:21" x14ac:dyDescent="0.25">
      <c r="Q327" s="17" t="s">
        <v>1562</v>
      </c>
      <c r="R327" s="17" t="s">
        <v>297</v>
      </c>
      <c r="S327" s="17"/>
      <c r="T327" s="17"/>
      <c r="U327" s="17"/>
    </row>
    <row r="328" spans="17:21" x14ac:dyDescent="0.25">
      <c r="Q328" s="17" t="s">
        <v>834</v>
      </c>
      <c r="R328" s="17" t="s">
        <v>297</v>
      </c>
      <c r="S328" s="17"/>
      <c r="T328" s="17"/>
      <c r="U328" s="17"/>
    </row>
    <row r="329" spans="17:21" x14ac:dyDescent="0.25">
      <c r="Q329" s="17" t="s">
        <v>746</v>
      </c>
      <c r="R329" s="17" t="s">
        <v>297</v>
      </c>
      <c r="S329" s="17"/>
      <c r="T329" s="17"/>
      <c r="U329" s="17"/>
    </row>
    <row r="330" spans="17:21" x14ac:dyDescent="0.25">
      <c r="Q330" s="17" t="s">
        <v>836</v>
      </c>
      <c r="R330" s="17" t="s">
        <v>297</v>
      </c>
      <c r="S330" s="17"/>
      <c r="T330" s="17"/>
      <c r="U330" s="17"/>
    </row>
    <row r="331" spans="17:21" x14ac:dyDescent="0.25">
      <c r="Q331" s="17" t="s">
        <v>1563</v>
      </c>
      <c r="R331" s="17" t="s">
        <v>297</v>
      </c>
      <c r="S331" s="17"/>
      <c r="T331" s="17"/>
      <c r="U331" s="17"/>
    </row>
    <row r="332" spans="17:21" x14ac:dyDescent="0.25">
      <c r="Q332" s="17" t="s">
        <v>1564</v>
      </c>
      <c r="R332" s="17" t="s">
        <v>297</v>
      </c>
      <c r="S332" s="17"/>
      <c r="T332" s="17"/>
      <c r="U332" s="17"/>
    </row>
    <row r="333" spans="17:21" x14ac:dyDescent="0.25">
      <c r="Q333" s="17" t="s">
        <v>837</v>
      </c>
      <c r="R333" s="17" t="s">
        <v>297</v>
      </c>
      <c r="S333" s="17"/>
      <c r="T333" s="17"/>
      <c r="U333" s="17"/>
    </row>
    <row r="334" spans="17:21" x14ac:dyDescent="0.25">
      <c r="Q334" s="17" t="s">
        <v>848</v>
      </c>
      <c r="R334" s="17" t="s">
        <v>289</v>
      </c>
      <c r="S334" s="17"/>
      <c r="T334" s="17"/>
      <c r="U334" s="17"/>
    </row>
    <row r="335" spans="17:21" x14ac:dyDescent="0.25">
      <c r="Q335" s="17" t="s">
        <v>417</v>
      </c>
      <c r="R335" s="17" t="s">
        <v>289</v>
      </c>
      <c r="S335" s="17"/>
      <c r="T335" s="17"/>
      <c r="U335" s="17"/>
    </row>
    <row r="336" spans="17:21" x14ac:dyDescent="0.25">
      <c r="Q336" s="17" t="s">
        <v>1319</v>
      </c>
      <c r="R336" s="17" t="s">
        <v>289</v>
      </c>
      <c r="S336" s="17"/>
      <c r="T336" s="17"/>
      <c r="U336" s="17"/>
    </row>
    <row r="337" spans="17:21" x14ac:dyDescent="0.25">
      <c r="Q337" s="17" t="s">
        <v>1565</v>
      </c>
      <c r="R337" s="17" t="s">
        <v>297</v>
      </c>
      <c r="S337" s="17"/>
      <c r="T337" s="17"/>
      <c r="U337" s="17"/>
    </row>
    <row r="338" spans="17:21" x14ac:dyDescent="0.25">
      <c r="Q338" s="17" t="s">
        <v>1566</v>
      </c>
      <c r="R338" s="17" t="s">
        <v>201</v>
      </c>
      <c r="S338" s="17"/>
      <c r="T338" s="17"/>
      <c r="U338" s="17"/>
    </row>
    <row r="339" spans="17:21" x14ac:dyDescent="0.25">
      <c r="Q339" s="17" t="s">
        <v>1567</v>
      </c>
      <c r="R339" s="17" t="s">
        <v>201</v>
      </c>
      <c r="S339" s="17"/>
      <c r="T339" s="17"/>
      <c r="U339" s="17"/>
    </row>
    <row r="340" spans="17:21" x14ac:dyDescent="0.25">
      <c r="Q340" s="17" t="s">
        <v>445</v>
      </c>
      <c r="R340" s="17" t="s">
        <v>201</v>
      </c>
      <c r="S340" s="17"/>
      <c r="T340" s="17"/>
      <c r="U340" s="17"/>
    </row>
    <row r="341" spans="17:21" x14ac:dyDescent="0.25">
      <c r="Q341" s="17" t="s">
        <v>561</v>
      </c>
      <c r="R341" s="17" t="s">
        <v>297</v>
      </c>
      <c r="S341" s="17"/>
      <c r="T341" s="17"/>
      <c r="U341" s="17"/>
    </row>
    <row r="342" spans="17:21" x14ac:dyDescent="0.25">
      <c r="Q342" s="17" t="s">
        <v>1568</v>
      </c>
      <c r="R342" s="17" t="s">
        <v>297</v>
      </c>
      <c r="S342" s="17"/>
      <c r="T342" s="17"/>
      <c r="U342" s="17"/>
    </row>
    <row r="343" spans="17:21" x14ac:dyDescent="0.25">
      <c r="Q343" s="17" t="s">
        <v>830</v>
      </c>
      <c r="R343" s="17" t="s">
        <v>297</v>
      </c>
      <c r="S343" s="17"/>
      <c r="T343" s="17"/>
      <c r="U343" s="17"/>
    </row>
    <row r="344" spans="17:21" x14ac:dyDescent="0.25">
      <c r="Q344" s="17" t="s">
        <v>831</v>
      </c>
      <c r="R344" s="17" t="s">
        <v>297</v>
      </c>
      <c r="S344" s="17"/>
      <c r="T344" s="17"/>
      <c r="U344" s="17"/>
    </row>
    <row r="345" spans="17:21" x14ac:dyDescent="0.25">
      <c r="Q345" s="17" t="s">
        <v>1283</v>
      </c>
      <c r="R345" s="17" t="s">
        <v>297</v>
      </c>
      <c r="S345" s="17"/>
      <c r="T345" s="17"/>
      <c r="U345" s="17"/>
    </row>
    <row r="346" spans="17:21" x14ac:dyDescent="0.25">
      <c r="Q346" s="17" t="s">
        <v>1215</v>
      </c>
      <c r="R346" s="17" t="s">
        <v>297</v>
      </c>
      <c r="S346" s="17"/>
      <c r="T346" s="17"/>
      <c r="U346" s="17"/>
    </row>
    <row r="347" spans="17:21" x14ac:dyDescent="0.25">
      <c r="Q347" s="17" t="s">
        <v>1569</v>
      </c>
      <c r="R347" s="17" t="s">
        <v>297</v>
      </c>
      <c r="S347" s="17"/>
      <c r="T347" s="17"/>
      <c r="U347" s="17"/>
    </row>
    <row r="348" spans="17:21" x14ac:dyDescent="0.25">
      <c r="Q348" s="17" t="s">
        <v>1570</v>
      </c>
      <c r="R348" s="17" t="s">
        <v>297</v>
      </c>
      <c r="S348" s="17"/>
      <c r="T348" s="17"/>
      <c r="U348" s="17"/>
    </row>
    <row r="349" spans="17:21" x14ac:dyDescent="0.25">
      <c r="Q349" s="17" t="s">
        <v>1571</v>
      </c>
      <c r="R349" s="17" t="s">
        <v>297</v>
      </c>
      <c r="S349" s="17"/>
      <c r="T349" s="17"/>
      <c r="U349" s="17"/>
    </row>
    <row r="350" spans="17:21" x14ac:dyDescent="0.25">
      <c r="Q350" s="17" t="s">
        <v>1572</v>
      </c>
      <c r="R350" s="17" t="s">
        <v>297</v>
      </c>
      <c r="S350" s="17"/>
      <c r="T350" s="17"/>
      <c r="U350" s="17"/>
    </row>
    <row r="351" spans="17:21" x14ac:dyDescent="0.25">
      <c r="Q351" s="17" t="s">
        <v>1573</v>
      </c>
      <c r="R351" s="17" t="s">
        <v>297</v>
      </c>
      <c r="S351" s="17"/>
      <c r="T351" s="17"/>
      <c r="U351" s="17"/>
    </row>
    <row r="352" spans="17:21" x14ac:dyDescent="0.25">
      <c r="Q352" s="17" t="s">
        <v>1574</v>
      </c>
      <c r="R352" s="17" t="s">
        <v>289</v>
      </c>
      <c r="S352" s="17"/>
      <c r="T352" s="17"/>
      <c r="U352" s="17"/>
    </row>
    <row r="353" spans="17:21" x14ac:dyDescent="0.25">
      <c r="Q353" s="17" t="s">
        <v>1575</v>
      </c>
      <c r="R353" s="17" t="s">
        <v>289</v>
      </c>
      <c r="S353" s="17"/>
      <c r="T353" s="17"/>
      <c r="U353" s="17"/>
    </row>
    <row r="354" spans="17:21" x14ac:dyDescent="0.25">
      <c r="Q354" s="17" t="s">
        <v>1576</v>
      </c>
      <c r="R354" s="17" t="s">
        <v>289</v>
      </c>
      <c r="S354" s="17"/>
      <c r="T354" s="17"/>
      <c r="U354" s="17"/>
    </row>
    <row r="355" spans="17:21" x14ac:dyDescent="0.25">
      <c r="Q355" s="17" t="s">
        <v>842</v>
      </c>
      <c r="R355" s="17" t="s">
        <v>289</v>
      </c>
      <c r="S355" s="17"/>
      <c r="T355" s="17"/>
      <c r="U355" s="17"/>
    </row>
    <row r="356" spans="17:21" x14ac:dyDescent="0.25">
      <c r="Q356" s="17" t="s">
        <v>488</v>
      </c>
      <c r="R356" s="17" t="s">
        <v>289</v>
      </c>
      <c r="S356" s="17"/>
      <c r="T356" s="17"/>
      <c r="U356" s="17"/>
    </row>
    <row r="357" spans="17:21" x14ac:dyDescent="0.25">
      <c r="Q357" s="17" t="s">
        <v>1577</v>
      </c>
      <c r="R357" s="17" t="s">
        <v>289</v>
      </c>
      <c r="S357" s="17"/>
      <c r="T357" s="17"/>
      <c r="U357" s="17"/>
    </row>
    <row r="358" spans="17:21" x14ac:dyDescent="0.25">
      <c r="Q358" s="17" t="s">
        <v>651</v>
      </c>
      <c r="R358" s="17" t="s">
        <v>289</v>
      </c>
      <c r="S358" s="17"/>
      <c r="T358" s="17"/>
      <c r="U358" s="17"/>
    </row>
    <row r="359" spans="17:21" x14ac:dyDescent="0.25">
      <c r="Q359" s="17" t="s">
        <v>1578</v>
      </c>
      <c r="R359" s="17" t="s">
        <v>289</v>
      </c>
      <c r="S359" s="17"/>
      <c r="T359" s="17"/>
      <c r="U359" s="17"/>
    </row>
    <row r="360" spans="17:21" x14ac:dyDescent="0.25">
      <c r="Q360" s="17" t="s">
        <v>1579</v>
      </c>
      <c r="R360" s="17" t="s">
        <v>289</v>
      </c>
      <c r="S360" s="17"/>
      <c r="T360" s="17"/>
      <c r="U360" s="17"/>
    </row>
    <row r="361" spans="17:21" x14ac:dyDescent="0.25">
      <c r="Q361" s="17" t="s">
        <v>845</v>
      </c>
      <c r="R361" s="17" t="s">
        <v>289</v>
      </c>
      <c r="S361" s="17"/>
      <c r="T361" s="17"/>
      <c r="U361" s="17"/>
    </row>
    <row r="362" spans="17:21" x14ac:dyDescent="0.25">
      <c r="Q362" s="17" t="s">
        <v>1580</v>
      </c>
      <c r="R362" s="17" t="s">
        <v>289</v>
      </c>
      <c r="S362" s="17"/>
      <c r="T362" s="17"/>
      <c r="U362" s="17"/>
    </row>
    <row r="363" spans="17:21" x14ac:dyDescent="0.25">
      <c r="Q363" s="17" t="s">
        <v>1581</v>
      </c>
      <c r="R363" s="17" t="s">
        <v>289</v>
      </c>
      <c r="S363" s="17"/>
      <c r="T363" s="17"/>
      <c r="U363" s="17"/>
    </row>
    <row r="364" spans="17:21" x14ac:dyDescent="0.25">
      <c r="Q364" s="17" t="s">
        <v>1582</v>
      </c>
      <c r="R364" s="17" t="s">
        <v>289</v>
      </c>
      <c r="S364" s="17"/>
      <c r="T364" s="17"/>
      <c r="U364" s="17"/>
    </row>
    <row r="365" spans="17:21" x14ac:dyDescent="0.25">
      <c r="Q365" s="17" t="s">
        <v>1043</v>
      </c>
      <c r="R365" s="17" t="s">
        <v>289</v>
      </c>
      <c r="S365" s="17"/>
      <c r="T365" s="17"/>
      <c r="U365" s="17"/>
    </row>
    <row r="366" spans="17:21" x14ac:dyDescent="0.25">
      <c r="Q366" s="17" t="s">
        <v>1583</v>
      </c>
      <c r="R366" s="17" t="s">
        <v>289</v>
      </c>
      <c r="S366" s="17"/>
      <c r="T366" s="17"/>
      <c r="U366" s="17"/>
    </row>
    <row r="367" spans="17:21" x14ac:dyDescent="0.25">
      <c r="Q367" s="17" t="s">
        <v>1584</v>
      </c>
      <c r="R367" s="17" t="s">
        <v>289</v>
      </c>
      <c r="S367" s="17"/>
      <c r="T367" s="17"/>
      <c r="U367" s="17"/>
    </row>
    <row r="368" spans="17:21" x14ac:dyDescent="0.25">
      <c r="Q368" s="17" t="s">
        <v>1585</v>
      </c>
      <c r="R368" s="17" t="s">
        <v>289</v>
      </c>
      <c r="S368" s="17"/>
      <c r="T368" s="17"/>
      <c r="U368" s="17"/>
    </row>
    <row r="369" spans="17:21" x14ac:dyDescent="0.25">
      <c r="Q369" s="17" t="s">
        <v>1586</v>
      </c>
      <c r="R369" s="17" t="s">
        <v>289</v>
      </c>
      <c r="S369" s="17"/>
      <c r="T369" s="17"/>
      <c r="U369" s="17"/>
    </row>
    <row r="370" spans="17:21" x14ac:dyDescent="0.25">
      <c r="Q370" s="17" t="s">
        <v>547</v>
      </c>
      <c r="R370" s="17" t="s">
        <v>289</v>
      </c>
      <c r="S370" s="17"/>
      <c r="T370" s="17"/>
      <c r="U370" s="17"/>
    </row>
    <row r="371" spans="17:21" x14ac:dyDescent="0.25">
      <c r="Q371" s="17" t="s">
        <v>1587</v>
      </c>
      <c r="R371" s="17" t="s">
        <v>289</v>
      </c>
      <c r="S371" s="17"/>
      <c r="T371" s="17"/>
      <c r="U371" s="17"/>
    </row>
    <row r="372" spans="17:21" x14ac:dyDescent="0.25">
      <c r="Q372" s="17" t="s">
        <v>747</v>
      </c>
      <c r="R372" s="17" t="s">
        <v>289</v>
      </c>
      <c r="S372" s="17"/>
      <c r="T372" s="17"/>
      <c r="U372" s="17"/>
    </row>
    <row r="373" spans="17:21" x14ac:dyDescent="0.25">
      <c r="Q373" s="17" t="s">
        <v>849</v>
      </c>
      <c r="R373" s="17" t="s">
        <v>289</v>
      </c>
      <c r="S373" s="17"/>
      <c r="T373" s="17"/>
      <c r="U373" s="17"/>
    </row>
    <row r="374" spans="17:21" x14ac:dyDescent="0.25">
      <c r="Q374" s="17" t="s">
        <v>850</v>
      </c>
      <c r="R374" s="17" t="s">
        <v>289</v>
      </c>
      <c r="S374" s="17"/>
      <c r="T374" s="17"/>
      <c r="U374" s="17"/>
    </row>
    <row r="375" spans="17:21" x14ac:dyDescent="0.25">
      <c r="Q375" s="17" t="s">
        <v>851</v>
      </c>
      <c r="R375" s="17" t="s">
        <v>289</v>
      </c>
      <c r="S375" s="17"/>
      <c r="T375" s="17"/>
      <c r="U375" s="17"/>
    </row>
    <row r="376" spans="17:21" x14ac:dyDescent="0.25">
      <c r="Q376" s="17" t="s">
        <v>1588</v>
      </c>
      <c r="R376" s="17" t="s">
        <v>289</v>
      </c>
      <c r="S376" s="17"/>
      <c r="T376" s="17"/>
      <c r="U376" s="17"/>
    </row>
    <row r="377" spans="17:21" x14ac:dyDescent="0.25">
      <c r="Q377" s="17" t="s">
        <v>1589</v>
      </c>
      <c r="R377" s="17" t="s">
        <v>289</v>
      </c>
      <c r="S377" s="17"/>
      <c r="T377" s="17"/>
      <c r="U377" s="17"/>
    </row>
    <row r="378" spans="17:21" x14ac:dyDescent="0.25">
      <c r="Q378" s="17" t="s">
        <v>1590</v>
      </c>
      <c r="R378" s="17" t="s">
        <v>289</v>
      </c>
      <c r="S378" s="17"/>
      <c r="T378" s="17"/>
      <c r="U378" s="17"/>
    </row>
    <row r="379" spans="17:21" x14ac:dyDescent="0.25">
      <c r="Q379" s="17" t="s">
        <v>1591</v>
      </c>
      <c r="R379" s="17" t="s">
        <v>289</v>
      </c>
      <c r="S379" s="17"/>
      <c r="T379" s="17"/>
      <c r="U379" s="17"/>
    </row>
    <row r="380" spans="17:21" x14ac:dyDescent="0.25">
      <c r="Q380" s="17" t="s">
        <v>1592</v>
      </c>
      <c r="R380" s="17" t="s">
        <v>289</v>
      </c>
      <c r="S380" s="17"/>
      <c r="T380" s="17"/>
      <c r="U380" s="17"/>
    </row>
    <row r="381" spans="17:21" x14ac:dyDescent="0.25">
      <c r="Q381" s="17" t="s">
        <v>1593</v>
      </c>
      <c r="R381" s="17" t="s">
        <v>289</v>
      </c>
      <c r="S381" s="17"/>
      <c r="T381" s="17"/>
      <c r="U381" s="17"/>
    </row>
    <row r="382" spans="17:21" x14ac:dyDescent="0.25">
      <c r="Q382" s="17" t="s">
        <v>1594</v>
      </c>
      <c r="R382" s="17" t="s">
        <v>289</v>
      </c>
      <c r="S382" s="17"/>
      <c r="T382" s="17"/>
      <c r="U382" s="17"/>
    </row>
    <row r="383" spans="17:21" x14ac:dyDescent="0.25">
      <c r="Q383" s="17" t="s">
        <v>621</v>
      </c>
      <c r="R383" s="17" t="s">
        <v>289</v>
      </c>
      <c r="S383" s="17"/>
      <c r="T383" s="17"/>
      <c r="U383" s="17"/>
    </row>
    <row r="384" spans="17:21" x14ac:dyDescent="0.25">
      <c r="Q384" s="17" t="s">
        <v>1595</v>
      </c>
      <c r="R384" s="17" t="s">
        <v>289</v>
      </c>
      <c r="S384" s="17"/>
      <c r="T384" s="17"/>
      <c r="U384" s="17"/>
    </row>
    <row r="385" spans="17:21" x14ac:dyDescent="0.25">
      <c r="Q385" s="17" t="s">
        <v>843</v>
      </c>
      <c r="R385" s="17" t="s">
        <v>289</v>
      </c>
      <c r="S385" s="17"/>
      <c r="T385" s="17"/>
      <c r="U385" s="17"/>
    </row>
    <row r="386" spans="17:21" x14ac:dyDescent="0.25">
      <c r="Q386" s="17" t="s">
        <v>1177</v>
      </c>
      <c r="R386" s="17" t="s">
        <v>289</v>
      </c>
      <c r="S386" s="17"/>
      <c r="T386" s="17"/>
      <c r="U386" s="17"/>
    </row>
    <row r="387" spans="17:21" x14ac:dyDescent="0.25">
      <c r="Q387" s="17" t="s">
        <v>844</v>
      </c>
      <c r="R387" s="17" t="s">
        <v>289</v>
      </c>
      <c r="S387" s="17"/>
      <c r="T387" s="17"/>
      <c r="U387" s="17"/>
    </row>
    <row r="388" spans="17:21" x14ac:dyDescent="0.25">
      <c r="Q388" s="17" t="s">
        <v>1139</v>
      </c>
      <c r="R388" s="17" t="s">
        <v>289</v>
      </c>
      <c r="S388" s="17"/>
      <c r="T388" s="17"/>
      <c r="U388" s="17"/>
    </row>
    <row r="389" spans="17:21" x14ac:dyDescent="0.25">
      <c r="Q389" s="17" t="s">
        <v>1596</v>
      </c>
      <c r="R389" s="17" t="s">
        <v>289</v>
      </c>
      <c r="S389" s="17"/>
      <c r="T389" s="17"/>
      <c r="U389" s="17"/>
    </row>
    <row r="390" spans="17:21" x14ac:dyDescent="0.25">
      <c r="Q390" s="17" t="s">
        <v>1597</v>
      </c>
      <c r="R390" s="17" t="s">
        <v>289</v>
      </c>
      <c r="S390" s="17"/>
      <c r="T390" s="17"/>
      <c r="U390" s="17"/>
    </row>
    <row r="391" spans="17:21" x14ac:dyDescent="0.25">
      <c r="Q391" s="17" t="s">
        <v>1598</v>
      </c>
      <c r="R391" s="17" t="s">
        <v>289</v>
      </c>
      <c r="S391" s="17"/>
      <c r="T391" s="17"/>
      <c r="U391" s="17"/>
    </row>
    <row r="392" spans="17:21" x14ac:dyDescent="0.25">
      <c r="Q392" s="17" t="s">
        <v>1208</v>
      </c>
      <c r="R392" s="17" t="s">
        <v>289</v>
      </c>
      <c r="S392" s="17"/>
      <c r="T392" s="17"/>
      <c r="U392" s="17"/>
    </row>
    <row r="393" spans="17:21" x14ac:dyDescent="0.25">
      <c r="Q393" s="17" t="s">
        <v>1599</v>
      </c>
      <c r="R393" s="17" t="s">
        <v>289</v>
      </c>
      <c r="S393" s="17"/>
      <c r="T393" s="17"/>
      <c r="U393" s="17"/>
    </row>
    <row r="394" spans="17:21" x14ac:dyDescent="0.25">
      <c r="Q394" s="17" t="s">
        <v>1600</v>
      </c>
      <c r="R394" s="17" t="s">
        <v>289</v>
      </c>
      <c r="S394" s="17"/>
      <c r="T394" s="17"/>
      <c r="U394" s="17"/>
    </row>
    <row r="395" spans="17:21" x14ac:dyDescent="0.25">
      <c r="Q395" s="17" t="s">
        <v>1145</v>
      </c>
      <c r="R395" s="17" t="s">
        <v>289</v>
      </c>
      <c r="S395" s="17"/>
      <c r="T395" s="17"/>
      <c r="U395" s="17"/>
    </row>
    <row r="396" spans="17:21" x14ac:dyDescent="0.25">
      <c r="Q396" s="17" t="s">
        <v>1019</v>
      </c>
      <c r="R396" s="17" t="s">
        <v>289</v>
      </c>
      <c r="S396" s="17"/>
      <c r="T396" s="17"/>
      <c r="U396" s="17"/>
    </row>
    <row r="397" spans="17:21" x14ac:dyDescent="0.25">
      <c r="Q397" s="17" t="s">
        <v>1601</v>
      </c>
      <c r="R397" s="17" t="s">
        <v>289</v>
      </c>
      <c r="S397" s="17"/>
      <c r="T397" s="17"/>
      <c r="U397" s="17"/>
    </row>
    <row r="398" spans="17:21" x14ac:dyDescent="0.25">
      <c r="Q398" s="17" t="s">
        <v>1602</v>
      </c>
      <c r="R398" s="17" t="s">
        <v>289</v>
      </c>
      <c r="S398" s="17"/>
      <c r="T398" s="17"/>
      <c r="U398" s="17"/>
    </row>
    <row r="399" spans="17:21" x14ac:dyDescent="0.25">
      <c r="Q399" s="17" t="s">
        <v>1253</v>
      </c>
      <c r="R399" s="17" t="s">
        <v>289</v>
      </c>
      <c r="S399" s="17"/>
      <c r="T399" s="17"/>
      <c r="U399" s="17"/>
    </row>
    <row r="400" spans="17:21" x14ac:dyDescent="0.25">
      <c r="Q400" s="17" t="s">
        <v>1603</v>
      </c>
      <c r="R400" s="17" t="s">
        <v>289</v>
      </c>
      <c r="S400" s="17"/>
      <c r="T400" s="17"/>
      <c r="U400" s="17"/>
    </row>
    <row r="401" spans="17:21" x14ac:dyDescent="0.25">
      <c r="Q401" s="17" t="s">
        <v>1604</v>
      </c>
      <c r="R401" s="17" t="s">
        <v>289</v>
      </c>
      <c r="S401" s="17"/>
      <c r="T401" s="17"/>
      <c r="U401" s="17"/>
    </row>
    <row r="402" spans="17:21" x14ac:dyDescent="0.25">
      <c r="Q402" s="17" t="s">
        <v>1605</v>
      </c>
      <c r="R402" s="17" t="s">
        <v>289</v>
      </c>
      <c r="S402" s="17"/>
      <c r="T402" s="17"/>
      <c r="U402" s="17"/>
    </row>
    <row r="403" spans="17:21" x14ac:dyDescent="0.25">
      <c r="Q403" s="17" t="s">
        <v>1606</v>
      </c>
      <c r="R403" s="17" t="s">
        <v>289</v>
      </c>
      <c r="S403" s="17"/>
      <c r="T403" s="17"/>
      <c r="U403" s="17"/>
    </row>
    <row r="404" spans="17:21" x14ac:dyDescent="0.25">
      <c r="Q404" s="17" t="s">
        <v>1174</v>
      </c>
      <c r="R404" s="17" t="s">
        <v>297</v>
      </c>
      <c r="S404" s="17"/>
      <c r="T404" s="17"/>
      <c r="U404" s="17"/>
    </row>
    <row r="405" spans="17:21" x14ac:dyDescent="0.25">
      <c r="Q405" s="17" t="s">
        <v>1607</v>
      </c>
      <c r="R405" s="17" t="s">
        <v>291</v>
      </c>
      <c r="S405" s="17"/>
      <c r="T405" s="17"/>
      <c r="U405" s="17"/>
    </row>
    <row r="406" spans="17:21" x14ac:dyDescent="0.25">
      <c r="Q406" s="17" t="s">
        <v>1608</v>
      </c>
      <c r="R406" s="17" t="s">
        <v>291</v>
      </c>
      <c r="S406" s="17"/>
      <c r="T406" s="17"/>
      <c r="U406" s="17"/>
    </row>
    <row r="407" spans="17:21" x14ac:dyDescent="0.25">
      <c r="Q407" s="17" t="s">
        <v>1609</v>
      </c>
      <c r="R407" s="17" t="s">
        <v>291</v>
      </c>
      <c r="S407" s="17"/>
      <c r="T407" s="17"/>
      <c r="U407" s="17"/>
    </row>
    <row r="408" spans="17:21" x14ac:dyDescent="0.25">
      <c r="Q408" s="17" t="s">
        <v>375</v>
      </c>
      <c r="R408" s="17" t="s">
        <v>297</v>
      </c>
      <c r="S408" s="17"/>
      <c r="T408" s="17"/>
      <c r="U408" s="17"/>
    </row>
    <row r="409" spans="17:21" x14ac:dyDescent="0.25">
      <c r="Q409" s="17" t="s">
        <v>1610</v>
      </c>
      <c r="R409" s="17" t="s">
        <v>297</v>
      </c>
      <c r="S409" s="17"/>
      <c r="T409" s="17"/>
      <c r="U409" s="17"/>
    </row>
    <row r="410" spans="17:21" x14ac:dyDescent="0.25">
      <c r="Q410" s="17" t="s">
        <v>1611</v>
      </c>
      <c r="R410" s="17" t="s">
        <v>297</v>
      </c>
      <c r="S410" s="17"/>
      <c r="T410" s="17"/>
      <c r="U410" s="17"/>
    </row>
    <row r="411" spans="17:21" x14ac:dyDescent="0.25">
      <c r="Q411" s="17" t="s">
        <v>571</v>
      </c>
      <c r="R411" s="17" t="s">
        <v>297</v>
      </c>
      <c r="S411" s="17"/>
      <c r="T411" s="17"/>
      <c r="U411" s="17"/>
    </row>
    <row r="412" spans="17:21" x14ac:dyDescent="0.25">
      <c r="Q412" s="17" t="s">
        <v>720</v>
      </c>
      <c r="R412" s="17" t="s">
        <v>297</v>
      </c>
      <c r="S412" s="17"/>
      <c r="T412" s="17"/>
      <c r="U412" s="17"/>
    </row>
    <row r="413" spans="17:21" x14ac:dyDescent="0.25">
      <c r="Q413" s="17" t="s">
        <v>572</v>
      </c>
      <c r="R413" s="17" t="s">
        <v>289</v>
      </c>
      <c r="S413" s="17"/>
      <c r="T413" s="17"/>
      <c r="U413" s="17"/>
    </row>
    <row r="414" spans="17:21" x14ac:dyDescent="0.25">
      <c r="Q414" s="17" t="s">
        <v>1612</v>
      </c>
      <c r="R414" s="17" t="s">
        <v>289</v>
      </c>
      <c r="S414" s="17"/>
      <c r="T414" s="17"/>
      <c r="U414" s="17"/>
    </row>
    <row r="415" spans="17:21" x14ac:dyDescent="0.25">
      <c r="Q415" s="17" t="s">
        <v>1613</v>
      </c>
      <c r="R415" s="17" t="s">
        <v>289</v>
      </c>
      <c r="S415" s="17"/>
      <c r="T415" s="17"/>
      <c r="U415" s="17"/>
    </row>
    <row r="416" spans="17:21" x14ac:dyDescent="0.25">
      <c r="Q416" s="17" t="s">
        <v>1614</v>
      </c>
      <c r="R416" s="17" t="s">
        <v>289</v>
      </c>
      <c r="S416" s="17"/>
      <c r="T416" s="17"/>
      <c r="U416" s="17"/>
    </row>
    <row r="417" spans="17:21" x14ac:dyDescent="0.25">
      <c r="Q417" s="17" t="s">
        <v>1615</v>
      </c>
      <c r="R417" s="17" t="s">
        <v>289</v>
      </c>
      <c r="S417" s="17"/>
      <c r="T417" s="17"/>
      <c r="U417" s="17"/>
    </row>
    <row r="418" spans="17:21" x14ac:dyDescent="0.25">
      <c r="Q418" s="17" t="s">
        <v>1616</v>
      </c>
      <c r="R418" s="17" t="s">
        <v>289</v>
      </c>
      <c r="S418" s="17"/>
      <c r="T418" s="17"/>
      <c r="U418" s="17"/>
    </row>
    <row r="419" spans="17:21" x14ac:dyDescent="0.25">
      <c r="Q419" s="17" t="s">
        <v>1617</v>
      </c>
      <c r="R419" s="17" t="s">
        <v>289</v>
      </c>
      <c r="S419" s="17"/>
      <c r="T419" s="17"/>
      <c r="U419" s="17"/>
    </row>
    <row r="420" spans="17:21" x14ac:dyDescent="0.25">
      <c r="Q420" s="17" t="s">
        <v>1018</v>
      </c>
      <c r="R420" s="17" t="s">
        <v>289</v>
      </c>
      <c r="S420" s="17"/>
      <c r="T420" s="17"/>
      <c r="U420" s="17"/>
    </row>
    <row r="421" spans="17:21" x14ac:dyDescent="0.25">
      <c r="Q421" s="17" t="s">
        <v>1618</v>
      </c>
      <c r="R421" s="17" t="s">
        <v>289</v>
      </c>
      <c r="S421" s="17"/>
      <c r="T421" s="17"/>
      <c r="U421" s="17"/>
    </row>
    <row r="422" spans="17:21" x14ac:dyDescent="0.25">
      <c r="Q422" s="17" t="s">
        <v>1619</v>
      </c>
      <c r="R422" s="17" t="s">
        <v>289</v>
      </c>
      <c r="S422" s="17"/>
      <c r="T422" s="17"/>
      <c r="U422" s="17"/>
    </row>
    <row r="423" spans="17:21" x14ac:dyDescent="0.25">
      <c r="Q423" s="17" t="s">
        <v>1620</v>
      </c>
      <c r="R423" s="17" t="s">
        <v>289</v>
      </c>
      <c r="S423" s="17"/>
      <c r="T423" s="17"/>
      <c r="U423" s="17"/>
    </row>
    <row r="424" spans="17:21" x14ac:dyDescent="0.25">
      <c r="Q424" s="17" t="s">
        <v>1621</v>
      </c>
      <c r="R424" s="17" t="s">
        <v>289</v>
      </c>
      <c r="S424" s="17"/>
      <c r="T424" s="17"/>
      <c r="U424" s="17"/>
    </row>
    <row r="425" spans="17:21" x14ac:dyDescent="0.25">
      <c r="Q425" s="17" t="s">
        <v>1622</v>
      </c>
      <c r="R425" s="17" t="s">
        <v>289</v>
      </c>
      <c r="S425" s="17"/>
      <c r="T425" s="17"/>
      <c r="U425" s="17"/>
    </row>
    <row r="426" spans="17:21" x14ac:dyDescent="0.25">
      <c r="Q426" s="17" t="s">
        <v>1623</v>
      </c>
      <c r="R426" s="17" t="s">
        <v>289</v>
      </c>
      <c r="S426" s="17"/>
      <c r="T426" s="17"/>
      <c r="U426" s="17"/>
    </row>
    <row r="427" spans="17:21" x14ac:dyDescent="0.25">
      <c r="Q427" s="17" t="s">
        <v>1624</v>
      </c>
      <c r="R427" s="17" t="s">
        <v>289</v>
      </c>
      <c r="S427" s="17"/>
      <c r="T427" s="17"/>
      <c r="U427" s="17"/>
    </row>
    <row r="428" spans="17:21" x14ac:dyDescent="0.25">
      <c r="Q428" s="17" t="s">
        <v>1625</v>
      </c>
      <c r="R428" s="17" t="s">
        <v>289</v>
      </c>
      <c r="S428" s="17"/>
      <c r="T428" s="17"/>
      <c r="U428" s="17"/>
    </row>
    <row r="429" spans="17:21" x14ac:dyDescent="0.25">
      <c r="Q429" s="17" t="s">
        <v>1626</v>
      </c>
      <c r="R429" s="17" t="s">
        <v>289</v>
      </c>
      <c r="S429" s="17"/>
      <c r="T429" s="17"/>
      <c r="U429" s="17"/>
    </row>
    <row r="430" spans="17:21" x14ac:dyDescent="0.25">
      <c r="Q430" s="17" t="s">
        <v>1627</v>
      </c>
      <c r="R430" s="17" t="s">
        <v>289</v>
      </c>
      <c r="S430" s="17"/>
      <c r="T430" s="17"/>
      <c r="U430" s="17"/>
    </row>
    <row r="431" spans="17:21" x14ac:dyDescent="0.25">
      <c r="Q431" s="17" t="s">
        <v>1252</v>
      </c>
      <c r="R431" s="17" t="s">
        <v>289</v>
      </c>
      <c r="S431" s="17"/>
      <c r="T431" s="17"/>
      <c r="U431" s="17"/>
    </row>
    <row r="432" spans="17:21" x14ac:dyDescent="0.25">
      <c r="Q432" s="17" t="s">
        <v>1628</v>
      </c>
      <c r="R432" s="17" t="s">
        <v>289</v>
      </c>
      <c r="S432" s="17"/>
      <c r="T432" s="17"/>
      <c r="U432" s="17"/>
    </row>
    <row r="433" spans="17:21" x14ac:dyDescent="0.25">
      <c r="Q433" s="17" t="s">
        <v>1629</v>
      </c>
      <c r="R433" s="17" t="s">
        <v>289</v>
      </c>
      <c r="S433" s="17"/>
      <c r="T433" s="17"/>
      <c r="U433" s="17"/>
    </row>
    <row r="434" spans="17:21" x14ac:dyDescent="0.25">
      <c r="Q434" s="17" t="s">
        <v>1630</v>
      </c>
      <c r="R434" s="17" t="s">
        <v>289</v>
      </c>
      <c r="S434" s="17"/>
      <c r="T434" s="17"/>
      <c r="U434" s="17"/>
    </row>
    <row r="435" spans="17:21" x14ac:dyDescent="0.25">
      <c r="Q435" s="17" t="s">
        <v>1631</v>
      </c>
      <c r="R435" s="17" t="s">
        <v>289</v>
      </c>
      <c r="S435" s="17"/>
      <c r="T435" s="17"/>
      <c r="U435" s="17"/>
    </row>
    <row r="436" spans="17:21" x14ac:dyDescent="0.25">
      <c r="Q436" s="17" t="s">
        <v>1632</v>
      </c>
      <c r="R436" s="17" t="s">
        <v>289</v>
      </c>
      <c r="S436" s="17"/>
      <c r="T436" s="17"/>
      <c r="U436" s="17"/>
    </row>
    <row r="437" spans="17:21" x14ac:dyDescent="0.25">
      <c r="Q437" s="17" t="s">
        <v>1633</v>
      </c>
      <c r="R437" s="17" t="s">
        <v>289</v>
      </c>
      <c r="S437" s="17"/>
      <c r="T437" s="17"/>
      <c r="U437" s="17"/>
    </row>
    <row r="438" spans="17:21" x14ac:dyDescent="0.25">
      <c r="Q438" s="17" t="s">
        <v>1634</v>
      </c>
      <c r="R438" s="17" t="s">
        <v>289</v>
      </c>
      <c r="S438" s="17"/>
      <c r="T438" s="17"/>
      <c r="U438" s="17"/>
    </row>
    <row r="439" spans="17:21" x14ac:dyDescent="0.25">
      <c r="Q439" s="17" t="s">
        <v>1635</v>
      </c>
      <c r="R439" s="17" t="s">
        <v>289</v>
      </c>
      <c r="S439" s="17"/>
      <c r="T439" s="17"/>
      <c r="U439" s="17"/>
    </row>
    <row r="440" spans="17:21" x14ac:dyDescent="0.25">
      <c r="Q440" s="17" t="s">
        <v>1636</v>
      </c>
      <c r="R440" s="17" t="s">
        <v>289</v>
      </c>
      <c r="S440" s="17"/>
      <c r="T440" s="17"/>
      <c r="U440" s="17"/>
    </row>
    <row r="441" spans="17:21" x14ac:dyDescent="0.25">
      <c r="Q441" s="17" t="s">
        <v>1637</v>
      </c>
      <c r="R441" s="17" t="s">
        <v>289</v>
      </c>
      <c r="S441" s="17"/>
      <c r="T441" s="17"/>
      <c r="U441" s="17"/>
    </row>
    <row r="442" spans="17:21" x14ac:dyDescent="0.25">
      <c r="Q442" s="17" t="s">
        <v>1638</v>
      </c>
      <c r="R442" s="17" t="s">
        <v>289</v>
      </c>
      <c r="S442" s="17"/>
      <c r="T442" s="17"/>
      <c r="U442" s="17"/>
    </row>
    <row r="443" spans="17:21" x14ac:dyDescent="0.25">
      <c r="Q443" s="17" t="s">
        <v>1639</v>
      </c>
      <c r="R443" s="17" t="s">
        <v>289</v>
      </c>
      <c r="S443" s="17"/>
      <c r="T443" s="17"/>
      <c r="U443" s="17"/>
    </row>
    <row r="444" spans="17:21" x14ac:dyDescent="0.25">
      <c r="Q444" s="17" t="s">
        <v>1042</v>
      </c>
      <c r="R444" s="17" t="s">
        <v>289</v>
      </c>
      <c r="S444" s="17"/>
      <c r="T444" s="17"/>
      <c r="U444" s="17"/>
    </row>
    <row r="445" spans="17:21" x14ac:dyDescent="0.25">
      <c r="Q445" s="17" t="s">
        <v>1640</v>
      </c>
      <c r="R445" s="17" t="s">
        <v>289</v>
      </c>
      <c r="S445" s="17"/>
      <c r="T445" s="17"/>
      <c r="U445" s="17"/>
    </row>
    <row r="446" spans="17:21" x14ac:dyDescent="0.25">
      <c r="Q446" s="17" t="s">
        <v>1641</v>
      </c>
      <c r="R446" s="17" t="s">
        <v>289</v>
      </c>
      <c r="S446" s="17"/>
      <c r="T446" s="17"/>
      <c r="U446" s="17"/>
    </row>
    <row r="447" spans="17:21" x14ac:dyDescent="0.25">
      <c r="Q447" s="17" t="s">
        <v>1642</v>
      </c>
      <c r="R447" s="17" t="s">
        <v>289</v>
      </c>
      <c r="S447" s="17"/>
      <c r="T447" s="17"/>
      <c r="U447" s="17"/>
    </row>
    <row r="448" spans="17:21" x14ac:dyDescent="0.25">
      <c r="Q448" s="17" t="s">
        <v>1643</v>
      </c>
      <c r="R448" s="17" t="s">
        <v>289</v>
      </c>
      <c r="S448" s="17"/>
      <c r="T448" s="17"/>
      <c r="U448" s="17"/>
    </row>
    <row r="449" spans="17:21" x14ac:dyDescent="0.25">
      <c r="Q449" s="17" t="s">
        <v>1644</v>
      </c>
      <c r="R449" s="17" t="s">
        <v>289</v>
      </c>
      <c r="S449" s="17"/>
      <c r="T449" s="17"/>
      <c r="U449" s="17"/>
    </row>
    <row r="450" spans="17:21" x14ac:dyDescent="0.25">
      <c r="Q450" s="17" t="s">
        <v>1017</v>
      </c>
      <c r="R450" s="17" t="s">
        <v>289</v>
      </c>
      <c r="S450" s="17"/>
      <c r="T450" s="17"/>
      <c r="U450" s="17"/>
    </row>
    <row r="451" spans="17:21" x14ac:dyDescent="0.25">
      <c r="Q451" s="17" t="s">
        <v>1645</v>
      </c>
      <c r="R451" s="17" t="s">
        <v>289</v>
      </c>
      <c r="S451" s="17"/>
      <c r="T451" s="17"/>
      <c r="U451" s="17"/>
    </row>
    <row r="452" spans="17:21" x14ac:dyDescent="0.25">
      <c r="Q452" s="17" t="s">
        <v>1646</v>
      </c>
      <c r="R452" s="17" t="s">
        <v>289</v>
      </c>
      <c r="S452" s="17"/>
      <c r="T452" s="17"/>
      <c r="U452" s="17"/>
    </row>
    <row r="453" spans="17:21" x14ac:dyDescent="0.25">
      <c r="Q453" s="17" t="s">
        <v>1647</v>
      </c>
      <c r="R453" s="17" t="s">
        <v>289</v>
      </c>
      <c r="S453" s="17"/>
      <c r="T453" s="17"/>
      <c r="U453" s="17"/>
    </row>
    <row r="454" spans="17:21" x14ac:dyDescent="0.25">
      <c r="Q454" s="17" t="s">
        <v>1648</v>
      </c>
      <c r="R454" s="17" t="s">
        <v>289</v>
      </c>
      <c r="S454" s="17"/>
      <c r="T454" s="17"/>
      <c r="U454" s="17"/>
    </row>
    <row r="455" spans="17:21" x14ac:dyDescent="0.25">
      <c r="Q455" s="17" t="s">
        <v>1649</v>
      </c>
      <c r="R455" s="17" t="s">
        <v>289</v>
      </c>
      <c r="S455" s="17"/>
      <c r="T455" s="17"/>
      <c r="U455" s="17"/>
    </row>
    <row r="456" spans="17:21" x14ac:dyDescent="0.25">
      <c r="Q456" s="17" t="s">
        <v>1650</v>
      </c>
      <c r="R456" s="17" t="s">
        <v>289</v>
      </c>
      <c r="S456" s="17"/>
      <c r="T456" s="17"/>
      <c r="U456" s="17"/>
    </row>
    <row r="457" spans="17:21" x14ac:dyDescent="0.25">
      <c r="Q457" s="17" t="s">
        <v>1651</v>
      </c>
      <c r="R457" s="17" t="s">
        <v>289</v>
      </c>
      <c r="S457" s="17"/>
      <c r="T457" s="17"/>
      <c r="U457" s="17"/>
    </row>
    <row r="458" spans="17:21" x14ac:dyDescent="0.25">
      <c r="Q458" s="17" t="s">
        <v>1652</v>
      </c>
      <c r="R458" s="17" t="s">
        <v>289</v>
      </c>
      <c r="S458" s="17"/>
      <c r="T458" s="17"/>
      <c r="U458" s="17"/>
    </row>
    <row r="459" spans="17:21" x14ac:dyDescent="0.25">
      <c r="Q459" s="17" t="s">
        <v>1653</v>
      </c>
      <c r="R459" s="17" t="s">
        <v>289</v>
      </c>
      <c r="S459" s="17"/>
      <c r="T459" s="17"/>
      <c r="U459" s="17"/>
    </row>
    <row r="460" spans="17:21" x14ac:dyDescent="0.25">
      <c r="Q460" s="17" t="s">
        <v>1654</v>
      </c>
      <c r="R460" s="17" t="s">
        <v>289</v>
      </c>
      <c r="S460" s="17"/>
      <c r="T460" s="17"/>
      <c r="U460" s="17"/>
    </row>
    <row r="461" spans="17:21" x14ac:dyDescent="0.25">
      <c r="Q461" s="17" t="s">
        <v>1655</v>
      </c>
      <c r="R461" s="17" t="s">
        <v>289</v>
      </c>
      <c r="S461" s="17"/>
      <c r="T461" s="17"/>
      <c r="U461" s="17"/>
    </row>
    <row r="462" spans="17:21" x14ac:dyDescent="0.25">
      <c r="Q462" s="17" t="s">
        <v>1656</v>
      </c>
      <c r="R462" s="17" t="s">
        <v>289</v>
      </c>
      <c r="S462" s="17"/>
      <c r="T462" s="17"/>
      <c r="U462" s="17"/>
    </row>
    <row r="463" spans="17:21" x14ac:dyDescent="0.25">
      <c r="Q463" s="17" t="s">
        <v>1657</v>
      </c>
      <c r="R463" s="17" t="s">
        <v>289</v>
      </c>
      <c r="S463" s="17"/>
      <c r="T463" s="17"/>
      <c r="U463" s="17"/>
    </row>
    <row r="464" spans="17:21" x14ac:dyDescent="0.25">
      <c r="Q464" s="17" t="s">
        <v>1658</v>
      </c>
      <c r="R464" s="17" t="s">
        <v>289</v>
      </c>
      <c r="S464" s="17"/>
      <c r="T464" s="17"/>
      <c r="U464" s="17"/>
    </row>
    <row r="465" spans="17:21" x14ac:dyDescent="0.25">
      <c r="Q465" s="17" t="s">
        <v>1659</v>
      </c>
      <c r="R465" s="17" t="s">
        <v>289</v>
      </c>
      <c r="S465" s="17"/>
      <c r="T465" s="17"/>
      <c r="U465" s="17"/>
    </row>
    <row r="466" spans="17:21" x14ac:dyDescent="0.25">
      <c r="Q466" s="17" t="s">
        <v>1660</v>
      </c>
      <c r="R466" s="17" t="s">
        <v>289</v>
      </c>
      <c r="S466" s="17"/>
      <c r="T466" s="17"/>
      <c r="U466" s="17"/>
    </row>
    <row r="467" spans="17:21" x14ac:dyDescent="0.25">
      <c r="Q467" s="17" t="s">
        <v>1661</v>
      </c>
      <c r="R467" s="17" t="s">
        <v>289</v>
      </c>
      <c r="S467" s="17"/>
      <c r="T467" s="17"/>
      <c r="U467" s="17"/>
    </row>
    <row r="468" spans="17:21" x14ac:dyDescent="0.25">
      <c r="Q468" s="17" t="s">
        <v>1662</v>
      </c>
      <c r="R468" s="17" t="s">
        <v>289</v>
      </c>
      <c r="S468" s="17"/>
      <c r="T468" s="17"/>
      <c r="U468" s="17"/>
    </row>
    <row r="469" spans="17:21" x14ac:dyDescent="0.25">
      <c r="Q469" s="17" t="s">
        <v>1663</v>
      </c>
      <c r="R469" s="17" t="s">
        <v>289</v>
      </c>
      <c r="S469" s="17"/>
      <c r="T469" s="17"/>
      <c r="U469" s="17"/>
    </row>
    <row r="470" spans="17:21" x14ac:dyDescent="0.25">
      <c r="Q470" s="17" t="s">
        <v>1664</v>
      </c>
      <c r="R470" s="17" t="s">
        <v>289</v>
      </c>
      <c r="S470" s="17"/>
      <c r="T470" s="17"/>
      <c r="U470" s="17"/>
    </row>
    <row r="471" spans="17:21" x14ac:dyDescent="0.25">
      <c r="Q471" s="17" t="s">
        <v>1665</v>
      </c>
      <c r="R471" s="17" t="s">
        <v>289</v>
      </c>
      <c r="S471" s="17"/>
      <c r="T471" s="17"/>
      <c r="U471" s="17"/>
    </row>
    <row r="472" spans="17:21" x14ac:dyDescent="0.25">
      <c r="Q472" s="17" t="s">
        <v>1666</v>
      </c>
      <c r="R472" s="17" t="s">
        <v>289</v>
      </c>
      <c r="S472" s="17"/>
      <c r="T472" s="17"/>
      <c r="U472" s="17"/>
    </row>
    <row r="473" spans="17:21" x14ac:dyDescent="0.25">
      <c r="Q473" s="17" t="s">
        <v>1667</v>
      </c>
      <c r="R473" s="17" t="s">
        <v>289</v>
      </c>
      <c r="S473" s="17"/>
      <c r="T473" s="17"/>
      <c r="U473" s="17"/>
    </row>
    <row r="474" spans="17:21" x14ac:dyDescent="0.25">
      <c r="Q474" s="17" t="s">
        <v>1668</v>
      </c>
      <c r="R474" s="17" t="s">
        <v>289</v>
      </c>
      <c r="S474" s="17"/>
      <c r="T474" s="17"/>
      <c r="U474" s="17"/>
    </row>
    <row r="475" spans="17:21" x14ac:dyDescent="0.25">
      <c r="Q475" s="17" t="s">
        <v>1669</v>
      </c>
      <c r="R475" s="17" t="s">
        <v>289</v>
      </c>
      <c r="S475" s="17"/>
      <c r="T475" s="17"/>
      <c r="U475" s="17"/>
    </row>
    <row r="476" spans="17:21" x14ac:dyDescent="0.25">
      <c r="Q476" s="17" t="s">
        <v>1303</v>
      </c>
      <c r="R476" s="17" t="s">
        <v>289</v>
      </c>
      <c r="S476" s="17"/>
      <c r="T476" s="17"/>
      <c r="U476" s="17"/>
    </row>
    <row r="477" spans="17:21" x14ac:dyDescent="0.25">
      <c r="Q477" s="17" t="s">
        <v>1670</v>
      </c>
      <c r="R477" s="17" t="s">
        <v>289</v>
      </c>
      <c r="S477" s="17"/>
      <c r="T477" s="17"/>
      <c r="U477" s="17"/>
    </row>
    <row r="478" spans="17:21" x14ac:dyDescent="0.25">
      <c r="Q478" s="17" t="s">
        <v>1671</v>
      </c>
      <c r="R478" s="17" t="s">
        <v>289</v>
      </c>
      <c r="S478" s="17"/>
      <c r="T478" s="17"/>
      <c r="U478" s="17"/>
    </row>
    <row r="479" spans="17:21" x14ac:dyDescent="0.25">
      <c r="Q479" s="17" t="s">
        <v>1672</v>
      </c>
      <c r="R479" s="17" t="s">
        <v>289</v>
      </c>
      <c r="S479" s="17"/>
      <c r="T479" s="17"/>
      <c r="U479" s="17"/>
    </row>
    <row r="480" spans="17:21" x14ac:dyDescent="0.25">
      <c r="Q480" s="17" t="s">
        <v>1673</v>
      </c>
      <c r="R480" s="17" t="s">
        <v>289</v>
      </c>
      <c r="S480" s="17"/>
      <c r="T480" s="17"/>
      <c r="U480" s="17"/>
    </row>
    <row r="481" spans="17:21" x14ac:dyDescent="0.25">
      <c r="Q481" s="17" t="s">
        <v>1674</v>
      </c>
      <c r="R481" s="17" t="s">
        <v>289</v>
      </c>
      <c r="S481" s="17"/>
      <c r="T481" s="17"/>
      <c r="U481" s="17"/>
    </row>
    <row r="482" spans="17:21" x14ac:dyDescent="0.25">
      <c r="Q482" s="17" t="s">
        <v>1675</v>
      </c>
      <c r="R482" s="17" t="s">
        <v>289</v>
      </c>
      <c r="S482" s="17"/>
      <c r="T482" s="17"/>
      <c r="U482" s="17"/>
    </row>
    <row r="483" spans="17:21" x14ac:dyDescent="0.25">
      <c r="Q483" s="17" t="s">
        <v>1676</v>
      </c>
      <c r="R483" s="17" t="s">
        <v>289</v>
      </c>
      <c r="S483" s="17"/>
      <c r="T483" s="17"/>
      <c r="U483" s="17"/>
    </row>
    <row r="484" spans="17:21" x14ac:dyDescent="0.25">
      <c r="Q484" s="17" t="s">
        <v>1677</v>
      </c>
      <c r="R484" s="17" t="s">
        <v>289</v>
      </c>
      <c r="S484" s="17"/>
      <c r="T484" s="17"/>
      <c r="U484" s="17"/>
    </row>
    <row r="485" spans="17:21" x14ac:dyDescent="0.25">
      <c r="Q485" s="17" t="s">
        <v>1678</v>
      </c>
      <c r="R485" s="17" t="s">
        <v>289</v>
      </c>
      <c r="S485" s="17"/>
      <c r="T485" s="17"/>
      <c r="U485" s="17"/>
    </row>
    <row r="486" spans="17:21" x14ac:dyDescent="0.25">
      <c r="Q486" s="17" t="s">
        <v>1679</v>
      </c>
      <c r="R486" s="17" t="s">
        <v>289</v>
      </c>
      <c r="S486" s="17"/>
      <c r="T486" s="17"/>
      <c r="U486" s="17"/>
    </row>
    <row r="487" spans="17:21" x14ac:dyDescent="0.25">
      <c r="Q487" s="17" t="s">
        <v>1680</v>
      </c>
      <c r="R487" s="17" t="s">
        <v>289</v>
      </c>
      <c r="S487" s="17"/>
      <c r="T487" s="17"/>
      <c r="U487" s="17"/>
    </row>
    <row r="488" spans="17:21" x14ac:dyDescent="0.25">
      <c r="Q488" s="17" t="s">
        <v>838</v>
      </c>
      <c r="R488" s="17" t="s">
        <v>289</v>
      </c>
      <c r="S488" s="17"/>
      <c r="T488" s="17"/>
      <c r="U488" s="17"/>
    </row>
    <row r="489" spans="17:21" x14ac:dyDescent="0.25">
      <c r="Q489" s="17" t="s">
        <v>526</v>
      </c>
      <c r="R489" s="17" t="s">
        <v>289</v>
      </c>
      <c r="S489" s="17"/>
      <c r="T489" s="17"/>
      <c r="U489" s="17"/>
    </row>
    <row r="490" spans="17:21" x14ac:dyDescent="0.25">
      <c r="Q490" s="17" t="s">
        <v>1138</v>
      </c>
      <c r="R490" s="17" t="s">
        <v>289</v>
      </c>
      <c r="S490" s="17"/>
      <c r="T490" s="17"/>
      <c r="U490" s="17"/>
    </row>
    <row r="491" spans="17:21" x14ac:dyDescent="0.25">
      <c r="Q491" s="17" t="s">
        <v>839</v>
      </c>
      <c r="R491" s="17" t="s">
        <v>289</v>
      </c>
      <c r="S491" s="17"/>
      <c r="T491" s="17"/>
      <c r="U491" s="17"/>
    </row>
    <row r="492" spans="17:21" x14ac:dyDescent="0.25">
      <c r="Q492" s="17" t="s">
        <v>959</v>
      </c>
      <c r="R492" s="17" t="s">
        <v>289</v>
      </c>
      <c r="S492" s="17"/>
      <c r="T492" s="17"/>
      <c r="U492" s="17"/>
    </row>
    <row r="493" spans="17:21" x14ac:dyDescent="0.25">
      <c r="Q493" s="17" t="s">
        <v>1681</v>
      </c>
      <c r="R493" s="17" t="s">
        <v>289</v>
      </c>
      <c r="S493" s="17"/>
      <c r="T493" s="17"/>
      <c r="U493" s="17"/>
    </row>
    <row r="494" spans="17:21" x14ac:dyDescent="0.25">
      <c r="Q494" s="17" t="s">
        <v>1682</v>
      </c>
      <c r="R494" s="17" t="s">
        <v>289</v>
      </c>
      <c r="S494" s="17"/>
      <c r="T494" s="17"/>
      <c r="U494" s="17"/>
    </row>
    <row r="495" spans="17:21" x14ac:dyDescent="0.25">
      <c r="Q495" s="17" t="s">
        <v>1176</v>
      </c>
      <c r="R495" s="17" t="s">
        <v>289</v>
      </c>
      <c r="S495" s="17"/>
      <c r="T495" s="17"/>
      <c r="U495" s="17"/>
    </row>
    <row r="496" spans="17:21" x14ac:dyDescent="0.25">
      <c r="Q496" s="17" t="s">
        <v>1683</v>
      </c>
      <c r="R496" s="17" t="s">
        <v>289</v>
      </c>
      <c r="S496" s="17"/>
      <c r="T496" s="17"/>
      <c r="U496" s="17"/>
    </row>
    <row r="497" spans="17:21" x14ac:dyDescent="0.25">
      <c r="Q497" s="17" t="s">
        <v>1684</v>
      </c>
      <c r="R497" s="17" t="s">
        <v>289</v>
      </c>
      <c r="S497" s="17"/>
      <c r="T497" s="17"/>
      <c r="U497" s="17"/>
    </row>
    <row r="498" spans="17:21" x14ac:dyDescent="0.25">
      <c r="Q498" s="17" t="s">
        <v>1262</v>
      </c>
      <c r="R498" s="17" t="s">
        <v>289</v>
      </c>
      <c r="S498" s="17"/>
      <c r="T498" s="17"/>
      <c r="U498" s="17"/>
    </row>
    <row r="499" spans="17:21" x14ac:dyDescent="0.25">
      <c r="Q499" s="17" t="s">
        <v>1685</v>
      </c>
      <c r="R499" s="17" t="s">
        <v>289</v>
      </c>
      <c r="S499" s="17"/>
      <c r="T499" s="17"/>
      <c r="U499" s="17"/>
    </row>
    <row r="500" spans="17:21" x14ac:dyDescent="0.25">
      <c r="Q500" s="17" t="s">
        <v>840</v>
      </c>
      <c r="R500" s="17" t="s">
        <v>289</v>
      </c>
      <c r="S500" s="17"/>
      <c r="T500" s="17"/>
      <c r="U500" s="17"/>
    </row>
    <row r="501" spans="17:21" x14ac:dyDescent="0.25">
      <c r="Q501" s="17" t="s">
        <v>841</v>
      </c>
      <c r="R501" s="17" t="s">
        <v>289</v>
      </c>
      <c r="S501" s="17"/>
      <c r="T501" s="17"/>
      <c r="U501" s="17"/>
    </row>
    <row r="502" spans="17:21" x14ac:dyDescent="0.25">
      <c r="Q502" s="17" t="s">
        <v>1686</v>
      </c>
      <c r="R502" s="17" t="s">
        <v>291</v>
      </c>
      <c r="S502" s="17"/>
      <c r="T502" s="17"/>
      <c r="U502" s="17"/>
    </row>
    <row r="503" spans="17:21" x14ac:dyDescent="0.25">
      <c r="Q503" s="17" t="s">
        <v>1687</v>
      </c>
      <c r="R503" s="17" t="s">
        <v>291</v>
      </c>
      <c r="S503" s="17"/>
      <c r="T503" s="17"/>
      <c r="U503" s="17"/>
    </row>
    <row r="504" spans="17:21" x14ac:dyDescent="0.25">
      <c r="Q504" s="17" t="s">
        <v>1688</v>
      </c>
      <c r="R504" s="17" t="s">
        <v>291</v>
      </c>
      <c r="S504" s="17"/>
      <c r="T504" s="17"/>
      <c r="U504" s="17"/>
    </row>
    <row r="505" spans="17:21" x14ac:dyDescent="0.25">
      <c r="Q505" s="17" t="s">
        <v>1137</v>
      </c>
      <c r="R505" s="17" t="s">
        <v>291</v>
      </c>
      <c r="S505" s="17"/>
      <c r="T505" s="17"/>
      <c r="U505" s="17"/>
    </row>
    <row r="506" spans="17:21" x14ac:dyDescent="0.25">
      <c r="Q506" s="17" t="s">
        <v>1689</v>
      </c>
      <c r="R506" s="17" t="s">
        <v>291</v>
      </c>
      <c r="S506" s="17"/>
      <c r="T506" s="17"/>
      <c r="U506" s="17"/>
    </row>
    <row r="507" spans="17:21" x14ac:dyDescent="0.25">
      <c r="Q507" s="17" t="s">
        <v>1690</v>
      </c>
      <c r="R507" s="17" t="s">
        <v>291</v>
      </c>
      <c r="S507" s="17"/>
      <c r="T507" s="17"/>
      <c r="U507" s="17"/>
    </row>
    <row r="508" spans="17:21" x14ac:dyDescent="0.25">
      <c r="Q508" s="17" t="s">
        <v>910</v>
      </c>
      <c r="R508" s="17" t="s">
        <v>291</v>
      </c>
      <c r="S508" s="17"/>
      <c r="T508" s="17"/>
      <c r="U508" s="17"/>
    </row>
    <row r="509" spans="17:21" x14ac:dyDescent="0.25">
      <c r="Q509" s="17" t="s">
        <v>1691</v>
      </c>
      <c r="R509" s="17" t="s">
        <v>291</v>
      </c>
      <c r="S509" s="17"/>
      <c r="T509" s="17"/>
      <c r="U509" s="17"/>
    </row>
    <row r="510" spans="17:21" x14ac:dyDescent="0.25">
      <c r="Q510" s="17" t="s">
        <v>1692</v>
      </c>
      <c r="R510" s="17" t="s">
        <v>291</v>
      </c>
      <c r="S510" s="17"/>
      <c r="T510" s="17"/>
      <c r="U510" s="17"/>
    </row>
    <row r="511" spans="17:21" x14ac:dyDescent="0.25">
      <c r="Q511" s="17" t="s">
        <v>1693</v>
      </c>
      <c r="R511" s="17" t="s">
        <v>291</v>
      </c>
      <c r="S511" s="17"/>
      <c r="T511" s="17"/>
      <c r="U511" s="17"/>
    </row>
    <row r="512" spans="17:21" x14ac:dyDescent="0.25">
      <c r="Q512" s="17" t="s">
        <v>1694</v>
      </c>
      <c r="R512" s="17" t="s">
        <v>291</v>
      </c>
      <c r="S512" s="17"/>
      <c r="T512" s="17"/>
      <c r="U512" s="17"/>
    </row>
    <row r="513" spans="17:21" x14ac:dyDescent="0.25">
      <c r="Q513" s="17" t="s">
        <v>748</v>
      </c>
      <c r="R513" s="17" t="s">
        <v>291</v>
      </c>
      <c r="S513" s="17"/>
      <c r="T513" s="17"/>
      <c r="U513" s="17"/>
    </row>
    <row r="514" spans="17:21" x14ac:dyDescent="0.25">
      <c r="Q514" s="17" t="s">
        <v>1695</v>
      </c>
      <c r="R514" s="17" t="s">
        <v>291</v>
      </c>
      <c r="S514" s="17"/>
      <c r="T514" s="17"/>
      <c r="U514" s="17"/>
    </row>
    <row r="515" spans="17:21" x14ac:dyDescent="0.25">
      <c r="Q515" s="17" t="s">
        <v>1696</v>
      </c>
      <c r="R515" s="17" t="s">
        <v>291</v>
      </c>
      <c r="S515" s="17"/>
      <c r="T515" s="17"/>
      <c r="U515" s="17"/>
    </row>
    <row r="516" spans="17:21" x14ac:dyDescent="0.25">
      <c r="Q516" s="17" t="s">
        <v>1697</v>
      </c>
      <c r="R516" s="17" t="s">
        <v>291</v>
      </c>
      <c r="S516" s="17"/>
      <c r="T516" s="17"/>
      <c r="U516" s="17"/>
    </row>
    <row r="517" spans="17:21" x14ac:dyDescent="0.25">
      <c r="Q517" s="17" t="s">
        <v>1698</v>
      </c>
      <c r="R517" s="17" t="s">
        <v>291</v>
      </c>
      <c r="S517" s="17"/>
      <c r="T517" s="17"/>
      <c r="U517" s="17"/>
    </row>
    <row r="518" spans="17:21" x14ac:dyDescent="0.25">
      <c r="Q518" s="17" t="s">
        <v>1699</v>
      </c>
      <c r="R518" s="17" t="s">
        <v>291</v>
      </c>
      <c r="S518" s="17"/>
      <c r="T518" s="17"/>
      <c r="U518" s="17"/>
    </row>
    <row r="519" spans="17:21" x14ac:dyDescent="0.25">
      <c r="Q519" s="17" t="s">
        <v>1700</v>
      </c>
      <c r="R519" s="17" t="s">
        <v>291</v>
      </c>
      <c r="S519" s="17"/>
      <c r="T519" s="17"/>
      <c r="U519" s="17"/>
    </row>
    <row r="520" spans="17:21" x14ac:dyDescent="0.25">
      <c r="Q520" s="17" t="s">
        <v>1701</v>
      </c>
      <c r="R520" s="17" t="s">
        <v>291</v>
      </c>
      <c r="S520" s="17"/>
      <c r="T520" s="17"/>
      <c r="U520" s="17"/>
    </row>
    <row r="521" spans="17:21" x14ac:dyDescent="0.25">
      <c r="Q521" s="17" t="s">
        <v>1702</v>
      </c>
      <c r="R521" s="17" t="s">
        <v>291</v>
      </c>
      <c r="S521" s="17"/>
      <c r="T521" s="17"/>
      <c r="U521" s="17"/>
    </row>
    <row r="522" spans="17:21" x14ac:dyDescent="0.25">
      <c r="Q522" s="17" t="s">
        <v>1703</v>
      </c>
      <c r="R522" s="17" t="s">
        <v>291</v>
      </c>
      <c r="S522" s="17"/>
      <c r="T522" s="17"/>
      <c r="U522" s="17"/>
    </row>
    <row r="523" spans="17:21" x14ac:dyDescent="0.25">
      <c r="Q523" s="17" t="s">
        <v>1704</v>
      </c>
      <c r="R523" s="17" t="s">
        <v>291</v>
      </c>
      <c r="S523" s="17"/>
      <c r="T523" s="17"/>
      <c r="U523" s="17"/>
    </row>
    <row r="524" spans="17:21" x14ac:dyDescent="0.25">
      <c r="Q524" s="17" t="s">
        <v>1705</v>
      </c>
      <c r="R524" s="17" t="s">
        <v>291</v>
      </c>
      <c r="S524" s="17"/>
      <c r="T524" s="17"/>
      <c r="U524" s="17"/>
    </row>
    <row r="525" spans="17:21" x14ac:dyDescent="0.25">
      <c r="Q525" s="17" t="s">
        <v>1706</v>
      </c>
      <c r="R525" s="17" t="s">
        <v>291</v>
      </c>
      <c r="S525" s="17"/>
      <c r="T525" s="17"/>
      <c r="U525" s="17"/>
    </row>
    <row r="526" spans="17:21" x14ac:dyDescent="0.25">
      <c r="Q526" s="17" t="s">
        <v>709</v>
      </c>
      <c r="R526" s="17" t="s">
        <v>291</v>
      </c>
      <c r="S526" s="17"/>
      <c r="T526" s="17"/>
      <c r="U526" s="17"/>
    </row>
    <row r="527" spans="17:21" x14ac:dyDescent="0.25">
      <c r="Q527" s="17" t="s">
        <v>1707</v>
      </c>
      <c r="R527" s="17" t="s">
        <v>291</v>
      </c>
      <c r="S527" s="17"/>
      <c r="T527" s="17"/>
      <c r="U527" s="17"/>
    </row>
    <row r="528" spans="17:21" x14ac:dyDescent="0.25">
      <c r="Q528" s="17" t="s">
        <v>1293</v>
      </c>
      <c r="R528" s="17" t="s">
        <v>291</v>
      </c>
      <c r="S528" s="17"/>
      <c r="T528" s="17"/>
      <c r="U528" s="17"/>
    </row>
    <row r="529" spans="17:21" x14ac:dyDescent="0.25">
      <c r="Q529" s="17" t="s">
        <v>1708</v>
      </c>
      <c r="R529" s="17" t="s">
        <v>291</v>
      </c>
      <c r="S529" s="17"/>
      <c r="T529" s="17"/>
      <c r="U529" s="17"/>
    </row>
    <row r="530" spans="17:21" x14ac:dyDescent="0.25">
      <c r="Q530" s="17" t="s">
        <v>1709</v>
      </c>
      <c r="R530" s="17" t="s">
        <v>291</v>
      </c>
      <c r="S530" s="17"/>
      <c r="T530" s="17"/>
      <c r="U530" s="17"/>
    </row>
    <row r="531" spans="17:21" x14ac:dyDescent="0.25">
      <c r="Q531" s="17" t="s">
        <v>1710</v>
      </c>
      <c r="R531" s="17" t="s">
        <v>291</v>
      </c>
      <c r="S531" s="17"/>
      <c r="T531" s="17"/>
      <c r="U531" s="17"/>
    </row>
    <row r="532" spans="17:21" x14ac:dyDescent="0.25">
      <c r="Q532" s="17" t="s">
        <v>1711</v>
      </c>
      <c r="R532" s="17" t="s">
        <v>291</v>
      </c>
      <c r="S532" s="17"/>
      <c r="T532" s="17"/>
      <c r="U532" s="17"/>
    </row>
    <row r="533" spans="17:21" x14ac:dyDescent="0.25">
      <c r="Q533" s="17" t="s">
        <v>1712</v>
      </c>
      <c r="R533" s="17" t="s">
        <v>291</v>
      </c>
      <c r="S533" s="17"/>
      <c r="T533" s="17"/>
      <c r="U533" s="17"/>
    </row>
    <row r="534" spans="17:21" x14ac:dyDescent="0.25">
      <c r="Q534" s="17" t="s">
        <v>365</v>
      </c>
      <c r="R534" s="17" t="s">
        <v>291</v>
      </c>
      <c r="S534" s="17"/>
      <c r="T534" s="17"/>
      <c r="U534" s="17"/>
    </row>
    <row r="535" spans="17:21" x14ac:dyDescent="0.25">
      <c r="Q535" s="17" t="s">
        <v>1713</v>
      </c>
      <c r="R535" s="17" t="s">
        <v>291</v>
      </c>
      <c r="S535" s="17"/>
      <c r="T535" s="17"/>
      <c r="U535" s="17"/>
    </row>
    <row r="536" spans="17:21" x14ac:dyDescent="0.25">
      <c r="Q536" s="17" t="s">
        <v>827</v>
      </c>
      <c r="R536" s="17" t="s">
        <v>291</v>
      </c>
      <c r="S536" s="17"/>
      <c r="T536" s="17"/>
      <c r="U536" s="17"/>
    </row>
    <row r="537" spans="17:21" x14ac:dyDescent="0.25">
      <c r="Q537" s="17" t="s">
        <v>1714</v>
      </c>
      <c r="R537" s="17" t="s">
        <v>291</v>
      </c>
      <c r="S537" s="17"/>
      <c r="T537" s="17"/>
      <c r="U537" s="17"/>
    </row>
    <row r="538" spans="17:21" x14ac:dyDescent="0.25">
      <c r="Q538" s="17" t="s">
        <v>1279</v>
      </c>
      <c r="R538" s="17" t="s">
        <v>291</v>
      </c>
      <c r="S538" s="17"/>
      <c r="T538" s="17"/>
      <c r="U538" s="17"/>
    </row>
    <row r="539" spans="17:21" x14ac:dyDescent="0.25">
      <c r="Q539" s="17" t="s">
        <v>1715</v>
      </c>
      <c r="R539" s="17" t="s">
        <v>291</v>
      </c>
      <c r="S539" s="17"/>
      <c r="T539" s="17"/>
      <c r="U539" s="17"/>
    </row>
    <row r="540" spans="17:21" x14ac:dyDescent="0.25">
      <c r="Q540" s="17" t="s">
        <v>1716</v>
      </c>
      <c r="R540" s="17" t="s">
        <v>291</v>
      </c>
      <c r="S540" s="17"/>
      <c r="T540" s="17"/>
      <c r="U540" s="17"/>
    </row>
    <row r="541" spans="17:21" x14ac:dyDescent="0.25">
      <c r="Q541" s="17" t="s">
        <v>1717</v>
      </c>
      <c r="R541" s="17" t="s">
        <v>291</v>
      </c>
      <c r="S541" s="17"/>
      <c r="T541" s="17"/>
      <c r="U541" s="17"/>
    </row>
    <row r="542" spans="17:21" x14ac:dyDescent="0.25">
      <c r="Q542" s="17" t="s">
        <v>1718</v>
      </c>
      <c r="R542" s="17" t="s">
        <v>291</v>
      </c>
      <c r="S542" s="17"/>
      <c r="T542" s="17"/>
      <c r="U542" s="17"/>
    </row>
    <row r="543" spans="17:21" x14ac:dyDescent="0.25">
      <c r="Q543" s="17" t="s">
        <v>1719</v>
      </c>
      <c r="R543" s="17" t="s">
        <v>291</v>
      </c>
      <c r="S543" s="17"/>
      <c r="T543" s="17"/>
      <c r="U543" s="17"/>
    </row>
    <row r="544" spans="17:21" x14ac:dyDescent="0.25">
      <c r="Q544" s="17" t="s">
        <v>1720</v>
      </c>
      <c r="R544" s="17" t="s">
        <v>291</v>
      </c>
      <c r="S544" s="17"/>
      <c r="T544" s="17"/>
      <c r="U544" s="17"/>
    </row>
    <row r="545" spans="17:21" x14ac:dyDescent="0.25">
      <c r="Q545" s="17" t="s">
        <v>1721</v>
      </c>
      <c r="R545" s="17" t="s">
        <v>291</v>
      </c>
      <c r="S545" s="17"/>
      <c r="T545" s="17"/>
      <c r="U545" s="17"/>
    </row>
    <row r="546" spans="17:21" x14ac:dyDescent="0.25">
      <c r="Q546" s="17" t="s">
        <v>1722</v>
      </c>
      <c r="R546" s="17" t="s">
        <v>291</v>
      </c>
      <c r="S546" s="17"/>
      <c r="T546" s="17"/>
      <c r="U546" s="17"/>
    </row>
    <row r="547" spans="17:21" x14ac:dyDescent="0.25">
      <c r="Q547" s="17" t="s">
        <v>828</v>
      </c>
      <c r="R547" s="17" t="s">
        <v>291</v>
      </c>
      <c r="S547" s="17"/>
      <c r="T547" s="17"/>
      <c r="U547" s="17"/>
    </row>
    <row r="548" spans="17:21" x14ac:dyDescent="0.25">
      <c r="Q548" s="17" t="s">
        <v>1723</v>
      </c>
      <c r="R548" s="17" t="s">
        <v>291</v>
      </c>
      <c r="S548" s="17"/>
      <c r="T548" s="17"/>
      <c r="U548" s="17"/>
    </row>
    <row r="549" spans="17:21" x14ac:dyDescent="0.25">
      <c r="Q549" s="17" t="s">
        <v>829</v>
      </c>
      <c r="R549" s="17" t="s">
        <v>291</v>
      </c>
      <c r="S549" s="17"/>
      <c r="T549" s="17"/>
      <c r="U549" s="17"/>
    </row>
    <row r="550" spans="17:21" x14ac:dyDescent="0.25">
      <c r="Q550" s="17" t="s">
        <v>1724</v>
      </c>
      <c r="R550" s="17" t="s">
        <v>291</v>
      </c>
      <c r="S550" s="17"/>
      <c r="T550" s="17"/>
      <c r="U550" s="17"/>
    </row>
    <row r="551" spans="17:21" x14ac:dyDescent="0.25">
      <c r="Q551" s="17" t="s">
        <v>1725</v>
      </c>
      <c r="R551" s="17" t="s">
        <v>291</v>
      </c>
      <c r="S551" s="17"/>
      <c r="T551" s="17"/>
      <c r="U551" s="17"/>
    </row>
    <row r="552" spans="17:21" x14ac:dyDescent="0.25">
      <c r="Q552" s="17" t="s">
        <v>1726</v>
      </c>
      <c r="R552" s="17" t="s">
        <v>291</v>
      </c>
      <c r="S552" s="17"/>
      <c r="T552" s="17"/>
      <c r="U552" s="17"/>
    </row>
    <row r="553" spans="17:21" x14ac:dyDescent="0.25">
      <c r="Q553" s="17" t="s">
        <v>1727</v>
      </c>
      <c r="R553" s="17" t="s">
        <v>291</v>
      </c>
      <c r="S553" s="17"/>
      <c r="T553" s="17"/>
      <c r="U553" s="17"/>
    </row>
    <row r="554" spans="17:21" x14ac:dyDescent="0.25">
      <c r="Q554" s="17" t="s">
        <v>821</v>
      </c>
      <c r="R554" s="17" t="s">
        <v>291</v>
      </c>
      <c r="S554" s="17"/>
      <c r="T554" s="17"/>
      <c r="U554" s="17"/>
    </row>
    <row r="555" spans="17:21" x14ac:dyDescent="0.25">
      <c r="Q555" s="17" t="s">
        <v>1106</v>
      </c>
      <c r="R555" s="17" t="s">
        <v>291</v>
      </c>
      <c r="S555" s="17"/>
      <c r="T555" s="17"/>
      <c r="U555" s="17"/>
    </row>
    <row r="556" spans="17:21" x14ac:dyDescent="0.25">
      <c r="Q556" s="17" t="s">
        <v>502</v>
      </c>
      <c r="R556" s="17" t="s">
        <v>291</v>
      </c>
      <c r="S556" s="17"/>
      <c r="T556" s="17"/>
      <c r="U556" s="17"/>
    </row>
    <row r="557" spans="17:21" x14ac:dyDescent="0.25">
      <c r="Q557" s="17" t="s">
        <v>822</v>
      </c>
      <c r="R557" s="17" t="s">
        <v>291</v>
      </c>
      <c r="S557" s="17"/>
      <c r="T557" s="17"/>
      <c r="U557" s="17"/>
    </row>
    <row r="558" spans="17:21" x14ac:dyDescent="0.25">
      <c r="Q558" s="17" t="s">
        <v>1728</v>
      </c>
      <c r="R558" s="17" t="s">
        <v>291</v>
      </c>
      <c r="S558" s="17"/>
      <c r="T558" s="17"/>
      <c r="U558" s="17"/>
    </row>
    <row r="559" spans="17:21" x14ac:dyDescent="0.25">
      <c r="Q559" s="17" t="s">
        <v>1729</v>
      </c>
      <c r="R559" s="17" t="s">
        <v>291</v>
      </c>
      <c r="S559" s="17"/>
      <c r="T559" s="17"/>
      <c r="U559" s="17"/>
    </row>
    <row r="560" spans="17:21" x14ac:dyDescent="0.25">
      <c r="Q560" s="17" t="s">
        <v>1730</v>
      </c>
      <c r="R560" s="17" t="s">
        <v>291</v>
      </c>
      <c r="S560" s="17"/>
      <c r="T560" s="17"/>
      <c r="U560" s="17"/>
    </row>
    <row r="561" spans="17:21" x14ac:dyDescent="0.25">
      <c r="Q561" s="17" t="s">
        <v>596</v>
      </c>
      <c r="R561" s="17" t="s">
        <v>291</v>
      </c>
      <c r="S561" s="17"/>
      <c r="T561" s="17"/>
      <c r="U561" s="17"/>
    </row>
    <row r="562" spans="17:21" x14ac:dyDescent="0.25">
      <c r="Q562" s="17" t="s">
        <v>1731</v>
      </c>
      <c r="R562" s="17" t="s">
        <v>291</v>
      </c>
      <c r="S562" s="17"/>
      <c r="T562" s="17"/>
      <c r="U562" s="17"/>
    </row>
    <row r="563" spans="17:21" x14ac:dyDescent="0.25">
      <c r="Q563" s="17" t="s">
        <v>1732</v>
      </c>
      <c r="R563" s="17" t="s">
        <v>291</v>
      </c>
      <c r="S563" s="17"/>
      <c r="T563" s="17"/>
      <c r="U563" s="17"/>
    </row>
    <row r="564" spans="17:21" x14ac:dyDescent="0.25">
      <c r="Q564" s="17" t="s">
        <v>1733</v>
      </c>
      <c r="R564" s="17" t="s">
        <v>291</v>
      </c>
      <c r="S564" s="17"/>
      <c r="T564" s="17"/>
      <c r="U564" s="17"/>
    </row>
    <row r="565" spans="17:21" x14ac:dyDescent="0.25">
      <c r="Q565" s="17" t="s">
        <v>823</v>
      </c>
      <c r="R565" s="17" t="s">
        <v>291</v>
      </c>
      <c r="S565" s="17"/>
      <c r="T565" s="17"/>
      <c r="U565" s="17"/>
    </row>
    <row r="566" spans="17:21" x14ac:dyDescent="0.25">
      <c r="Q566" s="17" t="s">
        <v>824</v>
      </c>
      <c r="R566" s="17" t="s">
        <v>291</v>
      </c>
      <c r="S566" s="17"/>
      <c r="T566" s="17"/>
      <c r="U566" s="17"/>
    </row>
    <row r="567" spans="17:21" x14ac:dyDescent="0.25">
      <c r="Q567" s="17" t="s">
        <v>825</v>
      </c>
      <c r="R567" s="17" t="s">
        <v>291</v>
      </c>
      <c r="S567" s="17"/>
      <c r="T567" s="17"/>
      <c r="U567" s="17"/>
    </row>
    <row r="568" spans="17:21" x14ac:dyDescent="0.25">
      <c r="Q568" s="17" t="s">
        <v>1734</v>
      </c>
      <c r="R568" s="17" t="s">
        <v>291</v>
      </c>
      <c r="S568" s="17"/>
      <c r="T568" s="17"/>
      <c r="U568" s="17"/>
    </row>
    <row r="569" spans="17:21" x14ac:dyDescent="0.25">
      <c r="Q569" s="17" t="s">
        <v>826</v>
      </c>
      <c r="R569" s="17" t="s">
        <v>291</v>
      </c>
      <c r="S569" s="17"/>
      <c r="T569" s="17"/>
      <c r="U569" s="17"/>
    </row>
    <row r="570" spans="17:21" x14ac:dyDescent="0.25">
      <c r="Q570" s="17" t="s">
        <v>846</v>
      </c>
      <c r="R570" s="17" t="s">
        <v>289</v>
      </c>
      <c r="S570" s="17"/>
      <c r="T570" s="17"/>
      <c r="U570" s="17"/>
    </row>
    <row r="571" spans="17:21" x14ac:dyDescent="0.25">
      <c r="Q571" s="17" t="s">
        <v>1735</v>
      </c>
      <c r="R571" s="17" t="s">
        <v>289</v>
      </c>
      <c r="S571" s="17"/>
      <c r="T571" s="17"/>
      <c r="U571" s="17"/>
    </row>
    <row r="572" spans="17:21" x14ac:dyDescent="0.25">
      <c r="Q572" s="17" t="s">
        <v>1736</v>
      </c>
      <c r="R572" s="17" t="s">
        <v>289</v>
      </c>
      <c r="S572" s="17"/>
      <c r="T572" s="17"/>
      <c r="U572" s="17"/>
    </row>
    <row r="573" spans="17:21" x14ac:dyDescent="0.25">
      <c r="Q573" s="17" t="s">
        <v>1338</v>
      </c>
      <c r="R573" s="17" t="s">
        <v>289</v>
      </c>
      <c r="S573" s="17"/>
      <c r="T573" s="17"/>
      <c r="U573" s="17"/>
    </row>
    <row r="574" spans="17:21" x14ac:dyDescent="0.25">
      <c r="Q574" s="17" t="s">
        <v>1737</v>
      </c>
      <c r="R574" s="17" t="s">
        <v>289</v>
      </c>
      <c r="S574" s="17"/>
      <c r="T574" s="17"/>
      <c r="U574" s="17"/>
    </row>
    <row r="575" spans="17:21" x14ac:dyDescent="0.25">
      <c r="Q575" s="17" t="s">
        <v>1330</v>
      </c>
      <c r="R575" s="17" t="s">
        <v>289</v>
      </c>
      <c r="S575" s="17"/>
      <c r="T575" s="17"/>
      <c r="U575" s="17"/>
    </row>
    <row r="576" spans="17:21" x14ac:dyDescent="0.25">
      <c r="Q576" s="17" t="s">
        <v>1738</v>
      </c>
      <c r="R576" s="17" t="s">
        <v>289</v>
      </c>
      <c r="S576" s="17"/>
      <c r="T576" s="17"/>
      <c r="U576" s="17"/>
    </row>
    <row r="577" spans="17:21" x14ac:dyDescent="0.25">
      <c r="Q577" s="17" t="s">
        <v>1739</v>
      </c>
      <c r="R577" s="17" t="s">
        <v>289</v>
      </c>
      <c r="S577" s="17"/>
      <c r="T577" s="17"/>
      <c r="U577" s="17"/>
    </row>
    <row r="578" spans="17:21" x14ac:dyDescent="0.25">
      <c r="Q578" s="17" t="s">
        <v>1740</v>
      </c>
      <c r="R578" s="17" t="s">
        <v>289</v>
      </c>
      <c r="S578" s="17"/>
      <c r="T578" s="17"/>
      <c r="U578" s="17"/>
    </row>
    <row r="579" spans="17:21" x14ac:dyDescent="0.25">
      <c r="Q579" s="17" t="s">
        <v>1741</v>
      </c>
      <c r="R579" s="17" t="s">
        <v>289</v>
      </c>
      <c r="S579" s="17"/>
      <c r="T579" s="17"/>
      <c r="U579" s="17"/>
    </row>
    <row r="580" spans="17:21" x14ac:dyDescent="0.25">
      <c r="Q580" s="17" t="s">
        <v>1742</v>
      </c>
      <c r="R580" s="17" t="s">
        <v>297</v>
      </c>
      <c r="S580" s="17"/>
      <c r="T580" s="17"/>
      <c r="U580" s="17"/>
    </row>
    <row r="581" spans="17:21" x14ac:dyDescent="0.25">
      <c r="Q581" s="17" t="s">
        <v>1743</v>
      </c>
      <c r="R581" s="17" t="s">
        <v>289</v>
      </c>
      <c r="S581" s="17"/>
      <c r="T581" s="17"/>
      <c r="U581" s="17"/>
    </row>
    <row r="582" spans="17:21" x14ac:dyDescent="0.25">
      <c r="Q582" s="17" t="s">
        <v>1744</v>
      </c>
      <c r="R582" s="17" t="s">
        <v>289</v>
      </c>
      <c r="S582" s="17"/>
      <c r="T582" s="17"/>
      <c r="U582" s="17"/>
    </row>
    <row r="583" spans="17:21" x14ac:dyDescent="0.25">
      <c r="Q583" s="17" t="s">
        <v>1745</v>
      </c>
      <c r="R583" s="17" t="s">
        <v>297</v>
      </c>
      <c r="S583" s="17"/>
      <c r="T583" s="17"/>
      <c r="U583" s="17"/>
    </row>
    <row r="584" spans="17:21" x14ac:dyDescent="0.25">
      <c r="Q584" s="17" t="s">
        <v>1746</v>
      </c>
      <c r="R584" s="17" t="s">
        <v>297</v>
      </c>
      <c r="S584" s="17"/>
      <c r="T584" s="17"/>
      <c r="U584" s="17"/>
    </row>
    <row r="585" spans="17:21" x14ac:dyDescent="0.25">
      <c r="Q585" s="17" t="s">
        <v>1747</v>
      </c>
      <c r="R585" s="17" t="s">
        <v>297</v>
      </c>
      <c r="S585" s="17"/>
      <c r="T585" s="17"/>
      <c r="U585" s="17"/>
    </row>
    <row r="586" spans="17:21" x14ac:dyDescent="0.25">
      <c r="Q586" s="17" t="s">
        <v>1748</v>
      </c>
      <c r="R586" s="17" t="s">
        <v>289</v>
      </c>
      <c r="S586" s="17"/>
      <c r="T586" s="17"/>
      <c r="U586" s="17"/>
    </row>
    <row r="587" spans="17:21" x14ac:dyDescent="0.25">
      <c r="Q587" s="17" t="s">
        <v>1110</v>
      </c>
      <c r="R587" s="17" t="s">
        <v>289</v>
      </c>
      <c r="S587" s="17"/>
      <c r="T587" s="17"/>
      <c r="U587" s="17"/>
    </row>
    <row r="588" spans="17:21" x14ac:dyDescent="0.25">
      <c r="Q588" s="17" t="s">
        <v>1749</v>
      </c>
      <c r="R588" s="17" t="s">
        <v>289</v>
      </c>
      <c r="S588" s="17"/>
      <c r="T588" s="17"/>
      <c r="U588" s="17"/>
    </row>
    <row r="589" spans="17:21" x14ac:dyDescent="0.25">
      <c r="Q589" s="17" t="s">
        <v>583</v>
      </c>
      <c r="R589" s="17" t="s">
        <v>289</v>
      </c>
      <c r="S589" s="17"/>
      <c r="T589" s="17"/>
      <c r="U589" s="17"/>
    </row>
    <row r="590" spans="17:21" x14ac:dyDescent="0.25">
      <c r="Q590" s="17" t="s">
        <v>1750</v>
      </c>
      <c r="R590" s="17" t="s">
        <v>289</v>
      </c>
      <c r="S590" s="17"/>
      <c r="T590" s="17"/>
      <c r="U590" s="17"/>
    </row>
    <row r="591" spans="17:21" x14ac:dyDescent="0.25">
      <c r="Q591" s="17" t="s">
        <v>1751</v>
      </c>
      <c r="R591" s="17" t="s">
        <v>291</v>
      </c>
      <c r="S591" s="17"/>
      <c r="T591" s="17"/>
      <c r="U591" s="17"/>
    </row>
    <row r="592" spans="17:21" x14ac:dyDescent="0.25">
      <c r="Q592" s="17" t="s">
        <v>562</v>
      </c>
      <c r="R592" s="17" t="s">
        <v>291</v>
      </c>
      <c r="S592" s="17"/>
      <c r="T592" s="17"/>
      <c r="U592" s="17"/>
    </row>
    <row r="593" spans="17:21" x14ac:dyDescent="0.25">
      <c r="Q593" s="17" t="s">
        <v>1752</v>
      </c>
      <c r="R593" s="17" t="s">
        <v>291</v>
      </c>
      <c r="S593" s="17"/>
      <c r="T593" s="17"/>
      <c r="U593" s="17"/>
    </row>
    <row r="594" spans="17:21" x14ac:dyDescent="0.25">
      <c r="Q594" s="17" t="s">
        <v>1753</v>
      </c>
      <c r="R594" s="17" t="s">
        <v>291</v>
      </c>
      <c r="S594" s="17"/>
      <c r="T594" s="17"/>
      <c r="U594" s="17"/>
    </row>
    <row r="595" spans="17:21" x14ac:dyDescent="0.25">
      <c r="Q595" s="17" t="s">
        <v>1754</v>
      </c>
      <c r="R595" s="17" t="s">
        <v>291</v>
      </c>
      <c r="S595" s="17"/>
      <c r="T595" s="17"/>
      <c r="U595" s="17"/>
    </row>
    <row r="596" spans="17:21" x14ac:dyDescent="0.25">
      <c r="Q596" s="17" t="s">
        <v>1755</v>
      </c>
      <c r="R596" s="17" t="s">
        <v>291</v>
      </c>
      <c r="S596" s="17"/>
      <c r="T596" s="17"/>
      <c r="U596" s="17"/>
    </row>
    <row r="597" spans="17:21" x14ac:dyDescent="0.25">
      <c r="Q597" s="17" t="s">
        <v>1756</v>
      </c>
      <c r="R597" s="17" t="s">
        <v>291</v>
      </c>
      <c r="S597" s="17"/>
      <c r="T597" s="17"/>
      <c r="U597" s="17"/>
    </row>
    <row r="598" spans="17:21" x14ac:dyDescent="0.25">
      <c r="Q598" s="17" t="s">
        <v>1757</v>
      </c>
      <c r="R598" s="17" t="s">
        <v>291</v>
      </c>
      <c r="S598" s="17"/>
      <c r="T598" s="17"/>
      <c r="U598" s="17"/>
    </row>
    <row r="599" spans="17:21" x14ac:dyDescent="0.25">
      <c r="Q599" s="17" t="s">
        <v>1758</v>
      </c>
      <c r="R599" s="17" t="s">
        <v>291</v>
      </c>
      <c r="S599" s="17"/>
      <c r="T599" s="17"/>
      <c r="U599" s="17"/>
    </row>
    <row r="600" spans="17:21" x14ac:dyDescent="0.25">
      <c r="Q600" s="17" t="s">
        <v>1759</v>
      </c>
      <c r="R600" s="17" t="s">
        <v>291</v>
      </c>
      <c r="S600" s="17"/>
      <c r="T600" s="17"/>
      <c r="U600" s="17"/>
    </row>
    <row r="601" spans="17:21" x14ac:dyDescent="0.25">
      <c r="Q601" s="17" t="s">
        <v>1760</v>
      </c>
      <c r="R601" s="17" t="s">
        <v>291</v>
      </c>
      <c r="S601" s="17"/>
      <c r="T601" s="17"/>
      <c r="U601" s="17"/>
    </row>
    <row r="602" spans="17:21" x14ac:dyDescent="0.25">
      <c r="Q602" s="17" t="s">
        <v>1761</v>
      </c>
      <c r="R602" s="17" t="s">
        <v>291</v>
      </c>
      <c r="S602" s="17"/>
      <c r="T602" s="17"/>
      <c r="U602" s="17"/>
    </row>
    <row r="603" spans="17:21" x14ac:dyDescent="0.25">
      <c r="Q603" s="17" t="s">
        <v>1762</v>
      </c>
      <c r="R603" s="17" t="s">
        <v>289</v>
      </c>
      <c r="S603" s="17"/>
      <c r="T603" s="17"/>
      <c r="U603" s="17"/>
    </row>
    <row r="604" spans="17:21" x14ac:dyDescent="0.25">
      <c r="Q604" s="17" t="s">
        <v>1245</v>
      </c>
      <c r="R604" s="17" t="s">
        <v>289</v>
      </c>
      <c r="S604" s="17"/>
      <c r="T604" s="17"/>
      <c r="U604" s="17"/>
    </row>
    <row r="605" spans="17:21" x14ac:dyDescent="0.25">
      <c r="Q605" s="17" t="s">
        <v>1763</v>
      </c>
      <c r="R605" s="17" t="s">
        <v>289</v>
      </c>
      <c r="S605" s="17"/>
      <c r="T605" s="17"/>
      <c r="U605" s="17"/>
    </row>
    <row r="606" spans="17:21" x14ac:dyDescent="0.25">
      <c r="Q606" s="17" t="s">
        <v>1764</v>
      </c>
      <c r="R606" s="17" t="s">
        <v>291</v>
      </c>
      <c r="S606" s="17"/>
      <c r="T606" s="17"/>
      <c r="U606" s="17"/>
    </row>
    <row r="607" spans="17:21" x14ac:dyDescent="0.25">
      <c r="Q607" s="17" t="s">
        <v>1765</v>
      </c>
      <c r="R607" s="17" t="s">
        <v>289</v>
      </c>
      <c r="S607" s="17"/>
      <c r="T607" s="17"/>
      <c r="U607" s="17"/>
    </row>
    <row r="608" spans="17:21" x14ac:dyDescent="0.25">
      <c r="Q608" s="17" t="s">
        <v>1766</v>
      </c>
      <c r="R608" s="17" t="s">
        <v>289</v>
      </c>
      <c r="S608" s="17"/>
      <c r="T608" s="17"/>
      <c r="U608" s="17"/>
    </row>
    <row r="609" spans="17:21" x14ac:dyDescent="0.25">
      <c r="Q609" s="17" t="s">
        <v>1767</v>
      </c>
      <c r="R609" s="17" t="s">
        <v>289</v>
      </c>
      <c r="S609" s="17"/>
      <c r="T609" s="17"/>
      <c r="U609" s="17"/>
    </row>
    <row r="610" spans="17:21" x14ac:dyDescent="0.25">
      <c r="Q610" s="17" t="s">
        <v>1768</v>
      </c>
      <c r="R610" s="17" t="s">
        <v>289</v>
      </c>
      <c r="S610" s="17"/>
      <c r="T610" s="17"/>
      <c r="U610" s="17"/>
    </row>
    <row r="611" spans="17:21" x14ac:dyDescent="0.25">
      <c r="Q611" s="17" t="s">
        <v>1769</v>
      </c>
      <c r="R611" s="17" t="s">
        <v>289</v>
      </c>
      <c r="S611" s="17"/>
      <c r="T611" s="17"/>
      <c r="U611" s="17"/>
    </row>
    <row r="612" spans="17:21" x14ac:dyDescent="0.25">
      <c r="Q612" s="17" t="s">
        <v>573</v>
      </c>
      <c r="R612" s="17" t="s">
        <v>289</v>
      </c>
      <c r="S612" s="17"/>
      <c r="T612" s="17"/>
      <c r="U612" s="17"/>
    </row>
    <row r="613" spans="17:21" x14ac:dyDescent="0.25">
      <c r="Q613" s="17" t="s">
        <v>1770</v>
      </c>
      <c r="R613" s="17" t="s">
        <v>289</v>
      </c>
      <c r="S613" s="17"/>
      <c r="T613" s="17"/>
      <c r="U613" s="17"/>
    </row>
    <row r="614" spans="17:21" x14ac:dyDescent="0.25">
      <c r="Q614" s="17" t="s">
        <v>418</v>
      </c>
      <c r="R614" s="17" t="s">
        <v>289</v>
      </c>
      <c r="S614" s="17"/>
      <c r="T614" s="17"/>
      <c r="U614" s="17"/>
    </row>
    <row r="615" spans="17:21" x14ac:dyDescent="0.25">
      <c r="Q615" s="17" t="s">
        <v>1771</v>
      </c>
      <c r="R615" s="17" t="s">
        <v>289</v>
      </c>
      <c r="S615" s="17"/>
      <c r="T615" s="17"/>
      <c r="U615" s="17"/>
    </row>
    <row r="616" spans="17:21" x14ac:dyDescent="0.25">
      <c r="Q616" s="17" t="s">
        <v>934</v>
      </c>
      <c r="R616" s="17" t="s">
        <v>289</v>
      </c>
      <c r="S616" s="17"/>
      <c r="T616" s="17"/>
      <c r="U616" s="17"/>
    </row>
    <row r="617" spans="17:21" x14ac:dyDescent="0.25">
      <c r="Q617" s="17" t="s">
        <v>1772</v>
      </c>
      <c r="R617" s="17" t="s">
        <v>289</v>
      </c>
      <c r="S617" s="17"/>
      <c r="T617" s="17"/>
      <c r="U617" s="17"/>
    </row>
    <row r="618" spans="17:21" x14ac:dyDescent="0.25">
      <c r="Q618" s="17" t="s">
        <v>1773</v>
      </c>
      <c r="R618" s="17" t="s">
        <v>289</v>
      </c>
      <c r="S618" s="17"/>
      <c r="T618" s="17"/>
      <c r="U618" s="17"/>
    </row>
    <row r="619" spans="17:21" x14ac:dyDescent="0.25">
      <c r="Q619" s="17" t="s">
        <v>1774</v>
      </c>
      <c r="R619" s="17" t="s">
        <v>289</v>
      </c>
      <c r="S619" s="17"/>
      <c r="T619" s="17"/>
      <c r="U619" s="17"/>
    </row>
    <row r="620" spans="17:21" x14ac:dyDescent="0.25">
      <c r="Q620" s="17" t="s">
        <v>1775</v>
      </c>
      <c r="R620" s="17" t="s">
        <v>289</v>
      </c>
      <c r="S620" s="17"/>
      <c r="T620" s="17"/>
      <c r="U620" s="17"/>
    </row>
    <row r="621" spans="17:21" x14ac:dyDescent="0.25">
      <c r="Q621" s="17" t="s">
        <v>1153</v>
      </c>
      <c r="R621" s="17" t="s">
        <v>289</v>
      </c>
      <c r="S621" s="17"/>
      <c r="T621" s="17"/>
      <c r="U621" s="17"/>
    </row>
    <row r="622" spans="17:21" x14ac:dyDescent="0.25">
      <c r="Q622" s="17" t="s">
        <v>1776</v>
      </c>
      <c r="R622" s="17" t="s">
        <v>289</v>
      </c>
      <c r="S622" s="17"/>
      <c r="T622" s="17"/>
      <c r="U622" s="17"/>
    </row>
    <row r="623" spans="17:21" x14ac:dyDescent="0.25">
      <c r="Q623" s="17" t="s">
        <v>1777</v>
      </c>
      <c r="R623" s="17" t="s">
        <v>289</v>
      </c>
      <c r="S623" s="17"/>
      <c r="T623" s="17"/>
      <c r="U623" s="17"/>
    </row>
    <row r="624" spans="17:21" x14ac:dyDescent="0.25">
      <c r="Q624" s="17" t="s">
        <v>1111</v>
      </c>
      <c r="R624" s="17" t="s">
        <v>289</v>
      </c>
      <c r="S624" s="17"/>
      <c r="T624" s="17"/>
      <c r="U624" s="17"/>
    </row>
    <row r="625" spans="17:21" x14ac:dyDescent="0.25">
      <c r="Q625" s="17" t="s">
        <v>1778</v>
      </c>
      <c r="R625" s="17" t="s">
        <v>289</v>
      </c>
      <c r="S625" s="17"/>
      <c r="T625" s="17"/>
      <c r="U625" s="17"/>
    </row>
    <row r="626" spans="17:21" x14ac:dyDescent="0.25">
      <c r="Q626" s="17" t="s">
        <v>1259</v>
      </c>
      <c r="R626" s="17" t="s">
        <v>289</v>
      </c>
      <c r="S626" s="17"/>
      <c r="T626" s="17"/>
      <c r="U626" s="17"/>
    </row>
    <row r="627" spans="17:21" x14ac:dyDescent="0.25">
      <c r="Q627" s="17" t="s">
        <v>1779</v>
      </c>
      <c r="R627" s="17" t="s">
        <v>289</v>
      </c>
      <c r="S627" s="17"/>
      <c r="T627" s="17"/>
      <c r="U627" s="17"/>
    </row>
    <row r="628" spans="17:21" x14ac:dyDescent="0.25">
      <c r="Q628" s="17" t="s">
        <v>1070</v>
      </c>
      <c r="R628" s="17" t="s">
        <v>289</v>
      </c>
      <c r="S628" s="17"/>
      <c r="T628" s="17"/>
      <c r="U628" s="17"/>
    </row>
    <row r="629" spans="17:21" x14ac:dyDescent="0.25">
      <c r="Q629" s="17" t="s">
        <v>1780</v>
      </c>
      <c r="R629" s="17" t="s">
        <v>289</v>
      </c>
      <c r="S629" s="17"/>
      <c r="T629" s="17"/>
      <c r="U629" s="17"/>
    </row>
    <row r="630" spans="17:21" x14ac:dyDescent="0.25">
      <c r="Q630" s="17" t="s">
        <v>1781</v>
      </c>
      <c r="R630" s="17" t="s">
        <v>229</v>
      </c>
      <c r="S630" s="17"/>
      <c r="T630" s="17"/>
      <c r="U630" s="17"/>
    </row>
    <row r="631" spans="17:21" x14ac:dyDescent="0.25">
      <c r="Q631" s="17" t="s">
        <v>1782</v>
      </c>
      <c r="R631" s="17" t="s">
        <v>229</v>
      </c>
      <c r="S631" s="17"/>
      <c r="T631" s="17"/>
      <c r="U631" s="17"/>
    </row>
    <row r="632" spans="17:21" x14ac:dyDescent="0.25">
      <c r="Q632" s="17" t="s">
        <v>1783</v>
      </c>
      <c r="R632" s="17" t="s">
        <v>229</v>
      </c>
      <c r="S632" s="17"/>
      <c r="T632" s="17"/>
      <c r="U632" s="17"/>
    </row>
    <row r="633" spans="17:21" x14ac:dyDescent="0.25">
      <c r="Q633" s="17" t="s">
        <v>1784</v>
      </c>
      <c r="R633" s="17" t="s">
        <v>229</v>
      </c>
      <c r="S633" s="17"/>
      <c r="T633" s="17"/>
      <c r="U633" s="17"/>
    </row>
    <row r="634" spans="17:21" x14ac:dyDescent="0.25">
      <c r="Q634" s="17" t="s">
        <v>944</v>
      </c>
      <c r="R634" s="17" t="s">
        <v>229</v>
      </c>
      <c r="S634" s="17"/>
      <c r="T634" s="17"/>
      <c r="U634" s="17"/>
    </row>
    <row r="635" spans="17:21" x14ac:dyDescent="0.25">
      <c r="Q635" s="17" t="s">
        <v>1785</v>
      </c>
      <c r="R635" s="17" t="s">
        <v>1786</v>
      </c>
      <c r="S635" s="17"/>
      <c r="T635" s="17"/>
      <c r="U635" s="17"/>
    </row>
    <row r="636" spans="17:21" x14ac:dyDescent="0.25">
      <c r="Q636" s="17" t="s">
        <v>1787</v>
      </c>
      <c r="R636" s="17" t="s">
        <v>1786</v>
      </c>
      <c r="S636" s="17"/>
      <c r="T636" s="17"/>
      <c r="U636" s="17"/>
    </row>
    <row r="637" spans="17:21" x14ac:dyDescent="0.25">
      <c r="Q637" s="17" t="s">
        <v>1788</v>
      </c>
      <c r="R637" s="17" t="s">
        <v>1786</v>
      </c>
      <c r="S637" s="17"/>
      <c r="T637" s="17"/>
      <c r="U637" s="17"/>
    </row>
    <row r="638" spans="17:21" x14ac:dyDescent="0.25">
      <c r="Q638" s="17" t="s">
        <v>786</v>
      </c>
      <c r="R638" s="17" t="s">
        <v>195</v>
      </c>
      <c r="S638" s="17"/>
      <c r="T638" s="17"/>
      <c r="U638" s="17"/>
    </row>
    <row r="639" spans="17:21" x14ac:dyDescent="0.25">
      <c r="Q639" s="17" t="s">
        <v>476</v>
      </c>
      <c r="R639" s="17" t="s">
        <v>195</v>
      </c>
      <c r="S639" s="17"/>
      <c r="T639" s="17"/>
      <c r="U639" s="17"/>
    </row>
    <row r="640" spans="17:21" x14ac:dyDescent="0.25">
      <c r="Q640" s="17" t="s">
        <v>784</v>
      </c>
      <c r="R640" s="17" t="s">
        <v>195</v>
      </c>
      <c r="S640" s="17"/>
      <c r="T640" s="17"/>
      <c r="U640" s="17"/>
    </row>
    <row r="641" spans="17:21" x14ac:dyDescent="0.25">
      <c r="Q641" s="17" t="s">
        <v>1789</v>
      </c>
      <c r="R641" s="17" t="s">
        <v>195</v>
      </c>
      <c r="S641" s="17"/>
      <c r="T641" s="17"/>
      <c r="U641" s="17"/>
    </row>
    <row r="642" spans="17:21" x14ac:dyDescent="0.25">
      <c r="Q642" s="17" t="s">
        <v>1790</v>
      </c>
      <c r="R642" s="17" t="s">
        <v>195</v>
      </c>
      <c r="S642" s="17"/>
      <c r="T642" s="17"/>
      <c r="U642" s="17"/>
    </row>
    <row r="643" spans="17:21" x14ac:dyDescent="0.25">
      <c r="Q643" s="17" t="s">
        <v>1791</v>
      </c>
      <c r="R643" s="17" t="s">
        <v>195</v>
      </c>
      <c r="S643" s="17"/>
      <c r="T643" s="17"/>
      <c r="U643" s="17"/>
    </row>
    <row r="644" spans="17:21" x14ac:dyDescent="0.25">
      <c r="Q644" s="17" t="s">
        <v>1792</v>
      </c>
      <c r="R644" s="17" t="s">
        <v>195</v>
      </c>
      <c r="S644" s="17"/>
      <c r="T644" s="17"/>
      <c r="U644" s="17"/>
    </row>
    <row r="645" spans="17:21" x14ac:dyDescent="0.25">
      <c r="Q645" s="17" t="s">
        <v>1793</v>
      </c>
      <c r="R645" s="17" t="s">
        <v>195</v>
      </c>
      <c r="S645" s="17"/>
      <c r="T645" s="17"/>
      <c r="U645" s="17"/>
    </row>
    <row r="646" spans="17:21" x14ac:dyDescent="0.25">
      <c r="Q646" s="17" t="s">
        <v>1794</v>
      </c>
      <c r="R646" s="17" t="s">
        <v>195</v>
      </c>
      <c r="S646" s="17"/>
      <c r="T646" s="17"/>
      <c r="U646" s="17"/>
    </row>
    <row r="647" spans="17:21" x14ac:dyDescent="0.25">
      <c r="Q647" s="17" t="s">
        <v>1109</v>
      </c>
      <c r="R647" s="17" t="s">
        <v>195</v>
      </c>
      <c r="S647" s="17"/>
      <c r="T647" s="17"/>
      <c r="U647" s="17"/>
    </row>
    <row r="648" spans="17:21" x14ac:dyDescent="0.25">
      <c r="Q648" s="17" t="s">
        <v>1795</v>
      </c>
      <c r="R648" s="17" t="s">
        <v>195</v>
      </c>
      <c r="S648" s="17"/>
      <c r="T648" s="17"/>
      <c r="U648" s="17"/>
    </row>
    <row r="649" spans="17:21" x14ac:dyDescent="0.25">
      <c r="Q649" s="17" t="s">
        <v>400</v>
      </c>
      <c r="R649" s="17" t="s">
        <v>195</v>
      </c>
      <c r="S649" s="17"/>
      <c r="T649" s="17"/>
      <c r="U649" s="17"/>
    </row>
    <row r="650" spans="17:21" x14ac:dyDescent="0.25">
      <c r="Q650" s="17" t="s">
        <v>1796</v>
      </c>
      <c r="R650" s="17" t="s">
        <v>195</v>
      </c>
      <c r="S650" s="17"/>
      <c r="T650" s="17"/>
      <c r="U650" s="17"/>
    </row>
    <row r="651" spans="17:21" x14ac:dyDescent="0.25">
      <c r="Q651" s="17" t="s">
        <v>541</v>
      </c>
      <c r="R651" s="17" t="s">
        <v>195</v>
      </c>
      <c r="S651" s="17"/>
      <c r="T651" s="17"/>
      <c r="U651" s="17"/>
    </row>
    <row r="652" spans="17:21" x14ac:dyDescent="0.25">
      <c r="Q652" s="17" t="s">
        <v>1797</v>
      </c>
      <c r="R652" s="17" t="s">
        <v>195</v>
      </c>
      <c r="S652" s="17"/>
      <c r="T652" s="17"/>
      <c r="U652" s="17"/>
    </row>
    <row r="653" spans="17:21" x14ac:dyDescent="0.25">
      <c r="Q653" s="17" t="s">
        <v>1798</v>
      </c>
      <c r="R653" s="17" t="s">
        <v>195</v>
      </c>
      <c r="S653" s="17"/>
      <c r="T653" s="17"/>
      <c r="U653" s="17"/>
    </row>
    <row r="654" spans="17:21" x14ac:dyDescent="0.25">
      <c r="Q654" s="17" t="s">
        <v>1040</v>
      </c>
      <c r="R654" s="17" t="s">
        <v>195</v>
      </c>
      <c r="S654" s="17"/>
      <c r="T654" s="17"/>
      <c r="U654" s="17"/>
    </row>
    <row r="655" spans="17:21" x14ac:dyDescent="0.25">
      <c r="Q655" s="17" t="s">
        <v>1799</v>
      </c>
      <c r="R655" s="17" t="s">
        <v>195</v>
      </c>
      <c r="S655" s="17"/>
      <c r="T655" s="17"/>
      <c r="U655" s="17"/>
    </row>
    <row r="656" spans="17:21" x14ac:dyDescent="0.25">
      <c r="Q656" s="17" t="s">
        <v>773</v>
      </c>
      <c r="R656" s="17" t="s">
        <v>191</v>
      </c>
      <c r="S656" s="17"/>
      <c r="T656" s="17"/>
      <c r="U656" s="17"/>
    </row>
    <row r="657" spans="17:21" x14ac:dyDescent="0.25">
      <c r="Q657" s="17" t="s">
        <v>640</v>
      </c>
      <c r="R657" s="17" t="s">
        <v>191</v>
      </c>
      <c r="S657" s="17"/>
      <c r="T657" s="17"/>
      <c r="U657" s="17"/>
    </row>
    <row r="658" spans="17:21" x14ac:dyDescent="0.25">
      <c r="Q658" s="17" t="s">
        <v>771</v>
      </c>
      <c r="R658" s="17" t="s">
        <v>191</v>
      </c>
      <c r="S658" s="17"/>
      <c r="T658" s="17"/>
      <c r="U658" s="17"/>
    </row>
    <row r="659" spans="17:21" x14ac:dyDescent="0.25">
      <c r="Q659" s="17" t="s">
        <v>1800</v>
      </c>
      <c r="R659" s="17" t="s">
        <v>191</v>
      </c>
      <c r="S659" s="17"/>
      <c r="T659" s="17"/>
      <c r="U659" s="17"/>
    </row>
    <row r="660" spans="17:21" x14ac:dyDescent="0.25">
      <c r="Q660" s="17" t="s">
        <v>1801</v>
      </c>
      <c r="R660" s="17" t="s">
        <v>191</v>
      </c>
      <c r="S660" s="17"/>
      <c r="T660" s="17"/>
      <c r="U660" s="17"/>
    </row>
    <row r="661" spans="17:21" x14ac:dyDescent="0.25">
      <c r="Q661" s="17" t="s">
        <v>674</v>
      </c>
      <c r="R661" s="17" t="s">
        <v>191</v>
      </c>
      <c r="S661" s="17"/>
      <c r="T661" s="17"/>
      <c r="U661" s="17"/>
    </row>
    <row r="662" spans="17:21" x14ac:dyDescent="0.25">
      <c r="Q662" s="17" t="s">
        <v>774</v>
      </c>
      <c r="R662" s="17" t="s">
        <v>191</v>
      </c>
      <c r="S662" s="17"/>
      <c r="T662" s="17"/>
      <c r="U662" s="17"/>
    </row>
    <row r="663" spans="17:21" x14ac:dyDescent="0.25">
      <c r="Q663" s="17" t="s">
        <v>1802</v>
      </c>
      <c r="R663" s="17" t="s">
        <v>191</v>
      </c>
      <c r="S663" s="17"/>
      <c r="T663" s="17"/>
      <c r="U663" s="17"/>
    </row>
    <row r="664" spans="17:21" x14ac:dyDescent="0.25">
      <c r="Q664" s="17" t="s">
        <v>1803</v>
      </c>
      <c r="R664" s="17" t="s">
        <v>191</v>
      </c>
      <c r="S664" s="17"/>
      <c r="T664" s="17"/>
      <c r="U664" s="17"/>
    </row>
    <row r="665" spans="17:21" x14ac:dyDescent="0.25">
      <c r="Q665" s="17" t="s">
        <v>641</v>
      </c>
      <c r="R665" s="17" t="s">
        <v>191</v>
      </c>
      <c r="S665" s="17"/>
      <c r="T665" s="17"/>
      <c r="U665" s="17"/>
    </row>
    <row r="666" spans="17:21" x14ac:dyDescent="0.25">
      <c r="Q666" s="17" t="s">
        <v>1804</v>
      </c>
      <c r="R666" s="17" t="s">
        <v>191</v>
      </c>
      <c r="S666" s="17"/>
      <c r="T666" s="17"/>
      <c r="U666" s="17"/>
    </row>
    <row r="667" spans="17:21" x14ac:dyDescent="0.25">
      <c r="Q667" s="17" t="s">
        <v>580</v>
      </c>
      <c r="R667" s="17" t="s">
        <v>191</v>
      </c>
      <c r="S667" s="17"/>
      <c r="T667" s="17"/>
      <c r="U667" s="17"/>
    </row>
    <row r="668" spans="17:21" x14ac:dyDescent="0.25">
      <c r="Q668" s="17" t="s">
        <v>623</v>
      </c>
      <c r="R668" s="17" t="s">
        <v>191</v>
      </c>
      <c r="S668" s="17"/>
      <c r="T668" s="17"/>
      <c r="U668" s="17"/>
    </row>
    <row r="669" spans="17:21" x14ac:dyDescent="0.25">
      <c r="Q669" s="17" t="s">
        <v>1805</v>
      </c>
      <c r="R669" s="17" t="s">
        <v>191</v>
      </c>
      <c r="S669" s="17"/>
      <c r="T669" s="17"/>
      <c r="U669" s="17"/>
    </row>
    <row r="670" spans="17:21" x14ac:dyDescent="0.25">
      <c r="Q670" s="17" t="s">
        <v>676</v>
      </c>
      <c r="R670" s="17" t="s">
        <v>191</v>
      </c>
      <c r="S670" s="17"/>
      <c r="T670" s="17"/>
      <c r="U670" s="17"/>
    </row>
    <row r="671" spans="17:21" x14ac:dyDescent="0.25">
      <c r="Q671" s="17" t="s">
        <v>427</v>
      </c>
      <c r="R671" s="17" t="s">
        <v>191</v>
      </c>
      <c r="S671" s="17"/>
      <c r="T671" s="17"/>
      <c r="U671" s="17"/>
    </row>
    <row r="672" spans="17:21" x14ac:dyDescent="0.25">
      <c r="Q672" s="17" t="s">
        <v>1274</v>
      </c>
      <c r="R672" s="17" t="s">
        <v>191</v>
      </c>
      <c r="S672" s="17"/>
      <c r="T672" s="17"/>
      <c r="U672" s="17"/>
    </row>
    <row r="673" spans="17:21" x14ac:dyDescent="0.25">
      <c r="Q673" s="17" t="s">
        <v>624</v>
      </c>
      <c r="R673" s="17" t="s">
        <v>191</v>
      </c>
      <c r="S673" s="17"/>
      <c r="T673" s="17"/>
      <c r="U673" s="17"/>
    </row>
    <row r="674" spans="17:21" x14ac:dyDescent="0.25">
      <c r="Q674" s="17" t="s">
        <v>599</v>
      </c>
      <c r="R674" s="17" t="s">
        <v>191</v>
      </c>
      <c r="S674" s="17"/>
      <c r="T674" s="17"/>
      <c r="U674" s="17"/>
    </row>
    <row r="675" spans="17:21" x14ac:dyDescent="0.25">
      <c r="Q675" s="17" t="s">
        <v>393</v>
      </c>
      <c r="R675" s="17" t="s">
        <v>191</v>
      </c>
      <c r="S675" s="17"/>
      <c r="T675" s="17"/>
      <c r="U675" s="17"/>
    </row>
    <row r="676" spans="17:21" x14ac:dyDescent="0.25">
      <c r="Q676" s="17" t="s">
        <v>1806</v>
      </c>
      <c r="R676" s="17" t="s">
        <v>191</v>
      </c>
      <c r="S676" s="17"/>
      <c r="T676" s="17"/>
      <c r="U676" s="17"/>
    </row>
    <row r="677" spans="17:21" x14ac:dyDescent="0.25">
      <c r="Q677" s="17" t="s">
        <v>1807</v>
      </c>
      <c r="R677" s="17" t="s">
        <v>191</v>
      </c>
      <c r="S677" s="17"/>
      <c r="T677" s="17"/>
      <c r="U677" s="17"/>
    </row>
    <row r="678" spans="17:21" x14ac:dyDescent="0.25">
      <c r="Q678" s="17" t="s">
        <v>967</v>
      </c>
      <c r="R678" s="17" t="s">
        <v>191</v>
      </c>
      <c r="S678" s="17"/>
      <c r="T678" s="17"/>
      <c r="U678" s="17"/>
    </row>
    <row r="679" spans="17:21" x14ac:dyDescent="0.25">
      <c r="Q679" s="17" t="s">
        <v>965</v>
      </c>
      <c r="R679" s="17" t="s">
        <v>189</v>
      </c>
      <c r="S679" s="17"/>
      <c r="T679" s="17"/>
      <c r="U679" s="17"/>
    </row>
    <row r="680" spans="17:21" x14ac:dyDescent="0.25">
      <c r="Q680" s="17" t="s">
        <v>966</v>
      </c>
      <c r="R680" s="17" t="s">
        <v>189</v>
      </c>
      <c r="S680" s="17"/>
      <c r="T680" s="17"/>
      <c r="U680" s="17"/>
    </row>
    <row r="681" spans="17:21" x14ac:dyDescent="0.25">
      <c r="Q681" s="17" t="s">
        <v>1808</v>
      </c>
      <c r="R681" s="17" t="s">
        <v>189</v>
      </c>
      <c r="S681" s="17"/>
      <c r="T681" s="17"/>
      <c r="U681" s="17"/>
    </row>
    <row r="682" spans="17:21" x14ac:dyDescent="0.25">
      <c r="Q682" s="17" t="s">
        <v>1809</v>
      </c>
      <c r="R682" s="17" t="s">
        <v>191</v>
      </c>
      <c r="S682" s="17"/>
      <c r="T682" s="17"/>
      <c r="U682" s="17"/>
    </row>
    <row r="683" spans="17:21" x14ac:dyDescent="0.25">
      <c r="Q683" s="17" t="s">
        <v>763</v>
      </c>
      <c r="R683" s="17" t="s">
        <v>191</v>
      </c>
      <c r="S683" s="17"/>
      <c r="T683" s="17"/>
      <c r="U683" s="17"/>
    </row>
    <row r="684" spans="17:21" x14ac:dyDescent="0.25">
      <c r="Q684" s="17" t="s">
        <v>1810</v>
      </c>
      <c r="R684" s="17" t="s">
        <v>191</v>
      </c>
      <c r="S684" s="17"/>
      <c r="T684" s="17"/>
      <c r="U684" s="17"/>
    </row>
    <row r="685" spans="17:21" x14ac:dyDescent="0.25">
      <c r="Q685" s="17" t="s">
        <v>1811</v>
      </c>
      <c r="R685" s="17" t="s">
        <v>191</v>
      </c>
      <c r="S685" s="17"/>
      <c r="T685" s="17"/>
      <c r="U685" s="17"/>
    </row>
    <row r="686" spans="17:21" x14ac:dyDescent="0.25">
      <c r="Q686" s="17" t="s">
        <v>778</v>
      </c>
      <c r="R686" s="17" t="s">
        <v>179</v>
      </c>
      <c r="S686" s="17"/>
      <c r="T686" s="17"/>
      <c r="U686" s="17"/>
    </row>
    <row r="687" spans="17:21" x14ac:dyDescent="0.25">
      <c r="Q687" s="17" t="s">
        <v>1812</v>
      </c>
      <c r="R687" s="17" t="s">
        <v>193</v>
      </c>
      <c r="S687" s="17"/>
      <c r="T687" s="17"/>
      <c r="U687" s="17"/>
    </row>
    <row r="688" spans="17:21" x14ac:dyDescent="0.25">
      <c r="Q688" s="17" t="s">
        <v>1813</v>
      </c>
      <c r="R688" s="17" t="s">
        <v>177</v>
      </c>
      <c r="S688" s="17"/>
      <c r="T688" s="17"/>
      <c r="U688" s="17"/>
    </row>
    <row r="689" spans="17:21" x14ac:dyDescent="0.25">
      <c r="Q689" s="17" t="s">
        <v>1814</v>
      </c>
      <c r="R689" s="17" t="s">
        <v>195</v>
      </c>
      <c r="S689" s="17"/>
      <c r="T689" s="17"/>
      <c r="U689" s="17"/>
    </row>
    <row r="690" spans="17:21" x14ac:dyDescent="0.25">
      <c r="Q690" s="17" t="s">
        <v>1815</v>
      </c>
      <c r="R690" s="17" t="s">
        <v>195</v>
      </c>
      <c r="S690" s="17"/>
      <c r="T690" s="17"/>
      <c r="U690" s="17"/>
    </row>
    <row r="691" spans="17:21" x14ac:dyDescent="0.25">
      <c r="Q691" s="17" t="s">
        <v>1816</v>
      </c>
      <c r="R691" s="17" t="s">
        <v>193</v>
      </c>
      <c r="S691" s="17"/>
      <c r="T691" s="17"/>
      <c r="U691" s="17"/>
    </row>
    <row r="692" spans="17:21" x14ac:dyDescent="0.25">
      <c r="Q692" s="17" t="s">
        <v>1817</v>
      </c>
      <c r="R692" s="17" t="s">
        <v>193</v>
      </c>
      <c r="S692" s="17"/>
      <c r="T692" s="17"/>
      <c r="U692" s="17"/>
    </row>
    <row r="693" spans="17:21" x14ac:dyDescent="0.25">
      <c r="Q693" s="17" t="s">
        <v>1818</v>
      </c>
      <c r="R693" s="17" t="s">
        <v>193</v>
      </c>
      <c r="S693" s="17"/>
      <c r="T693" s="17"/>
      <c r="U693" s="17"/>
    </row>
    <row r="694" spans="17:21" x14ac:dyDescent="0.25">
      <c r="Q694" s="17" t="s">
        <v>1348</v>
      </c>
      <c r="R694" s="17" t="s">
        <v>193</v>
      </c>
      <c r="S694" s="17"/>
      <c r="T694" s="17"/>
      <c r="U694" s="17"/>
    </row>
    <row r="695" spans="17:21" x14ac:dyDescent="0.25">
      <c r="Q695" s="17" t="s">
        <v>1819</v>
      </c>
      <c r="R695" s="17" t="s">
        <v>193</v>
      </c>
      <c r="S695" s="17"/>
      <c r="T695" s="17"/>
      <c r="U695" s="17"/>
    </row>
    <row r="696" spans="17:21" x14ac:dyDescent="0.25">
      <c r="Q696" s="17" t="s">
        <v>1820</v>
      </c>
      <c r="R696" s="17" t="s">
        <v>193</v>
      </c>
      <c r="S696" s="17"/>
      <c r="T696" s="17"/>
      <c r="U696" s="17"/>
    </row>
    <row r="697" spans="17:21" x14ac:dyDescent="0.25">
      <c r="Q697" s="17" t="s">
        <v>1821</v>
      </c>
      <c r="R697" s="17" t="s">
        <v>193</v>
      </c>
      <c r="S697" s="17"/>
      <c r="T697" s="17"/>
      <c r="U697" s="17"/>
    </row>
    <row r="698" spans="17:21" x14ac:dyDescent="0.25">
      <c r="Q698" s="17" t="s">
        <v>1822</v>
      </c>
      <c r="R698" s="17" t="s">
        <v>193</v>
      </c>
      <c r="S698" s="17"/>
      <c r="T698" s="17"/>
      <c r="U698" s="17"/>
    </row>
    <row r="699" spans="17:21" x14ac:dyDescent="0.25">
      <c r="Q699" s="17" t="s">
        <v>1823</v>
      </c>
      <c r="R699" s="17" t="s">
        <v>193</v>
      </c>
      <c r="S699" s="17"/>
      <c r="T699" s="17"/>
      <c r="U699" s="17"/>
    </row>
    <row r="700" spans="17:21" x14ac:dyDescent="0.25">
      <c r="Q700" s="17" t="s">
        <v>1090</v>
      </c>
      <c r="R700" s="17" t="s">
        <v>193</v>
      </c>
      <c r="S700" s="17"/>
      <c r="T700" s="17"/>
      <c r="U700" s="17"/>
    </row>
    <row r="701" spans="17:21" x14ac:dyDescent="0.25">
      <c r="Q701" s="17" t="s">
        <v>1824</v>
      </c>
      <c r="R701" s="17" t="s">
        <v>193</v>
      </c>
      <c r="S701" s="17"/>
      <c r="T701" s="17"/>
      <c r="U701" s="17"/>
    </row>
    <row r="702" spans="17:21" x14ac:dyDescent="0.25">
      <c r="Q702" s="17" t="s">
        <v>1825</v>
      </c>
      <c r="R702" s="17" t="s">
        <v>193</v>
      </c>
      <c r="S702" s="17"/>
      <c r="T702" s="17"/>
      <c r="U702" s="17"/>
    </row>
    <row r="703" spans="17:21" x14ac:dyDescent="0.25">
      <c r="Q703" s="17" t="s">
        <v>1826</v>
      </c>
      <c r="R703" s="17" t="s">
        <v>193</v>
      </c>
      <c r="S703" s="17"/>
      <c r="T703" s="17"/>
      <c r="U703" s="17"/>
    </row>
    <row r="704" spans="17:21" x14ac:dyDescent="0.25">
      <c r="Q704" s="17" t="s">
        <v>1827</v>
      </c>
      <c r="R704" s="17" t="s">
        <v>179</v>
      </c>
      <c r="S704" s="17"/>
      <c r="T704" s="17"/>
      <c r="U704" s="17"/>
    </row>
    <row r="705" spans="17:21" x14ac:dyDescent="0.25">
      <c r="Q705" s="17" t="s">
        <v>493</v>
      </c>
      <c r="R705" s="17" t="s">
        <v>191</v>
      </c>
      <c r="S705" s="17"/>
      <c r="T705" s="17"/>
      <c r="U705" s="17"/>
    </row>
    <row r="706" spans="17:21" x14ac:dyDescent="0.25">
      <c r="Q706" s="17" t="s">
        <v>1828</v>
      </c>
      <c r="R706" s="17" t="s">
        <v>191</v>
      </c>
      <c r="S706" s="17"/>
      <c r="T706" s="17"/>
      <c r="U706" s="17"/>
    </row>
    <row r="707" spans="17:21" x14ac:dyDescent="0.25">
      <c r="Q707" s="17" t="s">
        <v>769</v>
      </c>
      <c r="R707" s="17" t="s">
        <v>191</v>
      </c>
      <c r="S707" s="17"/>
      <c r="T707" s="17"/>
      <c r="U707" s="17"/>
    </row>
    <row r="708" spans="17:21" x14ac:dyDescent="0.25">
      <c r="Q708" s="17" t="s">
        <v>1829</v>
      </c>
      <c r="R708" s="17" t="s">
        <v>191</v>
      </c>
      <c r="S708" s="17"/>
      <c r="T708" s="17"/>
      <c r="U708" s="17"/>
    </row>
    <row r="709" spans="17:21" x14ac:dyDescent="0.25">
      <c r="Q709" s="17" t="s">
        <v>770</v>
      </c>
      <c r="R709" s="17" t="s">
        <v>191</v>
      </c>
      <c r="S709" s="17"/>
      <c r="T709" s="17"/>
      <c r="U709" s="17"/>
    </row>
    <row r="710" spans="17:21" x14ac:dyDescent="0.25">
      <c r="Q710" s="17" t="s">
        <v>1830</v>
      </c>
      <c r="R710" s="17" t="s">
        <v>191</v>
      </c>
      <c r="S710" s="17"/>
      <c r="T710" s="17"/>
      <c r="U710" s="17"/>
    </row>
    <row r="711" spans="17:21" x14ac:dyDescent="0.25">
      <c r="Q711" s="17" t="s">
        <v>1831</v>
      </c>
      <c r="R711" s="17" t="s">
        <v>191</v>
      </c>
      <c r="S711" s="17"/>
      <c r="T711" s="17"/>
      <c r="U711" s="17"/>
    </row>
    <row r="712" spans="17:21" x14ac:dyDescent="0.25">
      <c r="Q712" s="17" t="s">
        <v>1832</v>
      </c>
      <c r="R712" s="17" t="s">
        <v>191</v>
      </c>
      <c r="S712" s="17"/>
      <c r="T712" s="17"/>
      <c r="U712" s="17"/>
    </row>
    <row r="713" spans="17:21" x14ac:dyDescent="0.25">
      <c r="Q713" s="17" t="s">
        <v>1833</v>
      </c>
      <c r="R713" s="17" t="s">
        <v>191</v>
      </c>
      <c r="S713" s="17"/>
      <c r="T713" s="17"/>
      <c r="U713" s="17"/>
    </row>
    <row r="714" spans="17:21" x14ac:dyDescent="0.25">
      <c r="Q714" s="17" t="s">
        <v>1834</v>
      </c>
      <c r="R714" s="17" t="s">
        <v>191</v>
      </c>
      <c r="S714" s="17"/>
      <c r="T714" s="17"/>
      <c r="U714" s="17"/>
    </row>
    <row r="715" spans="17:21" x14ac:dyDescent="0.25">
      <c r="Q715" s="17" t="s">
        <v>1835</v>
      </c>
      <c r="R715" s="17" t="s">
        <v>191</v>
      </c>
      <c r="S715" s="17"/>
      <c r="T715" s="17"/>
      <c r="U715" s="17"/>
    </row>
    <row r="716" spans="17:21" x14ac:dyDescent="0.25">
      <c r="Q716" s="17" t="s">
        <v>1836</v>
      </c>
      <c r="R716" s="17" t="s">
        <v>191</v>
      </c>
      <c r="S716" s="17"/>
      <c r="T716" s="17"/>
      <c r="U716" s="17"/>
    </row>
    <row r="717" spans="17:21" x14ac:dyDescent="0.25">
      <c r="Q717" s="17" t="s">
        <v>1837</v>
      </c>
      <c r="R717" s="17" t="s">
        <v>191</v>
      </c>
      <c r="S717" s="17"/>
      <c r="T717" s="17"/>
      <c r="U717" s="17"/>
    </row>
    <row r="718" spans="17:21" x14ac:dyDescent="0.25">
      <c r="Q718" s="17" t="s">
        <v>1838</v>
      </c>
      <c r="R718" s="17" t="s">
        <v>191</v>
      </c>
      <c r="S718" s="17"/>
      <c r="T718" s="17"/>
      <c r="U718" s="17"/>
    </row>
    <row r="719" spans="17:21" x14ac:dyDescent="0.25">
      <c r="Q719" s="17" t="s">
        <v>1839</v>
      </c>
      <c r="R719" s="17" t="s">
        <v>195</v>
      </c>
      <c r="S719" s="17"/>
      <c r="T719" s="17"/>
      <c r="U719" s="17"/>
    </row>
    <row r="720" spans="17:21" x14ac:dyDescent="0.25">
      <c r="Q720" s="17" t="s">
        <v>1840</v>
      </c>
      <c r="R720" s="17" t="s">
        <v>195</v>
      </c>
      <c r="S720" s="17"/>
      <c r="T720" s="17"/>
      <c r="U720" s="17"/>
    </row>
    <row r="721" spans="17:21" x14ac:dyDescent="0.25">
      <c r="Q721" s="17" t="s">
        <v>1841</v>
      </c>
      <c r="R721" s="17" t="s">
        <v>195</v>
      </c>
      <c r="S721" s="17"/>
      <c r="T721" s="17"/>
      <c r="U721" s="17"/>
    </row>
    <row r="722" spans="17:21" x14ac:dyDescent="0.25">
      <c r="Q722" s="17" t="s">
        <v>1842</v>
      </c>
      <c r="R722" s="17" t="s">
        <v>195</v>
      </c>
      <c r="S722" s="17"/>
      <c r="T722" s="17"/>
      <c r="U722" s="17"/>
    </row>
    <row r="723" spans="17:21" x14ac:dyDescent="0.25">
      <c r="Q723" s="17" t="s">
        <v>1843</v>
      </c>
      <c r="R723" s="17" t="s">
        <v>195</v>
      </c>
      <c r="S723" s="17"/>
      <c r="T723" s="17"/>
      <c r="U723" s="17"/>
    </row>
    <row r="724" spans="17:21" x14ac:dyDescent="0.25">
      <c r="Q724" s="17" t="s">
        <v>782</v>
      </c>
      <c r="R724" s="17" t="s">
        <v>195</v>
      </c>
      <c r="S724" s="17"/>
      <c r="T724" s="17"/>
      <c r="U724" s="17"/>
    </row>
    <row r="725" spans="17:21" x14ac:dyDescent="0.25">
      <c r="Q725" s="17" t="s">
        <v>1844</v>
      </c>
      <c r="R725" s="17" t="s">
        <v>195</v>
      </c>
      <c r="S725" s="17"/>
      <c r="T725" s="17"/>
      <c r="U725" s="17"/>
    </row>
    <row r="726" spans="17:21" x14ac:dyDescent="0.25">
      <c r="Q726" s="17" t="s">
        <v>947</v>
      </c>
      <c r="R726" s="17" t="s">
        <v>195</v>
      </c>
      <c r="S726" s="17"/>
      <c r="T726" s="17"/>
      <c r="U726" s="17"/>
    </row>
    <row r="727" spans="17:21" x14ac:dyDescent="0.25">
      <c r="Q727" s="17" t="s">
        <v>783</v>
      </c>
      <c r="R727" s="17" t="s">
        <v>195</v>
      </c>
      <c r="S727" s="17"/>
      <c r="T727" s="17"/>
      <c r="U727" s="17"/>
    </row>
    <row r="728" spans="17:21" x14ac:dyDescent="0.25">
      <c r="Q728" s="17" t="s">
        <v>1845</v>
      </c>
      <c r="R728" s="17" t="s">
        <v>195</v>
      </c>
      <c r="S728" s="17"/>
      <c r="T728" s="17"/>
      <c r="U728" s="17"/>
    </row>
    <row r="729" spans="17:21" x14ac:dyDescent="0.25">
      <c r="Q729" s="17" t="s">
        <v>1329</v>
      </c>
      <c r="R729" s="17" t="s">
        <v>195</v>
      </c>
      <c r="S729" s="17"/>
      <c r="T729" s="17"/>
      <c r="U729" s="17"/>
    </row>
    <row r="730" spans="17:21" x14ac:dyDescent="0.25">
      <c r="Q730" s="17" t="s">
        <v>785</v>
      </c>
      <c r="R730" s="17" t="s">
        <v>195</v>
      </c>
      <c r="S730" s="17"/>
      <c r="T730" s="17"/>
      <c r="U730" s="17"/>
    </row>
    <row r="731" spans="17:21" x14ac:dyDescent="0.25">
      <c r="Q731" s="17" t="s">
        <v>1846</v>
      </c>
      <c r="R731" s="17" t="s">
        <v>195</v>
      </c>
      <c r="S731" s="17"/>
      <c r="T731" s="17"/>
      <c r="U731" s="17"/>
    </row>
    <row r="732" spans="17:21" x14ac:dyDescent="0.25">
      <c r="Q732" s="17" t="s">
        <v>1847</v>
      </c>
      <c r="R732" s="17" t="s">
        <v>195</v>
      </c>
      <c r="S732" s="17"/>
      <c r="T732" s="17"/>
      <c r="U732" s="17"/>
    </row>
    <row r="733" spans="17:21" x14ac:dyDescent="0.25">
      <c r="Q733" s="17" t="s">
        <v>1187</v>
      </c>
      <c r="R733" s="17" t="s">
        <v>195</v>
      </c>
      <c r="S733" s="17"/>
      <c r="T733" s="17"/>
      <c r="U733" s="17"/>
    </row>
    <row r="734" spans="17:21" x14ac:dyDescent="0.25">
      <c r="Q734" s="17" t="s">
        <v>1848</v>
      </c>
      <c r="R734" s="17" t="s">
        <v>195</v>
      </c>
      <c r="S734" s="17"/>
      <c r="T734" s="17"/>
      <c r="U734" s="17"/>
    </row>
    <row r="735" spans="17:21" x14ac:dyDescent="0.25">
      <c r="Q735" s="17" t="s">
        <v>1849</v>
      </c>
      <c r="R735" s="17" t="s">
        <v>195</v>
      </c>
      <c r="S735" s="17"/>
      <c r="T735" s="17"/>
      <c r="U735" s="17"/>
    </row>
    <row r="736" spans="17:21" x14ac:dyDescent="0.25">
      <c r="Q736" s="17" t="s">
        <v>1850</v>
      </c>
      <c r="R736" s="17" t="s">
        <v>195</v>
      </c>
      <c r="S736" s="17"/>
      <c r="T736" s="17"/>
      <c r="U736" s="17"/>
    </row>
    <row r="737" spans="17:21" x14ac:dyDescent="0.25">
      <c r="Q737" s="17" t="s">
        <v>1307</v>
      </c>
      <c r="R737" s="17" t="s">
        <v>195</v>
      </c>
      <c r="S737" s="17"/>
      <c r="T737" s="17"/>
      <c r="U737" s="17"/>
    </row>
    <row r="738" spans="17:21" x14ac:dyDescent="0.25">
      <c r="Q738" s="17" t="s">
        <v>1851</v>
      </c>
      <c r="R738" s="17" t="s">
        <v>195</v>
      </c>
      <c r="S738" s="17"/>
      <c r="T738" s="17"/>
      <c r="U738" s="17"/>
    </row>
    <row r="739" spans="17:21" x14ac:dyDescent="0.25">
      <c r="Q739" s="17" t="s">
        <v>1852</v>
      </c>
      <c r="R739" s="17" t="s">
        <v>195</v>
      </c>
      <c r="S739" s="17"/>
      <c r="T739" s="17"/>
      <c r="U739" s="17"/>
    </row>
    <row r="740" spans="17:21" x14ac:dyDescent="0.25">
      <c r="Q740" s="17" t="s">
        <v>1853</v>
      </c>
      <c r="R740" s="17" t="s">
        <v>195</v>
      </c>
      <c r="S740" s="17"/>
      <c r="T740" s="17"/>
      <c r="U740" s="17"/>
    </row>
    <row r="741" spans="17:21" x14ac:dyDescent="0.25">
      <c r="Q741" s="17" t="s">
        <v>1854</v>
      </c>
      <c r="R741" s="17" t="s">
        <v>195</v>
      </c>
      <c r="S741" s="17"/>
      <c r="T741" s="17"/>
      <c r="U741" s="17"/>
    </row>
    <row r="742" spans="17:21" x14ac:dyDescent="0.25">
      <c r="Q742" s="17" t="s">
        <v>1855</v>
      </c>
      <c r="R742" s="17" t="s">
        <v>195</v>
      </c>
      <c r="S742" s="17"/>
      <c r="T742" s="17"/>
      <c r="U742" s="17"/>
    </row>
    <row r="743" spans="17:21" x14ac:dyDescent="0.25">
      <c r="Q743" s="17" t="s">
        <v>1856</v>
      </c>
      <c r="R743" s="17" t="s">
        <v>195</v>
      </c>
      <c r="S743" s="17"/>
      <c r="T743" s="17"/>
      <c r="U743" s="17"/>
    </row>
    <row r="744" spans="17:21" x14ac:dyDescent="0.25">
      <c r="Q744" s="17" t="s">
        <v>1857</v>
      </c>
      <c r="R744" s="17" t="s">
        <v>195</v>
      </c>
      <c r="S744" s="17"/>
      <c r="T744" s="17"/>
      <c r="U744" s="17"/>
    </row>
    <row r="745" spans="17:21" x14ac:dyDescent="0.25">
      <c r="Q745" s="17" t="s">
        <v>1858</v>
      </c>
      <c r="R745" s="17" t="s">
        <v>195</v>
      </c>
      <c r="S745" s="17"/>
      <c r="T745" s="17"/>
      <c r="U745" s="17"/>
    </row>
    <row r="746" spans="17:21" x14ac:dyDescent="0.25">
      <c r="Q746" s="17" t="s">
        <v>1859</v>
      </c>
      <c r="R746" s="17" t="s">
        <v>195</v>
      </c>
      <c r="S746" s="17"/>
      <c r="T746" s="17"/>
      <c r="U746" s="17"/>
    </row>
    <row r="747" spans="17:21" x14ac:dyDescent="0.25">
      <c r="Q747" s="17" t="s">
        <v>1100</v>
      </c>
      <c r="R747" s="17" t="s">
        <v>193</v>
      </c>
      <c r="S747" s="17"/>
      <c r="T747" s="17"/>
      <c r="U747" s="17"/>
    </row>
    <row r="748" spans="17:21" x14ac:dyDescent="0.25">
      <c r="Q748" s="17" t="s">
        <v>1860</v>
      </c>
      <c r="R748" s="17" t="s">
        <v>193</v>
      </c>
      <c r="S748" s="17"/>
      <c r="T748" s="17"/>
      <c r="U748" s="17"/>
    </row>
    <row r="749" spans="17:21" x14ac:dyDescent="0.25">
      <c r="Q749" s="17" t="s">
        <v>725</v>
      </c>
      <c r="R749" s="17" t="s">
        <v>193</v>
      </c>
      <c r="S749" s="17"/>
      <c r="T749" s="17"/>
      <c r="U749" s="17"/>
    </row>
    <row r="750" spans="17:21" x14ac:dyDescent="0.25">
      <c r="Q750" s="17" t="s">
        <v>1861</v>
      </c>
      <c r="R750" s="17" t="s">
        <v>193</v>
      </c>
      <c r="S750" s="17"/>
      <c r="T750" s="17"/>
      <c r="U750" s="17"/>
    </row>
    <row r="751" spans="17:21" x14ac:dyDescent="0.25">
      <c r="Q751" s="17" t="s">
        <v>1862</v>
      </c>
      <c r="R751" s="17" t="s">
        <v>193</v>
      </c>
      <c r="S751" s="17"/>
      <c r="T751" s="17"/>
      <c r="U751" s="17"/>
    </row>
    <row r="752" spans="17:21" x14ac:dyDescent="0.25">
      <c r="Q752" s="17" t="s">
        <v>1863</v>
      </c>
      <c r="R752" s="17" t="s">
        <v>193</v>
      </c>
      <c r="S752" s="17"/>
      <c r="T752" s="17"/>
      <c r="U752" s="17"/>
    </row>
    <row r="753" spans="17:21" x14ac:dyDescent="0.25">
      <c r="Q753" s="17" t="s">
        <v>1864</v>
      </c>
      <c r="R753" s="17" t="s">
        <v>193</v>
      </c>
      <c r="S753" s="17"/>
      <c r="T753" s="17"/>
      <c r="U753" s="17"/>
    </row>
    <row r="754" spans="17:21" x14ac:dyDescent="0.25">
      <c r="Q754" s="17" t="s">
        <v>1865</v>
      </c>
      <c r="R754" s="17" t="s">
        <v>193</v>
      </c>
      <c r="S754" s="17"/>
      <c r="T754" s="17"/>
      <c r="U754" s="17"/>
    </row>
    <row r="755" spans="17:21" x14ac:dyDescent="0.25">
      <c r="Q755" s="17" t="s">
        <v>1866</v>
      </c>
      <c r="R755" s="17" t="s">
        <v>193</v>
      </c>
      <c r="S755" s="17"/>
      <c r="T755" s="17"/>
      <c r="U755" s="17"/>
    </row>
    <row r="756" spans="17:21" x14ac:dyDescent="0.25">
      <c r="Q756" s="17" t="s">
        <v>919</v>
      </c>
      <c r="R756" s="17" t="s">
        <v>193</v>
      </c>
      <c r="S756" s="17"/>
      <c r="T756" s="17"/>
      <c r="U756" s="17"/>
    </row>
    <row r="757" spans="17:21" x14ac:dyDescent="0.25">
      <c r="Q757" s="17" t="s">
        <v>1867</v>
      </c>
      <c r="R757" s="17" t="s">
        <v>195</v>
      </c>
      <c r="S757" s="17"/>
      <c r="T757" s="17"/>
      <c r="U757" s="17"/>
    </row>
    <row r="758" spans="17:21" x14ac:dyDescent="0.25">
      <c r="Q758" s="17" t="s">
        <v>1868</v>
      </c>
      <c r="R758" s="17" t="s">
        <v>195</v>
      </c>
      <c r="S758" s="17"/>
      <c r="T758" s="17"/>
      <c r="U758" s="17"/>
    </row>
    <row r="759" spans="17:21" x14ac:dyDescent="0.25">
      <c r="Q759" s="17" t="s">
        <v>1869</v>
      </c>
      <c r="R759" s="17" t="s">
        <v>195</v>
      </c>
      <c r="S759" s="17"/>
      <c r="T759" s="17"/>
      <c r="U759" s="17"/>
    </row>
    <row r="760" spans="17:21" x14ac:dyDescent="0.25">
      <c r="Q760" s="17" t="s">
        <v>1870</v>
      </c>
      <c r="R760" s="17" t="s">
        <v>195</v>
      </c>
      <c r="S760" s="17"/>
      <c r="T760" s="17"/>
      <c r="U760" s="17"/>
    </row>
    <row r="761" spans="17:21" x14ac:dyDescent="0.25">
      <c r="Q761" s="17" t="s">
        <v>1871</v>
      </c>
      <c r="R761" s="17" t="s">
        <v>193</v>
      </c>
      <c r="S761" s="17"/>
      <c r="T761" s="17"/>
      <c r="U761" s="17"/>
    </row>
    <row r="762" spans="17:21" x14ac:dyDescent="0.25">
      <c r="Q762" s="17" t="s">
        <v>1872</v>
      </c>
      <c r="R762" s="17" t="s">
        <v>195</v>
      </c>
      <c r="S762" s="17"/>
      <c r="T762" s="17"/>
      <c r="U762" s="17"/>
    </row>
    <row r="763" spans="17:21" x14ac:dyDescent="0.25">
      <c r="Q763" s="17" t="s">
        <v>1197</v>
      </c>
      <c r="R763" s="17" t="s">
        <v>195</v>
      </c>
      <c r="S763" s="17"/>
      <c r="T763" s="17"/>
      <c r="U763" s="17"/>
    </row>
    <row r="764" spans="17:21" x14ac:dyDescent="0.25">
      <c r="Q764" s="17" t="s">
        <v>1242</v>
      </c>
      <c r="R764" s="17" t="s">
        <v>195</v>
      </c>
      <c r="S764" s="17"/>
      <c r="T764" s="17"/>
      <c r="U764" s="17"/>
    </row>
    <row r="765" spans="17:21" x14ac:dyDescent="0.25">
      <c r="Q765" s="17" t="s">
        <v>1873</v>
      </c>
      <c r="R765" s="17" t="s">
        <v>193</v>
      </c>
      <c r="S765" s="17"/>
      <c r="T765" s="17"/>
      <c r="U765" s="17"/>
    </row>
    <row r="766" spans="17:21" x14ac:dyDescent="0.25">
      <c r="Q766" s="17" t="s">
        <v>1089</v>
      </c>
      <c r="R766" s="17" t="s">
        <v>193</v>
      </c>
      <c r="S766" s="17"/>
      <c r="T766" s="17"/>
      <c r="U766" s="17"/>
    </row>
    <row r="767" spans="17:21" x14ac:dyDescent="0.25">
      <c r="Q767" s="17" t="s">
        <v>1874</v>
      </c>
      <c r="R767" s="17" t="s">
        <v>193</v>
      </c>
      <c r="S767" s="17"/>
      <c r="T767" s="17"/>
      <c r="U767" s="17"/>
    </row>
    <row r="768" spans="17:21" x14ac:dyDescent="0.25">
      <c r="Q768" s="17" t="s">
        <v>619</v>
      </c>
      <c r="R768" s="17" t="s">
        <v>193</v>
      </c>
      <c r="S768" s="17"/>
      <c r="T768" s="17"/>
      <c r="U768" s="17"/>
    </row>
    <row r="769" spans="17:21" x14ac:dyDescent="0.25">
      <c r="Q769" s="17" t="s">
        <v>397</v>
      </c>
      <c r="R769" s="17" t="s">
        <v>193</v>
      </c>
      <c r="S769" s="17"/>
      <c r="T769" s="17"/>
      <c r="U769" s="17"/>
    </row>
    <row r="770" spans="17:21" x14ac:dyDescent="0.25">
      <c r="Q770" s="17" t="s">
        <v>1875</v>
      </c>
      <c r="R770" s="17" t="s">
        <v>193</v>
      </c>
      <c r="S770" s="17"/>
      <c r="T770" s="17"/>
      <c r="U770" s="17"/>
    </row>
    <row r="771" spans="17:21" x14ac:dyDescent="0.25">
      <c r="Q771" s="17" t="s">
        <v>1876</v>
      </c>
      <c r="R771" s="17" t="s">
        <v>193</v>
      </c>
      <c r="S771" s="17"/>
      <c r="T771" s="17"/>
      <c r="U771" s="17"/>
    </row>
    <row r="772" spans="17:21" x14ac:dyDescent="0.25">
      <c r="Q772" s="17" t="s">
        <v>1150</v>
      </c>
      <c r="R772" s="17" t="s">
        <v>193</v>
      </c>
      <c r="S772" s="17"/>
      <c r="T772" s="17"/>
      <c r="U772" s="17"/>
    </row>
    <row r="773" spans="17:21" x14ac:dyDescent="0.25">
      <c r="Q773" s="17" t="s">
        <v>779</v>
      </c>
      <c r="R773" s="17" t="s">
        <v>193</v>
      </c>
      <c r="S773" s="17"/>
      <c r="T773" s="17"/>
      <c r="U773" s="17"/>
    </row>
    <row r="774" spans="17:21" x14ac:dyDescent="0.25">
      <c r="Q774" s="17" t="s">
        <v>1877</v>
      </c>
      <c r="R774" s="17" t="s">
        <v>193</v>
      </c>
      <c r="S774" s="17"/>
      <c r="T774" s="17"/>
      <c r="U774" s="17"/>
    </row>
    <row r="775" spans="17:21" x14ac:dyDescent="0.25">
      <c r="Q775" s="17" t="s">
        <v>1878</v>
      </c>
      <c r="R775" s="17" t="s">
        <v>193</v>
      </c>
      <c r="S775" s="17"/>
      <c r="T775" s="17"/>
      <c r="U775" s="17"/>
    </row>
    <row r="776" spans="17:21" x14ac:dyDescent="0.25">
      <c r="Q776" s="17" t="s">
        <v>1191</v>
      </c>
      <c r="R776" s="17" t="s">
        <v>193</v>
      </c>
      <c r="S776" s="17"/>
      <c r="T776" s="17"/>
      <c r="U776" s="17"/>
    </row>
    <row r="777" spans="17:21" x14ac:dyDescent="0.25">
      <c r="Q777" s="17" t="s">
        <v>1879</v>
      </c>
      <c r="R777" s="17" t="s">
        <v>193</v>
      </c>
      <c r="S777" s="17"/>
      <c r="T777" s="17"/>
      <c r="U777" s="17"/>
    </row>
    <row r="778" spans="17:21" x14ac:dyDescent="0.25">
      <c r="Q778" s="17" t="s">
        <v>1880</v>
      </c>
      <c r="R778" s="17" t="s">
        <v>193</v>
      </c>
      <c r="S778" s="17"/>
      <c r="T778" s="17"/>
      <c r="U778" s="17"/>
    </row>
    <row r="779" spans="17:21" x14ac:dyDescent="0.25">
      <c r="Q779" s="17" t="s">
        <v>726</v>
      </c>
      <c r="R779" s="17" t="s">
        <v>193</v>
      </c>
      <c r="S779" s="17"/>
      <c r="T779" s="17"/>
      <c r="U779" s="17"/>
    </row>
    <row r="780" spans="17:21" x14ac:dyDescent="0.25">
      <c r="Q780" s="17" t="s">
        <v>1881</v>
      </c>
      <c r="R780" s="17" t="s">
        <v>193</v>
      </c>
      <c r="S780" s="17"/>
      <c r="T780" s="17"/>
      <c r="U780" s="17"/>
    </row>
    <row r="781" spans="17:21" x14ac:dyDescent="0.25">
      <c r="Q781" s="17" t="s">
        <v>1882</v>
      </c>
      <c r="R781" s="17" t="s">
        <v>189</v>
      </c>
      <c r="S781" s="17"/>
      <c r="T781" s="17"/>
      <c r="U781" s="17"/>
    </row>
    <row r="782" spans="17:21" x14ac:dyDescent="0.25">
      <c r="Q782" s="17" t="s">
        <v>394</v>
      </c>
      <c r="R782" s="17" t="s">
        <v>189</v>
      </c>
      <c r="S782" s="17"/>
      <c r="T782" s="17"/>
      <c r="U782" s="17"/>
    </row>
    <row r="783" spans="17:21" x14ac:dyDescent="0.25">
      <c r="Q783" s="17" t="s">
        <v>1883</v>
      </c>
      <c r="R783" s="17" t="s">
        <v>193</v>
      </c>
      <c r="S783" s="17"/>
      <c r="T783" s="17"/>
      <c r="U783" s="17"/>
    </row>
    <row r="784" spans="17:21" x14ac:dyDescent="0.25">
      <c r="Q784" s="17" t="s">
        <v>1884</v>
      </c>
      <c r="R784" s="17" t="s">
        <v>193</v>
      </c>
      <c r="S784" s="17"/>
      <c r="T784" s="17"/>
      <c r="U784" s="17"/>
    </row>
    <row r="785" spans="17:21" x14ac:dyDescent="0.25">
      <c r="Q785" s="17" t="s">
        <v>1260</v>
      </c>
      <c r="R785" s="17" t="s">
        <v>193</v>
      </c>
      <c r="S785" s="17"/>
      <c r="T785" s="17"/>
      <c r="U785" s="17"/>
    </row>
    <row r="786" spans="17:21" x14ac:dyDescent="0.25">
      <c r="Q786" s="17" t="s">
        <v>1885</v>
      </c>
      <c r="R786" s="17" t="s">
        <v>193</v>
      </c>
      <c r="S786" s="17"/>
      <c r="T786" s="17"/>
      <c r="U786" s="17"/>
    </row>
    <row r="787" spans="17:21" x14ac:dyDescent="0.25">
      <c r="Q787" s="17" t="s">
        <v>1290</v>
      </c>
      <c r="R787" s="17" t="s">
        <v>193</v>
      </c>
      <c r="S787" s="17"/>
      <c r="T787" s="17"/>
      <c r="U787" s="17"/>
    </row>
    <row r="788" spans="17:21" x14ac:dyDescent="0.25">
      <c r="Q788" s="17" t="s">
        <v>1221</v>
      </c>
      <c r="R788" s="17" t="s">
        <v>193</v>
      </c>
      <c r="S788" s="17"/>
      <c r="T788" s="17"/>
      <c r="U788" s="17"/>
    </row>
    <row r="789" spans="17:21" x14ac:dyDescent="0.25">
      <c r="Q789" s="17" t="s">
        <v>398</v>
      </c>
      <c r="R789" s="17" t="s">
        <v>193</v>
      </c>
      <c r="S789" s="17"/>
      <c r="T789" s="17"/>
      <c r="U789" s="17"/>
    </row>
    <row r="790" spans="17:21" x14ac:dyDescent="0.25">
      <c r="Q790" s="17" t="s">
        <v>780</v>
      </c>
      <c r="R790" s="17" t="s">
        <v>193</v>
      </c>
      <c r="S790" s="17"/>
      <c r="T790" s="17"/>
      <c r="U790" s="17"/>
    </row>
    <row r="791" spans="17:21" x14ac:dyDescent="0.25">
      <c r="Q791" s="17" t="s">
        <v>399</v>
      </c>
      <c r="R791" s="17" t="s">
        <v>193</v>
      </c>
      <c r="S791" s="17"/>
      <c r="T791" s="17"/>
      <c r="U791" s="17"/>
    </row>
    <row r="792" spans="17:21" x14ac:dyDescent="0.25">
      <c r="Q792" s="17" t="s">
        <v>1886</v>
      </c>
      <c r="R792" s="17" t="s">
        <v>193</v>
      </c>
      <c r="S792" s="17"/>
      <c r="T792" s="17"/>
      <c r="U792" s="17"/>
    </row>
    <row r="793" spans="17:21" x14ac:dyDescent="0.25">
      <c r="Q793" s="17" t="s">
        <v>1887</v>
      </c>
      <c r="R793" s="17" t="s">
        <v>193</v>
      </c>
      <c r="S793" s="17"/>
      <c r="T793" s="17"/>
      <c r="U793" s="17"/>
    </row>
    <row r="794" spans="17:21" x14ac:dyDescent="0.25">
      <c r="Q794" s="17" t="s">
        <v>1888</v>
      </c>
      <c r="R794" s="17" t="s">
        <v>193</v>
      </c>
      <c r="S794" s="17"/>
      <c r="T794" s="17"/>
      <c r="U794" s="17"/>
    </row>
    <row r="795" spans="17:21" x14ac:dyDescent="0.25">
      <c r="Q795" s="17" t="s">
        <v>1889</v>
      </c>
      <c r="R795" s="17" t="s">
        <v>193</v>
      </c>
      <c r="S795" s="17"/>
      <c r="T795" s="17"/>
      <c r="U795" s="17"/>
    </row>
    <row r="796" spans="17:21" x14ac:dyDescent="0.25">
      <c r="Q796" s="17" t="s">
        <v>1890</v>
      </c>
      <c r="R796" s="17" t="s">
        <v>193</v>
      </c>
      <c r="S796" s="17"/>
      <c r="T796" s="17"/>
      <c r="U796" s="17"/>
    </row>
    <row r="797" spans="17:21" x14ac:dyDescent="0.25">
      <c r="Q797" s="17" t="s">
        <v>1891</v>
      </c>
      <c r="R797" s="17" t="s">
        <v>193</v>
      </c>
      <c r="S797" s="17"/>
      <c r="T797" s="17"/>
      <c r="U797" s="17"/>
    </row>
    <row r="798" spans="17:21" x14ac:dyDescent="0.25">
      <c r="Q798" s="17" t="s">
        <v>1892</v>
      </c>
      <c r="R798" s="17" t="s">
        <v>193</v>
      </c>
      <c r="S798" s="17"/>
      <c r="T798" s="17"/>
      <c r="U798" s="17"/>
    </row>
    <row r="799" spans="17:21" x14ac:dyDescent="0.25">
      <c r="Q799" s="17" t="s">
        <v>1893</v>
      </c>
      <c r="R799" s="17" t="s">
        <v>193</v>
      </c>
      <c r="S799" s="17"/>
      <c r="T799" s="17"/>
      <c r="U799" s="17"/>
    </row>
    <row r="800" spans="17:21" x14ac:dyDescent="0.25">
      <c r="Q800" s="17" t="s">
        <v>946</v>
      </c>
      <c r="R800" s="17" t="s">
        <v>193</v>
      </c>
      <c r="S800" s="17"/>
      <c r="T800" s="17"/>
      <c r="U800" s="17"/>
    </row>
    <row r="801" spans="17:21" x14ac:dyDescent="0.25">
      <c r="Q801" s="17" t="s">
        <v>1894</v>
      </c>
      <c r="R801" s="17" t="s">
        <v>193</v>
      </c>
      <c r="S801" s="17"/>
      <c r="T801" s="17"/>
      <c r="U801" s="17"/>
    </row>
    <row r="802" spans="17:21" x14ac:dyDescent="0.25">
      <c r="Q802" s="17" t="s">
        <v>1895</v>
      </c>
      <c r="R802" s="17" t="s">
        <v>193</v>
      </c>
      <c r="S802" s="17"/>
      <c r="T802" s="17"/>
      <c r="U802" s="17"/>
    </row>
    <row r="803" spans="17:21" x14ac:dyDescent="0.25">
      <c r="Q803" s="17" t="s">
        <v>459</v>
      </c>
      <c r="R803" s="17" t="s">
        <v>193</v>
      </c>
      <c r="S803" s="17"/>
      <c r="T803" s="17"/>
      <c r="U803" s="17"/>
    </row>
    <row r="804" spans="17:21" x14ac:dyDescent="0.25">
      <c r="Q804" s="17" t="s">
        <v>1896</v>
      </c>
      <c r="R804" s="17" t="s">
        <v>193</v>
      </c>
      <c r="S804" s="17"/>
      <c r="T804" s="17"/>
      <c r="U804" s="17"/>
    </row>
    <row r="805" spans="17:21" x14ac:dyDescent="0.25">
      <c r="Q805" s="17" t="s">
        <v>1897</v>
      </c>
      <c r="R805" s="17" t="s">
        <v>193</v>
      </c>
      <c r="S805" s="17"/>
      <c r="T805" s="17"/>
      <c r="U805" s="17"/>
    </row>
    <row r="806" spans="17:21" x14ac:dyDescent="0.25">
      <c r="Q806" s="17" t="s">
        <v>460</v>
      </c>
      <c r="R806" s="17" t="s">
        <v>193</v>
      </c>
      <c r="S806" s="17"/>
      <c r="T806" s="17"/>
      <c r="U806" s="17"/>
    </row>
    <row r="807" spans="17:21" x14ac:dyDescent="0.25">
      <c r="Q807" s="17" t="s">
        <v>1306</v>
      </c>
      <c r="R807" s="17" t="s">
        <v>193</v>
      </c>
      <c r="S807" s="17"/>
      <c r="T807" s="17"/>
      <c r="U807" s="17"/>
    </row>
    <row r="808" spans="17:21" x14ac:dyDescent="0.25">
      <c r="Q808" s="17" t="s">
        <v>1898</v>
      </c>
      <c r="R808" s="17" t="s">
        <v>193</v>
      </c>
      <c r="S808" s="17"/>
      <c r="T808" s="17"/>
      <c r="U808" s="17"/>
    </row>
    <row r="809" spans="17:21" x14ac:dyDescent="0.25">
      <c r="Q809" s="17" t="s">
        <v>1899</v>
      </c>
      <c r="R809" s="17" t="s">
        <v>193</v>
      </c>
      <c r="S809" s="17"/>
      <c r="T809" s="17"/>
      <c r="U809" s="17"/>
    </row>
    <row r="810" spans="17:21" x14ac:dyDescent="0.25">
      <c r="Q810" s="17" t="s">
        <v>1074</v>
      </c>
      <c r="R810" s="17" t="s">
        <v>193</v>
      </c>
      <c r="S810" s="17"/>
      <c r="T810" s="17"/>
      <c r="U810" s="17"/>
    </row>
    <row r="811" spans="17:21" x14ac:dyDescent="0.25">
      <c r="Q811" s="17" t="s">
        <v>781</v>
      </c>
      <c r="R811" s="17" t="s">
        <v>193</v>
      </c>
      <c r="S811" s="17"/>
      <c r="T811" s="17"/>
      <c r="U811" s="17"/>
    </row>
    <row r="812" spans="17:21" x14ac:dyDescent="0.25">
      <c r="Q812" s="17" t="s">
        <v>1900</v>
      </c>
      <c r="R812" s="17" t="s">
        <v>193</v>
      </c>
      <c r="S812" s="17"/>
      <c r="T812" s="17"/>
      <c r="U812" s="17"/>
    </row>
    <row r="813" spans="17:21" x14ac:dyDescent="0.25">
      <c r="Q813" s="17" t="s">
        <v>1901</v>
      </c>
      <c r="R813" s="17" t="s">
        <v>193</v>
      </c>
      <c r="S813" s="17"/>
      <c r="T813" s="17"/>
      <c r="U813" s="17"/>
    </row>
    <row r="814" spans="17:21" x14ac:dyDescent="0.25">
      <c r="Q814" s="17" t="s">
        <v>1289</v>
      </c>
      <c r="R814" s="17" t="s">
        <v>193</v>
      </c>
      <c r="S814" s="17"/>
      <c r="T814" s="17"/>
      <c r="U814" s="17"/>
    </row>
    <row r="815" spans="17:21" x14ac:dyDescent="0.25">
      <c r="Q815" s="17" t="s">
        <v>740</v>
      </c>
      <c r="R815" s="17" t="s">
        <v>193</v>
      </c>
      <c r="S815" s="17"/>
      <c r="T815" s="17"/>
      <c r="U815" s="17"/>
    </row>
    <row r="816" spans="17:21" x14ac:dyDescent="0.25">
      <c r="Q816" s="17" t="s">
        <v>1902</v>
      </c>
      <c r="R816" s="17" t="s">
        <v>193</v>
      </c>
      <c r="S816" s="17"/>
      <c r="T816" s="17"/>
      <c r="U816" s="17"/>
    </row>
    <row r="817" spans="17:21" x14ac:dyDescent="0.25">
      <c r="Q817" s="17" t="s">
        <v>458</v>
      </c>
      <c r="R817" s="17" t="s">
        <v>193</v>
      </c>
      <c r="S817" s="17"/>
      <c r="T817" s="17"/>
      <c r="U817" s="17"/>
    </row>
    <row r="818" spans="17:21" x14ac:dyDescent="0.25">
      <c r="Q818" s="17" t="s">
        <v>659</v>
      </c>
      <c r="R818" s="17" t="s">
        <v>193</v>
      </c>
      <c r="S818" s="17"/>
      <c r="T818" s="17"/>
      <c r="U818" s="17"/>
    </row>
    <row r="819" spans="17:21" x14ac:dyDescent="0.25">
      <c r="Q819" s="17" t="s">
        <v>1183</v>
      </c>
      <c r="R819" s="17" t="s">
        <v>193</v>
      </c>
      <c r="S819" s="17"/>
      <c r="T819" s="17"/>
      <c r="U819" s="17"/>
    </row>
    <row r="820" spans="17:21" x14ac:dyDescent="0.25">
      <c r="Q820" s="17" t="s">
        <v>1903</v>
      </c>
      <c r="R820" s="17" t="s">
        <v>193</v>
      </c>
      <c r="S820" s="17"/>
      <c r="T820" s="17"/>
      <c r="U820" s="17"/>
    </row>
    <row r="821" spans="17:21" x14ac:dyDescent="0.25">
      <c r="Q821" s="17" t="s">
        <v>1904</v>
      </c>
      <c r="R821" s="17" t="s">
        <v>193</v>
      </c>
      <c r="S821" s="17"/>
      <c r="T821" s="17"/>
      <c r="U821" s="17"/>
    </row>
    <row r="822" spans="17:21" x14ac:dyDescent="0.25">
      <c r="Q822" s="17" t="s">
        <v>1116</v>
      </c>
      <c r="R822" s="17" t="s">
        <v>193</v>
      </c>
      <c r="S822" s="17"/>
      <c r="T822" s="17"/>
      <c r="U822" s="17"/>
    </row>
    <row r="823" spans="17:21" x14ac:dyDescent="0.25">
      <c r="Q823" s="17" t="s">
        <v>1286</v>
      </c>
      <c r="R823" s="17" t="s">
        <v>193</v>
      </c>
      <c r="S823" s="17"/>
      <c r="T823" s="17"/>
      <c r="U823" s="17"/>
    </row>
    <row r="824" spans="17:21" x14ac:dyDescent="0.25">
      <c r="Q824" s="17" t="s">
        <v>1905</v>
      </c>
      <c r="R824" s="17" t="s">
        <v>193</v>
      </c>
      <c r="S824" s="17"/>
      <c r="T824" s="17"/>
      <c r="U824" s="17"/>
    </row>
    <row r="825" spans="17:21" x14ac:dyDescent="0.25">
      <c r="Q825" s="17" t="s">
        <v>693</v>
      </c>
      <c r="R825" s="17" t="s">
        <v>193</v>
      </c>
      <c r="S825" s="17"/>
      <c r="T825" s="17"/>
      <c r="U825" s="17"/>
    </row>
    <row r="826" spans="17:21" x14ac:dyDescent="0.25">
      <c r="Q826" s="17" t="s">
        <v>1906</v>
      </c>
      <c r="R826" s="17" t="s">
        <v>193</v>
      </c>
      <c r="S826" s="17"/>
      <c r="T826" s="17"/>
      <c r="U826" s="17"/>
    </row>
    <row r="827" spans="17:21" x14ac:dyDescent="0.25">
      <c r="Q827" s="17" t="s">
        <v>1907</v>
      </c>
      <c r="R827" s="17" t="s">
        <v>193</v>
      </c>
      <c r="S827" s="17"/>
      <c r="T827" s="17"/>
      <c r="U827" s="17"/>
    </row>
    <row r="828" spans="17:21" x14ac:dyDescent="0.25">
      <c r="Q828" s="17" t="s">
        <v>1908</v>
      </c>
      <c r="R828" s="17" t="s">
        <v>193</v>
      </c>
      <c r="S828" s="17"/>
      <c r="T828" s="17"/>
      <c r="U828" s="17"/>
    </row>
    <row r="829" spans="17:21" x14ac:dyDescent="0.25">
      <c r="Q829" s="17" t="s">
        <v>1909</v>
      </c>
      <c r="R829" s="17" t="s">
        <v>193</v>
      </c>
      <c r="S829" s="17"/>
      <c r="T829" s="17"/>
      <c r="U829" s="17"/>
    </row>
    <row r="830" spans="17:21" x14ac:dyDescent="0.25">
      <c r="Q830" s="17" t="s">
        <v>611</v>
      </c>
      <c r="R830" s="17" t="s">
        <v>193</v>
      </c>
      <c r="S830" s="17"/>
      <c r="T830" s="17"/>
      <c r="U830" s="17"/>
    </row>
    <row r="831" spans="17:21" x14ac:dyDescent="0.25">
      <c r="Q831" s="17" t="s">
        <v>1910</v>
      </c>
      <c r="R831" s="17" t="s">
        <v>193</v>
      </c>
      <c r="S831" s="17"/>
      <c r="T831" s="17"/>
      <c r="U831" s="17"/>
    </row>
    <row r="832" spans="17:21" x14ac:dyDescent="0.25">
      <c r="Q832" s="17" t="s">
        <v>1911</v>
      </c>
      <c r="R832" s="17" t="s">
        <v>193</v>
      </c>
      <c r="S832" s="17"/>
      <c r="T832" s="17"/>
      <c r="U832" s="17"/>
    </row>
    <row r="833" spans="17:21" x14ac:dyDescent="0.25">
      <c r="Q833" s="17" t="s">
        <v>625</v>
      </c>
      <c r="R833" s="17" t="s">
        <v>193</v>
      </c>
      <c r="S833" s="17"/>
      <c r="T833" s="17"/>
      <c r="U833" s="17"/>
    </row>
    <row r="834" spans="17:21" x14ac:dyDescent="0.25">
      <c r="Q834" s="17" t="s">
        <v>1912</v>
      </c>
      <c r="R834" s="17" t="s">
        <v>193</v>
      </c>
      <c r="S834" s="17"/>
      <c r="T834" s="17"/>
      <c r="U834" s="17"/>
    </row>
    <row r="835" spans="17:21" x14ac:dyDescent="0.25">
      <c r="Q835" s="17" t="s">
        <v>954</v>
      </c>
      <c r="R835" s="17" t="s">
        <v>193</v>
      </c>
      <c r="S835" s="17"/>
      <c r="T835" s="17"/>
      <c r="U835" s="17"/>
    </row>
    <row r="836" spans="17:21" x14ac:dyDescent="0.25">
      <c r="Q836" s="17" t="s">
        <v>1913</v>
      </c>
      <c r="R836" s="17" t="s">
        <v>193</v>
      </c>
      <c r="S836" s="17"/>
      <c r="T836" s="17"/>
      <c r="U836" s="17"/>
    </row>
    <row r="837" spans="17:21" x14ac:dyDescent="0.25">
      <c r="Q837" s="17" t="s">
        <v>1914</v>
      </c>
      <c r="R837" s="17" t="s">
        <v>193</v>
      </c>
      <c r="S837" s="17"/>
      <c r="T837" s="17"/>
      <c r="U837" s="17"/>
    </row>
    <row r="838" spans="17:21" x14ac:dyDescent="0.25">
      <c r="Q838" s="17" t="s">
        <v>633</v>
      </c>
      <c r="R838" s="17" t="s">
        <v>193</v>
      </c>
      <c r="S838" s="17"/>
      <c r="T838" s="17"/>
      <c r="U838" s="17"/>
    </row>
    <row r="839" spans="17:21" x14ac:dyDescent="0.25">
      <c r="Q839" s="17" t="s">
        <v>1915</v>
      </c>
      <c r="R839" s="17" t="s">
        <v>193</v>
      </c>
      <c r="S839" s="17"/>
      <c r="T839" s="17"/>
      <c r="U839" s="17"/>
    </row>
    <row r="840" spans="17:21" x14ac:dyDescent="0.25">
      <c r="Q840" s="17" t="s">
        <v>1916</v>
      </c>
      <c r="R840" s="17" t="s">
        <v>193</v>
      </c>
      <c r="S840" s="17"/>
      <c r="T840" s="17"/>
      <c r="U840" s="17"/>
    </row>
    <row r="841" spans="17:21" x14ac:dyDescent="0.25">
      <c r="Q841" s="17" t="s">
        <v>1087</v>
      </c>
      <c r="R841" s="17" t="s">
        <v>193</v>
      </c>
      <c r="S841" s="17"/>
      <c r="T841" s="17"/>
      <c r="U841" s="17"/>
    </row>
    <row r="842" spans="17:21" x14ac:dyDescent="0.25">
      <c r="Q842" s="17" t="s">
        <v>1917</v>
      </c>
      <c r="R842" s="17" t="s">
        <v>193</v>
      </c>
      <c r="S842" s="17"/>
      <c r="T842" s="17"/>
      <c r="U842" s="17"/>
    </row>
    <row r="843" spans="17:21" x14ac:dyDescent="0.25">
      <c r="Q843" s="17" t="s">
        <v>1918</v>
      </c>
      <c r="R843" s="17" t="s">
        <v>193</v>
      </c>
      <c r="S843" s="17"/>
      <c r="T843" s="17"/>
      <c r="U843" s="17"/>
    </row>
    <row r="844" spans="17:21" x14ac:dyDescent="0.25">
      <c r="Q844" s="17" t="s">
        <v>1919</v>
      </c>
      <c r="R844" s="17" t="s">
        <v>181</v>
      </c>
      <c r="S844" s="17"/>
      <c r="T844" s="17"/>
      <c r="U844" s="17"/>
    </row>
    <row r="845" spans="17:21" x14ac:dyDescent="0.25">
      <c r="Q845" s="17" t="s">
        <v>1061</v>
      </c>
      <c r="R845" s="17" t="s">
        <v>181</v>
      </c>
      <c r="S845" s="17"/>
      <c r="T845" s="17"/>
      <c r="U845" s="17"/>
    </row>
    <row r="846" spans="17:21" x14ac:dyDescent="0.25">
      <c r="Q846" s="17" t="s">
        <v>1920</v>
      </c>
      <c r="R846" s="17" t="s">
        <v>193</v>
      </c>
      <c r="S846" s="17"/>
      <c r="T846" s="17"/>
      <c r="U846" s="17"/>
    </row>
    <row r="847" spans="17:21" x14ac:dyDescent="0.25">
      <c r="Q847" s="17" t="s">
        <v>1921</v>
      </c>
      <c r="R847" s="17" t="s">
        <v>193</v>
      </c>
      <c r="S847" s="17"/>
      <c r="T847" s="17"/>
      <c r="U847" s="17"/>
    </row>
    <row r="848" spans="17:21" x14ac:dyDescent="0.25">
      <c r="Q848" s="17" t="s">
        <v>1922</v>
      </c>
      <c r="R848" s="17" t="s">
        <v>193</v>
      </c>
      <c r="S848" s="17"/>
      <c r="T848" s="17"/>
      <c r="U848" s="17"/>
    </row>
    <row r="849" spans="17:21" x14ac:dyDescent="0.25">
      <c r="Q849" s="17" t="s">
        <v>1923</v>
      </c>
      <c r="R849" s="17" t="s">
        <v>193</v>
      </c>
      <c r="S849" s="17"/>
      <c r="T849" s="17"/>
      <c r="U849" s="17"/>
    </row>
    <row r="850" spans="17:21" x14ac:dyDescent="0.25">
      <c r="Q850" s="17" t="s">
        <v>1924</v>
      </c>
      <c r="R850" s="17" t="s">
        <v>193</v>
      </c>
      <c r="S850" s="17"/>
      <c r="T850" s="17"/>
      <c r="U850" s="17"/>
    </row>
    <row r="851" spans="17:21" x14ac:dyDescent="0.25">
      <c r="Q851" s="17" t="s">
        <v>1925</v>
      </c>
      <c r="R851" s="17" t="s">
        <v>193</v>
      </c>
      <c r="S851" s="17"/>
      <c r="T851" s="17"/>
      <c r="U851" s="17"/>
    </row>
    <row r="852" spans="17:21" x14ac:dyDescent="0.25">
      <c r="Q852" s="17" t="s">
        <v>1926</v>
      </c>
      <c r="R852" s="17" t="s">
        <v>193</v>
      </c>
      <c r="S852" s="17"/>
      <c r="T852" s="17"/>
      <c r="U852" s="17"/>
    </row>
    <row r="853" spans="17:21" x14ac:dyDescent="0.25">
      <c r="Q853" s="17" t="s">
        <v>1045</v>
      </c>
      <c r="R853" s="17" t="s">
        <v>193</v>
      </c>
      <c r="S853" s="17"/>
      <c r="T853" s="17"/>
      <c r="U853" s="17"/>
    </row>
    <row r="854" spans="17:21" x14ac:dyDescent="0.25">
      <c r="Q854" s="17" t="s">
        <v>1108</v>
      </c>
      <c r="R854" s="17" t="s">
        <v>193</v>
      </c>
      <c r="S854" s="17"/>
      <c r="T854" s="17"/>
      <c r="U854" s="17"/>
    </row>
    <row r="855" spans="17:21" x14ac:dyDescent="0.25">
      <c r="Q855" s="17" t="s">
        <v>1228</v>
      </c>
      <c r="R855" s="17" t="s">
        <v>193</v>
      </c>
      <c r="S855" s="17"/>
      <c r="T855" s="17"/>
      <c r="U855" s="17"/>
    </row>
    <row r="856" spans="17:21" x14ac:dyDescent="0.25">
      <c r="Q856" s="17" t="s">
        <v>1927</v>
      </c>
      <c r="R856" s="17" t="s">
        <v>193</v>
      </c>
      <c r="S856" s="17"/>
      <c r="T856" s="17"/>
      <c r="U856" s="17"/>
    </row>
    <row r="857" spans="17:21" x14ac:dyDescent="0.25">
      <c r="Q857" s="17" t="s">
        <v>1928</v>
      </c>
      <c r="R857" s="17" t="s">
        <v>193</v>
      </c>
      <c r="S857" s="17"/>
      <c r="T857" s="17"/>
      <c r="U857" s="17"/>
    </row>
    <row r="858" spans="17:21" x14ac:dyDescent="0.25">
      <c r="Q858" s="17" t="s">
        <v>1929</v>
      </c>
      <c r="R858" s="17" t="s">
        <v>181</v>
      </c>
      <c r="S858" s="17"/>
      <c r="T858" s="17"/>
      <c r="U858" s="17"/>
    </row>
    <row r="859" spans="17:21" x14ac:dyDescent="0.25">
      <c r="Q859" s="17" t="s">
        <v>1930</v>
      </c>
      <c r="R859" s="17" t="s">
        <v>181</v>
      </c>
      <c r="S859" s="17"/>
      <c r="T859" s="17"/>
      <c r="U859" s="17"/>
    </row>
    <row r="860" spans="17:21" x14ac:dyDescent="0.25">
      <c r="Q860" s="17" t="s">
        <v>658</v>
      </c>
      <c r="R860" s="17" t="s">
        <v>181</v>
      </c>
      <c r="S860" s="17"/>
      <c r="T860" s="17"/>
      <c r="U860" s="17"/>
    </row>
    <row r="861" spans="17:21" x14ac:dyDescent="0.25">
      <c r="Q861" s="17" t="s">
        <v>1931</v>
      </c>
      <c r="R861" s="17" t="s">
        <v>193</v>
      </c>
      <c r="S861" s="17"/>
      <c r="T861" s="17"/>
      <c r="U861" s="17"/>
    </row>
    <row r="862" spans="17:21" x14ac:dyDescent="0.25">
      <c r="Q862" s="17" t="s">
        <v>1932</v>
      </c>
      <c r="R862" s="17" t="s">
        <v>193</v>
      </c>
      <c r="S862" s="17"/>
      <c r="T862" s="17"/>
      <c r="U862" s="17"/>
    </row>
    <row r="863" spans="17:21" x14ac:dyDescent="0.25">
      <c r="Q863" s="17" t="s">
        <v>1933</v>
      </c>
      <c r="R863" s="17" t="s">
        <v>193</v>
      </c>
      <c r="S863" s="17"/>
      <c r="T863" s="17"/>
      <c r="U863" s="17"/>
    </row>
    <row r="864" spans="17:21" x14ac:dyDescent="0.25">
      <c r="Q864" s="17" t="s">
        <v>1227</v>
      </c>
      <c r="R864" s="17" t="s">
        <v>193</v>
      </c>
      <c r="S864" s="17"/>
      <c r="T864" s="17"/>
      <c r="U864" s="17"/>
    </row>
    <row r="865" spans="17:21" x14ac:dyDescent="0.25">
      <c r="Q865" s="17" t="s">
        <v>600</v>
      </c>
      <c r="R865" s="17" t="s">
        <v>193</v>
      </c>
      <c r="S865" s="17"/>
      <c r="T865" s="17"/>
      <c r="U865" s="17"/>
    </row>
    <row r="866" spans="17:21" x14ac:dyDescent="0.25">
      <c r="Q866" s="17" t="s">
        <v>567</v>
      </c>
      <c r="R866" s="17" t="s">
        <v>193</v>
      </c>
      <c r="S866" s="17"/>
      <c r="T866" s="17"/>
      <c r="U866" s="17"/>
    </row>
    <row r="867" spans="17:21" x14ac:dyDescent="0.25">
      <c r="Q867" s="17" t="s">
        <v>1155</v>
      </c>
      <c r="R867" s="17" t="s">
        <v>193</v>
      </c>
      <c r="S867" s="17"/>
      <c r="T867" s="17"/>
      <c r="U867" s="17"/>
    </row>
    <row r="868" spans="17:21" x14ac:dyDescent="0.25">
      <c r="Q868" s="17" t="s">
        <v>1934</v>
      </c>
      <c r="R868" s="17" t="s">
        <v>185</v>
      </c>
      <c r="S868" s="17"/>
      <c r="T868" s="17"/>
      <c r="U868" s="17"/>
    </row>
    <row r="869" spans="17:21" x14ac:dyDescent="0.25">
      <c r="Q869" s="17" t="s">
        <v>436</v>
      </c>
      <c r="R869" s="17" t="s">
        <v>185</v>
      </c>
      <c r="S869" s="17"/>
      <c r="T869" s="17"/>
      <c r="U869" s="17"/>
    </row>
    <row r="870" spans="17:21" x14ac:dyDescent="0.25">
      <c r="Q870" s="17" t="s">
        <v>1935</v>
      </c>
      <c r="R870" s="17" t="s">
        <v>185</v>
      </c>
      <c r="S870" s="17"/>
      <c r="T870" s="17"/>
      <c r="U870" s="17"/>
    </row>
    <row r="871" spans="17:21" x14ac:dyDescent="0.25">
      <c r="Q871" s="17" t="s">
        <v>751</v>
      </c>
      <c r="R871" s="17" t="s">
        <v>185</v>
      </c>
      <c r="S871" s="17"/>
      <c r="T871" s="17"/>
      <c r="U871" s="17"/>
    </row>
    <row r="872" spans="17:21" x14ac:dyDescent="0.25">
      <c r="Q872" s="17" t="s">
        <v>762</v>
      </c>
      <c r="R872" s="17" t="s">
        <v>185</v>
      </c>
      <c r="S872" s="17"/>
      <c r="T872" s="17"/>
      <c r="U872" s="17"/>
    </row>
    <row r="873" spans="17:21" x14ac:dyDescent="0.25">
      <c r="Q873" s="17" t="s">
        <v>1936</v>
      </c>
      <c r="R873" s="17" t="s">
        <v>185</v>
      </c>
      <c r="S873" s="17"/>
      <c r="T873" s="17"/>
      <c r="U873" s="17"/>
    </row>
    <row r="874" spans="17:21" x14ac:dyDescent="0.25">
      <c r="Q874" s="17" t="s">
        <v>1937</v>
      </c>
      <c r="R874" s="17" t="s">
        <v>187</v>
      </c>
      <c r="S874" s="17"/>
      <c r="T874" s="17"/>
      <c r="U874" s="17"/>
    </row>
    <row r="875" spans="17:21" x14ac:dyDescent="0.25">
      <c r="Q875" s="17" t="s">
        <v>1103</v>
      </c>
      <c r="R875" s="17" t="s">
        <v>187</v>
      </c>
      <c r="S875" s="17"/>
      <c r="T875" s="17"/>
      <c r="U875" s="17"/>
    </row>
    <row r="876" spans="17:21" x14ac:dyDescent="0.25">
      <c r="Q876" s="17" t="s">
        <v>1938</v>
      </c>
      <c r="R876" s="17" t="s">
        <v>187</v>
      </c>
      <c r="S876" s="17"/>
      <c r="T876" s="17"/>
      <c r="U876" s="17"/>
    </row>
    <row r="877" spans="17:21" x14ac:dyDescent="0.25">
      <c r="Q877" s="17" t="s">
        <v>1939</v>
      </c>
      <c r="R877" s="17" t="s">
        <v>187</v>
      </c>
      <c r="S877" s="17"/>
      <c r="T877" s="17"/>
      <c r="U877" s="17"/>
    </row>
    <row r="878" spans="17:21" x14ac:dyDescent="0.25">
      <c r="Q878" s="17" t="s">
        <v>1940</v>
      </c>
      <c r="R878" s="17" t="s">
        <v>187</v>
      </c>
      <c r="S878" s="17"/>
      <c r="T878" s="17"/>
      <c r="U878" s="17"/>
    </row>
    <row r="879" spans="17:21" x14ac:dyDescent="0.25">
      <c r="Q879" s="17" t="s">
        <v>964</v>
      </c>
      <c r="R879" s="17" t="s">
        <v>187</v>
      </c>
      <c r="S879" s="17"/>
      <c r="T879" s="17"/>
      <c r="U879" s="17"/>
    </row>
    <row r="880" spans="17:21" x14ac:dyDescent="0.25">
      <c r="Q880" s="17" t="s">
        <v>1941</v>
      </c>
      <c r="R880" s="17" t="s">
        <v>187</v>
      </c>
      <c r="S880" s="17"/>
      <c r="T880" s="17"/>
      <c r="U880" s="17"/>
    </row>
    <row r="881" spans="17:21" x14ac:dyDescent="0.25">
      <c r="Q881" s="17" t="s">
        <v>1942</v>
      </c>
      <c r="R881" s="17" t="s">
        <v>185</v>
      </c>
      <c r="S881" s="17"/>
      <c r="T881" s="17"/>
      <c r="U881" s="17"/>
    </row>
    <row r="882" spans="17:21" x14ac:dyDescent="0.25">
      <c r="Q882" s="17" t="s">
        <v>1943</v>
      </c>
      <c r="R882" s="17" t="s">
        <v>187</v>
      </c>
      <c r="S882" s="17"/>
      <c r="T882" s="17"/>
      <c r="U882" s="17"/>
    </row>
    <row r="883" spans="17:21" x14ac:dyDescent="0.25">
      <c r="Q883" s="17" t="s">
        <v>1944</v>
      </c>
      <c r="R883" s="17" t="s">
        <v>269</v>
      </c>
      <c r="S883" s="17"/>
      <c r="T883" s="17"/>
      <c r="U883" s="17"/>
    </row>
    <row r="884" spans="17:21" x14ac:dyDescent="0.25">
      <c r="Q884" s="17" t="s">
        <v>1945</v>
      </c>
      <c r="R884" s="17" t="s">
        <v>269</v>
      </c>
      <c r="S884" s="17"/>
      <c r="T884" s="17"/>
      <c r="U884" s="17"/>
    </row>
    <row r="885" spans="17:21" x14ac:dyDescent="0.25">
      <c r="Q885" s="17" t="s">
        <v>1946</v>
      </c>
      <c r="R885" s="17" t="s">
        <v>269</v>
      </c>
      <c r="S885" s="17"/>
      <c r="T885" s="17"/>
      <c r="U885" s="17"/>
    </row>
    <row r="886" spans="17:21" x14ac:dyDescent="0.25">
      <c r="Q886" s="17" t="s">
        <v>1947</v>
      </c>
      <c r="R886" s="17" t="s">
        <v>269</v>
      </c>
      <c r="S886" s="17"/>
      <c r="T886" s="17"/>
      <c r="U886" s="17"/>
    </row>
    <row r="887" spans="17:21" x14ac:dyDescent="0.25">
      <c r="Q887" s="17" t="s">
        <v>1948</v>
      </c>
      <c r="R887" s="17" t="s">
        <v>269</v>
      </c>
      <c r="S887" s="17"/>
      <c r="T887" s="17"/>
      <c r="U887" s="17"/>
    </row>
    <row r="888" spans="17:21" x14ac:dyDescent="0.25">
      <c r="Q888" s="17" t="s">
        <v>1949</v>
      </c>
      <c r="R888" s="17" t="s">
        <v>269</v>
      </c>
      <c r="S888" s="17"/>
      <c r="T888" s="17"/>
      <c r="U888" s="17"/>
    </row>
    <row r="889" spans="17:21" x14ac:dyDescent="0.25">
      <c r="Q889" s="17" t="s">
        <v>1950</v>
      </c>
      <c r="R889" s="17" t="s">
        <v>269</v>
      </c>
      <c r="S889" s="17"/>
      <c r="T889" s="17"/>
      <c r="U889" s="17"/>
    </row>
    <row r="890" spans="17:21" x14ac:dyDescent="0.25">
      <c r="Q890" s="17" t="s">
        <v>1951</v>
      </c>
      <c r="R890" s="17" t="s">
        <v>269</v>
      </c>
      <c r="S890" s="17"/>
      <c r="T890" s="17"/>
      <c r="U890" s="17"/>
    </row>
    <row r="891" spans="17:21" x14ac:dyDescent="0.25">
      <c r="Q891" s="17" t="s">
        <v>1952</v>
      </c>
      <c r="R891" s="17" t="s">
        <v>269</v>
      </c>
      <c r="S891" s="17"/>
      <c r="T891" s="17"/>
      <c r="U891" s="17"/>
    </row>
    <row r="892" spans="17:21" x14ac:dyDescent="0.25">
      <c r="Q892" s="17" t="s">
        <v>1953</v>
      </c>
      <c r="R892" s="17" t="s">
        <v>269</v>
      </c>
      <c r="S892" s="17"/>
      <c r="T892" s="17"/>
      <c r="U892" s="17"/>
    </row>
    <row r="893" spans="17:21" x14ac:dyDescent="0.25">
      <c r="Q893" s="17" t="s">
        <v>1954</v>
      </c>
      <c r="R893" s="17" t="s">
        <v>269</v>
      </c>
      <c r="S893" s="17"/>
      <c r="T893" s="17"/>
      <c r="U893" s="17"/>
    </row>
    <row r="894" spans="17:21" x14ac:dyDescent="0.25">
      <c r="Q894" s="17" t="s">
        <v>1955</v>
      </c>
      <c r="R894" s="17" t="s">
        <v>269</v>
      </c>
      <c r="S894" s="17"/>
      <c r="T894" s="17"/>
      <c r="U894" s="17"/>
    </row>
    <row r="895" spans="17:21" x14ac:dyDescent="0.25">
      <c r="Q895" s="17" t="s">
        <v>1956</v>
      </c>
      <c r="R895" s="17" t="s">
        <v>269</v>
      </c>
      <c r="S895" s="17"/>
      <c r="T895" s="17"/>
      <c r="U895" s="17"/>
    </row>
    <row r="896" spans="17:21" x14ac:dyDescent="0.25">
      <c r="Q896" s="17" t="s">
        <v>816</v>
      </c>
      <c r="R896" s="17" t="s">
        <v>269</v>
      </c>
      <c r="S896" s="17"/>
      <c r="T896" s="17"/>
      <c r="U896" s="17"/>
    </row>
    <row r="897" spans="17:21" x14ac:dyDescent="0.25">
      <c r="Q897" s="17" t="s">
        <v>942</v>
      </c>
      <c r="R897" s="17" t="s">
        <v>269</v>
      </c>
      <c r="S897" s="17"/>
      <c r="T897" s="17"/>
      <c r="U897" s="17"/>
    </row>
    <row r="898" spans="17:21" x14ac:dyDescent="0.25">
      <c r="Q898" s="17" t="s">
        <v>1957</v>
      </c>
      <c r="R898" s="17" t="s">
        <v>269</v>
      </c>
      <c r="S898" s="17"/>
      <c r="T898" s="17"/>
      <c r="U898" s="17"/>
    </row>
    <row r="899" spans="17:21" x14ac:dyDescent="0.25">
      <c r="Q899" s="17" t="s">
        <v>500</v>
      </c>
      <c r="R899" s="17" t="s">
        <v>269</v>
      </c>
      <c r="S899" s="17"/>
      <c r="T899" s="17"/>
      <c r="U899" s="17"/>
    </row>
    <row r="900" spans="17:21" x14ac:dyDescent="0.25">
      <c r="Q900" s="17" t="s">
        <v>1958</v>
      </c>
      <c r="R900" s="17" t="s">
        <v>261</v>
      </c>
      <c r="S900" s="17"/>
      <c r="T900" s="17"/>
      <c r="U900" s="17"/>
    </row>
    <row r="901" spans="17:21" x14ac:dyDescent="0.25">
      <c r="Q901" s="17" t="s">
        <v>1959</v>
      </c>
      <c r="R901" s="17" t="s">
        <v>261</v>
      </c>
      <c r="S901" s="17"/>
      <c r="T901" s="17"/>
      <c r="U901" s="17"/>
    </row>
    <row r="902" spans="17:21" x14ac:dyDescent="0.25">
      <c r="Q902" s="17" t="s">
        <v>1960</v>
      </c>
      <c r="R902" s="17" t="s">
        <v>261</v>
      </c>
      <c r="S902" s="17"/>
      <c r="T902" s="17"/>
      <c r="U902" s="17"/>
    </row>
    <row r="903" spans="17:21" x14ac:dyDescent="0.25">
      <c r="Q903" s="17" t="s">
        <v>1961</v>
      </c>
      <c r="R903" s="17" t="s">
        <v>261</v>
      </c>
      <c r="S903" s="17"/>
      <c r="T903" s="17"/>
      <c r="U903" s="17"/>
    </row>
    <row r="904" spans="17:21" x14ac:dyDescent="0.25">
      <c r="Q904" s="17" t="s">
        <v>1962</v>
      </c>
      <c r="R904" s="17" t="s">
        <v>261</v>
      </c>
      <c r="S904" s="17"/>
      <c r="T904" s="17"/>
      <c r="U904" s="17"/>
    </row>
    <row r="905" spans="17:21" x14ac:dyDescent="0.25">
      <c r="Q905" s="17" t="s">
        <v>1963</v>
      </c>
      <c r="R905" s="17" t="s">
        <v>261</v>
      </c>
      <c r="S905" s="17"/>
      <c r="T905" s="17"/>
      <c r="U905" s="17"/>
    </row>
    <row r="906" spans="17:21" x14ac:dyDescent="0.25">
      <c r="Q906" s="17" t="s">
        <v>1964</v>
      </c>
      <c r="R906" s="17" t="s">
        <v>261</v>
      </c>
      <c r="S906" s="17"/>
      <c r="T906" s="17"/>
      <c r="U906" s="17"/>
    </row>
    <row r="907" spans="17:21" x14ac:dyDescent="0.25">
      <c r="Q907" s="17" t="s">
        <v>1965</v>
      </c>
      <c r="R907" s="17" t="s">
        <v>261</v>
      </c>
      <c r="S907" s="17"/>
      <c r="T907" s="17"/>
      <c r="U907" s="17"/>
    </row>
    <row r="908" spans="17:21" x14ac:dyDescent="0.25">
      <c r="Q908" s="17" t="s">
        <v>1966</v>
      </c>
      <c r="R908" s="17" t="s">
        <v>261</v>
      </c>
      <c r="S908" s="17"/>
      <c r="T908" s="17"/>
      <c r="U908" s="17"/>
    </row>
    <row r="909" spans="17:21" x14ac:dyDescent="0.25">
      <c r="Q909" s="17" t="s">
        <v>1967</v>
      </c>
      <c r="R909" s="17" t="s">
        <v>261</v>
      </c>
      <c r="S909" s="17"/>
      <c r="T909" s="17"/>
      <c r="U909" s="17"/>
    </row>
    <row r="910" spans="17:21" x14ac:dyDescent="0.25">
      <c r="Q910" s="17" t="s">
        <v>1968</v>
      </c>
      <c r="R910" s="17" t="s">
        <v>261</v>
      </c>
      <c r="S910" s="17"/>
      <c r="T910" s="17"/>
      <c r="U910" s="17"/>
    </row>
    <row r="911" spans="17:21" x14ac:dyDescent="0.25">
      <c r="Q911" s="17" t="s">
        <v>811</v>
      </c>
      <c r="R911" s="17" t="s">
        <v>261</v>
      </c>
      <c r="S911" s="17"/>
      <c r="T911" s="17"/>
      <c r="U911" s="17"/>
    </row>
    <row r="912" spans="17:21" x14ac:dyDescent="0.25">
      <c r="Q912" s="17" t="s">
        <v>812</v>
      </c>
      <c r="R912" s="17" t="s">
        <v>261</v>
      </c>
      <c r="S912" s="17"/>
      <c r="T912" s="17"/>
      <c r="U912" s="17"/>
    </row>
    <row r="913" spans="17:21" x14ac:dyDescent="0.25">
      <c r="Q913" s="17" t="s">
        <v>1969</v>
      </c>
      <c r="R913" s="17" t="s">
        <v>269</v>
      </c>
      <c r="S913" s="17"/>
      <c r="T913" s="17"/>
      <c r="U913" s="17"/>
    </row>
    <row r="914" spans="17:21" x14ac:dyDescent="0.25">
      <c r="Q914" s="17" t="s">
        <v>1970</v>
      </c>
      <c r="R914" s="17" t="s">
        <v>269</v>
      </c>
      <c r="S914" s="17"/>
      <c r="T914" s="17"/>
      <c r="U914" s="17"/>
    </row>
    <row r="915" spans="17:21" x14ac:dyDescent="0.25">
      <c r="Q915" s="17" t="s">
        <v>1971</v>
      </c>
      <c r="R915" s="17" t="s">
        <v>269</v>
      </c>
      <c r="S915" s="17"/>
      <c r="T915" s="17"/>
      <c r="U915" s="17"/>
    </row>
    <row r="916" spans="17:21" x14ac:dyDescent="0.25">
      <c r="Q916" s="17" t="s">
        <v>1972</v>
      </c>
      <c r="R916" s="17" t="s">
        <v>269</v>
      </c>
      <c r="S916" s="17"/>
      <c r="T916" s="17"/>
      <c r="U916" s="17"/>
    </row>
    <row r="917" spans="17:21" x14ac:dyDescent="0.25">
      <c r="Q917" s="17" t="s">
        <v>1973</v>
      </c>
      <c r="R917" s="17" t="s">
        <v>269</v>
      </c>
      <c r="S917" s="17"/>
      <c r="T917" s="17"/>
      <c r="U917" s="17"/>
    </row>
    <row r="918" spans="17:21" x14ac:dyDescent="0.25">
      <c r="Q918" s="17" t="s">
        <v>814</v>
      </c>
      <c r="R918" s="17" t="s">
        <v>269</v>
      </c>
      <c r="S918" s="17"/>
      <c r="T918" s="17"/>
      <c r="U918" s="17"/>
    </row>
    <row r="919" spans="17:21" x14ac:dyDescent="0.25">
      <c r="Q919" s="17" t="s">
        <v>582</v>
      </c>
      <c r="R919" s="17" t="s">
        <v>269</v>
      </c>
      <c r="S919" s="17"/>
      <c r="T919" s="17"/>
      <c r="U919" s="17"/>
    </row>
    <row r="920" spans="17:21" x14ac:dyDescent="0.25">
      <c r="Q920" s="17" t="s">
        <v>1974</v>
      </c>
      <c r="R920" s="17" t="s">
        <v>269</v>
      </c>
      <c r="S920" s="17"/>
      <c r="T920" s="17"/>
      <c r="U920" s="17"/>
    </row>
    <row r="921" spans="17:21" x14ac:dyDescent="0.25">
      <c r="Q921" s="17" t="s">
        <v>643</v>
      </c>
      <c r="R921" s="17" t="s">
        <v>269</v>
      </c>
      <c r="S921" s="17"/>
      <c r="T921" s="17"/>
      <c r="U921" s="17"/>
    </row>
    <row r="922" spans="17:21" x14ac:dyDescent="0.25">
      <c r="Q922" s="17" t="s">
        <v>1975</v>
      </c>
      <c r="R922" s="17" t="s">
        <v>269</v>
      </c>
      <c r="S922" s="17"/>
      <c r="T922" s="17"/>
      <c r="U922" s="17"/>
    </row>
    <row r="923" spans="17:21" x14ac:dyDescent="0.25">
      <c r="Q923" s="17" t="s">
        <v>759</v>
      </c>
      <c r="R923" s="17" t="s">
        <v>269</v>
      </c>
      <c r="S923" s="17"/>
      <c r="T923" s="17"/>
      <c r="U923" s="17"/>
    </row>
    <row r="924" spans="17:21" x14ac:dyDescent="0.25">
      <c r="Q924" s="17" t="s">
        <v>1976</v>
      </c>
      <c r="R924" s="17" t="s">
        <v>269</v>
      </c>
      <c r="S924" s="17"/>
      <c r="T924" s="17"/>
      <c r="U924" s="17"/>
    </row>
    <row r="925" spans="17:21" x14ac:dyDescent="0.25">
      <c r="Q925" s="17" t="s">
        <v>1977</v>
      </c>
      <c r="R925" s="17" t="s">
        <v>269</v>
      </c>
      <c r="S925" s="17"/>
      <c r="T925" s="17"/>
      <c r="U925" s="17"/>
    </row>
    <row r="926" spans="17:21" x14ac:dyDescent="0.25">
      <c r="Q926" s="17" t="s">
        <v>1978</v>
      </c>
      <c r="R926" s="17" t="s">
        <v>269</v>
      </c>
      <c r="S926" s="17"/>
      <c r="T926" s="17"/>
      <c r="U926" s="17"/>
    </row>
    <row r="927" spans="17:21" x14ac:dyDescent="0.25">
      <c r="Q927" s="17" t="s">
        <v>1979</v>
      </c>
      <c r="R927" s="17" t="s">
        <v>269</v>
      </c>
      <c r="S927" s="17"/>
      <c r="T927" s="17"/>
      <c r="U927" s="17"/>
    </row>
    <row r="928" spans="17:21" x14ac:dyDescent="0.25">
      <c r="Q928" s="17" t="s">
        <v>356</v>
      </c>
      <c r="R928" s="17" t="s">
        <v>269</v>
      </c>
      <c r="S928" s="17"/>
      <c r="T928" s="17"/>
      <c r="U928" s="17"/>
    </row>
    <row r="929" spans="17:21" x14ac:dyDescent="0.25">
      <c r="Q929" s="17" t="s">
        <v>949</v>
      </c>
      <c r="R929" s="17" t="s">
        <v>269</v>
      </c>
      <c r="S929" s="17"/>
      <c r="T929" s="17"/>
      <c r="U929" s="17"/>
    </row>
    <row r="930" spans="17:21" x14ac:dyDescent="0.25">
      <c r="Q930" s="17" t="s">
        <v>1038</v>
      </c>
      <c r="R930" s="17" t="s">
        <v>269</v>
      </c>
      <c r="S930" s="17"/>
      <c r="T930" s="17"/>
      <c r="U930" s="17"/>
    </row>
    <row r="931" spans="17:21" x14ac:dyDescent="0.25">
      <c r="Q931" s="17" t="s">
        <v>1980</v>
      </c>
      <c r="R931" s="17" t="s">
        <v>269</v>
      </c>
      <c r="S931" s="17"/>
      <c r="T931" s="17"/>
      <c r="U931" s="17"/>
    </row>
    <row r="932" spans="17:21" x14ac:dyDescent="0.25">
      <c r="Q932" s="17" t="s">
        <v>1981</v>
      </c>
      <c r="R932" s="17" t="s">
        <v>269</v>
      </c>
      <c r="S932" s="17"/>
      <c r="T932" s="17"/>
      <c r="U932" s="17"/>
    </row>
    <row r="933" spans="17:21" x14ac:dyDescent="0.25">
      <c r="Q933" s="17" t="s">
        <v>1982</v>
      </c>
      <c r="R933" s="17" t="s">
        <v>269</v>
      </c>
      <c r="S933" s="17"/>
      <c r="T933" s="17"/>
      <c r="U933" s="17"/>
    </row>
    <row r="934" spans="17:21" x14ac:dyDescent="0.25">
      <c r="Q934" s="17" t="s">
        <v>1983</v>
      </c>
      <c r="R934" s="17" t="s">
        <v>269</v>
      </c>
      <c r="S934" s="17"/>
      <c r="T934" s="17"/>
      <c r="U934" s="17"/>
    </row>
    <row r="935" spans="17:21" x14ac:dyDescent="0.25">
      <c r="Q935" s="17" t="s">
        <v>1984</v>
      </c>
      <c r="R935" s="17" t="s">
        <v>269</v>
      </c>
      <c r="S935" s="17"/>
      <c r="T935" s="17"/>
      <c r="U935" s="17"/>
    </row>
    <row r="936" spans="17:21" x14ac:dyDescent="0.25">
      <c r="Q936" s="17" t="s">
        <v>729</v>
      </c>
      <c r="R936" s="17" t="s">
        <v>269</v>
      </c>
      <c r="S936" s="17"/>
      <c r="T936" s="17"/>
      <c r="U936" s="17"/>
    </row>
    <row r="937" spans="17:21" x14ac:dyDescent="0.25">
      <c r="Q937" s="17" t="s">
        <v>1985</v>
      </c>
      <c r="R937" s="17" t="s">
        <v>269</v>
      </c>
      <c r="S937" s="17"/>
      <c r="T937" s="17"/>
      <c r="U937" s="17"/>
    </row>
    <row r="938" spans="17:21" x14ac:dyDescent="0.25">
      <c r="Q938" s="17" t="s">
        <v>444</v>
      </c>
      <c r="R938" s="17" t="s">
        <v>269</v>
      </c>
      <c r="S938" s="17"/>
      <c r="T938" s="17"/>
      <c r="U938" s="17"/>
    </row>
    <row r="939" spans="17:21" x14ac:dyDescent="0.25">
      <c r="Q939" s="17" t="s">
        <v>815</v>
      </c>
      <c r="R939" s="17" t="s">
        <v>269</v>
      </c>
      <c r="S939" s="17"/>
      <c r="T939" s="17"/>
      <c r="U939" s="17"/>
    </row>
    <row r="940" spans="17:21" x14ac:dyDescent="0.25">
      <c r="Q940" s="17" t="s">
        <v>1986</v>
      </c>
      <c r="R940" s="17" t="s">
        <v>269</v>
      </c>
      <c r="S940" s="17"/>
      <c r="T940" s="17"/>
      <c r="U940" s="17"/>
    </row>
    <row r="941" spans="17:21" x14ac:dyDescent="0.25">
      <c r="Q941" s="17" t="s">
        <v>1987</v>
      </c>
      <c r="R941" s="17" t="s">
        <v>269</v>
      </c>
      <c r="S941" s="17"/>
      <c r="T941" s="17"/>
      <c r="U941" s="17"/>
    </row>
    <row r="942" spans="17:21" x14ac:dyDescent="0.25">
      <c r="Q942" s="17" t="s">
        <v>1988</v>
      </c>
      <c r="R942" s="17" t="s">
        <v>269</v>
      </c>
      <c r="S942" s="17"/>
      <c r="T942" s="17"/>
      <c r="U942" s="17"/>
    </row>
    <row r="943" spans="17:21" x14ac:dyDescent="0.25">
      <c r="Q943" s="17" t="s">
        <v>1989</v>
      </c>
      <c r="R943" s="17" t="s">
        <v>269</v>
      </c>
      <c r="S943" s="17"/>
      <c r="T943" s="17"/>
      <c r="U943" s="17"/>
    </row>
    <row r="944" spans="17:21" x14ac:dyDescent="0.25">
      <c r="Q944" s="17" t="s">
        <v>1990</v>
      </c>
      <c r="R944" s="17" t="s">
        <v>269</v>
      </c>
      <c r="S944" s="17"/>
      <c r="T944" s="17"/>
      <c r="U944" s="17"/>
    </row>
    <row r="945" spans="17:21" x14ac:dyDescent="0.25">
      <c r="Q945" s="17" t="s">
        <v>1991</v>
      </c>
      <c r="R945" s="17" t="s">
        <v>269</v>
      </c>
      <c r="S945" s="17"/>
      <c r="T945" s="17"/>
      <c r="U945" s="17"/>
    </row>
    <row r="946" spans="17:21" x14ac:dyDescent="0.25">
      <c r="Q946" s="17" t="s">
        <v>1992</v>
      </c>
      <c r="R946" s="17" t="s">
        <v>269</v>
      </c>
      <c r="S946" s="17"/>
      <c r="T946" s="17"/>
      <c r="U946" s="17"/>
    </row>
    <row r="947" spans="17:21" x14ac:dyDescent="0.25">
      <c r="Q947" s="17" t="s">
        <v>1993</v>
      </c>
      <c r="R947" s="17" t="s">
        <v>269</v>
      </c>
      <c r="S947" s="17"/>
      <c r="T947" s="17"/>
      <c r="U947" s="17"/>
    </row>
    <row r="948" spans="17:21" x14ac:dyDescent="0.25">
      <c r="Q948" s="17" t="s">
        <v>1994</v>
      </c>
      <c r="R948" s="17" t="s">
        <v>265</v>
      </c>
      <c r="S948" s="17"/>
      <c r="T948" s="17"/>
      <c r="U948" s="17"/>
    </row>
    <row r="949" spans="17:21" x14ac:dyDescent="0.25">
      <c r="Q949" s="17" t="s">
        <v>1995</v>
      </c>
      <c r="R949" s="17" t="s">
        <v>265</v>
      </c>
      <c r="S949" s="17"/>
      <c r="T949" s="17"/>
      <c r="U949" s="17"/>
    </row>
    <row r="950" spans="17:21" x14ac:dyDescent="0.25">
      <c r="Q950" s="17" t="s">
        <v>1996</v>
      </c>
      <c r="R950" s="17" t="s">
        <v>265</v>
      </c>
      <c r="S950" s="17"/>
      <c r="T950" s="17"/>
      <c r="U950" s="17"/>
    </row>
    <row r="951" spans="17:21" x14ac:dyDescent="0.25">
      <c r="Q951" s="17" t="s">
        <v>1997</v>
      </c>
      <c r="R951" s="17" t="s">
        <v>265</v>
      </c>
      <c r="S951" s="17"/>
      <c r="T951" s="17"/>
      <c r="U951" s="17"/>
    </row>
    <row r="952" spans="17:21" x14ac:dyDescent="0.25">
      <c r="Q952" s="17" t="s">
        <v>1998</v>
      </c>
      <c r="R952" s="17" t="s">
        <v>269</v>
      </c>
      <c r="S952" s="17"/>
      <c r="T952" s="17"/>
      <c r="U952" s="17"/>
    </row>
    <row r="953" spans="17:21" x14ac:dyDescent="0.25">
      <c r="Q953" s="17" t="s">
        <v>1999</v>
      </c>
      <c r="R953" s="17" t="s">
        <v>269</v>
      </c>
      <c r="S953" s="17"/>
      <c r="T953" s="17"/>
      <c r="U953" s="17"/>
    </row>
    <row r="954" spans="17:21" x14ac:dyDescent="0.25">
      <c r="Q954" s="17" t="s">
        <v>1125</v>
      </c>
      <c r="R954" s="17" t="s">
        <v>269</v>
      </c>
      <c r="S954" s="17"/>
      <c r="T954" s="17"/>
      <c r="U954" s="17"/>
    </row>
    <row r="955" spans="17:21" x14ac:dyDescent="0.25">
      <c r="Q955" s="17" t="s">
        <v>1170</v>
      </c>
      <c r="R955" s="17" t="s">
        <v>269</v>
      </c>
      <c r="S955" s="17"/>
      <c r="T955" s="17"/>
      <c r="U955" s="17"/>
    </row>
    <row r="956" spans="17:21" x14ac:dyDescent="0.25">
      <c r="Q956" s="17" t="s">
        <v>2000</v>
      </c>
      <c r="R956" s="17" t="s">
        <v>269</v>
      </c>
      <c r="S956" s="17"/>
      <c r="T956" s="17"/>
      <c r="U956" s="17"/>
    </row>
    <row r="957" spans="17:21" x14ac:dyDescent="0.25">
      <c r="Q957" s="17" t="s">
        <v>2001</v>
      </c>
      <c r="R957" s="17" t="s">
        <v>265</v>
      </c>
      <c r="S957" s="17"/>
      <c r="T957" s="17"/>
      <c r="U957" s="17"/>
    </row>
    <row r="958" spans="17:21" x14ac:dyDescent="0.25">
      <c r="Q958" s="17" t="s">
        <v>2002</v>
      </c>
      <c r="R958" s="17" t="s">
        <v>265</v>
      </c>
      <c r="S958" s="17"/>
      <c r="T958" s="17"/>
      <c r="U958" s="17"/>
    </row>
    <row r="959" spans="17:21" x14ac:dyDescent="0.25">
      <c r="Q959" s="17" t="s">
        <v>2003</v>
      </c>
      <c r="R959" s="17" t="s">
        <v>269</v>
      </c>
      <c r="S959" s="17"/>
      <c r="T959" s="17"/>
      <c r="U959" s="17"/>
    </row>
    <row r="960" spans="17:21" x14ac:dyDescent="0.25">
      <c r="Q960" s="17" t="s">
        <v>515</v>
      </c>
      <c r="R960" s="17" t="s">
        <v>181</v>
      </c>
      <c r="S960" s="17"/>
      <c r="T960" s="17"/>
      <c r="U960" s="17"/>
    </row>
    <row r="961" spans="17:21" x14ac:dyDescent="0.25">
      <c r="Q961" s="17" t="s">
        <v>359</v>
      </c>
      <c r="R961" s="17" t="s">
        <v>181</v>
      </c>
      <c r="S961" s="17"/>
      <c r="T961" s="17"/>
      <c r="U961" s="17"/>
    </row>
    <row r="962" spans="17:21" x14ac:dyDescent="0.25">
      <c r="Q962" s="17" t="s">
        <v>733</v>
      </c>
      <c r="R962" s="17" t="s">
        <v>181</v>
      </c>
      <c r="S962" s="17"/>
      <c r="T962" s="17"/>
      <c r="U962" s="17"/>
    </row>
    <row r="963" spans="17:21" x14ac:dyDescent="0.25">
      <c r="Q963" s="17" t="s">
        <v>2004</v>
      </c>
      <c r="R963" s="17" t="s">
        <v>181</v>
      </c>
      <c r="S963" s="17"/>
      <c r="T963" s="17"/>
      <c r="U963" s="17"/>
    </row>
    <row r="964" spans="17:21" x14ac:dyDescent="0.25">
      <c r="Q964" s="17" t="s">
        <v>361</v>
      </c>
      <c r="R964" s="17" t="s">
        <v>181</v>
      </c>
      <c r="S964" s="17"/>
      <c r="T964" s="17"/>
      <c r="U964" s="17"/>
    </row>
    <row r="965" spans="17:21" x14ac:dyDescent="0.25">
      <c r="Q965" s="17" t="s">
        <v>2005</v>
      </c>
      <c r="R965" s="17" t="s">
        <v>181</v>
      </c>
      <c r="S965" s="17"/>
      <c r="T965" s="17"/>
      <c r="U965" s="17"/>
    </row>
    <row r="966" spans="17:21" x14ac:dyDescent="0.25">
      <c r="Q966" s="17" t="s">
        <v>589</v>
      </c>
      <c r="R966" s="17" t="s">
        <v>181</v>
      </c>
      <c r="S966" s="17"/>
      <c r="T966" s="17"/>
      <c r="U966" s="17"/>
    </row>
    <row r="967" spans="17:21" x14ac:dyDescent="0.25">
      <c r="Q967" s="17" t="s">
        <v>2006</v>
      </c>
      <c r="R967" s="17" t="s">
        <v>181</v>
      </c>
      <c r="S967" s="17"/>
      <c r="T967" s="17"/>
      <c r="U967" s="17"/>
    </row>
    <row r="968" spans="17:21" x14ac:dyDescent="0.25">
      <c r="Q968" s="17" t="s">
        <v>2007</v>
      </c>
      <c r="R968" s="17" t="s">
        <v>181</v>
      </c>
      <c r="S968" s="17"/>
      <c r="T968" s="17"/>
      <c r="U968" s="17"/>
    </row>
    <row r="969" spans="17:21" x14ac:dyDescent="0.25">
      <c r="Q969" s="17" t="s">
        <v>1055</v>
      </c>
      <c r="R969" s="17" t="s">
        <v>181</v>
      </c>
      <c r="S969" s="17"/>
      <c r="T969" s="17"/>
      <c r="U969" s="17"/>
    </row>
    <row r="970" spans="17:21" x14ac:dyDescent="0.25">
      <c r="Q970" s="17" t="s">
        <v>2008</v>
      </c>
      <c r="R970" s="17" t="s">
        <v>181</v>
      </c>
      <c r="S970" s="17"/>
      <c r="T970" s="17"/>
      <c r="U970" s="17"/>
    </row>
    <row r="971" spans="17:21" x14ac:dyDescent="0.25">
      <c r="Q971" s="17" t="s">
        <v>2009</v>
      </c>
      <c r="R971" s="17" t="s">
        <v>181</v>
      </c>
      <c r="S971" s="17"/>
      <c r="T971" s="17"/>
      <c r="U971" s="17"/>
    </row>
    <row r="972" spans="17:21" x14ac:dyDescent="0.25">
      <c r="Q972" s="17" t="s">
        <v>2010</v>
      </c>
      <c r="R972" s="17" t="s">
        <v>181</v>
      </c>
      <c r="S972" s="17"/>
      <c r="T972" s="17"/>
      <c r="U972" s="17"/>
    </row>
    <row r="973" spans="17:21" x14ac:dyDescent="0.25">
      <c r="Q973" s="17" t="s">
        <v>1028</v>
      </c>
      <c r="R973" s="17" t="s">
        <v>183</v>
      </c>
      <c r="S973" s="17"/>
      <c r="T973" s="17"/>
      <c r="U973" s="17"/>
    </row>
    <row r="974" spans="17:21" x14ac:dyDescent="0.25">
      <c r="Q974" s="17" t="s">
        <v>1241</v>
      </c>
      <c r="R974" s="17" t="s">
        <v>183</v>
      </c>
      <c r="S974" s="17"/>
      <c r="T974" s="17"/>
      <c r="U974" s="17"/>
    </row>
    <row r="975" spans="17:21" x14ac:dyDescent="0.25">
      <c r="Q975" s="17" t="s">
        <v>2011</v>
      </c>
      <c r="R975" s="17" t="s">
        <v>183</v>
      </c>
      <c r="S975" s="17"/>
      <c r="T975" s="17"/>
      <c r="U975" s="17"/>
    </row>
    <row r="976" spans="17:21" x14ac:dyDescent="0.25">
      <c r="Q976" s="17" t="s">
        <v>2012</v>
      </c>
      <c r="R976" s="17" t="s">
        <v>183</v>
      </c>
      <c r="S976" s="17"/>
      <c r="T976" s="17"/>
      <c r="U976" s="17"/>
    </row>
    <row r="977" spans="17:21" x14ac:dyDescent="0.25">
      <c r="Q977" s="17" t="s">
        <v>2013</v>
      </c>
      <c r="R977" s="17" t="s">
        <v>183</v>
      </c>
      <c r="S977" s="17"/>
      <c r="T977" s="17"/>
      <c r="U977" s="17"/>
    </row>
    <row r="978" spans="17:21" x14ac:dyDescent="0.25">
      <c r="Q978" s="17" t="s">
        <v>612</v>
      </c>
      <c r="R978" s="17" t="s">
        <v>183</v>
      </c>
      <c r="S978" s="17"/>
      <c r="T978" s="17"/>
      <c r="U978" s="17"/>
    </row>
    <row r="979" spans="17:21" x14ac:dyDescent="0.25">
      <c r="Q979" s="17" t="s">
        <v>741</v>
      </c>
      <c r="R979" s="17" t="s">
        <v>183</v>
      </c>
      <c r="S979" s="17"/>
      <c r="T979" s="17"/>
      <c r="U979" s="17"/>
    </row>
    <row r="980" spans="17:21" x14ac:dyDescent="0.25">
      <c r="Q980" s="17" t="s">
        <v>734</v>
      </c>
      <c r="R980" s="17" t="s">
        <v>183</v>
      </c>
      <c r="S980" s="17"/>
      <c r="T980" s="17"/>
      <c r="U980" s="17"/>
    </row>
    <row r="981" spans="17:21" x14ac:dyDescent="0.25">
      <c r="Q981" s="17" t="s">
        <v>2014</v>
      </c>
      <c r="R981" s="17" t="s">
        <v>183</v>
      </c>
      <c r="S981" s="17"/>
      <c r="T981" s="17"/>
      <c r="U981" s="17"/>
    </row>
    <row r="982" spans="17:21" x14ac:dyDescent="0.25">
      <c r="Q982" s="17" t="s">
        <v>2015</v>
      </c>
      <c r="R982" s="17" t="s">
        <v>183</v>
      </c>
      <c r="S982" s="17"/>
      <c r="T982" s="17"/>
      <c r="U982" s="17"/>
    </row>
    <row r="983" spans="17:21" x14ac:dyDescent="0.25">
      <c r="Q983" s="17" t="s">
        <v>2016</v>
      </c>
      <c r="R983" s="17" t="s">
        <v>183</v>
      </c>
      <c r="S983" s="17"/>
      <c r="T983" s="17"/>
      <c r="U983" s="17"/>
    </row>
    <row r="984" spans="17:21" x14ac:dyDescent="0.25">
      <c r="Q984" s="17" t="s">
        <v>2017</v>
      </c>
      <c r="R984" s="17" t="s">
        <v>183</v>
      </c>
      <c r="S984" s="17"/>
      <c r="T984" s="17"/>
      <c r="U984" s="17"/>
    </row>
    <row r="985" spans="17:21" x14ac:dyDescent="0.25">
      <c r="Q985" s="17" t="s">
        <v>2018</v>
      </c>
      <c r="R985" s="17" t="s">
        <v>183</v>
      </c>
      <c r="S985" s="17"/>
      <c r="T985" s="17"/>
      <c r="U985" s="17"/>
    </row>
    <row r="986" spans="17:21" x14ac:dyDescent="0.25">
      <c r="Q986" s="17" t="s">
        <v>2019</v>
      </c>
      <c r="R986" s="17" t="s">
        <v>183</v>
      </c>
      <c r="S986" s="17"/>
      <c r="T986" s="17"/>
      <c r="U986" s="17"/>
    </row>
    <row r="987" spans="17:21" x14ac:dyDescent="0.25">
      <c r="Q987" s="17" t="s">
        <v>2020</v>
      </c>
      <c r="R987" s="17" t="s">
        <v>261</v>
      </c>
      <c r="S987" s="17"/>
      <c r="T987" s="17"/>
      <c r="U987" s="17"/>
    </row>
    <row r="988" spans="17:21" x14ac:dyDescent="0.25">
      <c r="Q988" s="17" t="s">
        <v>2021</v>
      </c>
      <c r="R988" s="17" t="s">
        <v>253</v>
      </c>
      <c r="S988" s="17"/>
      <c r="T988" s="17"/>
      <c r="U988" s="17"/>
    </row>
    <row r="989" spans="17:21" x14ac:dyDescent="0.25">
      <c r="Q989" s="17" t="s">
        <v>2022</v>
      </c>
      <c r="R989" s="17" t="s">
        <v>261</v>
      </c>
      <c r="S989" s="17"/>
      <c r="T989" s="17"/>
      <c r="U989" s="17"/>
    </row>
    <row r="990" spans="17:21" x14ac:dyDescent="0.25">
      <c r="Q990" s="17" t="s">
        <v>2023</v>
      </c>
      <c r="R990" s="17" t="s">
        <v>261</v>
      </c>
      <c r="S990" s="17"/>
      <c r="T990" s="17"/>
      <c r="U990" s="17"/>
    </row>
    <row r="991" spans="17:21" x14ac:dyDescent="0.25">
      <c r="Q991" s="17" t="s">
        <v>2024</v>
      </c>
      <c r="R991" s="17" t="s">
        <v>261</v>
      </c>
      <c r="S991" s="17"/>
      <c r="T991" s="17"/>
      <c r="U991" s="17"/>
    </row>
    <row r="992" spans="17:21" x14ac:dyDescent="0.25">
      <c r="Q992" s="17" t="s">
        <v>2025</v>
      </c>
      <c r="R992" s="17" t="s">
        <v>261</v>
      </c>
      <c r="S992" s="17"/>
      <c r="T992" s="17"/>
      <c r="U992" s="17"/>
    </row>
    <row r="993" spans="17:21" x14ac:dyDescent="0.25">
      <c r="Q993" s="17" t="s">
        <v>2026</v>
      </c>
      <c r="R993" s="17" t="s">
        <v>261</v>
      </c>
      <c r="S993" s="17"/>
      <c r="T993" s="17"/>
      <c r="U993" s="17"/>
    </row>
    <row r="994" spans="17:21" x14ac:dyDescent="0.25">
      <c r="Q994" s="17" t="s">
        <v>951</v>
      </c>
      <c r="R994" s="17" t="s">
        <v>195</v>
      </c>
      <c r="S994" s="17"/>
      <c r="T994" s="17"/>
      <c r="U994" s="17"/>
    </row>
    <row r="995" spans="17:21" x14ac:dyDescent="0.25">
      <c r="Q995" s="17" t="s">
        <v>428</v>
      </c>
      <c r="R995" s="17" t="s">
        <v>237</v>
      </c>
      <c r="S995" s="17"/>
      <c r="T995" s="17"/>
      <c r="U995" s="17"/>
    </row>
    <row r="996" spans="17:21" x14ac:dyDescent="0.25">
      <c r="Q996" s="17" t="s">
        <v>2027</v>
      </c>
      <c r="R996" s="17" t="s">
        <v>237</v>
      </c>
      <c r="S996" s="17"/>
      <c r="T996" s="17"/>
      <c r="U996" s="17"/>
    </row>
    <row r="997" spans="17:21" x14ac:dyDescent="0.25">
      <c r="Q997" s="17" t="s">
        <v>2028</v>
      </c>
      <c r="R997" s="17" t="s">
        <v>283</v>
      </c>
      <c r="S997" s="17"/>
      <c r="T997" s="17"/>
      <c r="U997" s="17"/>
    </row>
    <row r="998" spans="17:21" x14ac:dyDescent="0.25">
      <c r="Q998" s="17" t="s">
        <v>2029</v>
      </c>
      <c r="R998" s="17" t="s">
        <v>257</v>
      </c>
      <c r="S998" s="17"/>
      <c r="T998" s="17"/>
      <c r="U998" s="17"/>
    </row>
    <row r="999" spans="17:21" x14ac:dyDescent="0.25">
      <c r="Q999" s="17" t="s">
        <v>2030</v>
      </c>
      <c r="R999" s="17" t="s">
        <v>237</v>
      </c>
      <c r="S999" s="17"/>
      <c r="T999" s="17"/>
      <c r="U999" s="17"/>
    </row>
    <row r="1000" spans="17:21" x14ac:dyDescent="0.25">
      <c r="Q1000" s="17" t="s">
        <v>2031</v>
      </c>
      <c r="R1000" s="17" t="s">
        <v>237</v>
      </c>
      <c r="S1000" s="17"/>
      <c r="T1000" s="17"/>
      <c r="U1000" s="17"/>
    </row>
    <row r="1001" spans="17:21" x14ac:dyDescent="0.25">
      <c r="Q1001" s="17" t="s">
        <v>2032</v>
      </c>
      <c r="R1001" s="17" t="s">
        <v>257</v>
      </c>
      <c r="S1001" s="17"/>
      <c r="T1001" s="17"/>
      <c r="U1001" s="17"/>
    </row>
    <row r="1002" spans="17:21" x14ac:dyDescent="0.25">
      <c r="Q1002" s="17" t="s">
        <v>2033</v>
      </c>
      <c r="R1002" s="17" t="s">
        <v>257</v>
      </c>
      <c r="S1002" s="17"/>
      <c r="T1002" s="17"/>
      <c r="U1002" s="17"/>
    </row>
    <row r="1003" spans="17:21" x14ac:dyDescent="0.25">
      <c r="Q1003" s="17" t="s">
        <v>2034</v>
      </c>
      <c r="R1003" s="17" t="s">
        <v>257</v>
      </c>
      <c r="S1003" s="17"/>
      <c r="T1003" s="17"/>
      <c r="U1003" s="17"/>
    </row>
    <row r="1004" spans="17:21" x14ac:dyDescent="0.25">
      <c r="Q1004" s="17" t="s">
        <v>2035</v>
      </c>
      <c r="R1004" s="17" t="s">
        <v>257</v>
      </c>
      <c r="S1004" s="17"/>
      <c r="T1004" s="17"/>
      <c r="U1004" s="17"/>
    </row>
    <row r="1005" spans="17:21" x14ac:dyDescent="0.25">
      <c r="Q1005" s="17" t="s">
        <v>482</v>
      </c>
      <c r="R1005" s="17" t="s">
        <v>253</v>
      </c>
      <c r="S1005" s="17"/>
      <c r="T1005" s="17"/>
      <c r="U1005" s="17"/>
    </row>
    <row r="1006" spans="17:21" x14ac:dyDescent="0.25">
      <c r="Q1006" s="17" t="s">
        <v>2036</v>
      </c>
      <c r="R1006" s="17" t="s">
        <v>257</v>
      </c>
      <c r="S1006" s="17"/>
      <c r="T1006" s="17"/>
      <c r="U1006" s="17"/>
    </row>
    <row r="1007" spans="17:21" x14ac:dyDescent="0.25">
      <c r="Q1007" s="17" t="s">
        <v>667</v>
      </c>
      <c r="R1007" s="17" t="s">
        <v>193</v>
      </c>
      <c r="S1007" s="17"/>
      <c r="T1007" s="17"/>
      <c r="U1007" s="17"/>
    </row>
    <row r="1008" spans="17:21" x14ac:dyDescent="0.25">
      <c r="Q1008" s="17" t="s">
        <v>1285</v>
      </c>
      <c r="R1008" s="17" t="s">
        <v>183</v>
      </c>
      <c r="S1008" s="17"/>
      <c r="T1008" s="17"/>
      <c r="U1008" s="17"/>
    </row>
    <row r="1009" spans="17:21" x14ac:dyDescent="0.25">
      <c r="Q1009" s="17" t="s">
        <v>2037</v>
      </c>
      <c r="R1009" s="17" t="s">
        <v>183</v>
      </c>
      <c r="S1009" s="17"/>
      <c r="T1009" s="17"/>
      <c r="U1009" s="17"/>
    </row>
    <row r="1010" spans="17:21" x14ac:dyDescent="0.25">
      <c r="Q1010" s="17" t="s">
        <v>645</v>
      </c>
      <c r="R1010" s="17" t="s">
        <v>183</v>
      </c>
      <c r="S1010" s="17"/>
      <c r="T1010" s="17"/>
      <c r="U1010" s="17"/>
    </row>
    <row r="1011" spans="17:21" x14ac:dyDescent="0.25">
      <c r="Q1011" s="17" t="s">
        <v>2038</v>
      </c>
      <c r="R1011" s="17" t="s">
        <v>183</v>
      </c>
      <c r="S1011" s="17"/>
      <c r="T1011" s="17"/>
      <c r="U1011" s="17"/>
    </row>
    <row r="1012" spans="17:21" x14ac:dyDescent="0.25">
      <c r="Q1012" s="17" t="s">
        <v>357</v>
      </c>
      <c r="R1012" s="17" t="s">
        <v>183</v>
      </c>
      <c r="S1012" s="17"/>
      <c r="T1012" s="17"/>
      <c r="U1012" s="17"/>
    </row>
    <row r="1013" spans="17:21" x14ac:dyDescent="0.25">
      <c r="Q1013" s="17" t="s">
        <v>963</v>
      </c>
      <c r="R1013" s="17" t="s">
        <v>183</v>
      </c>
      <c r="S1013" s="17"/>
      <c r="T1013" s="17"/>
      <c r="U1013" s="17"/>
    </row>
    <row r="1014" spans="17:21" x14ac:dyDescent="0.25">
      <c r="Q1014" s="17" t="s">
        <v>439</v>
      </c>
      <c r="R1014" s="17" t="s">
        <v>183</v>
      </c>
      <c r="S1014" s="17"/>
      <c r="T1014" s="17"/>
      <c r="U1014" s="17"/>
    </row>
    <row r="1015" spans="17:21" x14ac:dyDescent="0.25">
      <c r="Q1015" s="17" t="s">
        <v>2039</v>
      </c>
      <c r="R1015" s="17" t="s">
        <v>183</v>
      </c>
      <c r="S1015" s="17"/>
      <c r="T1015" s="17"/>
      <c r="U1015" s="17"/>
    </row>
    <row r="1016" spans="17:21" x14ac:dyDescent="0.25">
      <c r="Q1016" s="17" t="s">
        <v>1154</v>
      </c>
      <c r="R1016" s="17" t="s">
        <v>183</v>
      </c>
      <c r="S1016" s="17"/>
      <c r="T1016" s="17"/>
      <c r="U1016" s="17"/>
    </row>
    <row r="1017" spans="17:21" x14ac:dyDescent="0.25">
      <c r="Q1017" s="17" t="s">
        <v>2040</v>
      </c>
      <c r="R1017" s="17" t="s">
        <v>183</v>
      </c>
      <c r="S1017" s="17"/>
      <c r="T1017" s="17"/>
      <c r="U1017" s="17"/>
    </row>
    <row r="1018" spans="17:21" x14ac:dyDescent="0.25">
      <c r="Q1018" s="17" t="s">
        <v>1121</v>
      </c>
      <c r="R1018" s="17" t="s">
        <v>183</v>
      </c>
      <c r="S1018" s="17"/>
      <c r="T1018" s="17"/>
      <c r="U1018" s="17"/>
    </row>
    <row r="1019" spans="17:21" x14ac:dyDescent="0.25">
      <c r="Q1019" s="17" t="s">
        <v>2041</v>
      </c>
      <c r="R1019" s="17" t="s">
        <v>183</v>
      </c>
      <c r="S1019" s="17"/>
      <c r="T1019" s="17"/>
      <c r="U1019" s="17"/>
    </row>
    <row r="1020" spans="17:21" x14ac:dyDescent="0.25">
      <c r="Q1020" s="17" t="s">
        <v>715</v>
      </c>
      <c r="R1020" s="17" t="s">
        <v>183</v>
      </c>
      <c r="S1020" s="17"/>
      <c r="T1020" s="17"/>
      <c r="U1020" s="17"/>
    </row>
    <row r="1021" spans="17:21" x14ac:dyDescent="0.25">
      <c r="Q1021" s="17" t="s">
        <v>1196</v>
      </c>
      <c r="R1021" s="17" t="s">
        <v>183</v>
      </c>
      <c r="S1021" s="17"/>
      <c r="T1021" s="17"/>
      <c r="U1021" s="17"/>
    </row>
    <row r="1022" spans="17:21" x14ac:dyDescent="0.25">
      <c r="Q1022" s="17" t="s">
        <v>2042</v>
      </c>
      <c r="R1022" s="17" t="s">
        <v>183</v>
      </c>
      <c r="S1022" s="17"/>
      <c r="T1022" s="17"/>
      <c r="U1022" s="17"/>
    </row>
    <row r="1023" spans="17:21" x14ac:dyDescent="0.25">
      <c r="Q1023" s="17" t="s">
        <v>953</v>
      </c>
      <c r="R1023" s="17" t="s">
        <v>175</v>
      </c>
      <c r="S1023" s="17"/>
      <c r="T1023" s="17"/>
      <c r="U1023" s="17"/>
    </row>
    <row r="1024" spans="17:21" x14ac:dyDescent="0.25">
      <c r="Q1024" s="17" t="s">
        <v>610</v>
      </c>
      <c r="R1024" s="17" t="s">
        <v>175</v>
      </c>
      <c r="S1024" s="17"/>
      <c r="T1024" s="17"/>
      <c r="U1024" s="17"/>
    </row>
    <row r="1025" spans="17:21" x14ac:dyDescent="0.25">
      <c r="Q1025" s="17" t="s">
        <v>962</v>
      </c>
      <c r="R1025" s="17" t="s">
        <v>175</v>
      </c>
      <c r="S1025" s="17"/>
      <c r="T1025" s="17"/>
      <c r="U1025" s="17"/>
    </row>
    <row r="1026" spans="17:21" x14ac:dyDescent="0.25">
      <c r="Q1026" s="17" t="s">
        <v>2043</v>
      </c>
      <c r="R1026" s="17" t="s">
        <v>175</v>
      </c>
      <c r="S1026" s="17"/>
      <c r="T1026" s="17"/>
      <c r="U1026" s="17"/>
    </row>
    <row r="1027" spans="17:21" x14ac:dyDescent="0.25">
      <c r="Q1027" s="17" t="s">
        <v>2044</v>
      </c>
      <c r="R1027" s="17" t="s">
        <v>175</v>
      </c>
      <c r="S1027" s="17"/>
      <c r="T1027" s="17"/>
      <c r="U1027" s="17"/>
    </row>
    <row r="1028" spans="17:21" x14ac:dyDescent="0.25">
      <c r="Q1028" s="17" t="s">
        <v>1032</v>
      </c>
      <c r="R1028" s="17" t="s">
        <v>183</v>
      </c>
      <c r="S1028" s="17"/>
      <c r="T1028" s="17"/>
      <c r="U1028" s="17"/>
    </row>
    <row r="1029" spans="17:21" x14ac:dyDescent="0.25">
      <c r="Q1029" s="17" t="s">
        <v>2045</v>
      </c>
      <c r="R1029" s="17" t="s">
        <v>175</v>
      </c>
      <c r="S1029" s="17"/>
      <c r="T1029" s="17"/>
      <c r="U1029" s="17"/>
    </row>
    <row r="1030" spans="17:21" x14ac:dyDescent="0.25">
      <c r="Q1030" s="17" t="s">
        <v>2046</v>
      </c>
      <c r="R1030" s="17" t="s">
        <v>175</v>
      </c>
      <c r="S1030" s="17"/>
      <c r="T1030" s="17"/>
      <c r="U1030" s="17"/>
    </row>
    <row r="1031" spans="17:21" x14ac:dyDescent="0.25">
      <c r="Q1031" s="17" t="s">
        <v>2047</v>
      </c>
      <c r="R1031" s="17" t="s">
        <v>175</v>
      </c>
      <c r="S1031" s="17"/>
      <c r="T1031" s="17"/>
      <c r="U1031" s="17"/>
    </row>
    <row r="1032" spans="17:21" x14ac:dyDescent="0.25">
      <c r="Q1032" s="17" t="s">
        <v>961</v>
      </c>
      <c r="R1032" s="17" t="s">
        <v>175</v>
      </c>
      <c r="S1032" s="17"/>
      <c r="T1032" s="17"/>
      <c r="U1032" s="17"/>
    </row>
    <row r="1033" spans="17:21" x14ac:dyDescent="0.25">
      <c r="Q1033" s="17" t="s">
        <v>1157</v>
      </c>
      <c r="R1033" s="17" t="s">
        <v>175</v>
      </c>
      <c r="S1033" s="17"/>
      <c r="T1033" s="17"/>
      <c r="U1033" s="17"/>
    </row>
    <row r="1034" spans="17:21" x14ac:dyDescent="0.25">
      <c r="Q1034" s="17" t="s">
        <v>533</v>
      </c>
      <c r="R1034" s="17" t="s">
        <v>175</v>
      </c>
      <c r="S1034" s="17"/>
      <c r="T1034" s="17"/>
      <c r="U1034" s="17"/>
    </row>
    <row r="1035" spans="17:21" x14ac:dyDescent="0.25">
      <c r="Q1035" s="17" t="s">
        <v>2048</v>
      </c>
      <c r="R1035" s="17" t="s">
        <v>175</v>
      </c>
      <c r="S1035" s="17"/>
      <c r="T1035" s="17"/>
      <c r="U1035" s="17"/>
    </row>
    <row r="1036" spans="17:21" x14ac:dyDescent="0.25">
      <c r="Q1036" s="17" t="s">
        <v>2049</v>
      </c>
      <c r="R1036" s="17" t="s">
        <v>175</v>
      </c>
      <c r="S1036" s="17"/>
      <c r="T1036" s="17"/>
      <c r="U1036" s="17"/>
    </row>
    <row r="1037" spans="17:21" x14ac:dyDescent="0.25">
      <c r="Q1037" s="17" t="s">
        <v>514</v>
      </c>
      <c r="R1037" s="17" t="s">
        <v>175</v>
      </c>
      <c r="S1037" s="17"/>
      <c r="T1037" s="17"/>
      <c r="U1037" s="17"/>
    </row>
    <row r="1038" spans="17:21" x14ac:dyDescent="0.25">
      <c r="Q1038" s="17" t="s">
        <v>1266</v>
      </c>
      <c r="R1038" s="17" t="s">
        <v>175</v>
      </c>
      <c r="S1038" s="17"/>
      <c r="T1038" s="17"/>
      <c r="U1038" s="17"/>
    </row>
    <row r="1039" spans="17:21" x14ac:dyDescent="0.25">
      <c r="Q1039" s="17" t="s">
        <v>2050</v>
      </c>
      <c r="R1039" s="17" t="s">
        <v>175</v>
      </c>
      <c r="S1039" s="17"/>
      <c r="T1039" s="17"/>
      <c r="U1039" s="17"/>
    </row>
    <row r="1040" spans="17:21" x14ac:dyDescent="0.25">
      <c r="Q1040" s="17" t="s">
        <v>706</v>
      </c>
      <c r="R1040" s="17" t="s">
        <v>175</v>
      </c>
      <c r="S1040" s="17"/>
      <c r="T1040" s="17"/>
      <c r="U1040" s="17"/>
    </row>
    <row r="1041" spans="17:21" x14ac:dyDescent="0.25">
      <c r="Q1041" s="17" t="s">
        <v>2051</v>
      </c>
      <c r="R1041" s="17" t="s">
        <v>175</v>
      </c>
      <c r="S1041" s="17"/>
      <c r="T1041" s="17"/>
      <c r="U1041" s="17"/>
    </row>
    <row r="1042" spans="17:21" x14ac:dyDescent="0.25">
      <c r="Q1042" s="17" t="s">
        <v>2052</v>
      </c>
      <c r="R1042" s="17" t="s">
        <v>175</v>
      </c>
      <c r="S1042" s="17"/>
      <c r="T1042" s="17"/>
      <c r="U1042" s="17"/>
    </row>
    <row r="1043" spans="17:21" x14ac:dyDescent="0.25">
      <c r="Q1043" s="17" t="s">
        <v>2053</v>
      </c>
      <c r="R1043" s="17" t="s">
        <v>175</v>
      </c>
      <c r="S1043" s="17"/>
      <c r="T1043" s="17"/>
      <c r="U1043" s="17"/>
    </row>
    <row r="1044" spans="17:21" x14ac:dyDescent="0.25">
      <c r="Q1044" s="17" t="s">
        <v>2054</v>
      </c>
      <c r="R1044" s="17" t="s">
        <v>253</v>
      </c>
      <c r="S1044" s="17"/>
      <c r="T1044" s="17"/>
      <c r="U1044" s="17"/>
    </row>
    <row r="1045" spans="17:21" x14ac:dyDescent="0.25">
      <c r="Q1045" s="17" t="s">
        <v>2055</v>
      </c>
      <c r="R1045" s="17" t="s">
        <v>253</v>
      </c>
      <c r="S1045" s="17"/>
      <c r="T1045" s="17"/>
      <c r="U1045" s="17"/>
    </row>
    <row r="1046" spans="17:21" x14ac:dyDescent="0.25">
      <c r="Q1046" s="17" t="s">
        <v>2056</v>
      </c>
      <c r="R1046" s="17" t="s">
        <v>253</v>
      </c>
      <c r="S1046" s="17"/>
      <c r="T1046" s="17"/>
      <c r="U1046" s="17"/>
    </row>
    <row r="1047" spans="17:21" x14ac:dyDescent="0.25">
      <c r="Q1047" s="17" t="s">
        <v>2057</v>
      </c>
      <c r="R1047" s="17" t="s">
        <v>253</v>
      </c>
      <c r="S1047" s="17"/>
      <c r="T1047" s="17"/>
      <c r="U1047" s="17"/>
    </row>
    <row r="1048" spans="17:21" x14ac:dyDescent="0.25">
      <c r="Q1048" s="17" t="s">
        <v>2058</v>
      </c>
      <c r="R1048" s="17" t="s">
        <v>253</v>
      </c>
      <c r="S1048" s="17"/>
      <c r="T1048" s="17"/>
      <c r="U1048" s="17"/>
    </row>
    <row r="1049" spans="17:21" x14ac:dyDescent="0.25">
      <c r="Q1049" s="17" t="s">
        <v>2059</v>
      </c>
      <c r="R1049" s="17" t="s">
        <v>253</v>
      </c>
      <c r="S1049" s="17"/>
      <c r="T1049" s="17"/>
      <c r="U1049" s="17"/>
    </row>
    <row r="1050" spans="17:21" x14ac:dyDescent="0.25">
      <c r="Q1050" s="17" t="s">
        <v>2060</v>
      </c>
      <c r="R1050" s="17" t="s">
        <v>253</v>
      </c>
      <c r="S1050" s="17"/>
      <c r="T1050" s="17"/>
      <c r="U1050" s="17"/>
    </row>
    <row r="1051" spans="17:21" x14ac:dyDescent="0.25">
      <c r="Q1051" s="17" t="s">
        <v>2061</v>
      </c>
      <c r="R1051" s="17" t="s">
        <v>253</v>
      </c>
      <c r="S1051" s="17"/>
      <c r="T1051" s="17"/>
      <c r="U1051" s="17"/>
    </row>
    <row r="1052" spans="17:21" x14ac:dyDescent="0.25">
      <c r="Q1052" s="17" t="s">
        <v>2062</v>
      </c>
      <c r="R1052" s="17" t="s">
        <v>253</v>
      </c>
      <c r="S1052" s="17"/>
      <c r="T1052" s="17"/>
      <c r="U1052" s="17"/>
    </row>
    <row r="1053" spans="17:21" x14ac:dyDescent="0.25">
      <c r="Q1053" s="17" t="s">
        <v>2063</v>
      </c>
      <c r="R1053" s="17" t="s">
        <v>261</v>
      </c>
      <c r="S1053" s="17"/>
      <c r="T1053" s="17"/>
      <c r="U1053" s="17"/>
    </row>
    <row r="1054" spans="17:21" x14ac:dyDescent="0.25">
      <c r="Q1054" s="17" t="s">
        <v>2064</v>
      </c>
      <c r="R1054" s="17" t="s">
        <v>253</v>
      </c>
      <c r="S1054" s="17"/>
      <c r="T1054" s="17"/>
      <c r="U1054" s="17"/>
    </row>
    <row r="1055" spans="17:21" x14ac:dyDescent="0.25">
      <c r="Q1055" s="17" t="s">
        <v>2065</v>
      </c>
      <c r="R1055" s="17" t="s">
        <v>261</v>
      </c>
      <c r="S1055" s="17"/>
      <c r="T1055" s="17"/>
      <c r="U1055" s="17"/>
    </row>
    <row r="1056" spans="17:21" x14ac:dyDescent="0.25">
      <c r="Q1056" s="17" t="s">
        <v>2066</v>
      </c>
      <c r="R1056" s="17" t="s">
        <v>261</v>
      </c>
      <c r="S1056" s="17"/>
      <c r="T1056" s="17"/>
      <c r="U1056" s="17"/>
    </row>
    <row r="1057" spans="17:21" x14ac:dyDescent="0.25">
      <c r="Q1057" s="17" t="s">
        <v>2067</v>
      </c>
      <c r="R1057" s="17" t="s">
        <v>261</v>
      </c>
      <c r="S1057" s="17"/>
      <c r="T1057" s="17"/>
      <c r="U1057" s="17"/>
    </row>
    <row r="1058" spans="17:21" x14ac:dyDescent="0.25">
      <c r="Q1058" s="17" t="s">
        <v>2068</v>
      </c>
      <c r="R1058" s="17" t="s">
        <v>261</v>
      </c>
      <c r="S1058" s="17"/>
      <c r="T1058" s="17"/>
      <c r="U1058" s="17"/>
    </row>
    <row r="1059" spans="17:21" x14ac:dyDescent="0.25">
      <c r="Q1059" s="17" t="s">
        <v>513</v>
      </c>
      <c r="R1059" s="17" t="s">
        <v>175</v>
      </c>
      <c r="S1059" s="17"/>
      <c r="T1059" s="17"/>
      <c r="U1059" s="17"/>
    </row>
    <row r="1060" spans="17:21" x14ac:dyDescent="0.25">
      <c r="Q1060" s="17" t="s">
        <v>714</v>
      </c>
      <c r="R1060" s="17" t="s">
        <v>175</v>
      </c>
      <c r="S1060" s="17"/>
      <c r="T1060" s="17"/>
      <c r="U1060" s="17"/>
    </row>
    <row r="1061" spans="17:21" x14ac:dyDescent="0.25">
      <c r="Q1061" s="17" t="s">
        <v>960</v>
      </c>
      <c r="R1061" s="17" t="s">
        <v>175</v>
      </c>
      <c r="S1061" s="17"/>
      <c r="T1061" s="17"/>
      <c r="U1061" s="17"/>
    </row>
    <row r="1062" spans="17:21" x14ac:dyDescent="0.25">
      <c r="Q1062" s="17" t="s">
        <v>657</v>
      </c>
      <c r="R1062" s="17" t="s">
        <v>175</v>
      </c>
      <c r="S1062" s="17"/>
      <c r="T1062" s="17"/>
      <c r="U1062" s="17"/>
    </row>
    <row r="1063" spans="17:21" x14ac:dyDescent="0.25">
      <c r="Q1063" s="17" t="s">
        <v>549</v>
      </c>
      <c r="R1063" s="17" t="s">
        <v>175</v>
      </c>
      <c r="S1063" s="17"/>
      <c r="T1063" s="17"/>
      <c r="U1063" s="17"/>
    </row>
    <row r="1064" spans="17:21" x14ac:dyDescent="0.25">
      <c r="Q1064" s="17" t="s">
        <v>939</v>
      </c>
      <c r="R1064" s="17" t="s">
        <v>175</v>
      </c>
      <c r="S1064" s="17"/>
      <c r="T1064" s="17"/>
      <c r="U1064" s="17"/>
    </row>
    <row r="1065" spans="17:21" x14ac:dyDescent="0.25">
      <c r="Q1065" s="17" t="s">
        <v>426</v>
      </c>
      <c r="R1065" s="17" t="s">
        <v>175</v>
      </c>
      <c r="S1065" s="17"/>
      <c r="T1065" s="17"/>
      <c r="U1065" s="17"/>
    </row>
    <row r="1066" spans="17:21" x14ac:dyDescent="0.25">
      <c r="Q1066" s="17" t="s">
        <v>401</v>
      </c>
      <c r="R1066" s="17" t="s">
        <v>175</v>
      </c>
      <c r="S1066" s="17"/>
      <c r="T1066" s="17"/>
      <c r="U1066" s="17"/>
    </row>
    <row r="1067" spans="17:21" x14ac:dyDescent="0.25">
      <c r="Q1067" s="17" t="s">
        <v>2069</v>
      </c>
      <c r="R1067" s="17" t="s">
        <v>175</v>
      </c>
      <c r="S1067" s="17"/>
      <c r="T1067" s="17"/>
      <c r="U1067" s="17"/>
    </row>
    <row r="1068" spans="17:21" x14ac:dyDescent="0.25">
      <c r="Q1068" s="17" t="s">
        <v>2070</v>
      </c>
      <c r="R1068" s="17" t="s">
        <v>175</v>
      </c>
      <c r="S1068" s="17"/>
      <c r="T1068" s="17"/>
      <c r="U1068" s="17"/>
    </row>
    <row r="1069" spans="17:21" x14ac:dyDescent="0.25">
      <c r="Q1069" s="17" t="s">
        <v>2071</v>
      </c>
      <c r="R1069" s="17" t="s">
        <v>175</v>
      </c>
      <c r="S1069" s="17"/>
      <c r="T1069" s="17"/>
      <c r="U1069" s="17"/>
    </row>
    <row r="1070" spans="17:21" x14ac:dyDescent="0.25">
      <c r="Q1070" s="17" t="s">
        <v>2072</v>
      </c>
      <c r="R1070" s="17" t="s">
        <v>175</v>
      </c>
      <c r="S1070" s="17"/>
      <c r="T1070" s="17"/>
      <c r="U1070" s="17"/>
    </row>
    <row r="1071" spans="17:21" x14ac:dyDescent="0.25">
      <c r="Q1071" s="17" t="s">
        <v>542</v>
      </c>
      <c r="R1071" s="17" t="s">
        <v>175</v>
      </c>
      <c r="S1071" s="17"/>
      <c r="T1071" s="17"/>
      <c r="U1071" s="17"/>
    </row>
    <row r="1072" spans="17:21" x14ac:dyDescent="0.25">
      <c r="Q1072" s="17" t="s">
        <v>2073</v>
      </c>
      <c r="R1072" s="17" t="s">
        <v>175</v>
      </c>
      <c r="S1072" s="17"/>
      <c r="T1072" s="17"/>
      <c r="U1072" s="17"/>
    </row>
    <row r="1073" spans="17:21" x14ac:dyDescent="0.25">
      <c r="Q1073" s="17" t="s">
        <v>1323</v>
      </c>
      <c r="R1073" s="17" t="s">
        <v>259</v>
      </c>
      <c r="S1073" s="17"/>
      <c r="T1073" s="17"/>
      <c r="U1073" s="17"/>
    </row>
    <row r="1074" spans="17:21" x14ac:dyDescent="0.25">
      <c r="Q1074" s="17" t="s">
        <v>1203</v>
      </c>
      <c r="R1074" s="17" t="s">
        <v>259</v>
      </c>
      <c r="S1074" s="17"/>
      <c r="T1074" s="17"/>
      <c r="U1074" s="17"/>
    </row>
    <row r="1075" spans="17:21" x14ac:dyDescent="0.25">
      <c r="Q1075" s="17" t="s">
        <v>2074</v>
      </c>
      <c r="R1075" s="17" t="s">
        <v>259</v>
      </c>
      <c r="S1075" s="17"/>
      <c r="T1075" s="17"/>
      <c r="U1075" s="17"/>
    </row>
    <row r="1076" spans="17:21" x14ac:dyDescent="0.25">
      <c r="Q1076" s="17" t="s">
        <v>2075</v>
      </c>
      <c r="R1076" s="17" t="s">
        <v>259</v>
      </c>
      <c r="S1076" s="17"/>
      <c r="T1076" s="17"/>
      <c r="U1076" s="17"/>
    </row>
    <row r="1077" spans="17:21" x14ac:dyDescent="0.25">
      <c r="Q1077" s="17" t="s">
        <v>2076</v>
      </c>
      <c r="R1077" s="17" t="s">
        <v>259</v>
      </c>
      <c r="S1077" s="17"/>
      <c r="T1077" s="17"/>
      <c r="U1077" s="17"/>
    </row>
    <row r="1078" spans="17:21" x14ac:dyDescent="0.25">
      <c r="Q1078" s="17" t="s">
        <v>353</v>
      </c>
      <c r="R1078" s="17" t="s">
        <v>259</v>
      </c>
      <c r="S1078" s="17"/>
      <c r="T1078" s="17"/>
      <c r="U1078" s="17"/>
    </row>
    <row r="1079" spans="17:21" x14ac:dyDescent="0.25">
      <c r="Q1079" s="17" t="s">
        <v>2077</v>
      </c>
      <c r="R1079" s="17" t="s">
        <v>259</v>
      </c>
      <c r="S1079" s="17"/>
      <c r="T1079" s="17"/>
      <c r="U1079" s="17"/>
    </row>
    <row r="1080" spans="17:21" x14ac:dyDescent="0.25">
      <c r="Q1080" s="17" t="s">
        <v>2078</v>
      </c>
      <c r="R1080" s="17" t="s">
        <v>259</v>
      </c>
      <c r="S1080" s="17"/>
      <c r="T1080" s="17"/>
      <c r="U1080" s="17"/>
    </row>
    <row r="1081" spans="17:21" x14ac:dyDescent="0.25">
      <c r="Q1081" s="17" t="s">
        <v>2079</v>
      </c>
      <c r="R1081" s="17" t="s">
        <v>259</v>
      </c>
      <c r="S1081" s="17"/>
      <c r="T1081" s="17"/>
      <c r="U1081" s="17"/>
    </row>
    <row r="1082" spans="17:21" x14ac:dyDescent="0.25">
      <c r="Q1082" s="17" t="s">
        <v>2080</v>
      </c>
      <c r="R1082" s="17" t="s">
        <v>259</v>
      </c>
      <c r="S1082" s="17"/>
      <c r="T1082" s="17"/>
      <c r="U1082" s="17"/>
    </row>
    <row r="1083" spans="17:21" x14ac:dyDescent="0.25">
      <c r="Q1083" s="17" t="s">
        <v>2081</v>
      </c>
      <c r="R1083" s="17" t="s">
        <v>259</v>
      </c>
      <c r="S1083" s="17"/>
      <c r="T1083" s="17"/>
      <c r="U1083" s="17"/>
    </row>
    <row r="1084" spans="17:21" x14ac:dyDescent="0.25">
      <c r="Q1084" s="17" t="s">
        <v>2082</v>
      </c>
      <c r="R1084" s="17" t="s">
        <v>257</v>
      </c>
      <c r="S1084" s="17"/>
      <c r="T1084" s="17"/>
      <c r="U1084" s="17"/>
    </row>
    <row r="1085" spans="17:21" x14ac:dyDescent="0.25">
      <c r="Q1085" s="17" t="s">
        <v>412</v>
      </c>
      <c r="R1085" s="17" t="s">
        <v>257</v>
      </c>
      <c r="S1085" s="17"/>
      <c r="T1085" s="17"/>
      <c r="U1085" s="17"/>
    </row>
    <row r="1086" spans="17:21" x14ac:dyDescent="0.25">
      <c r="Q1086" s="17" t="s">
        <v>2083</v>
      </c>
      <c r="R1086" s="17" t="s">
        <v>243</v>
      </c>
      <c r="S1086" s="17"/>
      <c r="T1086" s="17"/>
      <c r="U1086" s="17"/>
    </row>
    <row r="1087" spans="17:21" x14ac:dyDescent="0.25">
      <c r="Q1087" s="17" t="s">
        <v>2084</v>
      </c>
      <c r="R1087" s="17" t="s">
        <v>241</v>
      </c>
      <c r="S1087" s="17"/>
      <c r="T1087" s="17"/>
      <c r="U1087" s="17"/>
    </row>
    <row r="1088" spans="17:21" x14ac:dyDescent="0.25">
      <c r="Q1088" s="17" t="s">
        <v>2085</v>
      </c>
      <c r="R1088" s="17" t="s">
        <v>241</v>
      </c>
      <c r="S1088" s="17"/>
      <c r="T1088" s="17"/>
      <c r="U1088" s="17"/>
    </row>
    <row r="1089" spans="17:21" x14ac:dyDescent="0.25">
      <c r="Q1089" s="17" t="s">
        <v>2086</v>
      </c>
      <c r="R1089" s="17" t="s">
        <v>243</v>
      </c>
      <c r="S1089" s="17"/>
      <c r="T1089" s="17"/>
      <c r="U1089" s="17"/>
    </row>
    <row r="1090" spans="17:21" x14ac:dyDescent="0.25">
      <c r="Q1090" s="17" t="s">
        <v>2087</v>
      </c>
      <c r="R1090" s="17" t="s">
        <v>241</v>
      </c>
      <c r="S1090" s="17"/>
      <c r="T1090" s="17"/>
      <c r="U1090" s="17"/>
    </row>
    <row r="1091" spans="17:21" x14ac:dyDescent="0.25">
      <c r="Q1091" s="17" t="s">
        <v>2088</v>
      </c>
      <c r="R1091" s="17" t="s">
        <v>243</v>
      </c>
      <c r="S1091" s="17"/>
      <c r="T1091" s="17"/>
      <c r="U1091" s="17"/>
    </row>
    <row r="1092" spans="17:21" x14ac:dyDescent="0.25">
      <c r="Q1092" s="17" t="s">
        <v>2089</v>
      </c>
      <c r="R1092" s="17" t="s">
        <v>243</v>
      </c>
      <c r="S1092" s="17"/>
      <c r="T1092" s="17"/>
      <c r="U1092" s="17"/>
    </row>
    <row r="1093" spans="17:21" x14ac:dyDescent="0.25">
      <c r="Q1093" s="17" t="s">
        <v>2090</v>
      </c>
      <c r="R1093" s="17" t="s">
        <v>247</v>
      </c>
      <c r="S1093" s="17"/>
      <c r="T1093" s="17"/>
      <c r="U1093" s="17"/>
    </row>
    <row r="1094" spans="17:21" x14ac:dyDescent="0.25">
      <c r="Q1094" s="17" t="s">
        <v>925</v>
      </c>
      <c r="R1094" s="17" t="s">
        <v>243</v>
      </c>
      <c r="S1094" s="17"/>
      <c r="T1094" s="17"/>
      <c r="U1094" s="17"/>
    </row>
    <row r="1095" spans="17:21" x14ac:dyDescent="0.25">
      <c r="Q1095" s="17" t="s">
        <v>2091</v>
      </c>
      <c r="R1095" s="17" t="s">
        <v>247</v>
      </c>
      <c r="S1095" s="17"/>
      <c r="T1095" s="17"/>
      <c r="U1095" s="17"/>
    </row>
    <row r="1096" spans="17:21" x14ac:dyDescent="0.25">
      <c r="Q1096" s="17" t="s">
        <v>2092</v>
      </c>
      <c r="R1096" s="17" t="s">
        <v>247</v>
      </c>
      <c r="S1096" s="17"/>
      <c r="T1096" s="17"/>
      <c r="U1096" s="17"/>
    </row>
    <row r="1097" spans="17:21" x14ac:dyDescent="0.25">
      <c r="Q1097" s="17" t="s">
        <v>2093</v>
      </c>
      <c r="R1097" s="17" t="s">
        <v>247</v>
      </c>
      <c r="S1097" s="17"/>
      <c r="T1097" s="17"/>
      <c r="U1097" s="17"/>
    </row>
    <row r="1098" spans="17:21" x14ac:dyDescent="0.25">
      <c r="Q1098" s="17" t="s">
        <v>2094</v>
      </c>
      <c r="R1098" s="17" t="s">
        <v>247</v>
      </c>
      <c r="S1098" s="17"/>
      <c r="T1098" s="17"/>
      <c r="U1098" s="17"/>
    </row>
    <row r="1099" spans="17:21" x14ac:dyDescent="0.25">
      <c r="Q1099" s="17" t="s">
        <v>1075</v>
      </c>
      <c r="R1099" s="17" t="s">
        <v>243</v>
      </c>
      <c r="S1099" s="17"/>
      <c r="T1099" s="17"/>
      <c r="U1099" s="17"/>
    </row>
    <row r="1100" spans="17:21" x14ac:dyDescent="0.25">
      <c r="Q1100" s="17" t="s">
        <v>753</v>
      </c>
      <c r="R1100" s="17" t="s">
        <v>243</v>
      </c>
      <c r="S1100" s="17"/>
      <c r="T1100" s="17"/>
      <c r="U1100" s="17"/>
    </row>
    <row r="1101" spans="17:21" x14ac:dyDescent="0.25">
      <c r="Q1101" s="17" t="s">
        <v>411</v>
      </c>
      <c r="R1101" s="17" t="s">
        <v>243</v>
      </c>
      <c r="S1101" s="17"/>
      <c r="T1101" s="17"/>
      <c r="U1101" s="17"/>
    </row>
    <row r="1102" spans="17:21" x14ac:dyDescent="0.25">
      <c r="Q1102" s="17" t="s">
        <v>544</v>
      </c>
      <c r="R1102" s="17" t="s">
        <v>259</v>
      </c>
      <c r="S1102" s="17"/>
      <c r="T1102" s="17"/>
      <c r="U1102" s="17"/>
    </row>
    <row r="1103" spans="17:21" x14ac:dyDescent="0.25">
      <c r="Q1103" s="17" t="s">
        <v>473</v>
      </c>
      <c r="R1103" s="17" t="s">
        <v>259</v>
      </c>
      <c r="S1103" s="17"/>
      <c r="T1103" s="17"/>
      <c r="U1103" s="17"/>
    </row>
    <row r="1104" spans="17:21" x14ac:dyDescent="0.25">
      <c r="Q1104" s="17" t="s">
        <v>620</v>
      </c>
      <c r="R1104" s="17" t="s">
        <v>259</v>
      </c>
      <c r="S1104" s="17"/>
      <c r="T1104" s="17"/>
      <c r="U1104" s="17"/>
    </row>
    <row r="1105" spans="17:21" x14ac:dyDescent="0.25">
      <c r="Q1105" s="17" t="s">
        <v>2095</v>
      </c>
      <c r="R1105" s="17" t="s">
        <v>259</v>
      </c>
      <c r="S1105" s="17"/>
      <c r="T1105" s="17"/>
      <c r="U1105" s="17"/>
    </row>
    <row r="1106" spans="17:21" x14ac:dyDescent="0.25">
      <c r="Q1106" s="17" t="s">
        <v>1244</v>
      </c>
      <c r="R1106" s="17" t="s">
        <v>259</v>
      </c>
      <c r="S1106" s="17"/>
      <c r="T1106" s="17"/>
      <c r="U1106" s="17"/>
    </row>
    <row r="1107" spans="17:21" x14ac:dyDescent="0.25">
      <c r="Q1107" s="17" t="s">
        <v>927</v>
      </c>
      <c r="R1107" s="17" t="s">
        <v>259</v>
      </c>
      <c r="S1107" s="17"/>
      <c r="T1107" s="17"/>
      <c r="U1107" s="17"/>
    </row>
    <row r="1108" spans="17:21" x14ac:dyDescent="0.25">
      <c r="Q1108" s="17" t="s">
        <v>2096</v>
      </c>
      <c r="R1108" s="17" t="s">
        <v>259</v>
      </c>
      <c r="S1108" s="17"/>
      <c r="T1108" s="17"/>
      <c r="U1108" s="17"/>
    </row>
    <row r="1109" spans="17:21" x14ac:dyDescent="0.25">
      <c r="Q1109" s="17" t="s">
        <v>2097</v>
      </c>
      <c r="R1109" s="17" t="s">
        <v>259</v>
      </c>
      <c r="S1109" s="17"/>
      <c r="T1109" s="17"/>
      <c r="U1109" s="17"/>
    </row>
    <row r="1110" spans="17:21" x14ac:dyDescent="0.25">
      <c r="Q1110" s="17" t="s">
        <v>2098</v>
      </c>
      <c r="R1110" s="17" t="s">
        <v>259</v>
      </c>
      <c r="S1110" s="17"/>
      <c r="T1110" s="17"/>
      <c r="U1110" s="17"/>
    </row>
    <row r="1111" spans="17:21" x14ac:dyDescent="0.25">
      <c r="Q1111" s="17" t="s">
        <v>941</v>
      </c>
      <c r="R1111" s="17" t="s">
        <v>259</v>
      </c>
      <c r="S1111" s="17"/>
      <c r="T1111" s="17"/>
      <c r="U1111" s="17"/>
    </row>
    <row r="1112" spans="17:21" x14ac:dyDescent="0.25">
      <c r="Q1112" s="17" t="s">
        <v>1313</v>
      </c>
      <c r="R1112" s="17" t="s">
        <v>259</v>
      </c>
      <c r="S1112" s="17"/>
      <c r="T1112" s="17"/>
      <c r="U1112" s="17"/>
    </row>
    <row r="1113" spans="17:21" x14ac:dyDescent="0.25">
      <c r="Q1113" s="17" t="s">
        <v>2099</v>
      </c>
      <c r="R1113" s="17" t="s">
        <v>259</v>
      </c>
      <c r="S1113" s="17"/>
      <c r="T1113" s="17"/>
      <c r="U1113" s="17"/>
    </row>
    <row r="1114" spans="17:21" x14ac:dyDescent="0.25">
      <c r="Q1114" s="17" t="s">
        <v>2100</v>
      </c>
      <c r="R1114" s="17" t="s">
        <v>259</v>
      </c>
      <c r="S1114" s="17"/>
      <c r="T1114" s="17"/>
      <c r="U1114" s="17"/>
    </row>
    <row r="1115" spans="17:21" x14ac:dyDescent="0.25">
      <c r="Q1115" s="17" t="s">
        <v>2101</v>
      </c>
      <c r="R1115" s="17" t="s">
        <v>259</v>
      </c>
      <c r="S1115" s="17"/>
      <c r="T1115" s="17"/>
      <c r="U1115" s="17"/>
    </row>
    <row r="1116" spans="17:21" x14ac:dyDescent="0.25">
      <c r="Q1116" s="17" t="s">
        <v>1079</v>
      </c>
      <c r="R1116" s="17" t="s">
        <v>259</v>
      </c>
      <c r="S1116" s="17"/>
      <c r="T1116" s="17"/>
      <c r="U1116" s="17"/>
    </row>
    <row r="1117" spans="17:21" x14ac:dyDescent="0.25">
      <c r="Q1117" s="17" t="s">
        <v>1160</v>
      </c>
      <c r="R1117" s="17" t="s">
        <v>253</v>
      </c>
      <c r="S1117" s="17"/>
      <c r="T1117" s="17"/>
      <c r="U1117" s="17"/>
    </row>
    <row r="1118" spans="17:21" x14ac:dyDescent="0.25">
      <c r="Q1118" s="17" t="s">
        <v>1124</v>
      </c>
      <c r="R1118" s="17" t="s">
        <v>259</v>
      </c>
      <c r="S1118" s="17"/>
      <c r="T1118" s="17"/>
      <c r="U1118" s="17"/>
    </row>
    <row r="1119" spans="17:21" x14ac:dyDescent="0.25">
      <c r="Q1119" s="17" t="s">
        <v>902</v>
      </c>
      <c r="R1119" s="17" t="s">
        <v>259</v>
      </c>
      <c r="S1119" s="17"/>
      <c r="T1119" s="17"/>
      <c r="U1119" s="17"/>
    </row>
    <row r="1120" spans="17:21" x14ac:dyDescent="0.25">
      <c r="Q1120" s="17" t="s">
        <v>903</v>
      </c>
      <c r="R1120" s="17" t="s">
        <v>259</v>
      </c>
      <c r="S1120" s="17"/>
      <c r="T1120" s="17"/>
      <c r="U1120" s="17"/>
    </row>
    <row r="1121" spans="17:21" x14ac:dyDescent="0.25">
      <c r="Q1121" s="17" t="s">
        <v>2102</v>
      </c>
      <c r="R1121" s="17" t="s">
        <v>259</v>
      </c>
      <c r="S1121" s="17"/>
      <c r="T1121" s="17"/>
      <c r="U1121" s="17"/>
    </row>
    <row r="1122" spans="17:21" x14ac:dyDescent="0.25">
      <c r="Q1122" s="17" t="s">
        <v>2103</v>
      </c>
      <c r="R1122" s="17" t="s">
        <v>259</v>
      </c>
      <c r="S1122" s="17"/>
      <c r="T1122" s="17"/>
      <c r="U1122" s="17"/>
    </row>
    <row r="1123" spans="17:21" x14ac:dyDescent="0.25">
      <c r="Q1123" s="17" t="s">
        <v>1222</v>
      </c>
      <c r="R1123" s="17" t="s">
        <v>259</v>
      </c>
      <c r="S1123" s="17"/>
      <c r="T1123" s="17"/>
      <c r="U1123" s="17"/>
    </row>
    <row r="1124" spans="17:21" x14ac:dyDescent="0.25">
      <c r="Q1124" s="17" t="s">
        <v>2104</v>
      </c>
      <c r="R1124" s="17" t="s">
        <v>259</v>
      </c>
      <c r="S1124" s="17"/>
      <c r="T1124" s="17"/>
      <c r="U1124" s="17"/>
    </row>
    <row r="1125" spans="17:21" x14ac:dyDescent="0.25">
      <c r="Q1125" s="17" t="s">
        <v>2105</v>
      </c>
      <c r="R1125" s="17" t="s">
        <v>259</v>
      </c>
      <c r="S1125" s="17"/>
      <c r="T1125" s="17"/>
      <c r="U1125" s="17"/>
    </row>
    <row r="1126" spans="17:21" x14ac:dyDescent="0.25">
      <c r="Q1126" s="17" t="s">
        <v>1216</v>
      </c>
      <c r="R1126" s="17" t="s">
        <v>259</v>
      </c>
      <c r="S1126" s="17"/>
      <c r="T1126" s="17"/>
      <c r="U1126" s="17"/>
    </row>
    <row r="1127" spans="17:21" x14ac:dyDescent="0.25">
      <c r="Q1127" s="17" t="s">
        <v>2106</v>
      </c>
      <c r="R1127" s="17" t="s">
        <v>259</v>
      </c>
      <c r="S1127" s="17"/>
      <c r="T1127" s="17"/>
      <c r="U1127" s="17"/>
    </row>
    <row r="1128" spans="17:21" x14ac:dyDescent="0.25">
      <c r="Q1128" s="17" t="s">
        <v>2107</v>
      </c>
      <c r="R1128" s="17" t="s">
        <v>259</v>
      </c>
      <c r="S1128" s="17"/>
      <c r="T1128" s="17"/>
      <c r="U1128" s="17"/>
    </row>
    <row r="1129" spans="17:21" x14ac:dyDescent="0.25">
      <c r="Q1129" s="17" t="s">
        <v>2108</v>
      </c>
      <c r="R1129" s="17" t="s">
        <v>259</v>
      </c>
      <c r="S1129" s="17"/>
      <c r="T1129" s="17"/>
      <c r="U1129" s="17"/>
    </row>
    <row r="1130" spans="17:21" x14ac:dyDescent="0.25">
      <c r="Q1130" s="17" t="s">
        <v>519</v>
      </c>
      <c r="R1130" s="17" t="s">
        <v>259</v>
      </c>
      <c r="S1130" s="17"/>
      <c r="T1130" s="17"/>
      <c r="U1130" s="17"/>
    </row>
    <row r="1131" spans="17:21" x14ac:dyDescent="0.25">
      <c r="Q1131" s="17" t="s">
        <v>1204</v>
      </c>
      <c r="R1131" s="17" t="s">
        <v>259</v>
      </c>
      <c r="S1131" s="17"/>
      <c r="T1131" s="17"/>
      <c r="U1131" s="17"/>
    </row>
    <row r="1132" spans="17:21" x14ac:dyDescent="0.25">
      <c r="Q1132" s="17" t="s">
        <v>1078</v>
      </c>
      <c r="R1132" s="17" t="s">
        <v>259</v>
      </c>
      <c r="S1132" s="17"/>
      <c r="T1132" s="17"/>
      <c r="U1132" s="17"/>
    </row>
    <row r="1133" spans="17:21" x14ac:dyDescent="0.25">
      <c r="Q1133" s="17" t="s">
        <v>928</v>
      </c>
      <c r="R1133" s="17" t="s">
        <v>259</v>
      </c>
      <c r="S1133" s="17"/>
      <c r="T1133" s="17"/>
      <c r="U1133" s="17"/>
    </row>
    <row r="1134" spans="17:21" x14ac:dyDescent="0.25">
      <c r="Q1134" s="17" t="s">
        <v>1205</v>
      </c>
      <c r="R1134" s="17" t="s">
        <v>259</v>
      </c>
      <c r="S1134" s="17"/>
      <c r="T1134" s="17"/>
      <c r="U1134" s="17"/>
    </row>
    <row r="1135" spans="17:21" x14ac:dyDescent="0.25">
      <c r="Q1135" s="17" t="s">
        <v>354</v>
      </c>
      <c r="R1135" s="17" t="s">
        <v>259</v>
      </c>
      <c r="S1135" s="17"/>
      <c r="T1135" s="17"/>
      <c r="U1135" s="17"/>
    </row>
    <row r="1136" spans="17:21" x14ac:dyDescent="0.25">
      <c r="Q1136" s="17" t="s">
        <v>2109</v>
      </c>
      <c r="R1136" s="17" t="s">
        <v>259</v>
      </c>
      <c r="S1136" s="17"/>
      <c r="T1136" s="17"/>
      <c r="U1136" s="17"/>
    </row>
    <row r="1137" spans="17:21" x14ac:dyDescent="0.25">
      <c r="Q1137" s="17" t="s">
        <v>2110</v>
      </c>
      <c r="R1137" s="17" t="s">
        <v>259</v>
      </c>
      <c r="S1137" s="17"/>
      <c r="T1137" s="17"/>
      <c r="U1137" s="17"/>
    </row>
    <row r="1138" spans="17:21" x14ac:dyDescent="0.25">
      <c r="Q1138" s="17" t="s">
        <v>557</v>
      </c>
      <c r="R1138" s="17" t="s">
        <v>259</v>
      </c>
      <c r="S1138" s="17"/>
      <c r="T1138" s="17"/>
      <c r="U1138" s="17"/>
    </row>
    <row r="1139" spans="17:21" x14ac:dyDescent="0.25">
      <c r="Q1139" s="17" t="s">
        <v>2111</v>
      </c>
      <c r="R1139" s="17" t="s">
        <v>259</v>
      </c>
      <c r="S1139" s="17"/>
      <c r="T1139" s="17"/>
      <c r="U1139" s="17"/>
    </row>
    <row r="1140" spans="17:21" x14ac:dyDescent="0.25">
      <c r="Q1140" s="17" t="s">
        <v>2112</v>
      </c>
      <c r="R1140" s="17" t="s">
        <v>259</v>
      </c>
      <c r="S1140" s="17"/>
      <c r="T1140" s="17"/>
      <c r="U1140" s="17"/>
    </row>
    <row r="1141" spans="17:21" x14ac:dyDescent="0.25">
      <c r="Q1141" s="17" t="s">
        <v>635</v>
      </c>
      <c r="R1141" s="17" t="s">
        <v>259</v>
      </c>
      <c r="S1141" s="17"/>
      <c r="T1141" s="17"/>
      <c r="U1141" s="17"/>
    </row>
    <row r="1142" spans="17:21" x14ac:dyDescent="0.25">
      <c r="Q1142" s="17" t="s">
        <v>2113</v>
      </c>
      <c r="R1142" s="17" t="s">
        <v>259</v>
      </c>
      <c r="S1142" s="17"/>
      <c r="T1142" s="17"/>
      <c r="U1142" s="17"/>
    </row>
    <row r="1143" spans="17:21" x14ac:dyDescent="0.25">
      <c r="Q1143" s="17" t="s">
        <v>899</v>
      </c>
      <c r="R1143" s="17" t="s">
        <v>259</v>
      </c>
      <c r="S1143" s="17"/>
      <c r="T1143" s="17"/>
      <c r="U1143" s="17"/>
    </row>
    <row r="1144" spans="17:21" x14ac:dyDescent="0.25">
      <c r="Q1144" s="17" t="s">
        <v>2114</v>
      </c>
      <c r="R1144" s="17" t="s">
        <v>259</v>
      </c>
      <c r="S1144" s="17"/>
      <c r="T1144" s="17"/>
      <c r="U1144" s="17"/>
    </row>
    <row r="1145" spans="17:21" x14ac:dyDescent="0.25">
      <c r="Q1145" s="17" t="s">
        <v>2115</v>
      </c>
      <c r="R1145" s="17" t="s">
        <v>259</v>
      </c>
      <c r="S1145" s="17"/>
      <c r="T1145" s="17"/>
      <c r="U1145" s="17"/>
    </row>
    <row r="1146" spans="17:21" x14ac:dyDescent="0.25">
      <c r="Q1146" s="17" t="s">
        <v>2116</v>
      </c>
      <c r="R1146" s="17" t="s">
        <v>259</v>
      </c>
      <c r="S1146" s="17"/>
      <c r="T1146" s="17"/>
      <c r="U1146" s="17"/>
    </row>
    <row r="1147" spans="17:21" x14ac:dyDescent="0.25">
      <c r="Q1147" s="17" t="s">
        <v>2117</v>
      </c>
      <c r="R1147" s="17" t="s">
        <v>253</v>
      </c>
      <c r="S1147" s="17"/>
      <c r="T1147" s="17"/>
      <c r="U1147" s="17"/>
    </row>
    <row r="1148" spans="17:21" x14ac:dyDescent="0.25">
      <c r="Q1148" s="17" t="s">
        <v>2118</v>
      </c>
      <c r="R1148" s="17" t="s">
        <v>253</v>
      </c>
      <c r="S1148" s="17"/>
      <c r="T1148" s="17"/>
      <c r="U1148" s="17"/>
    </row>
    <row r="1149" spans="17:21" x14ac:dyDescent="0.25">
      <c r="Q1149" s="17" t="s">
        <v>2119</v>
      </c>
      <c r="R1149" s="17" t="s">
        <v>253</v>
      </c>
      <c r="S1149" s="17"/>
      <c r="T1149" s="17"/>
      <c r="U1149" s="17"/>
    </row>
    <row r="1150" spans="17:21" x14ac:dyDescent="0.25">
      <c r="Q1150" s="17" t="s">
        <v>2120</v>
      </c>
      <c r="R1150" s="17" t="s">
        <v>253</v>
      </c>
      <c r="S1150" s="17"/>
      <c r="T1150" s="17"/>
      <c r="U1150" s="17"/>
    </row>
    <row r="1151" spans="17:21" x14ac:dyDescent="0.25">
      <c r="Q1151" s="17" t="s">
        <v>2121</v>
      </c>
      <c r="R1151" s="17" t="s">
        <v>253</v>
      </c>
      <c r="S1151" s="17"/>
      <c r="T1151" s="17"/>
      <c r="U1151" s="17"/>
    </row>
    <row r="1152" spans="17:21" x14ac:dyDescent="0.25">
      <c r="Q1152" s="17" t="s">
        <v>2122</v>
      </c>
      <c r="R1152" s="17" t="s">
        <v>265</v>
      </c>
      <c r="S1152" s="17"/>
      <c r="T1152" s="17"/>
      <c r="U1152" s="17"/>
    </row>
    <row r="1153" spans="17:21" x14ac:dyDescent="0.25">
      <c r="Q1153" s="17" t="s">
        <v>2123</v>
      </c>
      <c r="R1153" s="17" t="s">
        <v>265</v>
      </c>
      <c r="S1153" s="17"/>
      <c r="T1153" s="17"/>
      <c r="U1153" s="17"/>
    </row>
    <row r="1154" spans="17:21" x14ac:dyDescent="0.25">
      <c r="Q1154" s="17" t="s">
        <v>813</v>
      </c>
      <c r="R1154" s="17" t="s">
        <v>265</v>
      </c>
      <c r="S1154" s="17"/>
      <c r="T1154" s="17"/>
      <c r="U1154" s="17"/>
    </row>
    <row r="1155" spans="17:21" x14ac:dyDescent="0.25">
      <c r="Q1155" s="17" t="s">
        <v>578</v>
      </c>
      <c r="R1155" s="17" t="s">
        <v>265</v>
      </c>
      <c r="S1155" s="17"/>
      <c r="T1155" s="17"/>
      <c r="U1155" s="17"/>
    </row>
    <row r="1156" spans="17:21" x14ac:dyDescent="0.25">
      <c r="Q1156" s="17" t="s">
        <v>2124</v>
      </c>
      <c r="R1156" s="17" t="s">
        <v>253</v>
      </c>
      <c r="S1156" s="17"/>
      <c r="T1156" s="17"/>
      <c r="U1156" s="17"/>
    </row>
    <row r="1157" spans="17:21" x14ac:dyDescent="0.25">
      <c r="Q1157" s="17" t="s">
        <v>905</v>
      </c>
      <c r="R1157" s="17" t="s">
        <v>253</v>
      </c>
      <c r="S1157" s="17"/>
      <c r="T1157" s="17"/>
      <c r="U1157" s="17"/>
    </row>
    <row r="1158" spans="17:21" x14ac:dyDescent="0.25">
      <c r="Q1158" s="17" t="s">
        <v>604</v>
      </c>
      <c r="R1158" s="17" t="s">
        <v>253</v>
      </c>
      <c r="S1158" s="17"/>
      <c r="T1158" s="17"/>
      <c r="U1158" s="17"/>
    </row>
    <row r="1159" spans="17:21" x14ac:dyDescent="0.25">
      <c r="Q1159" s="17" t="s">
        <v>1206</v>
      </c>
      <c r="R1159" s="17" t="s">
        <v>253</v>
      </c>
      <c r="S1159" s="17"/>
      <c r="T1159" s="17"/>
      <c r="U1159" s="17"/>
    </row>
    <row r="1160" spans="17:21" x14ac:dyDescent="0.25">
      <c r="Q1160" s="17" t="s">
        <v>1299</v>
      </c>
      <c r="R1160" s="17" t="s">
        <v>253</v>
      </c>
      <c r="S1160" s="17"/>
      <c r="T1160" s="17"/>
      <c r="U1160" s="17"/>
    </row>
    <row r="1161" spans="17:21" x14ac:dyDescent="0.25">
      <c r="Q1161" s="17" t="s">
        <v>499</v>
      </c>
      <c r="R1161" s="17" t="s">
        <v>253</v>
      </c>
      <c r="S1161" s="17"/>
      <c r="T1161" s="17"/>
      <c r="U1161" s="17"/>
    </row>
    <row r="1162" spans="17:21" x14ac:dyDescent="0.25">
      <c r="Q1162" s="17" t="s">
        <v>948</v>
      </c>
      <c r="R1162" s="17" t="s">
        <v>253</v>
      </c>
      <c r="S1162" s="17"/>
      <c r="T1162" s="17"/>
      <c r="U1162" s="17"/>
    </row>
    <row r="1163" spans="17:21" x14ac:dyDescent="0.25">
      <c r="Q1163" s="17" t="s">
        <v>661</v>
      </c>
      <c r="R1163" s="17" t="s">
        <v>253</v>
      </c>
      <c r="S1163" s="17"/>
      <c r="T1163" s="17"/>
      <c r="U1163" s="17"/>
    </row>
    <row r="1164" spans="17:21" x14ac:dyDescent="0.25">
      <c r="Q1164" s="17" t="s">
        <v>929</v>
      </c>
      <c r="R1164" s="17" t="s">
        <v>253</v>
      </c>
      <c r="S1164" s="17"/>
      <c r="T1164" s="17"/>
      <c r="U1164" s="17"/>
    </row>
    <row r="1165" spans="17:21" x14ac:dyDescent="0.25">
      <c r="Q1165" s="17" t="s">
        <v>754</v>
      </c>
      <c r="R1165" s="17" t="s">
        <v>253</v>
      </c>
      <c r="S1165" s="17"/>
      <c r="T1165" s="17"/>
      <c r="U1165" s="17"/>
    </row>
    <row r="1166" spans="17:21" x14ac:dyDescent="0.25">
      <c r="Q1166" s="17" t="s">
        <v>717</v>
      </c>
      <c r="R1166" s="17" t="s">
        <v>253</v>
      </c>
      <c r="S1166" s="17"/>
      <c r="T1166" s="17"/>
      <c r="U1166" s="17"/>
    </row>
    <row r="1167" spans="17:21" x14ac:dyDescent="0.25">
      <c r="Q1167" s="17" t="s">
        <v>1308</v>
      </c>
      <c r="R1167" s="17" t="s">
        <v>253</v>
      </c>
      <c r="S1167" s="17"/>
      <c r="T1167" s="17"/>
      <c r="U1167" s="17"/>
    </row>
    <row r="1168" spans="17:21" x14ac:dyDescent="0.25">
      <c r="Q1168" s="17" t="s">
        <v>2125</v>
      </c>
      <c r="R1168" s="17" t="s">
        <v>253</v>
      </c>
      <c r="S1168" s="17"/>
      <c r="T1168" s="17"/>
      <c r="U1168" s="17"/>
    </row>
    <row r="1169" spans="17:21" x14ac:dyDescent="0.25">
      <c r="Q1169" s="17" t="s">
        <v>1207</v>
      </c>
      <c r="R1169" s="17" t="s">
        <v>253</v>
      </c>
      <c r="S1169" s="17"/>
      <c r="T1169" s="17"/>
      <c r="U1169" s="17"/>
    </row>
    <row r="1170" spans="17:21" x14ac:dyDescent="0.25">
      <c r="Q1170" s="17" t="s">
        <v>590</v>
      </c>
      <c r="R1170" s="17" t="s">
        <v>253</v>
      </c>
      <c r="S1170" s="17"/>
      <c r="T1170" s="17"/>
      <c r="U1170" s="17"/>
    </row>
    <row r="1171" spans="17:21" x14ac:dyDescent="0.25">
      <c r="Q1171" s="17" t="s">
        <v>520</v>
      </c>
      <c r="R1171" s="17" t="s">
        <v>253</v>
      </c>
      <c r="S1171" s="17"/>
      <c r="T1171" s="17"/>
      <c r="U1171" s="17"/>
    </row>
    <row r="1172" spans="17:21" x14ac:dyDescent="0.25">
      <c r="Q1172" s="17" t="s">
        <v>559</v>
      </c>
      <c r="R1172" s="17" t="s">
        <v>253</v>
      </c>
      <c r="S1172" s="17"/>
      <c r="T1172" s="17"/>
      <c r="U1172" s="17"/>
    </row>
    <row r="1173" spans="17:21" x14ac:dyDescent="0.25">
      <c r="Q1173" s="17" t="s">
        <v>2126</v>
      </c>
      <c r="R1173" s="17" t="s">
        <v>253</v>
      </c>
      <c r="S1173" s="17"/>
      <c r="T1173" s="17"/>
      <c r="U1173" s="17"/>
    </row>
    <row r="1174" spans="17:21" x14ac:dyDescent="0.25">
      <c r="Q1174" s="17" t="s">
        <v>900</v>
      </c>
      <c r="R1174" s="17" t="s">
        <v>259</v>
      </c>
      <c r="S1174" s="17"/>
      <c r="T1174" s="17"/>
      <c r="U1174" s="17"/>
    </row>
    <row r="1175" spans="17:21" x14ac:dyDescent="0.25">
      <c r="Q1175" s="17" t="s">
        <v>2127</v>
      </c>
      <c r="R1175" s="17" t="s">
        <v>259</v>
      </c>
      <c r="S1175" s="17"/>
      <c r="T1175" s="17"/>
      <c r="U1175" s="17"/>
    </row>
    <row r="1176" spans="17:21" x14ac:dyDescent="0.25">
      <c r="Q1176" s="17" t="s">
        <v>2128</v>
      </c>
      <c r="R1176" s="17" t="s">
        <v>259</v>
      </c>
      <c r="S1176" s="17"/>
      <c r="T1176" s="17"/>
      <c r="U1176" s="17"/>
    </row>
    <row r="1177" spans="17:21" x14ac:dyDescent="0.25">
      <c r="Q1177" s="17" t="s">
        <v>2129</v>
      </c>
      <c r="R1177" s="17" t="s">
        <v>259</v>
      </c>
      <c r="S1177" s="17"/>
      <c r="T1177" s="17"/>
      <c r="U1177" s="17"/>
    </row>
    <row r="1178" spans="17:21" x14ac:dyDescent="0.25">
      <c r="Q1178" s="17" t="s">
        <v>2130</v>
      </c>
      <c r="R1178" s="17" t="s">
        <v>259</v>
      </c>
      <c r="S1178" s="17"/>
      <c r="T1178" s="17"/>
      <c r="U1178" s="17"/>
    </row>
    <row r="1179" spans="17:21" x14ac:dyDescent="0.25">
      <c r="Q1179" s="17" t="s">
        <v>2131</v>
      </c>
      <c r="R1179" s="17" t="s">
        <v>253</v>
      </c>
      <c r="S1179" s="17"/>
      <c r="T1179" s="17"/>
      <c r="U1179" s="17"/>
    </row>
    <row r="1180" spans="17:21" x14ac:dyDescent="0.25">
      <c r="Q1180" s="17" t="s">
        <v>901</v>
      </c>
      <c r="R1180" s="17" t="s">
        <v>253</v>
      </c>
      <c r="S1180" s="17"/>
      <c r="T1180" s="17"/>
      <c r="U1180" s="17"/>
    </row>
    <row r="1181" spans="17:21" x14ac:dyDescent="0.25">
      <c r="Q1181" s="17" t="s">
        <v>2132</v>
      </c>
      <c r="R1181" s="17" t="s">
        <v>253</v>
      </c>
      <c r="S1181" s="17"/>
      <c r="T1181" s="17"/>
      <c r="U1181" s="17"/>
    </row>
    <row r="1182" spans="17:21" x14ac:dyDescent="0.25">
      <c r="Q1182" s="17" t="s">
        <v>2133</v>
      </c>
      <c r="R1182" s="17" t="s">
        <v>253</v>
      </c>
      <c r="S1182" s="17"/>
      <c r="T1182" s="17"/>
      <c r="U1182" s="17"/>
    </row>
    <row r="1183" spans="17:21" x14ac:dyDescent="0.25">
      <c r="Q1183" s="17" t="s">
        <v>2134</v>
      </c>
      <c r="R1183" s="17" t="s">
        <v>259</v>
      </c>
      <c r="S1183" s="17"/>
      <c r="T1183" s="17"/>
      <c r="U1183" s="17"/>
    </row>
    <row r="1184" spans="17:21" x14ac:dyDescent="0.25">
      <c r="Q1184" s="17" t="s">
        <v>2135</v>
      </c>
      <c r="R1184" s="17" t="s">
        <v>253</v>
      </c>
      <c r="S1184" s="17"/>
      <c r="T1184" s="17"/>
      <c r="U1184" s="17"/>
    </row>
    <row r="1185" spans="17:21" x14ac:dyDescent="0.25">
      <c r="Q1185" s="17" t="s">
        <v>1261</v>
      </c>
      <c r="R1185" s="17" t="s">
        <v>253</v>
      </c>
      <c r="S1185" s="17"/>
      <c r="T1185" s="17"/>
      <c r="U1185" s="17"/>
    </row>
    <row r="1186" spans="17:21" x14ac:dyDescent="0.25">
      <c r="Q1186" s="17" t="s">
        <v>2136</v>
      </c>
      <c r="R1186" s="17" t="s">
        <v>253</v>
      </c>
      <c r="S1186" s="17"/>
      <c r="T1186" s="17"/>
      <c r="U1186" s="17"/>
    </row>
    <row r="1187" spans="17:21" x14ac:dyDescent="0.25">
      <c r="Q1187" s="17" t="s">
        <v>2137</v>
      </c>
      <c r="R1187" s="17" t="s">
        <v>253</v>
      </c>
      <c r="S1187" s="17"/>
      <c r="T1187" s="17"/>
      <c r="U1187" s="17"/>
    </row>
    <row r="1188" spans="17:21" x14ac:dyDescent="0.25">
      <c r="Q1188" s="17" t="s">
        <v>2138</v>
      </c>
      <c r="R1188" s="17" t="s">
        <v>259</v>
      </c>
      <c r="S1188" s="17"/>
      <c r="T1188" s="17"/>
      <c r="U1188" s="17"/>
    </row>
    <row r="1189" spans="17:21" x14ac:dyDescent="0.25">
      <c r="Q1189" s="17" t="s">
        <v>2139</v>
      </c>
      <c r="R1189" s="17" t="s">
        <v>259</v>
      </c>
      <c r="S1189" s="17"/>
      <c r="T1189" s="17"/>
      <c r="U1189" s="17"/>
    </row>
    <row r="1190" spans="17:21" x14ac:dyDescent="0.25">
      <c r="Q1190" s="17" t="s">
        <v>2140</v>
      </c>
      <c r="R1190" s="17" t="s">
        <v>259</v>
      </c>
      <c r="S1190" s="17"/>
      <c r="T1190" s="17"/>
      <c r="U1190" s="17"/>
    </row>
    <row r="1191" spans="17:21" x14ac:dyDescent="0.25">
      <c r="Q1191" s="17" t="s">
        <v>2141</v>
      </c>
      <c r="R1191" s="17" t="s">
        <v>259</v>
      </c>
      <c r="S1191" s="17"/>
      <c r="T1191" s="17"/>
      <c r="U1191" s="17"/>
    </row>
    <row r="1192" spans="17:21" x14ac:dyDescent="0.25">
      <c r="Q1192" s="17" t="s">
        <v>2142</v>
      </c>
      <c r="R1192" s="17" t="s">
        <v>259</v>
      </c>
      <c r="S1192" s="17"/>
      <c r="T1192" s="17"/>
      <c r="U1192" s="17"/>
    </row>
    <row r="1193" spans="17:21" x14ac:dyDescent="0.25">
      <c r="Q1193" s="17" t="s">
        <v>2143</v>
      </c>
      <c r="R1193" s="17" t="s">
        <v>259</v>
      </c>
      <c r="S1193" s="17"/>
      <c r="T1193" s="17"/>
      <c r="U1193" s="17"/>
    </row>
    <row r="1194" spans="17:21" x14ac:dyDescent="0.25">
      <c r="Q1194" s="17" t="s">
        <v>2144</v>
      </c>
      <c r="R1194" s="17" t="s">
        <v>259</v>
      </c>
      <c r="S1194" s="17"/>
      <c r="T1194" s="17"/>
      <c r="U1194" s="17"/>
    </row>
    <row r="1195" spans="17:21" x14ac:dyDescent="0.25">
      <c r="Q1195" s="17" t="s">
        <v>2145</v>
      </c>
      <c r="R1195" s="17" t="s">
        <v>259</v>
      </c>
      <c r="S1195" s="17"/>
      <c r="T1195" s="17"/>
      <c r="U1195" s="17"/>
    </row>
    <row r="1196" spans="17:21" x14ac:dyDescent="0.25">
      <c r="Q1196" s="17" t="s">
        <v>2146</v>
      </c>
      <c r="R1196" s="17" t="s">
        <v>259</v>
      </c>
      <c r="S1196" s="17"/>
      <c r="T1196" s="17"/>
      <c r="U1196" s="17"/>
    </row>
    <row r="1197" spans="17:21" x14ac:dyDescent="0.25">
      <c r="Q1197" s="17" t="s">
        <v>904</v>
      </c>
      <c r="R1197" s="17" t="s">
        <v>253</v>
      </c>
      <c r="S1197" s="17"/>
      <c r="T1197" s="17"/>
      <c r="U1197" s="17"/>
    </row>
    <row r="1198" spans="17:21" x14ac:dyDescent="0.25">
      <c r="Q1198" s="17" t="s">
        <v>2147</v>
      </c>
      <c r="R1198" s="17" t="s">
        <v>253</v>
      </c>
      <c r="S1198" s="17"/>
      <c r="T1198" s="17"/>
      <c r="U1198" s="17"/>
    </row>
    <row r="1199" spans="17:21" x14ac:dyDescent="0.25">
      <c r="Q1199" s="17" t="s">
        <v>466</v>
      </c>
      <c r="R1199" s="17" t="s">
        <v>253</v>
      </c>
      <c r="S1199" s="17"/>
      <c r="T1199" s="17"/>
      <c r="U1199" s="17"/>
    </row>
    <row r="1200" spans="17:21" x14ac:dyDescent="0.25">
      <c r="Q1200" s="17" t="s">
        <v>2148</v>
      </c>
      <c r="R1200" s="17" t="s">
        <v>253</v>
      </c>
      <c r="S1200" s="17"/>
      <c r="T1200" s="17"/>
      <c r="U1200" s="17"/>
    </row>
    <row r="1201" spans="17:21" x14ac:dyDescent="0.25">
      <c r="Q1201" s="17" t="s">
        <v>2149</v>
      </c>
      <c r="R1201" s="17" t="s">
        <v>253</v>
      </c>
      <c r="S1201" s="17"/>
      <c r="T1201" s="17"/>
      <c r="U1201" s="17"/>
    </row>
    <row r="1202" spans="17:21" x14ac:dyDescent="0.25">
      <c r="Q1202" s="17" t="s">
        <v>2150</v>
      </c>
      <c r="R1202" s="17" t="s">
        <v>253</v>
      </c>
      <c r="S1202" s="17"/>
      <c r="T1202" s="17"/>
      <c r="U1202" s="17"/>
    </row>
    <row r="1203" spans="17:21" x14ac:dyDescent="0.25">
      <c r="Q1203" s="17" t="s">
        <v>2151</v>
      </c>
      <c r="R1203" s="17" t="s">
        <v>253</v>
      </c>
      <c r="S1203" s="17"/>
      <c r="T1203" s="17"/>
      <c r="U1203" s="17"/>
    </row>
    <row r="1204" spans="17:21" x14ac:dyDescent="0.25">
      <c r="Q1204" s="17" t="s">
        <v>2152</v>
      </c>
      <c r="R1204" s="17" t="s">
        <v>253</v>
      </c>
      <c r="S1204" s="17"/>
      <c r="T1204" s="17"/>
      <c r="U1204" s="17"/>
    </row>
    <row r="1205" spans="17:21" x14ac:dyDescent="0.25">
      <c r="Q1205" s="17" t="s">
        <v>2153</v>
      </c>
      <c r="R1205" s="17" t="s">
        <v>253</v>
      </c>
      <c r="S1205" s="17"/>
      <c r="T1205" s="17"/>
      <c r="U1205" s="17"/>
    </row>
    <row r="1206" spans="17:21" x14ac:dyDescent="0.25">
      <c r="Q1206" s="17" t="s">
        <v>2154</v>
      </c>
      <c r="R1206" s="17" t="s">
        <v>253</v>
      </c>
      <c r="S1206" s="17"/>
      <c r="T1206" s="17"/>
      <c r="U1206" s="17"/>
    </row>
    <row r="1207" spans="17:21" x14ac:dyDescent="0.25">
      <c r="Q1207" s="17" t="s">
        <v>483</v>
      </c>
      <c r="R1207" s="17" t="s">
        <v>253</v>
      </c>
      <c r="S1207" s="17"/>
      <c r="T1207" s="17"/>
      <c r="U1207" s="17"/>
    </row>
    <row r="1208" spans="17:21" x14ac:dyDescent="0.25">
      <c r="Q1208" s="17" t="s">
        <v>351</v>
      </c>
      <c r="R1208" s="17" t="s">
        <v>253</v>
      </c>
      <c r="S1208" s="17"/>
      <c r="T1208" s="17"/>
      <c r="U1208" s="17"/>
    </row>
    <row r="1209" spans="17:21" x14ac:dyDescent="0.25">
      <c r="Q1209" s="17" t="s">
        <v>1117</v>
      </c>
      <c r="R1209" s="17" t="s">
        <v>253</v>
      </c>
      <c r="S1209" s="17"/>
      <c r="T1209" s="17"/>
      <c r="U1209" s="17"/>
    </row>
    <row r="1210" spans="17:21" x14ac:dyDescent="0.25">
      <c r="Q1210" s="17" t="s">
        <v>2155</v>
      </c>
      <c r="R1210" s="17" t="s">
        <v>253</v>
      </c>
      <c r="S1210" s="17"/>
      <c r="T1210" s="17"/>
      <c r="U1210" s="17"/>
    </row>
    <row r="1211" spans="17:21" x14ac:dyDescent="0.25">
      <c r="Q1211" s="17" t="s">
        <v>443</v>
      </c>
      <c r="R1211" s="17" t="s">
        <v>253</v>
      </c>
      <c r="S1211" s="17"/>
      <c r="T1211" s="17"/>
      <c r="U1211" s="17"/>
    </row>
    <row r="1212" spans="17:21" x14ac:dyDescent="0.25">
      <c r="Q1212" s="17" t="s">
        <v>2156</v>
      </c>
      <c r="R1212" s="17" t="s">
        <v>253</v>
      </c>
      <c r="S1212" s="17"/>
      <c r="T1212" s="17"/>
      <c r="U1212" s="17"/>
    </row>
    <row r="1213" spans="17:21" x14ac:dyDescent="0.25">
      <c r="Q1213" s="17" t="s">
        <v>1035</v>
      </c>
      <c r="R1213" s="17" t="s">
        <v>253</v>
      </c>
      <c r="S1213" s="17"/>
      <c r="T1213" s="17"/>
      <c r="U1213" s="17"/>
    </row>
    <row r="1214" spans="17:21" x14ac:dyDescent="0.25">
      <c r="Q1214" s="17" t="s">
        <v>2157</v>
      </c>
      <c r="R1214" s="17" t="s">
        <v>253</v>
      </c>
      <c r="S1214" s="17"/>
      <c r="T1214" s="17"/>
      <c r="U1214" s="17"/>
    </row>
    <row r="1215" spans="17:21" x14ac:dyDescent="0.25">
      <c r="Q1215" s="17" t="s">
        <v>1223</v>
      </c>
      <c r="R1215" s="17" t="s">
        <v>253</v>
      </c>
      <c r="S1215" s="17"/>
      <c r="T1215" s="17"/>
      <c r="U1215" s="17"/>
    </row>
    <row r="1216" spans="17:21" x14ac:dyDescent="0.25">
      <c r="Q1216" s="17" t="s">
        <v>2158</v>
      </c>
      <c r="R1216" s="17" t="s">
        <v>253</v>
      </c>
      <c r="S1216" s="17"/>
      <c r="T1216" s="17"/>
      <c r="U1216" s="17"/>
    </row>
    <row r="1217" spans="17:21" x14ac:dyDescent="0.25">
      <c r="Q1217" s="17" t="s">
        <v>1091</v>
      </c>
      <c r="R1217" s="17" t="s">
        <v>253</v>
      </c>
      <c r="S1217" s="17"/>
      <c r="T1217" s="17"/>
      <c r="U1217" s="17"/>
    </row>
    <row r="1218" spans="17:21" x14ac:dyDescent="0.25">
      <c r="Q1218" s="17" t="s">
        <v>696</v>
      </c>
      <c r="R1218" s="17" t="s">
        <v>253</v>
      </c>
      <c r="S1218" s="17"/>
      <c r="T1218" s="17"/>
      <c r="U1218" s="17"/>
    </row>
    <row r="1219" spans="17:21" x14ac:dyDescent="0.25">
      <c r="Q1219" s="17" t="s">
        <v>807</v>
      </c>
      <c r="R1219" s="17" t="s">
        <v>253</v>
      </c>
      <c r="S1219" s="17"/>
      <c r="T1219" s="17"/>
      <c r="U1219" s="17"/>
    </row>
    <row r="1220" spans="17:21" x14ac:dyDescent="0.25">
      <c r="Q1220" s="17" t="s">
        <v>2159</v>
      </c>
      <c r="R1220" s="17" t="s">
        <v>265</v>
      </c>
      <c r="S1220" s="17"/>
      <c r="T1220" s="17"/>
      <c r="U1220" s="17"/>
    </row>
    <row r="1221" spans="17:21" x14ac:dyDescent="0.25">
      <c r="Q1221" s="17" t="s">
        <v>2160</v>
      </c>
      <c r="R1221" s="17" t="s">
        <v>253</v>
      </c>
      <c r="S1221" s="17"/>
      <c r="T1221" s="17"/>
      <c r="U1221" s="17"/>
    </row>
    <row r="1222" spans="17:21" x14ac:dyDescent="0.25">
      <c r="Q1222" s="17" t="s">
        <v>2161</v>
      </c>
      <c r="R1222" s="17" t="s">
        <v>265</v>
      </c>
      <c r="S1222" s="17"/>
      <c r="T1222" s="17"/>
      <c r="U1222" s="17"/>
    </row>
    <row r="1223" spans="17:21" x14ac:dyDescent="0.25">
      <c r="Q1223" s="17" t="s">
        <v>603</v>
      </c>
      <c r="R1223" s="17" t="s">
        <v>253</v>
      </c>
      <c r="S1223" s="17"/>
      <c r="T1223" s="17"/>
      <c r="U1223" s="17"/>
    </row>
    <row r="1224" spans="17:21" x14ac:dyDescent="0.25">
      <c r="Q1224" s="17" t="s">
        <v>2162</v>
      </c>
      <c r="R1224" s="17" t="s">
        <v>263</v>
      </c>
      <c r="S1224" s="17"/>
      <c r="T1224" s="17"/>
      <c r="U1224" s="17"/>
    </row>
    <row r="1225" spans="17:21" x14ac:dyDescent="0.25">
      <c r="Q1225" s="17" t="s">
        <v>2163</v>
      </c>
      <c r="R1225" s="17" t="s">
        <v>269</v>
      </c>
      <c r="S1225" s="17"/>
      <c r="T1225" s="17"/>
      <c r="U1225" s="17"/>
    </row>
    <row r="1226" spans="17:21" x14ac:dyDescent="0.25">
      <c r="Q1226" s="17" t="s">
        <v>2164</v>
      </c>
      <c r="R1226" s="17" t="s">
        <v>269</v>
      </c>
      <c r="S1226" s="17"/>
      <c r="T1226" s="17"/>
      <c r="U1226" s="17"/>
    </row>
    <row r="1227" spans="17:21" x14ac:dyDescent="0.25">
      <c r="Q1227" s="17" t="s">
        <v>2165</v>
      </c>
      <c r="R1227" s="17" t="s">
        <v>269</v>
      </c>
      <c r="S1227" s="17"/>
      <c r="T1227" s="17"/>
      <c r="U1227" s="17"/>
    </row>
    <row r="1228" spans="17:21" x14ac:dyDescent="0.25">
      <c r="Q1228" s="17" t="s">
        <v>2166</v>
      </c>
      <c r="R1228" s="17" t="s">
        <v>269</v>
      </c>
      <c r="S1228" s="17"/>
      <c r="T1228" s="17"/>
      <c r="U1228" s="17"/>
    </row>
    <row r="1229" spans="17:21" x14ac:dyDescent="0.25">
      <c r="Q1229" s="17" t="s">
        <v>1169</v>
      </c>
      <c r="R1229" s="17" t="s">
        <v>263</v>
      </c>
      <c r="S1229" s="17"/>
      <c r="T1229" s="17"/>
      <c r="U1229" s="17"/>
    </row>
    <row r="1230" spans="17:21" x14ac:dyDescent="0.25">
      <c r="Q1230" s="17" t="s">
        <v>930</v>
      </c>
      <c r="R1230" s="17" t="s">
        <v>263</v>
      </c>
      <c r="S1230" s="17"/>
      <c r="T1230" s="17"/>
      <c r="U1230" s="17"/>
    </row>
    <row r="1231" spans="17:21" x14ac:dyDescent="0.25">
      <c r="Q1231" s="17" t="s">
        <v>2167</v>
      </c>
      <c r="R1231" s="17" t="s">
        <v>263</v>
      </c>
      <c r="S1231" s="17"/>
      <c r="T1231" s="17"/>
      <c r="U1231" s="17"/>
    </row>
    <row r="1232" spans="17:21" x14ac:dyDescent="0.25">
      <c r="Q1232" s="17" t="s">
        <v>1168</v>
      </c>
      <c r="R1232" s="17" t="s">
        <v>263</v>
      </c>
      <c r="S1232" s="17"/>
      <c r="T1232" s="17"/>
      <c r="U1232" s="17"/>
    </row>
    <row r="1233" spans="17:21" x14ac:dyDescent="0.25">
      <c r="Q1233" s="17" t="s">
        <v>2168</v>
      </c>
      <c r="R1233" s="17" t="s">
        <v>263</v>
      </c>
      <c r="S1233" s="17"/>
      <c r="T1233" s="17"/>
      <c r="U1233" s="17"/>
    </row>
    <row r="1234" spans="17:21" x14ac:dyDescent="0.25">
      <c r="Q1234" s="17" t="s">
        <v>680</v>
      </c>
      <c r="R1234" s="17" t="s">
        <v>263</v>
      </c>
      <c r="S1234" s="17"/>
      <c r="T1234" s="17"/>
      <c r="U1234" s="17"/>
    </row>
    <row r="1235" spans="17:21" x14ac:dyDescent="0.25">
      <c r="Q1235" s="17" t="s">
        <v>2169</v>
      </c>
      <c r="R1235" s="17" t="s">
        <v>263</v>
      </c>
      <c r="S1235" s="17"/>
      <c r="T1235" s="17"/>
      <c r="U1235" s="17"/>
    </row>
    <row r="1236" spans="17:21" x14ac:dyDescent="0.25">
      <c r="Q1236" s="17" t="s">
        <v>2170</v>
      </c>
      <c r="R1236" s="17" t="s">
        <v>263</v>
      </c>
      <c r="S1236" s="17"/>
      <c r="T1236" s="17"/>
      <c r="U1236" s="17"/>
    </row>
    <row r="1237" spans="17:21" x14ac:dyDescent="0.25">
      <c r="Q1237" s="17" t="s">
        <v>2171</v>
      </c>
      <c r="R1237" s="17" t="s">
        <v>263</v>
      </c>
      <c r="S1237" s="17"/>
      <c r="T1237" s="17"/>
      <c r="U1237" s="17"/>
    </row>
    <row r="1238" spans="17:21" x14ac:dyDescent="0.25">
      <c r="Q1238" s="17" t="s">
        <v>809</v>
      </c>
      <c r="R1238" s="17" t="s">
        <v>263</v>
      </c>
      <c r="S1238" s="17"/>
      <c r="T1238" s="17"/>
      <c r="U1238" s="17"/>
    </row>
    <row r="1239" spans="17:21" x14ac:dyDescent="0.25">
      <c r="Q1239" s="17" t="s">
        <v>810</v>
      </c>
      <c r="R1239" s="17" t="s">
        <v>263</v>
      </c>
      <c r="S1239" s="17"/>
      <c r="T1239" s="17"/>
      <c r="U1239" s="17"/>
    </row>
    <row r="1240" spans="17:21" x14ac:dyDescent="0.25">
      <c r="Q1240" s="17" t="s">
        <v>808</v>
      </c>
      <c r="R1240" s="17" t="s">
        <v>263</v>
      </c>
      <c r="S1240" s="17"/>
      <c r="T1240" s="17"/>
      <c r="U1240" s="17"/>
    </row>
    <row r="1241" spans="17:21" x14ac:dyDescent="0.25">
      <c r="Q1241" s="17" t="s">
        <v>1291</v>
      </c>
      <c r="R1241" s="17" t="s">
        <v>263</v>
      </c>
      <c r="S1241" s="17"/>
      <c r="T1241" s="17"/>
      <c r="U1241" s="17"/>
    </row>
    <row r="1242" spans="17:21" x14ac:dyDescent="0.25">
      <c r="Q1242" s="17" t="s">
        <v>2172</v>
      </c>
      <c r="R1242" s="17" t="s">
        <v>263</v>
      </c>
      <c r="S1242" s="17"/>
      <c r="T1242" s="17"/>
      <c r="U1242" s="17"/>
    </row>
    <row r="1243" spans="17:21" x14ac:dyDescent="0.25">
      <c r="Q1243" s="17" t="s">
        <v>2173</v>
      </c>
      <c r="R1243" s="17" t="s">
        <v>263</v>
      </c>
      <c r="S1243" s="17"/>
      <c r="T1243" s="17"/>
      <c r="U1243" s="17"/>
    </row>
    <row r="1244" spans="17:21" x14ac:dyDescent="0.25">
      <c r="Q1244" s="17" t="s">
        <v>2174</v>
      </c>
      <c r="R1244" s="17" t="s">
        <v>263</v>
      </c>
      <c r="S1244" s="17"/>
      <c r="T1244" s="17"/>
      <c r="U1244" s="17"/>
    </row>
    <row r="1245" spans="17:21" x14ac:dyDescent="0.25">
      <c r="Q1245" s="17" t="s">
        <v>2175</v>
      </c>
      <c r="R1245" s="17" t="s">
        <v>263</v>
      </c>
      <c r="S1245" s="17"/>
      <c r="T1245" s="17"/>
      <c r="U1245" s="17"/>
    </row>
    <row r="1246" spans="17:21" x14ac:dyDescent="0.25">
      <c r="Q1246" s="17" t="s">
        <v>2176</v>
      </c>
      <c r="R1246" s="17" t="s">
        <v>263</v>
      </c>
      <c r="S1246" s="17"/>
      <c r="T1246" s="17"/>
      <c r="U1246" s="17"/>
    </row>
    <row r="1247" spans="17:21" x14ac:dyDescent="0.25">
      <c r="Q1247" s="17" t="s">
        <v>1309</v>
      </c>
      <c r="R1247" s="17" t="s">
        <v>263</v>
      </c>
      <c r="S1247" s="17"/>
      <c r="T1247" s="17"/>
      <c r="U1247" s="17"/>
    </row>
    <row r="1248" spans="17:21" x14ac:dyDescent="0.25">
      <c r="Q1248" s="17" t="s">
        <v>1048</v>
      </c>
      <c r="R1248" s="17" t="s">
        <v>263</v>
      </c>
      <c r="S1248" s="17"/>
      <c r="T1248" s="17"/>
      <c r="U1248" s="17"/>
    </row>
    <row r="1249" spans="17:21" x14ac:dyDescent="0.25">
      <c r="Q1249" s="17" t="s">
        <v>2177</v>
      </c>
      <c r="R1249" s="17" t="s">
        <v>263</v>
      </c>
      <c r="S1249" s="17"/>
      <c r="T1249" s="17"/>
      <c r="U1249" s="17"/>
    </row>
    <row r="1250" spans="17:21" x14ac:dyDescent="0.25">
      <c r="Q1250" s="17" t="s">
        <v>2178</v>
      </c>
      <c r="R1250" s="17" t="s">
        <v>269</v>
      </c>
      <c r="S1250" s="17"/>
      <c r="T1250" s="17"/>
      <c r="U1250" s="17"/>
    </row>
    <row r="1251" spans="17:21" x14ac:dyDescent="0.25">
      <c r="Q1251" s="17" t="s">
        <v>2179</v>
      </c>
      <c r="R1251" s="17" t="s">
        <v>253</v>
      </c>
      <c r="S1251" s="17"/>
      <c r="T1251" s="17"/>
      <c r="U1251" s="17"/>
    </row>
    <row r="1252" spans="17:21" x14ac:dyDescent="0.25">
      <c r="Q1252" s="17" t="s">
        <v>2180</v>
      </c>
      <c r="R1252" s="17" t="s">
        <v>253</v>
      </c>
      <c r="S1252" s="17"/>
      <c r="T1252" s="17"/>
      <c r="U1252" s="17"/>
    </row>
    <row r="1253" spans="17:21" x14ac:dyDescent="0.25">
      <c r="Q1253" s="17" t="s">
        <v>2181</v>
      </c>
      <c r="R1253" s="17" t="s">
        <v>253</v>
      </c>
      <c r="S1253" s="17"/>
      <c r="T1253" s="17"/>
      <c r="U1253" s="17"/>
    </row>
    <row r="1254" spans="17:21" x14ac:dyDescent="0.25">
      <c r="Q1254" s="17" t="s">
        <v>2182</v>
      </c>
      <c r="R1254" s="17" t="s">
        <v>253</v>
      </c>
      <c r="S1254" s="17"/>
      <c r="T1254" s="17"/>
      <c r="U1254" s="17"/>
    </row>
    <row r="1255" spans="17:21" x14ac:dyDescent="0.25">
      <c r="Q1255" s="17" t="s">
        <v>2183</v>
      </c>
      <c r="R1255" s="17" t="s">
        <v>253</v>
      </c>
      <c r="S1255" s="17"/>
      <c r="T1255" s="17"/>
      <c r="U1255" s="17"/>
    </row>
    <row r="1256" spans="17:21" x14ac:dyDescent="0.25">
      <c r="Q1256" s="17" t="s">
        <v>2184</v>
      </c>
      <c r="R1256" s="17" t="s">
        <v>253</v>
      </c>
      <c r="S1256" s="17"/>
      <c r="T1256" s="17"/>
      <c r="U1256" s="17"/>
    </row>
    <row r="1257" spans="17:21" x14ac:dyDescent="0.25">
      <c r="Q1257" s="17" t="s">
        <v>2185</v>
      </c>
      <c r="R1257" s="17" t="s">
        <v>253</v>
      </c>
      <c r="S1257" s="17"/>
      <c r="T1257" s="17"/>
      <c r="U1257" s="17"/>
    </row>
    <row r="1258" spans="17:21" x14ac:dyDescent="0.25">
      <c r="Q1258" s="17" t="s">
        <v>2186</v>
      </c>
      <c r="R1258" s="17" t="s">
        <v>253</v>
      </c>
      <c r="S1258" s="17"/>
      <c r="T1258" s="17"/>
      <c r="U1258" s="17"/>
    </row>
    <row r="1259" spans="17:21" x14ac:dyDescent="0.25">
      <c r="Q1259" s="17" t="s">
        <v>2187</v>
      </c>
      <c r="R1259" s="17" t="s">
        <v>253</v>
      </c>
      <c r="S1259" s="17"/>
      <c r="T1259" s="17"/>
      <c r="U1259" s="17"/>
    </row>
    <row r="1260" spans="17:21" x14ac:dyDescent="0.25">
      <c r="Q1260" s="17" t="s">
        <v>2188</v>
      </c>
      <c r="R1260" s="17" t="s">
        <v>253</v>
      </c>
      <c r="S1260" s="17"/>
      <c r="T1260" s="17"/>
      <c r="U1260" s="17"/>
    </row>
    <row r="1261" spans="17:21" x14ac:dyDescent="0.25">
      <c r="Q1261" s="17" t="s">
        <v>2189</v>
      </c>
      <c r="R1261" s="17" t="s">
        <v>253</v>
      </c>
      <c r="S1261" s="17"/>
      <c r="T1261" s="17"/>
      <c r="U1261" s="17"/>
    </row>
    <row r="1262" spans="17:21" x14ac:dyDescent="0.25">
      <c r="Q1262" s="17" t="s">
        <v>2190</v>
      </c>
      <c r="R1262" s="17" t="s">
        <v>253</v>
      </c>
      <c r="S1262" s="17"/>
      <c r="T1262" s="17"/>
      <c r="U1262" s="17"/>
    </row>
    <row r="1263" spans="17:21" x14ac:dyDescent="0.25">
      <c r="Q1263" s="17" t="s">
        <v>906</v>
      </c>
      <c r="R1263" s="17" t="s">
        <v>253</v>
      </c>
      <c r="S1263" s="17"/>
      <c r="T1263" s="17"/>
      <c r="U1263" s="17"/>
    </row>
    <row r="1264" spans="17:21" x14ac:dyDescent="0.25">
      <c r="Q1264" s="17" t="s">
        <v>2191</v>
      </c>
      <c r="R1264" s="17" t="s">
        <v>253</v>
      </c>
      <c r="S1264" s="17"/>
      <c r="T1264" s="17"/>
      <c r="U1264" s="17"/>
    </row>
    <row r="1265" spans="17:21" x14ac:dyDescent="0.25">
      <c r="Q1265" s="17" t="s">
        <v>2192</v>
      </c>
      <c r="R1265" s="17" t="s">
        <v>253</v>
      </c>
      <c r="S1265" s="17"/>
      <c r="T1265" s="17"/>
      <c r="U1265" s="17"/>
    </row>
    <row r="1266" spans="17:21" x14ac:dyDescent="0.25">
      <c r="Q1266" s="17" t="s">
        <v>2193</v>
      </c>
      <c r="R1266" s="17" t="s">
        <v>253</v>
      </c>
      <c r="S1266" s="17"/>
      <c r="T1266" s="17"/>
      <c r="U1266" s="17"/>
    </row>
    <row r="1267" spans="17:21" x14ac:dyDescent="0.25">
      <c r="Q1267" s="17" t="s">
        <v>2194</v>
      </c>
      <c r="R1267" s="17" t="s">
        <v>253</v>
      </c>
      <c r="S1267" s="17"/>
      <c r="T1267" s="17"/>
      <c r="U1267" s="17"/>
    </row>
    <row r="1268" spans="17:21" x14ac:dyDescent="0.25">
      <c r="Q1268" s="17" t="s">
        <v>2195</v>
      </c>
      <c r="R1268" s="17" t="s">
        <v>253</v>
      </c>
      <c r="S1268" s="17"/>
      <c r="T1268" s="17"/>
      <c r="U1268" s="17"/>
    </row>
    <row r="1269" spans="17:21" x14ac:dyDescent="0.25">
      <c r="Q1269" s="17" t="s">
        <v>1347</v>
      </c>
      <c r="R1269" s="17" t="s">
        <v>253</v>
      </c>
      <c r="S1269" s="17"/>
      <c r="T1269" s="17"/>
      <c r="U1269" s="17"/>
    </row>
    <row r="1270" spans="17:21" x14ac:dyDescent="0.25">
      <c r="Q1270" s="17" t="s">
        <v>695</v>
      </c>
      <c r="R1270" s="17" t="s">
        <v>253</v>
      </c>
      <c r="S1270" s="17"/>
      <c r="T1270" s="17"/>
      <c r="U1270" s="17"/>
    </row>
    <row r="1271" spans="17:21" x14ac:dyDescent="0.25">
      <c r="Q1271" s="17" t="s">
        <v>2196</v>
      </c>
      <c r="R1271" s="17" t="s">
        <v>253</v>
      </c>
      <c r="S1271" s="17"/>
      <c r="T1271" s="17"/>
      <c r="U1271" s="17"/>
    </row>
    <row r="1272" spans="17:21" x14ac:dyDescent="0.25">
      <c r="Q1272" s="17" t="s">
        <v>2197</v>
      </c>
      <c r="R1272" s="17" t="s">
        <v>249</v>
      </c>
      <c r="S1272" s="17"/>
      <c r="T1272" s="17"/>
      <c r="U1272" s="17"/>
    </row>
    <row r="1273" spans="17:21" x14ac:dyDescent="0.25">
      <c r="Q1273" s="17" t="s">
        <v>2198</v>
      </c>
      <c r="R1273" s="17" t="s">
        <v>253</v>
      </c>
      <c r="S1273" s="17"/>
      <c r="T1273" s="17"/>
      <c r="U1273" s="17"/>
    </row>
    <row r="1274" spans="17:21" x14ac:dyDescent="0.25">
      <c r="Q1274" s="17" t="s">
        <v>2199</v>
      </c>
      <c r="R1274" s="17" t="s">
        <v>253</v>
      </c>
      <c r="S1274" s="17"/>
      <c r="T1274" s="17"/>
      <c r="U1274" s="17"/>
    </row>
    <row r="1275" spans="17:21" x14ac:dyDescent="0.25">
      <c r="Q1275" s="17" t="s">
        <v>2200</v>
      </c>
      <c r="R1275" s="17" t="s">
        <v>253</v>
      </c>
      <c r="S1275" s="17"/>
      <c r="T1275" s="17"/>
      <c r="U1275" s="17"/>
    </row>
    <row r="1276" spans="17:21" x14ac:dyDescent="0.25">
      <c r="Q1276" s="17" t="s">
        <v>2201</v>
      </c>
      <c r="R1276" s="17" t="s">
        <v>253</v>
      </c>
      <c r="S1276" s="17"/>
      <c r="T1276" s="17"/>
      <c r="U1276" s="17"/>
    </row>
    <row r="1277" spans="17:21" x14ac:dyDescent="0.25">
      <c r="Q1277" s="17" t="s">
        <v>2202</v>
      </c>
      <c r="R1277" s="17" t="s">
        <v>253</v>
      </c>
      <c r="S1277" s="17"/>
      <c r="T1277" s="17"/>
      <c r="U1277" s="17"/>
    </row>
    <row r="1278" spans="17:21" x14ac:dyDescent="0.25">
      <c r="Q1278" s="17" t="s">
        <v>2203</v>
      </c>
      <c r="R1278" s="17" t="s">
        <v>86</v>
      </c>
      <c r="S1278" s="17"/>
      <c r="T1278" s="17"/>
      <c r="U1278" s="17"/>
    </row>
    <row r="1279" spans="17:21" x14ac:dyDescent="0.25">
      <c r="Q1279" s="17" t="s">
        <v>2204</v>
      </c>
      <c r="R1279" s="17" t="s">
        <v>86</v>
      </c>
      <c r="S1279" s="17"/>
      <c r="T1279" s="17"/>
      <c r="U1279" s="17"/>
    </row>
    <row r="1280" spans="17:21" x14ac:dyDescent="0.25">
      <c r="Q1280" s="17" t="s">
        <v>2205</v>
      </c>
      <c r="R1280" s="17" t="s">
        <v>86</v>
      </c>
      <c r="S1280" s="17"/>
      <c r="T1280" s="17"/>
      <c r="U1280" s="17"/>
    </row>
    <row r="1281" spans="17:21" x14ac:dyDescent="0.25">
      <c r="Q1281" s="17" t="s">
        <v>2206</v>
      </c>
      <c r="R1281" s="17" t="s">
        <v>86</v>
      </c>
      <c r="S1281" s="17"/>
      <c r="T1281" s="17"/>
      <c r="U1281" s="17"/>
    </row>
    <row r="1282" spans="17:21" x14ac:dyDescent="0.25">
      <c r="Q1282" s="17" t="s">
        <v>2207</v>
      </c>
      <c r="R1282" s="17" t="s">
        <v>86</v>
      </c>
      <c r="S1282" s="17"/>
      <c r="T1282" s="17"/>
      <c r="U1282" s="17"/>
    </row>
    <row r="1283" spans="17:21" x14ac:dyDescent="0.25">
      <c r="Q1283" s="17" t="s">
        <v>2208</v>
      </c>
      <c r="R1283" s="17" t="s">
        <v>86</v>
      </c>
      <c r="S1283" s="17"/>
      <c r="T1283" s="17"/>
      <c r="U1283" s="17"/>
    </row>
    <row r="1284" spans="17:21" x14ac:dyDescent="0.25">
      <c r="Q1284" s="17" t="s">
        <v>2209</v>
      </c>
      <c r="R1284" s="17" t="s">
        <v>86</v>
      </c>
      <c r="S1284" s="17"/>
      <c r="T1284" s="17"/>
      <c r="U1284" s="17"/>
    </row>
    <row r="1285" spans="17:21" x14ac:dyDescent="0.25">
      <c r="Q1285" s="17" t="s">
        <v>2210</v>
      </c>
      <c r="R1285" s="17" t="s">
        <v>86</v>
      </c>
      <c r="S1285" s="17"/>
      <c r="T1285" s="17"/>
      <c r="U1285" s="17"/>
    </row>
    <row r="1286" spans="17:21" x14ac:dyDescent="0.25">
      <c r="Q1286" s="17" t="s">
        <v>2211</v>
      </c>
      <c r="R1286" s="17" t="s">
        <v>86</v>
      </c>
      <c r="S1286" s="17"/>
      <c r="T1286" s="17"/>
      <c r="U1286" s="17"/>
    </row>
    <row r="1287" spans="17:21" x14ac:dyDescent="0.25">
      <c r="Q1287" s="17" t="s">
        <v>2212</v>
      </c>
      <c r="R1287" s="17" t="s">
        <v>86</v>
      </c>
      <c r="S1287" s="17"/>
      <c r="T1287" s="17"/>
      <c r="U1287" s="17"/>
    </row>
    <row r="1288" spans="17:21" x14ac:dyDescent="0.25">
      <c r="Q1288" s="17" t="s">
        <v>2213</v>
      </c>
      <c r="R1288" s="17" t="s">
        <v>86</v>
      </c>
      <c r="S1288" s="17"/>
      <c r="T1288" s="17"/>
      <c r="U1288" s="17"/>
    </row>
    <row r="1289" spans="17:21" x14ac:dyDescent="0.25">
      <c r="Q1289" s="17" t="s">
        <v>2214</v>
      </c>
      <c r="R1289" s="17" t="s">
        <v>86</v>
      </c>
      <c r="S1289" s="17"/>
      <c r="T1289" s="17"/>
      <c r="U1289" s="17"/>
    </row>
    <row r="1290" spans="17:21" x14ac:dyDescent="0.25">
      <c r="Q1290" s="17" t="s">
        <v>2215</v>
      </c>
      <c r="R1290" s="17" t="s">
        <v>86</v>
      </c>
      <c r="S1290" s="17"/>
      <c r="T1290" s="17"/>
      <c r="U1290" s="17"/>
    </row>
    <row r="1291" spans="17:21" x14ac:dyDescent="0.25">
      <c r="Q1291" s="17" t="s">
        <v>2216</v>
      </c>
      <c r="R1291" s="17" t="s">
        <v>86</v>
      </c>
      <c r="S1291" s="17"/>
      <c r="T1291" s="17"/>
      <c r="U1291" s="17"/>
    </row>
    <row r="1292" spans="17:21" x14ac:dyDescent="0.25">
      <c r="Q1292" s="17" t="s">
        <v>2217</v>
      </c>
      <c r="R1292" s="17" t="s">
        <v>86</v>
      </c>
      <c r="S1292" s="17"/>
      <c r="T1292" s="17"/>
      <c r="U1292" s="17"/>
    </row>
    <row r="1293" spans="17:21" x14ac:dyDescent="0.25">
      <c r="Q1293" s="17" t="s">
        <v>2218</v>
      </c>
      <c r="R1293" s="17" t="s">
        <v>251</v>
      </c>
      <c r="S1293" s="17"/>
      <c r="T1293" s="17"/>
      <c r="U1293" s="17"/>
    </row>
    <row r="1294" spans="17:21" x14ac:dyDescent="0.25">
      <c r="Q1294" s="17" t="s">
        <v>2219</v>
      </c>
      <c r="R1294" s="17" t="s">
        <v>255</v>
      </c>
      <c r="S1294" s="17"/>
      <c r="T1294" s="17"/>
      <c r="U1294" s="17"/>
    </row>
    <row r="1295" spans="17:21" x14ac:dyDescent="0.25">
      <c r="Q1295" s="17" t="s">
        <v>2220</v>
      </c>
      <c r="R1295" s="17" t="s">
        <v>1369</v>
      </c>
      <c r="S1295" s="17"/>
      <c r="T1295" s="17"/>
      <c r="U1295" s="17"/>
    </row>
    <row r="1296" spans="17:21" x14ac:dyDescent="0.25">
      <c r="Q1296" s="17" t="s">
        <v>2221</v>
      </c>
      <c r="R1296" s="17" t="s">
        <v>1369</v>
      </c>
      <c r="S1296" s="17"/>
      <c r="T1296" s="17"/>
      <c r="U1296" s="17"/>
    </row>
    <row r="1297" spans="17:21" x14ac:dyDescent="0.25">
      <c r="Q1297" s="17" t="s">
        <v>2222</v>
      </c>
      <c r="R1297" s="17" t="s">
        <v>1369</v>
      </c>
      <c r="S1297" s="17"/>
      <c r="T1297" s="17"/>
      <c r="U1297" s="17"/>
    </row>
    <row r="1298" spans="17:21" x14ac:dyDescent="0.25">
      <c r="Q1298" s="17" t="s">
        <v>2223</v>
      </c>
      <c r="R1298" s="17" t="s">
        <v>1369</v>
      </c>
      <c r="S1298" s="17"/>
      <c r="T1298" s="17"/>
      <c r="U1298" s="17"/>
    </row>
    <row r="1299" spans="17:21" x14ac:dyDescent="0.25">
      <c r="Q1299" s="17" t="s">
        <v>2224</v>
      </c>
      <c r="R1299" s="17" t="s">
        <v>1369</v>
      </c>
      <c r="S1299" s="17"/>
      <c r="T1299" s="17"/>
      <c r="U1299" s="17"/>
    </row>
    <row r="1300" spans="17:21" x14ac:dyDescent="0.25">
      <c r="Q1300" s="17" t="s">
        <v>2225</v>
      </c>
      <c r="R1300" s="17" t="s">
        <v>1369</v>
      </c>
      <c r="S1300" s="17"/>
      <c r="T1300" s="17"/>
      <c r="U1300" s="17"/>
    </row>
    <row r="1301" spans="17:21" x14ac:dyDescent="0.25">
      <c r="Q1301" s="17" t="s">
        <v>2226</v>
      </c>
      <c r="R1301" s="17" t="s">
        <v>1369</v>
      </c>
      <c r="S1301" s="17"/>
      <c r="T1301" s="17"/>
      <c r="U1301" s="17"/>
    </row>
    <row r="1302" spans="17:21" x14ac:dyDescent="0.25">
      <c r="Q1302" s="17" t="s">
        <v>2227</v>
      </c>
      <c r="R1302" s="17" t="s">
        <v>1369</v>
      </c>
      <c r="S1302" s="17"/>
      <c r="T1302" s="17"/>
      <c r="U1302" s="17"/>
    </row>
    <row r="1303" spans="17:21" x14ac:dyDescent="0.25">
      <c r="Q1303" s="17" t="s">
        <v>2228</v>
      </c>
      <c r="R1303" s="17" t="s">
        <v>1369</v>
      </c>
      <c r="S1303" s="17"/>
      <c r="T1303" s="17"/>
      <c r="U1303" s="17"/>
    </row>
    <row r="1304" spans="17:21" x14ac:dyDescent="0.25">
      <c r="Q1304" s="17" t="s">
        <v>2229</v>
      </c>
      <c r="R1304" s="17" t="s">
        <v>1369</v>
      </c>
      <c r="S1304" s="17"/>
      <c r="T1304" s="17"/>
      <c r="U1304" s="17"/>
    </row>
    <row r="1305" spans="17:21" x14ac:dyDescent="0.25">
      <c r="Q1305" s="17" t="s">
        <v>2230</v>
      </c>
      <c r="R1305" s="17" t="s">
        <v>1369</v>
      </c>
      <c r="S1305" s="17"/>
      <c r="T1305" s="17"/>
      <c r="U1305" s="17"/>
    </row>
    <row r="1306" spans="17:21" x14ac:dyDescent="0.25">
      <c r="Q1306" s="17" t="s">
        <v>2231</v>
      </c>
      <c r="R1306" s="17" t="s">
        <v>1369</v>
      </c>
      <c r="S1306" s="17"/>
      <c r="T1306" s="17"/>
      <c r="U1306" s="17"/>
    </row>
    <row r="1307" spans="17:21" x14ac:dyDescent="0.25">
      <c r="Q1307" s="17" t="s">
        <v>2232</v>
      </c>
      <c r="R1307" s="17" t="s">
        <v>1369</v>
      </c>
      <c r="S1307" s="17"/>
      <c r="T1307" s="17"/>
      <c r="U1307" s="17"/>
    </row>
    <row r="1308" spans="17:21" x14ac:dyDescent="0.25">
      <c r="Q1308" s="17" t="s">
        <v>2233</v>
      </c>
      <c r="R1308" s="17" t="s">
        <v>1369</v>
      </c>
      <c r="S1308" s="17"/>
      <c r="T1308" s="17"/>
      <c r="U1308" s="17"/>
    </row>
    <row r="1309" spans="17:21" x14ac:dyDescent="0.25">
      <c r="Q1309" s="17" t="s">
        <v>2234</v>
      </c>
      <c r="R1309" s="17" t="s">
        <v>251</v>
      </c>
      <c r="S1309" s="17"/>
      <c r="T1309" s="17"/>
      <c r="U1309" s="17"/>
    </row>
    <row r="1310" spans="17:21" x14ac:dyDescent="0.25">
      <c r="Q1310" s="17" t="s">
        <v>2235</v>
      </c>
      <c r="R1310" s="17" t="s">
        <v>249</v>
      </c>
      <c r="S1310" s="17"/>
      <c r="T1310" s="17"/>
      <c r="U1310" s="17"/>
    </row>
    <row r="1311" spans="17:21" x14ac:dyDescent="0.25">
      <c r="Q1311" s="17" t="s">
        <v>2236</v>
      </c>
      <c r="R1311" s="17" t="s">
        <v>251</v>
      </c>
      <c r="S1311" s="17"/>
      <c r="T1311" s="17"/>
      <c r="U1311" s="17"/>
    </row>
    <row r="1312" spans="17:21" x14ac:dyDescent="0.25">
      <c r="Q1312" s="17" t="s">
        <v>2237</v>
      </c>
      <c r="R1312" s="17" t="s">
        <v>86</v>
      </c>
      <c r="S1312" s="17"/>
      <c r="T1312" s="17"/>
      <c r="U1312" s="17"/>
    </row>
    <row r="1313" spans="17:21" x14ac:dyDescent="0.25">
      <c r="Q1313" s="17" t="s">
        <v>2238</v>
      </c>
      <c r="R1313" s="17" t="s">
        <v>2239</v>
      </c>
      <c r="S1313" s="17"/>
      <c r="T1313" s="17"/>
      <c r="U1313" s="17"/>
    </row>
    <row r="1314" spans="17:21" x14ac:dyDescent="0.25">
      <c r="Q1314" s="17" t="s">
        <v>2240</v>
      </c>
      <c r="R1314" s="17" t="s">
        <v>2239</v>
      </c>
      <c r="S1314" s="17"/>
      <c r="T1314" s="17"/>
      <c r="U1314" s="17"/>
    </row>
    <row r="1315" spans="17:21" x14ac:dyDescent="0.25">
      <c r="Q1315" s="17" t="s">
        <v>2241</v>
      </c>
      <c r="R1315" s="17" t="s">
        <v>2239</v>
      </c>
      <c r="S1315" s="17"/>
      <c r="T1315" s="17"/>
      <c r="U1315" s="17"/>
    </row>
    <row r="1316" spans="17:21" x14ac:dyDescent="0.25">
      <c r="Q1316" s="17" t="s">
        <v>2242</v>
      </c>
      <c r="R1316" s="17" t="s">
        <v>2239</v>
      </c>
      <c r="S1316" s="17"/>
      <c r="T1316" s="17"/>
      <c r="U1316" s="17"/>
    </row>
    <row r="1317" spans="17:21" x14ac:dyDescent="0.25">
      <c r="Q1317" s="17" t="s">
        <v>2243</v>
      </c>
      <c r="R1317" s="17" t="s">
        <v>86</v>
      </c>
      <c r="S1317" s="17"/>
      <c r="T1317" s="17"/>
      <c r="U1317" s="17"/>
    </row>
    <row r="1318" spans="17:21" x14ac:dyDescent="0.25">
      <c r="Q1318" s="17" t="s">
        <v>2244</v>
      </c>
      <c r="R1318" s="17" t="s">
        <v>86</v>
      </c>
      <c r="S1318" s="17"/>
      <c r="T1318" s="17"/>
      <c r="U1318" s="17"/>
    </row>
    <row r="1319" spans="17:21" x14ac:dyDescent="0.25">
      <c r="Q1319" s="17" t="s">
        <v>2245</v>
      </c>
      <c r="R1319" s="17" t="s">
        <v>86</v>
      </c>
      <c r="S1319" s="17"/>
      <c r="T1319" s="17"/>
      <c r="U1319" s="17"/>
    </row>
    <row r="1320" spans="17:21" x14ac:dyDescent="0.25">
      <c r="Q1320" s="17" t="s">
        <v>2246</v>
      </c>
      <c r="R1320" s="17" t="s">
        <v>86</v>
      </c>
      <c r="S1320" s="17"/>
      <c r="T1320" s="17"/>
      <c r="U1320" s="17"/>
    </row>
    <row r="1321" spans="17:21" x14ac:dyDescent="0.25">
      <c r="Q1321" s="17" t="s">
        <v>2247</v>
      </c>
      <c r="R1321" s="17" t="s">
        <v>86</v>
      </c>
      <c r="S1321" s="17"/>
      <c r="T1321" s="17"/>
      <c r="U1321" s="17"/>
    </row>
    <row r="1322" spans="17:21" x14ac:dyDescent="0.25">
      <c r="Q1322" s="17" t="s">
        <v>2248</v>
      </c>
      <c r="R1322" s="17" t="s">
        <v>86</v>
      </c>
      <c r="S1322" s="17"/>
      <c r="T1322" s="17"/>
      <c r="U1322" s="17"/>
    </row>
    <row r="1323" spans="17:21" x14ac:dyDescent="0.25">
      <c r="Q1323" s="17" t="s">
        <v>2249</v>
      </c>
      <c r="R1323" s="17" t="s">
        <v>86</v>
      </c>
      <c r="S1323" s="17"/>
      <c r="T1323" s="17"/>
      <c r="U1323" s="17"/>
    </row>
    <row r="1324" spans="17:21" x14ac:dyDescent="0.25">
      <c r="Q1324" s="17" t="s">
        <v>2250</v>
      </c>
      <c r="R1324" s="17" t="s">
        <v>86</v>
      </c>
      <c r="S1324" s="17"/>
      <c r="T1324" s="17"/>
      <c r="U1324" s="17"/>
    </row>
    <row r="1325" spans="17:21" x14ac:dyDescent="0.25">
      <c r="Q1325" s="17" t="s">
        <v>2251</v>
      </c>
      <c r="R1325" s="17" t="s">
        <v>86</v>
      </c>
      <c r="S1325" s="17"/>
      <c r="T1325" s="17"/>
      <c r="U1325" s="17"/>
    </row>
    <row r="1326" spans="17:21" x14ac:dyDescent="0.25">
      <c r="Q1326" s="17" t="s">
        <v>2252</v>
      </c>
      <c r="R1326" s="17" t="s">
        <v>86</v>
      </c>
      <c r="S1326" s="17"/>
      <c r="T1326" s="17"/>
      <c r="U1326" s="17"/>
    </row>
    <row r="1327" spans="17:21" x14ac:dyDescent="0.25">
      <c r="Q1327" s="17" t="s">
        <v>2253</v>
      </c>
      <c r="R1327" s="17" t="s">
        <v>86</v>
      </c>
      <c r="S1327" s="17"/>
      <c r="T1327" s="17"/>
      <c r="U1327" s="17"/>
    </row>
    <row r="1328" spans="17:21" x14ac:dyDescent="0.25">
      <c r="Q1328" s="17" t="s">
        <v>2254</v>
      </c>
      <c r="R1328" s="17" t="s">
        <v>86</v>
      </c>
      <c r="S1328" s="17"/>
      <c r="T1328" s="17"/>
      <c r="U1328" s="17"/>
    </row>
    <row r="1329" spans="17:21" x14ac:dyDescent="0.25">
      <c r="Q1329" s="17" t="s">
        <v>2255</v>
      </c>
      <c r="R1329" s="17" t="s">
        <v>2239</v>
      </c>
      <c r="S1329" s="17"/>
      <c r="T1329" s="17"/>
      <c r="U1329" s="17"/>
    </row>
    <row r="1330" spans="17:21" x14ac:dyDescent="0.25">
      <c r="Q1330" s="17" t="s">
        <v>2256</v>
      </c>
      <c r="R1330" s="17" t="s">
        <v>253</v>
      </c>
      <c r="S1330" s="17"/>
      <c r="T1330" s="17"/>
      <c r="U1330" s="17"/>
    </row>
    <row r="1331" spans="17:21" x14ac:dyDescent="0.25">
      <c r="Q1331" s="17" t="s">
        <v>2257</v>
      </c>
      <c r="R1331" s="17" t="s">
        <v>253</v>
      </c>
      <c r="S1331" s="17"/>
      <c r="T1331" s="17"/>
      <c r="U1331" s="17"/>
    </row>
    <row r="1332" spans="17:21" x14ac:dyDescent="0.25">
      <c r="Q1332" s="17" t="s">
        <v>2258</v>
      </c>
      <c r="R1332" s="17" t="s">
        <v>253</v>
      </c>
      <c r="S1332" s="17"/>
      <c r="T1332" s="17"/>
      <c r="U1332" s="17"/>
    </row>
    <row r="1333" spans="17:21" x14ac:dyDescent="0.25">
      <c r="Q1333" s="17" t="s">
        <v>2259</v>
      </c>
      <c r="R1333" s="17" t="s">
        <v>253</v>
      </c>
      <c r="S1333" s="17"/>
      <c r="T1333" s="17"/>
      <c r="U1333" s="17"/>
    </row>
    <row r="1334" spans="17:21" x14ac:dyDescent="0.25">
      <c r="Q1334" s="17" t="s">
        <v>2260</v>
      </c>
      <c r="R1334" s="17" t="s">
        <v>253</v>
      </c>
      <c r="S1334" s="17"/>
      <c r="T1334" s="17"/>
      <c r="U1334" s="17"/>
    </row>
    <row r="1335" spans="17:21" x14ac:dyDescent="0.25">
      <c r="Q1335" s="17" t="s">
        <v>2261</v>
      </c>
      <c r="R1335" s="17" t="s">
        <v>253</v>
      </c>
      <c r="S1335" s="17"/>
      <c r="T1335" s="17"/>
      <c r="U1335" s="17"/>
    </row>
    <row r="1336" spans="17:21" x14ac:dyDescent="0.25">
      <c r="Q1336" s="17" t="s">
        <v>1156</v>
      </c>
      <c r="R1336" s="17" t="s">
        <v>263</v>
      </c>
      <c r="S1336" s="17"/>
      <c r="T1336" s="17"/>
      <c r="U1336" s="17"/>
    </row>
    <row r="1337" spans="17:21" x14ac:dyDescent="0.25">
      <c r="Q1337" s="17" t="s">
        <v>2262</v>
      </c>
      <c r="R1337" s="17" t="s">
        <v>86</v>
      </c>
      <c r="S1337" s="17"/>
      <c r="T1337" s="17"/>
      <c r="U1337" s="17"/>
    </row>
    <row r="1338" spans="17:21" x14ac:dyDescent="0.25">
      <c r="Q1338" s="17" t="s">
        <v>2263</v>
      </c>
      <c r="R1338" s="17" t="s">
        <v>86</v>
      </c>
      <c r="S1338" s="17"/>
      <c r="T1338" s="17"/>
      <c r="U1338" s="17"/>
    </row>
    <row r="1339" spans="17:21" x14ac:dyDescent="0.25">
      <c r="Q1339" s="17" t="s">
        <v>2264</v>
      </c>
      <c r="R1339" s="17" t="s">
        <v>86</v>
      </c>
      <c r="S1339" s="17"/>
      <c r="T1339" s="17"/>
      <c r="U1339" s="17"/>
    </row>
    <row r="1340" spans="17:21" x14ac:dyDescent="0.25">
      <c r="Q1340" s="17" t="s">
        <v>2265</v>
      </c>
      <c r="R1340" s="17" t="s">
        <v>86</v>
      </c>
      <c r="S1340" s="17"/>
      <c r="T1340" s="17"/>
      <c r="U1340" s="17"/>
    </row>
    <row r="1341" spans="17:21" x14ac:dyDescent="0.25">
      <c r="Q1341" s="17" t="s">
        <v>2266</v>
      </c>
      <c r="R1341" s="17" t="s">
        <v>86</v>
      </c>
      <c r="S1341" s="17"/>
      <c r="T1341" s="17"/>
      <c r="U1341" s="17"/>
    </row>
    <row r="1342" spans="17:21" x14ac:dyDescent="0.25">
      <c r="Q1342" s="17" t="s">
        <v>2267</v>
      </c>
      <c r="R1342" s="17" t="s">
        <v>86</v>
      </c>
      <c r="S1342" s="17"/>
      <c r="T1342" s="17"/>
      <c r="U1342" s="17"/>
    </row>
    <row r="1343" spans="17:21" x14ac:dyDescent="0.25">
      <c r="Q1343" s="17" t="s">
        <v>2268</v>
      </c>
      <c r="R1343" s="17" t="s">
        <v>86</v>
      </c>
      <c r="S1343" s="17"/>
      <c r="T1343" s="17"/>
      <c r="U1343" s="17"/>
    </row>
    <row r="1344" spans="17:21" x14ac:dyDescent="0.25">
      <c r="Q1344" s="17" t="s">
        <v>2269</v>
      </c>
      <c r="R1344" s="17" t="s">
        <v>86</v>
      </c>
      <c r="S1344" s="17"/>
      <c r="T1344" s="17"/>
      <c r="U1344" s="17"/>
    </row>
    <row r="1345" spans="17:21" x14ac:dyDescent="0.25">
      <c r="Q1345" s="17" t="s">
        <v>2270</v>
      </c>
      <c r="R1345" s="17" t="s">
        <v>86</v>
      </c>
      <c r="S1345" s="17"/>
      <c r="T1345" s="17"/>
      <c r="U1345" s="17"/>
    </row>
    <row r="1346" spans="17:21" x14ac:dyDescent="0.25">
      <c r="Q1346" s="17" t="s">
        <v>2271</v>
      </c>
      <c r="R1346" s="17" t="s">
        <v>86</v>
      </c>
      <c r="S1346" s="17"/>
      <c r="T1346" s="17"/>
      <c r="U1346" s="17"/>
    </row>
    <row r="1347" spans="17:21" x14ac:dyDescent="0.25">
      <c r="Q1347" s="17" t="s">
        <v>2272</v>
      </c>
      <c r="R1347" s="17" t="s">
        <v>86</v>
      </c>
      <c r="S1347" s="17"/>
      <c r="T1347" s="17"/>
      <c r="U1347" s="17"/>
    </row>
    <row r="1348" spans="17:21" x14ac:dyDescent="0.25">
      <c r="Q1348" s="17" t="s">
        <v>2273</v>
      </c>
      <c r="R1348" s="17" t="s">
        <v>86</v>
      </c>
      <c r="S1348" s="17"/>
      <c r="T1348" s="17"/>
      <c r="U1348" s="17"/>
    </row>
    <row r="1349" spans="17:21" x14ac:dyDescent="0.25">
      <c r="Q1349" s="17" t="s">
        <v>2274</v>
      </c>
      <c r="R1349" s="17" t="s">
        <v>86</v>
      </c>
      <c r="S1349" s="17"/>
      <c r="T1349" s="17"/>
      <c r="U1349" s="17"/>
    </row>
    <row r="1350" spans="17:21" x14ac:dyDescent="0.25">
      <c r="Q1350" s="17" t="s">
        <v>2275</v>
      </c>
      <c r="R1350" s="17" t="s">
        <v>86</v>
      </c>
      <c r="S1350" s="17"/>
      <c r="T1350" s="17"/>
      <c r="U1350" s="17"/>
    </row>
    <row r="1351" spans="17:21" x14ac:dyDescent="0.25">
      <c r="Q1351" s="17" t="s">
        <v>2276</v>
      </c>
      <c r="R1351" s="17" t="s">
        <v>86</v>
      </c>
      <c r="S1351" s="17"/>
      <c r="T1351" s="17"/>
      <c r="U1351" s="17"/>
    </row>
    <row r="1352" spans="17:21" x14ac:dyDescent="0.25">
      <c r="Q1352" s="17" t="s">
        <v>2277</v>
      </c>
      <c r="R1352" s="17" t="s">
        <v>86</v>
      </c>
      <c r="S1352" s="17"/>
      <c r="T1352" s="17"/>
      <c r="U1352" s="17"/>
    </row>
    <row r="1353" spans="17:21" x14ac:dyDescent="0.25">
      <c r="Q1353" s="17" t="s">
        <v>2278</v>
      </c>
      <c r="R1353" s="17" t="s">
        <v>86</v>
      </c>
      <c r="S1353" s="17"/>
      <c r="T1353" s="17"/>
      <c r="U1353" s="17"/>
    </row>
    <row r="1354" spans="17:21" x14ac:dyDescent="0.25">
      <c r="Q1354" s="17" t="s">
        <v>2279</v>
      </c>
      <c r="R1354" s="17" t="s">
        <v>86</v>
      </c>
      <c r="S1354" s="17"/>
      <c r="T1354" s="17"/>
      <c r="U1354" s="17"/>
    </row>
    <row r="1355" spans="17:21" x14ac:dyDescent="0.25">
      <c r="Q1355" s="17" t="s">
        <v>2280</v>
      </c>
      <c r="R1355" s="17" t="s">
        <v>86</v>
      </c>
      <c r="S1355" s="17"/>
      <c r="T1355" s="17"/>
      <c r="U1355" s="17"/>
    </row>
    <row r="1356" spans="17:21" x14ac:dyDescent="0.25">
      <c r="Q1356" s="17" t="s">
        <v>2281</v>
      </c>
      <c r="R1356" s="17" t="s">
        <v>86</v>
      </c>
      <c r="S1356" s="17"/>
      <c r="T1356" s="17"/>
      <c r="U1356" s="17"/>
    </row>
    <row r="1357" spans="17:21" x14ac:dyDescent="0.25">
      <c r="Q1357" s="17" t="s">
        <v>2282</v>
      </c>
      <c r="R1357" s="17" t="s">
        <v>249</v>
      </c>
      <c r="S1357" s="17"/>
      <c r="T1357" s="17"/>
      <c r="U1357" s="17"/>
    </row>
    <row r="1358" spans="17:21" x14ac:dyDescent="0.25">
      <c r="Q1358" s="17" t="s">
        <v>2283</v>
      </c>
      <c r="R1358" s="17" t="s">
        <v>249</v>
      </c>
      <c r="S1358" s="17"/>
      <c r="T1358" s="17"/>
      <c r="U1358" s="17"/>
    </row>
    <row r="1359" spans="17:21" x14ac:dyDescent="0.25">
      <c r="Q1359" s="17" t="s">
        <v>2284</v>
      </c>
      <c r="R1359" s="17" t="s">
        <v>1369</v>
      </c>
      <c r="S1359" s="17"/>
      <c r="T1359" s="17"/>
      <c r="U1359" s="17"/>
    </row>
    <row r="1360" spans="17:21" x14ac:dyDescent="0.25">
      <c r="Q1360" s="17" t="s">
        <v>2285</v>
      </c>
      <c r="R1360" s="17" t="s">
        <v>1369</v>
      </c>
      <c r="S1360" s="17"/>
      <c r="T1360" s="17"/>
      <c r="U1360" s="17"/>
    </row>
    <row r="1361" spans="17:21" x14ac:dyDescent="0.25">
      <c r="Q1361" s="17" t="s">
        <v>2286</v>
      </c>
      <c r="R1361" s="17" t="s">
        <v>1369</v>
      </c>
      <c r="S1361" s="17"/>
      <c r="T1361" s="17"/>
      <c r="U1361" s="17"/>
    </row>
    <row r="1362" spans="17:21" x14ac:dyDescent="0.25">
      <c r="Q1362" s="17" t="s">
        <v>2287</v>
      </c>
      <c r="R1362" s="17" t="s">
        <v>1369</v>
      </c>
      <c r="S1362" s="17"/>
      <c r="T1362" s="17"/>
      <c r="U1362" s="17"/>
    </row>
    <row r="1363" spans="17:21" x14ac:dyDescent="0.25">
      <c r="Q1363" s="17" t="s">
        <v>2288</v>
      </c>
      <c r="R1363" s="17" t="s">
        <v>1369</v>
      </c>
      <c r="S1363" s="17"/>
      <c r="T1363" s="17"/>
      <c r="U1363" s="17"/>
    </row>
    <row r="1364" spans="17:21" x14ac:dyDescent="0.25">
      <c r="Q1364" s="17" t="s">
        <v>2289</v>
      </c>
      <c r="R1364" s="17" t="s">
        <v>1369</v>
      </c>
      <c r="S1364" s="17"/>
      <c r="T1364" s="17"/>
      <c r="U1364" s="17"/>
    </row>
    <row r="1365" spans="17:21" x14ac:dyDescent="0.25">
      <c r="Q1365" s="17" t="s">
        <v>2290</v>
      </c>
      <c r="R1365" s="17" t="s">
        <v>1369</v>
      </c>
      <c r="S1365" s="17"/>
      <c r="T1365" s="17"/>
      <c r="U1365" s="17"/>
    </row>
    <row r="1366" spans="17:21" x14ac:dyDescent="0.25">
      <c r="Q1366" s="17" t="s">
        <v>2291</v>
      </c>
      <c r="R1366" s="17" t="s">
        <v>1369</v>
      </c>
      <c r="S1366" s="17"/>
      <c r="T1366" s="17"/>
      <c r="U1366" s="17"/>
    </row>
    <row r="1367" spans="17:21" x14ac:dyDescent="0.25">
      <c r="Q1367" s="17" t="s">
        <v>2292</v>
      </c>
      <c r="R1367" s="17" t="s">
        <v>1369</v>
      </c>
      <c r="S1367" s="17"/>
      <c r="T1367" s="17"/>
      <c r="U1367" s="17"/>
    </row>
    <row r="1368" spans="17:21" x14ac:dyDescent="0.25">
      <c r="Q1368" s="17" t="s">
        <v>2293</v>
      </c>
      <c r="R1368" s="17" t="s">
        <v>249</v>
      </c>
      <c r="S1368" s="17"/>
      <c r="T1368" s="17"/>
      <c r="U1368" s="17"/>
    </row>
    <row r="1369" spans="17:21" x14ac:dyDescent="0.25">
      <c r="Q1369" s="17" t="s">
        <v>2294</v>
      </c>
      <c r="R1369" s="17" t="s">
        <v>249</v>
      </c>
      <c r="S1369" s="17"/>
      <c r="T1369" s="17"/>
      <c r="U1369" s="17"/>
    </row>
    <row r="1370" spans="17:21" x14ac:dyDescent="0.25">
      <c r="Q1370" s="17" t="s">
        <v>2295</v>
      </c>
      <c r="R1370" s="17" t="s">
        <v>249</v>
      </c>
      <c r="S1370" s="17"/>
      <c r="T1370" s="17"/>
      <c r="U1370" s="17"/>
    </row>
    <row r="1371" spans="17:21" x14ac:dyDescent="0.25">
      <c r="Q1371" s="17" t="s">
        <v>2296</v>
      </c>
      <c r="R1371" s="17" t="s">
        <v>249</v>
      </c>
      <c r="S1371" s="17"/>
      <c r="T1371" s="17"/>
      <c r="U1371" s="17"/>
    </row>
    <row r="1372" spans="17:21" x14ac:dyDescent="0.25">
      <c r="Q1372" s="17" t="s">
        <v>2297</v>
      </c>
      <c r="R1372" s="17" t="s">
        <v>249</v>
      </c>
      <c r="S1372" s="17"/>
      <c r="T1372" s="17"/>
      <c r="U1372" s="17"/>
    </row>
    <row r="1373" spans="17:21" x14ac:dyDescent="0.25">
      <c r="Q1373" s="17" t="s">
        <v>2298</v>
      </c>
      <c r="R1373" s="17" t="s">
        <v>249</v>
      </c>
      <c r="S1373" s="17"/>
      <c r="T1373" s="17"/>
      <c r="U1373" s="17"/>
    </row>
    <row r="1374" spans="17:21" x14ac:dyDescent="0.25">
      <c r="Q1374" s="17" t="s">
        <v>2299</v>
      </c>
      <c r="R1374" s="17" t="s">
        <v>249</v>
      </c>
      <c r="S1374" s="17"/>
      <c r="T1374" s="17"/>
      <c r="U1374" s="17"/>
    </row>
    <row r="1375" spans="17:21" x14ac:dyDescent="0.25">
      <c r="Q1375" s="17" t="s">
        <v>2300</v>
      </c>
      <c r="R1375" s="17" t="s">
        <v>86</v>
      </c>
      <c r="S1375" s="17"/>
      <c r="T1375" s="17"/>
      <c r="U1375" s="17"/>
    </row>
    <row r="1376" spans="17:21" x14ac:dyDescent="0.25">
      <c r="Q1376" s="17" t="s">
        <v>2301</v>
      </c>
      <c r="R1376" s="17" t="s">
        <v>1369</v>
      </c>
      <c r="S1376" s="17"/>
      <c r="T1376" s="17"/>
      <c r="U1376" s="17"/>
    </row>
    <row r="1377" spans="17:21" x14ac:dyDescent="0.25">
      <c r="Q1377" s="17" t="s">
        <v>2302</v>
      </c>
      <c r="R1377" s="17" t="s">
        <v>86</v>
      </c>
      <c r="S1377" s="17"/>
      <c r="T1377" s="17"/>
      <c r="U1377" s="17"/>
    </row>
    <row r="1378" spans="17:21" x14ac:dyDescent="0.25">
      <c r="Q1378" s="17" t="s">
        <v>2303</v>
      </c>
      <c r="R1378" s="17" t="s">
        <v>86</v>
      </c>
      <c r="S1378" s="17"/>
      <c r="T1378" s="17"/>
      <c r="U1378" s="17"/>
    </row>
    <row r="1379" spans="17:21" x14ac:dyDescent="0.25">
      <c r="Q1379" s="17" t="s">
        <v>2304</v>
      </c>
      <c r="R1379" s="17" t="s">
        <v>86</v>
      </c>
      <c r="S1379" s="17"/>
      <c r="T1379" s="17"/>
      <c r="U1379" s="17"/>
    </row>
    <row r="1380" spans="17:21" x14ac:dyDescent="0.25">
      <c r="Q1380" s="17" t="s">
        <v>2305</v>
      </c>
      <c r="R1380" s="17" t="s">
        <v>86</v>
      </c>
      <c r="S1380" s="17"/>
      <c r="T1380" s="17"/>
      <c r="U1380" s="17"/>
    </row>
    <row r="1381" spans="17:21" x14ac:dyDescent="0.25">
      <c r="Q1381" s="17" t="s">
        <v>2306</v>
      </c>
      <c r="R1381" s="17" t="s">
        <v>86</v>
      </c>
      <c r="S1381" s="17"/>
      <c r="T1381" s="17"/>
      <c r="U1381" s="17"/>
    </row>
    <row r="1382" spans="17:21" x14ac:dyDescent="0.25">
      <c r="Q1382" s="17" t="s">
        <v>2307</v>
      </c>
      <c r="R1382" s="17" t="s">
        <v>86</v>
      </c>
      <c r="S1382" s="17"/>
      <c r="T1382" s="17"/>
      <c r="U1382" s="17"/>
    </row>
    <row r="1383" spans="17:21" x14ac:dyDescent="0.25">
      <c r="Q1383" s="17" t="s">
        <v>2308</v>
      </c>
      <c r="R1383" s="17" t="s">
        <v>86</v>
      </c>
      <c r="S1383" s="17"/>
      <c r="T1383" s="17"/>
      <c r="U1383" s="17"/>
    </row>
    <row r="1384" spans="17:21" x14ac:dyDescent="0.25">
      <c r="Q1384" s="17" t="s">
        <v>2309</v>
      </c>
      <c r="R1384" s="17" t="s">
        <v>2239</v>
      </c>
      <c r="S1384" s="17"/>
      <c r="T1384" s="17"/>
      <c r="U1384" s="17"/>
    </row>
    <row r="1385" spans="17:21" x14ac:dyDescent="0.25">
      <c r="Q1385" s="17" t="s">
        <v>2310</v>
      </c>
      <c r="R1385" s="17" t="s">
        <v>2239</v>
      </c>
      <c r="S1385" s="17"/>
      <c r="T1385" s="17"/>
      <c r="U1385" s="17"/>
    </row>
    <row r="1386" spans="17:21" x14ac:dyDescent="0.25">
      <c r="Q1386" s="17" t="s">
        <v>2311</v>
      </c>
      <c r="R1386" s="17" t="s">
        <v>2239</v>
      </c>
      <c r="S1386" s="17"/>
      <c r="T1386" s="17"/>
      <c r="U1386" s="17"/>
    </row>
    <row r="1387" spans="17:21" x14ac:dyDescent="0.25">
      <c r="Q1387" s="17" t="s">
        <v>2312</v>
      </c>
      <c r="R1387" s="17" t="s">
        <v>2239</v>
      </c>
      <c r="S1387" s="17"/>
      <c r="T1387" s="17"/>
      <c r="U1387" s="17"/>
    </row>
    <row r="1388" spans="17:21" x14ac:dyDescent="0.25">
      <c r="Q1388" s="17" t="s">
        <v>2313</v>
      </c>
      <c r="R1388" s="17" t="s">
        <v>2239</v>
      </c>
      <c r="S1388" s="17"/>
      <c r="T1388" s="17"/>
      <c r="U1388" s="17"/>
    </row>
    <row r="1389" spans="17:21" x14ac:dyDescent="0.25">
      <c r="Q1389" s="17" t="s">
        <v>2314</v>
      </c>
      <c r="R1389" s="17" t="s">
        <v>2239</v>
      </c>
      <c r="S1389" s="17"/>
      <c r="T1389" s="17"/>
      <c r="U1389" s="17"/>
    </row>
    <row r="1390" spans="17:21" x14ac:dyDescent="0.25">
      <c r="Q1390" s="17" t="s">
        <v>2315</v>
      </c>
      <c r="R1390" s="17" t="s">
        <v>2239</v>
      </c>
      <c r="S1390" s="17"/>
      <c r="T1390" s="17"/>
      <c r="U1390" s="17"/>
    </row>
    <row r="1391" spans="17:21" x14ac:dyDescent="0.25">
      <c r="Q1391" s="17" t="s">
        <v>2316</v>
      </c>
      <c r="R1391" s="17" t="s">
        <v>2239</v>
      </c>
      <c r="S1391" s="17"/>
      <c r="T1391" s="17"/>
      <c r="U1391" s="17"/>
    </row>
    <row r="1392" spans="17:21" x14ac:dyDescent="0.25">
      <c r="Q1392" s="17" t="s">
        <v>2317</v>
      </c>
      <c r="R1392" s="17" t="s">
        <v>2239</v>
      </c>
      <c r="S1392" s="17"/>
      <c r="T1392" s="17"/>
      <c r="U1392" s="17"/>
    </row>
    <row r="1393" spans="17:21" x14ac:dyDescent="0.25">
      <c r="Q1393" s="17" t="s">
        <v>2318</v>
      </c>
      <c r="R1393" s="17" t="s">
        <v>2239</v>
      </c>
      <c r="S1393" s="17"/>
      <c r="T1393" s="17"/>
      <c r="U1393" s="17"/>
    </row>
    <row r="1394" spans="17:21" x14ac:dyDescent="0.25">
      <c r="Q1394" s="17" t="s">
        <v>2319</v>
      </c>
      <c r="R1394" s="17" t="s">
        <v>2239</v>
      </c>
      <c r="S1394" s="17"/>
      <c r="T1394" s="17"/>
      <c r="U1394" s="17"/>
    </row>
    <row r="1395" spans="17:21" x14ac:dyDescent="0.25">
      <c r="Q1395" s="17" t="s">
        <v>2320</v>
      </c>
      <c r="R1395" s="17" t="s">
        <v>86</v>
      </c>
      <c r="S1395" s="17"/>
      <c r="T1395" s="17"/>
      <c r="U1395" s="17"/>
    </row>
    <row r="1396" spans="17:21" x14ac:dyDescent="0.25">
      <c r="Q1396" s="17" t="s">
        <v>2321</v>
      </c>
      <c r="R1396" s="17" t="s">
        <v>86</v>
      </c>
      <c r="S1396" s="17"/>
      <c r="T1396" s="17"/>
      <c r="U1396" s="17"/>
    </row>
    <row r="1397" spans="17:21" x14ac:dyDescent="0.25">
      <c r="Q1397" s="17" t="s">
        <v>2322</v>
      </c>
      <c r="R1397" s="17" t="s">
        <v>86</v>
      </c>
      <c r="S1397" s="17"/>
      <c r="T1397" s="17"/>
      <c r="U1397" s="17"/>
    </row>
    <row r="1398" spans="17:21" x14ac:dyDescent="0.25">
      <c r="Q1398" s="17" t="s">
        <v>2323</v>
      </c>
      <c r="R1398" s="17" t="s">
        <v>86</v>
      </c>
      <c r="S1398" s="17"/>
      <c r="T1398" s="17"/>
      <c r="U1398" s="17"/>
    </row>
    <row r="1399" spans="17:21" x14ac:dyDescent="0.25">
      <c r="Q1399" s="17" t="s">
        <v>2324</v>
      </c>
      <c r="R1399" s="17" t="s">
        <v>86</v>
      </c>
      <c r="S1399" s="17"/>
      <c r="T1399" s="17"/>
      <c r="U1399" s="17"/>
    </row>
    <row r="1400" spans="17:21" x14ac:dyDescent="0.25">
      <c r="Q1400" s="17" t="s">
        <v>2325</v>
      </c>
      <c r="R1400" s="17" t="s">
        <v>86</v>
      </c>
      <c r="S1400" s="17"/>
      <c r="T1400" s="17"/>
      <c r="U1400" s="17"/>
    </row>
    <row r="1401" spans="17:21" x14ac:dyDescent="0.25">
      <c r="Q1401" s="17" t="s">
        <v>2326</v>
      </c>
      <c r="R1401" s="17" t="s">
        <v>86</v>
      </c>
      <c r="S1401" s="17"/>
      <c r="T1401" s="17"/>
      <c r="U1401" s="17"/>
    </row>
    <row r="1402" spans="17:21" x14ac:dyDescent="0.25">
      <c r="Q1402" s="17" t="s">
        <v>2327</v>
      </c>
      <c r="R1402" s="17" t="s">
        <v>86</v>
      </c>
      <c r="S1402" s="17"/>
      <c r="T1402" s="17"/>
      <c r="U1402" s="17"/>
    </row>
    <row r="1403" spans="17:21" x14ac:dyDescent="0.25">
      <c r="Q1403" s="17" t="s">
        <v>2328</v>
      </c>
      <c r="R1403" s="17" t="s">
        <v>2239</v>
      </c>
      <c r="S1403" s="17"/>
      <c r="T1403" s="17"/>
      <c r="U1403" s="17"/>
    </row>
    <row r="1404" spans="17:21" x14ac:dyDescent="0.25">
      <c r="Q1404" s="17" t="s">
        <v>2329</v>
      </c>
      <c r="R1404" s="17" t="s">
        <v>2239</v>
      </c>
      <c r="S1404" s="17"/>
      <c r="T1404" s="17"/>
      <c r="U1404" s="17"/>
    </row>
    <row r="1405" spans="17:21" x14ac:dyDescent="0.25">
      <c r="Q1405" s="17" t="s">
        <v>2330</v>
      </c>
      <c r="R1405" s="17" t="s">
        <v>2239</v>
      </c>
      <c r="S1405" s="17"/>
      <c r="T1405" s="17"/>
      <c r="U1405" s="17"/>
    </row>
    <row r="1406" spans="17:21" x14ac:dyDescent="0.25">
      <c r="Q1406" s="17" t="s">
        <v>2331</v>
      </c>
      <c r="R1406" s="17" t="s">
        <v>86</v>
      </c>
      <c r="S1406" s="17"/>
      <c r="T1406" s="17"/>
      <c r="U1406" s="17"/>
    </row>
    <row r="1407" spans="17:21" x14ac:dyDescent="0.25">
      <c r="Q1407" s="17" t="s">
        <v>2332</v>
      </c>
      <c r="R1407" s="17" t="s">
        <v>86</v>
      </c>
      <c r="S1407" s="17"/>
      <c r="T1407" s="17"/>
      <c r="U1407" s="17"/>
    </row>
    <row r="1408" spans="17:21" x14ac:dyDescent="0.25">
      <c r="Q1408" s="17" t="s">
        <v>2333</v>
      </c>
      <c r="R1408" s="17" t="s">
        <v>86</v>
      </c>
      <c r="S1408" s="17"/>
      <c r="T1408" s="17"/>
      <c r="U1408" s="17"/>
    </row>
    <row r="1409" spans="17:21" x14ac:dyDescent="0.25">
      <c r="Q1409" s="17" t="s">
        <v>2334</v>
      </c>
      <c r="R1409" s="17" t="s">
        <v>86</v>
      </c>
      <c r="S1409" s="17"/>
      <c r="T1409" s="17"/>
      <c r="U1409" s="17"/>
    </row>
    <row r="1410" spans="17:21" x14ac:dyDescent="0.25">
      <c r="Q1410" s="17" t="s">
        <v>2335</v>
      </c>
      <c r="R1410" s="17" t="s">
        <v>86</v>
      </c>
      <c r="S1410" s="17"/>
      <c r="T1410" s="17"/>
      <c r="U1410" s="17"/>
    </row>
    <row r="1411" spans="17:21" x14ac:dyDescent="0.25">
      <c r="Q1411" s="17" t="s">
        <v>2336</v>
      </c>
      <c r="R1411" s="17" t="s">
        <v>86</v>
      </c>
      <c r="S1411" s="17"/>
      <c r="T1411" s="17"/>
      <c r="U1411" s="17"/>
    </row>
    <row r="1412" spans="17:21" x14ac:dyDescent="0.25">
      <c r="Q1412" s="17" t="s">
        <v>2337</v>
      </c>
      <c r="R1412" s="17" t="s">
        <v>86</v>
      </c>
      <c r="S1412" s="17"/>
      <c r="T1412" s="17"/>
      <c r="U1412" s="17"/>
    </row>
    <row r="1413" spans="17:21" x14ac:dyDescent="0.25">
      <c r="Q1413" s="17" t="s">
        <v>2338</v>
      </c>
      <c r="R1413" s="17" t="s">
        <v>86</v>
      </c>
      <c r="S1413" s="17"/>
      <c r="T1413" s="17"/>
      <c r="U1413" s="17"/>
    </row>
    <row r="1414" spans="17:21" x14ac:dyDescent="0.25">
      <c r="Q1414" s="17" t="s">
        <v>2339</v>
      </c>
      <c r="R1414" s="17" t="s">
        <v>86</v>
      </c>
      <c r="S1414" s="17"/>
      <c r="T1414" s="17"/>
      <c r="U1414" s="17"/>
    </row>
    <row r="1415" spans="17:21" x14ac:dyDescent="0.25">
      <c r="Q1415" s="17" t="s">
        <v>2340</v>
      </c>
      <c r="R1415" s="17" t="s">
        <v>86</v>
      </c>
      <c r="S1415" s="17"/>
      <c r="T1415" s="17"/>
      <c r="U1415" s="17"/>
    </row>
    <row r="1416" spans="17:21" x14ac:dyDescent="0.25">
      <c r="Q1416" s="17" t="s">
        <v>2341</v>
      </c>
      <c r="R1416" s="17" t="s">
        <v>2239</v>
      </c>
      <c r="S1416" s="17"/>
      <c r="T1416" s="17"/>
      <c r="U1416" s="17"/>
    </row>
    <row r="1417" spans="17:21" x14ac:dyDescent="0.25">
      <c r="Q1417" s="17" t="s">
        <v>2342</v>
      </c>
      <c r="R1417" s="17" t="s">
        <v>2239</v>
      </c>
      <c r="S1417" s="17"/>
      <c r="T1417" s="17"/>
      <c r="U1417" s="17"/>
    </row>
    <row r="1418" spans="17:21" x14ac:dyDescent="0.25">
      <c r="Q1418" s="17" t="s">
        <v>2343</v>
      </c>
      <c r="R1418" s="17" t="s">
        <v>2239</v>
      </c>
      <c r="S1418" s="17"/>
      <c r="T1418" s="17"/>
      <c r="U1418" s="17"/>
    </row>
    <row r="1419" spans="17:21" x14ac:dyDescent="0.25">
      <c r="Q1419" s="17" t="s">
        <v>2344</v>
      </c>
      <c r="R1419" s="17" t="s">
        <v>2239</v>
      </c>
      <c r="S1419" s="17"/>
      <c r="T1419" s="17"/>
      <c r="U1419" s="17"/>
    </row>
    <row r="1420" spans="17:21" x14ac:dyDescent="0.25">
      <c r="Q1420" s="17" t="s">
        <v>2345</v>
      </c>
      <c r="R1420" s="17" t="s">
        <v>2239</v>
      </c>
      <c r="S1420" s="17"/>
      <c r="T1420" s="17"/>
      <c r="U1420" s="17"/>
    </row>
    <row r="1421" spans="17:21" x14ac:dyDescent="0.25">
      <c r="Q1421" s="17" t="s">
        <v>2346</v>
      </c>
      <c r="R1421" s="17" t="s">
        <v>2239</v>
      </c>
      <c r="S1421" s="17"/>
      <c r="T1421" s="17"/>
      <c r="U1421" s="17"/>
    </row>
    <row r="1422" spans="17:21" x14ac:dyDescent="0.25">
      <c r="Q1422" s="17" t="s">
        <v>2347</v>
      </c>
      <c r="R1422" s="17" t="s">
        <v>2239</v>
      </c>
      <c r="S1422" s="17"/>
      <c r="T1422" s="17"/>
      <c r="U1422" s="17"/>
    </row>
    <row r="1423" spans="17:21" x14ac:dyDescent="0.25">
      <c r="Q1423" s="17" t="s">
        <v>2348</v>
      </c>
      <c r="R1423" s="17" t="s">
        <v>2239</v>
      </c>
      <c r="S1423" s="17"/>
      <c r="T1423" s="17"/>
      <c r="U1423" s="17"/>
    </row>
    <row r="1424" spans="17:21" x14ac:dyDescent="0.25">
      <c r="Q1424" s="17" t="s">
        <v>2349</v>
      </c>
      <c r="R1424" s="17" t="s">
        <v>2239</v>
      </c>
      <c r="S1424" s="17"/>
      <c r="T1424" s="17"/>
      <c r="U1424" s="17"/>
    </row>
    <row r="1425" spans="17:21" x14ac:dyDescent="0.25">
      <c r="Q1425" s="17" t="s">
        <v>2350</v>
      </c>
      <c r="R1425" s="17" t="s">
        <v>2239</v>
      </c>
      <c r="S1425" s="17"/>
      <c r="T1425" s="17"/>
      <c r="U1425" s="17"/>
    </row>
    <row r="1426" spans="17:21" x14ac:dyDescent="0.25">
      <c r="Q1426" s="17" t="s">
        <v>2351</v>
      </c>
      <c r="R1426" s="17" t="s">
        <v>2239</v>
      </c>
      <c r="S1426" s="17"/>
      <c r="T1426" s="17"/>
      <c r="U1426" s="17"/>
    </row>
    <row r="1427" spans="17:21" x14ac:dyDescent="0.25">
      <c r="Q1427" s="17" t="s">
        <v>2352</v>
      </c>
      <c r="R1427" s="17" t="s">
        <v>2239</v>
      </c>
      <c r="S1427" s="17"/>
      <c r="T1427" s="17"/>
      <c r="U1427" s="17"/>
    </row>
    <row r="1428" spans="17:21" x14ac:dyDescent="0.25">
      <c r="Q1428" s="17" t="s">
        <v>2353</v>
      </c>
      <c r="R1428" s="17" t="s">
        <v>2239</v>
      </c>
      <c r="S1428" s="17"/>
      <c r="T1428" s="17"/>
      <c r="U1428" s="17"/>
    </row>
    <row r="1429" spans="17:21" x14ac:dyDescent="0.25">
      <c r="Q1429" s="17" t="s">
        <v>2354</v>
      </c>
      <c r="R1429" s="17" t="s">
        <v>2239</v>
      </c>
      <c r="S1429" s="17"/>
      <c r="T1429" s="17"/>
      <c r="U1429" s="17"/>
    </row>
    <row r="1430" spans="17:21" x14ac:dyDescent="0.25">
      <c r="Q1430" s="17" t="s">
        <v>2355</v>
      </c>
      <c r="R1430" s="17" t="s">
        <v>2239</v>
      </c>
      <c r="S1430" s="17"/>
      <c r="T1430" s="17"/>
      <c r="U1430" s="17"/>
    </row>
    <row r="1431" spans="17:21" x14ac:dyDescent="0.25">
      <c r="Q1431" s="17" t="s">
        <v>2356</v>
      </c>
      <c r="R1431" s="17" t="s">
        <v>2239</v>
      </c>
      <c r="S1431" s="17"/>
      <c r="T1431" s="17"/>
      <c r="U1431" s="17"/>
    </row>
    <row r="1432" spans="17:21" x14ac:dyDescent="0.25">
      <c r="Q1432" s="17" t="s">
        <v>2357</v>
      </c>
      <c r="R1432" s="17" t="s">
        <v>2239</v>
      </c>
      <c r="S1432" s="17"/>
      <c r="T1432" s="17"/>
      <c r="U1432" s="17"/>
    </row>
    <row r="1433" spans="17:21" x14ac:dyDescent="0.25">
      <c r="Q1433" s="17" t="s">
        <v>2358</v>
      </c>
      <c r="R1433" s="17" t="s">
        <v>2239</v>
      </c>
      <c r="S1433" s="17"/>
      <c r="T1433" s="17"/>
      <c r="U1433" s="17"/>
    </row>
    <row r="1434" spans="17:21" x14ac:dyDescent="0.25">
      <c r="Q1434" s="17" t="s">
        <v>2359</v>
      </c>
      <c r="R1434" s="17" t="s">
        <v>2360</v>
      </c>
      <c r="S1434" s="17"/>
      <c r="T1434" s="17"/>
      <c r="U1434" s="17"/>
    </row>
    <row r="1435" spans="17:21" x14ac:dyDescent="0.25">
      <c r="Q1435" s="17" t="s">
        <v>2361</v>
      </c>
      <c r="R1435" s="17" t="s">
        <v>2360</v>
      </c>
      <c r="S1435" s="17"/>
      <c r="T1435" s="17"/>
      <c r="U1435" s="17"/>
    </row>
    <row r="1436" spans="17:21" x14ac:dyDescent="0.25">
      <c r="Q1436" s="17" t="s">
        <v>2362</v>
      </c>
      <c r="R1436" s="17" t="s">
        <v>2239</v>
      </c>
      <c r="S1436" s="17"/>
      <c r="T1436" s="17"/>
      <c r="U1436" s="17"/>
    </row>
    <row r="1437" spans="17:21" x14ac:dyDescent="0.25">
      <c r="Q1437" s="17" t="s">
        <v>2363</v>
      </c>
      <c r="R1437" s="17" t="s">
        <v>2239</v>
      </c>
      <c r="S1437" s="17"/>
      <c r="T1437" s="17"/>
      <c r="U1437" s="17"/>
    </row>
    <row r="1438" spans="17:21" x14ac:dyDescent="0.25">
      <c r="Q1438" s="17" t="s">
        <v>2364</v>
      </c>
      <c r="R1438" s="17" t="s">
        <v>2239</v>
      </c>
      <c r="S1438" s="17"/>
      <c r="T1438" s="17"/>
      <c r="U1438" s="17"/>
    </row>
    <row r="1439" spans="17:21" x14ac:dyDescent="0.25">
      <c r="Q1439" s="17" t="s">
        <v>2365</v>
      </c>
      <c r="R1439" s="17" t="s">
        <v>2239</v>
      </c>
      <c r="S1439" s="17"/>
      <c r="T1439" s="17"/>
      <c r="U1439" s="17"/>
    </row>
    <row r="1440" spans="17:21" x14ac:dyDescent="0.25">
      <c r="Q1440" s="17" t="s">
        <v>2366</v>
      </c>
      <c r="R1440" s="17" t="s">
        <v>2239</v>
      </c>
      <c r="S1440" s="17"/>
      <c r="T1440" s="17"/>
      <c r="U1440" s="17"/>
    </row>
    <row r="1441" spans="17:21" x14ac:dyDescent="0.25">
      <c r="Q1441" s="17" t="s">
        <v>2367</v>
      </c>
      <c r="R1441" s="17" t="s">
        <v>86</v>
      </c>
      <c r="S1441" s="17"/>
      <c r="T1441" s="17"/>
      <c r="U1441" s="17"/>
    </row>
    <row r="1442" spans="17:21" x14ac:dyDescent="0.25">
      <c r="Q1442" s="17" t="s">
        <v>2368</v>
      </c>
      <c r="R1442" s="17" t="s">
        <v>86</v>
      </c>
      <c r="S1442" s="17"/>
      <c r="T1442" s="17"/>
      <c r="U1442" s="17"/>
    </row>
    <row r="1443" spans="17:21" x14ac:dyDescent="0.25">
      <c r="Q1443" s="17" t="s">
        <v>2369</v>
      </c>
      <c r="R1443" s="17" t="s">
        <v>86</v>
      </c>
      <c r="S1443" s="17"/>
      <c r="T1443" s="17"/>
      <c r="U1443" s="17"/>
    </row>
    <row r="1444" spans="17:21" x14ac:dyDescent="0.25">
      <c r="Q1444" s="17" t="s">
        <v>2370</v>
      </c>
      <c r="R1444" s="17" t="s">
        <v>86</v>
      </c>
      <c r="S1444" s="17"/>
      <c r="T1444" s="17"/>
      <c r="U1444" s="17"/>
    </row>
    <row r="1445" spans="17:21" x14ac:dyDescent="0.25">
      <c r="Q1445" s="17" t="s">
        <v>2371</v>
      </c>
      <c r="R1445" s="17" t="s">
        <v>86</v>
      </c>
      <c r="S1445" s="17"/>
      <c r="T1445" s="17"/>
      <c r="U1445" s="17"/>
    </row>
    <row r="1446" spans="17:21" x14ac:dyDescent="0.25">
      <c r="Q1446" s="17" t="s">
        <v>2372</v>
      </c>
      <c r="R1446" s="17" t="s">
        <v>86</v>
      </c>
      <c r="S1446" s="17"/>
      <c r="T1446" s="17"/>
      <c r="U1446" s="17"/>
    </row>
    <row r="1447" spans="17:21" x14ac:dyDescent="0.25">
      <c r="Q1447" s="17" t="s">
        <v>2373</v>
      </c>
      <c r="R1447" s="17" t="s">
        <v>86</v>
      </c>
      <c r="S1447" s="17"/>
      <c r="T1447" s="17"/>
      <c r="U1447" s="17"/>
    </row>
    <row r="1448" spans="17:21" x14ac:dyDescent="0.25">
      <c r="Q1448" s="17" t="s">
        <v>2374</v>
      </c>
      <c r="R1448" s="17" t="s">
        <v>86</v>
      </c>
      <c r="S1448" s="17"/>
      <c r="T1448" s="17"/>
      <c r="U1448" s="17"/>
    </row>
    <row r="1449" spans="17:21" x14ac:dyDescent="0.25">
      <c r="Q1449" s="17" t="s">
        <v>2375</v>
      </c>
      <c r="R1449" s="17" t="s">
        <v>86</v>
      </c>
      <c r="S1449" s="17"/>
      <c r="T1449" s="17"/>
      <c r="U1449" s="17"/>
    </row>
    <row r="1450" spans="17:21" x14ac:dyDescent="0.25">
      <c r="Q1450" s="17" t="s">
        <v>2376</v>
      </c>
      <c r="R1450" s="17" t="s">
        <v>86</v>
      </c>
      <c r="S1450" s="17"/>
      <c r="T1450" s="17"/>
      <c r="U1450" s="17"/>
    </row>
    <row r="1451" spans="17:21" x14ac:dyDescent="0.25">
      <c r="Q1451" s="17" t="s">
        <v>2377</v>
      </c>
      <c r="R1451" s="17" t="s">
        <v>86</v>
      </c>
      <c r="S1451" s="17"/>
      <c r="T1451" s="17"/>
      <c r="U1451" s="17"/>
    </row>
    <row r="1452" spans="17:21" x14ac:dyDescent="0.25">
      <c r="Q1452" s="17" t="s">
        <v>2378</v>
      </c>
      <c r="R1452" s="17" t="s">
        <v>86</v>
      </c>
      <c r="S1452" s="17"/>
      <c r="T1452" s="17"/>
      <c r="U1452" s="17"/>
    </row>
    <row r="1453" spans="17:21" x14ac:dyDescent="0.25">
      <c r="Q1453" s="17" t="s">
        <v>2379</v>
      </c>
      <c r="R1453" s="17" t="s">
        <v>86</v>
      </c>
      <c r="S1453" s="17"/>
      <c r="T1453" s="17"/>
      <c r="U1453" s="17"/>
    </row>
    <row r="1454" spans="17:21" x14ac:dyDescent="0.25">
      <c r="Q1454" s="17" t="s">
        <v>2380</v>
      </c>
      <c r="R1454" s="17" t="s">
        <v>86</v>
      </c>
      <c r="S1454" s="17"/>
      <c r="T1454" s="17"/>
      <c r="U1454" s="17"/>
    </row>
    <row r="1455" spans="17:21" x14ac:dyDescent="0.25">
      <c r="Q1455" s="17" t="s">
        <v>2381</v>
      </c>
      <c r="R1455" s="17" t="s">
        <v>86</v>
      </c>
      <c r="S1455" s="17"/>
      <c r="T1455" s="17"/>
      <c r="U1455" s="17"/>
    </row>
    <row r="1456" spans="17:21" x14ac:dyDescent="0.25">
      <c r="Q1456" s="17" t="s">
        <v>2382</v>
      </c>
      <c r="R1456" s="17" t="s">
        <v>86</v>
      </c>
      <c r="S1456" s="17"/>
      <c r="T1456" s="17"/>
      <c r="U1456" s="17"/>
    </row>
    <row r="1457" spans="17:21" x14ac:dyDescent="0.25">
      <c r="Q1457" s="17" t="s">
        <v>2383</v>
      </c>
      <c r="R1457" s="17" t="s">
        <v>86</v>
      </c>
      <c r="S1457" s="17"/>
      <c r="T1457" s="17"/>
      <c r="U1457" s="17"/>
    </row>
    <row r="1458" spans="17:21" x14ac:dyDescent="0.25">
      <c r="Q1458" s="17" t="s">
        <v>2384</v>
      </c>
      <c r="R1458" s="17" t="s">
        <v>86</v>
      </c>
      <c r="S1458" s="17"/>
      <c r="T1458" s="17"/>
      <c r="U1458" s="17"/>
    </row>
    <row r="1459" spans="17:21" x14ac:dyDescent="0.25">
      <c r="Q1459" s="17" t="s">
        <v>2385</v>
      </c>
      <c r="R1459" s="17" t="s">
        <v>86</v>
      </c>
      <c r="S1459" s="17"/>
      <c r="T1459" s="17"/>
      <c r="U1459" s="17"/>
    </row>
    <row r="1460" spans="17:21" x14ac:dyDescent="0.25">
      <c r="Q1460" s="17" t="s">
        <v>2386</v>
      </c>
      <c r="R1460" s="17" t="s">
        <v>86</v>
      </c>
      <c r="S1460" s="17"/>
      <c r="T1460" s="17"/>
      <c r="U1460" s="17"/>
    </row>
    <row r="1461" spans="17:21" x14ac:dyDescent="0.25">
      <c r="Q1461" s="17" t="s">
        <v>2387</v>
      </c>
      <c r="R1461" s="17" t="s">
        <v>1369</v>
      </c>
      <c r="S1461" s="17"/>
      <c r="T1461" s="17"/>
      <c r="U1461" s="17"/>
    </row>
    <row r="1462" spans="17:21" x14ac:dyDescent="0.25">
      <c r="Q1462" s="17" t="s">
        <v>2388</v>
      </c>
      <c r="R1462" s="17" t="s">
        <v>1369</v>
      </c>
      <c r="S1462" s="17"/>
      <c r="T1462" s="17"/>
      <c r="U1462" s="17"/>
    </row>
    <row r="1463" spans="17:21" x14ac:dyDescent="0.25">
      <c r="Q1463" s="17" t="s">
        <v>2389</v>
      </c>
      <c r="R1463" s="17" t="s">
        <v>1369</v>
      </c>
      <c r="S1463" s="17"/>
      <c r="T1463" s="17"/>
      <c r="U1463" s="17"/>
    </row>
    <row r="1464" spans="17:21" x14ac:dyDescent="0.25">
      <c r="Q1464" s="17" t="s">
        <v>2390</v>
      </c>
      <c r="R1464" s="17" t="s">
        <v>1369</v>
      </c>
      <c r="S1464" s="17"/>
      <c r="T1464" s="17"/>
      <c r="U1464" s="17"/>
    </row>
    <row r="1465" spans="17:21" x14ac:dyDescent="0.25">
      <c r="Q1465" s="17" t="s">
        <v>2391</v>
      </c>
      <c r="R1465" s="17" t="s">
        <v>1369</v>
      </c>
      <c r="S1465" s="17"/>
      <c r="T1465" s="17"/>
      <c r="U1465" s="17"/>
    </row>
    <row r="1466" spans="17:21" x14ac:dyDescent="0.25">
      <c r="Q1466" s="17" t="s">
        <v>2392</v>
      </c>
      <c r="R1466" s="17" t="s">
        <v>1369</v>
      </c>
      <c r="S1466" s="17"/>
      <c r="T1466" s="17"/>
      <c r="U1466" s="17"/>
    </row>
    <row r="1467" spans="17:21" x14ac:dyDescent="0.25">
      <c r="Q1467" s="17" t="s">
        <v>2393</v>
      </c>
      <c r="R1467" s="17" t="s">
        <v>1369</v>
      </c>
      <c r="S1467" s="17"/>
      <c r="T1467" s="17"/>
      <c r="U1467" s="17"/>
    </row>
    <row r="1468" spans="17:21" x14ac:dyDescent="0.25">
      <c r="Q1468" s="17" t="s">
        <v>2394</v>
      </c>
      <c r="R1468" s="17" t="s">
        <v>1369</v>
      </c>
      <c r="S1468" s="17"/>
      <c r="T1468" s="17"/>
      <c r="U1468" s="17"/>
    </row>
    <row r="1469" spans="17:21" x14ac:dyDescent="0.25">
      <c r="Q1469" s="17" t="s">
        <v>2395</v>
      </c>
      <c r="R1469" s="17" t="s">
        <v>1369</v>
      </c>
      <c r="S1469" s="17"/>
      <c r="T1469" s="17"/>
      <c r="U1469" s="17"/>
    </row>
    <row r="1470" spans="17:21" x14ac:dyDescent="0.25">
      <c r="Q1470" s="17" t="s">
        <v>2396</v>
      </c>
      <c r="R1470" s="17" t="s">
        <v>1369</v>
      </c>
      <c r="S1470" s="17"/>
      <c r="T1470" s="17"/>
      <c r="U1470" s="17"/>
    </row>
    <row r="1471" spans="17:21" x14ac:dyDescent="0.25">
      <c r="Q1471" s="17" t="s">
        <v>2397</v>
      </c>
      <c r="R1471" s="17" t="s">
        <v>1369</v>
      </c>
      <c r="S1471" s="17"/>
      <c r="T1471" s="17"/>
      <c r="U1471" s="17"/>
    </row>
    <row r="1472" spans="17:21" x14ac:dyDescent="0.25">
      <c r="Q1472" s="17" t="s">
        <v>2398</v>
      </c>
      <c r="R1472" s="17" t="s">
        <v>1369</v>
      </c>
      <c r="S1472" s="17"/>
      <c r="T1472" s="17"/>
      <c r="U1472" s="17"/>
    </row>
    <row r="1473" spans="17:21" x14ac:dyDescent="0.25">
      <c r="Q1473" s="17" t="s">
        <v>2399</v>
      </c>
      <c r="R1473" s="17" t="s">
        <v>1369</v>
      </c>
      <c r="S1473" s="17"/>
      <c r="T1473" s="17"/>
      <c r="U1473" s="17"/>
    </row>
    <row r="1474" spans="17:21" x14ac:dyDescent="0.25">
      <c r="Q1474" s="17" t="s">
        <v>2400</v>
      </c>
      <c r="R1474" s="17" t="s">
        <v>1369</v>
      </c>
      <c r="S1474" s="17"/>
      <c r="T1474" s="17"/>
      <c r="U1474" s="17"/>
    </row>
    <row r="1475" spans="17:21" x14ac:dyDescent="0.25">
      <c r="Q1475" s="17" t="s">
        <v>2401</v>
      </c>
      <c r="R1475" s="17" t="s">
        <v>1369</v>
      </c>
      <c r="S1475" s="17"/>
      <c r="T1475" s="17"/>
      <c r="U1475" s="17"/>
    </row>
    <row r="1476" spans="17:21" x14ac:dyDescent="0.25">
      <c r="Q1476" s="17" t="s">
        <v>2402</v>
      </c>
      <c r="R1476" s="17" t="s">
        <v>1369</v>
      </c>
      <c r="S1476" s="17"/>
      <c r="T1476" s="17"/>
      <c r="U1476" s="17"/>
    </row>
    <row r="1477" spans="17:21" x14ac:dyDescent="0.25">
      <c r="Q1477" s="17" t="s">
        <v>2403</v>
      </c>
      <c r="R1477" s="17" t="s">
        <v>1369</v>
      </c>
      <c r="S1477" s="17"/>
      <c r="T1477" s="17"/>
      <c r="U1477" s="17"/>
    </row>
    <row r="1478" spans="17:21" x14ac:dyDescent="0.25">
      <c r="Q1478" s="17" t="s">
        <v>2404</v>
      </c>
      <c r="R1478" s="17" t="s">
        <v>1369</v>
      </c>
      <c r="S1478" s="17"/>
      <c r="T1478" s="17"/>
      <c r="U1478" s="17"/>
    </row>
    <row r="1479" spans="17:21" x14ac:dyDescent="0.25">
      <c r="Q1479" s="17" t="s">
        <v>2405</v>
      </c>
      <c r="R1479" s="17" t="s">
        <v>1369</v>
      </c>
      <c r="S1479" s="17"/>
      <c r="T1479" s="17"/>
      <c r="U1479" s="17"/>
    </row>
    <row r="1480" spans="17:21" x14ac:dyDescent="0.25">
      <c r="Q1480" s="17" t="s">
        <v>2406</v>
      </c>
      <c r="R1480" s="17" t="s">
        <v>1369</v>
      </c>
      <c r="S1480" s="17"/>
      <c r="T1480" s="17"/>
      <c r="U1480" s="17"/>
    </row>
    <row r="1481" spans="17:21" x14ac:dyDescent="0.25">
      <c r="Q1481" s="17" t="s">
        <v>2407</v>
      </c>
      <c r="R1481" s="17" t="s">
        <v>1369</v>
      </c>
      <c r="S1481" s="17"/>
      <c r="T1481" s="17"/>
      <c r="U1481" s="17"/>
    </row>
    <row r="1482" spans="17:21" x14ac:dyDescent="0.25">
      <c r="Q1482" s="17" t="s">
        <v>2408</v>
      </c>
      <c r="R1482" s="17" t="s">
        <v>1369</v>
      </c>
      <c r="S1482" s="17"/>
      <c r="T1482" s="17"/>
      <c r="U1482" s="17"/>
    </row>
    <row r="1483" spans="17:21" x14ac:dyDescent="0.25">
      <c r="Q1483" s="17" t="s">
        <v>2409</v>
      </c>
      <c r="R1483" s="17" t="s">
        <v>1369</v>
      </c>
      <c r="S1483" s="17"/>
      <c r="T1483" s="17"/>
      <c r="U1483" s="17"/>
    </row>
    <row r="1484" spans="17:21" x14ac:dyDescent="0.25">
      <c r="Q1484" s="17" t="s">
        <v>2410</v>
      </c>
      <c r="R1484" s="17" t="s">
        <v>1369</v>
      </c>
      <c r="S1484" s="17"/>
      <c r="T1484" s="17"/>
      <c r="U1484" s="17"/>
    </row>
    <row r="1485" spans="17:21" x14ac:dyDescent="0.25">
      <c r="Q1485" s="17" t="s">
        <v>2411</v>
      </c>
      <c r="R1485" s="17" t="s">
        <v>1369</v>
      </c>
      <c r="S1485" s="17"/>
      <c r="T1485" s="17"/>
      <c r="U1485" s="17"/>
    </row>
    <row r="1486" spans="17:21" x14ac:dyDescent="0.25">
      <c r="Q1486" s="17" t="s">
        <v>2412</v>
      </c>
      <c r="R1486" s="17" t="s">
        <v>1369</v>
      </c>
      <c r="S1486" s="17"/>
      <c r="T1486" s="17"/>
      <c r="U1486" s="17"/>
    </row>
    <row r="1487" spans="17:21" x14ac:dyDescent="0.25">
      <c r="Q1487" s="17" t="s">
        <v>2413</v>
      </c>
      <c r="R1487" s="17" t="s">
        <v>1369</v>
      </c>
      <c r="S1487" s="17"/>
      <c r="T1487" s="17"/>
      <c r="U1487" s="17"/>
    </row>
    <row r="1488" spans="17:21" x14ac:dyDescent="0.25">
      <c r="Q1488" s="17" t="s">
        <v>2414</v>
      </c>
      <c r="R1488" s="17" t="s">
        <v>1369</v>
      </c>
      <c r="S1488" s="17"/>
      <c r="T1488" s="17"/>
      <c r="U1488" s="17"/>
    </row>
    <row r="1489" spans="17:21" x14ac:dyDescent="0.25">
      <c r="Q1489" s="17" t="s">
        <v>2415</v>
      </c>
      <c r="R1489" s="17" t="s">
        <v>1369</v>
      </c>
      <c r="S1489" s="17"/>
      <c r="T1489" s="17"/>
      <c r="U1489" s="17"/>
    </row>
    <row r="1490" spans="17:21" x14ac:dyDescent="0.25">
      <c r="Q1490" s="17" t="s">
        <v>2416</v>
      </c>
      <c r="R1490" s="17" t="s">
        <v>1369</v>
      </c>
      <c r="S1490" s="17"/>
      <c r="T1490" s="17"/>
      <c r="U1490" s="17"/>
    </row>
    <row r="1491" spans="17:21" x14ac:dyDescent="0.25">
      <c r="Q1491" s="17" t="s">
        <v>2417</v>
      </c>
      <c r="R1491" s="17" t="s">
        <v>1369</v>
      </c>
      <c r="S1491" s="17"/>
      <c r="T1491" s="17"/>
      <c r="U1491" s="17"/>
    </row>
    <row r="1492" spans="17:21" x14ac:dyDescent="0.25">
      <c r="Q1492" s="17" t="s">
        <v>2418</v>
      </c>
      <c r="R1492" s="17" t="s">
        <v>1369</v>
      </c>
      <c r="S1492" s="17"/>
      <c r="T1492" s="17"/>
      <c r="U1492" s="17"/>
    </row>
    <row r="1493" spans="17:21" x14ac:dyDescent="0.25">
      <c r="Q1493" s="17" t="s">
        <v>2419</v>
      </c>
      <c r="R1493" s="17" t="s">
        <v>1369</v>
      </c>
      <c r="S1493" s="17"/>
      <c r="T1493" s="17"/>
      <c r="U1493" s="17"/>
    </row>
    <row r="1494" spans="17:21" x14ac:dyDescent="0.25">
      <c r="Q1494" s="17" t="s">
        <v>2420</v>
      </c>
      <c r="R1494" s="17" t="s">
        <v>1369</v>
      </c>
      <c r="S1494" s="17"/>
      <c r="T1494" s="17"/>
      <c r="U1494" s="17"/>
    </row>
    <row r="1495" spans="17:21" x14ac:dyDescent="0.25">
      <c r="Q1495" s="17" t="s">
        <v>2421</v>
      </c>
      <c r="R1495" s="17" t="s">
        <v>1369</v>
      </c>
      <c r="S1495" s="17"/>
      <c r="T1495" s="17"/>
      <c r="U1495" s="17"/>
    </row>
    <row r="1496" spans="17:21" x14ac:dyDescent="0.25">
      <c r="Q1496" s="17" t="s">
        <v>2422</v>
      </c>
      <c r="R1496" s="17" t="s">
        <v>1369</v>
      </c>
      <c r="S1496" s="17"/>
      <c r="T1496" s="17"/>
      <c r="U1496" s="17"/>
    </row>
    <row r="1497" spans="17:21" x14ac:dyDescent="0.25">
      <c r="Q1497" s="17" t="s">
        <v>2423</v>
      </c>
      <c r="R1497" s="17" t="s">
        <v>1369</v>
      </c>
      <c r="S1497" s="17"/>
      <c r="T1497" s="17"/>
      <c r="U1497" s="17"/>
    </row>
    <row r="1498" spans="17:21" x14ac:dyDescent="0.25">
      <c r="Q1498" s="17" t="s">
        <v>2424</v>
      </c>
      <c r="R1498" s="17" t="s">
        <v>1369</v>
      </c>
      <c r="S1498" s="17"/>
      <c r="T1498" s="17"/>
      <c r="U1498" s="17"/>
    </row>
    <row r="1499" spans="17:21" x14ac:dyDescent="0.25">
      <c r="Q1499" s="17" t="s">
        <v>2425</v>
      </c>
      <c r="R1499" s="17" t="s">
        <v>1369</v>
      </c>
      <c r="S1499" s="17"/>
      <c r="T1499" s="17"/>
      <c r="U1499" s="17"/>
    </row>
    <row r="1500" spans="17:21" x14ac:dyDescent="0.25">
      <c r="Q1500" s="17" t="s">
        <v>2426</v>
      </c>
      <c r="R1500" s="17" t="s">
        <v>1369</v>
      </c>
      <c r="S1500" s="17"/>
      <c r="T1500" s="17"/>
      <c r="U1500" s="17"/>
    </row>
    <row r="1501" spans="17:21" x14ac:dyDescent="0.25">
      <c r="Q1501" s="17" t="s">
        <v>2427</v>
      </c>
      <c r="R1501" s="17" t="s">
        <v>253</v>
      </c>
      <c r="S1501" s="17"/>
      <c r="T1501" s="17"/>
      <c r="U1501" s="17"/>
    </row>
    <row r="1502" spans="17:21" x14ac:dyDescent="0.25">
      <c r="Q1502" s="17" t="s">
        <v>2428</v>
      </c>
      <c r="R1502" s="17" t="s">
        <v>253</v>
      </c>
      <c r="S1502" s="17"/>
      <c r="T1502" s="17"/>
      <c r="U1502" s="17"/>
    </row>
    <row r="1503" spans="17:21" x14ac:dyDescent="0.25">
      <c r="Q1503" s="17" t="s">
        <v>2429</v>
      </c>
      <c r="R1503" s="17" t="s">
        <v>253</v>
      </c>
      <c r="S1503" s="17"/>
      <c r="T1503" s="17"/>
      <c r="U1503" s="17"/>
    </row>
    <row r="1504" spans="17:21" x14ac:dyDescent="0.25">
      <c r="Q1504" s="17" t="s">
        <v>2430</v>
      </c>
      <c r="R1504" s="17" t="s">
        <v>253</v>
      </c>
      <c r="S1504" s="17"/>
      <c r="T1504" s="17"/>
      <c r="U1504" s="17"/>
    </row>
    <row r="1505" spans="17:21" x14ac:dyDescent="0.25">
      <c r="Q1505" s="17" t="s">
        <v>2431</v>
      </c>
      <c r="R1505" s="17" t="s">
        <v>1369</v>
      </c>
      <c r="S1505" s="17"/>
      <c r="T1505" s="17"/>
      <c r="U1505" s="17"/>
    </row>
    <row r="1506" spans="17:21" x14ac:dyDescent="0.25">
      <c r="Q1506" s="17" t="s">
        <v>2432</v>
      </c>
      <c r="R1506" s="17" t="s">
        <v>1369</v>
      </c>
      <c r="S1506" s="17"/>
      <c r="T1506" s="17"/>
      <c r="U1506" s="17"/>
    </row>
    <row r="1507" spans="17:21" x14ac:dyDescent="0.25">
      <c r="Q1507" s="17" t="s">
        <v>2433</v>
      </c>
      <c r="R1507" s="17" t="s">
        <v>1369</v>
      </c>
      <c r="S1507" s="17"/>
      <c r="T1507" s="17"/>
      <c r="U1507" s="17"/>
    </row>
    <row r="1508" spans="17:21" x14ac:dyDescent="0.25">
      <c r="Q1508" s="17" t="s">
        <v>2434</v>
      </c>
      <c r="R1508" s="17" t="s">
        <v>1369</v>
      </c>
      <c r="S1508" s="17"/>
      <c r="T1508" s="17"/>
      <c r="U1508" s="17"/>
    </row>
    <row r="1509" spans="17:21" x14ac:dyDescent="0.25">
      <c r="Q1509" s="17" t="s">
        <v>2435</v>
      </c>
      <c r="R1509" s="17" t="s">
        <v>1369</v>
      </c>
      <c r="S1509" s="17"/>
      <c r="T1509" s="17"/>
      <c r="U1509" s="17"/>
    </row>
    <row r="1510" spans="17:21" x14ac:dyDescent="0.25">
      <c r="Q1510" s="17" t="s">
        <v>2436</v>
      </c>
      <c r="R1510" s="17" t="s">
        <v>1369</v>
      </c>
      <c r="S1510" s="17"/>
      <c r="T1510" s="17"/>
      <c r="U1510" s="17"/>
    </row>
    <row r="1511" spans="17:21" x14ac:dyDescent="0.25">
      <c r="Q1511" s="17" t="s">
        <v>2437</v>
      </c>
      <c r="R1511" s="17" t="s">
        <v>1369</v>
      </c>
      <c r="S1511" s="17"/>
      <c r="T1511" s="17"/>
      <c r="U1511" s="17"/>
    </row>
    <row r="1512" spans="17:21" x14ac:dyDescent="0.25">
      <c r="Q1512" s="17" t="s">
        <v>2438</v>
      </c>
      <c r="R1512" s="17" t="s">
        <v>1369</v>
      </c>
      <c r="S1512" s="17"/>
      <c r="T1512" s="17"/>
      <c r="U1512" s="17"/>
    </row>
    <row r="1513" spans="17:21" x14ac:dyDescent="0.25">
      <c r="Q1513" s="17" t="s">
        <v>2439</v>
      </c>
      <c r="R1513" s="17" t="s">
        <v>1369</v>
      </c>
      <c r="S1513" s="17"/>
      <c r="T1513" s="17"/>
      <c r="U1513" s="17"/>
    </row>
    <row r="1514" spans="17:21" x14ac:dyDescent="0.25">
      <c r="Q1514" s="17" t="s">
        <v>2440</v>
      </c>
      <c r="R1514" s="17" t="s">
        <v>269</v>
      </c>
      <c r="S1514" s="17"/>
      <c r="T1514" s="17"/>
      <c r="U1514" s="17"/>
    </row>
    <row r="1515" spans="17:21" x14ac:dyDescent="0.25">
      <c r="Q1515" s="17" t="s">
        <v>2441</v>
      </c>
      <c r="R1515" s="17" t="s">
        <v>1369</v>
      </c>
      <c r="S1515" s="17"/>
      <c r="T1515" s="17"/>
      <c r="U1515" s="17"/>
    </row>
    <row r="1516" spans="17:21" x14ac:dyDescent="0.25">
      <c r="Q1516" s="17" t="s">
        <v>2442</v>
      </c>
      <c r="R1516" s="17" t="s">
        <v>1369</v>
      </c>
      <c r="S1516" s="17"/>
      <c r="T1516" s="17"/>
      <c r="U1516" s="17"/>
    </row>
    <row r="1517" spans="17:21" x14ac:dyDescent="0.25">
      <c r="Q1517" s="17" t="s">
        <v>2443</v>
      </c>
      <c r="R1517" s="17" t="s">
        <v>1369</v>
      </c>
      <c r="S1517" s="17"/>
      <c r="T1517" s="17"/>
      <c r="U1517" s="17"/>
    </row>
    <row r="1518" spans="17:21" x14ac:dyDescent="0.25">
      <c r="Q1518" s="17" t="s">
        <v>2444</v>
      </c>
      <c r="R1518" s="17" t="s">
        <v>1369</v>
      </c>
      <c r="S1518" s="17"/>
      <c r="T1518" s="17"/>
      <c r="U1518" s="17"/>
    </row>
    <row r="1519" spans="17:21" x14ac:dyDescent="0.25">
      <c r="Q1519" s="17" t="s">
        <v>2445</v>
      </c>
      <c r="R1519" s="17" t="s">
        <v>1369</v>
      </c>
      <c r="S1519" s="17"/>
      <c r="T1519" s="17"/>
      <c r="U1519" s="17"/>
    </row>
    <row r="1520" spans="17:21" x14ac:dyDescent="0.25">
      <c r="Q1520" s="17" t="s">
        <v>2446</v>
      </c>
      <c r="R1520" s="17" t="s">
        <v>1369</v>
      </c>
      <c r="S1520" s="17"/>
      <c r="T1520" s="17"/>
      <c r="U1520" s="17"/>
    </row>
    <row r="1521" spans="17:21" x14ac:dyDescent="0.25">
      <c r="Q1521" s="17" t="s">
        <v>2447</v>
      </c>
      <c r="R1521" s="17" t="s">
        <v>1369</v>
      </c>
      <c r="S1521" s="17"/>
      <c r="T1521" s="17"/>
      <c r="U1521" s="17"/>
    </row>
    <row r="1522" spans="17:21" x14ac:dyDescent="0.25">
      <c r="Q1522" s="17" t="s">
        <v>2448</v>
      </c>
      <c r="R1522" s="17" t="s">
        <v>1369</v>
      </c>
      <c r="S1522" s="17"/>
      <c r="T1522" s="17"/>
      <c r="U1522" s="17"/>
    </row>
    <row r="1523" spans="17:21" x14ac:dyDescent="0.25">
      <c r="Q1523" s="17" t="s">
        <v>2449</v>
      </c>
      <c r="R1523" s="17" t="s">
        <v>1369</v>
      </c>
      <c r="S1523" s="17"/>
      <c r="T1523" s="17"/>
      <c r="U1523" s="17"/>
    </row>
    <row r="1524" spans="17:21" x14ac:dyDescent="0.25">
      <c r="Q1524" s="17" t="s">
        <v>2450</v>
      </c>
      <c r="R1524" s="17" t="s">
        <v>1369</v>
      </c>
      <c r="S1524" s="17"/>
      <c r="T1524" s="17"/>
      <c r="U1524" s="17"/>
    </row>
    <row r="1525" spans="17:21" x14ac:dyDescent="0.25">
      <c r="Q1525" s="17" t="s">
        <v>2451</v>
      </c>
      <c r="R1525" s="17" t="s">
        <v>1369</v>
      </c>
      <c r="S1525" s="17"/>
      <c r="T1525" s="17"/>
      <c r="U1525" s="17"/>
    </row>
    <row r="1526" spans="17:21" x14ac:dyDescent="0.25">
      <c r="Q1526" s="17" t="s">
        <v>2452</v>
      </c>
      <c r="R1526" s="17" t="s">
        <v>1369</v>
      </c>
      <c r="S1526" s="17"/>
      <c r="T1526" s="17"/>
      <c r="U1526" s="17"/>
    </row>
    <row r="1527" spans="17:21" x14ac:dyDescent="0.25">
      <c r="Q1527" s="17" t="s">
        <v>2453</v>
      </c>
      <c r="R1527" s="17" t="s">
        <v>267</v>
      </c>
      <c r="S1527" s="17"/>
      <c r="T1527" s="17"/>
      <c r="U1527" s="17"/>
    </row>
    <row r="1528" spans="17:21" x14ac:dyDescent="0.25">
      <c r="Q1528" s="17" t="s">
        <v>2454</v>
      </c>
      <c r="R1528" s="17" t="s">
        <v>267</v>
      </c>
      <c r="S1528" s="17"/>
      <c r="T1528" s="17"/>
      <c r="U1528" s="17"/>
    </row>
    <row r="1529" spans="17:21" x14ac:dyDescent="0.25">
      <c r="Q1529" s="17" t="s">
        <v>745</v>
      </c>
      <c r="R1529" s="17" t="s">
        <v>267</v>
      </c>
      <c r="S1529" s="17"/>
      <c r="T1529" s="17"/>
      <c r="U1529" s="17"/>
    </row>
    <row r="1530" spans="17:21" x14ac:dyDescent="0.25">
      <c r="Q1530" s="17" t="s">
        <v>2455</v>
      </c>
      <c r="R1530" s="17" t="s">
        <v>267</v>
      </c>
      <c r="S1530" s="17"/>
      <c r="T1530" s="17"/>
      <c r="U1530" s="17"/>
    </row>
    <row r="1531" spans="17:21" x14ac:dyDescent="0.25">
      <c r="Q1531" s="17" t="s">
        <v>1092</v>
      </c>
      <c r="R1531" s="17" t="s">
        <v>267</v>
      </c>
      <c r="S1531" s="17"/>
      <c r="T1531" s="17"/>
      <c r="U1531" s="17"/>
    </row>
    <row r="1532" spans="17:21" x14ac:dyDescent="0.25">
      <c r="Q1532" s="17" t="s">
        <v>1282</v>
      </c>
      <c r="R1532" s="17" t="s">
        <v>267</v>
      </c>
      <c r="S1532" s="17"/>
      <c r="T1532" s="17"/>
      <c r="U1532" s="17"/>
    </row>
    <row r="1533" spans="17:21" x14ac:dyDescent="0.25">
      <c r="Q1533" s="17" t="s">
        <v>2456</v>
      </c>
      <c r="R1533" s="17" t="s">
        <v>267</v>
      </c>
      <c r="S1533" s="17"/>
      <c r="T1533" s="17"/>
      <c r="U1533" s="17"/>
    </row>
    <row r="1534" spans="17:21" x14ac:dyDescent="0.25">
      <c r="Q1534" s="17" t="s">
        <v>2457</v>
      </c>
      <c r="R1534" s="17" t="s">
        <v>191</v>
      </c>
      <c r="S1534" s="17"/>
      <c r="T1534" s="17"/>
      <c r="U1534" s="17"/>
    </row>
    <row r="1535" spans="17:21" x14ac:dyDescent="0.25">
      <c r="Q1535" s="17" t="s">
        <v>764</v>
      </c>
      <c r="R1535" s="17" t="s">
        <v>191</v>
      </c>
      <c r="S1535" s="17"/>
      <c r="T1535" s="17"/>
      <c r="U1535" s="17"/>
    </row>
    <row r="1536" spans="17:21" x14ac:dyDescent="0.25">
      <c r="Q1536" s="17" t="s">
        <v>550</v>
      </c>
      <c r="R1536" s="17" t="s">
        <v>191</v>
      </c>
      <c r="S1536" s="17"/>
      <c r="T1536" s="17"/>
      <c r="U1536" s="17"/>
    </row>
    <row r="1537" spans="17:21" x14ac:dyDescent="0.25">
      <c r="Q1537" s="17" t="s">
        <v>563</v>
      </c>
      <c r="R1537" s="17" t="s">
        <v>295</v>
      </c>
      <c r="S1537" s="17"/>
      <c r="T1537" s="17"/>
      <c r="U1537" s="17"/>
    </row>
    <row r="1538" spans="17:21" x14ac:dyDescent="0.25">
      <c r="Q1538" s="17" t="s">
        <v>2458</v>
      </c>
      <c r="R1538" s="17" t="s">
        <v>295</v>
      </c>
      <c r="S1538" s="17"/>
      <c r="T1538" s="17"/>
      <c r="U1538" s="17"/>
    </row>
    <row r="1539" spans="17:21" x14ac:dyDescent="0.25">
      <c r="Q1539" s="17" t="s">
        <v>2459</v>
      </c>
      <c r="R1539" s="17" t="s">
        <v>191</v>
      </c>
      <c r="S1539" s="17"/>
      <c r="T1539" s="17"/>
      <c r="U1539" s="17"/>
    </row>
    <row r="1540" spans="17:21" x14ac:dyDescent="0.25">
      <c r="Q1540" s="17" t="s">
        <v>2460</v>
      </c>
      <c r="R1540" s="17" t="s">
        <v>191</v>
      </c>
      <c r="S1540" s="17"/>
      <c r="T1540" s="17"/>
      <c r="U1540" s="17"/>
    </row>
    <row r="1541" spans="17:21" x14ac:dyDescent="0.25">
      <c r="Q1541" s="17" t="s">
        <v>632</v>
      </c>
      <c r="R1541" s="17" t="s">
        <v>191</v>
      </c>
      <c r="S1541" s="17"/>
      <c r="T1541" s="17"/>
      <c r="U1541" s="17"/>
    </row>
    <row r="1542" spans="17:21" x14ac:dyDescent="0.25">
      <c r="Q1542" s="17" t="s">
        <v>765</v>
      </c>
      <c r="R1542" s="17" t="s">
        <v>191</v>
      </c>
      <c r="S1542" s="17"/>
      <c r="T1542" s="17"/>
      <c r="U1542" s="17"/>
    </row>
    <row r="1543" spans="17:21" x14ac:dyDescent="0.25">
      <c r="Q1543" s="17" t="s">
        <v>739</v>
      </c>
      <c r="R1543" s="17" t="s">
        <v>191</v>
      </c>
      <c r="S1543" s="17"/>
      <c r="T1543" s="17"/>
      <c r="U1543" s="17"/>
    </row>
    <row r="1544" spans="17:21" x14ac:dyDescent="0.25">
      <c r="Q1544" s="17" t="s">
        <v>551</v>
      </c>
      <c r="R1544" s="17" t="s">
        <v>191</v>
      </c>
      <c r="S1544" s="17"/>
      <c r="T1544" s="17"/>
      <c r="U1544" s="17"/>
    </row>
    <row r="1545" spans="17:21" x14ac:dyDescent="0.25">
      <c r="Q1545" s="17" t="s">
        <v>360</v>
      </c>
      <c r="R1545" s="17" t="s">
        <v>191</v>
      </c>
      <c r="S1545" s="17"/>
      <c r="T1545" s="17"/>
      <c r="U1545" s="17"/>
    </row>
    <row r="1546" spans="17:21" x14ac:dyDescent="0.25">
      <c r="Q1546" s="17" t="s">
        <v>972</v>
      </c>
      <c r="R1546" s="17" t="s">
        <v>191</v>
      </c>
      <c r="S1546" s="17"/>
      <c r="T1546" s="17"/>
      <c r="U1546" s="17"/>
    </row>
    <row r="1547" spans="17:21" x14ac:dyDescent="0.25">
      <c r="Q1547" s="17" t="s">
        <v>2461</v>
      </c>
      <c r="R1547" s="17" t="s">
        <v>191</v>
      </c>
      <c r="S1547" s="17"/>
      <c r="T1547" s="17"/>
      <c r="U1547" s="17"/>
    </row>
    <row r="1548" spans="17:21" x14ac:dyDescent="0.25">
      <c r="Q1548" s="17" t="s">
        <v>395</v>
      </c>
      <c r="R1548" s="17" t="s">
        <v>191</v>
      </c>
      <c r="S1548" s="17"/>
      <c r="T1548" s="17"/>
      <c r="U1548" s="17"/>
    </row>
    <row r="1549" spans="17:21" x14ac:dyDescent="0.25">
      <c r="Q1549" s="17" t="s">
        <v>2462</v>
      </c>
      <c r="R1549" s="17" t="s">
        <v>191</v>
      </c>
      <c r="S1549" s="17"/>
      <c r="T1549" s="17"/>
      <c r="U1549" s="17"/>
    </row>
    <row r="1550" spans="17:21" x14ac:dyDescent="0.25">
      <c r="Q1550" s="17" t="s">
        <v>2463</v>
      </c>
      <c r="R1550" s="17" t="s">
        <v>295</v>
      </c>
      <c r="S1550" s="17"/>
      <c r="T1550" s="17"/>
      <c r="U1550" s="17"/>
    </row>
    <row r="1551" spans="17:21" x14ac:dyDescent="0.25">
      <c r="Q1551" s="17" t="s">
        <v>2464</v>
      </c>
      <c r="R1551" s="17" t="s">
        <v>295</v>
      </c>
      <c r="S1551" s="17"/>
      <c r="T1551" s="17"/>
      <c r="U1551" s="17"/>
    </row>
    <row r="1552" spans="17:21" x14ac:dyDescent="0.25">
      <c r="Q1552" s="17" t="s">
        <v>506</v>
      </c>
      <c r="R1552" s="17" t="s">
        <v>295</v>
      </c>
      <c r="S1552" s="17"/>
      <c r="T1552" s="17"/>
      <c r="U1552" s="17"/>
    </row>
    <row r="1553" spans="17:21" x14ac:dyDescent="0.25">
      <c r="Q1553" s="17" t="s">
        <v>2465</v>
      </c>
      <c r="R1553" s="17" t="s">
        <v>295</v>
      </c>
      <c r="S1553" s="17"/>
      <c r="T1553" s="17"/>
      <c r="U1553" s="17"/>
    </row>
    <row r="1554" spans="17:21" x14ac:dyDescent="0.25">
      <c r="Q1554" s="17" t="s">
        <v>2466</v>
      </c>
      <c r="R1554" s="17" t="s">
        <v>295</v>
      </c>
      <c r="S1554" s="17"/>
      <c r="T1554" s="17"/>
      <c r="U1554" s="17"/>
    </row>
    <row r="1555" spans="17:21" x14ac:dyDescent="0.25">
      <c r="Q1555" s="17" t="s">
        <v>318</v>
      </c>
      <c r="R1555" s="17" t="s">
        <v>295</v>
      </c>
      <c r="S1555" s="17"/>
      <c r="T1555" s="17"/>
      <c r="U1555" s="17"/>
    </row>
    <row r="1556" spans="17:21" x14ac:dyDescent="0.25">
      <c r="Q1556" s="17" t="s">
        <v>2467</v>
      </c>
      <c r="R1556" s="17" t="s">
        <v>295</v>
      </c>
      <c r="S1556" s="17"/>
      <c r="T1556" s="17"/>
      <c r="U1556" s="17"/>
    </row>
    <row r="1557" spans="17:21" x14ac:dyDescent="0.25">
      <c r="Q1557" s="17" t="s">
        <v>2468</v>
      </c>
      <c r="R1557" s="17" t="s">
        <v>295</v>
      </c>
      <c r="S1557" s="17"/>
      <c r="T1557" s="17"/>
      <c r="U1557" s="17"/>
    </row>
    <row r="1558" spans="17:21" x14ac:dyDescent="0.25">
      <c r="Q1558" s="17" t="s">
        <v>2469</v>
      </c>
      <c r="R1558" s="17" t="s">
        <v>295</v>
      </c>
      <c r="S1558" s="17"/>
      <c r="T1558" s="17"/>
      <c r="U1558" s="17"/>
    </row>
    <row r="1559" spans="17:21" x14ac:dyDescent="0.25">
      <c r="Q1559" s="17" t="s">
        <v>2470</v>
      </c>
      <c r="R1559" s="17" t="s">
        <v>295</v>
      </c>
      <c r="S1559" s="17"/>
      <c r="T1559" s="17"/>
      <c r="U1559" s="17"/>
    </row>
    <row r="1560" spans="17:21" x14ac:dyDescent="0.25">
      <c r="Q1560" s="17" t="s">
        <v>2471</v>
      </c>
      <c r="R1560" s="17" t="s">
        <v>295</v>
      </c>
      <c r="S1560" s="17"/>
      <c r="T1560" s="17"/>
      <c r="U1560" s="17"/>
    </row>
    <row r="1561" spans="17:21" x14ac:dyDescent="0.25">
      <c r="Q1561" s="17" t="s">
        <v>2472</v>
      </c>
      <c r="R1561" s="17" t="s">
        <v>295</v>
      </c>
      <c r="S1561" s="17"/>
      <c r="T1561" s="17"/>
      <c r="U1561" s="17"/>
    </row>
    <row r="1562" spans="17:21" x14ac:dyDescent="0.25">
      <c r="Q1562" s="17" t="s">
        <v>1027</v>
      </c>
      <c r="R1562" s="17" t="s">
        <v>295</v>
      </c>
      <c r="S1562" s="17"/>
      <c r="T1562" s="17"/>
      <c r="U1562" s="17"/>
    </row>
    <row r="1563" spans="17:21" x14ac:dyDescent="0.25">
      <c r="Q1563" s="17" t="s">
        <v>352</v>
      </c>
      <c r="R1563" s="17" t="s">
        <v>295</v>
      </c>
      <c r="S1563" s="17"/>
      <c r="T1563" s="17"/>
      <c r="U1563" s="17"/>
    </row>
    <row r="1564" spans="17:21" x14ac:dyDescent="0.25">
      <c r="Q1564" s="17" t="s">
        <v>2473</v>
      </c>
      <c r="R1564" s="17" t="s">
        <v>295</v>
      </c>
      <c r="S1564" s="17"/>
      <c r="T1564" s="17"/>
      <c r="U1564" s="17"/>
    </row>
    <row r="1565" spans="17:21" x14ac:dyDescent="0.25">
      <c r="Q1565" s="17" t="s">
        <v>320</v>
      </c>
      <c r="R1565" s="17" t="s">
        <v>295</v>
      </c>
      <c r="S1565" s="17"/>
      <c r="T1565" s="17"/>
      <c r="U1565" s="17"/>
    </row>
    <row r="1566" spans="17:21" x14ac:dyDescent="0.25">
      <c r="Q1566" s="17" t="s">
        <v>2474</v>
      </c>
      <c r="R1566" s="17" t="s">
        <v>277</v>
      </c>
      <c r="S1566" s="17"/>
      <c r="T1566" s="17"/>
      <c r="U1566" s="17"/>
    </row>
    <row r="1567" spans="17:21" x14ac:dyDescent="0.25">
      <c r="Q1567" s="17" t="s">
        <v>1034</v>
      </c>
      <c r="R1567" s="17" t="s">
        <v>279</v>
      </c>
      <c r="S1567" s="17"/>
      <c r="T1567" s="17"/>
      <c r="U1567" s="17"/>
    </row>
    <row r="1568" spans="17:21" x14ac:dyDescent="0.25">
      <c r="Q1568" s="17" t="s">
        <v>2475</v>
      </c>
      <c r="R1568" s="17" t="s">
        <v>285</v>
      </c>
      <c r="S1568" s="17"/>
      <c r="T1568" s="17"/>
      <c r="U1568" s="17"/>
    </row>
    <row r="1569" spans="17:21" x14ac:dyDescent="0.25">
      <c r="Q1569" s="17" t="s">
        <v>2476</v>
      </c>
      <c r="R1569" s="17" t="s">
        <v>285</v>
      </c>
      <c r="S1569" s="17"/>
      <c r="T1569" s="17"/>
      <c r="U1569" s="17"/>
    </row>
    <row r="1570" spans="17:21" x14ac:dyDescent="0.25">
      <c r="Q1570" s="17" t="s">
        <v>2477</v>
      </c>
      <c r="R1570" s="17" t="s">
        <v>285</v>
      </c>
      <c r="S1570" s="17"/>
      <c r="T1570" s="17"/>
      <c r="U1570" s="17"/>
    </row>
    <row r="1571" spans="17:21" x14ac:dyDescent="0.25">
      <c r="Q1571" s="17" t="s">
        <v>2478</v>
      </c>
      <c r="R1571" s="17" t="s">
        <v>285</v>
      </c>
      <c r="S1571" s="17"/>
      <c r="T1571" s="17"/>
      <c r="U1571" s="17"/>
    </row>
    <row r="1572" spans="17:21" x14ac:dyDescent="0.25">
      <c r="Q1572" s="17" t="s">
        <v>2479</v>
      </c>
      <c r="R1572" s="17" t="s">
        <v>285</v>
      </c>
      <c r="S1572" s="17"/>
      <c r="T1572" s="17"/>
      <c r="U1572" s="17"/>
    </row>
    <row r="1573" spans="17:21" x14ac:dyDescent="0.25">
      <c r="Q1573" s="17" t="s">
        <v>2480</v>
      </c>
      <c r="R1573" s="17" t="s">
        <v>277</v>
      </c>
      <c r="S1573" s="17"/>
      <c r="T1573" s="17"/>
      <c r="U1573" s="17"/>
    </row>
    <row r="1574" spans="17:21" x14ac:dyDescent="0.25">
      <c r="Q1574" s="17" t="s">
        <v>2481</v>
      </c>
      <c r="R1574" s="17" t="s">
        <v>279</v>
      </c>
      <c r="S1574" s="17"/>
      <c r="T1574" s="17"/>
      <c r="U1574" s="17"/>
    </row>
    <row r="1575" spans="17:21" x14ac:dyDescent="0.25">
      <c r="Q1575" s="17" t="s">
        <v>2482</v>
      </c>
      <c r="R1575" s="17" t="s">
        <v>279</v>
      </c>
      <c r="S1575" s="17"/>
      <c r="T1575" s="17"/>
      <c r="U1575" s="17"/>
    </row>
    <row r="1576" spans="17:21" x14ac:dyDescent="0.25">
      <c r="Q1576" s="17" t="s">
        <v>1280</v>
      </c>
      <c r="R1576" s="17" t="s">
        <v>287</v>
      </c>
      <c r="S1576" s="17"/>
      <c r="T1576" s="17"/>
      <c r="U1576" s="17"/>
    </row>
    <row r="1577" spans="17:21" x14ac:dyDescent="0.25">
      <c r="Q1577" s="17" t="s">
        <v>1060</v>
      </c>
      <c r="R1577" s="17" t="s">
        <v>187</v>
      </c>
      <c r="S1577" s="17"/>
      <c r="T1577" s="17"/>
      <c r="U1577" s="17"/>
    </row>
    <row r="1578" spans="17:21" x14ac:dyDescent="0.25">
      <c r="Q1578" s="17" t="s">
        <v>2483</v>
      </c>
      <c r="R1578" s="17" t="s">
        <v>287</v>
      </c>
      <c r="S1578" s="17"/>
      <c r="T1578" s="17"/>
      <c r="U1578" s="17"/>
    </row>
    <row r="1579" spans="17:21" x14ac:dyDescent="0.25">
      <c r="Q1579" s="17" t="s">
        <v>2484</v>
      </c>
      <c r="R1579" s="17" t="s">
        <v>287</v>
      </c>
      <c r="S1579" s="17"/>
      <c r="T1579" s="17"/>
      <c r="U1579" s="17"/>
    </row>
    <row r="1580" spans="17:21" x14ac:dyDescent="0.25">
      <c r="Q1580" s="17" t="s">
        <v>1273</v>
      </c>
      <c r="R1580" s="17" t="s">
        <v>287</v>
      </c>
      <c r="S1580" s="17"/>
      <c r="T1580" s="17"/>
      <c r="U1580" s="17"/>
    </row>
    <row r="1581" spans="17:21" x14ac:dyDescent="0.25">
      <c r="Q1581" s="17" t="s">
        <v>2485</v>
      </c>
      <c r="R1581" s="17" t="s">
        <v>287</v>
      </c>
      <c r="S1581" s="17"/>
      <c r="T1581" s="17"/>
      <c r="U1581" s="17"/>
    </row>
    <row r="1582" spans="17:21" x14ac:dyDescent="0.25">
      <c r="Q1582" s="17" t="s">
        <v>2486</v>
      </c>
      <c r="R1582" s="17" t="s">
        <v>287</v>
      </c>
      <c r="S1582" s="17"/>
      <c r="T1582" s="17"/>
      <c r="U1582" s="17"/>
    </row>
    <row r="1583" spans="17:21" x14ac:dyDescent="0.25">
      <c r="Q1583" s="17" t="s">
        <v>2487</v>
      </c>
      <c r="R1583" s="17" t="s">
        <v>287</v>
      </c>
      <c r="S1583" s="17"/>
      <c r="T1583" s="17"/>
      <c r="U1583" s="17"/>
    </row>
    <row r="1584" spans="17:21" x14ac:dyDescent="0.25">
      <c r="Q1584" s="17" t="s">
        <v>2488</v>
      </c>
      <c r="R1584" s="17" t="s">
        <v>287</v>
      </c>
      <c r="S1584" s="17"/>
      <c r="T1584" s="17"/>
      <c r="U1584" s="17"/>
    </row>
    <row r="1585" spans="17:21" x14ac:dyDescent="0.25">
      <c r="Q1585" s="17" t="s">
        <v>1072</v>
      </c>
      <c r="R1585" s="17" t="s">
        <v>287</v>
      </c>
      <c r="S1585" s="17"/>
      <c r="T1585" s="17"/>
      <c r="U1585" s="17"/>
    </row>
    <row r="1586" spans="17:21" x14ac:dyDescent="0.25">
      <c r="Q1586" s="17" t="s">
        <v>686</v>
      </c>
      <c r="R1586" s="17" t="s">
        <v>287</v>
      </c>
      <c r="S1586" s="17"/>
      <c r="T1586" s="17"/>
      <c r="U1586" s="17"/>
    </row>
    <row r="1587" spans="17:21" x14ac:dyDescent="0.25">
      <c r="Q1587" s="17" t="s">
        <v>387</v>
      </c>
      <c r="R1587" s="17" t="s">
        <v>287</v>
      </c>
      <c r="S1587" s="17"/>
      <c r="T1587" s="17"/>
      <c r="U1587" s="17"/>
    </row>
    <row r="1588" spans="17:21" x14ac:dyDescent="0.25">
      <c r="Q1588" s="17" t="s">
        <v>1135</v>
      </c>
      <c r="R1588" s="17" t="s">
        <v>287</v>
      </c>
      <c r="S1588" s="17"/>
      <c r="T1588" s="17"/>
      <c r="U1588" s="17"/>
    </row>
    <row r="1589" spans="17:21" x14ac:dyDescent="0.25">
      <c r="Q1589" s="17" t="s">
        <v>1031</v>
      </c>
      <c r="R1589" s="17" t="s">
        <v>287</v>
      </c>
      <c r="S1589" s="17"/>
      <c r="T1589" s="17"/>
      <c r="U1589" s="17"/>
    </row>
    <row r="1590" spans="17:21" x14ac:dyDescent="0.25">
      <c r="Q1590" s="17" t="s">
        <v>2489</v>
      </c>
      <c r="R1590" s="17" t="s">
        <v>287</v>
      </c>
      <c r="S1590" s="17"/>
      <c r="T1590" s="17"/>
      <c r="U1590" s="17"/>
    </row>
    <row r="1591" spans="17:21" x14ac:dyDescent="0.25">
      <c r="Q1591" s="17" t="s">
        <v>705</v>
      </c>
      <c r="R1591" s="17" t="s">
        <v>287</v>
      </c>
      <c r="S1591" s="17"/>
      <c r="T1591" s="17"/>
      <c r="U1591" s="17"/>
    </row>
    <row r="1592" spans="17:21" x14ac:dyDescent="0.25">
      <c r="Q1592" s="17" t="s">
        <v>2490</v>
      </c>
      <c r="R1592" s="17" t="s">
        <v>287</v>
      </c>
      <c r="S1592" s="17"/>
      <c r="T1592" s="17"/>
      <c r="U1592" s="17"/>
    </row>
    <row r="1593" spans="17:21" x14ac:dyDescent="0.25">
      <c r="Q1593" s="17" t="s">
        <v>2491</v>
      </c>
      <c r="R1593" s="17" t="s">
        <v>287</v>
      </c>
      <c r="S1593" s="17"/>
      <c r="T1593" s="17"/>
      <c r="U1593" s="17"/>
    </row>
    <row r="1594" spans="17:21" x14ac:dyDescent="0.25">
      <c r="Q1594" s="17" t="s">
        <v>2492</v>
      </c>
      <c r="R1594" s="17" t="s">
        <v>287</v>
      </c>
      <c r="S1594" s="17"/>
      <c r="T1594" s="17"/>
      <c r="U1594" s="17"/>
    </row>
    <row r="1595" spans="17:21" x14ac:dyDescent="0.25">
      <c r="Q1595" s="17" t="s">
        <v>2493</v>
      </c>
      <c r="R1595" s="17" t="s">
        <v>285</v>
      </c>
      <c r="S1595" s="17"/>
      <c r="T1595" s="17"/>
      <c r="U1595" s="17"/>
    </row>
    <row r="1596" spans="17:21" x14ac:dyDescent="0.25">
      <c r="Q1596" s="17" t="s">
        <v>1268</v>
      </c>
      <c r="R1596" s="17" t="s">
        <v>285</v>
      </c>
      <c r="S1596" s="17"/>
      <c r="T1596" s="17"/>
      <c r="U1596" s="17"/>
    </row>
    <row r="1597" spans="17:21" x14ac:dyDescent="0.25">
      <c r="Q1597" s="17" t="s">
        <v>2494</v>
      </c>
      <c r="R1597" s="17" t="s">
        <v>285</v>
      </c>
      <c r="S1597" s="17"/>
      <c r="T1597" s="17"/>
      <c r="U1597" s="17"/>
    </row>
    <row r="1598" spans="17:21" x14ac:dyDescent="0.25">
      <c r="Q1598" s="17" t="s">
        <v>2495</v>
      </c>
      <c r="R1598" s="17" t="s">
        <v>285</v>
      </c>
      <c r="S1598" s="17"/>
      <c r="T1598" s="17"/>
      <c r="U1598" s="17"/>
    </row>
    <row r="1599" spans="17:21" x14ac:dyDescent="0.25">
      <c r="Q1599" s="17" t="s">
        <v>1142</v>
      </c>
      <c r="R1599" s="17" t="s">
        <v>285</v>
      </c>
      <c r="S1599" s="17"/>
      <c r="T1599" s="17"/>
      <c r="U1599" s="17"/>
    </row>
    <row r="1600" spans="17:21" x14ac:dyDescent="0.25">
      <c r="Q1600" s="17" t="s">
        <v>2496</v>
      </c>
      <c r="R1600" s="17" t="s">
        <v>285</v>
      </c>
      <c r="S1600" s="17"/>
      <c r="T1600" s="17"/>
      <c r="U1600" s="17"/>
    </row>
    <row r="1601" spans="17:21" x14ac:dyDescent="0.25">
      <c r="Q1601" s="17" t="s">
        <v>2497</v>
      </c>
      <c r="R1601" s="17" t="s">
        <v>273</v>
      </c>
      <c r="S1601" s="17"/>
      <c r="T1601" s="17"/>
      <c r="U1601" s="17"/>
    </row>
    <row r="1602" spans="17:21" x14ac:dyDescent="0.25">
      <c r="Q1602" s="17" t="s">
        <v>916</v>
      </c>
      <c r="R1602" s="17" t="s">
        <v>273</v>
      </c>
      <c r="S1602" s="17"/>
      <c r="T1602" s="17"/>
      <c r="U1602" s="17"/>
    </row>
    <row r="1603" spans="17:21" x14ac:dyDescent="0.25">
      <c r="Q1603" s="17" t="s">
        <v>2498</v>
      </c>
      <c r="R1603" s="17" t="s">
        <v>273</v>
      </c>
      <c r="S1603" s="17"/>
      <c r="T1603" s="17"/>
      <c r="U1603" s="17"/>
    </row>
    <row r="1604" spans="17:21" x14ac:dyDescent="0.25">
      <c r="Q1604" s="17" t="s">
        <v>2499</v>
      </c>
      <c r="R1604" s="17" t="s">
        <v>273</v>
      </c>
      <c r="S1604" s="17"/>
      <c r="T1604" s="17"/>
      <c r="U1604" s="17"/>
    </row>
    <row r="1605" spans="17:21" x14ac:dyDescent="0.25">
      <c r="Q1605" s="17" t="s">
        <v>2500</v>
      </c>
      <c r="R1605" s="17" t="s">
        <v>275</v>
      </c>
      <c r="S1605" s="17"/>
      <c r="T1605" s="17"/>
      <c r="U1605" s="17"/>
    </row>
    <row r="1606" spans="17:21" x14ac:dyDescent="0.25">
      <c r="Q1606" s="17" t="s">
        <v>1033</v>
      </c>
      <c r="R1606" s="17" t="s">
        <v>279</v>
      </c>
      <c r="S1606" s="17"/>
      <c r="T1606" s="17"/>
      <c r="U1606" s="17"/>
    </row>
    <row r="1607" spans="17:21" x14ac:dyDescent="0.25">
      <c r="Q1607" s="17" t="s">
        <v>2501</v>
      </c>
      <c r="R1607" s="17" t="s">
        <v>287</v>
      </c>
      <c r="S1607" s="17"/>
      <c r="T1607" s="17"/>
      <c r="U1607" s="17"/>
    </row>
    <row r="1608" spans="17:21" x14ac:dyDescent="0.25">
      <c r="Q1608" s="17" t="s">
        <v>2502</v>
      </c>
      <c r="R1608" s="17" t="s">
        <v>287</v>
      </c>
      <c r="S1608" s="17"/>
      <c r="T1608" s="17"/>
      <c r="U1608" s="17"/>
    </row>
    <row r="1609" spans="17:21" x14ac:dyDescent="0.25">
      <c r="Q1609" s="17" t="s">
        <v>2503</v>
      </c>
      <c r="R1609" s="17" t="s">
        <v>287</v>
      </c>
      <c r="S1609" s="17"/>
      <c r="T1609" s="17"/>
      <c r="U1609" s="17"/>
    </row>
    <row r="1610" spans="17:21" x14ac:dyDescent="0.25">
      <c r="Q1610" s="17" t="s">
        <v>2504</v>
      </c>
      <c r="R1610" s="17" t="s">
        <v>287</v>
      </c>
      <c r="S1610" s="17"/>
      <c r="T1610" s="17"/>
      <c r="U1610" s="17"/>
    </row>
    <row r="1611" spans="17:21" x14ac:dyDescent="0.25">
      <c r="Q1611" s="17" t="s">
        <v>2505</v>
      </c>
      <c r="R1611" s="17" t="s">
        <v>287</v>
      </c>
      <c r="S1611" s="17"/>
      <c r="T1611" s="17"/>
      <c r="U1611" s="17"/>
    </row>
    <row r="1612" spans="17:21" x14ac:dyDescent="0.25">
      <c r="Q1612" s="17" t="s">
        <v>1264</v>
      </c>
      <c r="R1612" s="17" t="s">
        <v>287</v>
      </c>
      <c r="S1612" s="17"/>
      <c r="T1612" s="17"/>
      <c r="U1612" s="17"/>
    </row>
    <row r="1613" spans="17:21" x14ac:dyDescent="0.25">
      <c r="Q1613" s="17" t="s">
        <v>2506</v>
      </c>
      <c r="R1613" s="17" t="s">
        <v>287</v>
      </c>
      <c r="S1613" s="17"/>
      <c r="T1613" s="17"/>
      <c r="U1613" s="17"/>
    </row>
    <row r="1614" spans="17:21" x14ac:dyDescent="0.25">
      <c r="Q1614" s="17" t="s">
        <v>2507</v>
      </c>
      <c r="R1614" s="17" t="s">
        <v>287</v>
      </c>
      <c r="S1614" s="17"/>
      <c r="T1614" s="17"/>
      <c r="U1614" s="17"/>
    </row>
    <row r="1615" spans="17:21" x14ac:dyDescent="0.25">
      <c r="Q1615" s="17" t="s">
        <v>2508</v>
      </c>
      <c r="R1615" s="17" t="s">
        <v>287</v>
      </c>
      <c r="S1615" s="17"/>
      <c r="T1615" s="17"/>
      <c r="U1615" s="17"/>
    </row>
    <row r="1616" spans="17:21" x14ac:dyDescent="0.25">
      <c r="Q1616" s="17" t="s">
        <v>2509</v>
      </c>
      <c r="R1616" s="17" t="s">
        <v>287</v>
      </c>
      <c r="S1616" s="17"/>
      <c r="T1616" s="17"/>
      <c r="U1616" s="17"/>
    </row>
    <row r="1617" spans="17:21" x14ac:dyDescent="0.25">
      <c r="Q1617" s="17" t="s">
        <v>2510</v>
      </c>
      <c r="R1617" s="17" t="s">
        <v>287</v>
      </c>
      <c r="S1617" s="17"/>
      <c r="T1617" s="17"/>
      <c r="U1617" s="17"/>
    </row>
    <row r="1618" spans="17:21" x14ac:dyDescent="0.25">
      <c r="Q1618" s="17" t="s">
        <v>2511</v>
      </c>
      <c r="R1618" s="17" t="s">
        <v>287</v>
      </c>
      <c r="S1618" s="17"/>
      <c r="T1618" s="17"/>
      <c r="U1618" s="17"/>
    </row>
    <row r="1619" spans="17:21" x14ac:dyDescent="0.25">
      <c r="Q1619" s="17" t="s">
        <v>2512</v>
      </c>
      <c r="R1619" s="17" t="s">
        <v>287</v>
      </c>
      <c r="S1619" s="17"/>
      <c r="T1619" s="17"/>
      <c r="U1619" s="17"/>
    </row>
    <row r="1620" spans="17:21" x14ac:dyDescent="0.25">
      <c r="Q1620" s="17" t="s">
        <v>1295</v>
      </c>
      <c r="R1620" s="17" t="s">
        <v>287</v>
      </c>
      <c r="S1620" s="17"/>
      <c r="T1620" s="17"/>
      <c r="U1620" s="17"/>
    </row>
    <row r="1621" spans="17:21" x14ac:dyDescent="0.25">
      <c r="Q1621" s="17" t="s">
        <v>2513</v>
      </c>
      <c r="R1621" s="17" t="s">
        <v>287</v>
      </c>
      <c r="S1621" s="17"/>
      <c r="T1621" s="17"/>
      <c r="U1621" s="17"/>
    </row>
    <row r="1622" spans="17:21" x14ac:dyDescent="0.25">
      <c r="Q1622" s="17" t="s">
        <v>937</v>
      </c>
      <c r="R1622" s="17" t="s">
        <v>287</v>
      </c>
      <c r="S1622" s="17"/>
      <c r="T1622" s="17"/>
      <c r="U1622" s="17"/>
    </row>
    <row r="1623" spans="17:21" x14ac:dyDescent="0.25">
      <c r="Q1623" s="17" t="s">
        <v>1310</v>
      </c>
      <c r="R1623" s="17" t="s">
        <v>287</v>
      </c>
      <c r="S1623" s="17"/>
      <c r="T1623" s="17"/>
      <c r="U1623" s="17"/>
    </row>
    <row r="1624" spans="17:21" x14ac:dyDescent="0.25">
      <c r="Q1624" s="17" t="s">
        <v>2514</v>
      </c>
      <c r="R1624" s="17" t="s">
        <v>287</v>
      </c>
      <c r="S1624" s="17"/>
      <c r="T1624" s="17"/>
      <c r="U1624" s="17"/>
    </row>
    <row r="1625" spans="17:21" x14ac:dyDescent="0.25">
      <c r="Q1625" s="17" t="s">
        <v>415</v>
      </c>
      <c r="R1625" s="17" t="s">
        <v>199</v>
      </c>
      <c r="S1625" s="17"/>
      <c r="T1625" s="17"/>
      <c r="U1625" s="17"/>
    </row>
    <row r="1626" spans="17:21" x14ac:dyDescent="0.25">
      <c r="Q1626" s="17" t="s">
        <v>1036</v>
      </c>
      <c r="R1626" s="17" t="s">
        <v>199</v>
      </c>
      <c r="S1626" s="17"/>
      <c r="T1626" s="17"/>
      <c r="U1626" s="17"/>
    </row>
    <row r="1627" spans="17:21" x14ac:dyDescent="0.25">
      <c r="Q1627" s="17" t="s">
        <v>2515</v>
      </c>
      <c r="R1627" s="17" t="s">
        <v>199</v>
      </c>
      <c r="S1627" s="17"/>
      <c r="T1627" s="17"/>
      <c r="U1627" s="17"/>
    </row>
    <row r="1628" spans="17:21" x14ac:dyDescent="0.25">
      <c r="Q1628" s="17" t="s">
        <v>1015</v>
      </c>
      <c r="R1628" s="17" t="s">
        <v>199</v>
      </c>
      <c r="S1628" s="17"/>
      <c r="T1628" s="17"/>
      <c r="U1628" s="17"/>
    </row>
    <row r="1629" spans="17:21" x14ac:dyDescent="0.25">
      <c r="Q1629" s="17" t="s">
        <v>2516</v>
      </c>
      <c r="R1629" s="17" t="s">
        <v>197</v>
      </c>
      <c r="S1629" s="17"/>
      <c r="T1629" s="17"/>
      <c r="U1629" s="17"/>
    </row>
    <row r="1630" spans="17:21" x14ac:dyDescent="0.25">
      <c r="Q1630" s="17" t="s">
        <v>2517</v>
      </c>
      <c r="R1630" s="17" t="s">
        <v>199</v>
      </c>
      <c r="S1630" s="17"/>
      <c r="T1630" s="17"/>
      <c r="U1630" s="17"/>
    </row>
    <row r="1631" spans="17:21" x14ac:dyDescent="0.25">
      <c r="Q1631" s="17" t="s">
        <v>522</v>
      </c>
      <c r="R1631" s="17" t="s">
        <v>199</v>
      </c>
      <c r="S1631" s="17"/>
      <c r="T1631" s="17"/>
      <c r="U1631" s="17"/>
    </row>
    <row r="1632" spans="17:21" x14ac:dyDescent="0.25">
      <c r="Q1632" s="17" t="s">
        <v>2518</v>
      </c>
      <c r="R1632" s="17" t="s">
        <v>199</v>
      </c>
      <c r="S1632" s="17"/>
      <c r="T1632" s="17"/>
      <c r="U1632" s="17"/>
    </row>
    <row r="1633" spans="17:21" x14ac:dyDescent="0.25">
      <c r="Q1633" s="17" t="s">
        <v>536</v>
      </c>
      <c r="R1633" s="17" t="s">
        <v>199</v>
      </c>
      <c r="S1633" s="17"/>
      <c r="T1633" s="17"/>
      <c r="U1633" s="17"/>
    </row>
    <row r="1634" spans="17:21" x14ac:dyDescent="0.25">
      <c r="Q1634" s="17" t="s">
        <v>2519</v>
      </c>
      <c r="R1634" s="17" t="s">
        <v>199</v>
      </c>
      <c r="S1634" s="17"/>
      <c r="T1634" s="17"/>
      <c r="U1634" s="17"/>
    </row>
    <row r="1635" spans="17:21" x14ac:dyDescent="0.25">
      <c r="Q1635" s="17" t="s">
        <v>2520</v>
      </c>
      <c r="R1635" s="17" t="s">
        <v>199</v>
      </c>
      <c r="S1635" s="17"/>
      <c r="T1635" s="17"/>
      <c r="U1635" s="17"/>
    </row>
    <row r="1636" spans="17:21" x14ac:dyDescent="0.25">
      <c r="Q1636" s="17" t="s">
        <v>1147</v>
      </c>
      <c r="R1636" s="17" t="s">
        <v>199</v>
      </c>
      <c r="S1636" s="17"/>
      <c r="T1636" s="17"/>
      <c r="U1636" s="17"/>
    </row>
    <row r="1637" spans="17:21" x14ac:dyDescent="0.25">
      <c r="Q1637" s="17" t="s">
        <v>2521</v>
      </c>
      <c r="R1637" s="17" t="s">
        <v>199</v>
      </c>
      <c r="S1637" s="17"/>
      <c r="T1637" s="17"/>
      <c r="U1637" s="17"/>
    </row>
    <row r="1638" spans="17:21" x14ac:dyDescent="0.25">
      <c r="Q1638" s="17" t="s">
        <v>2522</v>
      </c>
      <c r="R1638" s="17" t="s">
        <v>199</v>
      </c>
      <c r="S1638" s="17"/>
      <c r="T1638" s="17"/>
      <c r="U1638" s="17"/>
    </row>
    <row r="1639" spans="17:21" x14ac:dyDescent="0.25">
      <c r="Q1639" s="17" t="s">
        <v>697</v>
      </c>
      <c r="R1639" s="17" t="s">
        <v>199</v>
      </c>
      <c r="S1639" s="17"/>
      <c r="T1639" s="17"/>
      <c r="U1639" s="17"/>
    </row>
    <row r="1640" spans="17:21" x14ac:dyDescent="0.25">
      <c r="Q1640" s="17" t="s">
        <v>2523</v>
      </c>
      <c r="R1640" s="17" t="s">
        <v>199</v>
      </c>
      <c r="S1640" s="17"/>
      <c r="T1640" s="17"/>
      <c r="U1640" s="17"/>
    </row>
    <row r="1641" spans="17:21" x14ac:dyDescent="0.25">
      <c r="Q1641" s="17" t="s">
        <v>2524</v>
      </c>
      <c r="R1641" s="17" t="s">
        <v>199</v>
      </c>
      <c r="S1641" s="17"/>
      <c r="T1641" s="17"/>
      <c r="U1641" s="17"/>
    </row>
    <row r="1642" spans="17:21" x14ac:dyDescent="0.25">
      <c r="Q1642" s="17" t="s">
        <v>2525</v>
      </c>
      <c r="R1642" s="17" t="s">
        <v>199</v>
      </c>
      <c r="S1642" s="17"/>
      <c r="T1642" s="17"/>
      <c r="U1642" s="17"/>
    </row>
    <row r="1643" spans="17:21" x14ac:dyDescent="0.25">
      <c r="Q1643" s="17" t="s">
        <v>2526</v>
      </c>
      <c r="R1643" s="17" t="s">
        <v>199</v>
      </c>
      <c r="S1643" s="17"/>
      <c r="T1643" s="17"/>
      <c r="U1643" s="17"/>
    </row>
    <row r="1644" spans="17:21" x14ac:dyDescent="0.25">
      <c r="Q1644" s="17" t="s">
        <v>2527</v>
      </c>
      <c r="R1644" s="17" t="s">
        <v>199</v>
      </c>
      <c r="S1644" s="17"/>
      <c r="T1644" s="17"/>
      <c r="U1644" s="17"/>
    </row>
    <row r="1645" spans="17:21" x14ac:dyDescent="0.25">
      <c r="Q1645" s="17" t="s">
        <v>2528</v>
      </c>
      <c r="R1645" s="17" t="s">
        <v>199</v>
      </c>
      <c r="S1645" s="17"/>
      <c r="T1645" s="17"/>
      <c r="U1645" s="17"/>
    </row>
    <row r="1646" spans="17:21" x14ac:dyDescent="0.25">
      <c r="Q1646" s="17" t="s">
        <v>1118</v>
      </c>
      <c r="R1646" s="17" t="s">
        <v>199</v>
      </c>
      <c r="S1646" s="17"/>
      <c r="T1646" s="17"/>
      <c r="U1646" s="17"/>
    </row>
    <row r="1647" spans="17:21" x14ac:dyDescent="0.25">
      <c r="Q1647" s="17" t="s">
        <v>2529</v>
      </c>
      <c r="R1647" s="17" t="s">
        <v>199</v>
      </c>
      <c r="S1647" s="17"/>
      <c r="T1647" s="17"/>
      <c r="U1647" s="17"/>
    </row>
    <row r="1648" spans="17:21" x14ac:dyDescent="0.25">
      <c r="Q1648" s="17" t="s">
        <v>2530</v>
      </c>
      <c r="R1648" s="17" t="s">
        <v>199</v>
      </c>
      <c r="S1648" s="17"/>
      <c r="T1648" s="17"/>
      <c r="U1648" s="17"/>
    </row>
    <row r="1649" spans="17:21" x14ac:dyDescent="0.25">
      <c r="Q1649" s="17" t="s">
        <v>2531</v>
      </c>
      <c r="R1649" s="17" t="s">
        <v>199</v>
      </c>
      <c r="S1649" s="17"/>
      <c r="T1649" s="17"/>
      <c r="U1649" s="17"/>
    </row>
    <row r="1650" spans="17:21" x14ac:dyDescent="0.25">
      <c r="Q1650" s="17" t="s">
        <v>1161</v>
      </c>
      <c r="R1650" s="17" t="s">
        <v>199</v>
      </c>
      <c r="S1650" s="17"/>
      <c r="T1650" s="17"/>
      <c r="U1650" s="17"/>
    </row>
    <row r="1651" spans="17:21" x14ac:dyDescent="0.25">
      <c r="Q1651" s="17" t="s">
        <v>2532</v>
      </c>
      <c r="R1651" s="17" t="s">
        <v>199</v>
      </c>
      <c r="S1651" s="17"/>
      <c r="T1651" s="17"/>
      <c r="U1651" s="17"/>
    </row>
    <row r="1652" spans="17:21" x14ac:dyDescent="0.25">
      <c r="Q1652" s="17" t="s">
        <v>2533</v>
      </c>
      <c r="R1652" s="17" t="s">
        <v>199</v>
      </c>
      <c r="S1652" s="17"/>
      <c r="T1652" s="17"/>
      <c r="U1652" s="17"/>
    </row>
    <row r="1653" spans="17:21" x14ac:dyDescent="0.25">
      <c r="Q1653" s="17" t="s">
        <v>2534</v>
      </c>
      <c r="R1653" s="17" t="s">
        <v>199</v>
      </c>
      <c r="S1653" s="17"/>
      <c r="T1653" s="17"/>
      <c r="U1653" s="17"/>
    </row>
    <row r="1654" spans="17:21" x14ac:dyDescent="0.25">
      <c r="Q1654" s="17" t="s">
        <v>2535</v>
      </c>
      <c r="R1654" s="17" t="s">
        <v>199</v>
      </c>
      <c r="S1654" s="17"/>
      <c r="T1654" s="17"/>
      <c r="U1654" s="17"/>
    </row>
    <row r="1655" spans="17:21" x14ac:dyDescent="0.25">
      <c r="Q1655" s="17" t="s">
        <v>2536</v>
      </c>
      <c r="R1655" s="17" t="s">
        <v>199</v>
      </c>
      <c r="S1655" s="17"/>
      <c r="T1655" s="17"/>
      <c r="U1655" s="17"/>
    </row>
    <row r="1656" spans="17:21" x14ac:dyDescent="0.25">
      <c r="Q1656" s="17" t="s">
        <v>485</v>
      </c>
      <c r="R1656" s="17" t="s">
        <v>199</v>
      </c>
      <c r="S1656" s="17"/>
      <c r="T1656" s="17"/>
      <c r="U1656" s="17"/>
    </row>
    <row r="1657" spans="17:21" x14ac:dyDescent="0.25">
      <c r="Q1657" s="17" t="s">
        <v>2537</v>
      </c>
      <c r="R1657" s="17" t="s">
        <v>199</v>
      </c>
      <c r="S1657" s="17"/>
      <c r="T1657" s="17"/>
      <c r="U1657" s="17"/>
    </row>
    <row r="1658" spans="17:21" x14ac:dyDescent="0.25">
      <c r="Q1658" s="17" t="s">
        <v>2538</v>
      </c>
      <c r="R1658" s="17" t="s">
        <v>199</v>
      </c>
      <c r="S1658" s="17"/>
      <c r="T1658" s="17"/>
      <c r="U1658" s="17"/>
    </row>
    <row r="1659" spans="17:21" x14ac:dyDescent="0.25">
      <c r="Q1659" s="17" t="s">
        <v>998</v>
      </c>
      <c r="R1659" s="17" t="s">
        <v>199</v>
      </c>
      <c r="S1659" s="17"/>
      <c r="T1659" s="17"/>
      <c r="U1659" s="17"/>
    </row>
    <row r="1660" spans="17:21" x14ac:dyDescent="0.25">
      <c r="Q1660" s="17" t="s">
        <v>2539</v>
      </c>
      <c r="R1660" s="17" t="s">
        <v>199</v>
      </c>
      <c r="S1660" s="17"/>
      <c r="T1660" s="17"/>
      <c r="U1660" s="17"/>
    </row>
    <row r="1661" spans="17:21" x14ac:dyDescent="0.25">
      <c r="Q1661" s="17" t="s">
        <v>2540</v>
      </c>
      <c r="R1661" s="17" t="s">
        <v>199</v>
      </c>
      <c r="S1661" s="17"/>
      <c r="T1661" s="17"/>
      <c r="U1661" s="17"/>
    </row>
    <row r="1662" spans="17:21" x14ac:dyDescent="0.25">
      <c r="Q1662" s="17" t="s">
        <v>1258</v>
      </c>
      <c r="R1662" s="17" t="s">
        <v>199</v>
      </c>
      <c r="S1662" s="17"/>
      <c r="T1662" s="17"/>
      <c r="U1662" s="17"/>
    </row>
    <row r="1663" spans="17:21" x14ac:dyDescent="0.25">
      <c r="Q1663" s="17" t="s">
        <v>2541</v>
      </c>
      <c r="R1663" s="17" t="s">
        <v>199</v>
      </c>
      <c r="S1663" s="17"/>
      <c r="T1663" s="17"/>
      <c r="U1663" s="17"/>
    </row>
    <row r="1664" spans="17:21" x14ac:dyDescent="0.25">
      <c r="Q1664" s="17" t="s">
        <v>2542</v>
      </c>
      <c r="R1664" s="17" t="s">
        <v>199</v>
      </c>
      <c r="S1664" s="17"/>
      <c r="T1664" s="17"/>
      <c r="U1664" s="17"/>
    </row>
    <row r="1665" spans="17:21" x14ac:dyDescent="0.25">
      <c r="Q1665" s="17" t="s">
        <v>2543</v>
      </c>
      <c r="R1665" s="17" t="s">
        <v>199</v>
      </c>
      <c r="S1665" s="17"/>
      <c r="T1665" s="17"/>
      <c r="U1665" s="17"/>
    </row>
    <row r="1666" spans="17:21" x14ac:dyDescent="0.25">
      <c r="Q1666" s="17" t="s">
        <v>2544</v>
      </c>
      <c r="R1666" s="17" t="s">
        <v>199</v>
      </c>
      <c r="S1666" s="17"/>
      <c r="T1666" s="17"/>
      <c r="U1666" s="17"/>
    </row>
    <row r="1667" spans="17:21" x14ac:dyDescent="0.25">
      <c r="Q1667" s="17" t="s">
        <v>1066</v>
      </c>
      <c r="R1667" s="17" t="s">
        <v>199</v>
      </c>
      <c r="S1667" s="17"/>
      <c r="T1667" s="17"/>
      <c r="U1667" s="17"/>
    </row>
    <row r="1668" spans="17:21" x14ac:dyDescent="0.25">
      <c r="Q1668" s="17" t="s">
        <v>414</v>
      </c>
      <c r="R1668" s="17" t="s">
        <v>199</v>
      </c>
      <c r="S1668" s="17"/>
      <c r="T1668" s="17"/>
      <c r="U1668" s="17"/>
    </row>
    <row r="1669" spans="17:21" x14ac:dyDescent="0.25">
      <c r="Q1669" s="17" t="s">
        <v>2545</v>
      </c>
      <c r="R1669" s="17" t="s">
        <v>199</v>
      </c>
      <c r="S1669" s="17"/>
      <c r="T1669" s="17"/>
      <c r="U1669" s="17"/>
    </row>
    <row r="1670" spans="17:21" x14ac:dyDescent="0.25">
      <c r="Q1670" s="17" t="s">
        <v>2546</v>
      </c>
      <c r="R1670" s="17" t="s">
        <v>199</v>
      </c>
      <c r="S1670" s="17"/>
      <c r="T1670" s="17"/>
      <c r="U1670" s="17"/>
    </row>
    <row r="1671" spans="17:21" x14ac:dyDescent="0.25">
      <c r="Q1671" s="17" t="s">
        <v>2547</v>
      </c>
      <c r="R1671" s="17" t="s">
        <v>199</v>
      </c>
      <c r="S1671" s="17"/>
      <c r="T1671" s="17"/>
      <c r="U1671" s="17"/>
    </row>
    <row r="1672" spans="17:21" x14ac:dyDescent="0.25">
      <c r="Q1672" s="17" t="s">
        <v>535</v>
      </c>
      <c r="R1672" s="17" t="s">
        <v>199</v>
      </c>
      <c r="S1672" s="17"/>
      <c r="T1672" s="17"/>
      <c r="U1672" s="17"/>
    </row>
    <row r="1673" spans="17:21" x14ac:dyDescent="0.25">
      <c r="Q1673" s="17" t="s">
        <v>2548</v>
      </c>
      <c r="R1673" s="17" t="s">
        <v>199</v>
      </c>
      <c r="S1673" s="17"/>
      <c r="T1673" s="17"/>
      <c r="U1673" s="17"/>
    </row>
    <row r="1674" spans="17:21" x14ac:dyDescent="0.25">
      <c r="Q1674" s="17" t="s">
        <v>2549</v>
      </c>
      <c r="R1674" s="17" t="s">
        <v>199</v>
      </c>
      <c r="S1674" s="17"/>
      <c r="T1674" s="17"/>
      <c r="U1674" s="17"/>
    </row>
    <row r="1675" spans="17:21" x14ac:dyDescent="0.25">
      <c r="Q1675" s="17" t="s">
        <v>996</v>
      </c>
      <c r="R1675" s="17" t="s">
        <v>199</v>
      </c>
      <c r="S1675" s="17"/>
      <c r="T1675" s="17"/>
      <c r="U1675" s="17"/>
    </row>
    <row r="1676" spans="17:21" x14ac:dyDescent="0.25">
      <c r="Q1676" s="17" t="s">
        <v>2550</v>
      </c>
      <c r="R1676" s="17" t="s">
        <v>199</v>
      </c>
      <c r="S1676" s="17"/>
      <c r="T1676" s="17"/>
      <c r="U1676" s="17"/>
    </row>
    <row r="1677" spans="17:21" x14ac:dyDescent="0.25">
      <c r="Q1677" s="17" t="s">
        <v>2551</v>
      </c>
      <c r="R1677" s="17" t="s">
        <v>199</v>
      </c>
      <c r="S1677" s="17"/>
      <c r="T1677" s="17"/>
      <c r="U1677" s="17"/>
    </row>
    <row r="1678" spans="17:21" x14ac:dyDescent="0.25">
      <c r="Q1678" s="17" t="s">
        <v>2552</v>
      </c>
      <c r="R1678" s="17" t="s">
        <v>199</v>
      </c>
      <c r="S1678" s="17"/>
      <c r="T1678" s="17"/>
      <c r="U1678" s="17"/>
    </row>
    <row r="1679" spans="17:21" x14ac:dyDescent="0.25">
      <c r="Q1679" s="17" t="s">
        <v>931</v>
      </c>
      <c r="R1679" s="17" t="s">
        <v>199</v>
      </c>
      <c r="S1679" s="17"/>
      <c r="T1679" s="17"/>
      <c r="U1679" s="17"/>
    </row>
    <row r="1680" spans="17:21" x14ac:dyDescent="0.25">
      <c r="Q1680" s="17" t="s">
        <v>2553</v>
      </c>
      <c r="R1680" s="17" t="s">
        <v>199</v>
      </c>
      <c r="S1680" s="17"/>
      <c r="T1680" s="17"/>
      <c r="U1680" s="17"/>
    </row>
    <row r="1681" spans="17:21" x14ac:dyDescent="0.25">
      <c r="Q1681" s="17" t="s">
        <v>2554</v>
      </c>
      <c r="R1681" s="17" t="s">
        <v>199</v>
      </c>
      <c r="S1681" s="17"/>
      <c r="T1681" s="17"/>
      <c r="U1681" s="17"/>
    </row>
    <row r="1682" spans="17:21" x14ac:dyDescent="0.25">
      <c r="Q1682" s="17" t="s">
        <v>2555</v>
      </c>
      <c r="R1682" s="17" t="s">
        <v>199</v>
      </c>
      <c r="S1682" s="17"/>
      <c r="T1682" s="17"/>
      <c r="U1682" s="17"/>
    </row>
    <row r="1683" spans="17:21" x14ac:dyDescent="0.25">
      <c r="Q1683" s="17" t="s">
        <v>2556</v>
      </c>
      <c r="R1683" s="17" t="s">
        <v>199</v>
      </c>
      <c r="S1683" s="17"/>
      <c r="T1683" s="17"/>
      <c r="U1683" s="17"/>
    </row>
    <row r="1684" spans="17:21" x14ac:dyDescent="0.25">
      <c r="Q1684" s="17" t="s">
        <v>2557</v>
      </c>
      <c r="R1684" s="17" t="s">
        <v>199</v>
      </c>
      <c r="S1684" s="17"/>
      <c r="T1684" s="17"/>
      <c r="U1684" s="17"/>
    </row>
    <row r="1685" spans="17:21" x14ac:dyDescent="0.25">
      <c r="Q1685" s="17" t="s">
        <v>2558</v>
      </c>
      <c r="R1685" s="17" t="s">
        <v>199</v>
      </c>
      <c r="S1685" s="17"/>
      <c r="T1685" s="17"/>
      <c r="U1685" s="17"/>
    </row>
    <row r="1686" spans="17:21" x14ac:dyDescent="0.25">
      <c r="Q1686" s="17" t="s">
        <v>2559</v>
      </c>
      <c r="R1686" s="17" t="s">
        <v>199</v>
      </c>
      <c r="S1686" s="17"/>
      <c r="T1686" s="17"/>
      <c r="U1686" s="17"/>
    </row>
    <row r="1687" spans="17:21" x14ac:dyDescent="0.25">
      <c r="Q1687" s="17" t="s">
        <v>2560</v>
      </c>
      <c r="R1687" s="17" t="s">
        <v>199</v>
      </c>
      <c r="S1687" s="17"/>
      <c r="T1687" s="17"/>
      <c r="U1687" s="17"/>
    </row>
    <row r="1688" spans="17:21" x14ac:dyDescent="0.25">
      <c r="Q1688" s="17" t="s">
        <v>2561</v>
      </c>
      <c r="R1688" s="17" t="s">
        <v>199</v>
      </c>
      <c r="S1688" s="17"/>
      <c r="T1688" s="17"/>
      <c r="U1688" s="17"/>
    </row>
    <row r="1689" spans="17:21" x14ac:dyDescent="0.25">
      <c r="Q1689" s="17" t="s">
        <v>2562</v>
      </c>
      <c r="R1689" s="17" t="s">
        <v>199</v>
      </c>
      <c r="S1689" s="17"/>
      <c r="T1689" s="17"/>
      <c r="U1689" s="17"/>
    </row>
    <row r="1690" spans="17:21" x14ac:dyDescent="0.25">
      <c r="Q1690" s="17" t="s">
        <v>2563</v>
      </c>
      <c r="R1690" s="17" t="s">
        <v>199</v>
      </c>
      <c r="S1690" s="17"/>
      <c r="T1690" s="17"/>
      <c r="U1690" s="17"/>
    </row>
    <row r="1691" spans="17:21" x14ac:dyDescent="0.25">
      <c r="Q1691" s="17" t="s">
        <v>997</v>
      </c>
      <c r="R1691" s="17" t="s">
        <v>199</v>
      </c>
      <c r="S1691" s="17"/>
      <c r="T1691" s="17"/>
      <c r="U1691" s="17"/>
    </row>
    <row r="1692" spans="17:21" x14ac:dyDescent="0.25">
      <c r="Q1692" s="17" t="s">
        <v>2564</v>
      </c>
      <c r="R1692" s="17" t="s">
        <v>199</v>
      </c>
      <c r="S1692" s="17"/>
      <c r="T1692" s="17"/>
      <c r="U1692" s="17"/>
    </row>
    <row r="1693" spans="17:21" x14ac:dyDescent="0.25">
      <c r="Q1693" s="17" t="s">
        <v>2565</v>
      </c>
      <c r="R1693" s="17" t="s">
        <v>2566</v>
      </c>
      <c r="S1693" s="17"/>
      <c r="T1693" s="17"/>
      <c r="U1693" s="17"/>
    </row>
    <row r="1694" spans="17:21" x14ac:dyDescent="0.25">
      <c r="Q1694" s="17" t="s">
        <v>2567</v>
      </c>
      <c r="R1694" s="17" t="s">
        <v>2566</v>
      </c>
      <c r="S1694" s="17"/>
      <c r="T1694" s="17"/>
      <c r="U1694" s="17"/>
    </row>
    <row r="1695" spans="17:21" x14ac:dyDescent="0.25">
      <c r="Q1695" s="17" t="s">
        <v>2568</v>
      </c>
      <c r="R1695" s="17" t="s">
        <v>2566</v>
      </c>
      <c r="S1695" s="17"/>
      <c r="T1695" s="17"/>
      <c r="U1695" s="17"/>
    </row>
    <row r="1696" spans="17:21" x14ac:dyDescent="0.25">
      <c r="Q1696" s="17" t="s">
        <v>2569</v>
      </c>
      <c r="R1696" s="17" t="s">
        <v>199</v>
      </c>
      <c r="S1696" s="17"/>
      <c r="T1696" s="17"/>
      <c r="U1696" s="17"/>
    </row>
    <row r="1697" spans="17:21" x14ac:dyDescent="0.25">
      <c r="Q1697" s="17" t="s">
        <v>2570</v>
      </c>
      <c r="R1697" s="17" t="s">
        <v>199</v>
      </c>
      <c r="S1697" s="17"/>
      <c r="T1697" s="17"/>
      <c r="U1697" s="17"/>
    </row>
    <row r="1698" spans="17:21" x14ac:dyDescent="0.25">
      <c r="Q1698" s="17" t="s">
        <v>2571</v>
      </c>
      <c r="R1698" s="17" t="s">
        <v>199</v>
      </c>
      <c r="S1698" s="17"/>
      <c r="T1698" s="17"/>
      <c r="U1698" s="17"/>
    </row>
    <row r="1699" spans="17:21" x14ac:dyDescent="0.25">
      <c r="Q1699" s="17" t="s">
        <v>2572</v>
      </c>
      <c r="R1699" s="17" t="s">
        <v>199</v>
      </c>
      <c r="S1699" s="17"/>
      <c r="T1699" s="17"/>
      <c r="U1699" s="17"/>
    </row>
    <row r="1700" spans="17:21" x14ac:dyDescent="0.25">
      <c r="Q1700" s="17" t="s">
        <v>907</v>
      </c>
      <c r="R1700" s="17" t="s">
        <v>199</v>
      </c>
      <c r="S1700" s="17"/>
      <c r="T1700" s="17"/>
      <c r="U1700" s="17"/>
    </row>
    <row r="1701" spans="17:21" x14ac:dyDescent="0.25">
      <c r="Q1701" s="17" t="s">
        <v>2573</v>
      </c>
      <c r="R1701" s="17" t="s">
        <v>199</v>
      </c>
      <c r="S1701" s="17"/>
      <c r="T1701" s="17"/>
      <c r="U1701" s="17"/>
    </row>
    <row r="1702" spans="17:21" x14ac:dyDescent="0.25">
      <c r="Q1702" s="17" t="s">
        <v>2574</v>
      </c>
      <c r="R1702" s="17" t="s">
        <v>199</v>
      </c>
      <c r="S1702" s="17"/>
      <c r="T1702" s="17"/>
      <c r="U1702" s="17"/>
    </row>
    <row r="1703" spans="17:21" x14ac:dyDescent="0.25">
      <c r="Q1703" s="17" t="s">
        <v>2575</v>
      </c>
      <c r="R1703" s="17" t="s">
        <v>199</v>
      </c>
      <c r="S1703" s="17"/>
      <c r="T1703" s="17"/>
      <c r="U1703" s="17"/>
    </row>
    <row r="1704" spans="17:21" x14ac:dyDescent="0.25">
      <c r="Q1704" s="17" t="s">
        <v>2576</v>
      </c>
      <c r="R1704" s="17" t="s">
        <v>199</v>
      </c>
      <c r="S1704" s="17"/>
      <c r="T1704" s="17"/>
      <c r="U1704" s="17"/>
    </row>
    <row r="1705" spans="17:21" x14ac:dyDescent="0.25">
      <c r="Q1705" s="17" t="s">
        <v>2577</v>
      </c>
      <c r="R1705" s="17" t="s">
        <v>2566</v>
      </c>
      <c r="S1705" s="17"/>
      <c r="T1705" s="17"/>
      <c r="U1705" s="17"/>
    </row>
    <row r="1706" spans="17:21" x14ac:dyDescent="0.25">
      <c r="Q1706" s="17" t="s">
        <v>2578</v>
      </c>
      <c r="R1706" s="17" t="s">
        <v>2566</v>
      </c>
      <c r="S1706" s="17"/>
      <c r="T1706" s="17"/>
      <c r="U1706" s="17"/>
    </row>
    <row r="1707" spans="17:21" x14ac:dyDescent="0.25">
      <c r="Q1707" s="17" t="s">
        <v>2579</v>
      </c>
      <c r="R1707" s="17" t="s">
        <v>2566</v>
      </c>
      <c r="S1707" s="17"/>
      <c r="T1707" s="17"/>
      <c r="U1707" s="17"/>
    </row>
    <row r="1708" spans="17:21" x14ac:dyDescent="0.25">
      <c r="Q1708" s="17" t="s">
        <v>2580</v>
      </c>
      <c r="R1708" s="17" t="s">
        <v>2566</v>
      </c>
      <c r="S1708" s="17"/>
      <c r="T1708" s="17"/>
      <c r="U1708" s="17"/>
    </row>
    <row r="1709" spans="17:21" x14ac:dyDescent="0.25">
      <c r="Q1709" s="17" t="s">
        <v>2581</v>
      </c>
      <c r="R1709" s="17" t="s">
        <v>2566</v>
      </c>
      <c r="S1709" s="17"/>
      <c r="T1709" s="17"/>
      <c r="U1709" s="17"/>
    </row>
    <row r="1710" spans="17:21" x14ac:dyDescent="0.25">
      <c r="Q1710" s="17" t="s">
        <v>2582</v>
      </c>
      <c r="R1710" s="17" t="s">
        <v>2566</v>
      </c>
      <c r="S1710" s="17"/>
      <c r="T1710" s="17"/>
      <c r="U1710" s="17"/>
    </row>
    <row r="1711" spans="17:21" x14ac:dyDescent="0.25">
      <c r="Q1711" s="17" t="s">
        <v>2583</v>
      </c>
      <c r="R1711" s="17" t="s">
        <v>2566</v>
      </c>
      <c r="S1711" s="17"/>
      <c r="T1711" s="17"/>
      <c r="U1711" s="17"/>
    </row>
    <row r="1712" spans="17:21" x14ac:dyDescent="0.25">
      <c r="Q1712" s="17" t="s">
        <v>2584</v>
      </c>
      <c r="R1712" s="17" t="s">
        <v>2566</v>
      </c>
      <c r="S1712" s="17"/>
      <c r="T1712" s="17"/>
      <c r="U1712" s="17"/>
    </row>
    <row r="1713" spans="17:21" x14ac:dyDescent="0.25">
      <c r="Q1713" s="17" t="s">
        <v>2585</v>
      </c>
      <c r="R1713" s="17" t="s">
        <v>2566</v>
      </c>
      <c r="S1713" s="17"/>
      <c r="T1713" s="17"/>
      <c r="U1713" s="17"/>
    </row>
    <row r="1714" spans="17:21" x14ac:dyDescent="0.25">
      <c r="Q1714" s="17" t="s">
        <v>2586</v>
      </c>
      <c r="R1714" s="17" t="s">
        <v>2566</v>
      </c>
      <c r="S1714" s="17"/>
      <c r="T1714" s="17"/>
      <c r="U1714" s="17"/>
    </row>
    <row r="1715" spans="17:21" x14ac:dyDescent="0.25">
      <c r="Q1715" s="17" t="s">
        <v>2587</v>
      </c>
      <c r="R1715" s="17" t="s">
        <v>2566</v>
      </c>
      <c r="S1715" s="17"/>
      <c r="T1715" s="17"/>
      <c r="U1715" s="17"/>
    </row>
    <row r="1716" spans="17:21" x14ac:dyDescent="0.25">
      <c r="Q1716" s="17" t="s">
        <v>2588</v>
      </c>
      <c r="R1716" s="17" t="s">
        <v>199</v>
      </c>
      <c r="S1716" s="17"/>
      <c r="T1716" s="17"/>
      <c r="U1716" s="17"/>
    </row>
    <row r="1717" spans="17:21" x14ac:dyDescent="0.25">
      <c r="Q1717" s="17" t="s">
        <v>2589</v>
      </c>
      <c r="R1717" s="17" t="s">
        <v>199</v>
      </c>
      <c r="S1717" s="17"/>
      <c r="T1717" s="17"/>
      <c r="U1717" s="17"/>
    </row>
    <row r="1718" spans="17:21" x14ac:dyDescent="0.25">
      <c r="Q1718" s="17" t="s">
        <v>2590</v>
      </c>
      <c r="R1718" s="17" t="s">
        <v>199</v>
      </c>
      <c r="S1718" s="17"/>
      <c r="T1718" s="17"/>
      <c r="U1718" s="17"/>
    </row>
    <row r="1719" spans="17:21" x14ac:dyDescent="0.25">
      <c r="Q1719" s="17" t="s">
        <v>2591</v>
      </c>
      <c r="R1719" s="17" t="s">
        <v>199</v>
      </c>
      <c r="S1719" s="17"/>
      <c r="T1719" s="17"/>
      <c r="U1719" s="17"/>
    </row>
    <row r="1720" spans="17:21" x14ac:dyDescent="0.25">
      <c r="Q1720" s="17" t="s">
        <v>2592</v>
      </c>
      <c r="R1720" s="17" t="s">
        <v>199</v>
      </c>
      <c r="S1720" s="17"/>
      <c r="T1720" s="17"/>
      <c r="U1720" s="17"/>
    </row>
    <row r="1721" spans="17:21" x14ac:dyDescent="0.25">
      <c r="Q1721" s="17" t="s">
        <v>2593</v>
      </c>
      <c r="R1721" s="17" t="s">
        <v>2566</v>
      </c>
      <c r="S1721" s="17"/>
      <c r="T1721" s="17"/>
      <c r="U1721" s="17"/>
    </row>
    <row r="1722" spans="17:21" x14ac:dyDescent="0.25">
      <c r="Q1722" s="17" t="s">
        <v>2594</v>
      </c>
      <c r="R1722" s="17" t="s">
        <v>2566</v>
      </c>
      <c r="S1722" s="17"/>
      <c r="T1722" s="17"/>
      <c r="U1722" s="17"/>
    </row>
    <row r="1723" spans="17:21" x14ac:dyDescent="0.25">
      <c r="Q1723" s="17" t="s">
        <v>2595</v>
      </c>
      <c r="R1723" s="17" t="s">
        <v>2566</v>
      </c>
      <c r="S1723" s="17"/>
      <c r="T1723" s="17"/>
      <c r="U1723" s="17"/>
    </row>
    <row r="1724" spans="17:21" x14ac:dyDescent="0.25">
      <c r="Q1724" s="17" t="s">
        <v>2596</v>
      </c>
      <c r="R1724" s="17" t="s">
        <v>2566</v>
      </c>
      <c r="S1724" s="17"/>
      <c r="T1724" s="17"/>
      <c r="U1724" s="17"/>
    </row>
    <row r="1725" spans="17:21" x14ac:dyDescent="0.25">
      <c r="Q1725" s="17" t="s">
        <v>2597</v>
      </c>
      <c r="R1725" s="17" t="s">
        <v>2566</v>
      </c>
      <c r="S1725" s="17"/>
      <c r="T1725" s="17"/>
      <c r="U1725" s="17"/>
    </row>
    <row r="1726" spans="17:21" x14ac:dyDescent="0.25">
      <c r="Q1726" s="17" t="s">
        <v>2598</v>
      </c>
      <c r="R1726" s="17" t="s">
        <v>2566</v>
      </c>
      <c r="S1726" s="17"/>
      <c r="T1726" s="17"/>
      <c r="U1726" s="17"/>
    </row>
    <row r="1727" spans="17:21" x14ac:dyDescent="0.25">
      <c r="Q1727" s="17" t="s">
        <v>2599</v>
      </c>
      <c r="R1727" s="17" t="s">
        <v>2566</v>
      </c>
      <c r="S1727" s="17"/>
      <c r="T1727" s="17"/>
      <c r="U1727" s="17"/>
    </row>
    <row r="1728" spans="17:21" x14ac:dyDescent="0.25">
      <c r="Q1728" s="17" t="s">
        <v>2600</v>
      </c>
      <c r="R1728" s="17" t="s">
        <v>2566</v>
      </c>
      <c r="S1728" s="17"/>
      <c r="T1728" s="17"/>
      <c r="U1728" s="17"/>
    </row>
    <row r="1729" spans="17:21" x14ac:dyDescent="0.25">
      <c r="Q1729" s="17" t="s">
        <v>2601</v>
      </c>
      <c r="R1729" s="17" t="s">
        <v>2566</v>
      </c>
      <c r="S1729" s="17"/>
      <c r="T1729" s="17"/>
      <c r="U1729" s="17"/>
    </row>
    <row r="1730" spans="17:21" x14ac:dyDescent="0.25">
      <c r="Q1730" s="17" t="s">
        <v>2602</v>
      </c>
      <c r="R1730" s="17" t="s">
        <v>2566</v>
      </c>
      <c r="S1730" s="17"/>
      <c r="T1730" s="17"/>
      <c r="U1730" s="17"/>
    </row>
    <row r="1731" spans="17:21" x14ac:dyDescent="0.25">
      <c r="Q1731" s="17" t="s">
        <v>2603</v>
      </c>
      <c r="R1731" s="17" t="s">
        <v>2566</v>
      </c>
      <c r="S1731" s="17"/>
      <c r="T1731" s="17"/>
      <c r="U1731" s="17"/>
    </row>
    <row r="1732" spans="17:21" x14ac:dyDescent="0.25">
      <c r="Q1732" s="17" t="s">
        <v>2604</v>
      </c>
      <c r="R1732" s="17" t="s">
        <v>2566</v>
      </c>
      <c r="S1732" s="17"/>
      <c r="T1732" s="17"/>
      <c r="U1732" s="17"/>
    </row>
    <row r="1733" spans="17:21" x14ac:dyDescent="0.25">
      <c r="Q1733" s="17" t="s">
        <v>2605</v>
      </c>
      <c r="R1733" s="17" t="s">
        <v>2566</v>
      </c>
      <c r="S1733" s="17"/>
      <c r="T1733" s="17"/>
      <c r="U1733" s="17"/>
    </row>
    <row r="1734" spans="17:21" x14ac:dyDescent="0.25">
      <c r="Q1734" s="17" t="s">
        <v>2606</v>
      </c>
      <c r="R1734" s="17" t="s">
        <v>2566</v>
      </c>
      <c r="S1734" s="17"/>
      <c r="T1734" s="17"/>
      <c r="U1734" s="17"/>
    </row>
    <row r="1735" spans="17:21" x14ac:dyDescent="0.25">
      <c r="Q1735" s="17" t="s">
        <v>2607</v>
      </c>
      <c r="R1735" s="17" t="s">
        <v>2566</v>
      </c>
      <c r="S1735" s="17"/>
      <c r="T1735" s="17"/>
      <c r="U1735" s="17"/>
    </row>
    <row r="1736" spans="17:21" x14ac:dyDescent="0.25">
      <c r="Q1736" s="17" t="s">
        <v>2608</v>
      </c>
      <c r="R1736" s="17" t="s">
        <v>2566</v>
      </c>
      <c r="S1736" s="17"/>
      <c r="T1736" s="17"/>
      <c r="U1736" s="17"/>
    </row>
    <row r="1737" spans="17:21" x14ac:dyDescent="0.25">
      <c r="Q1737" s="17" t="s">
        <v>2609</v>
      </c>
      <c r="R1737" s="17" t="s">
        <v>2566</v>
      </c>
      <c r="S1737" s="17"/>
      <c r="T1737" s="17"/>
      <c r="U1737" s="17"/>
    </row>
    <row r="1738" spans="17:21" x14ac:dyDescent="0.25">
      <c r="Q1738" s="17" t="s">
        <v>2610</v>
      </c>
      <c r="R1738" s="17" t="s">
        <v>2566</v>
      </c>
      <c r="S1738" s="17"/>
      <c r="T1738" s="17"/>
      <c r="U1738" s="17"/>
    </row>
    <row r="1739" spans="17:21" x14ac:dyDescent="0.25">
      <c r="Q1739" s="17" t="s">
        <v>2611</v>
      </c>
      <c r="R1739" s="17" t="s">
        <v>289</v>
      </c>
      <c r="S1739" s="17"/>
      <c r="T1739" s="17"/>
      <c r="U1739" s="17"/>
    </row>
    <row r="1740" spans="17:21" x14ac:dyDescent="0.25">
      <c r="Q1740" s="17" t="s">
        <v>2612</v>
      </c>
      <c r="R1740" s="17" t="s">
        <v>2566</v>
      </c>
      <c r="S1740" s="17"/>
      <c r="T1740" s="17"/>
      <c r="U1740" s="17"/>
    </row>
    <row r="1741" spans="17:21" x14ac:dyDescent="0.25">
      <c r="Q1741" s="17" t="s">
        <v>2613</v>
      </c>
      <c r="R1741" s="17" t="s">
        <v>2566</v>
      </c>
      <c r="S1741" s="17"/>
      <c r="T1741" s="17"/>
      <c r="U1741" s="17"/>
    </row>
    <row r="1742" spans="17:21" x14ac:dyDescent="0.25">
      <c r="Q1742" s="17" t="s">
        <v>2614</v>
      </c>
      <c r="R1742" s="17" t="s">
        <v>2566</v>
      </c>
      <c r="S1742" s="17"/>
      <c r="T1742" s="17"/>
      <c r="U1742" s="17"/>
    </row>
    <row r="1743" spans="17:21" x14ac:dyDescent="0.25">
      <c r="Q1743" s="17" t="s">
        <v>2615</v>
      </c>
      <c r="R1743" s="17" t="s">
        <v>2566</v>
      </c>
      <c r="S1743" s="17"/>
      <c r="T1743" s="17"/>
      <c r="U1743" s="17"/>
    </row>
    <row r="1744" spans="17:21" x14ac:dyDescent="0.25">
      <c r="Q1744" s="17" t="s">
        <v>2616</v>
      </c>
      <c r="R1744" s="17" t="s">
        <v>2566</v>
      </c>
      <c r="S1744" s="17"/>
      <c r="T1744" s="17"/>
      <c r="U1744" s="17"/>
    </row>
    <row r="1745" spans="17:21" x14ac:dyDescent="0.25">
      <c r="Q1745" s="17" t="s">
        <v>2617</v>
      </c>
      <c r="R1745" s="17" t="s">
        <v>2566</v>
      </c>
      <c r="S1745" s="17"/>
      <c r="T1745" s="17"/>
      <c r="U1745" s="17"/>
    </row>
    <row r="1746" spans="17:21" x14ac:dyDescent="0.25">
      <c r="Q1746" s="17" t="s">
        <v>2618</v>
      </c>
      <c r="R1746" s="17" t="s">
        <v>2566</v>
      </c>
      <c r="S1746" s="17"/>
      <c r="T1746" s="17"/>
      <c r="U1746" s="17"/>
    </row>
    <row r="1747" spans="17:21" x14ac:dyDescent="0.25">
      <c r="Q1747" s="17" t="s">
        <v>2619</v>
      </c>
      <c r="R1747" s="17" t="s">
        <v>2566</v>
      </c>
      <c r="S1747" s="17"/>
      <c r="T1747" s="17"/>
      <c r="U1747" s="17"/>
    </row>
    <row r="1748" spans="17:21" x14ac:dyDescent="0.25">
      <c r="Q1748" s="17" t="s">
        <v>2620</v>
      </c>
      <c r="R1748" s="17" t="s">
        <v>2566</v>
      </c>
      <c r="S1748" s="17"/>
      <c r="T1748" s="17"/>
      <c r="U1748" s="17"/>
    </row>
    <row r="1749" spans="17:21" x14ac:dyDescent="0.25">
      <c r="Q1749" s="17" t="s">
        <v>2621</v>
      </c>
      <c r="R1749" s="17" t="s">
        <v>2566</v>
      </c>
      <c r="S1749" s="17"/>
      <c r="T1749" s="17"/>
      <c r="U1749" s="17"/>
    </row>
    <row r="1750" spans="17:21" x14ac:dyDescent="0.25">
      <c r="Q1750" s="17" t="s">
        <v>2622</v>
      </c>
      <c r="R1750" s="17" t="s">
        <v>2566</v>
      </c>
      <c r="S1750" s="17"/>
      <c r="T1750" s="17"/>
      <c r="U1750" s="17"/>
    </row>
    <row r="1751" spans="17:21" x14ac:dyDescent="0.25">
      <c r="Q1751" s="17" t="s">
        <v>2623</v>
      </c>
      <c r="R1751" s="17" t="s">
        <v>2566</v>
      </c>
      <c r="S1751" s="17"/>
      <c r="T1751" s="17"/>
      <c r="U1751" s="17"/>
    </row>
    <row r="1752" spans="17:21" x14ac:dyDescent="0.25">
      <c r="Q1752" s="17" t="s">
        <v>2624</v>
      </c>
      <c r="R1752" s="17" t="s">
        <v>2566</v>
      </c>
      <c r="S1752" s="17"/>
      <c r="T1752" s="17"/>
      <c r="U1752" s="17"/>
    </row>
    <row r="1753" spans="17:21" x14ac:dyDescent="0.25">
      <c r="Q1753" s="17" t="s">
        <v>2625</v>
      </c>
      <c r="R1753" s="17" t="s">
        <v>2566</v>
      </c>
      <c r="S1753" s="17"/>
      <c r="T1753" s="17"/>
      <c r="U1753" s="17"/>
    </row>
    <row r="1754" spans="17:21" x14ac:dyDescent="0.25">
      <c r="Q1754" s="17" t="s">
        <v>2626</v>
      </c>
      <c r="R1754" s="17" t="s">
        <v>2566</v>
      </c>
      <c r="S1754" s="17"/>
      <c r="T1754" s="17"/>
      <c r="U1754" s="17"/>
    </row>
    <row r="1755" spans="17:21" x14ac:dyDescent="0.25">
      <c r="Q1755" s="17" t="s">
        <v>2627</v>
      </c>
      <c r="R1755" s="17" t="s">
        <v>2566</v>
      </c>
      <c r="S1755" s="17"/>
      <c r="T1755" s="17"/>
      <c r="U1755" s="17"/>
    </row>
    <row r="1756" spans="17:21" x14ac:dyDescent="0.25">
      <c r="Q1756" s="17" t="s">
        <v>2628</v>
      </c>
      <c r="R1756" s="17" t="s">
        <v>2566</v>
      </c>
      <c r="S1756" s="17"/>
      <c r="T1756" s="17"/>
      <c r="U1756" s="17"/>
    </row>
    <row r="1757" spans="17:21" x14ac:dyDescent="0.25">
      <c r="Q1757" s="17" t="s">
        <v>2629</v>
      </c>
      <c r="R1757" s="17" t="s">
        <v>2566</v>
      </c>
      <c r="S1757" s="17"/>
      <c r="T1757" s="17"/>
      <c r="U1757" s="17"/>
    </row>
    <row r="1758" spans="17:21" x14ac:dyDescent="0.25">
      <c r="Q1758" s="17" t="s">
        <v>2630</v>
      </c>
      <c r="R1758" s="17" t="s">
        <v>2566</v>
      </c>
      <c r="S1758" s="17"/>
      <c r="T1758" s="17"/>
      <c r="U1758" s="17"/>
    </row>
    <row r="1759" spans="17:21" x14ac:dyDescent="0.25">
      <c r="Q1759" s="17" t="s">
        <v>2631</v>
      </c>
      <c r="R1759" s="17" t="s">
        <v>2566</v>
      </c>
      <c r="S1759" s="17"/>
      <c r="T1759" s="17"/>
      <c r="U1759" s="17"/>
    </row>
    <row r="1760" spans="17:21" x14ac:dyDescent="0.25">
      <c r="Q1760" s="17" t="s">
        <v>2632</v>
      </c>
      <c r="R1760" s="17" t="s">
        <v>2566</v>
      </c>
      <c r="S1760" s="17"/>
      <c r="T1760" s="17"/>
      <c r="U1760" s="17"/>
    </row>
    <row r="1761" spans="17:21" x14ac:dyDescent="0.25">
      <c r="Q1761" s="17" t="s">
        <v>2633</v>
      </c>
      <c r="R1761" s="17" t="s">
        <v>2566</v>
      </c>
      <c r="S1761" s="17"/>
      <c r="T1761" s="17"/>
      <c r="U1761" s="17"/>
    </row>
    <row r="1762" spans="17:21" x14ac:dyDescent="0.25">
      <c r="Q1762" s="17" t="s">
        <v>2634</v>
      </c>
      <c r="R1762" s="17" t="s">
        <v>2566</v>
      </c>
      <c r="S1762" s="17"/>
      <c r="T1762" s="17"/>
      <c r="U1762" s="17"/>
    </row>
    <row r="1763" spans="17:21" x14ac:dyDescent="0.25">
      <c r="Q1763" s="17" t="s">
        <v>2635</v>
      </c>
      <c r="R1763" s="17" t="s">
        <v>2566</v>
      </c>
      <c r="S1763" s="17"/>
      <c r="T1763" s="17"/>
      <c r="U1763" s="17"/>
    </row>
    <row r="1764" spans="17:21" x14ac:dyDescent="0.25">
      <c r="Q1764" s="17" t="s">
        <v>2636</v>
      </c>
      <c r="R1764" s="17" t="s">
        <v>2566</v>
      </c>
      <c r="S1764" s="17"/>
      <c r="T1764" s="17"/>
      <c r="U1764" s="17"/>
    </row>
    <row r="1765" spans="17:21" x14ac:dyDescent="0.25">
      <c r="Q1765" s="17" t="s">
        <v>2637</v>
      </c>
      <c r="R1765" s="17" t="s">
        <v>2566</v>
      </c>
      <c r="S1765" s="17"/>
      <c r="T1765" s="17"/>
      <c r="U1765" s="17"/>
    </row>
    <row r="1766" spans="17:21" x14ac:dyDescent="0.25">
      <c r="Q1766" s="17" t="s">
        <v>2638</v>
      </c>
      <c r="R1766" s="17" t="s">
        <v>2566</v>
      </c>
      <c r="S1766" s="17"/>
      <c r="T1766" s="17"/>
      <c r="U1766" s="17"/>
    </row>
    <row r="1767" spans="17:21" x14ac:dyDescent="0.25">
      <c r="Q1767" s="17" t="s">
        <v>2639</v>
      </c>
      <c r="R1767" s="17" t="s">
        <v>2566</v>
      </c>
      <c r="S1767" s="17"/>
      <c r="T1767" s="17"/>
      <c r="U1767" s="17"/>
    </row>
    <row r="1768" spans="17:21" x14ac:dyDescent="0.25">
      <c r="Q1768" s="17" t="s">
        <v>2640</v>
      </c>
      <c r="R1768" s="17" t="s">
        <v>2566</v>
      </c>
      <c r="S1768" s="17"/>
      <c r="T1768" s="17"/>
      <c r="U1768" s="17"/>
    </row>
    <row r="1769" spans="17:21" x14ac:dyDescent="0.25">
      <c r="Q1769" s="17" t="s">
        <v>2641</v>
      </c>
      <c r="R1769" s="17" t="s">
        <v>2566</v>
      </c>
      <c r="S1769" s="17"/>
      <c r="T1769" s="17"/>
      <c r="U1769" s="17"/>
    </row>
    <row r="1770" spans="17:21" x14ac:dyDescent="0.25">
      <c r="Q1770" s="17" t="s">
        <v>2642</v>
      </c>
      <c r="R1770" s="17" t="s">
        <v>2566</v>
      </c>
      <c r="S1770" s="17"/>
      <c r="T1770" s="17"/>
      <c r="U1770" s="17"/>
    </row>
    <row r="1771" spans="17:21" x14ac:dyDescent="0.25">
      <c r="Q1771" s="17" t="s">
        <v>2643</v>
      </c>
      <c r="R1771" s="17" t="s">
        <v>2566</v>
      </c>
      <c r="S1771" s="17"/>
      <c r="T1771" s="17"/>
      <c r="U1771" s="17"/>
    </row>
    <row r="1772" spans="17:21" x14ac:dyDescent="0.25">
      <c r="Q1772" s="17" t="s">
        <v>2644</v>
      </c>
      <c r="R1772" s="17" t="s">
        <v>289</v>
      </c>
      <c r="S1772" s="17"/>
      <c r="T1772" s="17"/>
      <c r="U1772" s="17"/>
    </row>
    <row r="1773" spans="17:21" x14ac:dyDescent="0.25">
      <c r="Q1773" s="17" t="s">
        <v>2645</v>
      </c>
      <c r="R1773" s="17" t="s">
        <v>289</v>
      </c>
      <c r="S1773" s="17"/>
      <c r="T1773" s="17"/>
      <c r="U1773" s="17"/>
    </row>
    <row r="1774" spans="17:21" x14ac:dyDescent="0.25">
      <c r="Q1774" s="17" t="s">
        <v>2646</v>
      </c>
      <c r="R1774" s="17" t="s">
        <v>2566</v>
      </c>
      <c r="S1774" s="17"/>
      <c r="T1774" s="17"/>
      <c r="U1774" s="17"/>
    </row>
    <row r="1775" spans="17:21" x14ac:dyDescent="0.25">
      <c r="Q1775" s="17" t="s">
        <v>2647</v>
      </c>
      <c r="R1775" s="17" t="s">
        <v>2566</v>
      </c>
      <c r="S1775" s="17"/>
      <c r="T1775" s="17"/>
      <c r="U1775" s="17"/>
    </row>
    <row r="1776" spans="17:21" x14ac:dyDescent="0.25">
      <c r="Q1776" s="17" t="s">
        <v>2648</v>
      </c>
      <c r="R1776" s="17" t="s">
        <v>2566</v>
      </c>
      <c r="S1776" s="17"/>
      <c r="T1776" s="17"/>
      <c r="U1776" s="17"/>
    </row>
    <row r="1777" spans="17:21" x14ac:dyDescent="0.25">
      <c r="Q1777" s="17" t="s">
        <v>2649</v>
      </c>
      <c r="R1777" s="17" t="s">
        <v>2566</v>
      </c>
      <c r="S1777" s="17"/>
      <c r="T1777" s="17"/>
      <c r="U1777" s="17"/>
    </row>
    <row r="1778" spans="17:21" x14ac:dyDescent="0.25">
      <c r="Q1778" s="17" t="s">
        <v>2650</v>
      </c>
      <c r="R1778" s="17" t="s">
        <v>2566</v>
      </c>
      <c r="S1778" s="17"/>
      <c r="T1778" s="17"/>
      <c r="U1778" s="17"/>
    </row>
    <row r="1779" spans="17:21" x14ac:dyDescent="0.25">
      <c r="Q1779" s="17" t="s">
        <v>2651</v>
      </c>
      <c r="R1779" s="17" t="s">
        <v>2566</v>
      </c>
      <c r="S1779" s="17"/>
      <c r="T1779" s="17"/>
      <c r="U1779" s="17"/>
    </row>
    <row r="1780" spans="17:21" x14ac:dyDescent="0.25">
      <c r="Q1780" s="17" t="s">
        <v>2652</v>
      </c>
      <c r="R1780" s="17" t="s">
        <v>2566</v>
      </c>
      <c r="S1780" s="17"/>
      <c r="T1780" s="17"/>
      <c r="U1780" s="17"/>
    </row>
    <row r="1781" spans="17:21" x14ac:dyDescent="0.25">
      <c r="Q1781" s="17" t="s">
        <v>2653</v>
      </c>
      <c r="R1781" s="17" t="s">
        <v>2566</v>
      </c>
      <c r="S1781" s="17"/>
      <c r="T1781" s="17"/>
      <c r="U1781" s="17"/>
    </row>
    <row r="1782" spans="17:21" x14ac:dyDescent="0.25">
      <c r="Q1782" s="17" t="s">
        <v>2654</v>
      </c>
      <c r="R1782" s="17" t="s">
        <v>2566</v>
      </c>
      <c r="S1782" s="17"/>
      <c r="T1782" s="17"/>
      <c r="U1782" s="17"/>
    </row>
    <row r="1783" spans="17:21" x14ac:dyDescent="0.25">
      <c r="Q1783" s="17" t="s">
        <v>2655</v>
      </c>
      <c r="R1783" s="17" t="s">
        <v>2566</v>
      </c>
      <c r="S1783" s="17"/>
      <c r="T1783" s="17"/>
      <c r="U1783" s="17"/>
    </row>
    <row r="1784" spans="17:21" x14ac:dyDescent="0.25">
      <c r="Q1784" s="17" t="s">
        <v>2656</v>
      </c>
      <c r="R1784" s="17" t="s">
        <v>2566</v>
      </c>
      <c r="S1784" s="17"/>
      <c r="T1784" s="17"/>
      <c r="U1784" s="17"/>
    </row>
    <row r="1785" spans="17:21" x14ac:dyDescent="0.25">
      <c r="Q1785" s="17" t="s">
        <v>2657</v>
      </c>
      <c r="R1785" s="17" t="s">
        <v>2566</v>
      </c>
      <c r="S1785" s="17"/>
      <c r="T1785" s="17"/>
      <c r="U1785" s="17"/>
    </row>
    <row r="1786" spans="17:21" x14ac:dyDescent="0.25">
      <c r="Q1786" s="17" t="s">
        <v>2658</v>
      </c>
      <c r="R1786" s="17" t="s">
        <v>2566</v>
      </c>
      <c r="S1786" s="17"/>
      <c r="T1786" s="17"/>
      <c r="U1786" s="17"/>
    </row>
    <row r="1787" spans="17:21" x14ac:dyDescent="0.25">
      <c r="Q1787" s="17" t="s">
        <v>2659</v>
      </c>
      <c r="R1787" s="17" t="s">
        <v>2566</v>
      </c>
      <c r="S1787" s="17"/>
      <c r="T1787" s="17"/>
      <c r="U1787" s="17"/>
    </row>
    <row r="1788" spans="17:21" x14ac:dyDescent="0.25">
      <c r="Q1788" s="17" t="s">
        <v>2660</v>
      </c>
      <c r="R1788" s="17" t="s">
        <v>2566</v>
      </c>
      <c r="S1788" s="17"/>
      <c r="T1788" s="17"/>
      <c r="U1788" s="17"/>
    </row>
    <row r="1789" spans="17:21" x14ac:dyDescent="0.25">
      <c r="Q1789" s="17" t="s">
        <v>2661</v>
      </c>
      <c r="R1789" s="17" t="s">
        <v>289</v>
      </c>
      <c r="S1789" s="17"/>
      <c r="T1789" s="17"/>
      <c r="U1789" s="17"/>
    </row>
    <row r="1790" spans="17:21" x14ac:dyDescent="0.25">
      <c r="Q1790" s="17" t="s">
        <v>2662</v>
      </c>
      <c r="R1790" s="17" t="s">
        <v>289</v>
      </c>
      <c r="S1790" s="17"/>
      <c r="T1790" s="17"/>
      <c r="U1790" s="17"/>
    </row>
    <row r="1791" spans="17:21" x14ac:dyDescent="0.25">
      <c r="Q1791" s="17" t="s">
        <v>2663</v>
      </c>
      <c r="R1791" s="17" t="s">
        <v>289</v>
      </c>
      <c r="S1791" s="17"/>
      <c r="T1791" s="17"/>
      <c r="U1791" s="17"/>
    </row>
    <row r="1792" spans="17:21" x14ac:dyDescent="0.25">
      <c r="Q1792" s="17" t="s">
        <v>2664</v>
      </c>
      <c r="R1792" s="17" t="s">
        <v>289</v>
      </c>
      <c r="S1792" s="17"/>
      <c r="T1792" s="17"/>
      <c r="U1792" s="17"/>
    </row>
    <row r="1793" spans="17:21" x14ac:dyDescent="0.25">
      <c r="Q1793" s="17" t="s">
        <v>2665</v>
      </c>
      <c r="R1793" s="17" t="s">
        <v>289</v>
      </c>
      <c r="S1793" s="17"/>
      <c r="T1793" s="17"/>
      <c r="U1793" s="17"/>
    </row>
    <row r="1794" spans="17:21" x14ac:dyDescent="0.25">
      <c r="Q1794" s="17" t="s">
        <v>2666</v>
      </c>
      <c r="R1794" s="17" t="s">
        <v>289</v>
      </c>
      <c r="S1794" s="17"/>
      <c r="T1794" s="17"/>
      <c r="U1794" s="17"/>
    </row>
    <row r="1795" spans="17:21" x14ac:dyDescent="0.25">
      <c r="Q1795" s="17" t="s">
        <v>847</v>
      </c>
      <c r="R1795" s="17" t="s">
        <v>289</v>
      </c>
      <c r="S1795" s="17"/>
      <c r="T1795" s="17"/>
      <c r="U1795" s="17"/>
    </row>
    <row r="1796" spans="17:21" x14ac:dyDescent="0.25">
      <c r="Q1796" s="17" t="s">
        <v>2667</v>
      </c>
      <c r="R1796" s="17" t="s">
        <v>289</v>
      </c>
      <c r="S1796" s="17"/>
      <c r="T1796" s="17"/>
      <c r="U1796" s="17"/>
    </row>
    <row r="1797" spans="17:21" x14ac:dyDescent="0.25">
      <c r="Q1797" s="17" t="s">
        <v>391</v>
      </c>
      <c r="R1797" s="17" t="s">
        <v>289</v>
      </c>
      <c r="S1797" s="17"/>
      <c r="T1797" s="17"/>
      <c r="U1797" s="17"/>
    </row>
    <row r="1798" spans="17:21" x14ac:dyDescent="0.25">
      <c r="Q1798" s="17" t="s">
        <v>2668</v>
      </c>
      <c r="R1798" s="17" t="s">
        <v>289</v>
      </c>
      <c r="S1798" s="17"/>
      <c r="T1798" s="17"/>
      <c r="U1798" s="17"/>
    </row>
    <row r="1799" spans="17:21" x14ac:dyDescent="0.25">
      <c r="Q1799" s="17" t="s">
        <v>700</v>
      </c>
      <c r="R1799" s="17" t="s">
        <v>289</v>
      </c>
      <c r="S1799" s="17"/>
      <c r="T1799" s="17"/>
      <c r="U1799" s="17"/>
    </row>
    <row r="1800" spans="17:21" x14ac:dyDescent="0.25">
      <c r="Q1800" s="17" t="s">
        <v>2669</v>
      </c>
      <c r="R1800" s="17" t="s">
        <v>289</v>
      </c>
      <c r="S1800" s="17"/>
      <c r="T1800" s="17"/>
      <c r="U1800" s="17"/>
    </row>
    <row r="1801" spans="17:21" x14ac:dyDescent="0.25">
      <c r="Q1801" s="17" t="s">
        <v>2670</v>
      </c>
      <c r="R1801" s="17" t="s">
        <v>289</v>
      </c>
      <c r="S1801" s="17"/>
      <c r="T1801" s="17"/>
      <c r="U1801" s="17"/>
    </row>
    <row r="1802" spans="17:21" x14ac:dyDescent="0.25">
      <c r="Q1802" s="17" t="s">
        <v>2671</v>
      </c>
      <c r="R1802" s="17" t="s">
        <v>289</v>
      </c>
      <c r="S1802" s="17"/>
      <c r="T1802" s="17"/>
      <c r="U1802" s="17"/>
    </row>
    <row r="1803" spans="17:21" x14ac:dyDescent="0.25">
      <c r="Q1803" s="17" t="s">
        <v>2672</v>
      </c>
      <c r="R1803" s="17" t="s">
        <v>289</v>
      </c>
      <c r="S1803" s="17"/>
      <c r="T1803" s="17"/>
      <c r="U1803" s="17"/>
    </row>
    <row r="1804" spans="17:21" x14ac:dyDescent="0.25">
      <c r="Q1804" s="17" t="s">
        <v>2673</v>
      </c>
      <c r="R1804" s="17" t="s">
        <v>2239</v>
      </c>
      <c r="S1804" s="17"/>
      <c r="T1804" s="17"/>
      <c r="U1804" s="17"/>
    </row>
    <row r="1805" spans="17:21" x14ac:dyDescent="0.25">
      <c r="Q1805" s="17" t="s">
        <v>2674</v>
      </c>
      <c r="R1805" s="17" t="s">
        <v>2675</v>
      </c>
      <c r="S1805" s="17"/>
      <c r="T1805" s="17"/>
      <c r="U1805" s="17"/>
    </row>
    <row r="1806" spans="17:21" x14ac:dyDescent="0.25">
      <c r="Q1806" s="17" t="s">
        <v>2676</v>
      </c>
      <c r="R1806" s="17" t="s">
        <v>2675</v>
      </c>
      <c r="S1806" s="17"/>
      <c r="T1806" s="17"/>
      <c r="U1806" s="17"/>
    </row>
    <row r="1807" spans="17:21" x14ac:dyDescent="0.25">
      <c r="Q1807" s="17" t="s">
        <v>2677</v>
      </c>
      <c r="R1807" s="17" t="s">
        <v>2675</v>
      </c>
      <c r="S1807" s="17"/>
      <c r="T1807" s="17"/>
      <c r="U1807" s="17"/>
    </row>
    <row r="1808" spans="17:21" x14ac:dyDescent="0.25">
      <c r="Q1808" s="17" t="s">
        <v>2678</v>
      </c>
      <c r="R1808" s="17" t="s">
        <v>2675</v>
      </c>
      <c r="S1808" s="17"/>
      <c r="T1808" s="17"/>
      <c r="U1808" s="17"/>
    </row>
    <row r="1809" spans="17:21" x14ac:dyDescent="0.25">
      <c r="Q1809" s="17" t="s">
        <v>2679</v>
      </c>
      <c r="R1809" s="17" t="s">
        <v>2675</v>
      </c>
      <c r="S1809" s="17"/>
      <c r="T1809" s="17"/>
      <c r="U1809" s="17"/>
    </row>
    <row r="1810" spans="17:21" x14ac:dyDescent="0.25">
      <c r="Q1810" s="17" t="s">
        <v>2680</v>
      </c>
      <c r="R1810" s="17" t="s">
        <v>2675</v>
      </c>
      <c r="S1810" s="17"/>
      <c r="T1810" s="17"/>
      <c r="U1810" s="17"/>
    </row>
    <row r="1811" spans="17:21" x14ac:dyDescent="0.25">
      <c r="Q1811" s="17" t="s">
        <v>2681</v>
      </c>
      <c r="R1811" s="17" t="s">
        <v>2675</v>
      </c>
      <c r="S1811" s="17"/>
      <c r="T1811" s="17"/>
      <c r="U1811" s="17"/>
    </row>
    <row r="1812" spans="17:21" x14ac:dyDescent="0.25">
      <c r="Q1812" s="17" t="s">
        <v>2682</v>
      </c>
      <c r="R1812" s="17" t="s">
        <v>2566</v>
      </c>
      <c r="S1812" s="17"/>
      <c r="T1812" s="17"/>
      <c r="U1812" s="17"/>
    </row>
    <row r="1813" spans="17:21" x14ac:dyDescent="0.25">
      <c r="Q1813" s="17" t="s">
        <v>2683</v>
      </c>
      <c r="R1813" s="17" t="s">
        <v>2675</v>
      </c>
      <c r="S1813" s="17"/>
      <c r="T1813" s="17"/>
      <c r="U1813" s="17"/>
    </row>
    <row r="1814" spans="17:21" x14ac:dyDescent="0.25">
      <c r="Q1814" s="17" t="s">
        <v>2684</v>
      </c>
      <c r="R1814" s="17" t="s">
        <v>2675</v>
      </c>
      <c r="S1814" s="17"/>
      <c r="T1814" s="17"/>
      <c r="U1814" s="17"/>
    </row>
    <row r="1815" spans="17:21" x14ac:dyDescent="0.25">
      <c r="Q1815" s="17" t="s">
        <v>2685</v>
      </c>
      <c r="R1815" s="17" t="s">
        <v>2675</v>
      </c>
      <c r="S1815" s="17"/>
      <c r="T1815" s="17"/>
      <c r="U1815" s="17"/>
    </row>
    <row r="1816" spans="17:21" x14ac:dyDescent="0.25">
      <c r="Q1816" s="17" t="s">
        <v>2686</v>
      </c>
      <c r="R1816" s="17" t="s">
        <v>2675</v>
      </c>
      <c r="S1816" s="17"/>
      <c r="T1816" s="17"/>
      <c r="U1816" s="17"/>
    </row>
    <row r="1817" spans="17:21" x14ac:dyDescent="0.25">
      <c r="Q1817" s="17" t="s">
        <v>2687</v>
      </c>
      <c r="R1817" s="17" t="s">
        <v>2675</v>
      </c>
      <c r="S1817" s="17"/>
      <c r="T1817" s="17"/>
      <c r="U1817" s="17"/>
    </row>
    <row r="1818" spans="17:21" x14ac:dyDescent="0.25">
      <c r="Q1818" s="17" t="s">
        <v>2688</v>
      </c>
      <c r="R1818" s="17" t="s">
        <v>2675</v>
      </c>
      <c r="S1818" s="17"/>
      <c r="T1818" s="17"/>
      <c r="U1818" s="17"/>
    </row>
    <row r="1819" spans="17:21" x14ac:dyDescent="0.25">
      <c r="Q1819" s="17" t="s">
        <v>2689</v>
      </c>
      <c r="R1819" s="17" t="s">
        <v>2675</v>
      </c>
      <c r="S1819" s="17"/>
      <c r="T1819" s="17"/>
      <c r="U1819" s="17"/>
    </row>
    <row r="1820" spans="17:21" x14ac:dyDescent="0.25">
      <c r="Q1820" s="17" t="s">
        <v>2690</v>
      </c>
      <c r="R1820" s="17" t="s">
        <v>2675</v>
      </c>
      <c r="S1820" s="17"/>
      <c r="T1820" s="17"/>
      <c r="U1820" s="17"/>
    </row>
    <row r="1821" spans="17:21" x14ac:dyDescent="0.25">
      <c r="Q1821" s="17" t="s">
        <v>2691</v>
      </c>
      <c r="R1821" s="17" t="s">
        <v>2675</v>
      </c>
      <c r="S1821" s="17"/>
      <c r="T1821" s="17"/>
      <c r="U1821" s="17"/>
    </row>
    <row r="1822" spans="17:21" x14ac:dyDescent="0.25">
      <c r="Q1822" s="17" t="s">
        <v>2692</v>
      </c>
      <c r="R1822" s="17" t="s">
        <v>2675</v>
      </c>
      <c r="S1822" s="17"/>
      <c r="T1822" s="17"/>
      <c r="U1822" s="17"/>
    </row>
    <row r="1823" spans="17:21" x14ac:dyDescent="0.25">
      <c r="Q1823" s="17" t="s">
        <v>2693</v>
      </c>
      <c r="R1823" s="17" t="s">
        <v>2675</v>
      </c>
      <c r="S1823" s="17"/>
      <c r="T1823" s="17"/>
      <c r="U1823" s="17"/>
    </row>
    <row r="1824" spans="17:21" x14ac:dyDescent="0.25">
      <c r="Q1824" s="17" t="s">
        <v>2694</v>
      </c>
      <c r="R1824" s="17" t="s">
        <v>2675</v>
      </c>
      <c r="S1824" s="17"/>
      <c r="T1824" s="17"/>
      <c r="U1824" s="17"/>
    </row>
    <row r="1825" spans="17:21" x14ac:dyDescent="0.25">
      <c r="Q1825" s="17" t="s">
        <v>2695</v>
      </c>
      <c r="R1825" s="17" t="s">
        <v>2675</v>
      </c>
      <c r="S1825" s="17"/>
      <c r="T1825" s="17"/>
      <c r="U1825" s="17"/>
    </row>
    <row r="1826" spans="17:21" x14ac:dyDescent="0.25">
      <c r="Q1826" s="17" t="s">
        <v>2696</v>
      </c>
      <c r="R1826" s="17" t="s">
        <v>289</v>
      </c>
      <c r="S1826" s="17"/>
      <c r="T1826" s="17"/>
      <c r="U1826" s="17"/>
    </row>
    <row r="1827" spans="17:21" x14ac:dyDescent="0.25">
      <c r="Q1827" s="17" t="s">
        <v>2697</v>
      </c>
      <c r="R1827" s="17" t="s">
        <v>2675</v>
      </c>
      <c r="S1827" s="17"/>
      <c r="T1827" s="17"/>
      <c r="U1827" s="17"/>
    </row>
    <row r="1828" spans="17:21" x14ac:dyDescent="0.25">
      <c r="Q1828" s="17" t="s">
        <v>2698</v>
      </c>
      <c r="R1828" s="17" t="s">
        <v>2675</v>
      </c>
      <c r="S1828" s="17"/>
      <c r="T1828" s="17"/>
      <c r="U1828" s="17"/>
    </row>
    <row r="1829" spans="17:21" x14ac:dyDescent="0.25">
      <c r="Q1829" s="17" t="s">
        <v>2699</v>
      </c>
      <c r="R1829" s="17" t="s">
        <v>2675</v>
      </c>
      <c r="S1829" s="17"/>
      <c r="T1829" s="17"/>
      <c r="U1829" s="17"/>
    </row>
    <row r="1830" spans="17:21" x14ac:dyDescent="0.25">
      <c r="Q1830" s="17" t="s">
        <v>2700</v>
      </c>
      <c r="R1830" s="17" t="s">
        <v>283</v>
      </c>
      <c r="S1830" s="17"/>
      <c r="T1830" s="17"/>
      <c r="U1830" s="17"/>
    </row>
    <row r="1831" spans="17:21" x14ac:dyDescent="0.25">
      <c r="Q1831" s="17" t="s">
        <v>2701</v>
      </c>
      <c r="R1831" s="17" t="s">
        <v>283</v>
      </c>
      <c r="S1831" s="17"/>
      <c r="T1831" s="17"/>
      <c r="U1831" s="17"/>
    </row>
    <row r="1832" spans="17:21" x14ac:dyDescent="0.25">
      <c r="Q1832" s="17" t="s">
        <v>409</v>
      </c>
      <c r="R1832" s="17" t="s">
        <v>279</v>
      </c>
      <c r="S1832" s="17"/>
      <c r="T1832" s="17"/>
      <c r="U1832" s="17"/>
    </row>
    <row r="1833" spans="17:21" x14ac:dyDescent="0.25">
      <c r="Q1833" s="17" t="s">
        <v>2702</v>
      </c>
      <c r="R1833" s="17" t="s">
        <v>283</v>
      </c>
      <c r="S1833" s="17"/>
      <c r="T1833" s="17"/>
      <c r="U1833" s="17"/>
    </row>
    <row r="1834" spans="17:21" x14ac:dyDescent="0.25">
      <c r="Q1834" s="17" t="s">
        <v>2703</v>
      </c>
      <c r="R1834" s="17" t="s">
        <v>283</v>
      </c>
      <c r="S1834" s="17"/>
      <c r="T1834" s="17"/>
      <c r="U1834" s="17"/>
    </row>
    <row r="1835" spans="17:21" x14ac:dyDescent="0.25">
      <c r="Q1835" s="17" t="s">
        <v>2704</v>
      </c>
      <c r="R1835" s="17" t="s">
        <v>283</v>
      </c>
      <c r="S1835" s="17"/>
      <c r="T1835" s="17"/>
      <c r="U1835" s="17"/>
    </row>
    <row r="1836" spans="17:21" x14ac:dyDescent="0.25">
      <c r="Q1836" s="17" t="s">
        <v>2705</v>
      </c>
      <c r="R1836" s="17" t="s">
        <v>283</v>
      </c>
      <c r="S1836" s="17"/>
      <c r="T1836" s="17"/>
      <c r="U1836" s="17"/>
    </row>
    <row r="1837" spans="17:21" x14ac:dyDescent="0.25">
      <c r="Q1837" s="17" t="s">
        <v>2706</v>
      </c>
      <c r="R1837" s="17" t="s">
        <v>283</v>
      </c>
      <c r="S1837" s="17"/>
      <c r="T1837" s="17"/>
      <c r="U1837" s="17"/>
    </row>
    <row r="1838" spans="17:21" x14ac:dyDescent="0.25">
      <c r="Q1838" s="17" t="s">
        <v>2707</v>
      </c>
      <c r="R1838" s="17" t="s">
        <v>283</v>
      </c>
      <c r="S1838" s="17"/>
      <c r="T1838" s="17"/>
      <c r="U1838" s="17"/>
    </row>
    <row r="1839" spans="17:21" x14ac:dyDescent="0.25">
      <c r="Q1839" s="17" t="s">
        <v>438</v>
      </c>
      <c r="R1839" s="17" t="s">
        <v>283</v>
      </c>
      <c r="S1839" s="17"/>
      <c r="T1839" s="17"/>
      <c r="U1839" s="17"/>
    </row>
    <row r="1840" spans="17:21" x14ac:dyDescent="0.25">
      <c r="Q1840" s="17" t="s">
        <v>2708</v>
      </c>
      <c r="R1840" s="17" t="s">
        <v>283</v>
      </c>
      <c r="S1840" s="17"/>
      <c r="T1840" s="17"/>
      <c r="U1840" s="17"/>
    </row>
    <row r="1841" spans="17:21" x14ac:dyDescent="0.25">
      <c r="Q1841" s="17" t="s">
        <v>926</v>
      </c>
      <c r="R1841" s="17" t="s">
        <v>283</v>
      </c>
      <c r="S1841" s="17"/>
      <c r="T1841" s="17"/>
      <c r="U1841" s="17"/>
    </row>
    <row r="1842" spans="17:21" x14ac:dyDescent="0.25">
      <c r="Q1842" s="17" t="s">
        <v>2709</v>
      </c>
      <c r="R1842" s="17" t="s">
        <v>283</v>
      </c>
      <c r="S1842" s="17"/>
      <c r="T1842" s="17"/>
      <c r="U1842" s="17"/>
    </row>
    <row r="1843" spans="17:21" x14ac:dyDescent="0.25">
      <c r="Q1843" s="17" t="s">
        <v>2710</v>
      </c>
      <c r="R1843" s="17" t="s">
        <v>283</v>
      </c>
      <c r="S1843" s="17"/>
      <c r="T1843" s="17"/>
      <c r="U1843" s="17"/>
    </row>
    <row r="1844" spans="17:21" x14ac:dyDescent="0.25">
      <c r="Q1844" s="17" t="s">
        <v>1123</v>
      </c>
      <c r="R1844" s="17" t="s">
        <v>283</v>
      </c>
      <c r="S1844" s="17"/>
      <c r="T1844" s="17"/>
      <c r="U1844" s="17"/>
    </row>
    <row r="1845" spans="17:21" x14ac:dyDescent="0.25">
      <c r="Q1845" s="17" t="s">
        <v>649</v>
      </c>
      <c r="R1845" s="17" t="s">
        <v>283</v>
      </c>
      <c r="S1845" s="17"/>
      <c r="T1845" s="17"/>
      <c r="U1845" s="17"/>
    </row>
    <row r="1846" spans="17:21" x14ac:dyDescent="0.25">
      <c r="Q1846" s="17" t="s">
        <v>1063</v>
      </c>
      <c r="R1846" s="17" t="s">
        <v>283</v>
      </c>
      <c r="S1846" s="17"/>
      <c r="T1846" s="17"/>
      <c r="U1846" s="17"/>
    </row>
    <row r="1847" spans="17:21" x14ac:dyDescent="0.25">
      <c r="Q1847" s="17" t="s">
        <v>2711</v>
      </c>
      <c r="R1847" s="17" t="s">
        <v>279</v>
      </c>
      <c r="S1847" s="17"/>
      <c r="T1847" s="17"/>
      <c r="U1847" s="17"/>
    </row>
    <row r="1848" spans="17:21" x14ac:dyDescent="0.25">
      <c r="Q1848" s="17" t="s">
        <v>2712</v>
      </c>
      <c r="R1848" s="17" t="s">
        <v>279</v>
      </c>
      <c r="S1848" s="17"/>
      <c r="T1848" s="17"/>
      <c r="U1848" s="17"/>
    </row>
    <row r="1849" spans="17:21" x14ac:dyDescent="0.25">
      <c r="Q1849" s="17" t="s">
        <v>2713</v>
      </c>
      <c r="R1849" s="17" t="s">
        <v>281</v>
      </c>
      <c r="S1849" s="17"/>
      <c r="T1849" s="17"/>
      <c r="U1849" s="17"/>
    </row>
    <row r="1850" spans="17:21" x14ac:dyDescent="0.25">
      <c r="Q1850" s="17" t="s">
        <v>2714</v>
      </c>
      <c r="R1850" s="17" t="s">
        <v>283</v>
      </c>
      <c r="S1850" s="17"/>
      <c r="T1850" s="17"/>
      <c r="U1850" s="17"/>
    </row>
    <row r="1851" spans="17:21" x14ac:dyDescent="0.25">
      <c r="Q1851" s="17" t="s">
        <v>380</v>
      </c>
      <c r="R1851" s="17" t="s">
        <v>279</v>
      </c>
      <c r="S1851" s="17"/>
      <c r="T1851" s="17"/>
      <c r="U1851" s="17"/>
    </row>
    <row r="1852" spans="17:21" x14ac:dyDescent="0.25">
      <c r="Q1852" s="17" t="s">
        <v>735</v>
      </c>
      <c r="R1852" s="17" t="s">
        <v>279</v>
      </c>
      <c r="S1852" s="17"/>
      <c r="T1852" s="17"/>
      <c r="U1852" s="17"/>
    </row>
    <row r="1853" spans="17:21" x14ac:dyDescent="0.25">
      <c r="Q1853" s="17" t="s">
        <v>2715</v>
      </c>
      <c r="R1853" s="17" t="s">
        <v>281</v>
      </c>
      <c r="S1853" s="17"/>
      <c r="T1853" s="17"/>
      <c r="U1853" s="17"/>
    </row>
    <row r="1854" spans="17:21" x14ac:dyDescent="0.25">
      <c r="Q1854" s="17" t="s">
        <v>408</v>
      </c>
      <c r="R1854" s="17" t="s">
        <v>279</v>
      </c>
      <c r="S1854" s="17"/>
      <c r="T1854" s="17"/>
      <c r="U1854" s="17"/>
    </row>
    <row r="1855" spans="17:21" x14ac:dyDescent="0.25">
      <c r="Q1855" s="17" t="s">
        <v>2716</v>
      </c>
      <c r="R1855" s="17" t="s">
        <v>275</v>
      </c>
      <c r="S1855" s="17"/>
      <c r="T1855" s="17"/>
      <c r="U1855" s="17"/>
    </row>
    <row r="1856" spans="17:21" x14ac:dyDescent="0.25">
      <c r="Q1856" s="17" t="s">
        <v>2717</v>
      </c>
      <c r="R1856" s="17" t="s">
        <v>279</v>
      </c>
      <c r="S1856" s="17"/>
      <c r="T1856" s="17"/>
      <c r="U1856" s="17"/>
    </row>
    <row r="1857" spans="17:21" x14ac:dyDescent="0.25">
      <c r="Q1857" s="17" t="s">
        <v>1199</v>
      </c>
      <c r="R1857" s="17" t="s">
        <v>235</v>
      </c>
      <c r="S1857" s="17"/>
      <c r="T1857" s="17"/>
      <c r="U1857" s="17"/>
    </row>
    <row r="1858" spans="17:21" x14ac:dyDescent="0.25">
      <c r="Q1858" s="17" t="s">
        <v>2718</v>
      </c>
      <c r="R1858" s="17" t="s">
        <v>235</v>
      </c>
      <c r="S1858" s="17"/>
      <c r="T1858" s="17"/>
      <c r="U1858" s="17"/>
    </row>
    <row r="1859" spans="17:21" x14ac:dyDescent="0.25">
      <c r="Q1859" s="17" t="s">
        <v>2719</v>
      </c>
      <c r="R1859" s="17" t="s">
        <v>281</v>
      </c>
      <c r="S1859" s="17"/>
      <c r="T1859" s="17"/>
      <c r="U1859" s="17"/>
    </row>
    <row r="1860" spans="17:21" x14ac:dyDescent="0.25">
      <c r="Q1860" s="17" t="s">
        <v>2720</v>
      </c>
      <c r="R1860" s="17" t="s">
        <v>275</v>
      </c>
      <c r="S1860" s="17"/>
      <c r="T1860" s="17"/>
      <c r="U1860" s="17"/>
    </row>
    <row r="1861" spans="17:21" x14ac:dyDescent="0.25">
      <c r="Q1861" s="17" t="s">
        <v>2721</v>
      </c>
      <c r="R1861" s="17" t="s">
        <v>281</v>
      </c>
      <c r="S1861" s="17"/>
      <c r="T1861" s="17"/>
      <c r="U1861" s="17"/>
    </row>
    <row r="1862" spans="17:21" x14ac:dyDescent="0.25">
      <c r="Q1862" s="17" t="s">
        <v>2722</v>
      </c>
      <c r="R1862" s="17" t="s">
        <v>237</v>
      </c>
      <c r="S1862" s="17"/>
      <c r="T1862" s="17"/>
      <c r="U1862" s="17"/>
    </row>
    <row r="1863" spans="17:21" x14ac:dyDescent="0.25">
      <c r="Q1863" s="17" t="s">
        <v>1076</v>
      </c>
      <c r="R1863" s="17" t="s">
        <v>281</v>
      </c>
      <c r="S1863" s="17"/>
      <c r="T1863" s="17"/>
      <c r="U1863" s="17"/>
    </row>
    <row r="1864" spans="17:21" x14ac:dyDescent="0.25">
      <c r="Q1864" s="17" t="s">
        <v>2723</v>
      </c>
      <c r="R1864" s="17" t="s">
        <v>281</v>
      </c>
      <c r="S1864" s="17"/>
      <c r="T1864" s="17"/>
      <c r="U1864" s="17"/>
    </row>
    <row r="1865" spans="17:21" x14ac:dyDescent="0.25">
      <c r="Q1865" s="17" t="s">
        <v>430</v>
      </c>
      <c r="R1865" s="17" t="s">
        <v>281</v>
      </c>
      <c r="S1865" s="17"/>
      <c r="T1865" s="17"/>
      <c r="U1865" s="17"/>
    </row>
    <row r="1866" spans="17:21" x14ac:dyDescent="0.25">
      <c r="Q1866" s="17" t="s">
        <v>634</v>
      </c>
      <c r="R1866" s="17" t="s">
        <v>275</v>
      </c>
      <c r="S1866" s="17"/>
      <c r="T1866" s="17"/>
      <c r="U1866" s="17"/>
    </row>
    <row r="1867" spans="17:21" x14ac:dyDescent="0.25">
      <c r="Q1867" s="17" t="s">
        <v>1243</v>
      </c>
      <c r="R1867" s="17" t="s">
        <v>275</v>
      </c>
      <c r="S1867" s="17"/>
      <c r="T1867" s="17"/>
      <c r="U1867" s="17"/>
    </row>
    <row r="1868" spans="17:21" x14ac:dyDescent="0.25">
      <c r="Q1868" s="17" t="s">
        <v>1214</v>
      </c>
      <c r="R1868" s="17" t="s">
        <v>275</v>
      </c>
      <c r="S1868" s="17"/>
      <c r="T1868" s="17"/>
      <c r="U1868" s="17"/>
    </row>
    <row r="1869" spans="17:21" x14ac:dyDescent="0.25">
      <c r="Q1869" s="17" t="s">
        <v>1195</v>
      </c>
      <c r="R1869" s="17" t="s">
        <v>275</v>
      </c>
      <c r="S1869" s="17"/>
      <c r="T1869" s="17"/>
      <c r="U1869" s="17"/>
    </row>
    <row r="1870" spans="17:21" x14ac:dyDescent="0.25">
      <c r="Q1870" s="17" t="s">
        <v>989</v>
      </c>
      <c r="R1870" s="17" t="s">
        <v>275</v>
      </c>
      <c r="S1870" s="17"/>
      <c r="T1870" s="17"/>
      <c r="U1870" s="17"/>
    </row>
    <row r="1871" spans="17:21" x14ac:dyDescent="0.25">
      <c r="Q1871" s="17" t="s">
        <v>406</v>
      </c>
      <c r="R1871" s="17" t="s">
        <v>275</v>
      </c>
      <c r="S1871" s="17"/>
      <c r="T1871" s="17"/>
      <c r="U1871" s="17"/>
    </row>
    <row r="1872" spans="17:21" x14ac:dyDescent="0.25">
      <c r="Q1872" s="17" t="s">
        <v>990</v>
      </c>
      <c r="R1872" s="17" t="s">
        <v>275</v>
      </c>
      <c r="S1872" s="17"/>
      <c r="T1872" s="17"/>
      <c r="U1872" s="17"/>
    </row>
    <row r="1873" spans="17:21" x14ac:dyDescent="0.25">
      <c r="Q1873" s="17" t="s">
        <v>2724</v>
      </c>
      <c r="R1873" s="17" t="s">
        <v>275</v>
      </c>
      <c r="S1873" s="17"/>
      <c r="T1873" s="17"/>
      <c r="U1873" s="17"/>
    </row>
    <row r="1874" spans="17:21" x14ac:dyDescent="0.25">
      <c r="Q1874" s="17" t="s">
        <v>1193</v>
      </c>
      <c r="R1874" s="17" t="s">
        <v>275</v>
      </c>
      <c r="S1874" s="17"/>
      <c r="T1874" s="17"/>
      <c r="U1874" s="17"/>
    </row>
    <row r="1875" spans="17:21" x14ac:dyDescent="0.25">
      <c r="Q1875" s="17" t="s">
        <v>991</v>
      </c>
      <c r="R1875" s="17" t="s">
        <v>275</v>
      </c>
      <c r="S1875" s="17"/>
      <c r="T1875" s="17"/>
      <c r="U1875" s="17"/>
    </row>
    <row r="1876" spans="17:21" x14ac:dyDescent="0.25">
      <c r="Q1876" s="17" t="s">
        <v>992</v>
      </c>
      <c r="R1876" s="17" t="s">
        <v>275</v>
      </c>
      <c r="S1876" s="17"/>
      <c r="T1876" s="17"/>
      <c r="U1876" s="17"/>
    </row>
    <row r="1877" spans="17:21" x14ac:dyDescent="0.25">
      <c r="Q1877" s="17" t="s">
        <v>993</v>
      </c>
      <c r="R1877" s="17" t="s">
        <v>275</v>
      </c>
      <c r="S1877" s="17"/>
      <c r="T1877" s="17"/>
      <c r="U1877" s="17"/>
    </row>
    <row r="1878" spans="17:21" x14ac:dyDescent="0.25">
      <c r="Q1878" s="17" t="s">
        <v>407</v>
      </c>
      <c r="R1878" s="17" t="s">
        <v>275</v>
      </c>
      <c r="S1878" s="17"/>
      <c r="T1878" s="17"/>
      <c r="U1878" s="17"/>
    </row>
    <row r="1879" spans="17:21" x14ac:dyDescent="0.25">
      <c r="Q1879" s="17" t="s">
        <v>2725</v>
      </c>
      <c r="R1879" s="17" t="s">
        <v>275</v>
      </c>
      <c r="S1879" s="17"/>
      <c r="T1879" s="17"/>
      <c r="U1879" s="17"/>
    </row>
    <row r="1880" spans="17:21" x14ac:dyDescent="0.25">
      <c r="Q1880" s="17" t="s">
        <v>895</v>
      </c>
      <c r="R1880" s="17" t="s">
        <v>275</v>
      </c>
      <c r="S1880" s="17"/>
      <c r="T1880" s="17"/>
      <c r="U1880" s="17"/>
    </row>
    <row r="1881" spans="17:21" x14ac:dyDescent="0.25">
      <c r="Q1881" s="17" t="s">
        <v>896</v>
      </c>
      <c r="R1881" s="17" t="s">
        <v>275</v>
      </c>
      <c r="S1881" s="17"/>
      <c r="T1881" s="17"/>
      <c r="U1881" s="17"/>
    </row>
    <row r="1882" spans="17:21" x14ac:dyDescent="0.25">
      <c r="Q1882" s="17" t="s">
        <v>2726</v>
      </c>
      <c r="R1882" s="17" t="s">
        <v>275</v>
      </c>
      <c r="S1882" s="17"/>
      <c r="T1882" s="17"/>
      <c r="U1882" s="17"/>
    </row>
    <row r="1883" spans="17:21" x14ac:dyDescent="0.25">
      <c r="Q1883" s="17" t="s">
        <v>2727</v>
      </c>
      <c r="R1883" s="17" t="s">
        <v>275</v>
      </c>
      <c r="S1883" s="17"/>
      <c r="T1883" s="17"/>
      <c r="U1883" s="17"/>
    </row>
    <row r="1884" spans="17:21" x14ac:dyDescent="0.25">
      <c r="Q1884" s="17" t="s">
        <v>2728</v>
      </c>
      <c r="R1884" s="17" t="s">
        <v>275</v>
      </c>
      <c r="S1884" s="17"/>
      <c r="T1884" s="17"/>
      <c r="U1884" s="17"/>
    </row>
    <row r="1885" spans="17:21" x14ac:dyDescent="0.25">
      <c r="Q1885" s="17" t="s">
        <v>994</v>
      </c>
      <c r="R1885" s="17" t="s">
        <v>275</v>
      </c>
      <c r="S1885" s="17"/>
      <c r="T1885" s="17"/>
      <c r="U1885" s="17"/>
    </row>
    <row r="1886" spans="17:21" x14ac:dyDescent="0.25">
      <c r="Q1886" s="17" t="s">
        <v>2729</v>
      </c>
      <c r="R1886" s="17" t="s">
        <v>275</v>
      </c>
      <c r="S1886" s="17"/>
      <c r="T1886" s="17"/>
      <c r="U1886" s="17"/>
    </row>
    <row r="1887" spans="17:21" x14ac:dyDescent="0.25">
      <c r="Q1887" s="17" t="s">
        <v>2730</v>
      </c>
      <c r="R1887" s="17" t="s">
        <v>275</v>
      </c>
      <c r="S1887" s="17"/>
      <c r="T1887" s="17"/>
      <c r="U1887" s="17"/>
    </row>
    <row r="1888" spans="17:21" x14ac:dyDescent="0.25">
      <c r="Q1888" s="17" t="s">
        <v>2731</v>
      </c>
      <c r="R1888" s="17" t="s">
        <v>275</v>
      </c>
      <c r="S1888" s="17"/>
      <c r="T1888" s="17"/>
      <c r="U1888" s="17"/>
    </row>
    <row r="1889" spans="17:21" x14ac:dyDescent="0.25">
      <c r="Q1889" s="17" t="s">
        <v>569</v>
      </c>
      <c r="R1889" s="17" t="s">
        <v>275</v>
      </c>
      <c r="S1889" s="17"/>
      <c r="T1889" s="17"/>
      <c r="U1889" s="17"/>
    </row>
    <row r="1890" spans="17:21" x14ac:dyDescent="0.25">
      <c r="Q1890" s="17" t="s">
        <v>2732</v>
      </c>
      <c r="R1890" s="17" t="s">
        <v>275</v>
      </c>
      <c r="S1890" s="17"/>
      <c r="T1890" s="17"/>
      <c r="U1890" s="17"/>
    </row>
    <row r="1891" spans="17:21" x14ac:dyDescent="0.25">
      <c r="Q1891" s="17" t="s">
        <v>1281</v>
      </c>
      <c r="R1891" s="17" t="s">
        <v>275</v>
      </c>
      <c r="S1891" s="17"/>
      <c r="T1891" s="17"/>
      <c r="U1891" s="17"/>
    </row>
    <row r="1892" spans="17:21" x14ac:dyDescent="0.25">
      <c r="Q1892" s="17" t="s">
        <v>2733</v>
      </c>
      <c r="R1892" s="17" t="s">
        <v>235</v>
      </c>
      <c r="S1892" s="17"/>
      <c r="T1892" s="17"/>
      <c r="U1892" s="17"/>
    </row>
    <row r="1893" spans="17:21" x14ac:dyDescent="0.25">
      <c r="Q1893" s="17" t="s">
        <v>2734</v>
      </c>
      <c r="R1893" s="17" t="s">
        <v>237</v>
      </c>
      <c r="S1893" s="17"/>
      <c r="T1893" s="17"/>
      <c r="U1893" s="17"/>
    </row>
    <row r="1894" spans="17:21" x14ac:dyDescent="0.25">
      <c r="Q1894" s="17" t="s">
        <v>2735</v>
      </c>
      <c r="R1894" s="17" t="s">
        <v>235</v>
      </c>
      <c r="S1894" s="17"/>
      <c r="T1894" s="17"/>
      <c r="U1894" s="17"/>
    </row>
    <row r="1895" spans="17:21" x14ac:dyDescent="0.25">
      <c r="Q1895" s="17" t="s">
        <v>1151</v>
      </c>
      <c r="R1895" s="17" t="s">
        <v>235</v>
      </c>
      <c r="S1895" s="17"/>
      <c r="T1895" s="17"/>
      <c r="U1895" s="17"/>
    </row>
    <row r="1896" spans="17:21" x14ac:dyDescent="0.25">
      <c r="Q1896" s="17" t="s">
        <v>2736</v>
      </c>
      <c r="R1896" s="17" t="s">
        <v>235</v>
      </c>
      <c r="S1896" s="17"/>
      <c r="T1896" s="17"/>
      <c r="U1896" s="17"/>
    </row>
    <row r="1897" spans="17:21" x14ac:dyDescent="0.25">
      <c r="Q1897" s="17" t="s">
        <v>2737</v>
      </c>
      <c r="R1897" s="17" t="s">
        <v>235</v>
      </c>
      <c r="S1897" s="17"/>
      <c r="T1897" s="17"/>
      <c r="U1897" s="17"/>
    </row>
    <row r="1898" spans="17:21" x14ac:dyDescent="0.25">
      <c r="Q1898" s="17" t="s">
        <v>2738</v>
      </c>
      <c r="R1898" s="17" t="s">
        <v>235</v>
      </c>
      <c r="S1898" s="17"/>
      <c r="T1898" s="17"/>
      <c r="U1898" s="17"/>
    </row>
    <row r="1899" spans="17:21" x14ac:dyDescent="0.25">
      <c r="Q1899" s="17" t="s">
        <v>2739</v>
      </c>
      <c r="R1899" s="17" t="s">
        <v>237</v>
      </c>
      <c r="S1899" s="17"/>
      <c r="T1899" s="17"/>
      <c r="U1899" s="17"/>
    </row>
    <row r="1900" spans="17:21" x14ac:dyDescent="0.25">
      <c r="Q1900" s="17" t="s">
        <v>2740</v>
      </c>
      <c r="R1900" s="17" t="s">
        <v>173</v>
      </c>
      <c r="S1900" s="17"/>
      <c r="T1900" s="17"/>
      <c r="U1900" s="17"/>
    </row>
    <row r="1901" spans="17:21" x14ac:dyDescent="0.25">
      <c r="Q1901" s="17" t="s">
        <v>2741</v>
      </c>
      <c r="R1901" s="17" t="s">
        <v>275</v>
      </c>
      <c r="S1901" s="17"/>
      <c r="T1901" s="17"/>
      <c r="U1901" s="17"/>
    </row>
    <row r="1902" spans="17:21" x14ac:dyDescent="0.25">
      <c r="Q1902" s="17" t="s">
        <v>2742</v>
      </c>
      <c r="R1902" s="17" t="s">
        <v>275</v>
      </c>
      <c r="S1902" s="17"/>
      <c r="T1902" s="17"/>
      <c r="U1902" s="17"/>
    </row>
    <row r="1903" spans="17:21" x14ac:dyDescent="0.25">
      <c r="Q1903" s="17" t="s">
        <v>2743</v>
      </c>
      <c r="R1903" s="17" t="s">
        <v>275</v>
      </c>
      <c r="S1903" s="17"/>
      <c r="T1903" s="17"/>
      <c r="U1903" s="17"/>
    </row>
    <row r="1904" spans="17:21" x14ac:dyDescent="0.25">
      <c r="Q1904" s="17" t="s">
        <v>497</v>
      </c>
      <c r="R1904" s="17" t="s">
        <v>275</v>
      </c>
      <c r="S1904" s="17"/>
      <c r="T1904" s="17"/>
      <c r="U1904" s="17"/>
    </row>
    <row r="1905" spans="17:21" x14ac:dyDescent="0.25">
      <c r="Q1905" s="17" t="s">
        <v>2744</v>
      </c>
      <c r="R1905" s="17" t="s">
        <v>275</v>
      </c>
      <c r="S1905" s="17"/>
      <c r="T1905" s="17"/>
      <c r="U1905" s="17"/>
    </row>
    <row r="1906" spans="17:21" x14ac:dyDescent="0.25">
      <c r="Q1906" s="17" t="s">
        <v>2745</v>
      </c>
      <c r="R1906" s="17" t="s">
        <v>275</v>
      </c>
      <c r="S1906" s="17"/>
      <c r="T1906" s="17"/>
      <c r="U1906" s="17"/>
    </row>
    <row r="1907" spans="17:21" x14ac:dyDescent="0.25">
      <c r="Q1907" s="17" t="s">
        <v>2746</v>
      </c>
      <c r="R1907" s="17" t="s">
        <v>173</v>
      </c>
      <c r="S1907" s="17"/>
      <c r="T1907" s="17"/>
      <c r="U1907" s="17"/>
    </row>
    <row r="1908" spans="17:21" x14ac:dyDescent="0.25">
      <c r="Q1908" s="17" t="s">
        <v>2747</v>
      </c>
      <c r="R1908" s="17" t="s">
        <v>173</v>
      </c>
      <c r="S1908" s="17"/>
      <c r="T1908" s="17"/>
      <c r="U1908" s="17"/>
    </row>
    <row r="1909" spans="17:21" x14ac:dyDescent="0.25">
      <c r="Q1909" s="17" t="s">
        <v>2748</v>
      </c>
      <c r="R1909" s="17" t="s">
        <v>275</v>
      </c>
      <c r="S1909" s="17"/>
      <c r="T1909" s="17"/>
      <c r="U1909" s="17"/>
    </row>
    <row r="1910" spans="17:21" x14ac:dyDescent="0.25">
      <c r="Q1910" s="17" t="s">
        <v>744</v>
      </c>
      <c r="R1910" s="17" t="s">
        <v>275</v>
      </c>
      <c r="S1910" s="17"/>
      <c r="T1910" s="17"/>
      <c r="U1910" s="17"/>
    </row>
    <row r="1911" spans="17:21" x14ac:dyDescent="0.25">
      <c r="Q1911" s="17" t="s">
        <v>915</v>
      </c>
      <c r="R1911" s="17" t="s">
        <v>275</v>
      </c>
      <c r="S1911" s="17"/>
      <c r="T1911" s="17"/>
      <c r="U1911" s="17"/>
    </row>
    <row r="1912" spans="17:21" x14ac:dyDescent="0.25">
      <c r="Q1912" s="17" t="s">
        <v>988</v>
      </c>
      <c r="R1912" s="17" t="s">
        <v>275</v>
      </c>
      <c r="S1912" s="17"/>
      <c r="T1912" s="17"/>
      <c r="U1912" s="17"/>
    </row>
    <row r="1913" spans="17:21" x14ac:dyDescent="0.25">
      <c r="Q1913" s="17" t="s">
        <v>1144</v>
      </c>
      <c r="R1913" s="17" t="s">
        <v>275</v>
      </c>
      <c r="S1913" s="17"/>
      <c r="T1913" s="17"/>
      <c r="U1913" s="17"/>
    </row>
    <row r="1914" spans="17:21" x14ac:dyDescent="0.25">
      <c r="Q1914" s="17" t="s">
        <v>1158</v>
      </c>
      <c r="R1914" s="17" t="s">
        <v>275</v>
      </c>
      <c r="S1914" s="17"/>
      <c r="T1914" s="17"/>
      <c r="U1914" s="17"/>
    </row>
    <row r="1915" spans="17:21" x14ac:dyDescent="0.25">
      <c r="Q1915" s="17" t="s">
        <v>2749</v>
      </c>
      <c r="R1915" s="17" t="s">
        <v>275</v>
      </c>
      <c r="S1915" s="17"/>
      <c r="T1915" s="17"/>
      <c r="U1915" s="17"/>
    </row>
    <row r="1916" spans="17:21" x14ac:dyDescent="0.25">
      <c r="Q1916" s="17" t="s">
        <v>2750</v>
      </c>
      <c r="R1916" s="17" t="s">
        <v>275</v>
      </c>
      <c r="S1916" s="17"/>
      <c r="T1916" s="17"/>
      <c r="U1916" s="17"/>
    </row>
    <row r="1917" spans="17:21" x14ac:dyDescent="0.25">
      <c r="Q1917" s="17" t="s">
        <v>2751</v>
      </c>
      <c r="R1917" s="17" t="s">
        <v>275</v>
      </c>
      <c r="S1917" s="17"/>
      <c r="T1917" s="17"/>
      <c r="U1917" s="17"/>
    </row>
    <row r="1918" spans="17:21" x14ac:dyDescent="0.25">
      <c r="Q1918" s="17" t="s">
        <v>2752</v>
      </c>
      <c r="R1918" s="17" t="s">
        <v>275</v>
      </c>
      <c r="S1918" s="17"/>
      <c r="T1918" s="17"/>
      <c r="U1918" s="17"/>
    </row>
    <row r="1919" spans="17:21" x14ac:dyDescent="0.25">
      <c r="Q1919" s="17" t="s">
        <v>2753</v>
      </c>
      <c r="R1919" s="17" t="s">
        <v>275</v>
      </c>
      <c r="S1919" s="17"/>
      <c r="T1919" s="17"/>
      <c r="U1919" s="17"/>
    </row>
    <row r="1920" spans="17:21" x14ac:dyDescent="0.25">
      <c r="Q1920" s="17" t="s">
        <v>952</v>
      </c>
      <c r="R1920" s="17" t="s">
        <v>275</v>
      </c>
      <c r="S1920" s="17"/>
      <c r="T1920" s="17"/>
      <c r="U1920" s="17"/>
    </row>
    <row r="1921" spans="17:21" x14ac:dyDescent="0.25">
      <c r="Q1921" s="17" t="s">
        <v>2754</v>
      </c>
      <c r="R1921" s="17" t="s">
        <v>275</v>
      </c>
      <c r="S1921" s="17"/>
      <c r="T1921" s="17"/>
      <c r="U1921" s="17"/>
    </row>
    <row r="1922" spans="17:21" x14ac:dyDescent="0.25">
      <c r="Q1922" s="17" t="s">
        <v>2755</v>
      </c>
      <c r="R1922" s="17" t="s">
        <v>275</v>
      </c>
      <c r="S1922" s="17"/>
      <c r="T1922" s="17"/>
      <c r="U1922" s="17"/>
    </row>
    <row r="1923" spans="17:21" x14ac:dyDescent="0.25">
      <c r="Q1923" s="17" t="s">
        <v>321</v>
      </c>
      <c r="R1923" s="17" t="s">
        <v>275</v>
      </c>
      <c r="S1923" s="17"/>
      <c r="T1923" s="17"/>
      <c r="U1923" s="17"/>
    </row>
    <row r="1924" spans="17:21" x14ac:dyDescent="0.25">
      <c r="Q1924" s="17" t="s">
        <v>2756</v>
      </c>
      <c r="R1924" s="17" t="s">
        <v>275</v>
      </c>
      <c r="S1924" s="17"/>
      <c r="T1924" s="17"/>
      <c r="U1924" s="17"/>
    </row>
    <row r="1925" spans="17:21" x14ac:dyDescent="0.25">
      <c r="Q1925" s="17" t="s">
        <v>2757</v>
      </c>
      <c r="R1925" s="17" t="s">
        <v>275</v>
      </c>
      <c r="S1925" s="17"/>
      <c r="T1925" s="17"/>
      <c r="U1925" s="17"/>
    </row>
    <row r="1926" spans="17:21" x14ac:dyDescent="0.25">
      <c r="Q1926" s="17" t="s">
        <v>2758</v>
      </c>
      <c r="R1926" s="17" t="s">
        <v>275</v>
      </c>
      <c r="S1926" s="17"/>
      <c r="T1926" s="17"/>
      <c r="U1926" s="17"/>
    </row>
    <row r="1927" spans="17:21" x14ac:dyDescent="0.25">
      <c r="Q1927" s="17" t="s">
        <v>558</v>
      </c>
      <c r="R1927" s="17" t="s">
        <v>237</v>
      </c>
      <c r="S1927" s="17"/>
      <c r="T1927" s="17"/>
      <c r="U1927" s="17"/>
    </row>
    <row r="1928" spans="17:21" x14ac:dyDescent="0.25">
      <c r="Q1928" s="17" t="s">
        <v>2759</v>
      </c>
      <c r="R1928" s="17" t="s">
        <v>239</v>
      </c>
      <c r="S1928" s="17"/>
      <c r="T1928" s="17"/>
      <c r="U1928" s="17"/>
    </row>
    <row r="1929" spans="17:21" x14ac:dyDescent="0.25">
      <c r="Q1929" s="17" t="s">
        <v>2760</v>
      </c>
      <c r="R1929" s="17" t="s">
        <v>237</v>
      </c>
      <c r="S1929" s="17"/>
      <c r="T1929" s="17"/>
      <c r="U1929" s="17"/>
    </row>
    <row r="1930" spans="17:21" x14ac:dyDescent="0.25">
      <c r="Q1930" s="17" t="s">
        <v>2761</v>
      </c>
      <c r="R1930" s="17" t="s">
        <v>237</v>
      </c>
      <c r="S1930" s="17"/>
      <c r="T1930" s="17"/>
      <c r="U1930" s="17"/>
    </row>
    <row r="1931" spans="17:21" x14ac:dyDescent="0.25">
      <c r="Q1931" s="17" t="s">
        <v>2762</v>
      </c>
      <c r="R1931" s="17" t="s">
        <v>237</v>
      </c>
      <c r="S1931" s="17"/>
      <c r="T1931" s="17"/>
      <c r="U1931" s="17"/>
    </row>
    <row r="1932" spans="17:21" x14ac:dyDescent="0.25">
      <c r="Q1932" s="17" t="s">
        <v>2763</v>
      </c>
      <c r="R1932" s="17" t="s">
        <v>239</v>
      </c>
      <c r="S1932" s="17"/>
      <c r="T1932" s="17"/>
      <c r="U1932" s="17"/>
    </row>
    <row r="1933" spans="17:21" x14ac:dyDescent="0.25">
      <c r="Q1933" s="17" t="s">
        <v>2764</v>
      </c>
      <c r="R1933" s="17" t="s">
        <v>241</v>
      </c>
      <c r="S1933" s="17"/>
      <c r="T1933" s="17"/>
      <c r="U1933" s="17"/>
    </row>
    <row r="1934" spans="17:21" x14ac:dyDescent="0.25">
      <c r="Q1934" s="17" t="s">
        <v>688</v>
      </c>
      <c r="R1934" s="17" t="s">
        <v>237</v>
      </c>
      <c r="S1934" s="17"/>
      <c r="T1934" s="17"/>
      <c r="U1934" s="17"/>
    </row>
    <row r="1935" spans="17:21" x14ac:dyDescent="0.25">
      <c r="Q1935" s="17" t="s">
        <v>2765</v>
      </c>
      <c r="R1935" s="17" t="s">
        <v>237</v>
      </c>
      <c r="S1935" s="17"/>
      <c r="T1935" s="17"/>
      <c r="U1935" s="17"/>
    </row>
    <row r="1936" spans="17:21" x14ac:dyDescent="0.25">
      <c r="Q1936" s="17" t="s">
        <v>1115</v>
      </c>
      <c r="R1936" s="17" t="s">
        <v>241</v>
      </c>
      <c r="S1936" s="17"/>
      <c r="T1936" s="17"/>
      <c r="U1936" s="17"/>
    </row>
    <row r="1937" spans="17:21" x14ac:dyDescent="0.25">
      <c r="Q1937" s="17" t="s">
        <v>543</v>
      </c>
      <c r="R1937" s="17" t="s">
        <v>237</v>
      </c>
      <c r="S1937" s="17"/>
      <c r="T1937" s="17"/>
      <c r="U1937" s="17"/>
    </row>
    <row r="1938" spans="17:21" x14ac:dyDescent="0.25">
      <c r="Q1938" s="17" t="s">
        <v>2766</v>
      </c>
      <c r="R1938" s="17" t="s">
        <v>237</v>
      </c>
      <c r="S1938" s="17"/>
      <c r="T1938" s="17"/>
      <c r="U1938" s="17"/>
    </row>
    <row r="1939" spans="17:21" x14ac:dyDescent="0.25">
      <c r="Q1939" s="17" t="s">
        <v>410</v>
      </c>
      <c r="R1939" s="17" t="s">
        <v>237</v>
      </c>
      <c r="S1939" s="17"/>
      <c r="T1939" s="17"/>
      <c r="U1939" s="17"/>
    </row>
    <row r="1940" spans="17:21" x14ac:dyDescent="0.25">
      <c r="Q1940" s="17" t="s">
        <v>431</v>
      </c>
      <c r="R1940" s="17" t="s">
        <v>237</v>
      </c>
      <c r="S1940" s="17"/>
      <c r="T1940" s="17"/>
      <c r="U1940" s="17"/>
    </row>
    <row r="1941" spans="17:21" x14ac:dyDescent="0.25">
      <c r="Q1941" s="17" t="s">
        <v>355</v>
      </c>
      <c r="R1941" s="17" t="s">
        <v>237</v>
      </c>
      <c r="S1941" s="17"/>
      <c r="T1941" s="17"/>
      <c r="U1941" s="17"/>
    </row>
    <row r="1942" spans="17:21" x14ac:dyDescent="0.25">
      <c r="Q1942" s="17" t="s">
        <v>1077</v>
      </c>
      <c r="R1942" s="17" t="s">
        <v>237</v>
      </c>
      <c r="S1942" s="17"/>
      <c r="T1942" s="17"/>
      <c r="U1942" s="17"/>
    </row>
    <row r="1943" spans="17:21" x14ac:dyDescent="0.25">
      <c r="Q1943" s="17" t="s">
        <v>2767</v>
      </c>
      <c r="R1943" s="17" t="s">
        <v>237</v>
      </c>
      <c r="S1943" s="17"/>
      <c r="T1943" s="17"/>
      <c r="U1943" s="17"/>
    </row>
    <row r="1944" spans="17:21" x14ac:dyDescent="0.25">
      <c r="Q1944" s="17" t="s">
        <v>758</v>
      </c>
      <c r="R1944" s="17" t="s">
        <v>237</v>
      </c>
      <c r="S1944" s="17"/>
      <c r="T1944" s="17"/>
      <c r="U1944" s="17"/>
    </row>
    <row r="1945" spans="17:21" x14ac:dyDescent="0.25">
      <c r="Q1945" s="17" t="s">
        <v>1194</v>
      </c>
      <c r="R1945" s="17" t="s">
        <v>243</v>
      </c>
      <c r="S1945" s="17"/>
      <c r="T1945" s="17"/>
      <c r="U1945" s="17"/>
    </row>
    <row r="1946" spans="17:21" x14ac:dyDescent="0.25">
      <c r="Q1946" s="17" t="s">
        <v>2768</v>
      </c>
      <c r="R1946" s="17" t="s">
        <v>171</v>
      </c>
      <c r="S1946" s="17"/>
      <c r="T1946" s="17"/>
      <c r="U1946" s="17"/>
    </row>
    <row r="1947" spans="17:21" x14ac:dyDescent="0.25">
      <c r="Q1947" s="17" t="s">
        <v>2769</v>
      </c>
      <c r="R1947" s="17" t="s">
        <v>173</v>
      </c>
      <c r="S1947" s="17"/>
      <c r="T1947" s="17"/>
      <c r="U1947" s="17"/>
    </row>
    <row r="1948" spans="17:21" x14ac:dyDescent="0.25">
      <c r="Q1948" s="17" t="s">
        <v>2770</v>
      </c>
      <c r="R1948" s="17" t="s">
        <v>173</v>
      </c>
      <c r="S1948" s="17"/>
      <c r="T1948" s="17"/>
      <c r="U1948" s="17"/>
    </row>
    <row r="1949" spans="17:21" x14ac:dyDescent="0.25">
      <c r="Q1949" s="17" t="s">
        <v>2771</v>
      </c>
      <c r="R1949" s="17" t="s">
        <v>171</v>
      </c>
      <c r="S1949" s="17"/>
      <c r="T1949" s="17"/>
      <c r="U1949" s="17"/>
    </row>
    <row r="1950" spans="17:21" x14ac:dyDescent="0.25">
      <c r="Q1950" s="17" t="s">
        <v>2772</v>
      </c>
      <c r="R1950" s="17" t="s">
        <v>171</v>
      </c>
      <c r="S1950" s="17"/>
      <c r="T1950" s="17"/>
      <c r="U1950" s="17"/>
    </row>
    <row r="1951" spans="17:21" x14ac:dyDescent="0.25">
      <c r="Q1951" s="17" t="s">
        <v>496</v>
      </c>
      <c r="R1951" s="17" t="s">
        <v>171</v>
      </c>
      <c r="S1951" s="17"/>
      <c r="T1951" s="17"/>
      <c r="U1951" s="17"/>
    </row>
    <row r="1952" spans="17:21" x14ac:dyDescent="0.25">
      <c r="Q1952" s="17" t="s">
        <v>1339</v>
      </c>
      <c r="R1952" s="17" t="s">
        <v>171</v>
      </c>
      <c r="S1952" s="17"/>
      <c r="T1952" s="17"/>
      <c r="U1952" s="17"/>
    </row>
    <row r="1953" spans="17:21" x14ac:dyDescent="0.25">
      <c r="Q1953" s="17" t="s">
        <v>2773</v>
      </c>
      <c r="R1953" s="17" t="s">
        <v>275</v>
      </c>
      <c r="S1953" s="17"/>
      <c r="T1953" s="17"/>
      <c r="U1953" s="17"/>
    </row>
    <row r="1954" spans="17:21" x14ac:dyDescent="0.25">
      <c r="Q1954" s="17" t="s">
        <v>2774</v>
      </c>
      <c r="R1954" s="17" t="s">
        <v>275</v>
      </c>
      <c r="S1954" s="17"/>
      <c r="T1954" s="17"/>
      <c r="U1954" s="17"/>
    </row>
    <row r="1955" spans="17:21" x14ac:dyDescent="0.25">
      <c r="Q1955" s="17" t="s">
        <v>2775</v>
      </c>
      <c r="R1955" s="17" t="s">
        <v>271</v>
      </c>
      <c r="S1955" s="17"/>
      <c r="T1955" s="17"/>
      <c r="U1955" s="17"/>
    </row>
    <row r="1956" spans="17:21" x14ac:dyDescent="0.25">
      <c r="Q1956" s="17" t="s">
        <v>2776</v>
      </c>
      <c r="R1956" s="17" t="s">
        <v>86</v>
      </c>
      <c r="S1956" s="17"/>
      <c r="T1956" s="17"/>
      <c r="U1956" s="17"/>
    </row>
    <row r="1957" spans="17:21" x14ac:dyDescent="0.25">
      <c r="Q1957" s="17" t="s">
        <v>2777</v>
      </c>
      <c r="R1957" s="17" t="s">
        <v>86</v>
      </c>
      <c r="S1957" s="17"/>
      <c r="T1957" s="17"/>
      <c r="U1957" s="17"/>
    </row>
    <row r="1958" spans="17:21" x14ac:dyDescent="0.25">
      <c r="Q1958" s="17" t="s">
        <v>2778</v>
      </c>
      <c r="R1958" s="17" t="s">
        <v>86</v>
      </c>
      <c r="S1958" s="17"/>
      <c r="T1958" s="17"/>
      <c r="U1958" s="17"/>
    </row>
    <row r="1959" spans="17:21" x14ac:dyDescent="0.25">
      <c r="Q1959" s="17" t="s">
        <v>670</v>
      </c>
      <c r="R1959" s="17" t="s">
        <v>173</v>
      </c>
      <c r="S1959" s="17"/>
      <c r="T1959" s="17"/>
      <c r="U1959" s="17"/>
    </row>
    <row r="1960" spans="17:21" x14ac:dyDescent="0.25">
      <c r="Q1960" s="17" t="s">
        <v>675</v>
      </c>
      <c r="R1960" s="17" t="s">
        <v>173</v>
      </c>
      <c r="S1960" s="17"/>
      <c r="T1960" s="17"/>
      <c r="U1960" s="17"/>
    </row>
    <row r="1961" spans="17:21" x14ac:dyDescent="0.25">
      <c r="Q1961" s="17" t="s">
        <v>2779</v>
      </c>
      <c r="R1961" s="17" t="s">
        <v>239</v>
      </c>
      <c r="S1961" s="17"/>
      <c r="T1961" s="17"/>
      <c r="U1961" s="17"/>
    </row>
    <row r="1962" spans="17:21" x14ac:dyDescent="0.25">
      <c r="Q1962" s="17" t="s">
        <v>2780</v>
      </c>
      <c r="R1962" s="17" t="s">
        <v>241</v>
      </c>
      <c r="S1962" s="17"/>
      <c r="T1962" s="17"/>
      <c r="U1962" s="17"/>
    </row>
    <row r="1963" spans="17:21" x14ac:dyDescent="0.25">
      <c r="Q1963" s="17" t="s">
        <v>897</v>
      </c>
      <c r="R1963" s="17" t="s">
        <v>239</v>
      </c>
      <c r="S1963" s="17"/>
      <c r="T1963" s="17"/>
      <c r="U1963" s="17"/>
    </row>
    <row r="1964" spans="17:21" x14ac:dyDescent="0.25">
      <c r="Q1964" s="17" t="s">
        <v>898</v>
      </c>
      <c r="R1964" s="17" t="s">
        <v>239</v>
      </c>
      <c r="S1964" s="17"/>
      <c r="T1964" s="17"/>
      <c r="U1964" s="17"/>
    </row>
    <row r="1965" spans="17:21" x14ac:dyDescent="0.25">
      <c r="Q1965" s="17" t="s">
        <v>602</v>
      </c>
      <c r="R1965" s="17" t="s">
        <v>239</v>
      </c>
      <c r="S1965" s="17"/>
      <c r="T1965" s="17"/>
      <c r="U1965" s="17"/>
    </row>
    <row r="1966" spans="17:21" x14ac:dyDescent="0.25">
      <c r="Q1966" s="17" t="s">
        <v>2781</v>
      </c>
      <c r="R1966" s="17" t="s">
        <v>247</v>
      </c>
      <c r="S1966" s="17"/>
      <c r="T1966" s="17"/>
      <c r="U1966" s="17"/>
    </row>
    <row r="1967" spans="17:21" x14ac:dyDescent="0.25">
      <c r="Q1967" s="17" t="s">
        <v>2782</v>
      </c>
      <c r="R1967" s="17" t="s">
        <v>247</v>
      </c>
      <c r="S1967" s="17"/>
      <c r="T1967" s="17"/>
      <c r="U1967" s="17"/>
    </row>
    <row r="1968" spans="17:21" x14ac:dyDescent="0.25">
      <c r="Q1968" s="17" t="s">
        <v>2783</v>
      </c>
      <c r="R1968" s="17" t="s">
        <v>259</v>
      </c>
      <c r="S1968" s="17"/>
      <c r="T1968" s="17"/>
      <c r="U1968" s="17"/>
    </row>
    <row r="1969" spans="17:21" x14ac:dyDescent="0.25">
      <c r="Q1969" s="17" t="s">
        <v>481</v>
      </c>
      <c r="R1969" s="17" t="s">
        <v>247</v>
      </c>
      <c r="S1969" s="17"/>
      <c r="T1969" s="17"/>
      <c r="U1969" s="17"/>
    </row>
    <row r="1970" spans="17:21" x14ac:dyDescent="0.25">
      <c r="Q1970" s="17" t="s">
        <v>467</v>
      </c>
      <c r="R1970" s="17" t="s">
        <v>171</v>
      </c>
      <c r="S1970" s="17"/>
      <c r="T1970" s="17"/>
      <c r="U1970" s="17"/>
    </row>
    <row r="1971" spans="17:21" x14ac:dyDescent="0.25">
      <c r="Q1971" s="17" t="s">
        <v>2784</v>
      </c>
      <c r="R1971" s="17" t="s">
        <v>86</v>
      </c>
      <c r="S1971" s="17"/>
      <c r="T1971" s="17"/>
      <c r="U1971" s="17"/>
    </row>
    <row r="1972" spans="17:21" x14ac:dyDescent="0.25">
      <c r="Q1972" s="17" t="s">
        <v>943</v>
      </c>
      <c r="R1972" s="17" t="s">
        <v>171</v>
      </c>
      <c r="S1972" s="17"/>
      <c r="T1972" s="17"/>
      <c r="U1972" s="17"/>
    </row>
    <row r="1973" spans="17:21" x14ac:dyDescent="0.25">
      <c r="Q1973" s="17" t="s">
        <v>595</v>
      </c>
      <c r="R1973" s="17" t="s">
        <v>171</v>
      </c>
      <c r="S1973" s="17"/>
      <c r="T1973" s="17"/>
      <c r="U1973" s="17"/>
    </row>
    <row r="1974" spans="17:21" x14ac:dyDescent="0.25">
      <c r="Q1974" s="17" t="s">
        <v>413</v>
      </c>
      <c r="R1974" s="17" t="s">
        <v>171</v>
      </c>
      <c r="S1974" s="17"/>
      <c r="T1974" s="17"/>
      <c r="U1974" s="17"/>
    </row>
    <row r="1975" spans="17:21" x14ac:dyDescent="0.25">
      <c r="Q1975" s="17" t="s">
        <v>2785</v>
      </c>
      <c r="R1975" s="17" t="s">
        <v>171</v>
      </c>
      <c r="S1975" s="17"/>
      <c r="T1975" s="17"/>
      <c r="U1975" s="17"/>
    </row>
    <row r="1976" spans="17:21" x14ac:dyDescent="0.25">
      <c r="Q1976" s="17" t="s">
        <v>995</v>
      </c>
      <c r="R1976" s="17" t="s">
        <v>171</v>
      </c>
      <c r="S1976" s="17"/>
      <c r="T1976" s="17"/>
      <c r="U1976" s="17"/>
    </row>
    <row r="1977" spans="17:21" x14ac:dyDescent="0.25">
      <c r="Q1977" s="17" t="s">
        <v>613</v>
      </c>
      <c r="R1977" s="17" t="s">
        <v>171</v>
      </c>
      <c r="S1977" s="17"/>
      <c r="T1977" s="17"/>
      <c r="U1977" s="17"/>
    </row>
    <row r="1978" spans="17:21" x14ac:dyDescent="0.25">
      <c r="Q1978" s="17" t="s">
        <v>1349</v>
      </c>
      <c r="R1978" s="17" t="s">
        <v>171</v>
      </c>
      <c r="S1978" s="17"/>
      <c r="T1978" s="17"/>
      <c r="U1978" s="17"/>
    </row>
    <row r="1979" spans="17:21" x14ac:dyDescent="0.25">
      <c r="Q1979" s="17" t="s">
        <v>817</v>
      </c>
      <c r="R1979" s="17" t="s">
        <v>171</v>
      </c>
      <c r="S1979" s="17"/>
      <c r="T1979" s="17"/>
      <c r="U1979" s="17"/>
    </row>
    <row r="1980" spans="17:21" x14ac:dyDescent="0.25">
      <c r="Q1980" s="17" t="s">
        <v>760</v>
      </c>
      <c r="R1980" s="17" t="s">
        <v>171</v>
      </c>
      <c r="S1980" s="17"/>
      <c r="T1980" s="17"/>
      <c r="U1980" s="17"/>
    </row>
    <row r="1981" spans="17:21" x14ac:dyDescent="0.25">
      <c r="Q1981" s="17" t="s">
        <v>479</v>
      </c>
      <c r="R1981" s="17" t="s">
        <v>271</v>
      </c>
      <c r="S1981" s="17"/>
      <c r="T1981" s="17"/>
      <c r="U1981" s="17"/>
    </row>
    <row r="1982" spans="17:21" x14ac:dyDescent="0.25">
      <c r="Q1982" s="17" t="s">
        <v>894</v>
      </c>
      <c r="R1982" s="17" t="s">
        <v>271</v>
      </c>
      <c r="S1982" s="17"/>
      <c r="T1982" s="17"/>
      <c r="U1982" s="17"/>
    </row>
    <row r="1983" spans="17:21" x14ac:dyDescent="0.25">
      <c r="Q1983" s="17" t="s">
        <v>2786</v>
      </c>
      <c r="R1983" s="17" t="s">
        <v>271</v>
      </c>
      <c r="S1983" s="17"/>
      <c r="T1983" s="17"/>
      <c r="U1983" s="17"/>
    </row>
    <row r="1984" spans="17:21" x14ac:dyDescent="0.25">
      <c r="Q1984" s="17" t="s">
        <v>2787</v>
      </c>
      <c r="R1984" s="17" t="s">
        <v>271</v>
      </c>
      <c r="S1984" s="17"/>
      <c r="T1984" s="17"/>
      <c r="U1984" s="17"/>
    </row>
    <row r="1985" spans="17:21" x14ac:dyDescent="0.25">
      <c r="Q1985" s="17" t="s">
        <v>404</v>
      </c>
      <c r="R1985" s="17" t="s">
        <v>171</v>
      </c>
      <c r="S1985" s="17"/>
      <c r="T1985" s="17"/>
      <c r="U1985" s="17"/>
    </row>
    <row r="1986" spans="17:21" x14ac:dyDescent="0.25">
      <c r="Q1986" s="17" t="s">
        <v>480</v>
      </c>
      <c r="R1986" s="17" t="s">
        <v>245</v>
      </c>
      <c r="S1986" s="17"/>
      <c r="T1986" s="17"/>
      <c r="U1986" s="17"/>
    </row>
    <row r="1987" spans="17:21" x14ac:dyDescent="0.25">
      <c r="Q1987" s="17" t="s">
        <v>2788</v>
      </c>
      <c r="R1987" s="17" t="s">
        <v>245</v>
      </c>
      <c r="S1987" s="17"/>
      <c r="T1987" s="17"/>
      <c r="U1987" s="17"/>
    </row>
    <row r="1988" spans="17:21" x14ac:dyDescent="0.25">
      <c r="Q1988" s="17" t="s">
        <v>2789</v>
      </c>
      <c r="R1988" s="17" t="s">
        <v>245</v>
      </c>
      <c r="S1988" s="17"/>
      <c r="T1988" s="17"/>
      <c r="U1988" s="17"/>
    </row>
    <row r="1989" spans="17:21" x14ac:dyDescent="0.25">
      <c r="Q1989" s="17" t="s">
        <v>2790</v>
      </c>
      <c r="R1989" s="17" t="s">
        <v>245</v>
      </c>
      <c r="S1989" s="17"/>
      <c r="T1989" s="17"/>
      <c r="U1989" s="17"/>
    </row>
    <row r="1990" spans="17:21" x14ac:dyDescent="0.25">
      <c r="Q1990" s="17" t="s">
        <v>2791</v>
      </c>
      <c r="R1990" s="17" t="s">
        <v>247</v>
      </c>
      <c r="S1990" s="17"/>
      <c r="T1990" s="17"/>
      <c r="U1990" s="17"/>
    </row>
    <row r="1991" spans="17:21" x14ac:dyDescent="0.25">
      <c r="Q1991" s="17" t="s">
        <v>2792</v>
      </c>
      <c r="R1991" s="17" t="s">
        <v>247</v>
      </c>
      <c r="S1991" s="17"/>
      <c r="T1991" s="17"/>
      <c r="U1991" s="17"/>
    </row>
    <row r="1992" spans="17:21" x14ac:dyDescent="0.25">
      <c r="Q1992" s="17" t="s">
        <v>1047</v>
      </c>
      <c r="R1992" s="17" t="s">
        <v>245</v>
      </c>
      <c r="S1992" s="17"/>
      <c r="T1992" s="17"/>
      <c r="U1992" s="17"/>
    </row>
    <row r="1993" spans="17:21" x14ac:dyDescent="0.25">
      <c r="Q1993" s="17" t="s">
        <v>498</v>
      </c>
      <c r="R1993" s="17" t="s">
        <v>245</v>
      </c>
      <c r="S1993" s="17"/>
      <c r="T1993" s="17"/>
      <c r="U1993" s="17"/>
    </row>
    <row r="1994" spans="17:21" x14ac:dyDescent="0.25">
      <c r="Q1994" s="17" t="s">
        <v>601</v>
      </c>
      <c r="R1994" s="17" t="s">
        <v>245</v>
      </c>
      <c r="S1994" s="17"/>
      <c r="T1994" s="17"/>
      <c r="U1994" s="17"/>
    </row>
    <row r="1995" spans="17:21" x14ac:dyDescent="0.25">
      <c r="Q1995" s="17" t="s">
        <v>1166</v>
      </c>
      <c r="R1995" s="17" t="s">
        <v>245</v>
      </c>
      <c r="S1995" s="17"/>
      <c r="T1995" s="17"/>
      <c r="U1995" s="17"/>
    </row>
    <row r="1996" spans="17:21" x14ac:dyDescent="0.25">
      <c r="Q1996" s="17" t="s">
        <v>2793</v>
      </c>
      <c r="R1996" s="17" t="s">
        <v>271</v>
      </c>
      <c r="S1996" s="17"/>
      <c r="T1996" s="17"/>
      <c r="U1996" s="17"/>
    </row>
    <row r="1997" spans="17:21" x14ac:dyDescent="0.25">
      <c r="Q1997" s="17" t="s">
        <v>2794</v>
      </c>
      <c r="R1997" s="17" t="s">
        <v>271</v>
      </c>
      <c r="S1997" s="17"/>
      <c r="T1997" s="17"/>
      <c r="U1997" s="17"/>
    </row>
    <row r="1998" spans="17:21" x14ac:dyDescent="0.25">
      <c r="Q1998" s="17" t="s">
        <v>804</v>
      </c>
      <c r="R1998" s="17" t="s">
        <v>271</v>
      </c>
      <c r="S1998" s="17"/>
      <c r="T1998" s="17"/>
      <c r="U1998" s="17"/>
    </row>
    <row r="1999" spans="17:21" x14ac:dyDescent="0.25">
      <c r="Q1999" s="17" t="s">
        <v>2795</v>
      </c>
      <c r="R1999" s="17" t="s">
        <v>271</v>
      </c>
      <c r="S1999" s="17"/>
      <c r="T1999" s="17"/>
      <c r="U1999" s="17"/>
    </row>
    <row r="2000" spans="17:21" x14ac:dyDescent="0.25">
      <c r="Q2000" s="17" t="s">
        <v>2796</v>
      </c>
      <c r="R2000" s="17" t="s">
        <v>271</v>
      </c>
      <c r="S2000" s="17"/>
      <c r="T2000" s="17"/>
      <c r="U2000" s="17"/>
    </row>
    <row r="2001" spans="17:21" x14ac:dyDescent="0.25">
      <c r="Q2001" s="17" t="s">
        <v>1202</v>
      </c>
      <c r="R2001" s="17" t="s">
        <v>271</v>
      </c>
      <c r="S2001" s="17"/>
      <c r="T2001" s="17"/>
      <c r="U2001" s="17"/>
    </row>
    <row r="2002" spans="17:21" x14ac:dyDescent="0.25">
      <c r="Q2002" s="17" t="s">
        <v>805</v>
      </c>
      <c r="R2002" s="17" t="s">
        <v>271</v>
      </c>
      <c r="S2002" s="17"/>
      <c r="T2002" s="17"/>
      <c r="U2002" s="17"/>
    </row>
    <row r="2003" spans="17:21" x14ac:dyDescent="0.25">
      <c r="Q2003" s="17" t="s">
        <v>2797</v>
      </c>
      <c r="R2003" s="17" t="s">
        <v>271</v>
      </c>
      <c r="S2003" s="17"/>
      <c r="T2003" s="17"/>
      <c r="U2003" s="17"/>
    </row>
    <row r="2004" spans="17:21" x14ac:dyDescent="0.25">
      <c r="Q2004" s="17" t="s">
        <v>2798</v>
      </c>
      <c r="R2004" s="17" t="s">
        <v>271</v>
      </c>
      <c r="S2004" s="17"/>
      <c r="T2004" s="17"/>
      <c r="U2004" s="17"/>
    </row>
    <row r="2005" spans="17:21" x14ac:dyDescent="0.25">
      <c r="Q2005" s="17" t="s">
        <v>2799</v>
      </c>
      <c r="R2005" s="17" t="s">
        <v>271</v>
      </c>
      <c r="S2005" s="17"/>
      <c r="T2005" s="17"/>
      <c r="U2005" s="17"/>
    </row>
    <row r="2006" spans="17:21" x14ac:dyDescent="0.25">
      <c r="Q2006" s="17" t="s">
        <v>1186</v>
      </c>
      <c r="R2006" s="17" t="s">
        <v>271</v>
      </c>
      <c r="S2006" s="17"/>
      <c r="T2006" s="17"/>
      <c r="U2006" s="17"/>
    </row>
    <row r="2007" spans="17:21" x14ac:dyDescent="0.25">
      <c r="Q2007" s="17" t="s">
        <v>757</v>
      </c>
      <c r="R2007" s="17" t="s">
        <v>271</v>
      </c>
      <c r="S2007" s="17"/>
      <c r="T2007" s="17"/>
      <c r="U2007" s="17"/>
    </row>
    <row r="2008" spans="17:21" x14ac:dyDescent="0.25">
      <c r="Q2008" s="17" t="s">
        <v>464</v>
      </c>
      <c r="R2008" s="17" t="s">
        <v>271</v>
      </c>
      <c r="S2008" s="17"/>
      <c r="T2008" s="17"/>
      <c r="U2008" s="17"/>
    </row>
    <row r="2009" spans="17:21" x14ac:dyDescent="0.25">
      <c r="Q2009" s="17" t="s">
        <v>2800</v>
      </c>
      <c r="R2009" s="17" t="s">
        <v>271</v>
      </c>
      <c r="S2009" s="17"/>
      <c r="T2009" s="17"/>
      <c r="U2009" s="17"/>
    </row>
    <row r="2010" spans="17:21" x14ac:dyDescent="0.25">
      <c r="Q2010" s="17" t="s">
        <v>2801</v>
      </c>
      <c r="R2010" s="17" t="s">
        <v>251</v>
      </c>
      <c r="S2010" s="17"/>
      <c r="T2010" s="17"/>
      <c r="U2010" s="17"/>
    </row>
    <row r="2011" spans="17:21" x14ac:dyDescent="0.25">
      <c r="Q2011" s="17" t="s">
        <v>2802</v>
      </c>
      <c r="R2011" s="17" t="s">
        <v>251</v>
      </c>
      <c r="S2011" s="17"/>
      <c r="T2011" s="17"/>
      <c r="U2011" s="17"/>
    </row>
    <row r="2012" spans="17:21" x14ac:dyDescent="0.25">
      <c r="Q2012" s="17" t="s">
        <v>2803</v>
      </c>
      <c r="R2012" s="17" t="s">
        <v>251</v>
      </c>
      <c r="S2012" s="17"/>
      <c r="T2012" s="17"/>
      <c r="U2012" s="17"/>
    </row>
    <row r="2013" spans="17:21" x14ac:dyDescent="0.25">
      <c r="Q2013" s="17" t="s">
        <v>2804</v>
      </c>
      <c r="R2013" s="17" t="s">
        <v>251</v>
      </c>
      <c r="S2013" s="17"/>
      <c r="T2013" s="17"/>
      <c r="U2013" s="17"/>
    </row>
    <row r="2014" spans="17:21" x14ac:dyDescent="0.25">
      <c r="Q2014" s="17" t="s">
        <v>2805</v>
      </c>
      <c r="R2014" s="17" t="s">
        <v>251</v>
      </c>
      <c r="S2014" s="17"/>
      <c r="T2014" s="17"/>
      <c r="U2014" s="17"/>
    </row>
    <row r="2015" spans="17:21" x14ac:dyDescent="0.25">
      <c r="Q2015" s="17" t="s">
        <v>2806</v>
      </c>
      <c r="R2015" s="17" t="s">
        <v>251</v>
      </c>
      <c r="S2015" s="17"/>
      <c r="T2015" s="17"/>
      <c r="U2015" s="17"/>
    </row>
    <row r="2016" spans="17:21" x14ac:dyDescent="0.25">
      <c r="Q2016" s="17" t="s">
        <v>2807</v>
      </c>
      <c r="R2016" s="17" t="s">
        <v>251</v>
      </c>
      <c r="S2016" s="17"/>
      <c r="T2016" s="17"/>
      <c r="U2016" s="17"/>
    </row>
    <row r="2017" spans="17:21" x14ac:dyDescent="0.25">
      <c r="Q2017" s="17" t="s">
        <v>465</v>
      </c>
      <c r="R2017" s="17" t="s">
        <v>271</v>
      </c>
      <c r="S2017" s="17"/>
      <c r="T2017" s="17"/>
      <c r="U2017" s="17"/>
    </row>
    <row r="2018" spans="17:21" x14ac:dyDescent="0.25">
      <c r="Q2018" s="17" t="s">
        <v>2808</v>
      </c>
      <c r="R2018" s="17" t="s">
        <v>245</v>
      </c>
      <c r="S2018" s="17"/>
      <c r="T2018" s="17"/>
      <c r="U2018" s="17"/>
    </row>
    <row r="2019" spans="17:21" x14ac:dyDescent="0.25">
      <c r="Q2019" s="17" t="s">
        <v>2809</v>
      </c>
      <c r="R2019" s="17" t="s">
        <v>245</v>
      </c>
      <c r="S2019" s="17"/>
      <c r="T2019" s="17"/>
      <c r="U2019" s="17"/>
    </row>
    <row r="2020" spans="17:21" x14ac:dyDescent="0.25">
      <c r="Q2020" s="17" t="s">
        <v>429</v>
      </c>
      <c r="R2020" s="17" t="s">
        <v>245</v>
      </c>
      <c r="S2020" s="17"/>
      <c r="T2020" s="17"/>
      <c r="U2020" s="17"/>
    </row>
    <row r="2021" spans="17:21" x14ac:dyDescent="0.25">
      <c r="Q2021" s="17" t="s">
        <v>669</v>
      </c>
      <c r="R2021" s="17" t="s">
        <v>245</v>
      </c>
      <c r="S2021" s="17"/>
      <c r="T2021" s="17"/>
      <c r="U2021" s="17"/>
    </row>
    <row r="2022" spans="17:21" x14ac:dyDescent="0.25">
      <c r="Q2022" s="17" t="s">
        <v>1167</v>
      </c>
      <c r="R2022" s="17" t="s">
        <v>253</v>
      </c>
      <c r="S2022" s="17"/>
      <c r="T2022" s="17"/>
      <c r="U2022" s="17"/>
    </row>
    <row r="2023" spans="17:21" x14ac:dyDescent="0.25">
      <c r="Q2023" s="17" t="s">
        <v>679</v>
      </c>
      <c r="R2023" s="17" t="s">
        <v>253</v>
      </c>
      <c r="S2023" s="17"/>
      <c r="T2023" s="17"/>
      <c r="U2023" s="17"/>
    </row>
    <row r="2024" spans="17:21" x14ac:dyDescent="0.25">
      <c r="Q2024" s="17" t="s">
        <v>2810</v>
      </c>
      <c r="R2024" s="17" t="s">
        <v>253</v>
      </c>
      <c r="S2024" s="17"/>
      <c r="T2024" s="17"/>
      <c r="U2024" s="17"/>
    </row>
    <row r="2025" spans="17:21" x14ac:dyDescent="0.25">
      <c r="Q2025" s="17" t="s">
        <v>2811</v>
      </c>
      <c r="R2025" s="17" t="s">
        <v>253</v>
      </c>
      <c r="S2025" s="17"/>
      <c r="T2025" s="17"/>
      <c r="U2025" s="17"/>
    </row>
    <row r="2026" spans="17:21" x14ac:dyDescent="0.25">
      <c r="Q2026" s="17" t="s">
        <v>2812</v>
      </c>
      <c r="R2026" s="17" t="s">
        <v>253</v>
      </c>
      <c r="S2026" s="17"/>
      <c r="T2026" s="17"/>
      <c r="U2026" s="17"/>
    </row>
    <row r="2027" spans="17:21" x14ac:dyDescent="0.25">
      <c r="Q2027" s="17" t="s">
        <v>1062</v>
      </c>
      <c r="R2027" s="17" t="s">
        <v>253</v>
      </c>
      <c r="S2027" s="17"/>
      <c r="T2027" s="17"/>
      <c r="U2027" s="17"/>
    </row>
    <row r="2028" spans="17:21" x14ac:dyDescent="0.25">
      <c r="Q2028" s="17" t="s">
        <v>1251</v>
      </c>
      <c r="R2028" s="17" t="s">
        <v>253</v>
      </c>
      <c r="S2028" s="17"/>
      <c r="T2028" s="17"/>
      <c r="U2028" s="17"/>
    </row>
    <row r="2029" spans="17:21" x14ac:dyDescent="0.25">
      <c r="Q2029" s="17" t="s">
        <v>2813</v>
      </c>
      <c r="R2029" s="17" t="s">
        <v>253</v>
      </c>
      <c r="S2029" s="17"/>
      <c r="T2029" s="17"/>
      <c r="U2029" s="17"/>
    </row>
    <row r="2030" spans="17:21" x14ac:dyDescent="0.25">
      <c r="Q2030" s="17" t="s">
        <v>2814</v>
      </c>
      <c r="R2030" s="17" t="s">
        <v>2815</v>
      </c>
      <c r="S2030" s="17"/>
      <c r="T2030" s="17"/>
      <c r="U2030" s="17"/>
    </row>
    <row r="2031" spans="17:21" x14ac:dyDescent="0.25">
      <c r="Q2031" s="17" t="s">
        <v>2816</v>
      </c>
      <c r="R2031" s="17" t="s">
        <v>2815</v>
      </c>
      <c r="S2031" s="17"/>
      <c r="T2031" s="17"/>
      <c r="U2031" s="17"/>
    </row>
    <row r="2032" spans="17:21" x14ac:dyDescent="0.25">
      <c r="Q2032" s="17" t="s">
        <v>2817</v>
      </c>
      <c r="R2032" s="17" t="s">
        <v>2815</v>
      </c>
      <c r="S2032" s="17"/>
      <c r="T2032" s="17"/>
      <c r="U2032" s="17"/>
    </row>
    <row r="2033" spans="17:21" x14ac:dyDescent="0.25">
      <c r="Q2033" s="17" t="s">
        <v>2818</v>
      </c>
      <c r="R2033" s="17" t="s">
        <v>2815</v>
      </c>
      <c r="S2033" s="17"/>
      <c r="T2033" s="17"/>
      <c r="U2033" s="17"/>
    </row>
    <row r="2034" spans="17:21" x14ac:dyDescent="0.25">
      <c r="Q2034" s="17" t="s">
        <v>2819</v>
      </c>
      <c r="R2034" s="17" t="s">
        <v>2815</v>
      </c>
      <c r="S2034" s="17"/>
      <c r="T2034" s="17"/>
      <c r="U2034" s="17"/>
    </row>
    <row r="2035" spans="17:21" x14ac:dyDescent="0.25">
      <c r="Q2035" s="17" t="s">
        <v>2820</v>
      </c>
      <c r="R2035" s="17" t="s">
        <v>2815</v>
      </c>
      <c r="S2035" s="17"/>
      <c r="T2035" s="17"/>
      <c r="U2035" s="17"/>
    </row>
    <row r="2036" spans="17:21" x14ac:dyDescent="0.25">
      <c r="Q2036" s="17" t="s">
        <v>461</v>
      </c>
      <c r="R2036" s="17" t="s">
        <v>175</v>
      </c>
      <c r="S2036" s="17"/>
      <c r="T2036" s="17"/>
      <c r="U2036" s="17"/>
    </row>
    <row r="2037" spans="17:21" x14ac:dyDescent="0.25">
      <c r="Q2037" s="17" t="s">
        <v>2821</v>
      </c>
      <c r="R2037" s="17" t="s">
        <v>175</v>
      </c>
      <c r="S2037" s="17"/>
      <c r="T2037" s="17"/>
      <c r="U2037" s="17"/>
    </row>
    <row r="2038" spans="17:21" x14ac:dyDescent="0.25">
      <c r="Q2038" s="17" t="s">
        <v>2822</v>
      </c>
      <c r="R2038" s="17" t="s">
        <v>175</v>
      </c>
      <c r="S2038" s="17"/>
      <c r="T2038" s="17"/>
      <c r="U2038" s="17"/>
    </row>
    <row r="2039" spans="17:21" x14ac:dyDescent="0.25">
      <c r="Q2039" s="17" t="s">
        <v>920</v>
      </c>
      <c r="R2039" s="17" t="s">
        <v>175</v>
      </c>
      <c r="S2039" s="17"/>
      <c r="T2039" s="17"/>
      <c r="U2039" s="17"/>
    </row>
    <row r="2040" spans="17:21" x14ac:dyDescent="0.25">
      <c r="Q2040" s="17" t="s">
        <v>938</v>
      </c>
      <c r="R2040" s="17" t="s">
        <v>175</v>
      </c>
      <c r="S2040" s="17"/>
      <c r="T2040" s="17"/>
      <c r="U2040" s="17"/>
    </row>
    <row r="2041" spans="17:21" x14ac:dyDescent="0.25">
      <c r="Q2041" s="17" t="s">
        <v>2823</v>
      </c>
      <c r="R2041" s="17" t="s">
        <v>175</v>
      </c>
      <c r="S2041" s="17"/>
      <c r="T2041" s="17"/>
      <c r="U2041" s="17"/>
    </row>
    <row r="2042" spans="17:21" x14ac:dyDescent="0.25">
      <c r="Q2042" s="17" t="s">
        <v>1073</v>
      </c>
      <c r="R2042" s="17" t="s">
        <v>175</v>
      </c>
      <c r="S2042" s="17"/>
      <c r="T2042" s="17"/>
      <c r="U2042" s="17"/>
    </row>
    <row r="2043" spans="17:21" x14ac:dyDescent="0.25">
      <c r="Q2043" s="17" t="s">
        <v>2824</v>
      </c>
      <c r="R2043" s="17" t="s">
        <v>175</v>
      </c>
      <c r="S2043" s="17"/>
      <c r="T2043" s="17"/>
      <c r="U2043" s="17"/>
    </row>
    <row r="2044" spans="17:21" x14ac:dyDescent="0.25">
      <c r="Q2044" s="17" t="s">
        <v>2825</v>
      </c>
      <c r="R2044" s="17" t="s">
        <v>175</v>
      </c>
      <c r="S2044" s="17"/>
      <c r="T2044" s="17"/>
      <c r="U2044" s="17"/>
    </row>
    <row r="2045" spans="17:21" x14ac:dyDescent="0.25">
      <c r="Q2045" s="17" t="s">
        <v>2826</v>
      </c>
      <c r="R2045" s="17" t="s">
        <v>175</v>
      </c>
      <c r="S2045" s="17"/>
      <c r="T2045" s="17"/>
      <c r="U2045" s="17"/>
    </row>
    <row r="2046" spans="17:21" x14ac:dyDescent="0.25">
      <c r="Q2046" s="17" t="s">
        <v>1238</v>
      </c>
      <c r="R2046" s="17" t="s">
        <v>175</v>
      </c>
      <c r="S2046" s="17"/>
      <c r="T2046" s="17"/>
      <c r="U2046" s="17"/>
    </row>
    <row r="2047" spans="17:21" x14ac:dyDescent="0.25">
      <c r="Q2047" s="17" t="s">
        <v>1059</v>
      </c>
      <c r="R2047" s="17" t="s">
        <v>175</v>
      </c>
      <c r="S2047" s="17"/>
      <c r="T2047" s="17"/>
      <c r="U2047" s="17"/>
    </row>
    <row r="2048" spans="17:21" x14ac:dyDescent="0.25">
      <c r="Q2048" s="17" t="s">
        <v>1316</v>
      </c>
      <c r="R2048" s="17" t="s">
        <v>175</v>
      </c>
      <c r="S2048" s="17"/>
      <c r="T2048" s="17"/>
      <c r="U2048" s="17"/>
    </row>
    <row r="2049" spans="17:21" x14ac:dyDescent="0.25">
      <c r="Q2049" s="17" t="s">
        <v>2827</v>
      </c>
      <c r="R2049" s="17" t="s">
        <v>175</v>
      </c>
      <c r="S2049" s="17"/>
      <c r="T2049" s="17"/>
      <c r="U2049" s="17"/>
    </row>
    <row r="2050" spans="17:21" x14ac:dyDescent="0.25">
      <c r="Q2050" s="17" t="s">
        <v>2828</v>
      </c>
      <c r="R2050" s="17" t="s">
        <v>175</v>
      </c>
      <c r="S2050" s="17"/>
      <c r="T2050" s="17"/>
      <c r="U2050" s="17"/>
    </row>
    <row r="2051" spans="17:21" x14ac:dyDescent="0.25">
      <c r="Q2051" s="17" t="s">
        <v>2829</v>
      </c>
      <c r="R2051" s="17" t="s">
        <v>2830</v>
      </c>
      <c r="S2051" s="17"/>
      <c r="T2051" s="17"/>
      <c r="U2051" s="17"/>
    </row>
    <row r="2052" spans="17:21" x14ac:dyDescent="0.25">
      <c r="Q2052" s="17" t="s">
        <v>2831</v>
      </c>
      <c r="R2052" s="17" t="s">
        <v>2830</v>
      </c>
      <c r="S2052" s="17"/>
      <c r="T2052" s="17"/>
      <c r="U2052" s="17"/>
    </row>
    <row r="2053" spans="17:21" x14ac:dyDescent="0.25">
      <c r="Q2053" s="17" t="s">
        <v>2832</v>
      </c>
      <c r="R2053" s="17" t="s">
        <v>2830</v>
      </c>
      <c r="S2053" s="17"/>
      <c r="T2053" s="17"/>
      <c r="U2053" s="17"/>
    </row>
    <row r="2054" spans="17:21" x14ac:dyDescent="0.25">
      <c r="Q2054" s="17" t="s">
        <v>2833</v>
      </c>
      <c r="R2054" s="17" t="s">
        <v>2830</v>
      </c>
      <c r="S2054" s="17"/>
      <c r="T2054" s="17"/>
      <c r="U2054" s="17"/>
    </row>
    <row r="2055" spans="17:21" x14ac:dyDescent="0.25">
      <c r="Q2055" s="17" t="s">
        <v>2834</v>
      </c>
      <c r="R2055" s="17" t="s">
        <v>2815</v>
      </c>
      <c r="S2055" s="17"/>
      <c r="T2055" s="17"/>
      <c r="U2055" s="17"/>
    </row>
    <row r="2056" spans="17:21" x14ac:dyDescent="0.25">
      <c r="Q2056" s="17" t="s">
        <v>2835</v>
      </c>
      <c r="R2056" s="17" t="s">
        <v>2815</v>
      </c>
      <c r="S2056" s="17"/>
      <c r="T2056" s="17"/>
      <c r="U2056" s="17"/>
    </row>
    <row r="2057" spans="17:21" x14ac:dyDescent="0.25">
      <c r="Q2057" s="17" t="s">
        <v>2836</v>
      </c>
      <c r="R2057" s="17" t="s">
        <v>2830</v>
      </c>
      <c r="S2057" s="17"/>
      <c r="T2057" s="17"/>
      <c r="U2057" s="17"/>
    </row>
    <row r="2058" spans="17:21" x14ac:dyDescent="0.25">
      <c r="Q2058" s="17" t="s">
        <v>2837</v>
      </c>
      <c r="R2058" s="17" t="s">
        <v>2830</v>
      </c>
      <c r="S2058" s="17"/>
      <c r="T2058" s="17"/>
      <c r="U2058" s="17"/>
    </row>
    <row r="2059" spans="17:21" x14ac:dyDescent="0.25">
      <c r="Q2059" s="17" t="s">
        <v>2838</v>
      </c>
      <c r="R2059" s="17" t="s">
        <v>2830</v>
      </c>
      <c r="S2059" s="17"/>
      <c r="T2059" s="17"/>
      <c r="U2059" s="17"/>
    </row>
    <row r="2060" spans="17:21" x14ac:dyDescent="0.25">
      <c r="Q2060" s="17" t="s">
        <v>2839</v>
      </c>
      <c r="R2060" s="17" t="s">
        <v>2830</v>
      </c>
      <c r="S2060" s="17"/>
      <c r="T2060" s="17"/>
      <c r="U2060" s="17"/>
    </row>
    <row r="2061" spans="17:21" x14ac:dyDescent="0.25">
      <c r="Q2061" s="17" t="s">
        <v>2840</v>
      </c>
      <c r="R2061" s="17" t="s">
        <v>2830</v>
      </c>
      <c r="S2061" s="17"/>
      <c r="T2061" s="17"/>
      <c r="U2061" s="17"/>
    </row>
    <row r="2062" spans="17:21" x14ac:dyDescent="0.25">
      <c r="Q2062" s="17" t="s">
        <v>2841</v>
      </c>
      <c r="R2062" s="17" t="s">
        <v>2830</v>
      </c>
      <c r="S2062" s="17"/>
      <c r="T2062" s="17"/>
      <c r="U2062" s="17"/>
    </row>
    <row r="2063" spans="17:21" x14ac:dyDescent="0.25">
      <c r="Q2063" s="17" t="s">
        <v>2842</v>
      </c>
      <c r="R2063" s="17" t="s">
        <v>2830</v>
      </c>
      <c r="S2063" s="17"/>
      <c r="T2063" s="17"/>
      <c r="U2063" s="17"/>
    </row>
    <row r="2064" spans="17:21" x14ac:dyDescent="0.25">
      <c r="Q2064" s="17" t="s">
        <v>2843</v>
      </c>
      <c r="R2064" s="17" t="s">
        <v>2815</v>
      </c>
      <c r="S2064" s="17"/>
      <c r="T2064" s="17"/>
      <c r="U2064" s="17"/>
    </row>
    <row r="2065" spans="17:21" x14ac:dyDescent="0.25">
      <c r="Q2065" s="17" t="s">
        <v>2844</v>
      </c>
      <c r="R2065" s="17" t="s">
        <v>2815</v>
      </c>
      <c r="S2065" s="17"/>
      <c r="T2065" s="17"/>
      <c r="U2065" s="17"/>
    </row>
    <row r="2066" spans="17:21" x14ac:dyDescent="0.25">
      <c r="Q2066" s="17" t="s">
        <v>2845</v>
      </c>
      <c r="R2066" s="17" t="s">
        <v>2815</v>
      </c>
      <c r="S2066" s="17"/>
      <c r="T2066" s="17"/>
      <c r="U2066" s="17"/>
    </row>
    <row r="2067" spans="17:21" x14ac:dyDescent="0.25">
      <c r="Q2067" s="17" t="s">
        <v>2846</v>
      </c>
      <c r="R2067" s="17" t="s">
        <v>2815</v>
      </c>
      <c r="S2067" s="17"/>
      <c r="T2067" s="17"/>
      <c r="U2067" s="17"/>
    </row>
    <row r="2068" spans="17:21" x14ac:dyDescent="0.25">
      <c r="Q2068" s="17" t="s">
        <v>2847</v>
      </c>
      <c r="R2068" s="17" t="s">
        <v>2815</v>
      </c>
      <c r="S2068" s="17"/>
      <c r="T2068" s="17"/>
      <c r="U2068" s="17"/>
    </row>
    <row r="2069" spans="17:21" x14ac:dyDescent="0.25">
      <c r="Q2069" s="17" t="s">
        <v>2848</v>
      </c>
      <c r="R2069" s="17" t="s">
        <v>2815</v>
      </c>
      <c r="S2069" s="17"/>
      <c r="T2069" s="17"/>
      <c r="U2069" s="17"/>
    </row>
    <row r="2070" spans="17:21" x14ac:dyDescent="0.25">
      <c r="Q2070" s="17" t="s">
        <v>2849</v>
      </c>
      <c r="R2070" s="17" t="s">
        <v>2815</v>
      </c>
      <c r="S2070" s="17"/>
      <c r="T2070" s="17"/>
      <c r="U2070" s="17"/>
    </row>
    <row r="2071" spans="17:21" x14ac:dyDescent="0.25">
      <c r="Q2071" s="17" t="s">
        <v>2850</v>
      </c>
      <c r="R2071" s="17" t="s">
        <v>2815</v>
      </c>
      <c r="S2071" s="17"/>
      <c r="T2071" s="17"/>
      <c r="U2071" s="17"/>
    </row>
    <row r="2072" spans="17:21" x14ac:dyDescent="0.25">
      <c r="Q2072" s="17" t="s">
        <v>2851</v>
      </c>
      <c r="R2072" s="17" t="s">
        <v>2815</v>
      </c>
      <c r="S2072" s="17"/>
      <c r="T2072" s="17"/>
      <c r="U2072" s="17"/>
    </row>
    <row r="2073" spans="17:21" x14ac:dyDescent="0.25">
      <c r="Q2073" s="17" t="s">
        <v>2852</v>
      </c>
      <c r="R2073" s="17" t="s">
        <v>2815</v>
      </c>
      <c r="S2073" s="17"/>
      <c r="T2073" s="17"/>
      <c r="U2073" s="17"/>
    </row>
    <row r="2074" spans="17:21" x14ac:dyDescent="0.25">
      <c r="Q2074" s="17" t="s">
        <v>2853</v>
      </c>
      <c r="R2074" s="17" t="s">
        <v>2815</v>
      </c>
      <c r="S2074" s="17"/>
      <c r="T2074" s="17"/>
      <c r="U2074" s="17"/>
    </row>
    <row r="2075" spans="17:21" x14ac:dyDescent="0.25">
      <c r="Q2075" s="17" t="s">
        <v>2854</v>
      </c>
      <c r="R2075" s="17" t="s">
        <v>2815</v>
      </c>
      <c r="S2075" s="17"/>
      <c r="T2075" s="17"/>
      <c r="U2075" s="17"/>
    </row>
    <row r="2076" spans="17:21" x14ac:dyDescent="0.25">
      <c r="Q2076" s="17" t="s">
        <v>2855</v>
      </c>
      <c r="R2076" s="17" t="s">
        <v>2815</v>
      </c>
      <c r="S2076" s="17"/>
      <c r="T2076" s="17"/>
      <c r="U2076" s="17"/>
    </row>
    <row r="2077" spans="17:21" x14ac:dyDescent="0.25">
      <c r="Q2077" s="17" t="s">
        <v>2856</v>
      </c>
      <c r="R2077" s="17" t="s">
        <v>2815</v>
      </c>
      <c r="S2077" s="17"/>
      <c r="T2077" s="17"/>
      <c r="U2077" s="17"/>
    </row>
    <row r="2078" spans="17:21" x14ac:dyDescent="0.25">
      <c r="Q2078" s="17" t="s">
        <v>2857</v>
      </c>
      <c r="R2078" s="17" t="s">
        <v>2815</v>
      </c>
      <c r="S2078" s="17"/>
      <c r="T2078" s="17"/>
      <c r="U2078" s="17"/>
    </row>
    <row r="2079" spans="17:21" x14ac:dyDescent="0.25">
      <c r="Q2079" s="17" t="s">
        <v>2858</v>
      </c>
      <c r="R2079" s="17" t="s">
        <v>2815</v>
      </c>
      <c r="S2079" s="17"/>
      <c r="T2079" s="17"/>
      <c r="U2079" s="17"/>
    </row>
    <row r="2080" spans="17:21" x14ac:dyDescent="0.25">
      <c r="Q2080" s="17" t="s">
        <v>2859</v>
      </c>
      <c r="R2080" s="17" t="s">
        <v>2815</v>
      </c>
      <c r="S2080" s="17"/>
      <c r="T2080" s="17"/>
      <c r="U2080" s="17"/>
    </row>
    <row r="2081" spans="17:21" x14ac:dyDescent="0.25">
      <c r="Q2081" s="17" t="s">
        <v>2860</v>
      </c>
      <c r="R2081" s="17" t="s">
        <v>2815</v>
      </c>
      <c r="S2081" s="17"/>
      <c r="T2081" s="17"/>
      <c r="U2081" s="17"/>
    </row>
    <row r="2082" spans="17:21" x14ac:dyDescent="0.25">
      <c r="Q2082" s="17" t="s">
        <v>2861</v>
      </c>
      <c r="R2082" s="17" t="s">
        <v>2815</v>
      </c>
      <c r="S2082" s="17"/>
      <c r="T2082" s="17"/>
      <c r="U2082" s="17"/>
    </row>
    <row r="2083" spans="17:21" x14ac:dyDescent="0.25">
      <c r="Q2083" s="17" t="s">
        <v>2862</v>
      </c>
      <c r="R2083" s="17" t="s">
        <v>2815</v>
      </c>
      <c r="S2083" s="17"/>
      <c r="T2083" s="17"/>
      <c r="U2083" s="17"/>
    </row>
    <row r="2084" spans="17:21" x14ac:dyDescent="0.25">
      <c r="Q2084" s="17" t="s">
        <v>2863</v>
      </c>
      <c r="R2084" s="17" t="s">
        <v>2815</v>
      </c>
      <c r="S2084" s="17"/>
      <c r="T2084" s="17"/>
      <c r="U2084" s="17"/>
    </row>
    <row r="2085" spans="17:21" x14ac:dyDescent="0.25">
      <c r="Q2085" s="17" t="s">
        <v>2864</v>
      </c>
      <c r="R2085" s="17" t="s">
        <v>2815</v>
      </c>
      <c r="S2085" s="17"/>
      <c r="T2085" s="17"/>
      <c r="U2085" s="17"/>
    </row>
    <row r="2086" spans="17:21" x14ac:dyDescent="0.25">
      <c r="Q2086" s="17" t="s">
        <v>2865</v>
      </c>
      <c r="R2086" s="17" t="s">
        <v>2815</v>
      </c>
      <c r="S2086" s="17"/>
      <c r="T2086" s="17"/>
      <c r="U2086" s="17"/>
    </row>
    <row r="2087" spans="17:21" x14ac:dyDescent="0.25">
      <c r="Q2087" s="17" t="s">
        <v>2866</v>
      </c>
      <c r="R2087" s="17" t="s">
        <v>2815</v>
      </c>
      <c r="S2087" s="17"/>
      <c r="T2087" s="17"/>
      <c r="U2087" s="17"/>
    </row>
    <row r="2088" spans="17:21" x14ac:dyDescent="0.25">
      <c r="Q2088" s="17" t="s">
        <v>2867</v>
      </c>
      <c r="R2088" s="17" t="s">
        <v>2815</v>
      </c>
      <c r="S2088" s="17"/>
      <c r="T2088" s="17"/>
      <c r="U2088" s="17"/>
    </row>
    <row r="2089" spans="17:21" x14ac:dyDescent="0.25">
      <c r="Q2089" s="17" t="s">
        <v>2868</v>
      </c>
      <c r="R2089" s="17" t="s">
        <v>2815</v>
      </c>
      <c r="S2089" s="17"/>
      <c r="T2089" s="17"/>
      <c r="U2089" s="17"/>
    </row>
    <row r="2090" spans="17:21" x14ac:dyDescent="0.25">
      <c r="Q2090" s="17" t="s">
        <v>2869</v>
      </c>
      <c r="R2090" s="17" t="s">
        <v>2815</v>
      </c>
      <c r="S2090" s="17"/>
      <c r="T2090" s="17"/>
      <c r="U2090" s="17"/>
    </row>
    <row r="2091" spans="17:21" x14ac:dyDescent="0.25">
      <c r="Q2091" s="17" t="s">
        <v>2870</v>
      </c>
      <c r="R2091" s="17" t="s">
        <v>2815</v>
      </c>
      <c r="S2091" s="17"/>
      <c r="T2091" s="17"/>
      <c r="U2091" s="17"/>
    </row>
    <row r="2092" spans="17:21" x14ac:dyDescent="0.25">
      <c r="Q2092" s="17" t="s">
        <v>2871</v>
      </c>
      <c r="R2092" s="17" t="s">
        <v>2815</v>
      </c>
      <c r="S2092" s="17"/>
      <c r="T2092" s="17"/>
      <c r="U2092" s="17"/>
    </row>
    <row r="2093" spans="17:21" x14ac:dyDescent="0.25">
      <c r="Q2093" s="17" t="s">
        <v>2872</v>
      </c>
      <c r="R2093" s="17" t="s">
        <v>2815</v>
      </c>
      <c r="S2093" s="17"/>
      <c r="T2093" s="17"/>
      <c r="U2093" s="17"/>
    </row>
    <row r="2094" spans="17:21" x14ac:dyDescent="0.25">
      <c r="Q2094" s="17" t="s">
        <v>2873</v>
      </c>
      <c r="R2094" s="17" t="s">
        <v>2815</v>
      </c>
      <c r="S2094" s="17"/>
      <c r="T2094" s="17"/>
      <c r="U2094" s="17"/>
    </row>
    <row r="2095" spans="17:21" x14ac:dyDescent="0.25">
      <c r="Q2095" s="17" t="s">
        <v>2874</v>
      </c>
      <c r="R2095" s="17" t="s">
        <v>2815</v>
      </c>
      <c r="S2095" s="17"/>
      <c r="T2095" s="17"/>
      <c r="U2095" s="17"/>
    </row>
    <row r="2096" spans="17:21" x14ac:dyDescent="0.25">
      <c r="Q2096" s="17" t="s">
        <v>2875</v>
      </c>
      <c r="R2096" s="17" t="s">
        <v>2815</v>
      </c>
      <c r="S2096" s="17"/>
      <c r="T2096" s="17"/>
      <c r="U2096" s="17"/>
    </row>
    <row r="2097" spans="17:21" x14ac:dyDescent="0.25">
      <c r="Q2097" s="17" t="s">
        <v>2876</v>
      </c>
      <c r="R2097" s="17" t="s">
        <v>2815</v>
      </c>
      <c r="S2097" s="17"/>
      <c r="T2097" s="17"/>
      <c r="U2097" s="17"/>
    </row>
    <row r="2098" spans="17:21" x14ac:dyDescent="0.25">
      <c r="Q2098" s="17" t="s">
        <v>2877</v>
      </c>
      <c r="R2098" s="17" t="s">
        <v>2815</v>
      </c>
      <c r="S2098" s="17"/>
      <c r="T2098" s="17"/>
      <c r="U2098" s="17"/>
    </row>
    <row r="2099" spans="17:21" x14ac:dyDescent="0.25">
      <c r="Q2099" s="17" t="s">
        <v>2878</v>
      </c>
      <c r="R2099" s="17" t="s">
        <v>2815</v>
      </c>
      <c r="S2099" s="17"/>
      <c r="T2099" s="17"/>
      <c r="U2099" s="17"/>
    </row>
    <row r="2100" spans="17:21" x14ac:dyDescent="0.25">
      <c r="Q2100" s="17" t="s">
        <v>2879</v>
      </c>
      <c r="R2100" s="17" t="s">
        <v>2815</v>
      </c>
      <c r="S2100" s="17"/>
      <c r="T2100" s="17"/>
      <c r="U2100" s="17"/>
    </row>
    <row r="2101" spans="17:21" x14ac:dyDescent="0.25">
      <c r="Q2101" s="17" t="s">
        <v>2880</v>
      </c>
      <c r="R2101" s="17" t="s">
        <v>2815</v>
      </c>
      <c r="S2101" s="17"/>
      <c r="T2101" s="17"/>
      <c r="U2101" s="17"/>
    </row>
    <row r="2102" spans="17:21" x14ac:dyDescent="0.25">
      <c r="Q2102" s="17" t="s">
        <v>2881</v>
      </c>
      <c r="R2102" s="17" t="s">
        <v>2815</v>
      </c>
      <c r="S2102" s="17"/>
      <c r="T2102" s="17"/>
      <c r="U2102" s="17"/>
    </row>
    <row r="2103" spans="17:21" x14ac:dyDescent="0.25">
      <c r="Q2103" s="17" t="s">
        <v>2882</v>
      </c>
      <c r="R2103" s="17" t="s">
        <v>2815</v>
      </c>
      <c r="S2103" s="17"/>
      <c r="T2103" s="17"/>
      <c r="U2103" s="17"/>
    </row>
    <row r="2104" spans="17:21" x14ac:dyDescent="0.25">
      <c r="Q2104" s="17" t="s">
        <v>2883</v>
      </c>
      <c r="R2104" s="17" t="s">
        <v>2830</v>
      </c>
      <c r="S2104" s="17"/>
      <c r="T2104" s="17"/>
      <c r="U2104" s="17"/>
    </row>
    <row r="2105" spans="17:21" x14ac:dyDescent="0.25">
      <c r="Q2105" s="17" t="s">
        <v>2884</v>
      </c>
      <c r="R2105" s="17" t="s">
        <v>2830</v>
      </c>
      <c r="S2105" s="17"/>
      <c r="T2105" s="17"/>
      <c r="U2105" s="17"/>
    </row>
    <row r="2106" spans="17:21" x14ac:dyDescent="0.25">
      <c r="Q2106" s="17" t="s">
        <v>2885</v>
      </c>
      <c r="R2106" s="17" t="s">
        <v>2830</v>
      </c>
      <c r="S2106" s="17"/>
      <c r="T2106" s="17"/>
      <c r="U2106" s="17"/>
    </row>
    <row r="2107" spans="17:21" x14ac:dyDescent="0.25">
      <c r="Q2107" s="17" t="s">
        <v>2886</v>
      </c>
      <c r="R2107" s="17" t="s">
        <v>2815</v>
      </c>
      <c r="S2107" s="17"/>
      <c r="T2107" s="17"/>
      <c r="U2107" s="17"/>
    </row>
    <row r="2108" spans="17:21" x14ac:dyDescent="0.25">
      <c r="Q2108" s="17" t="s">
        <v>2887</v>
      </c>
      <c r="R2108" s="17" t="s">
        <v>2815</v>
      </c>
      <c r="S2108" s="17"/>
      <c r="T2108" s="17"/>
      <c r="U2108" s="17"/>
    </row>
    <row r="2109" spans="17:21" x14ac:dyDescent="0.25">
      <c r="Q2109" s="17" t="s">
        <v>2888</v>
      </c>
      <c r="R2109" s="17" t="s">
        <v>2815</v>
      </c>
      <c r="S2109" s="17"/>
      <c r="T2109" s="17"/>
      <c r="U2109" s="17"/>
    </row>
    <row r="2110" spans="17:21" x14ac:dyDescent="0.25">
      <c r="Q2110" s="17" t="s">
        <v>2889</v>
      </c>
      <c r="R2110" s="17" t="s">
        <v>2830</v>
      </c>
      <c r="S2110" s="17"/>
      <c r="T2110" s="17"/>
      <c r="U2110" s="17"/>
    </row>
    <row r="2111" spans="17:21" x14ac:dyDescent="0.25">
      <c r="Q2111" s="17" t="s">
        <v>2890</v>
      </c>
      <c r="R2111" s="17" t="s">
        <v>2830</v>
      </c>
      <c r="S2111" s="17"/>
      <c r="T2111" s="17"/>
      <c r="U2111" s="17"/>
    </row>
    <row r="2112" spans="17:21" x14ac:dyDescent="0.25">
      <c r="Q2112" s="17" t="s">
        <v>2891</v>
      </c>
      <c r="R2112" s="17" t="s">
        <v>2830</v>
      </c>
      <c r="S2112" s="17"/>
      <c r="T2112" s="17"/>
      <c r="U2112" s="17"/>
    </row>
    <row r="2113" spans="17:21" x14ac:dyDescent="0.25">
      <c r="Q2113" s="17" t="s">
        <v>2892</v>
      </c>
      <c r="R2113" s="17" t="s">
        <v>2830</v>
      </c>
      <c r="S2113" s="17"/>
      <c r="T2113" s="17"/>
      <c r="U2113" s="17"/>
    </row>
    <row r="2114" spans="17:21" x14ac:dyDescent="0.25">
      <c r="Q2114" s="17" t="s">
        <v>2893</v>
      </c>
      <c r="R2114" s="17" t="s">
        <v>2815</v>
      </c>
      <c r="S2114" s="17"/>
      <c r="T2114" s="17"/>
      <c r="U2114" s="17"/>
    </row>
    <row r="2115" spans="17:21" x14ac:dyDescent="0.25">
      <c r="Q2115" s="17" t="s">
        <v>2894</v>
      </c>
      <c r="R2115" s="17" t="s">
        <v>2815</v>
      </c>
      <c r="S2115" s="17"/>
      <c r="T2115" s="17"/>
      <c r="U2115" s="17"/>
    </row>
    <row r="2116" spans="17:21" x14ac:dyDescent="0.25">
      <c r="Q2116" s="17" t="s">
        <v>2895</v>
      </c>
      <c r="R2116" s="17" t="s">
        <v>2815</v>
      </c>
      <c r="S2116" s="17"/>
      <c r="T2116" s="17"/>
      <c r="U2116" s="17"/>
    </row>
    <row r="2117" spans="17:21" x14ac:dyDescent="0.25">
      <c r="Q2117" s="17" t="s">
        <v>2896</v>
      </c>
      <c r="R2117" s="17" t="s">
        <v>2815</v>
      </c>
      <c r="S2117" s="17"/>
      <c r="T2117" s="17"/>
      <c r="U2117" s="17"/>
    </row>
    <row r="2118" spans="17:21" x14ac:dyDescent="0.25">
      <c r="Q2118" s="17" t="s">
        <v>2897</v>
      </c>
      <c r="R2118" s="17" t="s">
        <v>2815</v>
      </c>
      <c r="S2118" s="17"/>
      <c r="T2118" s="17"/>
      <c r="U2118" s="17"/>
    </row>
    <row r="2119" spans="17:21" x14ac:dyDescent="0.25">
      <c r="Q2119" s="17" t="s">
        <v>2898</v>
      </c>
      <c r="R2119" s="17" t="s">
        <v>2815</v>
      </c>
      <c r="S2119" s="17"/>
      <c r="T2119" s="17"/>
      <c r="U2119" s="17"/>
    </row>
    <row r="2120" spans="17:21" x14ac:dyDescent="0.25">
      <c r="Q2120" s="17" t="s">
        <v>2899</v>
      </c>
      <c r="R2120" s="17" t="s">
        <v>2815</v>
      </c>
      <c r="S2120" s="17"/>
      <c r="T2120" s="17"/>
      <c r="U2120" s="17"/>
    </row>
    <row r="2121" spans="17:21" x14ac:dyDescent="0.25">
      <c r="Q2121" s="17" t="s">
        <v>2900</v>
      </c>
      <c r="R2121" s="17" t="s">
        <v>2815</v>
      </c>
      <c r="S2121" s="17"/>
      <c r="T2121" s="17"/>
      <c r="U2121" s="17"/>
    </row>
    <row r="2122" spans="17:21" x14ac:dyDescent="0.25">
      <c r="Q2122" s="17" t="s">
        <v>2901</v>
      </c>
      <c r="R2122" s="17" t="s">
        <v>2815</v>
      </c>
      <c r="S2122" s="17"/>
      <c r="T2122" s="17"/>
      <c r="U2122" s="17"/>
    </row>
    <row r="2123" spans="17:21" x14ac:dyDescent="0.25">
      <c r="Q2123" s="17" t="s">
        <v>2902</v>
      </c>
      <c r="R2123" s="17" t="s">
        <v>2830</v>
      </c>
      <c r="S2123" s="17"/>
      <c r="T2123" s="17"/>
      <c r="U2123" s="17"/>
    </row>
    <row r="2124" spans="17:21" x14ac:dyDescent="0.25">
      <c r="Q2124" s="17" t="s">
        <v>2903</v>
      </c>
      <c r="R2124" s="17" t="s">
        <v>2815</v>
      </c>
      <c r="S2124" s="17"/>
      <c r="T2124" s="17"/>
      <c r="U2124" s="17"/>
    </row>
    <row r="2125" spans="17:21" x14ac:dyDescent="0.25">
      <c r="Q2125" s="17" t="s">
        <v>2904</v>
      </c>
      <c r="R2125" s="17" t="s">
        <v>2830</v>
      </c>
      <c r="S2125" s="17"/>
      <c r="T2125" s="17"/>
      <c r="U2125" s="17"/>
    </row>
    <row r="2126" spans="17:21" x14ac:dyDescent="0.25">
      <c r="Q2126" s="17" t="s">
        <v>2905</v>
      </c>
      <c r="R2126" s="17" t="s">
        <v>2830</v>
      </c>
      <c r="S2126" s="17"/>
      <c r="T2126" s="17"/>
      <c r="U2126" s="17"/>
    </row>
    <row r="2127" spans="17:21" x14ac:dyDescent="0.25">
      <c r="Q2127" s="17" t="s">
        <v>2906</v>
      </c>
      <c r="R2127" s="17" t="s">
        <v>2830</v>
      </c>
      <c r="S2127" s="17"/>
      <c r="T2127" s="17"/>
      <c r="U2127" s="17"/>
    </row>
    <row r="2128" spans="17:21" x14ac:dyDescent="0.25">
      <c r="Q2128" s="17" t="s">
        <v>2907</v>
      </c>
      <c r="R2128" s="17" t="s">
        <v>2830</v>
      </c>
      <c r="S2128" s="17"/>
      <c r="T2128" s="17"/>
      <c r="U2128" s="17"/>
    </row>
    <row r="2129" spans="17:21" x14ac:dyDescent="0.25">
      <c r="Q2129" s="17" t="s">
        <v>2908</v>
      </c>
      <c r="R2129" s="17" t="s">
        <v>2830</v>
      </c>
      <c r="S2129" s="17"/>
      <c r="T2129" s="17"/>
      <c r="U2129" s="17"/>
    </row>
    <row r="2130" spans="17:21" x14ac:dyDescent="0.25">
      <c r="Q2130" s="17" t="s">
        <v>2909</v>
      </c>
      <c r="R2130" s="17" t="s">
        <v>2830</v>
      </c>
      <c r="S2130" s="17"/>
      <c r="T2130" s="17"/>
      <c r="U2130" s="17"/>
    </row>
    <row r="2131" spans="17:21" x14ac:dyDescent="0.25">
      <c r="Q2131" s="17" t="s">
        <v>2910</v>
      </c>
      <c r="R2131" s="17" t="s">
        <v>2830</v>
      </c>
      <c r="S2131" s="17"/>
      <c r="T2131" s="17"/>
      <c r="U2131" s="17"/>
    </row>
    <row r="2132" spans="17:21" x14ac:dyDescent="0.25">
      <c r="Q2132" s="17" t="s">
        <v>2911</v>
      </c>
      <c r="R2132" s="17" t="s">
        <v>2912</v>
      </c>
      <c r="S2132" s="17"/>
      <c r="T2132" s="17"/>
      <c r="U2132" s="17"/>
    </row>
    <row r="2133" spans="17:21" x14ac:dyDescent="0.25">
      <c r="Q2133" s="17" t="s">
        <v>2913</v>
      </c>
      <c r="R2133" s="17" t="s">
        <v>2912</v>
      </c>
      <c r="S2133" s="17"/>
      <c r="T2133" s="17"/>
      <c r="U2133" s="17"/>
    </row>
    <row r="2134" spans="17:21" x14ac:dyDescent="0.25">
      <c r="Q2134" s="17" t="s">
        <v>2914</v>
      </c>
      <c r="R2134" s="17" t="s">
        <v>2912</v>
      </c>
      <c r="S2134" s="17"/>
      <c r="T2134" s="17"/>
      <c r="U2134" s="17"/>
    </row>
    <row r="2135" spans="17:21" x14ac:dyDescent="0.25">
      <c r="Q2135" s="17" t="s">
        <v>2915</v>
      </c>
      <c r="R2135" s="17" t="s">
        <v>2912</v>
      </c>
      <c r="S2135" s="17"/>
      <c r="T2135" s="17"/>
      <c r="U2135" s="17"/>
    </row>
    <row r="2136" spans="17:21" x14ac:dyDescent="0.25">
      <c r="Q2136" s="17" t="s">
        <v>2916</v>
      </c>
      <c r="R2136" s="17" t="s">
        <v>2912</v>
      </c>
      <c r="S2136" s="17"/>
      <c r="T2136" s="17"/>
      <c r="U2136" s="17"/>
    </row>
    <row r="2137" spans="17:21" x14ac:dyDescent="0.25">
      <c r="Q2137" s="17" t="s">
        <v>2917</v>
      </c>
      <c r="R2137" s="17" t="s">
        <v>2912</v>
      </c>
      <c r="S2137" s="17"/>
      <c r="T2137" s="17"/>
      <c r="U2137" s="17"/>
    </row>
    <row r="2138" spans="17:21" x14ac:dyDescent="0.25">
      <c r="Q2138" s="17" t="s">
        <v>2918</v>
      </c>
      <c r="R2138" s="17" t="s">
        <v>2912</v>
      </c>
      <c r="S2138" s="17"/>
      <c r="T2138" s="17"/>
      <c r="U2138" s="17"/>
    </row>
    <row r="2139" spans="17:21" x14ac:dyDescent="0.25">
      <c r="Q2139" s="17" t="s">
        <v>2919</v>
      </c>
      <c r="R2139" s="17" t="s">
        <v>2912</v>
      </c>
      <c r="S2139" s="17"/>
      <c r="T2139" s="17"/>
      <c r="U2139" s="17"/>
    </row>
    <row r="2140" spans="17:21" x14ac:dyDescent="0.25">
      <c r="Q2140" s="17" t="s">
        <v>2920</v>
      </c>
      <c r="R2140" s="17" t="s">
        <v>2912</v>
      </c>
      <c r="S2140" s="17"/>
      <c r="T2140" s="17"/>
      <c r="U2140" s="17"/>
    </row>
    <row r="2141" spans="17:21" x14ac:dyDescent="0.25">
      <c r="Q2141" s="17" t="s">
        <v>2921</v>
      </c>
      <c r="R2141" s="17" t="s">
        <v>2912</v>
      </c>
      <c r="S2141" s="17"/>
      <c r="T2141" s="17"/>
      <c r="U2141" s="17"/>
    </row>
    <row r="2142" spans="17:21" x14ac:dyDescent="0.25">
      <c r="Q2142" s="17" t="s">
        <v>2922</v>
      </c>
      <c r="R2142" s="17" t="s">
        <v>2912</v>
      </c>
      <c r="S2142" s="17"/>
      <c r="T2142" s="17"/>
      <c r="U2142" s="17"/>
    </row>
    <row r="2143" spans="17:21" x14ac:dyDescent="0.25">
      <c r="Q2143" s="17" t="s">
        <v>2923</v>
      </c>
      <c r="R2143" s="17" t="s">
        <v>2912</v>
      </c>
      <c r="S2143" s="17"/>
      <c r="T2143" s="17"/>
      <c r="U2143" s="17"/>
    </row>
    <row r="2144" spans="17:21" x14ac:dyDescent="0.25">
      <c r="Q2144" s="17" t="s">
        <v>2924</v>
      </c>
      <c r="R2144" s="17" t="s">
        <v>2912</v>
      </c>
      <c r="S2144" s="17"/>
      <c r="T2144" s="17"/>
      <c r="U2144" s="17"/>
    </row>
    <row r="2145" spans="17:21" x14ac:dyDescent="0.25">
      <c r="Q2145" s="17" t="s">
        <v>2925</v>
      </c>
      <c r="R2145" s="17" t="s">
        <v>2815</v>
      </c>
      <c r="S2145" s="17"/>
      <c r="T2145" s="17"/>
      <c r="U2145" s="17"/>
    </row>
    <row r="2146" spans="17:21" x14ac:dyDescent="0.25">
      <c r="Q2146" s="17" t="s">
        <v>2926</v>
      </c>
      <c r="R2146" s="17" t="s">
        <v>2815</v>
      </c>
      <c r="S2146" s="17"/>
      <c r="T2146" s="17"/>
      <c r="U2146" s="17"/>
    </row>
    <row r="2147" spans="17:21" x14ac:dyDescent="0.25">
      <c r="Q2147" s="17" t="s">
        <v>2927</v>
      </c>
      <c r="R2147" s="17" t="s">
        <v>2815</v>
      </c>
      <c r="S2147" s="17"/>
      <c r="T2147" s="17"/>
      <c r="U2147" s="17"/>
    </row>
    <row r="2148" spans="17:21" x14ac:dyDescent="0.25">
      <c r="Q2148" s="17" t="s">
        <v>2928</v>
      </c>
      <c r="R2148" s="17" t="s">
        <v>2912</v>
      </c>
      <c r="S2148" s="17"/>
      <c r="T2148" s="17"/>
      <c r="U2148" s="17"/>
    </row>
    <row r="2149" spans="17:21" x14ac:dyDescent="0.25">
      <c r="Q2149" s="17" t="s">
        <v>2929</v>
      </c>
      <c r="R2149" s="17" t="s">
        <v>2815</v>
      </c>
      <c r="S2149" s="17"/>
      <c r="T2149" s="17"/>
      <c r="U2149" s="17"/>
    </row>
    <row r="2150" spans="17:21" x14ac:dyDescent="0.25">
      <c r="Q2150" s="17" t="s">
        <v>2930</v>
      </c>
      <c r="R2150" s="17" t="s">
        <v>2815</v>
      </c>
      <c r="S2150" s="17"/>
      <c r="T2150" s="17"/>
      <c r="U2150" s="17"/>
    </row>
    <row r="2151" spans="17:21" x14ac:dyDescent="0.25">
      <c r="Q2151" s="17" t="s">
        <v>2931</v>
      </c>
      <c r="R2151" s="17" t="s">
        <v>2815</v>
      </c>
      <c r="S2151" s="17"/>
      <c r="T2151" s="17"/>
      <c r="U2151" s="17"/>
    </row>
    <row r="2152" spans="17:21" x14ac:dyDescent="0.25">
      <c r="Q2152" s="17" t="s">
        <v>2932</v>
      </c>
      <c r="R2152" s="17" t="s">
        <v>2815</v>
      </c>
      <c r="S2152" s="17"/>
      <c r="T2152" s="17"/>
      <c r="U2152" s="17"/>
    </row>
    <row r="2153" spans="17:21" x14ac:dyDescent="0.25">
      <c r="Q2153" s="17" t="s">
        <v>2933</v>
      </c>
      <c r="R2153" s="17" t="s">
        <v>2815</v>
      </c>
      <c r="S2153" s="17"/>
      <c r="T2153" s="17"/>
      <c r="U2153" s="17"/>
    </row>
    <row r="2154" spans="17:21" x14ac:dyDescent="0.25">
      <c r="Q2154" s="17" t="s">
        <v>2934</v>
      </c>
      <c r="R2154" s="17" t="s">
        <v>2815</v>
      </c>
      <c r="S2154" s="17"/>
      <c r="T2154" s="17"/>
      <c r="U2154" s="17"/>
    </row>
    <row r="2155" spans="17:21" x14ac:dyDescent="0.25">
      <c r="Q2155" s="17" t="s">
        <v>2935</v>
      </c>
      <c r="R2155" s="17" t="s">
        <v>2912</v>
      </c>
      <c r="S2155" s="17"/>
      <c r="T2155" s="17"/>
      <c r="U2155" s="17"/>
    </row>
    <row r="2156" spans="17:21" x14ac:dyDescent="0.25">
      <c r="Q2156" s="17" t="s">
        <v>2936</v>
      </c>
      <c r="R2156" s="17" t="s">
        <v>2815</v>
      </c>
      <c r="S2156" s="17"/>
      <c r="T2156" s="17"/>
      <c r="U2156" s="17"/>
    </row>
    <row r="2157" spans="17:21" x14ac:dyDescent="0.25">
      <c r="Q2157" s="17" t="s">
        <v>2937</v>
      </c>
      <c r="R2157" s="17" t="s">
        <v>2912</v>
      </c>
      <c r="S2157" s="17"/>
      <c r="T2157" s="17"/>
      <c r="U2157" s="17"/>
    </row>
    <row r="2158" spans="17:21" x14ac:dyDescent="0.25">
      <c r="Q2158" s="17" t="s">
        <v>2938</v>
      </c>
      <c r="R2158" s="17" t="s">
        <v>2912</v>
      </c>
      <c r="S2158" s="17"/>
      <c r="T2158" s="17"/>
      <c r="U2158" s="17"/>
    </row>
    <row r="2159" spans="17:21" x14ac:dyDescent="0.25">
      <c r="Q2159" s="17" t="s">
        <v>2939</v>
      </c>
      <c r="R2159" s="17" t="s">
        <v>2912</v>
      </c>
      <c r="S2159" s="17"/>
      <c r="T2159" s="17"/>
      <c r="U2159" s="17"/>
    </row>
    <row r="2160" spans="17:21" x14ac:dyDescent="0.25">
      <c r="Q2160" s="17" t="s">
        <v>2940</v>
      </c>
      <c r="R2160" s="17" t="s">
        <v>2912</v>
      </c>
      <c r="S2160" s="17"/>
      <c r="T2160" s="17"/>
      <c r="U2160" s="17"/>
    </row>
    <row r="2161" spans="17:21" x14ac:dyDescent="0.25">
      <c r="Q2161" s="17" t="s">
        <v>2941</v>
      </c>
      <c r="R2161" s="17" t="s">
        <v>2912</v>
      </c>
      <c r="S2161" s="17"/>
      <c r="T2161" s="17"/>
      <c r="U2161" s="17"/>
    </row>
    <row r="2162" spans="17:21" x14ac:dyDescent="0.25">
      <c r="Q2162" s="17" t="s">
        <v>2942</v>
      </c>
      <c r="R2162" s="17" t="s">
        <v>2912</v>
      </c>
      <c r="S2162" s="17"/>
      <c r="T2162" s="17"/>
      <c r="U2162" s="17"/>
    </row>
    <row r="2163" spans="17:21" x14ac:dyDescent="0.25">
      <c r="Q2163" s="17" t="s">
        <v>2943</v>
      </c>
      <c r="R2163" s="17" t="s">
        <v>2912</v>
      </c>
      <c r="S2163" s="17"/>
      <c r="T2163" s="17"/>
      <c r="U2163" s="17"/>
    </row>
    <row r="2164" spans="17:21" x14ac:dyDescent="0.25">
      <c r="Q2164" s="17" t="s">
        <v>2944</v>
      </c>
      <c r="R2164" s="17" t="s">
        <v>2912</v>
      </c>
      <c r="S2164" s="17"/>
      <c r="T2164" s="17"/>
      <c r="U2164" s="17"/>
    </row>
    <row r="2165" spans="17:21" x14ac:dyDescent="0.25">
      <c r="Q2165" s="17" t="s">
        <v>2945</v>
      </c>
      <c r="R2165" s="17" t="s">
        <v>2912</v>
      </c>
      <c r="S2165" s="17"/>
      <c r="T2165" s="17"/>
      <c r="U2165" s="17"/>
    </row>
    <row r="2166" spans="17:21" x14ac:dyDescent="0.25">
      <c r="Q2166" s="17" t="s">
        <v>2946</v>
      </c>
      <c r="R2166" s="17" t="s">
        <v>2912</v>
      </c>
      <c r="S2166" s="17"/>
      <c r="T2166" s="17"/>
      <c r="U2166" s="17"/>
    </row>
    <row r="2167" spans="17:21" x14ac:dyDescent="0.25">
      <c r="Q2167" s="17" t="s">
        <v>2947</v>
      </c>
      <c r="R2167" s="17" t="s">
        <v>2912</v>
      </c>
      <c r="S2167" s="17"/>
      <c r="T2167" s="17"/>
      <c r="U2167" s="17"/>
    </row>
    <row r="2168" spans="17:21" x14ac:dyDescent="0.25">
      <c r="Q2168" s="17" t="s">
        <v>2948</v>
      </c>
      <c r="R2168" s="17" t="s">
        <v>2912</v>
      </c>
      <c r="S2168" s="17"/>
      <c r="T2168" s="17"/>
      <c r="U2168" s="17"/>
    </row>
    <row r="2169" spans="17:21" x14ac:dyDescent="0.25">
      <c r="Q2169" s="17" t="s">
        <v>2949</v>
      </c>
      <c r="R2169" s="17" t="s">
        <v>2912</v>
      </c>
      <c r="S2169" s="17"/>
      <c r="T2169" s="17"/>
      <c r="U2169" s="17"/>
    </row>
    <row r="2170" spans="17:21" x14ac:dyDescent="0.25">
      <c r="Q2170" s="17" t="s">
        <v>2950</v>
      </c>
      <c r="R2170" s="17" t="s">
        <v>2912</v>
      </c>
      <c r="S2170" s="17"/>
      <c r="T2170" s="17"/>
      <c r="U2170" s="17"/>
    </row>
    <row r="2171" spans="17:21" x14ac:dyDescent="0.25">
      <c r="Q2171" s="17" t="s">
        <v>2951</v>
      </c>
      <c r="R2171" s="17" t="s">
        <v>2912</v>
      </c>
      <c r="S2171" s="17"/>
      <c r="T2171" s="17"/>
      <c r="U2171" s="17"/>
    </row>
    <row r="2172" spans="17:21" x14ac:dyDescent="0.25">
      <c r="Q2172" s="17" t="s">
        <v>2952</v>
      </c>
      <c r="R2172" s="17" t="s">
        <v>2912</v>
      </c>
      <c r="S2172" s="17"/>
      <c r="T2172" s="17"/>
      <c r="U2172" s="17"/>
    </row>
    <row r="2173" spans="17:21" x14ac:dyDescent="0.25">
      <c r="Q2173" s="17" t="s">
        <v>2953</v>
      </c>
      <c r="R2173" s="17" t="s">
        <v>2912</v>
      </c>
      <c r="S2173" s="17"/>
      <c r="T2173" s="17"/>
      <c r="U2173" s="17"/>
    </row>
    <row r="2174" spans="17:21" x14ac:dyDescent="0.25">
      <c r="Q2174" s="17" t="s">
        <v>2954</v>
      </c>
      <c r="R2174" s="17" t="s">
        <v>2912</v>
      </c>
      <c r="S2174" s="17"/>
      <c r="T2174" s="17"/>
      <c r="U2174" s="17"/>
    </row>
    <row r="2175" spans="17:21" x14ac:dyDescent="0.25">
      <c r="Q2175" s="17" t="s">
        <v>2955</v>
      </c>
      <c r="R2175" s="17" t="s">
        <v>2912</v>
      </c>
      <c r="S2175" s="17"/>
      <c r="T2175" s="17"/>
      <c r="U2175" s="17"/>
    </row>
    <row r="2176" spans="17:21" x14ac:dyDescent="0.25">
      <c r="Q2176" s="17" t="s">
        <v>2956</v>
      </c>
      <c r="R2176" s="17" t="s">
        <v>2912</v>
      </c>
      <c r="S2176" s="17"/>
      <c r="T2176" s="17"/>
      <c r="U2176" s="17"/>
    </row>
    <row r="2177" spans="17:21" x14ac:dyDescent="0.25">
      <c r="Q2177" s="17" t="s">
        <v>2957</v>
      </c>
      <c r="R2177" s="17" t="s">
        <v>2912</v>
      </c>
      <c r="S2177" s="17"/>
      <c r="T2177" s="17"/>
      <c r="U2177" s="17"/>
    </row>
    <row r="2178" spans="17:21" x14ac:dyDescent="0.25">
      <c r="Q2178" s="17" t="s">
        <v>2958</v>
      </c>
      <c r="R2178" s="17" t="s">
        <v>2912</v>
      </c>
      <c r="S2178" s="17"/>
      <c r="T2178" s="17"/>
      <c r="U2178" s="17"/>
    </row>
    <row r="2179" spans="17:21" x14ac:dyDescent="0.25">
      <c r="Q2179" s="17" t="s">
        <v>2959</v>
      </c>
      <c r="R2179" s="17" t="s">
        <v>2912</v>
      </c>
      <c r="S2179" s="17"/>
      <c r="T2179" s="17"/>
      <c r="U2179" s="17"/>
    </row>
    <row r="2180" spans="17:21" x14ac:dyDescent="0.25">
      <c r="Q2180" s="17" t="s">
        <v>2960</v>
      </c>
      <c r="R2180" s="17" t="s">
        <v>2912</v>
      </c>
      <c r="S2180" s="17"/>
      <c r="T2180" s="17"/>
      <c r="U2180" s="17"/>
    </row>
    <row r="2181" spans="17:21" x14ac:dyDescent="0.25">
      <c r="Q2181" s="17" t="s">
        <v>2961</v>
      </c>
      <c r="R2181" s="17" t="s">
        <v>2912</v>
      </c>
      <c r="S2181" s="17"/>
      <c r="T2181" s="17"/>
      <c r="U2181" s="17"/>
    </row>
    <row r="2182" spans="17:21" x14ac:dyDescent="0.25">
      <c r="Q2182" s="17" t="s">
        <v>2962</v>
      </c>
      <c r="R2182" s="17" t="s">
        <v>2912</v>
      </c>
      <c r="S2182" s="17"/>
      <c r="T2182" s="17"/>
      <c r="U2182" s="17"/>
    </row>
    <row r="2183" spans="17:21" x14ac:dyDescent="0.25">
      <c r="Q2183" s="17" t="s">
        <v>2963</v>
      </c>
      <c r="R2183" s="17" t="s">
        <v>2912</v>
      </c>
      <c r="S2183" s="17"/>
      <c r="T2183" s="17"/>
      <c r="U2183" s="17"/>
    </row>
    <row r="2184" spans="17:21" x14ac:dyDescent="0.25">
      <c r="Q2184" s="17" t="s">
        <v>2964</v>
      </c>
      <c r="R2184" s="17" t="s">
        <v>2912</v>
      </c>
      <c r="S2184" s="17"/>
      <c r="T2184" s="17"/>
      <c r="U2184" s="17"/>
    </row>
    <row r="2185" spans="17:21" x14ac:dyDescent="0.25">
      <c r="Q2185" s="17" t="s">
        <v>2965</v>
      </c>
      <c r="R2185" s="17" t="s">
        <v>2912</v>
      </c>
      <c r="S2185" s="17"/>
      <c r="T2185" s="17"/>
      <c r="U2185" s="17"/>
    </row>
    <row r="2186" spans="17:21" x14ac:dyDescent="0.25">
      <c r="Q2186" s="17" t="s">
        <v>2966</v>
      </c>
      <c r="R2186" s="17" t="s">
        <v>2912</v>
      </c>
      <c r="S2186" s="17"/>
      <c r="T2186" s="17"/>
      <c r="U2186" s="17"/>
    </row>
    <row r="2187" spans="17:21" x14ac:dyDescent="0.25">
      <c r="Q2187" s="17" t="s">
        <v>2967</v>
      </c>
      <c r="R2187" s="17" t="s">
        <v>2912</v>
      </c>
      <c r="S2187" s="17"/>
      <c r="T2187" s="17"/>
      <c r="U2187" s="17"/>
    </row>
    <row r="2188" spans="17:21" x14ac:dyDescent="0.25">
      <c r="Q2188" s="17" t="s">
        <v>2968</v>
      </c>
      <c r="R2188" s="17" t="s">
        <v>2912</v>
      </c>
      <c r="S2188" s="17"/>
      <c r="T2188" s="17"/>
      <c r="U2188" s="17"/>
    </row>
    <row r="2189" spans="17:21" x14ac:dyDescent="0.25">
      <c r="Q2189" s="17" t="s">
        <v>2969</v>
      </c>
      <c r="R2189" s="17" t="s">
        <v>2830</v>
      </c>
      <c r="S2189" s="17"/>
      <c r="T2189" s="17"/>
      <c r="U2189" s="17"/>
    </row>
    <row r="2190" spans="17:21" x14ac:dyDescent="0.25">
      <c r="Q2190" s="17" t="s">
        <v>2970</v>
      </c>
      <c r="R2190" s="17" t="s">
        <v>2830</v>
      </c>
      <c r="S2190" s="17"/>
      <c r="T2190" s="17"/>
      <c r="U2190" s="17"/>
    </row>
    <row r="2191" spans="17:21" x14ac:dyDescent="0.25">
      <c r="Q2191" s="17" t="s">
        <v>2971</v>
      </c>
      <c r="R2191" s="17" t="s">
        <v>2830</v>
      </c>
      <c r="S2191" s="17"/>
      <c r="T2191" s="17"/>
      <c r="U2191" s="17"/>
    </row>
    <row r="2192" spans="17:21" x14ac:dyDescent="0.25">
      <c r="Q2192" s="17" t="s">
        <v>2972</v>
      </c>
      <c r="R2192" s="17" t="s">
        <v>2830</v>
      </c>
      <c r="S2192" s="17"/>
      <c r="T2192" s="17"/>
      <c r="U2192" s="17"/>
    </row>
    <row r="2193" spans="17:21" x14ac:dyDescent="0.25">
      <c r="Q2193" s="17" t="s">
        <v>2973</v>
      </c>
      <c r="R2193" s="17" t="s">
        <v>2830</v>
      </c>
      <c r="S2193" s="17"/>
      <c r="T2193" s="17"/>
      <c r="U2193" s="17"/>
    </row>
    <row r="2194" spans="17:21" x14ac:dyDescent="0.25">
      <c r="Q2194" s="17" t="s">
        <v>2974</v>
      </c>
      <c r="R2194" s="17" t="s">
        <v>2912</v>
      </c>
      <c r="S2194" s="17"/>
      <c r="T2194" s="17"/>
      <c r="U2194" s="17"/>
    </row>
    <row r="2195" spans="17:21" x14ac:dyDescent="0.25">
      <c r="Q2195" s="17" t="s">
        <v>2975</v>
      </c>
      <c r="R2195" s="17" t="s">
        <v>2830</v>
      </c>
      <c r="S2195" s="17"/>
      <c r="T2195" s="17"/>
      <c r="U2195" s="17"/>
    </row>
    <row r="2196" spans="17:21" x14ac:dyDescent="0.25">
      <c r="Q2196" s="17" t="s">
        <v>2976</v>
      </c>
      <c r="R2196" s="17" t="s">
        <v>2830</v>
      </c>
      <c r="S2196" s="17"/>
      <c r="T2196" s="17"/>
      <c r="U2196" s="17"/>
    </row>
    <row r="2197" spans="17:21" x14ac:dyDescent="0.25">
      <c r="Q2197" s="17" t="s">
        <v>2977</v>
      </c>
      <c r="R2197" s="17" t="s">
        <v>2830</v>
      </c>
      <c r="S2197" s="17"/>
      <c r="T2197" s="17"/>
      <c r="U2197" s="17"/>
    </row>
    <row r="2198" spans="17:21" x14ac:dyDescent="0.25">
      <c r="Q2198" s="17" t="s">
        <v>2978</v>
      </c>
      <c r="R2198" s="17" t="s">
        <v>2830</v>
      </c>
      <c r="S2198" s="17"/>
      <c r="T2198" s="17"/>
      <c r="U2198" s="17"/>
    </row>
    <row r="2199" spans="17:21" x14ac:dyDescent="0.25">
      <c r="Q2199" s="17" t="s">
        <v>2979</v>
      </c>
      <c r="R2199" s="17" t="s">
        <v>2830</v>
      </c>
      <c r="S2199" s="17"/>
      <c r="T2199" s="17"/>
      <c r="U2199" s="17"/>
    </row>
    <row r="2200" spans="17:21" x14ac:dyDescent="0.25">
      <c r="Q2200" s="17" t="s">
        <v>2980</v>
      </c>
      <c r="R2200" s="17" t="s">
        <v>2830</v>
      </c>
      <c r="S2200" s="17"/>
      <c r="T2200" s="17"/>
      <c r="U2200" s="17"/>
    </row>
    <row r="2201" spans="17:21" x14ac:dyDescent="0.25">
      <c r="Q2201" s="17" t="s">
        <v>2981</v>
      </c>
      <c r="R2201" s="17" t="s">
        <v>2830</v>
      </c>
      <c r="S2201" s="17"/>
      <c r="T2201" s="17"/>
      <c r="U2201" s="17"/>
    </row>
    <row r="2202" spans="17:21" x14ac:dyDescent="0.25">
      <c r="Q2202" s="17" t="s">
        <v>2982</v>
      </c>
      <c r="R2202" s="17" t="s">
        <v>2830</v>
      </c>
      <c r="S2202" s="17"/>
      <c r="T2202" s="17"/>
      <c r="U2202" s="17"/>
    </row>
    <row r="2203" spans="17:21" x14ac:dyDescent="0.25">
      <c r="Q2203" s="17" t="s">
        <v>1016</v>
      </c>
      <c r="R2203" s="17" t="s">
        <v>199</v>
      </c>
      <c r="S2203" s="17"/>
      <c r="T2203" s="17"/>
      <c r="U2203" s="17"/>
    </row>
    <row r="2204" spans="17:21" x14ac:dyDescent="0.25">
      <c r="Q2204" s="17" t="s">
        <v>2983</v>
      </c>
      <c r="R2204" s="17" t="s">
        <v>199</v>
      </c>
      <c r="S2204" s="17"/>
      <c r="T2204" s="17"/>
      <c r="U2204" s="17"/>
    </row>
    <row r="2205" spans="17:21" x14ac:dyDescent="0.25">
      <c r="Q2205" s="17" t="s">
        <v>637</v>
      </c>
      <c r="R2205" s="17" t="s">
        <v>199</v>
      </c>
      <c r="S2205" s="17"/>
      <c r="T2205" s="17"/>
      <c r="U2205" s="17"/>
    </row>
    <row r="2206" spans="17:21" x14ac:dyDescent="0.25">
      <c r="Q2206" s="17" t="s">
        <v>2984</v>
      </c>
      <c r="R2206" s="17" t="s">
        <v>2239</v>
      </c>
      <c r="S2206" s="17"/>
      <c r="T2206" s="17"/>
      <c r="U2206" s="17"/>
    </row>
    <row r="2207" spans="17:21" x14ac:dyDescent="0.25">
      <c r="Q2207" s="17" t="s">
        <v>2985</v>
      </c>
      <c r="R2207" s="17" t="s">
        <v>2239</v>
      </c>
      <c r="S2207" s="17"/>
      <c r="T2207" s="17"/>
      <c r="U2207" s="17"/>
    </row>
    <row r="2208" spans="17:21" x14ac:dyDescent="0.25">
      <c r="Q2208" s="17" t="s">
        <v>2986</v>
      </c>
      <c r="R2208" s="17" t="s">
        <v>2239</v>
      </c>
      <c r="S2208" s="17"/>
      <c r="T2208" s="17"/>
      <c r="U2208" s="17"/>
    </row>
    <row r="2209" spans="17:21" x14ac:dyDescent="0.25">
      <c r="Q2209" s="17" t="s">
        <v>2987</v>
      </c>
      <c r="R2209" s="17" t="s">
        <v>2239</v>
      </c>
      <c r="S2209" s="17"/>
      <c r="T2209" s="17"/>
      <c r="U2209" s="17"/>
    </row>
    <row r="2210" spans="17:21" x14ac:dyDescent="0.25">
      <c r="Q2210" s="17" t="s">
        <v>2988</v>
      </c>
      <c r="R2210" s="17" t="s">
        <v>2239</v>
      </c>
      <c r="S2210" s="17"/>
      <c r="T2210" s="17"/>
      <c r="U2210" s="17"/>
    </row>
    <row r="2211" spans="17:21" x14ac:dyDescent="0.25">
      <c r="Q2211" s="17" t="s">
        <v>2989</v>
      </c>
      <c r="R2211" s="17" t="s">
        <v>2239</v>
      </c>
      <c r="S2211" s="17"/>
      <c r="T2211" s="17"/>
      <c r="U2211" s="17"/>
    </row>
    <row r="2212" spans="17:21" x14ac:dyDescent="0.25">
      <c r="Q2212" s="17" t="s">
        <v>2990</v>
      </c>
      <c r="R2212" s="17" t="s">
        <v>2239</v>
      </c>
      <c r="S2212" s="17"/>
      <c r="T2212" s="17"/>
      <c r="U2212" s="17"/>
    </row>
    <row r="2213" spans="17:21" x14ac:dyDescent="0.25">
      <c r="Q2213" s="17" t="s">
        <v>2991</v>
      </c>
      <c r="R2213" s="17" t="s">
        <v>2239</v>
      </c>
      <c r="S2213" s="17"/>
      <c r="T2213" s="17"/>
      <c r="U2213" s="17"/>
    </row>
    <row r="2214" spans="17:21" x14ac:dyDescent="0.25">
      <c r="Q2214" s="17" t="s">
        <v>2992</v>
      </c>
      <c r="R2214" s="17" t="s">
        <v>2239</v>
      </c>
      <c r="S2214" s="17"/>
      <c r="T2214" s="17"/>
      <c r="U2214" s="17"/>
    </row>
    <row r="2215" spans="17:21" x14ac:dyDescent="0.25">
      <c r="Q2215" s="17" t="s">
        <v>2993</v>
      </c>
      <c r="R2215" s="17" t="s">
        <v>2239</v>
      </c>
      <c r="S2215" s="17"/>
      <c r="T2215" s="17"/>
      <c r="U2215" s="17"/>
    </row>
    <row r="2216" spans="17:21" x14ac:dyDescent="0.25">
      <c r="Q2216" s="17" t="s">
        <v>2994</v>
      </c>
      <c r="R2216" s="17" t="s">
        <v>2239</v>
      </c>
      <c r="S2216" s="17"/>
      <c r="T2216" s="17"/>
      <c r="U2216" s="17"/>
    </row>
    <row r="2217" spans="17:21" x14ac:dyDescent="0.25">
      <c r="Q2217" s="17" t="s">
        <v>2995</v>
      </c>
      <c r="R2217" s="17" t="s">
        <v>2996</v>
      </c>
      <c r="S2217" s="17"/>
      <c r="T2217" s="17"/>
      <c r="U2217" s="17"/>
    </row>
    <row r="2218" spans="17:21" x14ac:dyDescent="0.25">
      <c r="Q2218" s="17" t="s">
        <v>2997</v>
      </c>
      <c r="R2218" s="17" t="s">
        <v>2996</v>
      </c>
      <c r="S2218" s="17"/>
      <c r="T2218" s="17"/>
      <c r="U2218" s="17"/>
    </row>
    <row r="2219" spans="17:21" x14ac:dyDescent="0.25">
      <c r="Q2219" s="17" t="s">
        <v>2998</v>
      </c>
      <c r="R2219" s="17" t="s">
        <v>2996</v>
      </c>
      <c r="S2219" s="17"/>
      <c r="T2219" s="17"/>
      <c r="U2219" s="17"/>
    </row>
    <row r="2220" spans="17:21" x14ac:dyDescent="0.25">
      <c r="Q2220" s="17" t="s">
        <v>2999</v>
      </c>
      <c r="R2220" s="17" t="s">
        <v>2996</v>
      </c>
      <c r="S2220" s="17"/>
      <c r="T2220" s="17"/>
      <c r="U2220" s="17"/>
    </row>
    <row r="2221" spans="17:21" x14ac:dyDescent="0.25">
      <c r="Q2221" s="17" t="s">
        <v>3000</v>
      </c>
      <c r="R2221" s="17" t="s">
        <v>2996</v>
      </c>
      <c r="S2221" s="17"/>
      <c r="T2221" s="17"/>
      <c r="U2221" s="17"/>
    </row>
    <row r="2222" spans="17:21" x14ac:dyDescent="0.25">
      <c r="Q2222" s="17" t="s">
        <v>3001</v>
      </c>
      <c r="R2222" s="17" t="s">
        <v>2996</v>
      </c>
      <c r="S2222" s="17"/>
      <c r="T2222" s="17"/>
      <c r="U2222" s="17"/>
    </row>
    <row r="2223" spans="17:21" x14ac:dyDescent="0.25">
      <c r="Q2223" s="17" t="s">
        <v>3002</v>
      </c>
      <c r="R2223" s="17" t="s">
        <v>2996</v>
      </c>
      <c r="S2223" s="17"/>
      <c r="T2223" s="17"/>
      <c r="U2223" s="17"/>
    </row>
    <row r="2224" spans="17:21" x14ac:dyDescent="0.25">
      <c r="Q2224" s="17" t="s">
        <v>719</v>
      </c>
      <c r="R2224" s="17" t="s">
        <v>199</v>
      </c>
      <c r="S2224" s="17"/>
      <c r="T2224" s="17"/>
      <c r="U2224" s="17"/>
    </row>
    <row r="2225" spans="17:21" x14ac:dyDescent="0.25">
      <c r="Q2225" s="17" t="s">
        <v>3003</v>
      </c>
      <c r="R2225" s="17" t="s">
        <v>199</v>
      </c>
      <c r="S2225" s="17"/>
      <c r="T2225" s="17"/>
      <c r="U2225" s="17"/>
    </row>
    <row r="2226" spans="17:21" x14ac:dyDescent="0.25">
      <c r="Q2226" s="17" t="s">
        <v>3004</v>
      </c>
      <c r="R2226" s="17" t="s">
        <v>199</v>
      </c>
      <c r="S2226" s="17"/>
      <c r="T2226" s="17"/>
      <c r="U2226" s="17"/>
    </row>
    <row r="2227" spans="17:21" x14ac:dyDescent="0.25">
      <c r="Q2227" s="17" t="s">
        <v>3005</v>
      </c>
      <c r="R2227" s="17" t="s">
        <v>199</v>
      </c>
      <c r="S2227" s="17"/>
      <c r="T2227" s="17"/>
      <c r="U2227" s="17"/>
    </row>
    <row r="2228" spans="17:21" x14ac:dyDescent="0.25">
      <c r="Q2228" s="17" t="s">
        <v>3006</v>
      </c>
      <c r="R2228" s="17" t="s">
        <v>199</v>
      </c>
      <c r="S2228" s="17"/>
      <c r="T2228" s="17"/>
      <c r="U2228" s="17"/>
    </row>
    <row r="2229" spans="17:21" x14ac:dyDescent="0.25">
      <c r="Q2229" s="17" t="s">
        <v>3007</v>
      </c>
      <c r="R2229" s="17" t="s">
        <v>199</v>
      </c>
      <c r="S2229" s="17"/>
      <c r="T2229" s="17"/>
      <c r="U2229" s="17"/>
    </row>
    <row r="2230" spans="17:21" x14ac:dyDescent="0.25">
      <c r="Q2230" s="17" t="s">
        <v>3008</v>
      </c>
      <c r="R2230" s="17" t="s">
        <v>199</v>
      </c>
      <c r="S2230" s="17"/>
      <c r="T2230" s="17"/>
      <c r="U2230" s="17"/>
    </row>
    <row r="2231" spans="17:21" x14ac:dyDescent="0.25">
      <c r="Q2231" s="17" t="s">
        <v>3009</v>
      </c>
      <c r="R2231" s="17" t="s">
        <v>199</v>
      </c>
      <c r="S2231" s="17"/>
      <c r="T2231" s="17"/>
      <c r="U2231" s="17"/>
    </row>
    <row r="2232" spans="17:21" x14ac:dyDescent="0.25">
      <c r="Q2232" s="17" t="s">
        <v>3010</v>
      </c>
      <c r="R2232" s="17" t="s">
        <v>199</v>
      </c>
      <c r="S2232" s="17"/>
      <c r="T2232" s="17"/>
      <c r="U2232" s="17"/>
    </row>
    <row r="2233" spans="17:21" x14ac:dyDescent="0.25">
      <c r="Q2233" s="17" t="s">
        <v>3011</v>
      </c>
      <c r="R2233" s="17" t="s">
        <v>199</v>
      </c>
      <c r="S2233" s="17"/>
      <c r="T2233" s="17"/>
      <c r="U2233" s="17"/>
    </row>
    <row r="2234" spans="17:21" x14ac:dyDescent="0.25">
      <c r="Q2234" s="17" t="s">
        <v>3012</v>
      </c>
      <c r="R2234" s="17" t="s">
        <v>199</v>
      </c>
      <c r="S2234" s="17"/>
      <c r="T2234" s="17"/>
      <c r="U2234" s="17"/>
    </row>
    <row r="2235" spans="17:21" x14ac:dyDescent="0.25">
      <c r="Q2235" s="17" t="s">
        <v>3013</v>
      </c>
      <c r="R2235" s="17" t="s">
        <v>199</v>
      </c>
      <c r="S2235" s="17"/>
      <c r="T2235" s="17"/>
      <c r="U2235" s="17"/>
    </row>
    <row r="2236" spans="17:21" x14ac:dyDescent="0.25">
      <c r="Q2236" s="17" t="s">
        <v>3014</v>
      </c>
      <c r="R2236" s="17" t="s">
        <v>199</v>
      </c>
      <c r="S2236" s="17"/>
      <c r="T2236" s="17"/>
      <c r="U2236" s="17"/>
    </row>
    <row r="2237" spans="17:21" x14ac:dyDescent="0.25">
      <c r="Q2237" s="17" t="s">
        <v>1000</v>
      </c>
      <c r="R2237" s="17" t="s">
        <v>199</v>
      </c>
      <c r="S2237" s="17"/>
      <c r="T2237" s="17"/>
      <c r="U2237" s="17"/>
    </row>
    <row r="2238" spans="17:21" x14ac:dyDescent="0.25">
      <c r="Q2238" s="17" t="s">
        <v>1269</v>
      </c>
      <c r="R2238" s="17" t="s">
        <v>199</v>
      </c>
      <c r="S2238" s="17"/>
      <c r="T2238" s="17"/>
      <c r="U2238" s="17"/>
    </row>
    <row r="2239" spans="17:21" x14ac:dyDescent="0.25">
      <c r="Q2239" s="17" t="s">
        <v>3015</v>
      </c>
      <c r="R2239" s="17" t="s">
        <v>199</v>
      </c>
      <c r="S2239" s="17"/>
      <c r="T2239" s="17"/>
      <c r="U2239" s="17"/>
    </row>
    <row r="2240" spans="17:21" x14ac:dyDescent="0.25">
      <c r="Q2240" s="17" t="s">
        <v>3016</v>
      </c>
      <c r="R2240" s="17" t="s">
        <v>199</v>
      </c>
      <c r="S2240" s="17"/>
      <c r="T2240" s="17"/>
      <c r="U2240" s="17"/>
    </row>
    <row r="2241" spans="17:21" x14ac:dyDescent="0.25">
      <c r="Q2241" s="17" t="s">
        <v>3017</v>
      </c>
      <c r="R2241" s="17" t="s">
        <v>199</v>
      </c>
      <c r="S2241" s="17"/>
      <c r="T2241" s="17"/>
      <c r="U2241" s="17"/>
    </row>
    <row r="2242" spans="17:21" x14ac:dyDescent="0.25">
      <c r="Q2242" s="17" t="s">
        <v>999</v>
      </c>
      <c r="R2242" s="17" t="s">
        <v>199</v>
      </c>
      <c r="S2242" s="17"/>
      <c r="T2242" s="17"/>
      <c r="U2242" s="17"/>
    </row>
    <row r="2243" spans="17:21" x14ac:dyDescent="0.25">
      <c r="Q2243" s="17" t="s">
        <v>3018</v>
      </c>
      <c r="R2243" s="17" t="s">
        <v>199</v>
      </c>
      <c r="S2243" s="17"/>
      <c r="T2243" s="17"/>
      <c r="U2243" s="17"/>
    </row>
    <row r="2244" spans="17:21" x14ac:dyDescent="0.25">
      <c r="Q2244" s="17" t="s">
        <v>3019</v>
      </c>
      <c r="R2244" s="17" t="s">
        <v>199</v>
      </c>
      <c r="S2244" s="17"/>
      <c r="T2244" s="17"/>
      <c r="U2244" s="17"/>
    </row>
    <row r="2245" spans="17:21" x14ac:dyDescent="0.25">
      <c r="Q2245" s="17" t="s">
        <v>681</v>
      </c>
      <c r="R2245" s="17" t="s">
        <v>199</v>
      </c>
      <c r="S2245" s="17"/>
      <c r="T2245" s="17"/>
      <c r="U2245" s="17"/>
    </row>
    <row r="2246" spans="17:21" x14ac:dyDescent="0.25">
      <c r="Q2246" s="17" t="s">
        <v>3020</v>
      </c>
      <c r="R2246" s="17" t="s">
        <v>199</v>
      </c>
      <c r="S2246" s="17"/>
      <c r="T2246" s="17"/>
      <c r="U2246" s="17"/>
    </row>
    <row r="2247" spans="17:21" x14ac:dyDescent="0.25">
      <c r="Q2247" s="17" t="s">
        <v>3021</v>
      </c>
      <c r="R2247" s="17" t="s">
        <v>199</v>
      </c>
      <c r="S2247" s="17"/>
      <c r="T2247" s="17"/>
      <c r="U2247" s="17"/>
    </row>
    <row r="2248" spans="17:21" x14ac:dyDescent="0.25">
      <c r="Q2248" s="17" t="s">
        <v>718</v>
      </c>
      <c r="R2248" s="17" t="s">
        <v>199</v>
      </c>
      <c r="S2248" s="17"/>
      <c r="T2248" s="17"/>
      <c r="U2248" s="17"/>
    </row>
    <row r="2249" spans="17:21" x14ac:dyDescent="0.25">
      <c r="Q2249" s="17" t="s">
        <v>3022</v>
      </c>
      <c r="R2249" s="17" t="s">
        <v>199</v>
      </c>
      <c r="S2249" s="17"/>
      <c r="T2249" s="17"/>
      <c r="U2249" s="17"/>
    </row>
    <row r="2250" spans="17:21" x14ac:dyDescent="0.25">
      <c r="Q2250" s="17" t="s">
        <v>3023</v>
      </c>
      <c r="R2250" s="17" t="s">
        <v>199</v>
      </c>
      <c r="S2250" s="17"/>
      <c r="T2250" s="17"/>
      <c r="U2250" s="17"/>
    </row>
    <row r="2251" spans="17:21" x14ac:dyDescent="0.25">
      <c r="Q2251" s="17" t="s">
        <v>3024</v>
      </c>
      <c r="R2251" s="17" t="s">
        <v>199</v>
      </c>
      <c r="S2251" s="17"/>
      <c r="T2251" s="17"/>
      <c r="U2251" s="17"/>
    </row>
    <row r="2252" spans="17:21" x14ac:dyDescent="0.25">
      <c r="Q2252" s="17" t="s">
        <v>3025</v>
      </c>
      <c r="R2252" s="17" t="s">
        <v>199</v>
      </c>
      <c r="S2252" s="17"/>
      <c r="T2252" s="17"/>
      <c r="U2252" s="17"/>
    </row>
    <row r="2253" spans="17:21" x14ac:dyDescent="0.25">
      <c r="Q2253" s="17" t="s">
        <v>1001</v>
      </c>
      <c r="R2253" s="17" t="s">
        <v>199</v>
      </c>
      <c r="S2253" s="17"/>
      <c r="T2253" s="17"/>
      <c r="U2253" s="17"/>
    </row>
    <row r="2254" spans="17:21" x14ac:dyDescent="0.25">
      <c r="Q2254" s="17" t="s">
        <v>3026</v>
      </c>
      <c r="R2254" s="17" t="s">
        <v>199</v>
      </c>
      <c r="S2254" s="17"/>
      <c r="T2254" s="17"/>
      <c r="U2254" s="17"/>
    </row>
    <row r="2255" spans="17:21" x14ac:dyDescent="0.25">
      <c r="Q2255" s="17" t="s">
        <v>501</v>
      </c>
      <c r="R2255" s="17" t="s">
        <v>199</v>
      </c>
      <c r="S2255" s="17"/>
      <c r="T2255" s="17"/>
      <c r="U2255" s="17"/>
    </row>
    <row r="2256" spans="17:21" x14ac:dyDescent="0.25">
      <c r="Q2256" s="17" t="s">
        <v>1003</v>
      </c>
      <c r="R2256" s="17" t="s">
        <v>199</v>
      </c>
      <c r="S2256" s="17"/>
      <c r="T2256" s="17"/>
      <c r="U2256" s="17"/>
    </row>
    <row r="2257" spans="17:21" x14ac:dyDescent="0.25">
      <c r="Q2257" s="17" t="s">
        <v>3027</v>
      </c>
      <c r="R2257" s="17" t="s">
        <v>199</v>
      </c>
      <c r="S2257" s="17"/>
      <c r="T2257" s="17"/>
      <c r="U2257" s="17"/>
    </row>
    <row r="2258" spans="17:21" x14ac:dyDescent="0.25">
      <c r="Q2258" s="17" t="s">
        <v>3028</v>
      </c>
      <c r="R2258" s="17" t="s">
        <v>199</v>
      </c>
      <c r="S2258" s="17"/>
      <c r="T2258" s="17"/>
      <c r="U2258" s="17"/>
    </row>
    <row r="2259" spans="17:21" x14ac:dyDescent="0.25">
      <c r="Q2259" s="17" t="s">
        <v>1200</v>
      </c>
      <c r="R2259" s="17" t="s">
        <v>199</v>
      </c>
      <c r="S2259" s="17"/>
      <c r="T2259" s="17"/>
      <c r="U2259" s="17"/>
    </row>
    <row r="2260" spans="17:21" x14ac:dyDescent="0.25">
      <c r="Q2260" s="17" t="s">
        <v>1302</v>
      </c>
      <c r="R2260" s="17" t="s">
        <v>199</v>
      </c>
      <c r="S2260" s="17"/>
      <c r="T2260" s="17"/>
      <c r="U2260" s="17"/>
    </row>
    <row r="2261" spans="17:21" x14ac:dyDescent="0.25">
      <c r="Q2261" s="17" t="s">
        <v>3029</v>
      </c>
      <c r="R2261" s="17" t="s">
        <v>199</v>
      </c>
      <c r="S2261" s="17"/>
      <c r="T2261" s="17"/>
      <c r="U2261" s="17"/>
    </row>
    <row r="2262" spans="17:21" x14ac:dyDescent="0.25">
      <c r="Q2262" s="17" t="s">
        <v>3030</v>
      </c>
      <c r="R2262" s="17" t="s">
        <v>2830</v>
      </c>
      <c r="S2262" s="17"/>
      <c r="T2262" s="17"/>
      <c r="U2262" s="17"/>
    </row>
    <row r="2263" spans="17:21" x14ac:dyDescent="0.25">
      <c r="Q2263" s="17" t="s">
        <v>3031</v>
      </c>
      <c r="R2263" s="17" t="s">
        <v>2830</v>
      </c>
      <c r="S2263" s="17"/>
      <c r="T2263" s="17"/>
      <c r="U2263" s="17"/>
    </row>
    <row r="2264" spans="17:21" x14ac:dyDescent="0.25">
      <c r="Q2264" s="17" t="s">
        <v>3032</v>
      </c>
      <c r="R2264" s="17" t="s">
        <v>2830</v>
      </c>
      <c r="S2264" s="17"/>
      <c r="T2264" s="17"/>
      <c r="U2264" s="17"/>
    </row>
    <row r="2265" spans="17:21" x14ac:dyDescent="0.25">
      <c r="Q2265" s="17" t="s">
        <v>3033</v>
      </c>
      <c r="R2265" s="17" t="s">
        <v>2830</v>
      </c>
      <c r="S2265" s="17"/>
      <c r="T2265" s="17"/>
      <c r="U2265" s="17"/>
    </row>
    <row r="2266" spans="17:21" x14ac:dyDescent="0.25">
      <c r="Q2266" s="17" t="s">
        <v>3034</v>
      </c>
      <c r="R2266" s="17" t="s">
        <v>2830</v>
      </c>
      <c r="S2266" s="17"/>
      <c r="T2266" s="17"/>
      <c r="U2266" s="17"/>
    </row>
    <row r="2267" spans="17:21" x14ac:dyDescent="0.25">
      <c r="Q2267" s="17" t="s">
        <v>3035</v>
      </c>
      <c r="R2267" s="17" t="s">
        <v>2830</v>
      </c>
      <c r="S2267" s="17"/>
      <c r="T2267" s="17"/>
      <c r="U2267" s="17"/>
    </row>
    <row r="2268" spans="17:21" x14ac:dyDescent="0.25">
      <c r="Q2268" s="17" t="s">
        <v>3036</v>
      </c>
      <c r="R2268" s="17" t="s">
        <v>2830</v>
      </c>
      <c r="S2268" s="17"/>
      <c r="T2268" s="17"/>
      <c r="U2268" s="17"/>
    </row>
    <row r="2269" spans="17:21" x14ac:dyDescent="0.25">
      <c r="Q2269" s="17" t="s">
        <v>1201</v>
      </c>
      <c r="R2269" s="17" t="s">
        <v>199</v>
      </c>
      <c r="S2269" s="17"/>
      <c r="T2269" s="17"/>
      <c r="U2269" s="17"/>
    </row>
    <row r="2270" spans="17:21" x14ac:dyDescent="0.25">
      <c r="Q2270" s="17" t="s">
        <v>958</v>
      </c>
      <c r="R2270" s="17" t="s">
        <v>199</v>
      </c>
      <c r="S2270" s="17"/>
      <c r="T2270" s="17"/>
      <c r="U2270" s="17"/>
    </row>
    <row r="2271" spans="17:21" x14ac:dyDescent="0.25">
      <c r="Q2271" s="17" t="s">
        <v>3037</v>
      </c>
      <c r="R2271" s="17" t="s">
        <v>199</v>
      </c>
      <c r="S2271" s="17"/>
      <c r="T2271" s="17"/>
      <c r="U2271" s="17"/>
    </row>
    <row r="2272" spans="17:21" x14ac:dyDescent="0.25">
      <c r="Q2272" s="17" t="s">
        <v>3038</v>
      </c>
      <c r="R2272" s="17" t="s">
        <v>199</v>
      </c>
      <c r="S2272" s="17"/>
      <c r="T2272" s="17"/>
      <c r="U2272" s="17"/>
    </row>
    <row r="2273" spans="17:21" x14ac:dyDescent="0.25">
      <c r="Q2273" s="17" t="s">
        <v>3039</v>
      </c>
      <c r="R2273" s="17" t="s">
        <v>199</v>
      </c>
      <c r="S2273" s="17"/>
      <c r="T2273" s="17"/>
      <c r="U2273" s="17"/>
    </row>
    <row r="2274" spans="17:21" x14ac:dyDescent="0.25">
      <c r="Q2274" s="17" t="s">
        <v>3040</v>
      </c>
      <c r="R2274" s="17" t="s">
        <v>199</v>
      </c>
      <c r="S2274" s="17"/>
      <c r="T2274" s="17"/>
      <c r="U2274" s="17"/>
    </row>
    <row r="2275" spans="17:21" x14ac:dyDescent="0.25">
      <c r="Q2275" s="17" t="s">
        <v>3041</v>
      </c>
      <c r="R2275" s="17" t="s">
        <v>199</v>
      </c>
      <c r="S2275" s="17"/>
      <c r="T2275" s="17"/>
      <c r="U2275" s="17"/>
    </row>
    <row r="2276" spans="17:21" x14ac:dyDescent="0.25">
      <c r="Q2276" s="17" t="s">
        <v>3042</v>
      </c>
      <c r="R2276" s="17" t="s">
        <v>199</v>
      </c>
      <c r="S2276" s="17"/>
      <c r="T2276" s="17"/>
      <c r="U2276" s="17"/>
    </row>
    <row r="2277" spans="17:21" x14ac:dyDescent="0.25">
      <c r="Q2277" s="17" t="s">
        <v>1224</v>
      </c>
      <c r="R2277" s="17" t="s">
        <v>199</v>
      </c>
      <c r="S2277" s="17"/>
      <c r="T2277" s="17"/>
      <c r="U2277" s="17"/>
    </row>
    <row r="2278" spans="17:21" x14ac:dyDescent="0.25">
      <c r="Q2278" s="17" t="s">
        <v>662</v>
      </c>
      <c r="R2278" s="17" t="s">
        <v>199</v>
      </c>
      <c r="S2278" s="17"/>
      <c r="T2278" s="17"/>
      <c r="U2278" s="17"/>
    </row>
    <row r="2279" spans="17:21" x14ac:dyDescent="0.25">
      <c r="Q2279" s="17" t="s">
        <v>3043</v>
      </c>
      <c r="R2279" s="17" t="s">
        <v>199</v>
      </c>
      <c r="S2279" s="17"/>
      <c r="T2279" s="17"/>
      <c r="U2279" s="17"/>
    </row>
    <row r="2280" spans="17:21" x14ac:dyDescent="0.25">
      <c r="Q2280" s="17" t="s">
        <v>3044</v>
      </c>
      <c r="R2280" s="17" t="s">
        <v>199</v>
      </c>
      <c r="S2280" s="17"/>
      <c r="T2280" s="17"/>
      <c r="U2280" s="17"/>
    </row>
    <row r="2281" spans="17:21" x14ac:dyDescent="0.25">
      <c r="Q2281" s="17" t="s">
        <v>3045</v>
      </c>
      <c r="R2281" s="17" t="s">
        <v>199</v>
      </c>
      <c r="S2281" s="17"/>
      <c r="T2281" s="17"/>
      <c r="U2281" s="17"/>
    </row>
    <row r="2282" spans="17:21" x14ac:dyDescent="0.25">
      <c r="Q2282" s="17" t="s">
        <v>3046</v>
      </c>
      <c r="R2282" s="17" t="s">
        <v>199</v>
      </c>
      <c r="S2282" s="17"/>
      <c r="T2282" s="17"/>
      <c r="U2282" s="17"/>
    </row>
    <row r="2283" spans="17:21" x14ac:dyDescent="0.25">
      <c r="Q2283" s="17" t="s">
        <v>3047</v>
      </c>
      <c r="R2283" s="17" t="s">
        <v>199</v>
      </c>
      <c r="S2283" s="17"/>
      <c r="T2283" s="17"/>
      <c r="U2283" s="17"/>
    </row>
    <row r="2284" spans="17:21" x14ac:dyDescent="0.25">
      <c r="Q2284" s="17" t="s">
        <v>3048</v>
      </c>
      <c r="R2284" s="17" t="s">
        <v>199</v>
      </c>
      <c r="S2284" s="17"/>
      <c r="T2284" s="17"/>
      <c r="U2284" s="17"/>
    </row>
    <row r="2285" spans="17:21" x14ac:dyDescent="0.25">
      <c r="Q2285" s="17" t="s">
        <v>3049</v>
      </c>
      <c r="R2285" s="17" t="s">
        <v>199</v>
      </c>
      <c r="S2285" s="17"/>
      <c r="T2285" s="17"/>
      <c r="U2285" s="17"/>
    </row>
    <row r="2286" spans="17:21" x14ac:dyDescent="0.25">
      <c r="Q2286" s="17" t="s">
        <v>3050</v>
      </c>
      <c r="R2286" s="17" t="s">
        <v>2830</v>
      </c>
      <c r="S2286" s="17"/>
      <c r="T2286" s="17"/>
      <c r="U2286" s="17"/>
    </row>
    <row r="2287" spans="17:21" x14ac:dyDescent="0.25">
      <c r="Q2287" s="17" t="s">
        <v>3051</v>
      </c>
      <c r="R2287" s="17" t="s">
        <v>2830</v>
      </c>
      <c r="S2287" s="17"/>
      <c r="T2287" s="17"/>
      <c r="U2287" s="17"/>
    </row>
    <row r="2288" spans="17:21" x14ac:dyDescent="0.25">
      <c r="Q2288" s="17" t="s">
        <v>3052</v>
      </c>
      <c r="R2288" s="17" t="s">
        <v>2830</v>
      </c>
      <c r="S2288" s="17"/>
      <c r="T2288" s="17"/>
      <c r="U2288" s="17"/>
    </row>
    <row r="2289" spans="17:21" x14ac:dyDescent="0.25">
      <c r="Q2289" s="17" t="s">
        <v>3053</v>
      </c>
      <c r="R2289" s="17" t="s">
        <v>2830</v>
      </c>
      <c r="S2289" s="17"/>
      <c r="T2289" s="17"/>
      <c r="U2289" s="17"/>
    </row>
    <row r="2290" spans="17:21" x14ac:dyDescent="0.25">
      <c r="Q2290" s="17" t="s">
        <v>3054</v>
      </c>
      <c r="R2290" s="17" t="s">
        <v>2830</v>
      </c>
      <c r="S2290" s="17"/>
      <c r="T2290" s="17"/>
      <c r="U2290" s="17"/>
    </row>
    <row r="2291" spans="17:21" x14ac:dyDescent="0.25">
      <c r="Q2291" s="17" t="s">
        <v>3055</v>
      </c>
      <c r="R2291" s="17" t="s">
        <v>2830</v>
      </c>
      <c r="S2291" s="17"/>
      <c r="T2291" s="17"/>
      <c r="U2291" s="17"/>
    </row>
    <row r="2292" spans="17:21" x14ac:dyDescent="0.25">
      <c r="Q2292" s="17" t="s">
        <v>3056</v>
      </c>
      <c r="R2292" s="17" t="s">
        <v>2830</v>
      </c>
      <c r="S2292" s="17"/>
      <c r="T2292" s="17"/>
      <c r="U2292" s="17"/>
    </row>
    <row r="2293" spans="17:21" x14ac:dyDescent="0.25">
      <c r="Q2293" s="17" t="s">
        <v>3057</v>
      </c>
      <c r="R2293" s="17" t="s">
        <v>2830</v>
      </c>
      <c r="S2293" s="17"/>
      <c r="T2293" s="17"/>
      <c r="U2293" s="17"/>
    </row>
    <row r="2294" spans="17:21" x14ac:dyDescent="0.25">
      <c r="Q2294" s="17" t="s">
        <v>3058</v>
      </c>
      <c r="R2294" s="17" t="s">
        <v>199</v>
      </c>
      <c r="S2294" s="17"/>
      <c r="T2294" s="17"/>
      <c r="U2294" s="17"/>
    </row>
    <row r="2295" spans="17:21" x14ac:dyDescent="0.25">
      <c r="Q2295" s="17" t="s">
        <v>3059</v>
      </c>
      <c r="R2295" s="17" t="s">
        <v>199</v>
      </c>
      <c r="S2295" s="17"/>
      <c r="T2295" s="17"/>
      <c r="U2295" s="17"/>
    </row>
    <row r="2296" spans="17:21" x14ac:dyDescent="0.25">
      <c r="Q2296" s="17" t="s">
        <v>3060</v>
      </c>
      <c r="R2296" s="17" t="s">
        <v>199</v>
      </c>
      <c r="S2296" s="17"/>
      <c r="T2296" s="17"/>
      <c r="U2296" s="17"/>
    </row>
    <row r="2297" spans="17:21" x14ac:dyDescent="0.25">
      <c r="Q2297" s="17" t="s">
        <v>3061</v>
      </c>
      <c r="R2297" s="17" t="s">
        <v>199</v>
      </c>
      <c r="S2297" s="17"/>
      <c r="T2297" s="17"/>
      <c r="U2297" s="17"/>
    </row>
    <row r="2298" spans="17:21" x14ac:dyDescent="0.25">
      <c r="Q2298" s="17" t="s">
        <v>3062</v>
      </c>
      <c r="R2298" s="17" t="s">
        <v>199</v>
      </c>
      <c r="S2298" s="17"/>
      <c r="T2298" s="17"/>
      <c r="U2298" s="17"/>
    </row>
    <row r="2299" spans="17:21" x14ac:dyDescent="0.25">
      <c r="Q2299" s="17" t="s">
        <v>3063</v>
      </c>
      <c r="R2299" s="17" t="s">
        <v>199</v>
      </c>
      <c r="S2299" s="17"/>
      <c r="T2299" s="17"/>
      <c r="U2299" s="17"/>
    </row>
    <row r="2300" spans="17:21" x14ac:dyDescent="0.25">
      <c r="Q2300" s="17" t="s">
        <v>3064</v>
      </c>
      <c r="R2300" s="17" t="s">
        <v>199</v>
      </c>
      <c r="S2300" s="17"/>
      <c r="T2300" s="17"/>
      <c r="U2300" s="17"/>
    </row>
    <row r="2301" spans="17:21" x14ac:dyDescent="0.25">
      <c r="Q2301" s="17" t="s">
        <v>1051</v>
      </c>
      <c r="R2301" s="17" t="s">
        <v>199</v>
      </c>
      <c r="S2301" s="17"/>
      <c r="T2301" s="17"/>
      <c r="U2301" s="17"/>
    </row>
    <row r="2302" spans="17:21" x14ac:dyDescent="0.25">
      <c r="Q2302" s="17" t="s">
        <v>1162</v>
      </c>
      <c r="R2302" s="17" t="s">
        <v>199</v>
      </c>
      <c r="S2302" s="17"/>
      <c r="T2302" s="17"/>
      <c r="U2302" s="17"/>
    </row>
    <row r="2303" spans="17:21" x14ac:dyDescent="0.25">
      <c r="Q2303" s="17" t="s">
        <v>1067</v>
      </c>
      <c r="R2303" s="17" t="s">
        <v>199</v>
      </c>
      <c r="S2303" s="17"/>
      <c r="T2303" s="17"/>
      <c r="U2303" s="17"/>
    </row>
    <row r="2304" spans="17:21" x14ac:dyDescent="0.25">
      <c r="Q2304" s="17" t="s">
        <v>3065</v>
      </c>
      <c r="R2304" s="17" t="s">
        <v>199</v>
      </c>
      <c r="S2304" s="17"/>
      <c r="T2304" s="17"/>
      <c r="U2304" s="17"/>
    </row>
    <row r="2305" spans="17:21" x14ac:dyDescent="0.25">
      <c r="Q2305" s="17" t="s">
        <v>736</v>
      </c>
      <c r="R2305" s="17" t="s">
        <v>199</v>
      </c>
      <c r="S2305" s="17"/>
      <c r="T2305" s="17"/>
      <c r="U2305" s="17"/>
    </row>
    <row r="2306" spans="17:21" x14ac:dyDescent="0.25">
      <c r="Q2306" s="17" t="s">
        <v>1002</v>
      </c>
      <c r="R2306" s="17" t="s">
        <v>199</v>
      </c>
      <c r="S2306" s="17"/>
      <c r="T2306" s="17"/>
      <c r="U2306" s="17"/>
    </row>
    <row r="2307" spans="17:21" x14ac:dyDescent="0.25">
      <c r="Q2307" s="17" t="s">
        <v>3066</v>
      </c>
      <c r="R2307" s="17" t="s">
        <v>199</v>
      </c>
      <c r="S2307" s="17"/>
      <c r="T2307" s="17"/>
      <c r="U2307" s="17"/>
    </row>
    <row r="2308" spans="17:21" x14ac:dyDescent="0.25">
      <c r="Q2308" s="17" t="s">
        <v>1068</v>
      </c>
      <c r="R2308" s="17" t="s">
        <v>199</v>
      </c>
      <c r="S2308" s="17"/>
      <c r="T2308" s="17"/>
      <c r="U2308" s="17"/>
    </row>
    <row r="2309" spans="17:21" x14ac:dyDescent="0.25">
      <c r="Q2309" s="17" t="s">
        <v>3067</v>
      </c>
      <c r="R2309" s="17" t="s">
        <v>199</v>
      </c>
      <c r="S2309" s="17"/>
      <c r="T2309" s="17"/>
      <c r="U2309" s="17"/>
    </row>
    <row r="2310" spans="17:21" x14ac:dyDescent="0.25">
      <c r="Q2310" s="17" t="s">
        <v>3068</v>
      </c>
      <c r="R2310" s="17" t="s">
        <v>199</v>
      </c>
      <c r="S2310" s="17"/>
      <c r="T2310" s="17"/>
      <c r="U2310" s="17"/>
    </row>
    <row r="2311" spans="17:21" x14ac:dyDescent="0.25">
      <c r="Q2311" s="17" t="s">
        <v>3069</v>
      </c>
      <c r="R2311" s="17" t="s">
        <v>199</v>
      </c>
      <c r="S2311" s="17"/>
      <c r="T2311" s="17"/>
      <c r="U2311" s="17"/>
    </row>
    <row r="2312" spans="17:21" x14ac:dyDescent="0.25">
      <c r="Q2312" s="17" t="s">
        <v>3070</v>
      </c>
      <c r="R2312" s="17" t="s">
        <v>199</v>
      </c>
      <c r="S2312" s="17"/>
      <c r="T2312" s="17"/>
      <c r="U2312" s="17"/>
    </row>
    <row r="2313" spans="17:21" x14ac:dyDescent="0.25">
      <c r="Q2313" s="17" t="s">
        <v>3071</v>
      </c>
      <c r="R2313" s="17" t="s">
        <v>2996</v>
      </c>
      <c r="S2313" s="17"/>
      <c r="T2313" s="17"/>
      <c r="U2313" s="17"/>
    </row>
    <row r="2314" spans="17:21" x14ac:dyDescent="0.25">
      <c r="Q2314" s="17" t="s">
        <v>3072</v>
      </c>
      <c r="R2314" s="17" t="s">
        <v>2996</v>
      </c>
      <c r="S2314" s="17"/>
      <c r="T2314" s="17"/>
      <c r="U2314" s="17"/>
    </row>
    <row r="2315" spans="17:21" x14ac:dyDescent="0.25">
      <c r="Q2315" s="17" t="s">
        <v>3073</v>
      </c>
      <c r="R2315" s="17" t="s">
        <v>2996</v>
      </c>
      <c r="S2315" s="17"/>
      <c r="T2315" s="17"/>
      <c r="U2315" s="17"/>
    </row>
    <row r="2316" spans="17:21" x14ac:dyDescent="0.25">
      <c r="Q2316" s="17" t="s">
        <v>3074</v>
      </c>
      <c r="R2316" s="17" t="s">
        <v>2996</v>
      </c>
      <c r="S2316" s="17"/>
      <c r="T2316" s="17"/>
      <c r="U2316" s="17"/>
    </row>
    <row r="2317" spans="17:21" x14ac:dyDescent="0.25">
      <c r="Q2317" s="17" t="s">
        <v>3075</v>
      </c>
      <c r="R2317" s="17" t="s">
        <v>2996</v>
      </c>
      <c r="S2317" s="17"/>
      <c r="T2317" s="17"/>
      <c r="U2317" s="17"/>
    </row>
    <row r="2318" spans="17:21" x14ac:dyDescent="0.25">
      <c r="Q2318" s="17" t="s">
        <v>3076</v>
      </c>
      <c r="R2318" s="17" t="s">
        <v>2996</v>
      </c>
      <c r="S2318" s="17"/>
      <c r="T2318" s="17"/>
      <c r="U2318" s="17"/>
    </row>
    <row r="2319" spans="17:21" x14ac:dyDescent="0.25">
      <c r="Q2319" s="17" t="s">
        <v>3077</v>
      </c>
      <c r="R2319" s="17" t="s">
        <v>2996</v>
      </c>
      <c r="S2319" s="17"/>
      <c r="T2319" s="17"/>
      <c r="U2319" s="17"/>
    </row>
    <row r="2320" spans="17:21" x14ac:dyDescent="0.25">
      <c r="Q2320" s="17" t="s">
        <v>3078</v>
      </c>
      <c r="R2320" s="17" t="s">
        <v>2996</v>
      </c>
      <c r="S2320" s="17"/>
      <c r="T2320" s="17"/>
      <c r="U2320" s="17"/>
    </row>
    <row r="2321" spans="17:21" x14ac:dyDescent="0.25">
      <c r="Q2321" s="17" t="s">
        <v>3079</v>
      </c>
      <c r="R2321" s="17" t="s">
        <v>2996</v>
      </c>
      <c r="S2321" s="17"/>
      <c r="T2321" s="17"/>
      <c r="U2321" s="17"/>
    </row>
    <row r="2322" spans="17:21" x14ac:dyDescent="0.25">
      <c r="Q2322" s="17" t="s">
        <v>3080</v>
      </c>
      <c r="R2322" s="17" t="s">
        <v>2996</v>
      </c>
      <c r="S2322" s="17"/>
      <c r="T2322" s="17"/>
      <c r="U2322" s="17"/>
    </row>
    <row r="2323" spans="17:21" x14ac:dyDescent="0.25">
      <c r="Q2323" s="17" t="s">
        <v>3081</v>
      </c>
      <c r="R2323" s="17" t="s">
        <v>2996</v>
      </c>
      <c r="S2323" s="17"/>
      <c r="T2323" s="17"/>
      <c r="U2323" s="17"/>
    </row>
    <row r="2324" spans="17:21" x14ac:dyDescent="0.25">
      <c r="Q2324" s="17" t="s">
        <v>3082</v>
      </c>
      <c r="R2324" s="17" t="s">
        <v>2996</v>
      </c>
      <c r="S2324" s="17"/>
      <c r="T2324" s="17"/>
      <c r="U2324" s="17"/>
    </row>
    <row r="2325" spans="17:21" x14ac:dyDescent="0.25">
      <c r="Q2325" s="17" t="s">
        <v>3083</v>
      </c>
      <c r="R2325" s="17" t="s">
        <v>2996</v>
      </c>
      <c r="S2325" s="17"/>
      <c r="T2325" s="17"/>
      <c r="U2325" s="17"/>
    </row>
    <row r="2326" spans="17:21" x14ac:dyDescent="0.25">
      <c r="Q2326" s="17" t="s">
        <v>3084</v>
      </c>
      <c r="R2326" s="17" t="s">
        <v>2996</v>
      </c>
      <c r="S2326" s="17"/>
      <c r="T2326" s="17"/>
      <c r="U2326" s="17"/>
    </row>
    <row r="2327" spans="17:21" x14ac:dyDescent="0.25">
      <c r="Q2327" s="17" t="s">
        <v>3085</v>
      </c>
      <c r="R2327" s="17" t="s">
        <v>2996</v>
      </c>
      <c r="S2327" s="17"/>
      <c r="T2327" s="17"/>
      <c r="U2327" s="17"/>
    </row>
    <row r="2328" spans="17:21" x14ac:dyDescent="0.25">
      <c r="Q2328" s="17" t="s">
        <v>3086</v>
      </c>
      <c r="R2328" s="17" t="s">
        <v>2996</v>
      </c>
      <c r="S2328" s="17"/>
      <c r="T2328" s="17"/>
      <c r="U2328" s="17"/>
    </row>
    <row r="2329" spans="17:21" x14ac:dyDescent="0.25">
      <c r="Q2329" s="17" t="s">
        <v>3087</v>
      </c>
      <c r="R2329" s="17" t="s">
        <v>2830</v>
      </c>
      <c r="S2329" s="17"/>
      <c r="T2329" s="17"/>
      <c r="U2329" s="17"/>
    </row>
    <row r="2330" spans="17:21" x14ac:dyDescent="0.25">
      <c r="Q2330" s="17" t="s">
        <v>3088</v>
      </c>
      <c r="R2330" s="17" t="s">
        <v>2830</v>
      </c>
      <c r="S2330" s="17"/>
      <c r="T2330" s="17"/>
      <c r="U2330" s="17"/>
    </row>
    <row r="2331" spans="17:21" x14ac:dyDescent="0.25">
      <c r="Q2331" s="17" t="s">
        <v>3089</v>
      </c>
      <c r="R2331" s="17" t="s">
        <v>2996</v>
      </c>
      <c r="S2331" s="17"/>
      <c r="T2331" s="17"/>
      <c r="U2331" s="17"/>
    </row>
    <row r="2332" spans="17:21" x14ac:dyDescent="0.25">
      <c r="Q2332" s="17" t="s">
        <v>3090</v>
      </c>
      <c r="R2332" s="17" t="s">
        <v>2996</v>
      </c>
      <c r="S2332" s="17"/>
      <c r="T2332" s="17"/>
      <c r="U2332" s="17"/>
    </row>
    <row r="2333" spans="17:21" x14ac:dyDescent="0.25">
      <c r="Q2333" s="17" t="s">
        <v>3091</v>
      </c>
      <c r="R2333" s="17" t="s">
        <v>2996</v>
      </c>
      <c r="S2333" s="17"/>
      <c r="T2333" s="17"/>
      <c r="U2333" s="17"/>
    </row>
    <row r="2334" spans="17:21" x14ac:dyDescent="0.25">
      <c r="Q2334" s="17" t="s">
        <v>3092</v>
      </c>
      <c r="R2334" s="17" t="s">
        <v>2996</v>
      </c>
      <c r="S2334" s="17"/>
      <c r="T2334" s="17"/>
      <c r="U2334" s="17"/>
    </row>
    <row r="2335" spans="17:21" x14ac:dyDescent="0.25">
      <c r="Q2335" s="17" t="s">
        <v>3093</v>
      </c>
      <c r="R2335" s="17" t="s">
        <v>2996</v>
      </c>
      <c r="S2335" s="17"/>
      <c r="T2335" s="17"/>
      <c r="U2335" s="17"/>
    </row>
    <row r="2336" spans="17:21" x14ac:dyDescent="0.25">
      <c r="Q2336" s="17" t="s">
        <v>3094</v>
      </c>
      <c r="R2336" s="17" t="s">
        <v>2996</v>
      </c>
      <c r="S2336" s="17"/>
      <c r="T2336" s="17"/>
      <c r="U2336" s="17"/>
    </row>
    <row r="2337" spans="17:21" x14ac:dyDescent="0.25">
      <c r="Q2337" s="17" t="s">
        <v>3095</v>
      </c>
      <c r="R2337" s="17" t="s">
        <v>2996</v>
      </c>
      <c r="S2337" s="17"/>
      <c r="T2337" s="17"/>
      <c r="U2337" s="17"/>
    </row>
    <row r="2338" spans="17:21" x14ac:dyDescent="0.25">
      <c r="Q2338" s="17" t="s">
        <v>3096</v>
      </c>
      <c r="R2338" s="17" t="s">
        <v>2996</v>
      </c>
      <c r="S2338" s="17"/>
      <c r="T2338" s="17"/>
      <c r="U2338" s="17"/>
    </row>
    <row r="2339" spans="17:21" x14ac:dyDescent="0.25">
      <c r="Q2339" s="17" t="s">
        <v>3097</v>
      </c>
      <c r="R2339" s="17" t="s">
        <v>2996</v>
      </c>
      <c r="S2339" s="17"/>
      <c r="T2339" s="17"/>
      <c r="U2339" s="17"/>
    </row>
    <row r="2340" spans="17:21" x14ac:dyDescent="0.25">
      <c r="Q2340" s="17" t="s">
        <v>3098</v>
      </c>
      <c r="R2340" s="17" t="s">
        <v>2996</v>
      </c>
      <c r="S2340" s="17"/>
      <c r="T2340" s="17"/>
      <c r="U2340" s="17"/>
    </row>
    <row r="2341" spans="17:21" x14ac:dyDescent="0.25">
      <c r="Q2341" s="17" t="s">
        <v>3099</v>
      </c>
      <c r="R2341" s="17" t="s">
        <v>2996</v>
      </c>
      <c r="S2341" s="17"/>
      <c r="T2341" s="17"/>
      <c r="U2341" s="17"/>
    </row>
    <row r="2342" spans="17:21" x14ac:dyDescent="0.25">
      <c r="Q2342" s="17" t="s">
        <v>3100</v>
      </c>
      <c r="R2342" s="17" t="s">
        <v>2996</v>
      </c>
      <c r="S2342" s="17"/>
      <c r="T2342" s="17"/>
      <c r="U2342" s="17"/>
    </row>
    <row r="2343" spans="17:21" x14ac:dyDescent="0.25">
      <c r="Q2343" s="17" t="s">
        <v>3101</v>
      </c>
      <c r="R2343" s="17" t="s">
        <v>2996</v>
      </c>
      <c r="S2343" s="17"/>
      <c r="T2343" s="17"/>
      <c r="U2343" s="17"/>
    </row>
    <row r="2344" spans="17:21" x14ac:dyDescent="0.25">
      <c r="Q2344" s="17" t="s">
        <v>3102</v>
      </c>
      <c r="R2344" s="17" t="s">
        <v>2996</v>
      </c>
      <c r="S2344" s="17"/>
      <c r="T2344" s="17"/>
      <c r="U2344" s="17"/>
    </row>
    <row r="2345" spans="17:21" x14ac:dyDescent="0.25">
      <c r="Q2345" s="17" t="s">
        <v>3103</v>
      </c>
      <c r="R2345" s="17" t="s">
        <v>2996</v>
      </c>
      <c r="S2345" s="17"/>
      <c r="T2345" s="17"/>
      <c r="U2345" s="17"/>
    </row>
    <row r="2346" spans="17:21" x14ac:dyDescent="0.25">
      <c r="Q2346" s="17" t="s">
        <v>3104</v>
      </c>
      <c r="R2346" s="17" t="s">
        <v>199</v>
      </c>
      <c r="S2346" s="17"/>
      <c r="T2346" s="17"/>
      <c r="U2346" s="17"/>
    </row>
    <row r="2347" spans="17:21" x14ac:dyDescent="0.25">
      <c r="Q2347" s="17" t="s">
        <v>1004</v>
      </c>
      <c r="R2347" s="17" t="s">
        <v>199</v>
      </c>
      <c r="S2347" s="17"/>
      <c r="T2347" s="17"/>
      <c r="U2347" s="17"/>
    </row>
    <row r="2348" spans="17:21" x14ac:dyDescent="0.25">
      <c r="Q2348" s="17" t="s">
        <v>3105</v>
      </c>
      <c r="R2348" s="17" t="s">
        <v>199</v>
      </c>
      <c r="S2348" s="17"/>
      <c r="T2348" s="17"/>
      <c r="U2348" s="17"/>
    </row>
    <row r="2349" spans="17:21" x14ac:dyDescent="0.25">
      <c r="Q2349" s="17" t="s">
        <v>3106</v>
      </c>
      <c r="R2349" s="17" t="s">
        <v>2996</v>
      </c>
      <c r="S2349" s="17"/>
      <c r="T2349" s="17"/>
      <c r="U2349" s="17"/>
    </row>
    <row r="2350" spans="17:21" x14ac:dyDescent="0.25">
      <c r="Q2350" s="17" t="s">
        <v>3107</v>
      </c>
      <c r="R2350" s="17" t="s">
        <v>2996</v>
      </c>
      <c r="S2350" s="17"/>
      <c r="T2350" s="17"/>
      <c r="U2350" s="17"/>
    </row>
    <row r="2351" spans="17:21" x14ac:dyDescent="0.25">
      <c r="Q2351" s="17" t="s">
        <v>3108</v>
      </c>
      <c r="R2351" s="17" t="s">
        <v>199</v>
      </c>
      <c r="S2351" s="17"/>
      <c r="T2351" s="17"/>
      <c r="U2351" s="17"/>
    </row>
    <row r="2352" spans="17:21" x14ac:dyDescent="0.25">
      <c r="Q2352" s="17" t="s">
        <v>3109</v>
      </c>
      <c r="R2352" s="17" t="s">
        <v>199</v>
      </c>
      <c r="S2352" s="17"/>
      <c r="T2352" s="17"/>
      <c r="U2352" s="17"/>
    </row>
    <row r="2353" spans="17:21" x14ac:dyDescent="0.25">
      <c r="Q2353" s="17" t="s">
        <v>3110</v>
      </c>
      <c r="R2353" s="17" t="s">
        <v>2996</v>
      </c>
      <c r="S2353" s="17"/>
      <c r="T2353" s="17"/>
      <c r="U2353" s="17"/>
    </row>
    <row r="2354" spans="17:21" x14ac:dyDescent="0.25">
      <c r="Q2354" s="17" t="s">
        <v>3111</v>
      </c>
      <c r="R2354" s="17" t="s">
        <v>2996</v>
      </c>
      <c r="S2354" s="17"/>
      <c r="T2354" s="17"/>
      <c r="U2354" s="17"/>
    </row>
    <row r="2355" spans="17:21" x14ac:dyDescent="0.25">
      <c r="Q2355" s="17" t="s">
        <v>3112</v>
      </c>
      <c r="R2355" s="17" t="s">
        <v>2996</v>
      </c>
      <c r="S2355" s="17"/>
      <c r="T2355" s="17"/>
      <c r="U2355" s="17"/>
    </row>
    <row r="2356" spans="17:21" x14ac:dyDescent="0.25">
      <c r="Q2356" s="17" t="s">
        <v>3113</v>
      </c>
      <c r="R2356" s="17" t="s">
        <v>2996</v>
      </c>
      <c r="S2356" s="17"/>
      <c r="T2356" s="17"/>
      <c r="U2356" s="17"/>
    </row>
    <row r="2357" spans="17:21" x14ac:dyDescent="0.25">
      <c r="Q2357" s="17" t="s">
        <v>3114</v>
      </c>
      <c r="R2357" s="17" t="s">
        <v>2996</v>
      </c>
      <c r="S2357" s="17"/>
      <c r="T2357" s="17"/>
      <c r="U2357" s="17"/>
    </row>
    <row r="2358" spans="17:21" x14ac:dyDescent="0.25">
      <c r="Q2358" s="17" t="s">
        <v>3115</v>
      </c>
      <c r="R2358" s="17" t="s">
        <v>2996</v>
      </c>
      <c r="S2358" s="17"/>
      <c r="T2358" s="17"/>
      <c r="U2358" s="17"/>
    </row>
    <row r="2359" spans="17:21" x14ac:dyDescent="0.25">
      <c r="Q2359" s="17" t="s">
        <v>3116</v>
      </c>
      <c r="R2359" s="17" t="s">
        <v>2996</v>
      </c>
      <c r="S2359" s="17"/>
      <c r="T2359" s="17"/>
      <c r="U2359" s="17"/>
    </row>
    <row r="2360" spans="17:21" x14ac:dyDescent="0.25">
      <c r="Q2360" s="17" t="s">
        <v>3117</v>
      </c>
      <c r="R2360" s="17" t="s">
        <v>2996</v>
      </c>
      <c r="S2360" s="17"/>
      <c r="T2360" s="17"/>
      <c r="U2360" s="17"/>
    </row>
    <row r="2361" spans="17:21" x14ac:dyDescent="0.25">
      <c r="Q2361" s="17" t="s">
        <v>3118</v>
      </c>
      <c r="R2361" s="17" t="s">
        <v>2996</v>
      </c>
      <c r="S2361" s="17"/>
      <c r="T2361" s="17"/>
      <c r="U2361" s="17"/>
    </row>
    <row r="2362" spans="17:21" x14ac:dyDescent="0.25">
      <c r="Q2362" s="17" t="s">
        <v>3119</v>
      </c>
      <c r="R2362" s="17" t="s">
        <v>2996</v>
      </c>
      <c r="S2362" s="17"/>
      <c r="T2362" s="17"/>
      <c r="U2362" s="17"/>
    </row>
    <row r="2363" spans="17:21" x14ac:dyDescent="0.25">
      <c r="Q2363" s="17" t="s">
        <v>3120</v>
      </c>
      <c r="R2363" s="17" t="s">
        <v>2996</v>
      </c>
      <c r="S2363" s="17"/>
      <c r="T2363" s="17"/>
      <c r="U2363" s="17"/>
    </row>
    <row r="2364" spans="17:21" x14ac:dyDescent="0.25">
      <c r="Q2364" s="17" t="s">
        <v>3121</v>
      </c>
      <c r="R2364" s="17" t="s">
        <v>2996</v>
      </c>
      <c r="S2364" s="17"/>
      <c r="T2364" s="17"/>
      <c r="U2364" s="17"/>
    </row>
    <row r="2365" spans="17:21" x14ac:dyDescent="0.25">
      <c r="Q2365" s="17" t="s">
        <v>3122</v>
      </c>
      <c r="R2365" s="17" t="s">
        <v>199</v>
      </c>
      <c r="S2365" s="17"/>
      <c r="T2365" s="17"/>
      <c r="U2365" s="17"/>
    </row>
    <row r="2366" spans="17:21" x14ac:dyDescent="0.25">
      <c r="Q2366" s="17" t="s">
        <v>3123</v>
      </c>
      <c r="R2366" s="17" t="s">
        <v>199</v>
      </c>
      <c r="S2366" s="17"/>
      <c r="T2366" s="17"/>
      <c r="U2366" s="17"/>
    </row>
    <row r="2367" spans="17:21" x14ac:dyDescent="0.25">
      <c r="Q2367" s="17" t="s">
        <v>3124</v>
      </c>
      <c r="R2367" s="17" t="s">
        <v>199</v>
      </c>
      <c r="S2367" s="17"/>
      <c r="T2367" s="17"/>
      <c r="U2367" s="17"/>
    </row>
    <row r="2368" spans="17:21" x14ac:dyDescent="0.25">
      <c r="Q2368" s="17" t="s">
        <v>3125</v>
      </c>
      <c r="R2368" s="17" t="s">
        <v>199</v>
      </c>
      <c r="S2368" s="17"/>
      <c r="T2368" s="17"/>
      <c r="U2368" s="17"/>
    </row>
    <row r="2369" spans="17:21" x14ac:dyDescent="0.25">
      <c r="Q2369" s="17" t="s">
        <v>3126</v>
      </c>
      <c r="R2369" s="17" t="s">
        <v>199</v>
      </c>
      <c r="S2369" s="17"/>
      <c r="T2369" s="17"/>
      <c r="U2369" s="17"/>
    </row>
    <row r="2370" spans="17:21" x14ac:dyDescent="0.25">
      <c r="Q2370" s="17" t="s">
        <v>3127</v>
      </c>
      <c r="R2370" s="17" t="s">
        <v>199</v>
      </c>
      <c r="S2370" s="17"/>
      <c r="T2370" s="17"/>
      <c r="U2370" s="17"/>
    </row>
    <row r="2371" spans="17:21" x14ac:dyDescent="0.25">
      <c r="Q2371" s="17" t="s">
        <v>3128</v>
      </c>
      <c r="R2371" s="17" t="s">
        <v>2996</v>
      </c>
      <c r="S2371" s="17"/>
      <c r="T2371" s="17"/>
      <c r="U2371" s="17"/>
    </row>
    <row r="2372" spans="17:21" x14ac:dyDescent="0.25">
      <c r="Q2372" s="17" t="s">
        <v>3129</v>
      </c>
      <c r="R2372" s="17" t="s">
        <v>2996</v>
      </c>
      <c r="S2372" s="17"/>
      <c r="T2372" s="17"/>
      <c r="U2372" s="17"/>
    </row>
    <row r="2373" spans="17:21" x14ac:dyDescent="0.25">
      <c r="Q2373" s="17" t="s">
        <v>3130</v>
      </c>
      <c r="R2373" s="17" t="s">
        <v>2996</v>
      </c>
      <c r="S2373" s="17"/>
      <c r="T2373" s="17"/>
      <c r="U2373" s="17"/>
    </row>
    <row r="2374" spans="17:21" x14ac:dyDescent="0.25">
      <c r="Q2374" s="17" t="s">
        <v>3131</v>
      </c>
      <c r="R2374" s="17" t="s">
        <v>2996</v>
      </c>
      <c r="S2374" s="17"/>
      <c r="T2374" s="17"/>
      <c r="U2374" s="17"/>
    </row>
    <row r="2375" spans="17:21" x14ac:dyDescent="0.25">
      <c r="Q2375" s="17" t="s">
        <v>3132</v>
      </c>
      <c r="R2375" s="17" t="s">
        <v>2996</v>
      </c>
      <c r="S2375" s="17"/>
      <c r="T2375" s="17"/>
      <c r="U2375" s="17"/>
    </row>
    <row r="2376" spans="17:21" x14ac:dyDescent="0.25">
      <c r="Q2376" s="17" t="s">
        <v>3133</v>
      </c>
      <c r="R2376" s="17" t="s">
        <v>2996</v>
      </c>
      <c r="S2376" s="17"/>
      <c r="T2376" s="17"/>
      <c r="U2376" s="17"/>
    </row>
    <row r="2377" spans="17:21" x14ac:dyDescent="0.25">
      <c r="Q2377" s="17" t="s">
        <v>3134</v>
      </c>
      <c r="R2377" s="17" t="s">
        <v>2996</v>
      </c>
      <c r="S2377" s="17"/>
      <c r="T2377" s="17"/>
      <c r="U2377" s="17"/>
    </row>
    <row r="2378" spans="17:21" x14ac:dyDescent="0.25">
      <c r="Q2378" s="17" t="s">
        <v>3135</v>
      </c>
      <c r="R2378" s="17" t="s">
        <v>2996</v>
      </c>
      <c r="S2378" s="17"/>
      <c r="T2378" s="17"/>
      <c r="U2378" s="17"/>
    </row>
    <row r="2379" spans="17:21" x14ac:dyDescent="0.25">
      <c r="Q2379" s="17" t="s">
        <v>3136</v>
      </c>
      <c r="R2379" s="17" t="s">
        <v>2996</v>
      </c>
      <c r="S2379" s="17"/>
      <c r="T2379" s="17"/>
      <c r="U2379" s="17"/>
    </row>
    <row r="2380" spans="17:21" x14ac:dyDescent="0.25">
      <c r="Q2380" s="17" t="s">
        <v>3137</v>
      </c>
      <c r="R2380" s="17" t="s">
        <v>2996</v>
      </c>
      <c r="S2380" s="17"/>
      <c r="T2380" s="17"/>
      <c r="U2380" s="17"/>
    </row>
    <row r="2381" spans="17:21" x14ac:dyDescent="0.25">
      <c r="Q2381" s="17" t="s">
        <v>3138</v>
      </c>
      <c r="R2381" s="17" t="s">
        <v>2996</v>
      </c>
      <c r="S2381" s="17"/>
      <c r="T2381" s="17"/>
      <c r="U2381" s="17"/>
    </row>
    <row r="2382" spans="17:21" x14ac:dyDescent="0.25">
      <c r="Q2382" s="17" t="s">
        <v>3139</v>
      </c>
      <c r="R2382" s="17" t="s">
        <v>2996</v>
      </c>
      <c r="S2382" s="17"/>
      <c r="T2382" s="17"/>
      <c r="U2382" s="17"/>
    </row>
    <row r="2383" spans="17:21" x14ac:dyDescent="0.25">
      <c r="Q2383" s="17" t="s">
        <v>3140</v>
      </c>
      <c r="R2383" s="17" t="s">
        <v>199</v>
      </c>
      <c r="S2383" s="17"/>
      <c r="T2383" s="17"/>
      <c r="U2383" s="17"/>
    </row>
    <row r="2384" spans="17:21" x14ac:dyDescent="0.25">
      <c r="Q2384" s="17" t="s">
        <v>3141</v>
      </c>
      <c r="R2384" s="17" t="s">
        <v>2996</v>
      </c>
      <c r="S2384" s="17"/>
      <c r="T2384" s="17"/>
      <c r="U2384" s="17"/>
    </row>
    <row r="2385" spans="17:21" x14ac:dyDescent="0.25">
      <c r="Q2385" s="17" t="s">
        <v>3142</v>
      </c>
      <c r="R2385" s="17" t="s">
        <v>2996</v>
      </c>
      <c r="S2385" s="17"/>
      <c r="T2385" s="17"/>
      <c r="U2385" s="17"/>
    </row>
    <row r="2386" spans="17:21" x14ac:dyDescent="0.25">
      <c r="Q2386" s="17" t="s">
        <v>3143</v>
      </c>
      <c r="R2386" s="17" t="s">
        <v>2996</v>
      </c>
      <c r="S2386" s="17"/>
      <c r="T2386" s="17"/>
      <c r="U2386" s="17"/>
    </row>
    <row r="2387" spans="17:21" x14ac:dyDescent="0.25">
      <c r="Q2387" s="17" t="s">
        <v>3144</v>
      </c>
      <c r="R2387" s="17" t="s">
        <v>2996</v>
      </c>
      <c r="S2387" s="17"/>
      <c r="T2387" s="17"/>
      <c r="U2387" s="17"/>
    </row>
    <row r="2388" spans="17:21" x14ac:dyDescent="0.25">
      <c r="Q2388" s="17" t="s">
        <v>3145</v>
      </c>
      <c r="R2388" s="17" t="s">
        <v>2996</v>
      </c>
      <c r="S2388" s="17"/>
      <c r="T2388" s="17"/>
      <c r="U2388" s="17"/>
    </row>
    <row r="2389" spans="17:21" x14ac:dyDescent="0.25">
      <c r="Q2389" s="17" t="s">
        <v>3146</v>
      </c>
      <c r="R2389" s="17" t="s">
        <v>2996</v>
      </c>
      <c r="S2389" s="17"/>
      <c r="T2389" s="17"/>
      <c r="U2389" s="17"/>
    </row>
    <row r="2390" spans="17:21" x14ac:dyDescent="0.25">
      <c r="Q2390" s="17" t="s">
        <v>3147</v>
      </c>
      <c r="R2390" s="17" t="s">
        <v>2996</v>
      </c>
      <c r="S2390" s="17"/>
      <c r="T2390" s="17"/>
      <c r="U2390" s="17"/>
    </row>
    <row r="2391" spans="17:21" x14ac:dyDescent="0.25">
      <c r="Q2391" s="17" t="s">
        <v>3148</v>
      </c>
      <c r="R2391" s="17" t="s">
        <v>2996</v>
      </c>
      <c r="S2391" s="17"/>
      <c r="T2391" s="17"/>
      <c r="U2391" s="17"/>
    </row>
    <row r="2392" spans="17:21" x14ac:dyDescent="0.25">
      <c r="Q2392" s="17" t="s">
        <v>3149</v>
      </c>
      <c r="R2392" s="17" t="s">
        <v>2996</v>
      </c>
      <c r="S2392" s="17"/>
      <c r="T2392" s="17"/>
      <c r="U2392" s="17"/>
    </row>
    <row r="2393" spans="17:21" x14ac:dyDescent="0.25">
      <c r="Q2393" s="17" t="s">
        <v>3150</v>
      </c>
      <c r="R2393" s="17" t="s">
        <v>2996</v>
      </c>
      <c r="S2393" s="17"/>
      <c r="T2393" s="17"/>
      <c r="U2393" s="17"/>
    </row>
    <row r="2394" spans="17:21" x14ac:dyDescent="0.25">
      <c r="Q2394" s="17" t="s">
        <v>3151</v>
      </c>
      <c r="R2394" s="17" t="s">
        <v>2996</v>
      </c>
      <c r="S2394" s="17"/>
      <c r="T2394" s="17"/>
      <c r="U2394" s="17"/>
    </row>
    <row r="2395" spans="17:21" x14ac:dyDescent="0.25">
      <c r="Q2395" s="17" t="s">
        <v>3152</v>
      </c>
      <c r="R2395" s="17" t="s">
        <v>2996</v>
      </c>
      <c r="S2395" s="17"/>
      <c r="T2395" s="17"/>
      <c r="U2395" s="17"/>
    </row>
    <row r="2396" spans="17:21" x14ac:dyDescent="0.25">
      <c r="Q2396" s="17" t="s">
        <v>3153</v>
      </c>
      <c r="R2396" s="17" t="s">
        <v>2996</v>
      </c>
      <c r="S2396" s="17"/>
      <c r="T2396" s="17"/>
      <c r="U2396" s="17"/>
    </row>
    <row r="2397" spans="17:21" x14ac:dyDescent="0.25">
      <c r="Q2397" s="17" t="s">
        <v>3154</v>
      </c>
      <c r="R2397" s="17" t="s">
        <v>2996</v>
      </c>
      <c r="S2397" s="17"/>
      <c r="T2397" s="17"/>
      <c r="U2397" s="17"/>
    </row>
    <row r="2398" spans="17:21" x14ac:dyDescent="0.25">
      <c r="Q2398" s="17" t="s">
        <v>3155</v>
      </c>
      <c r="R2398" s="17" t="s">
        <v>2996</v>
      </c>
      <c r="S2398" s="17"/>
      <c r="T2398" s="17"/>
      <c r="U2398" s="17"/>
    </row>
    <row r="2399" spans="17:21" x14ac:dyDescent="0.25">
      <c r="Q2399" s="17" t="s">
        <v>3156</v>
      </c>
      <c r="R2399" s="17" t="s">
        <v>2996</v>
      </c>
      <c r="S2399" s="17"/>
      <c r="T2399" s="17"/>
      <c r="U2399" s="17"/>
    </row>
    <row r="2400" spans="17:21" x14ac:dyDescent="0.25">
      <c r="Q2400" s="17" t="s">
        <v>3157</v>
      </c>
      <c r="R2400" s="17" t="s">
        <v>2996</v>
      </c>
      <c r="S2400" s="17"/>
      <c r="T2400" s="17"/>
      <c r="U2400" s="17"/>
    </row>
    <row r="2401" spans="17:21" x14ac:dyDescent="0.25">
      <c r="Q2401" s="17" t="s">
        <v>3158</v>
      </c>
      <c r="R2401" s="17" t="s">
        <v>2996</v>
      </c>
      <c r="S2401" s="17"/>
      <c r="T2401" s="17"/>
      <c r="U2401" s="17"/>
    </row>
    <row r="2402" spans="17:21" x14ac:dyDescent="0.25">
      <c r="Q2402" s="17" t="s">
        <v>3159</v>
      </c>
      <c r="R2402" s="17" t="s">
        <v>2996</v>
      </c>
      <c r="S2402" s="17"/>
      <c r="T2402" s="17"/>
      <c r="U2402" s="17"/>
    </row>
    <row r="2403" spans="17:21" x14ac:dyDescent="0.25">
      <c r="Q2403" s="17" t="s">
        <v>3160</v>
      </c>
      <c r="R2403" s="17" t="s">
        <v>2996</v>
      </c>
      <c r="S2403" s="17"/>
      <c r="T2403" s="17"/>
      <c r="U2403" s="17"/>
    </row>
    <row r="2404" spans="17:21" x14ac:dyDescent="0.25">
      <c r="Q2404" s="17" t="s">
        <v>3161</v>
      </c>
      <c r="R2404" s="17" t="s">
        <v>2996</v>
      </c>
      <c r="S2404" s="17"/>
      <c r="T2404" s="17"/>
      <c r="U2404" s="17"/>
    </row>
    <row r="2405" spans="17:21" x14ac:dyDescent="0.25">
      <c r="Q2405" s="17" t="s">
        <v>3162</v>
      </c>
      <c r="R2405" s="17" t="s">
        <v>2996</v>
      </c>
      <c r="S2405" s="17"/>
      <c r="T2405" s="17"/>
      <c r="U2405" s="17"/>
    </row>
    <row r="2406" spans="17:21" x14ac:dyDescent="0.25">
      <c r="Q2406" s="17" t="s">
        <v>3163</v>
      </c>
      <c r="R2406" s="17" t="s">
        <v>2996</v>
      </c>
      <c r="S2406" s="17"/>
      <c r="T2406" s="17"/>
      <c r="U2406" s="17"/>
    </row>
    <row r="2407" spans="17:21" x14ac:dyDescent="0.25">
      <c r="Q2407" s="17" t="s">
        <v>3164</v>
      </c>
      <c r="R2407" s="17" t="s">
        <v>2996</v>
      </c>
      <c r="S2407" s="17"/>
      <c r="T2407" s="17"/>
      <c r="U2407" s="17"/>
    </row>
    <row r="2408" spans="17:21" x14ac:dyDescent="0.25">
      <c r="Q2408" s="17" t="s">
        <v>3165</v>
      </c>
      <c r="R2408" s="17" t="s">
        <v>2996</v>
      </c>
      <c r="S2408" s="17"/>
      <c r="T2408" s="17"/>
      <c r="U2408" s="17"/>
    </row>
    <row r="2409" spans="17:21" x14ac:dyDescent="0.25">
      <c r="Q2409" s="17" t="s">
        <v>3166</v>
      </c>
      <c r="R2409" s="17" t="s">
        <v>2996</v>
      </c>
      <c r="S2409" s="17"/>
      <c r="T2409" s="17"/>
      <c r="U2409" s="17"/>
    </row>
    <row r="2410" spans="17:21" x14ac:dyDescent="0.25">
      <c r="Q2410" s="17" t="s">
        <v>3167</v>
      </c>
      <c r="R2410" s="17" t="s">
        <v>2996</v>
      </c>
      <c r="S2410" s="17"/>
      <c r="T2410" s="17"/>
      <c r="U2410" s="17"/>
    </row>
    <row r="2411" spans="17:21" x14ac:dyDescent="0.25">
      <c r="Q2411" s="17" t="s">
        <v>3168</v>
      </c>
      <c r="R2411" s="17" t="s">
        <v>2996</v>
      </c>
      <c r="S2411" s="17"/>
      <c r="T2411" s="17"/>
      <c r="U2411" s="17"/>
    </row>
    <row r="2412" spans="17:21" x14ac:dyDescent="0.25">
      <c r="Q2412" s="17" t="s">
        <v>3169</v>
      </c>
      <c r="R2412" s="17" t="s">
        <v>2996</v>
      </c>
      <c r="S2412" s="17"/>
      <c r="T2412" s="17"/>
      <c r="U2412" s="17"/>
    </row>
    <row r="2413" spans="17:21" x14ac:dyDescent="0.25">
      <c r="Q2413" s="17" t="s">
        <v>3170</v>
      </c>
      <c r="R2413" s="17" t="s">
        <v>2996</v>
      </c>
      <c r="S2413" s="17"/>
      <c r="T2413" s="17"/>
      <c r="U2413" s="17"/>
    </row>
    <row r="2414" spans="17:21" x14ac:dyDescent="0.25">
      <c r="Q2414" s="17" t="s">
        <v>3171</v>
      </c>
      <c r="R2414" s="17" t="s">
        <v>2996</v>
      </c>
      <c r="S2414" s="17"/>
      <c r="T2414" s="17"/>
      <c r="U2414" s="17"/>
    </row>
    <row r="2415" spans="17:21" x14ac:dyDescent="0.25">
      <c r="Q2415" s="17" t="s">
        <v>3172</v>
      </c>
      <c r="R2415" s="17" t="s">
        <v>2996</v>
      </c>
      <c r="S2415" s="17"/>
      <c r="T2415" s="17"/>
      <c r="U2415" s="17"/>
    </row>
    <row r="2416" spans="17:21" x14ac:dyDescent="0.25">
      <c r="Q2416" s="17" t="s">
        <v>3173</v>
      </c>
      <c r="R2416" s="17" t="s">
        <v>2996</v>
      </c>
      <c r="S2416" s="17"/>
      <c r="T2416" s="17"/>
      <c r="U2416" s="17"/>
    </row>
    <row r="2417" spans="17:21" x14ac:dyDescent="0.25">
      <c r="Q2417" s="17" t="s">
        <v>3174</v>
      </c>
      <c r="R2417" s="17" t="s">
        <v>2996</v>
      </c>
      <c r="S2417" s="17"/>
      <c r="T2417" s="17"/>
      <c r="U2417" s="17"/>
    </row>
    <row r="2418" spans="17:21" x14ac:dyDescent="0.25">
      <c r="Q2418" s="17" t="s">
        <v>3175</v>
      </c>
      <c r="R2418" s="17" t="s">
        <v>2996</v>
      </c>
      <c r="S2418" s="17"/>
      <c r="T2418" s="17"/>
      <c r="U2418" s="17"/>
    </row>
    <row r="2419" spans="17:21" x14ac:dyDescent="0.25">
      <c r="Q2419" s="17" t="s">
        <v>3176</v>
      </c>
      <c r="R2419" s="17" t="s">
        <v>2996</v>
      </c>
      <c r="S2419" s="17"/>
      <c r="T2419" s="17"/>
      <c r="U2419" s="17"/>
    </row>
    <row r="2420" spans="17:21" x14ac:dyDescent="0.25">
      <c r="Q2420" s="17" t="s">
        <v>3177</v>
      </c>
      <c r="R2420" s="17" t="s">
        <v>2996</v>
      </c>
      <c r="S2420" s="17"/>
      <c r="T2420" s="17"/>
      <c r="U2420" s="17"/>
    </row>
    <row r="2421" spans="17:21" x14ac:dyDescent="0.25">
      <c r="Q2421" s="17" t="s">
        <v>3178</v>
      </c>
      <c r="R2421" s="17" t="s">
        <v>2996</v>
      </c>
      <c r="S2421" s="17"/>
      <c r="T2421" s="17"/>
      <c r="U2421" s="17"/>
    </row>
    <row r="2422" spans="17:21" x14ac:dyDescent="0.25">
      <c r="Q2422" s="17" t="s">
        <v>3179</v>
      </c>
      <c r="R2422" s="17" t="s">
        <v>2996</v>
      </c>
      <c r="S2422" s="17"/>
      <c r="T2422" s="17"/>
      <c r="U2422" s="17"/>
    </row>
    <row r="2423" spans="17:21" x14ac:dyDescent="0.25">
      <c r="Q2423" s="17" t="s">
        <v>3180</v>
      </c>
      <c r="R2423" s="17" t="s">
        <v>2996</v>
      </c>
      <c r="S2423" s="17"/>
      <c r="T2423" s="17"/>
      <c r="U2423" s="17"/>
    </row>
    <row r="2424" spans="17:21" x14ac:dyDescent="0.25">
      <c r="Q2424" s="17" t="s">
        <v>3181</v>
      </c>
      <c r="R2424" s="17" t="s">
        <v>2996</v>
      </c>
      <c r="S2424" s="17"/>
      <c r="T2424" s="17"/>
      <c r="U2424" s="17"/>
    </row>
    <row r="2425" spans="17:21" x14ac:dyDescent="0.25">
      <c r="Q2425" s="17" t="s">
        <v>3182</v>
      </c>
      <c r="R2425" s="17" t="s">
        <v>2996</v>
      </c>
      <c r="S2425" s="17"/>
      <c r="T2425" s="17"/>
      <c r="U2425" s="17"/>
    </row>
    <row r="2426" spans="17:21" x14ac:dyDescent="0.25">
      <c r="Q2426" s="17" t="s">
        <v>3183</v>
      </c>
      <c r="R2426" s="17" t="s">
        <v>2996</v>
      </c>
      <c r="S2426" s="17"/>
      <c r="T2426" s="17"/>
      <c r="U2426" s="17"/>
    </row>
    <row r="2427" spans="17:21" x14ac:dyDescent="0.25">
      <c r="Q2427" s="17" t="s">
        <v>3184</v>
      </c>
      <c r="R2427" s="17" t="s">
        <v>2996</v>
      </c>
      <c r="S2427" s="17"/>
      <c r="T2427" s="17"/>
      <c r="U2427" s="17"/>
    </row>
    <row r="2428" spans="17:21" x14ac:dyDescent="0.25">
      <c r="Q2428" s="17" t="s">
        <v>3185</v>
      </c>
      <c r="R2428" s="17" t="s">
        <v>2996</v>
      </c>
      <c r="S2428" s="17"/>
      <c r="T2428" s="17"/>
      <c r="U2428" s="17"/>
    </row>
    <row r="2429" spans="17:21" x14ac:dyDescent="0.25">
      <c r="Q2429" s="17" t="s">
        <v>3186</v>
      </c>
      <c r="R2429" s="17" t="s">
        <v>2996</v>
      </c>
      <c r="S2429" s="17"/>
      <c r="T2429" s="17"/>
      <c r="U2429" s="17"/>
    </row>
    <row r="2430" spans="17:21" x14ac:dyDescent="0.25">
      <c r="Q2430" s="17" t="s">
        <v>3187</v>
      </c>
      <c r="R2430" s="17" t="s">
        <v>2996</v>
      </c>
      <c r="S2430" s="17"/>
      <c r="T2430" s="17"/>
      <c r="U2430" s="17"/>
    </row>
    <row r="2431" spans="17:21" x14ac:dyDescent="0.25">
      <c r="Q2431" s="17" t="s">
        <v>3188</v>
      </c>
      <c r="R2431" s="17" t="s">
        <v>2996</v>
      </c>
      <c r="S2431" s="17"/>
      <c r="T2431" s="17"/>
      <c r="U2431" s="17"/>
    </row>
    <row r="2432" spans="17:21" x14ac:dyDescent="0.25">
      <c r="Q2432" s="17" t="s">
        <v>3189</v>
      </c>
      <c r="R2432" s="17" t="s">
        <v>2996</v>
      </c>
      <c r="S2432" s="17"/>
      <c r="T2432" s="17"/>
      <c r="U2432" s="17"/>
    </row>
    <row r="2433" spans="17:21" x14ac:dyDescent="0.25">
      <c r="Q2433" s="17" t="s">
        <v>3190</v>
      </c>
      <c r="R2433" s="17" t="s">
        <v>2996</v>
      </c>
      <c r="S2433" s="17"/>
      <c r="T2433" s="17"/>
      <c r="U2433" s="17"/>
    </row>
    <row r="2434" spans="17:21" x14ac:dyDescent="0.25">
      <c r="Q2434" s="17" t="s">
        <v>3191</v>
      </c>
      <c r="R2434" s="17" t="s">
        <v>2996</v>
      </c>
      <c r="S2434" s="17"/>
      <c r="T2434" s="17"/>
      <c r="U2434" s="17"/>
    </row>
    <row r="2435" spans="17:21" x14ac:dyDescent="0.25">
      <c r="Q2435" s="17" t="s">
        <v>3192</v>
      </c>
      <c r="R2435" s="17" t="s">
        <v>2996</v>
      </c>
      <c r="S2435" s="17"/>
      <c r="T2435" s="17"/>
      <c r="U2435" s="17"/>
    </row>
    <row r="2436" spans="17:21" x14ac:dyDescent="0.25">
      <c r="Q2436" s="17" t="s">
        <v>3193</v>
      </c>
      <c r="R2436" s="17" t="s">
        <v>2996</v>
      </c>
      <c r="S2436" s="17"/>
      <c r="T2436" s="17"/>
      <c r="U2436" s="17"/>
    </row>
    <row r="2437" spans="17:21" x14ac:dyDescent="0.25">
      <c r="Q2437" s="17" t="s">
        <v>3194</v>
      </c>
      <c r="R2437" s="17" t="s">
        <v>2996</v>
      </c>
      <c r="S2437" s="17"/>
      <c r="T2437" s="17"/>
      <c r="U2437" s="17"/>
    </row>
    <row r="2438" spans="17:21" x14ac:dyDescent="0.25">
      <c r="Q2438" s="17" t="s">
        <v>3195</v>
      </c>
      <c r="R2438" s="17" t="s">
        <v>2996</v>
      </c>
      <c r="S2438" s="17"/>
      <c r="T2438" s="17"/>
      <c r="U2438" s="17"/>
    </row>
    <row r="2439" spans="17:21" x14ac:dyDescent="0.25">
      <c r="Q2439" s="17" t="s">
        <v>3196</v>
      </c>
      <c r="R2439" s="17" t="s">
        <v>2996</v>
      </c>
      <c r="S2439" s="17"/>
      <c r="T2439" s="17"/>
      <c r="U2439" s="17"/>
    </row>
    <row r="2440" spans="17:21" x14ac:dyDescent="0.25">
      <c r="Q2440" s="17" t="s">
        <v>3197</v>
      </c>
      <c r="R2440" s="17" t="s">
        <v>2996</v>
      </c>
      <c r="S2440" s="17"/>
      <c r="T2440" s="17"/>
      <c r="U2440" s="17"/>
    </row>
    <row r="2441" spans="17:21" x14ac:dyDescent="0.25">
      <c r="Q2441" s="17" t="s">
        <v>3198</v>
      </c>
      <c r="R2441" s="17" t="s">
        <v>2996</v>
      </c>
      <c r="S2441" s="17"/>
      <c r="T2441" s="17"/>
      <c r="U2441" s="17"/>
    </row>
    <row r="2442" spans="17:21" x14ac:dyDescent="0.25">
      <c r="Q2442" s="17" t="s">
        <v>3199</v>
      </c>
      <c r="R2442" s="17" t="s">
        <v>2996</v>
      </c>
      <c r="S2442" s="17"/>
      <c r="T2442" s="17"/>
      <c r="U2442" s="17"/>
    </row>
    <row r="2443" spans="17:21" x14ac:dyDescent="0.25">
      <c r="Q2443" s="17" t="s">
        <v>3200</v>
      </c>
      <c r="R2443" s="17" t="s">
        <v>2996</v>
      </c>
      <c r="S2443" s="17"/>
      <c r="T2443" s="17"/>
      <c r="U2443" s="17"/>
    </row>
    <row r="2444" spans="17:21" x14ac:dyDescent="0.25">
      <c r="Q2444" s="17" t="s">
        <v>3201</v>
      </c>
      <c r="R2444" s="17" t="s">
        <v>2239</v>
      </c>
      <c r="S2444" s="17"/>
      <c r="T2444" s="17"/>
      <c r="U2444" s="17"/>
    </row>
    <row r="2445" spans="17:21" x14ac:dyDescent="0.25">
      <c r="Q2445" s="17" t="s">
        <v>3202</v>
      </c>
      <c r="R2445" s="17" t="s">
        <v>2239</v>
      </c>
      <c r="S2445" s="17"/>
      <c r="T2445" s="17"/>
      <c r="U2445" s="17"/>
    </row>
    <row r="2446" spans="17:21" x14ac:dyDescent="0.25">
      <c r="Q2446" s="17" t="s">
        <v>3203</v>
      </c>
      <c r="R2446" s="17" t="s">
        <v>2996</v>
      </c>
      <c r="S2446" s="17"/>
      <c r="T2446" s="17"/>
      <c r="U2446" s="17"/>
    </row>
    <row r="2447" spans="17:21" x14ac:dyDescent="0.25">
      <c r="Q2447" s="17" t="s">
        <v>3204</v>
      </c>
      <c r="R2447" s="17" t="s">
        <v>2996</v>
      </c>
      <c r="S2447" s="17"/>
      <c r="T2447" s="17"/>
      <c r="U2447" s="17"/>
    </row>
    <row r="2448" spans="17:21" x14ac:dyDescent="0.25">
      <c r="Q2448" s="17" t="s">
        <v>3205</v>
      </c>
      <c r="R2448" s="17" t="s">
        <v>2996</v>
      </c>
      <c r="S2448" s="17"/>
      <c r="T2448" s="17"/>
      <c r="U2448" s="17"/>
    </row>
    <row r="2449" spans="17:21" x14ac:dyDescent="0.25">
      <c r="Q2449" s="17" t="s">
        <v>3206</v>
      </c>
      <c r="R2449" s="17" t="s">
        <v>2996</v>
      </c>
      <c r="S2449" s="17"/>
      <c r="T2449" s="17"/>
      <c r="U2449" s="17"/>
    </row>
    <row r="2450" spans="17:21" x14ac:dyDescent="0.25">
      <c r="Q2450" s="17" t="s">
        <v>3207</v>
      </c>
      <c r="R2450" s="17" t="s">
        <v>2996</v>
      </c>
      <c r="S2450" s="17"/>
      <c r="T2450" s="17"/>
      <c r="U2450" s="17"/>
    </row>
    <row r="2451" spans="17:21" x14ac:dyDescent="0.25">
      <c r="Q2451" s="17" t="s">
        <v>3208</v>
      </c>
      <c r="R2451" s="17" t="s">
        <v>2996</v>
      </c>
      <c r="S2451" s="17"/>
      <c r="T2451" s="17"/>
      <c r="U2451" s="17"/>
    </row>
    <row r="2452" spans="17:21" x14ac:dyDescent="0.25">
      <c r="Q2452" s="17" t="s">
        <v>3209</v>
      </c>
      <c r="R2452" s="17" t="s">
        <v>2996</v>
      </c>
      <c r="S2452" s="17"/>
      <c r="T2452" s="17"/>
      <c r="U2452" s="17"/>
    </row>
    <row r="2453" spans="17:21" x14ac:dyDescent="0.25">
      <c r="Q2453" s="17" t="s">
        <v>3210</v>
      </c>
      <c r="R2453" s="17" t="s">
        <v>2996</v>
      </c>
      <c r="S2453" s="17"/>
      <c r="T2453" s="17"/>
      <c r="U2453" s="17"/>
    </row>
    <row r="2454" spans="17:21" x14ac:dyDescent="0.25">
      <c r="Q2454" s="17" t="s">
        <v>3211</v>
      </c>
      <c r="R2454" s="17" t="s">
        <v>2996</v>
      </c>
      <c r="S2454" s="17"/>
      <c r="T2454" s="17"/>
      <c r="U2454" s="17"/>
    </row>
    <row r="2455" spans="17:21" x14ac:dyDescent="0.25">
      <c r="Q2455" s="17" t="s">
        <v>3212</v>
      </c>
      <c r="R2455" s="17" t="s">
        <v>2239</v>
      </c>
      <c r="S2455" s="17"/>
      <c r="T2455" s="17"/>
      <c r="U2455" s="17"/>
    </row>
    <row r="2456" spans="17:21" x14ac:dyDescent="0.25">
      <c r="Q2456" s="17" t="s">
        <v>3213</v>
      </c>
      <c r="R2456" s="17" t="s">
        <v>2239</v>
      </c>
      <c r="S2456" s="17"/>
      <c r="T2456" s="17"/>
      <c r="U2456" s="17"/>
    </row>
    <row r="2457" spans="17:21" x14ac:dyDescent="0.25">
      <c r="Q2457" s="17" t="s">
        <v>3214</v>
      </c>
      <c r="R2457" s="17" t="s">
        <v>2239</v>
      </c>
      <c r="S2457" s="17"/>
      <c r="T2457" s="17"/>
      <c r="U2457" s="17"/>
    </row>
    <row r="2458" spans="17:21" x14ac:dyDescent="0.25">
      <c r="Q2458" s="17" t="s">
        <v>3215</v>
      </c>
      <c r="R2458" s="17" t="s">
        <v>2239</v>
      </c>
      <c r="S2458" s="17"/>
      <c r="T2458" s="17"/>
      <c r="U2458" s="17"/>
    </row>
    <row r="2459" spans="17:21" x14ac:dyDescent="0.25">
      <c r="Q2459" s="17" t="s">
        <v>3216</v>
      </c>
      <c r="R2459" s="17" t="s">
        <v>2239</v>
      </c>
      <c r="S2459" s="17"/>
      <c r="T2459" s="17"/>
      <c r="U2459" s="17"/>
    </row>
    <row r="2460" spans="17:21" x14ac:dyDescent="0.25">
      <c r="Q2460" s="17" t="s">
        <v>3217</v>
      </c>
      <c r="R2460" s="17" t="s">
        <v>2239</v>
      </c>
      <c r="S2460" s="17"/>
      <c r="T2460" s="17"/>
      <c r="U2460" s="17"/>
    </row>
    <row r="2461" spans="17:21" x14ac:dyDescent="0.25">
      <c r="Q2461" s="17" t="s">
        <v>3218</v>
      </c>
      <c r="R2461" s="17" t="s">
        <v>2239</v>
      </c>
      <c r="S2461" s="17"/>
      <c r="T2461" s="17"/>
      <c r="U2461" s="17"/>
    </row>
    <row r="2462" spans="17:21" x14ac:dyDescent="0.25">
      <c r="Q2462" s="17" t="s">
        <v>3219</v>
      </c>
      <c r="R2462" s="17" t="s">
        <v>2912</v>
      </c>
      <c r="S2462" s="17"/>
      <c r="T2462" s="17"/>
      <c r="U2462" s="17"/>
    </row>
    <row r="2463" spans="17:21" x14ac:dyDescent="0.25">
      <c r="Q2463" s="17" t="s">
        <v>3220</v>
      </c>
      <c r="R2463" s="17" t="s">
        <v>86</v>
      </c>
      <c r="S2463" s="17"/>
      <c r="T2463" s="17"/>
      <c r="U2463" s="17"/>
    </row>
    <row r="2464" spans="17:21" x14ac:dyDescent="0.25">
      <c r="Q2464" s="17" t="s">
        <v>3221</v>
      </c>
      <c r="R2464" s="17" t="s">
        <v>2912</v>
      </c>
      <c r="S2464" s="17"/>
      <c r="T2464" s="17"/>
      <c r="U2464" s="17"/>
    </row>
    <row r="2465" spans="17:21" x14ac:dyDescent="0.25">
      <c r="Q2465" s="17" t="s">
        <v>3222</v>
      </c>
      <c r="R2465" s="17" t="s">
        <v>86</v>
      </c>
      <c r="S2465" s="17"/>
      <c r="T2465" s="17"/>
      <c r="U2465" s="17"/>
    </row>
    <row r="2466" spans="17:21" x14ac:dyDescent="0.25">
      <c r="Q2466" s="17" t="s">
        <v>3223</v>
      </c>
      <c r="R2466" s="17" t="s">
        <v>86</v>
      </c>
      <c r="S2466" s="17"/>
      <c r="T2466" s="17"/>
      <c r="U2466" s="17"/>
    </row>
    <row r="2467" spans="17:21" x14ac:dyDescent="0.25">
      <c r="Q2467" s="17" t="s">
        <v>3224</v>
      </c>
      <c r="R2467" s="17" t="s">
        <v>86</v>
      </c>
      <c r="S2467" s="17"/>
      <c r="T2467" s="17"/>
      <c r="U2467" s="17"/>
    </row>
    <row r="2468" spans="17:21" x14ac:dyDescent="0.25">
      <c r="Q2468" s="17" t="s">
        <v>3225</v>
      </c>
      <c r="R2468" s="17" t="s">
        <v>86</v>
      </c>
      <c r="S2468" s="17"/>
      <c r="T2468" s="17"/>
      <c r="U2468" s="17"/>
    </row>
    <row r="2469" spans="17:21" x14ac:dyDescent="0.25">
      <c r="Q2469" s="17" t="s">
        <v>3226</v>
      </c>
      <c r="R2469" s="17" t="s">
        <v>86</v>
      </c>
      <c r="S2469" s="17"/>
      <c r="T2469" s="17"/>
      <c r="U2469" s="17"/>
    </row>
    <row r="2470" spans="17:21" x14ac:dyDescent="0.25">
      <c r="Q2470" s="17" t="s">
        <v>3227</v>
      </c>
      <c r="R2470" s="17" t="s">
        <v>86</v>
      </c>
      <c r="S2470" s="17"/>
      <c r="T2470" s="17"/>
      <c r="U2470" s="17"/>
    </row>
    <row r="2471" spans="17:21" x14ac:dyDescent="0.25">
      <c r="Q2471" s="17" t="s">
        <v>3228</v>
      </c>
      <c r="R2471" s="17" t="s">
        <v>86</v>
      </c>
      <c r="S2471" s="17"/>
      <c r="T2471" s="17"/>
      <c r="U2471" s="17"/>
    </row>
    <row r="2472" spans="17:21" x14ac:dyDescent="0.25">
      <c r="Q2472" s="17" t="s">
        <v>3229</v>
      </c>
      <c r="R2472" s="17" t="s">
        <v>86</v>
      </c>
      <c r="S2472" s="17"/>
      <c r="T2472" s="17"/>
      <c r="U2472" s="17"/>
    </row>
    <row r="2473" spans="17:21" x14ac:dyDescent="0.25">
      <c r="Q2473" s="17" t="s">
        <v>3230</v>
      </c>
      <c r="R2473" s="17" t="s">
        <v>86</v>
      </c>
      <c r="S2473" s="17"/>
      <c r="T2473" s="17"/>
      <c r="U2473" s="17"/>
    </row>
    <row r="2474" spans="17:21" x14ac:dyDescent="0.25">
      <c r="Q2474" s="17" t="s">
        <v>3231</v>
      </c>
      <c r="R2474" s="17" t="s">
        <v>86</v>
      </c>
      <c r="S2474" s="17"/>
      <c r="T2474" s="17"/>
      <c r="U2474" s="17"/>
    </row>
    <row r="2475" spans="17:21" x14ac:dyDescent="0.25">
      <c r="Q2475" s="17" t="s">
        <v>3232</v>
      </c>
      <c r="R2475" s="17" t="s">
        <v>86</v>
      </c>
      <c r="S2475" s="17"/>
      <c r="T2475" s="17"/>
      <c r="U2475" s="17"/>
    </row>
    <row r="2476" spans="17:21" x14ac:dyDescent="0.25">
      <c r="Q2476" s="17" t="s">
        <v>3233</v>
      </c>
      <c r="R2476" s="17" t="s">
        <v>86</v>
      </c>
      <c r="S2476" s="17"/>
      <c r="T2476" s="17"/>
      <c r="U2476" s="17"/>
    </row>
    <row r="2477" spans="17:21" x14ac:dyDescent="0.25">
      <c r="Q2477" s="17" t="s">
        <v>3234</v>
      </c>
      <c r="R2477" s="17" t="s">
        <v>86</v>
      </c>
      <c r="S2477" s="17"/>
      <c r="T2477" s="17"/>
      <c r="U2477" s="17"/>
    </row>
    <row r="2478" spans="17:21" x14ac:dyDescent="0.25">
      <c r="Q2478" s="17" t="s">
        <v>3235</v>
      </c>
      <c r="R2478" s="17" t="s">
        <v>86</v>
      </c>
      <c r="S2478" s="17"/>
      <c r="T2478" s="17"/>
      <c r="U2478" s="17"/>
    </row>
    <row r="2479" spans="17:21" x14ac:dyDescent="0.25">
      <c r="Q2479" s="17" t="s">
        <v>3236</v>
      </c>
      <c r="R2479" s="17" t="s">
        <v>86</v>
      </c>
      <c r="S2479" s="17"/>
      <c r="T2479" s="17"/>
      <c r="U2479" s="17"/>
    </row>
    <row r="2480" spans="17:21" x14ac:dyDescent="0.25">
      <c r="Q2480" s="17" t="s">
        <v>3237</v>
      </c>
      <c r="R2480" s="17" t="s">
        <v>86</v>
      </c>
      <c r="S2480" s="17"/>
      <c r="T2480" s="17"/>
      <c r="U2480" s="17"/>
    </row>
    <row r="2481" spans="17:21" x14ac:dyDescent="0.25">
      <c r="Q2481" s="17" t="s">
        <v>3238</v>
      </c>
      <c r="R2481" s="17" t="s">
        <v>86</v>
      </c>
      <c r="S2481" s="17"/>
      <c r="T2481" s="17"/>
      <c r="U2481" s="17"/>
    </row>
    <row r="2482" spans="17:21" x14ac:dyDescent="0.25">
      <c r="Q2482" s="17" t="s">
        <v>3239</v>
      </c>
      <c r="R2482" s="17" t="s">
        <v>2912</v>
      </c>
      <c r="S2482" s="17"/>
      <c r="T2482" s="17"/>
      <c r="U2482" s="17"/>
    </row>
    <row r="2483" spans="17:21" x14ac:dyDescent="0.25">
      <c r="Q2483" s="17" t="s">
        <v>3240</v>
      </c>
      <c r="R2483" s="17" t="s">
        <v>2912</v>
      </c>
      <c r="S2483" s="17"/>
      <c r="T2483" s="17"/>
      <c r="U2483" s="17"/>
    </row>
    <row r="2484" spans="17:21" x14ac:dyDescent="0.25">
      <c r="Q2484" s="17" t="s">
        <v>3241</v>
      </c>
      <c r="R2484" s="17" t="s">
        <v>2912</v>
      </c>
      <c r="S2484" s="17"/>
      <c r="T2484" s="17"/>
      <c r="U2484" s="17"/>
    </row>
    <row r="2485" spans="17:21" x14ac:dyDescent="0.25">
      <c r="Q2485" s="17" t="s">
        <v>3242</v>
      </c>
      <c r="R2485" s="17" t="s">
        <v>86</v>
      </c>
      <c r="S2485" s="17"/>
      <c r="T2485" s="17"/>
      <c r="U2485" s="17"/>
    </row>
    <row r="2486" spans="17:21" x14ac:dyDescent="0.25">
      <c r="Q2486" s="17" t="s">
        <v>3243</v>
      </c>
      <c r="R2486" s="17" t="s">
        <v>2912</v>
      </c>
      <c r="S2486" s="17"/>
      <c r="T2486" s="17"/>
      <c r="U2486" s="17"/>
    </row>
    <row r="2487" spans="17:21" x14ac:dyDescent="0.25">
      <c r="Q2487" s="17" t="s">
        <v>3244</v>
      </c>
      <c r="R2487" s="17" t="s">
        <v>2912</v>
      </c>
      <c r="S2487" s="17"/>
      <c r="T2487" s="17"/>
      <c r="U2487" s="17"/>
    </row>
    <row r="2488" spans="17:21" x14ac:dyDescent="0.25">
      <c r="Q2488" s="17" t="s">
        <v>3245</v>
      </c>
      <c r="R2488" s="17" t="s">
        <v>2912</v>
      </c>
      <c r="S2488" s="17"/>
      <c r="T2488" s="17"/>
      <c r="U2488" s="17"/>
    </row>
    <row r="2489" spans="17:21" x14ac:dyDescent="0.25">
      <c r="Q2489" s="17" t="s">
        <v>3246</v>
      </c>
      <c r="R2489" s="17" t="s">
        <v>2912</v>
      </c>
      <c r="S2489" s="17"/>
      <c r="T2489" s="17"/>
      <c r="U2489" s="17"/>
    </row>
    <row r="2490" spans="17:21" x14ac:dyDescent="0.25">
      <c r="Q2490" s="17" t="s">
        <v>3247</v>
      </c>
      <c r="R2490" s="17" t="s">
        <v>2912</v>
      </c>
      <c r="S2490" s="17"/>
      <c r="T2490" s="17"/>
      <c r="U2490" s="17"/>
    </row>
    <row r="2491" spans="17:21" x14ac:dyDescent="0.25">
      <c r="Q2491" s="17" t="s">
        <v>3248</v>
      </c>
      <c r="R2491" s="17" t="s">
        <v>2912</v>
      </c>
      <c r="S2491" s="17"/>
      <c r="T2491" s="17"/>
      <c r="U2491" s="17"/>
    </row>
    <row r="2492" spans="17:21" x14ac:dyDescent="0.25">
      <c r="Q2492" s="17" t="s">
        <v>3249</v>
      </c>
      <c r="R2492" s="17" t="s">
        <v>2912</v>
      </c>
      <c r="S2492" s="17"/>
      <c r="T2492" s="17"/>
      <c r="U2492" s="17"/>
    </row>
    <row r="2493" spans="17:21" x14ac:dyDescent="0.25">
      <c r="Q2493" s="17" t="s">
        <v>3250</v>
      </c>
      <c r="R2493" s="17" t="s">
        <v>2912</v>
      </c>
      <c r="S2493" s="17"/>
      <c r="T2493" s="17"/>
      <c r="U2493" s="17"/>
    </row>
    <row r="2494" spans="17:21" x14ac:dyDescent="0.25">
      <c r="Q2494" s="17" t="s">
        <v>3251</v>
      </c>
      <c r="R2494" s="17" t="s">
        <v>2912</v>
      </c>
      <c r="S2494" s="17"/>
      <c r="T2494" s="17"/>
      <c r="U2494" s="17"/>
    </row>
    <row r="2495" spans="17:21" x14ac:dyDescent="0.25">
      <c r="Q2495" s="17" t="s">
        <v>3252</v>
      </c>
      <c r="R2495" s="17" t="s">
        <v>86</v>
      </c>
      <c r="S2495" s="17"/>
      <c r="T2495" s="17"/>
      <c r="U2495" s="17"/>
    </row>
    <row r="2496" spans="17:21" x14ac:dyDescent="0.25">
      <c r="Q2496" s="17" t="s">
        <v>3253</v>
      </c>
      <c r="R2496" s="17" t="s">
        <v>86</v>
      </c>
      <c r="S2496" s="17"/>
      <c r="T2496" s="17"/>
      <c r="U2496" s="17"/>
    </row>
    <row r="2497" spans="17:21" x14ac:dyDescent="0.25">
      <c r="Q2497" s="17" t="s">
        <v>3254</v>
      </c>
      <c r="R2497" s="17" t="s">
        <v>2912</v>
      </c>
      <c r="S2497" s="17"/>
      <c r="T2497" s="17"/>
      <c r="U2497" s="17"/>
    </row>
    <row r="2498" spans="17:21" x14ac:dyDescent="0.25">
      <c r="Q2498" s="17" t="s">
        <v>3255</v>
      </c>
      <c r="R2498" s="17" t="s">
        <v>2912</v>
      </c>
      <c r="S2498" s="17"/>
      <c r="T2498" s="17"/>
      <c r="U2498" s="17"/>
    </row>
    <row r="2499" spans="17:21" x14ac:dyDescent="0.25">
      <c r="Q2499" s="17" t="s">
        <v>3256</v>
      </c>
      <c r="R2499" s="17" t="s">
        <v>2912</v>
      </c>
      <c r="S2499" s="17"/>
      <c r="T2499" s="17"/>
      <c r="U2499" s="17"/>
    </row>
    <row r="2500" spans="17:21" x14ac:dyDescent="0.25">
      <c r="Q2500" s="17" t="s">
        <v>3257</v>
      </c>
      <c r="R2500" s="17" t="s">
        <v>2912</v>
      </c>
      <c r="S2500" s="17"/>
      <c r="T2500" s="17"/>
      <c r="U2500" s="17"/>
    </row>
    <row r="2501" spans="17:21" x14ac:dyDescent="0.25">
      <c r="Q2501" s="17" t="s">
        <v>3258</v>
      </c>
      <c r="R2501" s="17" t="s">
        <v>86</v>
      </c>
      <c r="S2501" s="17"/>
      <c r="T2501" s="17"/>
      <c r="U2501" s="17"/>
    </row>
    <row r="2502" spans="17:21" x14ac:dyDescent="0.25">
      <c r="Q2502" s="17" t="s">
        <v>3259</v>
      </c>
      <c r="R2502" s="17" t="s">
        <v>2239</v>
      </c>
      <c r="S2502" s="17"/>
      <c r="T2502" s="17"/>
      <c r="U2502" s="17"/>
    </row>
    <row r="2503" spans="17:21" x14ac:dyDescent="0.25">
      <c r="Q2503" s="17" t="s">
        <v>3260</v>
      </c>
      <c r="R2503" s="17" t="s">
        <v>2239</v>
      </c>
      <c r="S2503" s="17"/>
      <c r="T2503" s="17"/>
      <c r="U2503" s="17"/>
    </row>
    <row r="2504" spans="17:21" x14ac:dyDescent="0.25">
      <c r="Q2504" s="17" t="s">
        <v>3261</v>
      </c>
      <c r="R2504" s="17" t="s">
        <v>2239</v>
      </c>
      <c r="S2504" s="17"/>
      <c r="T2504" s="17"/>
      <c r="U2504" s="17"/>
    </row>
    <row r="2505" spans="17:21" x14ac:dyDescent="0.25">
      <c r="Q2505" s="17" t="s">
        <v>3262</v>
      </c>
      <c r="R2505" s="17" t="s">
        <v>2239</v>
      </c>
      <c r="S2505" s="17"/>
      <c r="T2505" s="17"/>
      <c r="U2505" s="17"/>
    </row>
    <row r="2506" spans="17:21" x14ac:dyDescent="0.25">
      <c r="Q2506" s="17" t="s">
        <v>3263</v>
      </c>
      <c r="R2506" s="17" t="s">
        <v>2239</v>
      </c>
      <c r="S2506" s="17"/>
      <c r="T2506" s="17"/>
      <c r="U2506" s="17"/>
    </row>
    <row r="2507" spans="17:21" x14ac:dyDescent="0.25">
      <c r="Q2507" s="17" t="s">
        <v>3264</v>
      </c>
      <c r="R2507" s="17" t="s">
        <v>2239</v>
      </c>
      <c r="S2507" s="17"/>
      <c r="T2507" s="17"/>
      <c r="U2507" s="17"/>
    </row>
    <row r="2508" spans="17:21" x14ac:dyDescent="0.25">
      <c r="Q2508" s="17" t="s">
        <v>3265</v>
      </c>
      <c r="R2508" s="17" t="s">
        <v>2239</v>
      </c>
      <c r="S2508" s="17"/>
      <c r="T2508" s="17"/>
      <c r="U2508" s="17"/>
    </row>
    <row r="2509" spans="17:21" x14ac:dyDescent="0.25">
      <c r="Q2509" s="17" t="s">
        <v>3266</v>
      </c>
      <c r="R2509" s="17" t="s">
        <v>2239</v>
      </c>
      <c r="S2509" s="17"/>
      <c r="T2509" s="17"/>
      <c r="U2509" s="17"/>
    </row>
    <row r="2510" spans="17:21" x14ac:dyDescent="0.25">
      <c r="Q2510" s="17" t="s">
        <v>3267</v>
      </c>
      <c r="R2510" s="17" t="s">
        <v>2239</v>
      </c>
      <c r="S2510" s="17"/>
      <c r="T2510" s="17"/>
      <c r="U2510" s="17"/>
    </row>
    <row r="2511" spans="17:21" x14ac:dyDescent="0.25">
      <c r="Q2511" s="17" t="s">
        <v>3268</v>
      </c>
      <c r="R2511" s="17" t="s">
        <v>2239</v>
      </c>
      <c r="S2511" s="17"/>
      <c r="T2511" s="17"/>
      <c r="U2511" s="17"/>
    </row>
    <row r="2512" spans="17:21" x14ac:dyDescent="0.25">
      <c r="Q2512" s="17" t="s">
        <v>3269</v>
      </c>
      <c r="R2512" s="17" t="s">
        <v>2239</v>
      </c>
      <c r="S2512" s="17"/>
      <c r="T2512" s="17"/>
      <c r="U2512" s="17"/>
    </row>
    <row r="2513" spans="17:21" x14ac:dyDescent="0.25">
      <c r="Q2513" s="17" t="s">
        <v>3270</v>
      </c>
      <c r="R2513" s="17" t="s">
        <v>86</v>
      </c>
      <c r="S2513" s="17"/>
      <c r="T2513" s="17"/>
      <c r="U2513" s="17"/>
    </row>
    <row r="2514" spans="17:21" x14ac:dyDescent="0.25">
      <c r="Q2514" s="17" t="s">
        <v>3271</v>
      </c>
      <c r="R2514" s="17" t="s">
        <v>2912</v>
      </c>
      <c r="S2514" s="17"/>
      <c r="T2514" s="17"/>
      <c r="U2514" s="17"/>
    </row>
    <row r="2515" spans="17:21" x14ac:dyDescent="0.25">
      <c r="Q2515" s="17" t="s">
        <v>3272</v>
      </c>
      <c r="R2515" s="17" t="s">
        <v>2912</v>
      </c>
      <c r="S2515" s="17"/>
      <c r="T2515" s="17"/>
      <c r="U2515" s="17"/>
    </row>
    <row r="2516" spans="17:21" x14ac:dyDescent="0.25">
      <c r="Q2516" s="17" t="s">
        <v>3273</v>
      </c>
      <c r="R2516" s="17" t="s">
        <v>2912</v>
      </c>
      <c r="S2516" s="17"/>
      <c r="T2516" s="17"/>
      <c r="U2516" s="17"/>
    </row>
    <row r="2517" spans="17:21" x14ac:dyDescent="0.25">
      <c r="Q2517" s="17" t="s">
        <v>3274</v>
      </c>
      <c r="R2517" s="17" t="s">
        <v>2912</v>
      </c>
      <c r="S2517" s="17"/>
      <c r="T2517" s="17"/>
      <c r="U2517" s="17"/>
    </row>
    <row r="2518" spans="17:21" x14ac:dyDescent="0.25">
      <c r="Q2518" s="17" t="s">
        <v>3275</v>
      </c>
      <c r="R2518" s="17" t="s">
        <v>2912</v>
      </c>
      <c r="S2518" s="17"/>
      <c r="T2518" s="17"/>
      <c r="U2518" s="17"/>
    </row>
    <row r="2519" spans="17:21" x14ac:dyDescent="0.25">
      <c r="Q2519" s="17" t="s">
        <v>3276</v>
      </c>
      <c r="R2519" s="17" t="s">
        <v>2912</v>
      </c>
      <c r="S2519" s="17"/>
      <c r="T2519" s="17"/>
      <c r="U2519" s="17"/>
    </row>
    <row r="2520" spans="17:21" x14ac:dyDescent="0.25">
      <c r="Q2520" s="17" t="s">
        <v>3277</v>
      </c>
      <c r="R2520" s="17" t="s">
        <v>2912</v>
      </c>
      <c r="S2520" s="17"/>
      <c r="T2520" s="17"/>
      <c r="U2520" s="17"/>
    </row>
    <row r="2521" spans="17:21" x14ac:dyDescent="0.25">
      <c r="Q2521" s="17" t="s">
        <v>3278</v>
      </c>
      <c r="R2521" s="17" t="s">
        <v>2912</v>
      </c>
      <c r="S2521" s="17"/>
      <c r="T2521" s="17"/>
      <c r="U2521" s="17"/>
    </row>
    <row r="2522" spans="17:21" x14ac:dyDescent="0.25">
      <c r="Q2522" s="17" t="s">
        <v>3279</v>
      </c>
      <c r="R2522" s="17" t="s">
        <v>2912</v>
      </c>
      <c r="S2522" s="17"/>
      <c r="T2522" s="17"/>
      <c r="U2522" s="17"/>
    </row>
    <row r="2523" spans="17:21" x14ac:dyDescent="0.25">
      <c r="Q2523" s="17" t="s">
        <v>3280</v>
      </c>
      <c r="R2523" s="17" t="s">
        <v>2912</v>
      </c>
      <c r="S2523" s="17"/>
      <c r="T2523" s="17"/>
      <c r="U2523" s="17"/>
    </row>
    <row r="2524" spans="17:21" x14ac:dyDescent="0.25">
      <c r="Q2524" s="17" t="s">
        <v>3281</v>
      </c>
      <c r="R2524" s="17" t="s">
        <v>2912</v>
      </c>
      <c r="S2524" s="17"/>
      <c r="T2524" s="17"/>
      <c r="U2524" s="17"/>
    </row>
    <row r="2525" spans="17:21" x14ac:dyDescent="0.25">
      <c r="Q2525" s="17" t="s">
        <v>3282</v>
      </c>
      <c r="R2525" s="17" t="s">
        <v>2912</v>
      </c>
      <c r="S2525" s="17"/>
      <c r="T2525" s="17"/>
      <c r="U2525" s="17"/>
    </row>
    <row r="2526" spans="17:21" x14ac:dyDescent="0.25">
      <c r="Q2526" s="17" t="s">
        <v>3283</v>
      </c>
      <c r="R2526" s="17" t="s">
        <v>2912</v>
      </c>
      <c r="S2526" s="17"/>
      <c r="T2526" s="17"/>
      <c r="U2526" s="17"/>
    </row>
    <row r="2527" spans="17:21" x14ac:dyDescent="0.25">
      <c r="Q2527" s="17" t="s">
        <v>3284</v>
      </c>
      <c r="R2527" s="17" t="s">
        <v>2239</v>
      </c>
      <c r="S2527" s="17"/>
      <c r="T2527" s="17"/>
      <c r="U2527" s="17"/>
    </row>
    <row r="2528" spans="17:21" x14ac:dyDescent="0.25">
      <c r="Q2528" s="17" t="s">
        <v>3285</v>
      </c>
      <c r="R2528" s="17" t="s">
        <v>2239</v>
      </c>
      <c r="S2528" s="17"/>
      <c r="T2528" s="17"/>
      <c r="U2528" s="17"/>
    </row>
    <row r="2529" spans="17:21" x14ac:dyDescent="0.25">
      <c r="Q2529" s="17" t="s">
        <v>3286</v>
      </c>
      <c r="R2529" s="17" t="s">
        <v>2912</v>
      </c>
      <c r="S2529" s="17"/>
      <c r="T2529" s="17"/>
      <c r="U2529" s="17"/>
    </row>
    <row r="2530" spans="17:21" x14ac:dyDescent="0.25">
      <c r="Q2530" s="17" t="s">
        <v>3287</v>
      </c>
      <c r="R2530" s="17" t="s">
        <v>2912</v>
      </c>
      <c r="S2530" s="17"/>
      <c r="T2530" s="17"/>
      <c r="U2530" s="17"/>
    </row>
    <row r="2531" spans="17:21" x14ac:dyDescent="0.25">
      <c r="Q2531" s="17" t="s">
        <v>3288</v>
      </c>
      <c r="R2531" s="17" t="s">
        <v>2239</v>
      </c>
      <c r="S2531" s="17"/>
      <c r="T2531" s="17"/>
      <c r="U2531" s="17"/>
    </row>
    <row r="2532" spans="17:21" x14ac:dyDescent="0.25">
      <c r="Q2532" s="17" t="s">
        <v>3289</v>
      </c>
      <c r="R2532" s="17" t="s">
        <v>2239</v>
      </c>
      <c r="S2532" s="17"/>
      <c r="T2532" s="17"/>
      <c r="U2532" s="17"/>
    </row>
    <row r="2533" spans="17:21" x14ac:dyDescent="0.25">
      <c r="Q2533" s="17" t="s">
        <v>3290</v>
      </c>
      <c r="R2533" s="17" t="s">
        <v>2239</v>
      </c>
      <c r="S2533" s="17"/>
      <c r="T2533" s="17"/>
      <c r="U2533" s="17"/>
    </row>
    <row r="2534" spans="17:21" x14ac:dyDescent="0.25">
      <c r="Q2534" s="17" t="s">
        <v>3291</v>
      </c>
      <c r="R2534" s="17" t="s">
        <v>2239</v>
      </c>
      <c r="S2534" s="17"/>
      <c r="T2534" s="17"/>
      <c r="U2534" s="17"/>
    </row>
    <row r="2535" spans="17:21" x14ac:dyDescent="0.25">
      <c r="Q2535" s="17" t="s">
        <v>3292</v>
      </c>
      <c r="R2535" s="17" t="s">
        <v>2239</v>
      </c>
      <c r="S2535" s="17"/>
      <c r="T2535" s="17"/>
      <c r="U2535" s="17"/>
    </row>
    <row r="2536" spans="17:21" x14ac:dyDescent="0.25">
      <c r="Q2536" s="17" t="s">
        <v>3293</v>
      </c>
      <c r="R2536" s="17" t="s">
        <v>2239</v>
      </c>
      <c r="S2536" s="17"/>
      <c r="T2536" s="17"/>
      <c r="U2536" s="17"/>
    </row>
    <row r="2537" spans="17:21" x14ac:dyDescent="0.25">
      <c r="Q2537" s="17" t="s">
        <v>3294</v>
      </c>
      <c r="R2537" s="17" t="s">
        <v>2239</v>
      </c>
      <c r="S2537" s="17"/>
      <c r="T2537" s="17"/>
      <c r="U2537" s="17"/>
    </row>
    <row r="2538" spans="17:21" x14ac:dyDescent="0.25">
      <c r="Q2538" s="17" t="s">
        <v>3295</v>
      </c>
      <c r="R2538" s="17" t="s">
        <v>2239</v>
      </c>
      <c r="S2538" s="17"/>
      <c r="T2538" s="17"/>
      <c r="U2538" s="17"/>
    </row>
    <row r="2539" spans="17:21" x14ac:dyDescent="0.25">
      <c r="Q2539" s="17" t="s">
        <v>3296</v>
      </c>
      <c r="R2539" s="17" t="s">
        <v>2239</v>
      </c>
      <c r="S2539" s="17"/>
      <c r="T2539" s="17"/>
      <c r="U2539" s="17"/>
    </row>
    <row r="2540" spans="17:21" x14ac:dyDescent="0.25">
      <c r="Q2540" s="17" t="s">
        <v>3297</v>
      </c>
      <c r="R2540" s="17" t="s">
        <v>2912</v>
      </c>
      <c r="S2540" s="17"/>
      <c r="T2540" s="17"/>
      <c r="U2540" s="17"/>
    </row>
    <row r="2541" spans="17:21" x14ac:dyDescent="0.25">
      <c r="Q2541" s="17" t="s">
        <v>3298</v>
      </c>
      <c r="R2541" s="17" t="s">
        <v>2912</v>
      </c>
      <c r="S2541" s="17"/>
      <c r="T2541" s="17"/>
      <c r="U2541" s="17"/>
    </row>
    <row r="2542" spans="17:21" x14ac:dyDescent="0.25">
      <c r="Q2542" s="17" t="s">
        <v>3299</v>
      </c>
      <c r="R2542" s="17" t="s">
        <v>2912</v>
      </c>
      <c r="S2542" s="17"/>
      <c r="T2542" s="17"/>
      <c r="U2542" s="17"/>
    </row>
    <row r="2543" spans="17:21" x14ac:dyDescent="0.25">
      <c r="Q2543" s="17" t="s">
        <v>3300</v>
      </c>
      <c r="R2543" s="17" t="s">
        <v>2912</v>
      </c>
      <c r="S2543" s="17"/>
      <c r="T2543" s="17"/>
      <c r="U2543" s="17"/>
    </row>
    <row r="2544" spans="17:21" x14ac:dyDescent="0.25">
      <c r="Q2544" s="17" t="s">
        <v>3301</v>
      </c>
      <c r="R2544" s="17" t="s">
        <v>2912</v>
      </c>
      <c r="S2544" s="17"/>
      <c r="T2544" s="17"/>
      <c r="U2544" s="17"/>
    </row>
    <row r="2545" spans="17:21" x14ac:dyDescent="0.25">
      <c r="Q2545" s="17" t="s">
        <v>3302</v>
      </c>
      <c r="R2545" s="17" t="s">
        <v>2912</v>
      </c>
      <c r="S2545" s="17"/>
      <c r="T2545" s="17"/>
      <c r="U2545" s="17"/>
    </row>
    <row r="2546" spans="17:21" x14ac:dyDescent="0.25">
      <c r="Q2546" s="17" t="s">
        <v>3303</v>
      </c>
      <c r="R2546" s="17" t="s">
        <v>2912</v>
      </c>
      <c r="S2546" s="17"/>
      <c r="T2546" s="17"/>
      <c r="U2546" s="17"/>
    </row>
    <row r="2547" spans="17:21" x14ac:dyDescent="0.25">
      <c r="Q2547" s="17" t="s">
        <v>3304</v>
      </c>
      <c r="R2547" s="17" t="s">
        <v>2912</v>
      </c>
      <c r="S2547" s="17"/>
      <c r="T2547" s="17"/>
      <c r="U2547" s="17"/>
    </row>
    <row r="2548" spans="17:21" x14ac:dyDescent="0.25">
      <c r="Q2548" s="17" t="s">
        <v>3305</v>
      </c>
      <c r="R2548" s="17" t="s">
        <v>2912</v>
      </c>
      <c r="S2548" s="17"/>
      <c r="T2548" s="17"/>
      <c r="U2548" s="17"/>
    </row>
    <row r="2549" spans="17:21" x14ac:dyDescent="0.25">
      <c r="Q2549" s="17" t="s">
        <v>3306</v>
      </c>
      <c r="R2549" s="17" t="s">
        <v>2912</v>
      </c>
      <c r="S2549" s="17"/>
      <c r="T2549" s="17"/>
      <c r="U2549" s="17"/>
    </row>
    <row r="2550" spans="17:21" x14ac:dyDescent="0.25">
      <c r="Q2550" s="17" t="s">
        <v>3307</v>
      </c>
      <c r="R2550" s="17" t="s">
        <v>2912</v>
      </c>
      <c r="S2550" s="17"/>
      <c r="T2550" s="17"/>
      <c r="U2550" s="17"/>
    </row>
    <row r="2551" spans="17:21" x14ac:dyDescent="0.25">
      <c r="Q2551" s="17" t="s">
        <v>3308</v>
      </c>
      <c r="R2551" s="17" t="s">
        <v>2912</v>
      </c>
      <c r="S2551" s="17"/>
      <c r="T2551" s="17"/>
      <c r="U2551" s="17"/>
    </row>
    <row r="2552" spans="17:21" x14ac:dyDescent="0.25">
      <c r="Q2552" s="17" t="s">
        <v>3309</v>
      </c>
      <c r="R2552" s="17" t="s">
        <v>2239</v>
      </c>
      <c r="S2552" s="17"/>
      <c r="T2552" s="17"/>
      <c r="U2552" s="17"/>
    </row>
    <row r="2553" spans="17:21" x14ac:dyDescent="0.25">
      <c r="Q2553" s="17" t="s">
        <v>3310</v>
      </c>
      <c r="R2553" s="17" t="s">
        <v>2239</v>
      </c>
      <c r="S2553" s="17"/>
      <c r="T2553" s="17"/>
      <c r="U2553" s="17"/>
    </row>
    <row r="2554" spans="17:21" x14ac:dyDescent="0.25">
      <c r="Q2554" s="17" t="s">
        <v>3311</v>
      </c>
      <c r="R2554" s="17" t="s">
        <v>2239</v>
      </c>
      <c r="S2554" s="17"/>
      <c r="T2554" s="17"/>
      <c r="U2554" s="17"/>
    </row>
    <row r="2555" spans="17:21" x14ac:dyDescent="0.25">
      <c r="Q2555" s="17" t="s">
        <v>3312</v>
      </c>
      <c r="R2555" s="17" t="s">
        <v>2239</v>
      </c>
      <c r="S2555" s="17"/>
      <c r="T2555" s="17"/>
      <c r="U2555" s="17"/>
    </row>
    <row r="2556" spans="17:21" x14ac:dyDescent="0.25">
      <c r="Q2556" s="17" t="s">
        <v>3313</v>
      </c>
      <c r="R2556" s="17" t="s">
        <v>2239</v>
      </c>
      <c r="S2556" s="17"/>
      <c r="T2556" s="17"/>
      <c r="U2556" s="17"/>
    </row>
    <row r="2557" spans="17:21" x14ac:dyDescent="0.25">
      <c r="Q2557" s="17" t="s">
        <v>3314</v>
      </c>
      <c r="R2557" s="17" t="s">
        <v>2239</v>
      </c>
      <c r="S2557" s="17"/>
      <c r="T2557" s="17"/>
      <c r="U2557" s="17"/>
    </row>
    <row r="2558" spans="17:21" x14ac:dyDescent="0.25">
      <c r="Q2558" s="17" t="s">
        <v>3315</v>
      </c>
      <c r="R2558" s="17" t="s">
        <v>2239</v>
      </c>
      <c r="S2558" s="17"/>
      <c r="T2558" s="17"/>
      <c r="U2558" s="17"/>
    </row>
    <row r="2559" spans="17:21" x14ac:dyDescent="0.25">
      <c r="Q2559" s="17" t="s">
        <v>3316</v>
      </c>
      <c r="R2559" s="17" t="s">
        <v>2239</v>
      </c>
      <c r="S2559" s="17"/>
      <c r="T2559" s="17"/>
      <c r="U2559" s="17"/>
    </row>
    <row r="2560" spans="17:21" x14ac:dyDescent="0.25">
      <c r="Q2560" s="17" t="s">
        <v>3317</v>
      </c>
      <c r="R2560" s="17" t="s">
        <v>2239</v>
      </c>
      <c r="S2560" s="17"/>
      <c r="T2560" s="17"/>
      <c r="U2560" s="17"/>
    </row>
    <row r="2561" spans="17:21" x14ac:dyDescent="0.25">
      <c r="Q2561" s="17" t="s">
        <v>3318</v>
      </c>
      <c r="R2561" s="17" t="s">
        <v>2239</v>
      </c>
      <c r="S2561" s="17"/>
      <c r="T2561" s="17"/>
      <c r="U2561" s="17"/>
    </row>
    <row r="2562" spans="17:21" x14ac:dyDescent="0.25">
      <c r="Q2562" s="17" t="s">
        <v>3319</v>
      </c>
      <c r="R2562" s="17" t="s">
        <v>2239</v>
      </c>
      <c r="S2562" s="17"/>
      <c r="T2562" s="17"/>
      <c r="U2562" s="17"/>
    </row>
    <row r="2563" spans="17:21" x14ac:dyDescent="0.25">
      <c r="Q2563" s="17" t="s">
        <v>3320</v>
      </c>
      <c r="R2563" s="17" t="s">
        <v>2239</v>
      </c>
      <c r="S2563" s="17"/>
      <c r="T2563" s="17"/>
      <c r="U2563" s="17"/>
    </row>
    <row r="2564" spans="17:21" x14ac:dyDescent="0.25">
      <c r="Q2564" s="17" t="s">
        <v>3321</v>
      </c>
      <c r="R2564" s="17" t="s">
        <v>2239</v>
      </c>
      <c r="S2564" s="17"/>
      <c r="T2564" s="17"/>
      <c r="U2564" s="17"/>
    </row>
    <row r="2565" spans="17:21" x14ac:dyDescent="0.25">
      <c r="Q2565" s="17" t="s">
        <v>3322</v>
      </c>
      <c r="R2565" s="17" t="s">
        <v>2239</v>
      </c>
      <c r="S2565" s="17"/>
      <c r="T2565" s="17"/>
      <c r="U2565" s="17"/>
    </row>
    <row r="2566" spans="17:21" x14ac:dyDescent="0.25">
      <c r="Q2566" s="17" t="s">
        <v>3323</v>
      </c>
      <c r="R2566" s="17" t="s">
        <v>2239</v>
      </c>
      <c r="S2566" s="17"/>
      <c r="T2566" s="17"/>
      <c r="U2566" s="17"/>
    </row>
    <row r="2567" spans="17:21" x14ac:dyDescent="0.25">
      <c r="Q2567" s="17" t="s">
        <v>3324</v>
      </c>
      <c r="R2567" s="17" t="s">
        <v>2239</v>
      </c>
      <c r="S2567" s="17"/>
      <c r="T2567" s="17"/>
      <c r="U2567" s="17"/>
    </row>
    <row r="2568" spans="17:21" x14ac:dyDescent="0.25">
      <c r="Q2568" s="17" t="s">
        <v>3325</v>
      </c>
      <c r="R2568" s="17" t="s">
        <v>2239</v>
      </c>
      <c r="S2568" s="17"/>
      <c r="T2568" s="17"/>
      <c r="U2568" s="17"/>
    </row>
    <row r="2569" spans="17:21" x14ac:dyDescent="0.25">
      <c r="Q2569" s="17" t="s">
        <v>3326</v>
      </c>
      <c r="R2569" s="17" t="s">
        <v>2239</v>
      </c>
      <c r="S2569" s="17"/>
      <c r="T2569" s="17"/>
      <c r="U2569" s="17"/>
    </row>
    <row r="2570" spans="17:21" x14ac:dyDescent="0.25">
      <c r="Q2570" s="17" t="s">
        <v>3327</v>
      </c>
      <c r="R2570" s="17" t="s">
        <v>2239</v>
      </c>
      <c r="S2570" s="17"/>
      <c r="T2570" s="17"/>
      <c r="U2570" s="17"/>
    </row>
    <row r="2571" spans="17:21" x14ac:dyDescent="0.25">
      <c r="Q2571" s="17" t="s">
        <v>3328</v>
      </c>
      <c r="R2571" s="17" t="s">
        <v>2239</v>
      </c>
      <c r="S2571" s="17"/>
      <c r="T2571" s="17"/>
      <c r="U2571" s="17"/>
    </row>
    <row r="2572" spans="17:21" x14ac:dyDescent="0.25">
      <c r="Q2572" s="17" t="s">
        <v>3329</v>
      </c>
      <c r="R2572" s="17" t="s">
        <v>2239</v>
      </c>
      <c r="S2572" s="17"/>
      <c r="T2572" s="17"/>
      <c r="U2572" s="17"/>
    </row>
    <row r="2573" spans="17:21" x14ac:dyDescent="0.25">
      <c r="Q2573" s="17" t="s">
        <v>3330</v>
      </c>
      <c r="R2573" s="17" t="s">
        <v>2239</v>
      </c>
      <c r="S2573" s="17"/>
      <c r="T2573" s="17"/>
      <c r="U2573" s="17"/>
    </row>
    <row r="2574" spans="17:21" x14ac:dyDescent="0.25">
      <c r="Q2574" s="17" t="s">
        <v>3331</v>
      </c>
      <c r="R2574" s="17" t="s">
        <v>2912</v>
      </c>
      <c r="S2574" s="17"/>
      <c r="T2574" s="17"/>
      <c r="U2574" s="17"/>
    </row>
    <row r="2575" spans="17:21" x14ac:dyDescent="0.25">
      <c r="Q2575" s="17" t="s">
        <v>3332</v>
      </c>
      <c r="R2575" s="17" t="s">
        <v>2912</v>
      </c>
      <c r="S2575" s="17"/>
      <c r="T2575" s="17"/>
      <c r="U2575" s="17"/>
    </row>
    <row r="2576" spans="17:21" x14ac:dyDescent="0.25">
      <c r="Q2576" s="17" t="s">
        <v>3333</v>
      </c>
      <c r="R2576" s="17" t="s">
        <v>2912</v>
      </c>
      <c r="S2576" s="17"/>
      <c r="T2576" s="17"/>
      <c r="U2576" s="17"/>
    </row>
    <row r="2577" spans="17:21" x14ac:dyDescent="0.25">
      <c r="Q2577" s="17" t="s">
        <v>3334</v>
      </c>
      <c r="R2577" s="17" t="s">
        <v>2912</v>
      </c>
      <c r="S2577" s="17"/>
      <c r="T2577" s="17"/>
      <c r="U2577" s="17"/>
    </row>
    <row r="2578" spans="17:21" x14ac:dyDescent="0.25">
      <c r="Q2578" s="17" t="s">
        <v>3335</v>
      </c>
      <c r="R2578" s="17" t="s">
        <v>2912</v>
      </c>
      <c r="S2578" s="17"/>
      <c r="T2578" s="17"/>
      <c r="U2578" s="17"/>
    </row>
    <row r="2579" spans="17:21" x14ac:dyDescent="0.25">
      <c r="Q2579" s="17" t="s">
        <v>3336</v>
      </c>
      <c r="R2579" s="17" t="s">
        <v>2239</v>
      </c>
      <c r="S2579" s="17"/>
      <c r="T2579" s="17"/>
      <c r="U2579" s="17"/>
    </row>
    <row r="2580" spans="17:21" x14ac:dyDescent="0.25">
      <c r="Q2580" s="17" t="s">
        <v>3337</v>
      </c>
      <c r="R2580" s="17" t="s">
        <v>2912</v>
      </c>
      <c r="S2580" s="17"/>
      <c r="T2580" s="17"/>
      <c r="U2580" s="17"/>
    </row>
    <row r="2581" spans="17:21" x14ac:dyDescent="0.25">
      <c r="Q2581" s="17" t="s">
        <v>3338</v>
      </c>
      <c r="R2581" s="17" t="s">
        <v>2912</v>
      </c>
      <c r="S2581" s="17"/>
      <c r="T2581" s="17"/>
      <c r="U2581" s="17"/>
    </row>
    <row r="2582" spans="17:21" x14ac:dyDescent="0.25">
      <c r="Q2582" s="17" t="s">
        <v>3339</v>
      </c>
      <c r="R2582" s="17" t="s">
        <v>2912</v>
      </c>
      <c r="S2582" s="17"/>
      <c r="T2582" s="17"/>
      <c r="U2582" s="17"/>
    </row>
    <row r="2583" spans="17:21" x14ac:dyDescent="0.25">
      <c r="Q2583" s="17" t="s">
        <v>3340</v>
      </c>
      <c r="R2583" s="17" t="s">
        <v>2912</v>
      </c>
      <c r="S2583" s="17"/>
      <c r="T2583" s="17"/>
      <c r="U2583" s="17"/>
    </row>
    <row r="2584" spans="17:21" x14ac:dyDescent="0.25">
      <c r="Q2584" s="17" t="s">
        <v>3341</v>
      </c>
      <c r="R2584" s="17" t="s">
        <v>2912</v>
      </c>
      <c r="S2584" s="17"/>
      <c r="T2584" s="17"/>
      <c r="U2584" s="17"/>
    </row>
    <row r="2585" spans="17:21" x14ac:dyDescent="0.25">
      <c r="Q2585" s="17" t="s">
        <v>3342</v>
      </c>
      <c r="R2585" s="17" t="s">
        <v>2912</v>
      </c>
      <c r="S2585" s="17"/>
      <c r="T2585" s="17"/>
      <c r="U2585" s="17"/>
    </row>
    <row r="2586" spans="17:21" x14ac:dyDescent="0.25">
      <c r="Q2586" s="17" t="s">
        <v>3343</v>
      </c>
      <c r="R2586" s="17" t="s">
        <v>2912</v>
      </c>
      <c r="S2586" s="17"/>
      <c r="T2586" s="17"/>
      <c r="U2586" s="17"/>
    </row>
    <row r="2587" spans="17:21" x14ac:dyDescent="0.25">
      <c r="Q2587" s="17" t="s">
        <v>3344</v>
      </c>
      <c r="R2587" s="17" t="s">
        <v>2239</v>
      </c>
      <c r="S2587" s="17"/>
      <c r="T2587" s="17"/>
      <c r="U2587" s="17"/>
    </row>
    <row r="2588" spans="17:21" x14ac:dyDescent="0.25">
      <c r="Q2588" s="17" t="s">
        <v>3345</v>
      </c>
      <c r="R2588" s="17" t="s">
        <v>2239</v>
      </c>
      <c r="S2588" s="17"/>
      <c r="T2588" s="17"/>
      <c r="U2588" s="17"/>
    </row>
    <row r="2589" spans="17:21" x14ac:dyDescent="0.25">
      <c r="Q2589" s="17" t="s">
        <v>3346</v>
      </c>
      <c r="R2589" s="17" t="s">
        <v>2239</v>
      </c>
      <c r="S2589" s="17"/>
      <c r="T2589" s="17"/>
      <c r="U2589" s="17"/>
    </row>
    <row r="2590" spans="17:21" x14ac:dyDescent="0.25">
      <c r="Q2590" s="17" t="s">
        <v>3347</v>
      </c>
      <c r="R2590" s="17" t="s">
        <v>2239</v>
      </c>
      <c r="S2590" s="17"/>
      <c r="T2590" s="17"/>
      <c r="U2590" s="17"/>
    </row>
    <row r="2591" spans="17:21" x14ac:dyDescent="0.25">
      <c r="Q2591" s="17" t="s">
        <v>3348</v>
      </c>
      <c r="R2591" s="17" t="s">
        <v>2239</v>
      </c>
      <c r="S2591" s="17"/>
      <c r="T2591" s="17"/>
      <c r="U2591" s="17"/>
    </row>
    <row r="2592" spans="17:21" x14ac:dyDescent="0.25">
      <c r="Q2592" s="17" t="s">
        <v>3349</v>
      </c>
      <c r="R2592" s="17" t="s">
        <v>2912</v>
      </c>
      <c r="S2592" s="17"/>
      <c r="T2592" s="17"/>
      <c r="U2592" s="17"/>
    </row>
    <row r="2593" spans="17:21" x14ac:dyDescent="0.25">
      <c r="Q2593" s="17" t="s">
        <v>3350</v>
      </c>
      <c r="R2593" s="17" t="s">
        <v>2239</v>
      </c>
      <c r="S2593" s="17"/>
      <c r="T2593" s="17"/>
      <c r="U2593" s="17"/>
    </row>
    <row r="2594" spans="17:21" x14ac:dyDescent="0.25">
      <c r="Q2594" s="17" t="s">
        <v>3351</v>
      </c>
      <c r="R2594" s="17" t="s">
        <v>2239</v>
      </c>
      <c r="S2594" s="17"/>
      <c r="T2594" s="17"/>
      <c r="U2594" s="17"/>
    </row>
    <row r="2595" spans="17:21" x14ac:dyDescent="0.25">
      <c r="Q2595" s="17" t="s">
        <v>3352</v>
      </c>
      <c r="R2595" s="17" t="s">
        <v>2239</v>
      </c>
      <c r="S2595" s="17"/>
      <c r="T2595" s="17"/>
      <c r="U2595" s="17"/>
    </row>
    <row r="2596" spans="17:21" x14ac:dyDescent="0.25">
      <c r="Q2596" s="17" t="s">
        <v>3353</v>
      </c>
      <c r="R2596" s="17" t="s">
        <v>2239</v>
      </c>
      <c r="S2596" s="17"/>
      <c r="T2596" s="17"/>
      <c r="U2596" s="17"/>
    </row>
    <row r="2597" spans="17:21" x14ac:dyDescent="0.25">
      <c r="Q2597" s="17" t="s">
        <v>3354</v>
      </c>
      <c r="R2597" s="17" t="s">
        <v>2239</v>
      </c>
      <c r="S2597" s="17"/>
      <c r="T2597" s="17"/>
      <c r="U2597" s="17"/>
    </row>
    <row r="2598" spans="17:21" x14ac:dyDescent="0.25">
      <c r="Q2598" s="17" t="s">
        <v>3355</v>
      </c>
      <c r="R2598" s="17" t="s">
        <v>2239</v>
      </c>
      <c r="S2598" s="17"/>
      <c r="T2598" s="17"/>
      <c r="U2598" s="17"/>
    </row>
    <row r="2599" spans="17:21" x14ac:dyDescent="0.25">
      <c r="Q2599" s="17" t="s">
        <v>3356</v>
      </c>
      <c r="R2599" s="17" t="s">
        <v>2239</v>
      </c>
      <c r="S2599" s="17"/>
      <c r="T2599" s="17"/>
      <c r="U2599" s="17"/>
    </row>
    <row r="2600" spans="17:21" x14ac:dyDescent="0.25">
      <c r="Q2600" s="17" t="s">
        <v>3357</v>
      </c>
      <c r="R2600" s="17" t="s">
        <v>2239</v>
      </c>
      <c r="S2600" s="17"/>
      <c r="T2600" s="17"/>
      <c r="U2600" s="17"/>
    </row>
    <row r="2601" spans="17:21" x14ac:dyDescent="0.25">
      <c r="Q2601" s="17" t="s">
        <v>3358</v>
      </c>
      <c r="R2601" s="17" t="s">
        <v>2239</v>
      </c>
      <c r="S2601" s="17"/>
      <c r="T2601" s="17"/>
      <c r="U2601" s="17"/>
    </row>
    <row r="2602" spans="17:21" x14ac:dyDescent="0.25">
      <c r="Q2602" s="17" t="s">
        <v>3359</v>
      </c>
      <c r="R2602" s="17" t="s">
        <v>2239</v>
      </c>
      <c r="S2602" s="17"/>
      <c r="T2602" s="17"/>
      <c r="U2602" s="17"/>
    </row>
    <row r="2603" spans="17:21" x14ac:dyDescent="0.25">
      <c r="Q2603" s="17" t="s">
        <v>3360</v>
      </c>
      <c r="R2603" s="17" t="s">
        <v>2239</v>
      </c>
      <c r="S2603" s="17"/>
      <c r="T2603" s="17"/>
      <c r="U2603" s="17"/>
    </row>
    <row r="2604" spans="17:21" x14ac:dyDescent="0.25">
      <c r="Q2604" s="17" t="s">
        <v>3361</v>
      </c>
      <c r="R2604" s="17" t="s">
        <v>2239</v>
      </c>
      <c r="S2604" s="17"/>
      <c r="T2604" s="17"/>
      <c r="U2604" s="17"/>
    </row>
    <row r="2605" spans="17:21" x14ac:dyDescent="0.25">
      <c r="Q2605" s="17" t="s">
        <v>3362</v>
      </c>
      <c r="R2605" s="17" t="s">
        <v>2239</v>
      </c>
      <c r="S2605" s="17"/>
      <c r="T2605" s="17"/>
      <c r="U2605" s="17"/>
    </row>
    <row r="2606" spans="17:21" x14ac:dyDescent="0.25">
      <c r="Q2606" s="17" t="s">
        <v>3363</v>
      </c>
      <c r="R2606" s="17" t="s">
        <v>2239</v>
      </c>
      <c r="S2606" s="17"/>
      <c r="T2606" s="17"/>
      <c r="U2606" s="17"/>
    </row>
    <row r="2607" spans="17:21" x14ac:dyDescent="0.25">
      <c r="Q2607" s="17" t="s">
        <v>3364</v>
      </c>
      <c r="R2607" s="17" t="s">
        <v>2239</v>
      </c>
      <c r="S2607" s="17"/>
      <c r="T2607" s="17"/>
      <c r="U2607" s="17"/>
    </row>
    <row r="2608" spans="17:21" x14ac:dyDescent="0.25">
      <c r="Q2608" s="17" t="s">
        <v>3365</v>
      </c>
      <c r="R2608" s="17" t="s">
        <v>2239</v>
      </c>
      <c r="S2608" s="17"/>
      <c r="T2608" s="17"/>
      <c r="U2608" s="17"/>
    </row>
    <row r="2609" spans="17:21" x14ac:dyDescent="0.25">
      <c r="Q2609" s="17" t="s">
        <v>3366</v>
      </c>
      <c r="R2609" s="17" t="s">
        <v>2239</v>
      </c>
      <c r="S2609" s="17"/>
      <c r="T2609" s="17"/>
      <c r="U2609" s="17"/>
    </row>
    <row r="2610" spans="17:21" x14ac:dyDescent="0.25">
      <c r="Q2610" s="17" t="s">
        <v>3367</v>
      </c>
      <c r="R2610" s="17" t="s">
        <v>2239</v>
      </c>
      <c r="S2610" s="17"/>
      <c r="T2610" s="17"/>
      <c r="U2610" s="17"/>
    </row>
    <row r="2611" spans="17:21" x14ac:dyDescent="0.25">
      <c r="Q2611" s="17" t="s">
        <v>3368</v>
      </c>
      <c r="R2611" s="17" t="s">
        <v>2239</v>
      </c>
      <c r="S2611" s="17"/>
      <c r="T2611" s="17"/>
      <c r="U2611" s="17"/>
    </row>
    <row r="2612" spans="17:21" x14ac:dyDescent="0.25">
      <c r="Q2612" s="17" t="s">
        <v>3369</v>
      </c>
      <c r="R2612" s="17" t="s">
        <v>2239</v>
      </c>
      <c r="S2612" s="17"/>
      <c r="T2612" s="17"/>
      <c r="U2612" s="17"/>
    </row>
    <row r="2613" spans="17:21" x14ac:dyDescent="0.25">
      <c r="Q2613" s="17" t="s">
        <v>3370</v>
      </c>
      <c r="R2613" s="17" t="s">
        <v>2239</v>
      </c>
      <c r="S2613" s="17"/>
      <c r="T2613" s="17"/>
      <c r="U2613" s="17"/>
    </row>
    <row r="2614" spans="17:21" x14ac:dyDescent="0.25">
      <c r="Q2614" s="17" t="s">
        <v>3371</v>
      </c>
      <c r="R2614" s="17" t="s">
        <v>2239</v>
      </c>
      <c r="S2614" s="17"/>
      <c r="T2614" s="17"/>
      <c r="U2614" s="17"/>
    </row>
    <row r="2615" spans="17:21" x14ac:dyDescent="0.25">
      <c r="Q2615" s="17" t="s">
        <v>3372</v>
      </c>
      <c r="R2615" s="17" t="s">
        <v>2239</v>
      </c>
      <c r="S2615" s="17"/>
      <c r="T2615" s="17"/>
      <c r="U2615" s="17"/>
    </row>
    <row r="2616" spans="17:21" x14ac:dyDescent="0.25">
      <c r="Q2616" s="17" t="s">
        <v>3373</v>
      </c>
      <c r="R2616" s="17" t="s">
        <v>2239</v>
      </c>
      <c r="S2616" s="17"/>
      <c r="T2616" s="17"/>
      <c r="U2616" s="17"/>
    </row>
    <row r="2617" spans="17:21" x14ac:dyDescent="0.25">
      <c r="Q2617" s="17" t="s">
        <v>3374</v>
      </c>
      <c r="R2617" s="17" t="s">
        <v>2912</v>
      </c>
      <c r="S2617" s="17"/>
      <c r="T2617" s="17"/>
      <c r="U2617" s="17"/>
    </row>
    <row r="2618" spans="17:21" x14ac:dyDescent="0.25">
      <c r="Q2618" s="17" t="s">
        <v>3375</v>
      </c>
      <c r="R2618" s="17" t="s">
        <v>2912</v>
      </c>
      <c r="S2618" s="17"/>
      <c r="T2618" s="17"/>
      <c r="U2618" s="17"/>
    </row>
    <row r="2619" spans="17:21" x14ac:dyDescent="0.25">
      <c r="Q2619" s="17" t="s">
        <v>3376</v>
      </c>
      <c r="R2619" s="17" t="s">
        <v>2912</v>
      </c>
      <c r="S2619" s="17"/>
      <c r="T2619" s="17"/>
      <c r="U2619" s="17"/>
    </row>
    <row r="2620" spans="17:21" x14ac:dyDescent="0.25">
      <c r="Q2620" s="17" t="s">
        <v>3377</v>
      </c>
      <c r="R2620" s="17" t="s">
        <v>2912</v>
      </c>
      <c r="S2620" s="17"/>
      <c r="T2620" s="17"/>
      <c r="U2620" s="17"/>
    </row>
    <row r="2621" spans="17:21" x14ac:dyDescent="0.25">
      <c r="Q2621" s="17" t="s">
        <v>3378</v>
      </c>
      <c r="R2621" s="17" t="s">
        <v>2912</v>
      </c>
      <c r="S2621" s="17"/>
      <c r="T2621" s="17"/>
      <c r="U2621" s="17"/>
    </row>
    <row r="2622" spans="17:21" x14ac:dyDescent="0.25">
      <c r="Q2622" s="17" t="s">
        <v>3379</v>
      </c>
      <c r="R2622" s="17" t="s">
        <v>2912</v>
      </c>
      <c r="S2622" s="17"/>
      <c r="T2622" s="17"/>
      <c r="U2622" s="17"/>
    </row>
    <row r="2623" spans="17:21" x14ac:dyDescent="0.25">
      <c r="Q2623" s="17" t="s">
        <v>3380</v>
      </c>
      <c r="R2623" s="17" t="s">
        <v>2912</v>
      </c>
      <c r="S2623" s="17"/>
      <c r="T2623" s="17"/>
      <c r="U2623" s="17"/>
    </row>
    <row r="2624" spans="17:21" x14ac:dyDescent="0.25">
      <c r="Q2624" s="17" t="s">
        <v>3381</v>
      </c>
      <c r="R2624" s="17" t="s">
        <v>2912</v>
      </c>
      <c r="S2624" s="17"/>
      <c r="T2624" s="17"/>
      <c r="U2624" s="17"/>
    </row>
    <row r="2625" spans="17:21" x14ac:dyDescent="0.25">
      <c r="Q2625" s="17" t="s">
        <v>3382</v>
      </c>
      <c r="R2625" s="17" t="s">
        <v>2912</v>
      </c>
      <c r="S2625" s="17"/>
      <c r="T2625" s="17"/>
      <c r="U2625" s="17"/>
    </row>
    <row r="2626" spans="17:21" x14ac:dyDescent="0.25">
      <c r="Q2626" s="17" t="s">
        <v>3383</v>
      </c>
      <c r="R2626" s="17" t="s">
        <v>86</v>
      </c>
      <c r="S2626" s="17"/>
      <c r="T2626" s="17"/>
      <c r="U2626" s="17"/>
    </row>
    <row r="2627" spans="17:21" x14ac:dyDescent="0.25">
      <c r="Q2627" s="17" t="s">
        <v>3384</v>
      </c>
      <c r="R2627" s="17" t="s">
        <v>86</v>
      </c>
      <c r="S2627" s="17"/>
      <c r="T2627" s="17"/>
      <c r="U2627" s="17"/>
    </row>
    <row r="2628" spans="17:21" x14ac:dyDescent="0.25">
      <c r="Q2628" s="17" t="s">
        <v>3385</v>
      </c>
      <c r="R2628" s="17" t="s">
        <v>2912</v>
      </c>
      <c r="S2628" s="17"/>
      <c r="T2628" s="17"/>
      <c r="U2628" s="17"/>
    </row>
    <row r="2629" spans="17:21" x14ac:dyDescent="0.25">
      <c r="Q2629" s="17" t="s">
        <v>3386</v>
      </c>
      <c r="R2629" s="17" t="s">
        <v>2912</v>
      </c>
      <c r="S2629" s="17"/>
      <c r="T2629" s="17"/>
      <c r="U2629" s="17"/>
    </row>
    <row r="2630" spans="17:21" x14ac:dyDescent="0.25">
      <c r="Q2630" s="17" t="s">
        <v>3387</v>
      </c>
      <c r="R2630" s="17" t="s">
        <v>2912</v>
      </c>
      <c r="S2630" s="17"/>
      <c r="T2630" s="17"/>
      <c r="U2630" s="17"/>
    </row>
    <row r="2631" spans="17:21" x14ac:dyDescent="0.25">
      <c r="Q2631" s="17" t="s">
        <v>3388</v>
      </c>
      <c r="R2631" s="17" t="s">
        <v>2912</v>
      </c>
      <c r="S2631" s="17"/>
      <c r="T2631" s="17"/>
      <c r="U2631" s="17"/>
    </row>
    <row r="2632" spans="17:21" x14ac:dyDescent="0.25">
      <c r="Q2632" s="17" t="s">
        <v>3389</v>
      </c>
      <c r="R2632" s="17" t="s">
        <v>2912</v>
      </c>
      <c r="S2632" s="17"/>
      <c r="T2632" s="17"/>
      <c r="U2632" s="17"/>
    </row>
    <row r="2633" spans="17:21" x14ac:dyDescent="0.25">
      <c r="Q2633" s="17" t="s">
        <v>3390</v>
      </c>
      <c r="R2633" s="17" t="s">
        <v>2912</v>
      </c>
      <c r="S2633" s="17"/>
      <c r="T2633" s="17"/>
      <c r="U2633" s="17"/>
    </row>
    <row r="2634" spans="17:21" x14ac:dyDescent="0.25">
      <c r="Q2634" s="17" t="s">
        <v>3391</v>
      </c>
      <c r="R2634" s="17" t="s">
        <v>2912</v>
      </c>
      <c r="S2634" s="17"/>
      <c r="T2634" s="17"/>
      <c r="U2634" s="17"/>
    </row>
    <row r="2635" spans="17:21" x14ac:dyDescent="0.25">
      <c r="Q2635" s="17" t="s">
        <v>3392</v>
      </c>
      <c r="R2635" s="17" t="s">
        <v>2912</v>
      </c>
      <c r="S2635" s="17"/>
      <c r="T2635" s="17"/>
      <c r="U2635" s="17"/>
    </row>
    <row r="2636" spans="17:21" x14ac:dyDescent="0.25">
      <c r="Q2636" s="17" t="s">
        <v>3393</v>
      </c>
      <c r="R2636" s="17" t="s">
        <v>2912</v>
      </c>
      <c r="S2636" s="17"/>
      <c r="T2636" s="17"/>
      <c r="U2636" s="17"/>
    </row>
    <row r="2637" spans="17:21" x14ac:dyDescent="0.25">
      <c r="Q2637" s="17" t="s">
        <v>3394</v>
      </c>
      <c r="R2637" s="17" t="s">
        <v>2912</v>
      </c>
      <c r="S2637" s="17"/>
      <c r="T2637" s="17"/>
      <c r="U2637" s="17"/>
    </row>
    <row r="2638" spans="17:21" x14ac:dyDescent="0.25">
      <c r="Q2638" s="17" t="s">
        <v>3395</v>
      </c>
      <c r="R2638" s="17" t="s">
        <v>2912</v>
      </c>
      <c r="S2638" s="17"/>
      <c r="T2638" s="17"/>
      <c r="U2638" s="17"/>
    </row>
    <row r="2639" spans="17:21" x14ac:dyDescent="0.25">
      <c r="Q2639" s="17" t="s">
        <v>3396</v>
      </c>
      <c r="R2639" s="17" t="s">
        <v>2912</v>
      </c>
      <c r="S2639" s="17"/>
      <c r="T2639" s="17"/>
      <c r="U2639" s="17"/>
    </row>
    <row r="2640" spans="17:21" x14ac:dyDescent="0.25">
      <c r="Q2640" s="17" t="s">
        <v>3397</v>
      </c>
      <c r="R2640" s="17" t="s">
        <v>2912</v>
      </c>
      <c r="S2640" s="17"/>
      <c r="T2640" s="17"/>
      <c r="U2640" s="17"/>
    </row>
    <row r="2641" spans="17:21" x14ac:dyDescent="0.25">
      <c r="Q2641" s="17" t="s">
        <v>3398</v>
      </c>
      <c r="R2641" s="17" t="s">
        <v>2912</v>
      </c>
      <c r="S2641" s="17"/>
      <c r="T2641" s="17"/>
      <c r="U2641" s="17"/>
    </row>
    <row r="2642" spans="17:21" x14ac:dyDescent="0.25">
      <c r="Q2642" s="17" t="s">
        <v>3399</v>
      </c>
      <c r="R2642" s="17" t="s">
        <v>2912</v>
      </c>
      <c r="S2642" s="17"/>
      <c r="T2642" s="17"/>
      <c r="U2642" s="17"/>
    </row>
    <row r="2643" spans="17:21" x14ac:dyDescent="0.25">
      <c r="Q2643" s="17" t="s">
        <v>3400</v>
      </c>
      <c r="R2643" s="17" t="s">
        <v>2912</v>
      </c>
      <c r="S2643" s="17"/>
      <c r="T2643" s="17"/>
      <c r="U2643" s="17"/>
    </row>
    <row r="2644" spans="17:21" x14ac:dyDescent="0.25">
      <c r="Q2644" s="17" t="s">
        <v>3401</v>
      </c>
      <c r="R2644" s="17" t="s">
        <v>2912</v>
      </c>
      <c r="S2644" s="17"/>
      <c r="T2644" s="17"/>
      <c r="U2644" s="17"/>
    </row>
    <row r="2645" spans="17:21" x14ac:dyDescent="0.25">
      <c r="Q2645" s="17" t="s">
        <v>3402</v>
      </c>
      <c r="R2645" s="17" t="s">
        <v>2912</v>
      </c>
      <c r="S2645" s="17"/>
      <c r="T2645" s="17"/>
      <c r="U2645" s="17"/>
    </row>
    <row r="2646" spans="17:21" x14ac:dyDescent="0.25">
      <c r="Q2646" s="17" t="s">
        <v>3403</v>
      </c>
      <c r="R2646" s="17" t="s">
        <v>2912</v>
      </c>
      <c r="S2646" s="17"/>
      <c r="T2646" s="17"/>
      <c r="U2646" s="17"/>
    </row>
    <row r="2647" spans="17:21" x14ac:dyDescent="0.25">
      <c r="Q2647" s="17" t="s">
        <v>3404</v>
      </c>
      <c r="R2647" s="17" t="s">
        <v>2912</v>
      </c>
      <c r="S2647" s="17"/>
      <c r="T2647" s="17"/>
      <c r="U2647" s="17"/>
    </row>
    <row r="2648" spans="17:21" x14ac:dyDescent="0.25">
      <c r="Q2648" s="17" t="s">
        <v>3405</v>
      </c>
      <c r="R2648" s="17" t="s">
        <v>2912</v>
      </c>
      <c r="S2648" s="17"/>
      <c r="T2648" s="17"/>
      <c r="U2648" s="17"/>
    </row>
    <row r="2649" spans="17:21" x14ac:dyDescent="0.25">
      <c r="Q2649" s="17" t="s">
        <v>3406</v>
      </c>
      <c r="R2649" s="17" t="s">
        <v>2912</v>
      </c>
      <c r="S2649" s="17"/>
      <c r="T2649" s="17"/>
      <c r="U2649" s="17"/>
    </row>
    <row r="2650" spans="17:21" x14ac:dyDescent="0.25">
      <c r="Q2650" s="17" t="s">
        <v>3407</v>
      </c>
      <c r="R2650" s="17" t="s">
        <v>2912</v>
      </c>
      <c r="S2650" s="17"/>
      <c r="T2650" s="17"/>
      <c r="U2650" s="17"/>
    </row>
    <row r="2651" spans="17:21" x14ac:dyDescent="0.25">
      <c r="Q2651" s="17" t="s">
        <v>3408</v>
      </c>
      <c r="R2651" s="17" t="s">
        <v>2912</v>
      </c>
      <c r="S2651" s="17"/>
      <c r="T2651" s="17"/>
      <c r="U2651" s="17"/>
    </row>
    <row r="2652" spans="17:21" x14ac:dyDescent="0.25">
      <c r="Q2652" s="17" t="s">
        <v>3409</v>
      </c>
      <c r="R2652" s="17" t="s">
        <v>2912</v>
      </c>
      <c r="S2652" s="17"/>
      <c r="T2652" s="17"/>
      <c r="U2652" s="17"/>
    </row>
    <row r="2653" spans="17:21" x14ac:dyDescent="0.25">
      <c r="Q2653" s="17" t="s">
        <v>3410</v>
      </c>
      <c r="R2653" s="17" t="s">
        <v>2912</v>
      </c>
      <c r="S2653" s="17"/>
      <c r="T2653" s="17"/>
      <c r="U2653" s="17"/>
    </row>
    <row r="2654" spans="17:21" x14ac:dyDescent="0.25">
      <c r="Q2654" s="17" t="s">
        <v>3411</v>
      </c>
      <c r="R2654" s="17" t="s">
        <v>2912</v>
      </c>
      <c r="S2654" s="17"/>
      <c r="T2654" s="17"/>
      <c r="U2654" s="17"/>
    </row>
    <row r="2655" spans="17:21" x14ac:dyDescent="0.25">
      <c r="Q2655" s="17" t="s">
        <v>3412</v>
      </c>
      <c r="R2655" s="17" t="s">
        <v>2912</v>
      </c>
      <c r="S2655" s="17"/>
      <c r="T2655" s="17"/>
      <c r="U2655" s="17"/>
    </row>
    <row r="2656" spans="17:21" x14ac:dyDescent="0.25">
      <c r="Q2656" s="17" t="s">
        <v>3413</v>
      </c>
      <c r="R2656" s="17" t="s">
        <v>2912</v>
      </c>
      <c r="S2656" s="17"/>
      <c r="T2656" s="17"/>
      <c r="U2656" s="17"/>
    </row>
    <row r="2657" spans="17:21" x14ac:dyDescent="0.25">
      <c r="Q2657" s="17" t="s">
        <v>3414</v>
      </c>
      <c r="R2657" s="17" t="s">
        <v>2912</v>
      </c>
      <c r="S2657" s="17"/>
      <c r="T2657" s="17"/>
      <c r="U2657" s="17"/>
    </row>
    <row r="2658" spans="17:21" x14ac:dyDescent="0.25">
      <c r="Q2658" s="17" t="s">
        <v>3415</v>
      </c>
      <c r="R2658" s="17" t="s">
        <v>2912</v>
      </c>
      <c r="S2658" s="17"/>
      <c r="T2658" s="17"/>
      <c r="U2658" s="17"/>
    </row>
    <row r="2659" spans="17:21" x14ac:dyDescent="0.25">
      <c r="Q2659" s="17" t="s">
        <v>3416</v>
      </c>
      <c r="R2659" s="17" t="s">
        <v>2912</v>
      </c>
      <c r="S2659" s="17"/>
      <c r="T2659" s="17"/>
      <c r="U2659" s="17"/>
    </row>
    <row r="2660" spans="17:21" x14ac:dyDescent="0.25">
      <c r="Q2660" s="17" t="s">
        <v>3417</v>
      </c>
      <c r="R2660" s="17" t="s">
        <v>86</v>
      </c>
      <c r="S2660" s="17"/>
      <c r="T2660" s="17"/>
      <c r="U2660" s="17"/>
    </row>
    <row r="2661" spans="17:21" x14ac:dyDescent="0.25">
      <c r="Q2661" s="17" t="s">
        <v>3418</v>
      </c>
      <c r="R2661" s="17" t="s">
        <v>86</v>
      </c>
      <c r="S2661" s="17"/>
      <c r="T2661" s="17"/>
      <c r="U2661" s="17"/>
    </row>
    <row r="2662" spans="17:21" x14ac:dyDescent="0.25">
      <c r="Q2662" s="17" t="s">
        <v>3419</v>
      </c>
      <c r="R2662" s="17" t="s">
        <v>86</v>
      </c>
      <c r="S2662" s="17"/>
      <c r="T2662" s="17"/>
      <c r="U2662" s="17"/>
    </row>
    <row r="2663" spans="17:21" x14ac:dyDescent="0.25">
      <c r="Q2663" s="17" t="s">
        <v>3420</v>
      </c>
      <c r="R2663" s="17" t="s">
        <v>86</v>
      </c>
      <c r="S2663" s="17"/>
      <c r="T2663" s="17"/>
      <c r="U2663" s="17"/>
    </row>
    <row r="2664" spans="17:21" x14ac:dyDescent="0.25">
      <c r="Q2664" s="17" t="s">
        <v>3421</v>
      </c>
      <c r="R2664" s="17" t="s">
        <v>86</v>
      </c>
      <c r="S2664" s="17"/>
      <c r="T2664" s="17"/>
      <c r="U2664" s="17"/>
    </row>
    <row r="2665" spans="17:21" x14ac:dyDescent="0.25">
      <c r="Q2665" s="17" t="s">
        <v>3422</v>
      </c>
      <c r="R2665" s="17" t="s">
        <v>2912</v>
      </c>
      <c r="S2665" s="17"/>
      <c r="T2665" s="17"/>
      <c r="U2665" s="17"/>
    </row>
    <row r="2666" spans="17:21" x14ac:dyDescent="0.25">
      <c r="Q2666" s="17" t="s">
        <v>3423</v>
      </c>
      <c r="R2666" s="17" t="s">
        <v>2912</v>
      </c>
      <c r="S2666" s="17"/>
      <c r="T2666" s="17"/>
      <c r="U2666" s="17"/>
    </row>
    <row r="2667" spans="17:21" x14ac:dyDescent="0.25">
      <c r="Q2667" s="17" t="s">
        <v>3424</v>
      </c>
      <c r="R2667" s="17" t="s">
        <v>2912</v>
      </c>
      <c r="S2667" s="17"/>
      <c r="T2667" s="17"/>
      <c r="U2667" s="17"/>
    </row>
    <row r="2668" spans="17:21" x14ac:dyDescent="0.25">
      <c r="Q2668" s="17" t="s">
        <v>3425</v>
      </c>
      <c r="R2668" s="17" t="s">
        <v>2912</v>
      </c>
      <c r="S2668" s="17"/>
      <c r="T2668" s="17"/>
      <c r="U2668" s="17"/>
    </row>
    <row r="2669" spans="17:21" x14ac:dyDescent="0.25">
      <c r="Q2669" s="17" t="s">
        <v>3426</v>
      </c>
      <c r="R2669" s="17" t="s">
        <v>2912</v>
      </c>
      <c r="S2669" s="17"/>
      <c r="T2669" s="17"/>
      <c r="U2669" s="17"/>
    </row>
    <row r="2670" spans="17:21" x14ac:dyDescent="0.25">
      <c r="Q2670" s="17" t="s">
        <v>3427</v>
      </c>
      <c r="R2670" s="17" t="s">
        <v>2912</v>
      </c>
      <c r="S2670" s="17"/>
      <c r="T2670" s="17"/>
      <c r="U2670" s="17"/>
    </row>
    <row r="2671" spans="17:21" x14ac:dyDescent="0.25">
      <c r="Q2671" s="17" t="s">
        <v>3428</v>
      </c>
      <c r="R2671" s="17" t="s">
        <v>2912</v>
      </c>
      <c r="S2671" s="17"/>
      <c r="T2671" s="17"/>
      <c r="U2671" s="17"/>
    </row>
    <row r="2672" spans="17:21" x14ac:dyDescent="0.25">
      <c r="Q2672" s="17" t="s">
        <v>3429</v>
      </c>
      <c r="R2672" s="17" t="s">
        <v>2912</v>
      </c>
      <c r="S2672" s="17"/>
      <c r="T2672" s="17"/>
      <c r="U2672" s="17"/>
    </row>
    <row r="2673" spans="17:21" x14ac:dyDescent="0.25">
      <c r="Q2673" s="17" t="s">
        <v>3430</v>
      </c>
      <c r="R2673" s="17" t="s">
        <v>2912</v>
      </c>
      <c r="S2673" s="17"/>
      <c r="T2673" s="17"/>
      <c r="U2673" s="17"/>
    </row>
    <row r="2674" spans="17:21" x14ac:dyDescent="0.25">
      <c r="Q2674" s="17" t="s">
        <v>3431</v>
      </c>
      <c r="R2674" s="17" t="s">
        <v>2912</v>
      </c>
      <c r="S2674" s="17"/>
      <c r="T2674" s="17"/>
      <c r="U2674" s="17"/>
    </row>
    <row r="2675" spans="17:21" x14ac:dyDescent="0.25">
      <c r="Q2675" s="17" t="s">
        <v>3432</v>
      </c>
      <c r="R2675" s="17" t="s">
        <v>2912</v>
      </c>
      <c r="S2675" s="17"/>
      <c r="T2675" s="17"/>
      <c r="U2675" s="17"/>
    </row>
    <row r="2676" spans="17:21" x14ac:dyDescent="0.25">
      <c r="Q2676" s="17" t="s">
        <v>3433</v>
      </c>
      <c r="R2676" s="17" t="s">
        <v>2912</v>
      </c>
      <c r="S2676" s="17"/>
      <c r="T2676" s="17"/>
      <c r="U2676" s="17"/>
    </row>
    <row r="2677" spans="17:21" x14ac:dyDescent="0.25">
      <c r="Q2677" s="17" t="s">
        <v>3434</v>
      </c>
      <c r="R2677" s="17" t="s">
        <v>2912</v>
      </c>
      <c r="S2677" s="17"/>
      <c r="T2677" s="17"/>
      <c r="U2677" s="17"/>
    </row>
    <row r="2678" spans="17:21" x14ac:dyDescent="0.25">
      <c r="Q2678" s="17" t="s">
        <v>3435</v>
      </c>
      <c r="R2678" s="17" t="s">
        <v>2912</v>
      </c>
      <c r="S2678" s="17"/>
      <c r="T2678" s="17"/>
      <c r="U2678" s="17"/>
    </row>
    <row r="2679" spans="17:21" x14ac:dyDescent="0.25">
      <c r="Q2679" s="17" t="s">
        <v>3436</v>
      </c>
      <c r="R2679" s="17" t="s">
        <v>2912</v>
      </c>
      <c r="S2679" s="17"/>
      <c r="T2679" s="17"/>
      <c r="U2679" s="17"/>
    </row>
    <row r="2680" spans="17:21" x14ac:dyDescent="0.25">
      <c r="Q2680" s="17" t="s">
        <v>3437</v>
      </c>
      <c r="R2680" s="17" t="s">
        <v>2912</v>
      </c>
      <c r="S2680" s="17"/>
      <c r="T2680" s="17"/>
      <c r="U2680" s="17"/>
    </row>
    <row r="2681" spans="17:21" x14ac:dyDescent="0.25">
      <c r="Q2681" s="17" t="s">
        <v>3438</v>
      </c>
      <c r="R2681" s="17" t="s">
        <v>2912</v>
      </c>
      <c r="S2681" s="17"/>
      <c r="T2681" s="17"/>
      <c r="U2681" s="17"/>
    </row>
    <row r="2682" spans="17:21" x14ac:dyDescent="0.25">
      <c r="Q2682" s="17" t="s">
        <v>3439</v>
      </c>
      <c r="R2682" s="17" t="s">
        <v>2912</v>
      </c>
      <c r="S2682" s="17"/>
      <c r="T2682" s="17"/>
      <c r="U2682" s="17"/>
    </row>
    <row r="2683" spans="17:21" x14ac:dyDescent="0.25">
      <c r="Q2683" s="17" t="s">
        <v>3440</v>
      </c>
      <c r="R2683" s="17" t="s">
        <v>2912</v>
      </c>
      <c r="S2683" s="17"/>
      <c r="T2683" s="17"/>
      <c r="U2683" s="17"/>
    </row>
    <row r="2684" spans="17:21" x14ac:dyDescent="0.25">
      <c r="Q2684" s="17" t="s">
        <v>3441</v>
      </c>
      <c r="R2684" s="17" t="s">
        <v>2912</v>
      </c>
      <c r="S2684" s="17"/>
      <c r="T2684" s="17"/>
      <c r="U2684" s="17"/>
    </row>
    <row r="2685" spans="17:21" x14ac:dyDescent="0.25">
      <c r="Q2685" s="17" t="s">
        <v>3442</v>
      </c>
      <c r="R2685" s="17" t="s">
        <v>2912</v>
      </c>
      <c r="S2685" s="17"/>
      <c r="T2685" s="17"/>
      <c r="U2685" s="17"/>
    </row>
    <row r="2686" spans="17:21" x14ac:dyDescent="0.25">
      <c r="Q2686" s="17" t="s">
        <v>3443</v>
      </c>
      <c r="R2686" s="17" t="s">
        <v>2912</v>
      </c>
      <c r="S2686" s="17"/>
      <c r="T2686" s="17"/>
      <c r="U2686" s="17"/>
    </row>
    <row r="2687" spans="17:21" x14ac:dyDescent="0.25">
      <c r="Q2687" s="17" t="s">
        <v>3444</v>
      </c>
      <c r="R2687" s="17" t="s">
        <v>2912</v>
      </c>
      <c r="S2687" s="17"/>
      <c r="T2687" s="17"/>
      <c r="U2687" s="17"/>
    </row>
    <row r="2688" spans="17:21" x14ac:dyDescent="0.25">
      <c r="Q2688" s="17" t="s">
        <v>3445</v>
      </c>
      <c r="R2688" s="17" t="s">
        <v>2912</v>
      </c>
      <c r="S2688" s="17"/>
      <c r="T2688" s="17"/>
      <c r="U2688" s="17"/>
    </row>
    <row r="2689" spans="17:21" x14ac:dyDescent="0.25">
      <c r="Q2689" s="17" t="s">
        <v>3446</v>
      </c>
      <c r="R2689" s="17" t="s">
        <v>2912</v>
      </c>
      <c r="S2689" s="17"/>
      <c r="T2689" s="17"/>
      <c r="U2689" s="17"/>
    </row>
    <row r="2690" spans="17:21" x14ac:dyDescent="0.25">
      <c r="Q2690" s="17" t="s">
        <v>3447</v>
      </c>
      <c r="R2690" s="17" t="s">
        <v>2830</v>
      </c>
      <c r="S2690" s="17"/>
      <c r="T2690" s="17"/>
      <c r="U2690" s="17"/>
    </row>
    <row r="2691" spans="17:21" x14ac:dyDescent="0.25">
      <c r="Q2691" s="17" t="s">
        <v>3448</v>
      </c>
      <c r="R2691" s="17" t="s">
        <v>2830</v>
      </c>
      <c r="S2691" s="17"/>
      <c r="T2691" s="17"/>
      <c r="U2691" s="17"/>
    </row>
    <row r="2692" spans="17:21" x14ac:dyDescent="0.25">
      <c r="Q2692" s="17" t="s">
        <v>3449</v>
      </c>
      <c r="R2692" s="17" t="s">
        <v>2912</v>
      </c>
      <c r="S2692" s="17"/>
      <c r="T2692" s="17"/>
      <c r="U2692" s="17"/>
    </row>
    <row r="2693" spans="17:21" x14ac:dyDescent="0.25">
      <c r="Q2693" s="17" t="s">
        <v>3450</v>
      </c>
      <c r="R2693" s="17" t="s">
        <v>2830</v>
      </c>
      <c r="S2693" s="17"/>
      <c r="T2693" s="17"/>
      <c r="U2693" s="17"/>
    </row>
    <row r="2694" spans="17:21" x14ac:dyDescent="0.25">
      <c r="Q2694" s="17" t="s">
        <v>3451</v>
      </c>
      <c r="R2694" s="17" t="s">
        <v>2830</v>
      </c>
      <c r="S2694" s="17"/>
      <c r="T2694" s="17"/>
      <c r="U2694" s="17"/>
    </row>
    <row r="2695" spans="17:21" x14ac:dyDescent="0.25">
      <c r="Q2695" s="17" t="s">
        <v>3452</v>
      </c>
      <c r="R2695" s="17" t="s">
        <v>2912</v>
      </c>
      <c r="S2695" s="17"/>
      <c r="T2695" s="17"/>
      <c r="U2695" s="17"/>
    </row>
    <row r="2696" spans="17:21" x14ac:dyDescent="0.25">
      <c r="Q2696" s="17" t="s">
        <v>3453</v>
      </c>
      <c r="R2696" s="17" t="s">
        <v>2912</v>
      </c>
      <c r="S2696" s="17"/>
      <c r="T2696" s="17"/>
      <c r="U2696" s="17"/>
    </row>
    <row r="2697" spans="17:21" x14ac:dyDescent="0.25">
      <c r="Q2697" s="17" t="s">
        <v>3454</v>
      </c>
      <c r="R2697" s="17" t="s">
        <v>2912</v>
      </c>
      <c r="S2697" s="17"/>
      <c r="T2697" s="17"/>
      <c r="U2697" s="17"/>
    </row>
    <row r="2698" spans="17:21" x14ac:dyDescent="0.25">
      <c r="Q2698" s="17" t="s">
        <v>3455</v>
      </c>
      <c r="R2698" s="17" t="s">
        <v>2912</v>
      </c>
      <c r="S2698" s="17"/>
      <c r="T2698" s="17"/>
      <c r="U2698" s="17"/>
    </row>
    <row r="2699" spans="17:21" x14ac:dyDescent="0.25">
      <c r="Q2699" s="17" t="s">
        <v>3456</v>
      </c>
      <c r="R2699" s="17" t="s">
        <v>2830</v>
      </c>
      <c r="S2699" s="17"/>
      <c r="T2699" s="17"/>
      <c r="U2699" s="17"/>
    </row>
    <row r="2700" spans="17:21" x14ac:dyDescent="0.25">
      <c r="Q2700" s="17" t="s">
        <v>3457</v>
      </c>
      <c r="R2700" s="17" t="s">
        <v>2830</v>
      </c>
      <c r="S2700" s="17"/>
      <c r="T2700" s="17"/>
      <c r="U2700" s="17"/>
    </row>
    <row r="2701" spans="17:21" x14ac:dyDescent="0.25">
      <c r="Q2701" s="17" t="s">
        <v>3458</v>
      </c>
      <c r="R2701" s="17" t="s">
        <v>2830</v>
      </c>
      <c r="S2701" s="17"/>
      <c r="T2701" s="17"/>
      <c r="U2701" s="17"/>
    </row>
    <row r="2702" spans="17:21" x14ac:dyDescent="0.25">
      <c r="Q2702" s="17" t="s">
        <v>3459</v>
      </c>
      <c r="R2702" s="17" t="s">
        <v>2830</v>
      </c>
      <c r="S2702" s="17"/>
      <c r="T2702" s="17"/>
      <c r="U2702" s="17"/>
    </row>
    <row r="2703" spans="17:21" x14ac:dyDescent="0.25">
      <c r="Q2703" s="17" t="s">
        <v>3460</v>
      </c>
      <c r="R2703" s="17" t="s">
        <v>2912</v>
      </c>
      <c r="S2703" s="17"/>
      <c r="T2703" s="17"/>
      <c r="U2703" s="17"/>
    </row>
    <row r="2704" spans="17:21" x14ac:dyDescent="0.25">
      <c r="Q2704" s="17" t="s">
        <v>3461</v>
      </c>
      <c r="R2704" s="17" t="s">
        <v>2912</v>
      </c>
      <c r="S2704" s="17"/>
      <c r="T2704" s="17"/>
      <c r="U2704" s="17"/>
    </row>
    <row r="2705" spans="17:21" x14ac:dyDescent="0.25">
      <c r="Q2705" s="17" t="s">
        <v>3462</v>
      </c>
      <c r="R2705" s="17" t="s">
        <v>2912</v>
      </c>
      <c r="S2705" s="17"/>
      <c r="T2705" s="17"/>
      <c r="U2705" s="17"/>
    </row>
    <row r="2706" spans="17:21" x14ac:dyDescent="0.25">
      <c r="Q2706" s="17" t="s">
        <v>3463</v>
      </c>
      <c r="R2706" s="17" t="s">
        <v>2912</v>
      </c>
      <c r="S2706" s="17"/>
      <c r="T2706" s="17"/>
      <c r="U2706" s="17"/>
    </row>
    <row r="2707" spans="17:21" x14ac:dyDescent="0.25">
      <c r="Q2707" s="17" t="s">
        <v>3464</v>
      </c>
      <c r="R2707" s="17" t="s">
        <v>2912</v>
      </c>
      <c r="S2707" s="17"/>
      <c r="T2707" s="17"/>
      <c r="U2707" s="17"/>
    </row>
    <row r="2708" spans="17:21" x14ac:dyDescent="0.25">
      <c r="Q2708" s="17" t="s">
        <v>3465</v>
      </c>
      <c r="R2708" s="17" t="s">
        <v>2912</v>
      </c>
      <c r="S2708" s="17"/>
      <c r="T2708" s="17"/>
      <c r="U2708" s="17"/>
    </row>
    <row r="2709" spans="17:21" x14ac:dyDescent="0.25">
      <c r="Q2709" s="17" t="s">
        <v>3466</v>
      </c>
      <c r="R2709" s="17" t="s">
        <v>2912</v>
      </c>
      <c r="S2709" s="17"/>
      <c r="T2709" s="17"/>
      <c r="U2709" s="17"/>
    </row>
    <row r="2710" spans="17:21" x14ac:dyDescent="0.25">
      <c r="Q2710" s="17" t="s">
        <v>3467</v>
      </c>
      <c r="R2710" s="17" t="s">
        <v>2912</v>
      </c>
      <c r="S2710" s="17"/>
      <c r="T2710" s="17"/>
      <c r="U2710" s="17"/>
    </row>
    <row r="2711" spans="17:21" x14ac:dyDescent="0.25">
      <c r="Q2711" s="17" t="s">
        <v>3468</v>
      </c>
      <c r="R2711" s="17" t="s">
        <v>2912</v>
      </c>
      <c r="S2711" s="17"/>
      <c r="T2711" s="17"/>
      <c r="U2711" s="17"/>
    </row>
    <row r="2712" spans="17:21" x14ac:dyDescent="0.25">
      <c r="Q2712" s="17" t="s">
        <v>3469</v>
      </c>
      <c r="R2712" s="17" t="s">
        <v>2912</v>
      </c>
      <c r="S2712" s="17"/>
      <c r="T2712" s="17"/>
      <c r="U2712" s="17"/>
    </row>
    <row r="2713" spans="17:21" x14ac:dyDescent="0.25">
      <c r="Q2713" s="17" t="s">
        <v>3470</v>
      </c>
      <c r="R2713" s="17" t="s">
        <v>2912</v>
      </c>
      <c r="S2713" s="17"/>
      <c r="T2713" s="17"/>
      <c r="U2713" s="17"/>
    </row>
    <row r="2714" spans="17:21" x14ac:dyDescent="0.25">
      <c r="Q2714" s="17" t="s">
        <v>3471</v>
      </c>
      <c r="R2714" s="17" t="s">
        <v>2912</v>
      </c>
      <c r="S2714" s="17"/>
      <c r="T2714" s="17"/>
      <c r="U2714" s="17"/>
    </row>
    <row r="2715" spans="17:21" x14ac:dyDescent="0.25">
      <c r="Q2715" s="17" t="s">
        <v>3472</v>
      </c>
      <c r="R2715" s="17" t="s">
        <v>2912</v>
      </c>
      <c r="S2715" s="17"/>
      <c r="T2715" s="17"/>
      <c r="U2715" s="17"/>
    </row>
    <row r="2716" spans="17:21" x14ac:dyDescent="0.25">
      <c r="Q2716" s="17" t="s">
        <v>3473</v>
      </c>
      <c r="R2716" s="17" t="s">
        <v>2912</v>
      </c>
      <c r="S2716" s="17"/>
      <c r="T2716" s="17"/>
      <c r="U2716" s="17"/>
    </row>
    <row r="2717" spans="17:21" x14ac:dyDescent="0.25">
      <c r="Q2717" s="17" t="s">
        <v>3474</v>
      </c>
      <c r="R2717" s="17" t="s">
        <v>2912</v>
      </c>
      <c r="S2717" s="17"/>
      <c r="T2717" s="17"/>
      <c r="U2717" s="17"/>
    </row>
    <row r="2718" spans="17:21" x14ac:dyDescent="0.25">
      <c r="Q2718" s="17" t="s">
        <v>3475</v>
      </c>
      <c r="R2718" s="17" t="s">
        <v>2912</v>
      </c>
      <c r="S2718" s="17"/>
      <c r="T2718" s="17"/>
      <c r="U2718" s="17"/>
    </row>
    <row r="2719" spans="17:21" x14ac:dyDescent="0.25">
      <c r="Q2719" s="17" t="s">
        <v>3476</v>
      </c>
      <c r="R2719" s="17" t="s">
        <v>2912</v>
      </c>
      <c r="S2719" s="17"/>
      <c r="T2719" s="17"/>
      <c r="U2719" s="17"/>
    </row>
    <row r="2720" spans="17:21" x14ac:dyDescent="0.25">
      <c r="Q2720" s="17" t="s">
        <v>3477</v>
      </c>
      <c r="R2720" s="17" t="s">
        <v>2912</v>
      </c>
      <c r="S2720" s="17"/>
      <c r="T2720" s="17"/>
      <c r="U2720" s="17"/>
    </row>
    <row r="2721" spans="17:21" x14ac:dyDescent="0.25">
      <c r="Q2721" s="17" t="s">
        <v>3478</v>
      </c>
      <c r="R2721" s="17" t="s">
        <v>2912</v>
      </c>
      <c r="S2721" s="17"/>
      <c r="T2721" s="17"/>
      <c r="U2721" s="17"/>
    </row>
    <row r="2722" spans="17:21" x14ac:dyDescent="0.25">
      <c r="Q2722" s="17" t="s">
        <v>3479</v>
      </c>
      <c r="R2722" s="17" t="s">
        <v>2912</v>
      </c>
      <c r="S2722" s="17"/>
      <c r="T2722" s="17"/>
      <c r="U2722" s="17"/>
    </row>
    <row r="2723" spans="17:21" x14ac:dyDescent="0.25">
      <c r="Q2723" s="17" t="s">
        <v>3480</v>
      </c>
      <c r="R2723" s="17" t="s">
        <v>2912</v>
      </c>
      <c r="S2723" s="17"/>
      <c r="T2723" s="17"/>
      <c r="U2723" s="17"/>
    </row>
    <row r="2724" spans="17:21" x14ac:dyDescent="0.25">
      <c r="Q2724" s="17" t="s">
        <v>3481</v>
      </c>
      <c r="R2724" s="17" t="s">
        <v>2912</v>
      </c>
      <c r="S2724" s="17"/>
      <c r="T2724" s="17"/>
      <c r="U2724" s="17"/>
    </row>
    <row r="2725" spans="17:21" x14ac:dyDescent="0.25">
      <c r="Q2725" s="17" t="s">
        <v>3482</v>
      </c>
      <c r="R2725" s="17" t="s">
        <v>2912</v>
      </c>
      <c r="S2725" s="17"/>
      <c r="T2725" s="17"/>
      <c r="U2725" s="17"/>
    </row>
    <row r="2726" spans="17:21" x14ac:dyDescent="0.25">
      <c r="Q2726" s="17" t="s">
        <v>3483</v>
      </c>
      <c r="R2726" s="17" t="s">
        <v>2912</v>
      </c>
      <c r="S2726" s="17"/>
      <c r="T2726" s="17"/>
      <c r="U2726" s="17"/>
    </row>
    <row r="2727" spans="17:21" x14ac:dyDescent="0.25">
      <c r="Q2727" s="17" t="s">
        <v>3484</v>
      </c>
      <c r="R2727" s="17" t="s">
        <v>2912</v>
      </c>
      <c r="S2727" s="17"/>
      <c r="T2727" s="17"/>
      <c r="U2727" s="17"/>
    </row>
    <row r="2728" spans="17:21" x14ac:dyDescent="0.25">
      <c r="Q2728" s="17" t="s">
        <v>3485</v>
      </c>
      <c r="R2728" s="17" t="s">
        <v>2912</v>
      </c>
      <c r="S2728" s="17"/>
      <c r="T2728" s="17"/>
      <c r="U2728" s="17"/>
    </row>
    <row r="2729" spans="17:21" x14ac:dyDescent="0.25">
      <c r="Q2729" s="17" t="s">
        <v>3486</v>
      </c>
      <c r="R2729" s="17" t="s">
        <v>2912</v>
      </c>
      <c r="S2729" s="17"/>
      <c r="T2729" s="17"/>
      <c r="U2729" s="17"/>
    </row>
    <row r="2730" spans="17:21" x14ac:dyDescent="0.25">
      <c r="Q2730" s="17" t="s">
        <v>3487</v>
      </c>
      <c r="R2730" s="17" t="s">
        <v>2912</v>
      </c>
      <c r="S2730" s="17"/>
      <c r="T2730" s="17"/>
      <c r="U2730" s="17"/>
    </row>
    <row r="2731" spans="17:21" x14ac:dyDescent="0.25">
      <c r="Q2731" s="17" t="s">
        <v>3488</v>
      </c>
      <c r="R2731" s="17" t="s">
        <v>2912</v>
      </c>
      <c r="S2731" s="17"/>
      <c r="T2731" s="17"/>
      <c r="U2731" s="17"/>
    </row>
    <row r="2732" spans="17:21" x14ac:dyDescent="0.25">
      <c r="Q2732" s="17" t="s">
        <v>3489</v>
      </c>
      <c r="R2732" s="17" t="s">
        <v>2912</v>
      </c>
      <c r="S2732" s="17"/>
      <c r="T2732" s="17"/>
      <c r="U2732" s="17"/>
    </row>
    <row r="2733" spans="17:21" x14ac:dyDescent="0.25">
      <c r="Q2733" s="17" t="s">
        <v>3490</v>
      </c>
      <c r="R2733" s="17" t="s">
        <v>2912</v>
      </c>
      <c r="S2733" s="17"/>
      <c r="T2733" s="17"/>
      <c r="U2733" s="17"/>
    </row>
    <row r="2734" spans="17:21" x14ac:dyDescent="0.25">
      <c r="Q2734" s="17" t="s">
        <v>3491</v>
      </c>
      <c r="R2734" s="17" t="s">
        <v>2912</v>
      </c>
      <c r="S2734" s="17"/>
      <c r="T2734" s="17"/>
      <c r="U2734" s="17"/>
    </row>
    <row r="2735" spans="17:21" x14ac:dyDescent="0.25">
      <c r="Q2735" s="17" t="s">
        <v>3492</v>
      </c>
      <c r="R2735" s="17" t="s">
        <v>2912</v>
      </c>
      <c r="S2735" s="17"/>
      <c r="T2735" s="17"/>
      <c r="U2735" s="17"/>
    </row>
    <row r="2736" spans="17:21" x14ac:dyDescent="0.25">
      <c r="Q2736" s="17" t="s">
        <v>3493</v>
      </c>
      <c r="R2736" s="17" t="s">
        <v>2239</v>
      </c>
      <c r="S2736" s="17"/>
      <c r="T2736" s="17"/>
      <c r="U2736" s="17"/>
    </row>
    <row r="2737" spans="17:21" x14ac:dyDescent="0.25">
      <c r="Q2737" s="17" t="s">
        <v>3494</v>
      </c>
      <c r="R2737" s="17" t="s">
        <v>2830</v>
      </c>
      <c r="S2737" s="17"/>
      <c r="T2737" s="17"/>
      <c r="U2737" s="17"/>
    </row>
    <row r="2738" spans="17:21" x14ac:dyDescent="0.25">
      <c r="Q2738" s="17" t="s">
        <v>3495</v>
      </c>
      <c r="R2738" s="17" t="s">
        <v>2912</v>
      </c>
      <c r="S2738" s="17"/>
      <c r="T2738" s="17"/>
      <c r="U2738" s="17"/>
    </row>
    <row r="2739" spans="17:21" x14ac:dyDescent="0.25">
      <c r="Q2739" s="17" t="s">
        <v>3496</v>
      </c>
      <c r="R2739" s="17" t="s">
        <v>2239</v>
      </c>
      <c r="S2739" s="17"/>
      <c r="T2739" s="17"/>
      <c r="U2739" s="17"/>
    </row>
    <row r="2740" spans="17:21" x14ac:dyDescent="0.25">
      <c r="Q2740" s="17" t="s">
        <v>3497</v>
      </c>
      <c r="R2740" s="17" t="s">
        <v>2830</v>
      </c>
      <c r="S2740" s="17"/>
      <c r="T2740" s="17"/>
      <c r="U2740" s="17"/>
    </row>
    <row r="2741" spans="17:21" x14ac:dyDescent="0.25">
      <c r="Q2741" s="17" t="s">
        <v>3498</v>
      </c>
      <c r="R2741" s="17" t="s">
        <v>2830</v>
      </c>
      <c r="S2741" s="17"/>
      <c r="T2741" s="17"/>
      <c r="U2741" s="17"/>
    </row>
    <row r="2742" spans="17:21" x14ac:dyDescent="0.25">
      <c r="Q2742" s="17" t="s">
        <v>3499</v>
      </c>
      <c r="R2742" s="17" t="s">
        <v>2912</v>
      </c>
      <c r="S2742" s="17"/>
      <c r="T2742" s="17"/>
      <c r="U2742" s="17"/>
    </row>
    <row r="2743" spans="17:21" x14ac:dyDescent="0.25">
      <c r="Q2743" s="17" t="s">
        <v>3500</v>
      </c>
      <c r="R2743" s="17" t="s">
        <v>2912</v>
      </c>
      <c r="S2743" s="17"/>
      <c r="T2743" s="17"/>
      <c r="U2743" s="17"/>
    </row>
    <row r="2744" spans="17:21" x14ac:dyDescent="0.25">
      <c r="Q2744" s="17" t="s">
        <v>3501</v>
      </c>
      <c r="R2744" s="17" t="s">
        <v>2912</v>
      </c>
      <c r="S2744" s="17"/>
      <c r="T2744" s="17"/>
      <c r="U2744" s="17"/>
    </row>
    <row r="2745" spans="17:21" x14ac:dyDescent="0.25">
      <c r="Q2745" s="17" t="s">
        <v>3502</v>
      </c>
      <c r="R2745" s="17" t="s">
        <v>2912</v>
      </c>
      <c r="S2745" s="17"/>
      <c r="T2745" s="17"/>
      <c r="U2745" s="17"/>
    </row>
    <row r="2746" spans="17:21" x14ac:dyDescent="0.25">
      <c r="Q2746" s="17" t="s">
        <v>3503</v>
      </c>
      <c r="R2746" s="17" t="s">
        <v>2912</v>
      </c>
      <c r="S2746" s="17"/>
      <c r="T2746" s="17"/>
      <c r="U2746" s="17"/>
    </row>
    <row r="2747" spans="17:21" x14ac:dyDescent="0.25">
      <c r="Q2747" s="17" t="s">
        <v>3504</v>
      </c>
      <c r="R2747" s="17" t="s">
        <v>2912</v>
      </c>
      <c r="S2747" s="17"/>
      <c r="T2747" s="17"/>
      <c r="U2747" s="17"/>
    </row>
    <row r="2748" spans="17:21" x14ac:dyDescent="0.25">
      <c r="Q2748" s="17" t="s">
        <v>3505</v>
      </c>
      <c r="R2748" s="17" t="s">
        <v>2912</v>
      </c>
      <c r="S2748" s="17"/>
      <c r="T2748" s="17"/>
      <c r="U2748" s="17"/>
    </row>
    <row r="2749" spans="17:21" x14ac:dyDescent="0.25">
      <c r="Q2749" s="17" t="s">
        <v>3506</v>
      </c>
      <c r="R2749" s="17" t="s">
        <v>2912</v>
      </c>
      <c r="S2749" s="17"/>
      <c r="T2749" s="17"/>
      <c r="U2749" s="17"/>
    </row>
    <row r="2750" spans="17:21" x14ac:dyDescent="0.25">
      <c r="Q2750" s="17" t="s">
        <v>3507</v>
      </c>
      <c r="R2750" s="17" t="s">
        <v>2912</v>
      </c>
      <c r="S2750" s="17"/>
      <c r="T2750" s="17"/>
      <c r="U2750" s="17"/>
    </row>
    <row r="2751" spans="17:21" x14ac:dyDescent="0.25">
      <c r="Q2751" s="17" t="s">
        <v>3508</v>
      </c>
      <c r="R2751" s="17" t="s">
        <v>2912</v>
      </c>
      <c r="S2751" s="17"/>
      <c r="T2751" s="17"/>
      <c r="U2751" s="17"/>
    </row>
    <row r="2752" spans="17:21" x14ac:dyDescent="0.25">
      <c r="Q2752" s="17" t="s">
        <v>3509</v>
      </c>
      <c r="R2752" s="17" t="s">
        <v>2912</v>
      </c>
      <c r="S2752" s="17"/>
      <c r="T2752" s="17"/>
      <c r="U2752" s="17"/>
    </row>
    <row r="2753" spans="17:21" x14ac:dyDescent="0.25">
      <c r="Q2753" s="17" t="s">
        <v>3510</v>
      </c>
      <c r="R2753" s="17" t="s">
        <v>2912</v>
      </c>
      <c r="S2753" s="17"/>
      <c r="T2753" s="17"/>
      <c r="U2753" s="17"/>
    </row>
    <row r="2754" spans="17:21" x14ac:dyDescent="0.25">
      <c r="Q2754" s="17" t="s">
        <v>3511</v>
      </c>
      <c r="R2754" s="17" t="s">
        <v>2912</v>
      </c>
      <c r="S2754" s="17"/>
      <c r="T2754" s="17"/>
      <c r="U2754" s="17"/>
    </row>
    <row r="2755" spans="17:21" x14ac:dyDescent="0.25">
      <c r="Q2755" s="17" t="s">
        <v>3512</v>
      </c>
      <c r="R2755" s="17" t="s">
        <v>2912</v>
      </c>
      <c r="S2755" s="17"/>
      <c r="T2755" s="17"/>
      <c r="U2755" s="17"/>
    </row>
    <row r="2756" spans="17:21" x14ac:dyDescent="0.25">
      <c r="Q2756" s="17" t="s">
        <v>3513</v>
      </c>
      <c r="R2756" s="17" t="s">
        <v>2912</v>
      </c>
      <c r="S2756" s="17"/>
      <c r="T2756" s="17"/>
      <c r="U2756" s="17"/>
    </row>
    <row r="2757" spans="17:21" x14ac:dyDescent="0.25">
      <c r="Q2757" s="17" t="s">
        <v>3514</v>
      </c>
      <c r="R2757" s="17" t="s">
        <v>2912</v>
      </c>
      <c r="S2757" s="17"/>
      <c r="T2757" s="17"/>
      <c r="U2757" s="17"/>
    </row>
    <row r="2758" spans="17:21" x14ac:dyDescent="0.25">
      <c r="Q2758" s="17" t="s">
        <v>3515</v>
      </c>
      <c r="R2758" s="17" t="s">
        <v>2912</v>
      </c>
      <c r="S2758" s="17"/>
      <c r="T2758" s="17"/>
      <c r="U2758" s="17"/>
    </row>
    <row r="2759" spans="17:21" x14ac:dyDescent="0.25">
      <c r="Q2759" s="17" t="s">
        <v>3516</v>
      </c>
      <c r="R2759" s="17" t="s">
        <v>2912</v>
      </c>
      <c r="S2759" s="17"/>
      <c r="T2759" s="17"/>
      <c r="U2759" s="17"/>
    </row>
    <row r="2760" spans="17:21" x14ac:dyDescent="0.25">
      <c r="Q2760" s="17" t="s">
        <v>3517</v>
      </c>
      <c r="R2760" s="17" t="s">
        <v>2912</v>
      </c>
      <c r="S2760" s="17"/>
      <c r="T2760" s="17"/>
      <c r="U2760" s="17"/>
    </row>
    <row r="2761" spans="17:21" x14ac:dyDescent="0.25">
      <c r="Q2761" s="17" t="s">
        <v>3518</v>
      </c>
      <c r="R2761" s="17" t="s">
        <v>2912</v>
      </c>
      <c r="S2761" s="17"/>
      <c r="T2761" s="17"/>
      <c r="U2761" s="17"/>
    </row>
    <row r="2762" spans="17:21" x14ac:dyDescent="0.25">
      <c r="Q2762" s="17" t="s">
        <v>3519</v>
      </c>
      <c r="R2762" s="17" t="s">
        <v>2912</v>
      </c>
      <c r="S2762" s="17"/>
      <c r="T2762" s="17"/>
      <c r="U2762" s="17"/>
    </row>
    <row r="2763" spans="17:21" x14ac:dyDescent="0.25">
      <c r="Q2763" s="17" t="s">
        <v>3520</v>
      </c>
      <c r="R2763" s="17" t="s">
        <v>2912</v>
      </c>
      <c r="S2763" s="17"/>
      <c r="T2763" s="17"/>
      <c r="U2763" s="17"/>
    </row>
    <row r="2764" spans="17:21" x14ac:dyDescent="0.25">
      <c r="Q2764" s="17" t="s">
        <v>3521</v>
      </c>
      <c r="R2764" s="17" t="s">
        <v>2912</v>
      </c>
      <c r="S2764" s="17"/>
      <c r="T2764" s="17"/>
      <c r="U2764" s="17"/>
    </row>
    <row r="2765" spans="17:21" x14ac:dyDescent="0.25">
      <c r="Q2765" s="17" t="s">
        <v>3522</v>
      </c>
      <c r="R2765" s="17" t="s">
        <v>2912</v>
      </c>
      <c r="S2765" s="17"/>
      <c r="T2765" s="17"/>
      <c r="U2765" s="17"/>
    </row>
    <row r="2766" spans="17:21" x14ac:dyDescent="0.25">
      <c r="Q2766" s="17" t="s">
        <v>3523</v>
      </c>
      <c r="R2766" s="17" t="s">
        <v>2912</v>
      </c>
      <c r="S2766" s="17"/>
      <c r="T2766" s="17"/>
      <c r="U2766" s="17"/>
    </row>
    <row r="2767" spans="17:21" x14ac:dyDescent="0.25">
      <c r="Q2767" s="17" t="s">
        <v>3524</v>
      </c>
      <c r="R2767" s="17" t="s">
        <v>2912</v>
      </c>
      <c r="S2767" s="17"/>
      <c r="T2767" s="17"/>
      <c r="U2767" s="17"/>
    </row>
    <row r="2768" spans="17:21" x14ac:dyDescent="0.25">
      <c r="Q2768" s="17" t="s">
        <v>3525</v>
      </c>
      <c r="R2768" s="17" t="s">
        <v>2912</v>
      </c>
      <c r="S2768" s="17"/>
      <c r="T2768" s="17"/>
      <c r="U2768" s="17"/>
    </row>
    <row r="2769" spans="17:21" x14ac:dyDescent="0.25">
      <c r="Q2769" s="17" t="s">
        <v>3526</v>
      </c>
      <c r="R2769" s="17" t="s">
        <v>2912</v>
      </c>
      <c r="S2769" s="17"/>
      <c r="T2769" s="17"/>
      <c r="U2769" s="17"/>
    </row>
    <row r="2770" spans="17:21" x14ac:dyDescent="0.25">
      <c r="Q2770" s="17" t="s">
        <v>3527</v>
      </c>
      <c r="R2770" s="17" t="s">
        <v>2912</v>
      </c>
      <c r="S2770" s="17"/>
      <c r="T2770" s="17"/>
      <c r="U2770" s="17"/>
    </row>
    <row r="2771" spans="17:21" x14ac:dyDescent="0.25">
      <c r="Q2771" s="17" t="s">
        <v>3528</v>
      </c>
      <c r="R2771" s="17" t="s">
        <v>2912</v>
      </c>
      <c r="S2771" s="17"/>
      <c r="T2771" s="17"/>
      <c r="U2771" s="17"/>
    </row>
    <row r="2772" spans="17:21" x14ac:dyDescent="0.25">
      <c r="Q2772" s="17" t="s">
        <v>3529</v>
      </c>
      <c r="R2772" s="17" t="s">
        <v>2912</v>
      </c>
      <c r="S2772" s="17"/>
      <c r="T2772" s="17"/>
      <c r="U2772" s="17"/>
    </row>
    <row r="2773" spans="17:21" x14ac:dyDescent="0.25">
      <c r="Q2773" s="17" t="s">
        <v>3530</v>
      </c>
      <c r="R2773" s="17" t="s">
        <v>2912</v>
      </c>
      <c r="S2773" s="17"/>
      <c r="T2773" s="17"/>
      <c r="U2773" s="17"/>
    </row>
    <row r="2774" spans="17:21" x14ac:dyDescent="0.25">
      <c r="Q2774" s="17" t="s">
        <v>3531</v>
      </c>
      <c r="R2774" s="17" t="s">
        <v>2912</v>
      </c>
      <c r="S2774" s="17"/>
      <c r="T2774" s="17"/>
      <c r="U2774" s="17"/>
    </row>
    <row r="2775" spans="17:21" x14ac:dyDescent="0.25">
      <c r="Q2775" s="17" t="s">
        <v>3532</v>
      </c>
      <c r="R2775" s="17" t="s">
        <v>2912</v>
      </c>
      <c r="S2775" s="17"/>
      <c r="T2775" s="17"/>
      <c r="U2775" s="17"/>
    </row>
    <row r="2776" spans="17:21" x14ac:dyDescent="0.25">
      <c r="Q2776" s="17" t="s">
        <v>3533</v>
      </c>
      <c r="R2776" s="17" t="s">
        <v>2912</v>
      </c>
      <c r="S2776" s="17"/>
      <c r="T2776" s="17"/>
      <c r="U2776" s="17"/>
    </row>
    <row r="2777" spans="17:21" x14ac:dyDescent="0.25">
      <c r="Q2777" s="17" t="s">
        <v>3534</v>
      </c>
      <c r="R2777" s="17" t="s">
        <v>2912</v>
      </c>
      <c r="S2777" s="17"/>
      <c r="T2777" s="17"/>
      <c r="U2777" s="17"/>
    </row>
    <row r="2778" spans="17:21" x14ac:dyDescent="0.25">
      <c r="Q2778" s="17" t="s">
        <v>3535</v>
      </c>
      <c r="R2778" s="17" t="s">
        <v>2239</v>
      </c>
      <c r="S2778" s="17"/>
      <c r="T2778" s="17"/>
      <c r="U2778" s="17"/>
    </row>
    <row r="2779" spans="17:21" x14ac:dyDescent="0.25">
      <c r="Q2779" s="17" t="s">
        <v>924</v>
      </c>
      <c r="R2779" s="17" t="s">
        <v>271</v>
      </c>
      <c r="S2779" s="17"/>
      <c r="T2779" s="17"/>
      <c r="U2779" s="17"/>
    </row>
    <row r="2780" spans="17:21" x14ac:dyDescent="0.25">
      <c r="Q2780" s="17" t="s">
        <v>3536</v>
      </c>
      <c r="R2780" s="17" t="s">
        <v>271</v>
      </c>
      <c r="S2780" s="17"/>
      <c r="T2780" s="17"/>
      <c r="U2780" s="17"/>
    </row>
    <row r="2781" spans="17:21" x14ac:dyDescent="0.25">
      <c r="Q2781" s="17" t="s">
        <v>3537</v>
      </c>
      <c r="R2781" s="17" t="s">
        <v>86</v>
      </c>
      <c r="S2781" s="17"/>
      <c r="T2781" s="17"/>
      <c r="U2781" s="17"/>
    </row>
    <row r="2782" spans="17:21" x14ac:dyDescent="0.25">
      <c r="Q2782" s="17" t="s">
        <v>484</v>
      </c>
      <c r="R2782" s="17" t="s">
        <v>171</v>
      </c>
      <c r="S2782" s="17"/>
      <c r="T2782" s="17"/>
      <c r="U2782" s="17"/>
    </row>
    <row r="2783" spans="17:21" x14ac:dyDescent="0.25">
      <c r="Q2783" s="17" t="s">
        <v>1334</v>
      </c>
      <c r="R2783" s="17" t="s">
        <v>233</v>
      </c>
      <c r="S2783" s="17"/>
      <c r="T2783" s="17"/>
      <c r="U2783" s="17"/>
    </row>
    <row r="2784" spans="17:21" x14ac:dyDescent="0.25">
      <c r="Q2784" s="17" t="s">
        <v>3538</v>
      </c>
      <c r="R2784" s="17" t="s">
        <v>255</v>
      </c>
      <c r="S2784" s="17"/>
      <c r="T2784" s="17"/>
      <c r="U2784" s="17"/>
    </row>
    <row r="2785" spans="17:21" x14ac:dyDescent="0.25">
      <c r="Q2785" s="17" t="s">
        <v>914</v>
      </c>
      <c r="R2785" s="17" t="s">
        <v>271</v>
      </c>
      <c r="S2785" s="17"/>
      <c r="T2785" s="17"/>
      <c r="U2785" s="17"/>
    </row>
    <row r="2786" spans="17:21" x14ac:dyDescent="0.25">
      <c r="Q2786" s="17" t="s">
        <v>518</v>
      </c>
      <c r="R2786" s="17" t="s">
        <v>271</v>
      </c>
      <c r="S2786" s="17"/>
      <c r="T2786" s="17"/>
      <c r="U2786" s="17"/>
    </row>
    <row r="2787" spans="17:21" x14ac:dyDescent="0.25">
      <c r="Q2787" s="17" t="s">
        <v>3539</v>
      </c>
      <c r="R2787" s="17" t="s">
        <v>271</v>
      </c>
      <c r="S2787" s="17"/>
      <c r="T2787" s="17"/>
      <c r="U2787" s="17"/>
    </row>
    <row r="2788" spans="17:21" x14ac:dyDescent="0.25">
      <c r="Q2788" s="17" t="s">
        <v>3540</v>
      </c>
      <c r="R2788" s="17" t="s">
        <v>271</v>
      </c>
      <c r="S2788" s="17"/>
      <c r="T2788" s="17"/>
      <c r="U2788" s="17"/>
    </row>
    <row r="2789" spans="17:21" x14ac:dyDescent="0.25">
      <c r="Q2789" s="17" t="s">
        <v>3541</v>
      </c>
      <c r="R2789" s="17" t="s">
        <v>271</v>
      </c>
      <c r="S2789" s="17"/>
      <c r="T2789" s="17"/>
      <c r="U2789" s="17"/>
    </row>
    <row r="2790" spans="17:21" x14ac:dyDescent="0.25">
      <c r="Q2790" s="17" t="s">
        <v>806</v>
      </c>
      <c r="R2790" s="17" t="s">
        <v>271</v>
      </c>
      <c r="S2790" s="17"/>
      <c r="T2790" s="17"/>
      <c r="U2790" s="17"/>
    </row>
    <row r="2791" spans="17:21" x14ac:dyDescent="0.25">
      <c r="Q2791" s="17" t="s">
        <v>642</v>
      </c>
      <c r="R2791" s="17" t="s">
        <v>271</v>
      </c>
      <c r="S2791" s="17"/>
      <c r="T2791" s="17"/>
      <c r="U2791" s="17"/>
    </row>
    <row r="2792" spans="17:21" x14ac:dyDescent="0.25">
      <c r="Q2792" s="17" t="s">
        <v>3542</v>
      </c>
      <c r="R2792" s="17" t="s">
        <v>271</v>
      </c>
      <c r="S2792" s="17"/>
      <c r="T2792" s="17"/>
      <c r="U2792" s="17"/>
    </row>
    <row r="2793" spans="17:21" x14ac:dyDescent="0.25">
      <c r="Q2793" s="17" t="s">
        <v>3543</v>
      </c>
      <c r="R2793" s="17" t="s">
        <v>271</v>
      </c>
      <c r="S2793" s="17"/>
      <c r="T2793" s="17"/>
      <c r="U2793" s="17"/>
    </row>
    <row r="2794" spans="17:21" x14ac:dyDescent="0.25">
      <c r="Q2794" s="17" t="s">
        <v>3544</v>
      </c>
      <c r="R2794" s="17" t="s">
        <v>271</v>
      </c>
      <c r="S2794" s="17"/>
      <c r="T2794" s="17"/>
      <c r="U2794" s="17"/>
    </row>
    <row r="2795" spans="17:21" x14ac:dyDescent="0.25">
      <c r="Q2795" s="17" t="s">
        <v>668</v>
      </c>
      <c r="R2795" s="17" t="s">
        <v>233</v>
      </c>
      <c r="S2795" s="17"/>
      <c r="T2795" s="17"/>
      <c r="U2795" s="17"/>
    </row>
    <row r="2796" spans="17:21" x14ac:dyDescent="0.25">
      <c r="Q2796" s="17" t="s">
        <v>923</v>
      </c>
      <c r="R2796" s="17" t="s">
        <v>233</v>
      </c>
      <c r="S2796" s="17"/>
      <c r="T2796" s="17"/>
      <c r="U2796" s="17"/>
    </row>
    <row r="2797" spans="17:21" x14ac:dyDescent="0.25">
      <c r="Q2797" s="17" t="s">
        <v>982</v>
      </c>
      <c r="R2797" s="17" t="s">
        <v>233</v>
      </c>
      <c r="S2797" s="17"/>
      <c r="T2797" s="17"/>
      <c r="U2797" s="17"/>
    </row>
    <row r="2798" spans="17:21" x14ac:dyDescent="0.25">
      <c r="Q2798" s="17" t="s">
        <v>495</v>
      </c>
      <c r="R2798" s="17" t="s">
        <v>233</v>
      </c>
      <c r="S2798" s="17"/>
      <c r="T2798" s="17"/>
      <c r="U2798" s="17"/>
    </row>
    <row r="2799" spans="17:21" x14ac:dyDescent="0.25">
      <c r="Q2799" s="17" t="s">
        <v>1046</v>
      </c>
      <c r="R2799" s="17" t="s">
        <v>233</v>
      </c>
      <c r="S2799" s="17"/>
      <c r="T2799" s="17"/>
      <c r="U2799" s="17"/>
    </row>
    <row r="2800" spans="17:21" x14ac:dyDescent="0.25">
      <c r="Q2800" s="17" t="s">
        <v>3545</v>
      </c>
      <c r="R2800" s="17" t="s">
        <v>233</v>
      </c>
      <c r="S2800" s="17"/>
      <c r="T2800" s="17"/>
      <c r="U2800" s="17"/>
    </row>
    <row r="2801" spans="17:21" x14ac:dyDescent="0.25">
      <c r="Q2801" s="17" t="s">
        <v>3546</v>
      </c>
      <c r="R2801" s="17" t="s">
        <v>233</v>
      </c>
      <c r="S2801" s="17"/>
      <c r="T2801" s="17"/>
      <c r="U2801" s="17"/>
    </row>
    <row r="2802" spans="17:21" x14ac:dyDescent="0.25">
      <c r="Q2802" s="17" t="s">
        <v>556</v>
      </c>
      <c r="R2802" s="17" t="s">
        <v>233</v>
      </c>
      <c r="S2802" s="17"/>
      <c r="T2802" s="17"/>
      <c r="U2802" s="17"/>
    </row>
    <row r="2803" spans="17:21" x14ac:dyDescent="0.25">
      <c r="Q2803" s="17" t="s">
        <v>799</v>
      </c>
      <c r="R2803" s="17" t="s">
        <v>233</v>
      </c>
      <c r="S2803" s="17"/>
      <c r="T2803" s="17"/>
      <c r="U2803" s="17"/>
    </row>
    <row r="2804" spans="17:21" x14ac:dyDescent="0.25">
      <c r="Q2804" s="17" t="s">
        <v>800</v>
      </c>
      <c r="R2804" s="17" t="s">
        <v>233</v>
      </c>
      <c r="S2804" s="17"/>
      <c r="T2804" s="17"/>
      <c r="U2804" s="17"/>
    </row>
    <row r="2805" spans="17:21" x14ac:dyDescent="0.25">
      <c r="Q2805" s="17" t="s">
        <v>801</v>
      </c>
      <c r="R2805" s="17" t="s">
        <v>233</v>
      </c>
      <c r="S2805" s="17"/>
      <c r="T2805" s="17"/>
      <c r="U2805" s="17"/>
    </row>
    <row r="2806" spans="17:21" x14ac:dyDescent="0.25">
      <c r="Q2806" s="17" t="s">
        <v>3547</v>
      </c>
      <c r="R2806" s="17" t="s">
        <v>233</v>
      </c>
      <c r="S2806" s="17"/>
      <c r="T2806" s="17"/>
      <c r="U2806" s="17"/>
    </row>
    <row r="2807" spans="17:21" x14ac:dyDescent="0.25">
      <c r="Q2807" s="17" t="s">
        <v>403</v>
      </c>
      <c r="R2807" s="17" t="s">
        <v>233</v>
      </c>
      <c r="S2807" s="17"/>
      <c r="T2807" s="17"/>
      <c r="U2807" s="17"/>
    </row>
    <row r="2808" spans="17:21" x14ac:dyDescent="0.25">
      <c r="Q2808" s="17" t="s">
        <v>893</v>
      </c>
      <c r="R2808" s="17" t="s">
        <v>233</v>
      </c>
      <c r="S2808" s="17"/>
      <c r="T2808" s="17"/>
      <c r="U2808" s="17"/>
    </row>
    <row r="2809" spans="17:21" x14ac:dyDescent="0.25">
      <c r="Q2809" s="17" t="s">
        <v>3548</v>
      </c>
      <c r="R2809" s="17" t="s">
        <v>233</v>
      </c>
      <c r="S2809" s="17"/>
      <c r="T2809" s="17"/>
      <c r="U2809" s="17"/>
    </row>
    <row r="2810" spans="17:21" x14ac:dyDescent="0.25">
      <c r="Q2810" s="17" t="s">
        <v>3549</v>
      </c>
      <c r="R2810" s="17" t="s">
        <v>233</v>
      </c>
      <c r="S2810" s="17"/>
      <c r="T2810" s="17"/>
      <c r="U2810" s="17"/>
    </row>
    <row r="2811" spans="17:21" x14ac:dyDescent="0.25">
      <c r="Q2811" s="17" t="s">
        <v>3550</v>
      </c>
      <c r="R2811" s="17" t="s">
        <v>233</v>
      </c>
      <c r="S2811" s="17"/>
      <c r="T2811" s="17"/>
      <c r="U2811" s="17"/>
    </row>
    <row r="2812" spans="17:21" x14ac:dyDescent="0.25">
      <c r="Q2812" s="17" t="s">
        <v>3551</v>
      </c>
      <c r="R2812" s="17" t="s">
        <v>86</v>
      </c>
      <c r="S2812" s="17"/>
      <c r="T2812" s="17"/>
      <c r="U2812" s="17"/>
    </row>
    <row r="2813" spans="17:21" x14ac:dyDescent="0.25">
      <c r="Q2813" s="17" t="s">
        <v>3552</v>
      </c>
      <c r="R2813" s="17" t="s">
        <v>233</v>
      </c>
      <c r="S2813" s="17"/>
      <c r="T2813" s="17"/>
      <c r="U2813" s="17"/>
    </row>
    <row r="2814" spans="17:21" x14ac:dyDescent="0.25">
      <c r="Q2814" s="17" t="s">
        <v>3553</v>
      </c>
      <c r="R2814" s="17" t="s">
        <v>233</v>
      </c>
      <c r="S2814" s="17"/>
      <c r="T2814" s="17"/>
      <c r="U2814" s="17"/>
    </row>
    <row r="2815" spans="17:21" x14ac:dyDescent="0.25">
      <c r="Q2815" s="17" t="s">
        <v>3554</v>
      </c>
      <c r="R2815" s="17" t="s">
        <v>233</v>
      </c>
      <c r="S2815" s="17"/>
      <c r="T2815" s="17"/>
      <c r="U2815" s="17"/>
    </row>
    <row r="2816" spans="17:21" x14ac:dyDescent="0.25">
      <c r="Q2816" s="17" t="s">
        <v>3555</v>
      </c>
      <c r="R2816" s="17" t="s">
        <v>233</v>
      </c>
      <c r="S2816" s="17"/>
      <c r="T2816" s="17"/>
      <c r="U2816" s="17"/>
    </row>
    <row r="2817" spans="17:21" x14ac:dyDescent="0.25">
      <c r="Q2817" s="17" t="s">
        <v>3556</v>
      </c>
      <c r="R2817" s="17" t="s">
        <v>233</v>
      </c>
      <c r="S2817" s="17"/>
      <c r="T2817" s="17"/>
      <c r="U2817" s="17"/>
    </row>
    <row r="2818" spans="17:21" x14ac:dyDescent="0.25">
      <c r="Q2818" s="17" t="s">
        <v>1320</v>
      </c>
      <c r="R2818" s="17" t="s">
        <v>233</v>
      </c>
      <c r="S2818" s="17"/>
      <c r="T2818" s="17"/>
      <c r="U2818" s="17"/>
    </row>
    <row r="2819" spans="17:21" x14ac:dyDescent="0.25">
      <c r="Q2819" s="17" t="s">
        <v>3557</v>
      </c>
      <c r="R2819" s="17" t="s">
        <v>233</v>
      </c>
      <c r="S2819" s="17"/>
      <c r="T2819" s="17"/>
      <c r="U2819" s="17"/>
    </row>
    <row r="2820" spans="17:21" x14ac:dyDescent="0.25">
      <c r="Q2820" s="17" t="s">
        <v>892</v>
      </c>
      <c r="R2820" s="17" t="s">
        <v>233</v>
      </c>
      <c r="S2820" s="17"/>
      <c r="T2820" s="17"/>
      <c r="U2820" s="17"/>
    </row>
    <row r="2821" spans="17:21" x14ac:dyDescent="0.25">
      <c r="Q2821" s="17" t="s">
        <v>3558</v>
      </c>
      <c r="R2821" s="17" t="s">
        <v>233</v>
      </c>
      <c r="S2821" s="17"/>
      <c r="T2821" s="17"/>
      <c r="U2821" s="17"/>
    </row>
    <row r="2822" spans="17:21" x14ac:dyDescent="0.25">
      <c r="Q2822" s="17" t="s">
        <v>803</v>
      </c>
      <c r="R2822" s="17" t="s">
        <v>251</v>
      </c>
      <c r="S2822" s="17"/>
      <c r="T2822" s="17"/>
      <c r="U2822" s="17"/>
    </row>
    <row r="2823" spans="17:21" x14ac:dyDescent="0.25">
      <c r="Q2823" s="17" t="s">
        <v>3559</v>
      </c>
      <c r="R2823" s="17" t="s">
        <v>86</v>
      </c>
      <c r="S2823" s="17"/>
      <c r="T2823" s="17"/>
      <c r="U2823" s="17"/>
    </row>
    <row r="2824" spans="17:21" x14ac:dyDescent="0.25">
      <c r="Q2824" s="17" t="s">
        <v>3560</v>
      </c>
      <c r="R2824" s="17" t="s">
        <v>86</v>
      </c>
      <c r="S2824" s="17"/>
      <c r="T2824" s="17"/>
      <c r="U2824" s="17"/>
    </row>
    <row r="2825" spans="17:21" x14ac:dyDescent="0.25">
      <c r="Q2825" s="17" t="s">
        <v>3561</v>
      </c>
      <c r="R2825" s="17" t="s">
        <v>86</v>
      </c>
      <c r="S2825" s="17"/>
      <c r="T2825" s="17"/>
      <c r="U2825" s="17"/>
    </row>
    <row r="2826" spans="17:21" x14ac:dyDescent="0.25">
      <c r="Q2826" s="17" t="s">
        <v>3562</v>
      </c>
      <c r="R2826" s="17" t="s">
        <v>86</v>
      </c>
      <c r="S2826" s="17"/>
      <c r="T2826" s="17"/>
      <c r="U2826" s="17"/>
    </row>
    <row r="2827" spans="17:21" x14ac:dyDescent="0.25">
      <c r="Q2827" s="17" t="s">
        <v>3563</v>
      </c>
      <c r="R2827" s="17" t="s">
        <v>86</v>
      </c>
      <c r="S2827" s="17"/>
      <c r="T2827" s="17"/>
      <c r="U2827" s="17"/>
    </row>
    <row r="2828" spans="17:21" x14ac:dyDescent="0.25">
      <c r="Q2828" s="17" t="s">
        <v>3564</v>
      </c>
      <c r="R2828" s="17" t="s">
        <v>86</v>
      </c>
      <c r="S2828" s="17"/>
      <c r="T2828" s="17"/>
      <c r="U2828" s="17"/>
    </row>
    <row r="2829" spans="17:21" x14ac:dyDescent="0.25">
      <c r="Q2829" s="17" t="s">
        <v>3565</v>
      </c>
      <c r="R2829" s="17" t="s">
        <v>86</v>
      </c>
      <c r="S2829" s="17"/>
      <c r="T2829" s="17"/>
      <c r="U2829" s="17"/>
    </row>
    <row r="2830" spans="17:21" x14ac:dyDescent="0.25">
      <c r="Q2830" s="17" t="s">
        <v>3566</v>
      </c>
      <c r="R2830" s="17" t="s">
        <v>86</v>
      </c>
      <c r="S2830" s="17"/>
      <c r="T2830" s="17"/>
      <c r="U2830" s="17"/>
    </row>
    <row r="2831" spans="17:21" x14ac:dyDescent="0.25">
      <c r="Q2831" s="17" t="s">
        <v>3567</v>
      </c>
      <c r="R2831" s="17" t="s">
        <v>86</v>
      </c>
      <c r="S2831" s="17"/>
      <c r="T2831" s="17"/>
      <c r="U2831" s="17"/>
    </row>
    <row r="2832" spans="17:21" x14ac:dyDescent="0.25">
      <c r="Q2832" s="17" t="s">
        <v>3568</v>
      </c>
      <c r="R2832" s="17" t="s">
        <v>86</v>
      </c>
      <c r="S2832" s="17"/>
      <c r="T2832" s="17"/>
      <c r="U2832" s="17"/>
    </row>
    <row r="2833" spans="17:21" x14ac:dyDescent="0.25">
      <c r="Q2833" s="17" t="s">
        <v>3569</v>
      </c>
      <c r="R2833" s="17" t="s">
        <v>86</v>
      </c>
      <c r="S2833" s="17"/>
      <c r="T2833" s="17"/>
      <c r="U2833" s="17"/>
    </row>
    <row r="2834" spans="17:21" x14ac:dyDescent="0.25">
      <c r="Q2834" s="17" t="s">
        <v>3570</v>
      </c>
      <c r="R2834" s="17" t="s">
        <v>86</v>
      </c>
      <c r="S2834" s="17"/>
      <c r="T2834" s="17"/>
      <c r="U2834" s="17"/>
    </row>
    <row r="2835" spans="17:21" x14ac:dyDescent="0.25">
      <c r="Q2835" s="17" t="s">
        <v>3571</v>
      </c>
      <c r="R2835" s="17" t="s">
        <v>86</v>
      </c>
      <c r="S2835" s="17"/>
      <c r="T2835" s="17"/>
      <c r="U2835" s="17"/>
    </row>
    <row r="2836" spans="17:21" x14ac:dyDescent="0.25">
      <c r="Q2836" s="17" t="s">
        <v>3572</v>
      </c>
      <c r="R2836" s="17" t="s">
        <v>86</v>
      </c>
      <c r="S2836" s="17"/>
      <c r="T2836" s="17"/>
      <c r="U2836" s="17"/>
    </row>
    <row r="2837" spans="17:21" x14ac:dyDescent="0.25">
      <c r="Q2837" s="17" t="s">
        <v>3573</v>
      </c>
      <c r="R2837" s="17" t="s">
        <v>86</v>
      </c>
      <c r="S2837" s="17"/>
      <c r="T2837" s="17"/>
      <c r="U2837" s="17"/>
    </row>
    <row r="2838" spans="17:21" x14ac:dyDescent="0.25">
      <c r="Q2838" s="17" t="s">
        <v>756</v>
      </c>
      <c r="R2838" s="17" t="s">
        <v>255</v>
      </c>
      <c r="S2838" s="17"/>
      <c r="T2838" s="17"/>
      <c r="U2838" s="17"/>
    </row>
    <row r="2839" spans="17:21" x14ac:dyDescent="0.25">
      <c r="Q2839" s="17" t="s">
        <v>3574</v>
      </c>
      <c r="R2839" s="17" t="s">
        <v>255</v>
      </c>
      <c r="S2839" s="17"/>
      <c r="T2839" s="17"/>
      <c r="U2839" s="17"/>
    </row>
    <row r="2840" spans="17:21" x14ac:dyDescent="0.25">
      <c r="Q2840" s="17" t="s">
        <v>3575</v>
      </c>
      <c r="R2840" s="17" t="s">
        <v>233</v>
      </c>
      <c r="S2840" s="17"/>
      <c r="T2840" s="17"/>
      <c r="U2840" s="17"/>
    </row>
    <row r="2841" spans="17:21" x14ac:dyDescent="0.25">
      <c r="Q2841" s="17" t="s">
        <v>3576</v>
      </c>
      <c r="R2841" s="17" t="s">
        <v>2239</v>
      </c>
      <c r="S2841" s="17"/>
      <c r="T2841" s="17"/>
      <c r="U2841" s="17"/>
    </row>
    <row r="2842" spans="17:21" x14ac:dyDescent="0.25">
      <c r="Q2842" s="17" t="s">
        <v>3577</v>
      </c>
      <c r="R2842" s="17" t="s">
        <v>2912</v>
      </c>
      <c r="S2842" s="17"/>
      <c r="T2842" s="17"/>
      <c r="U2842" s="17"/>
    </row>
    <row r="2843" spans="17:21" x14ac:dyDescent="0.25">
      <c r="Q2843" s="17" t="s">
        <v>3578</v>
      </c>
      <c r="R2843" s="17" t="s">
        <v>233</v>
      </c>
      <c r="S2843" s="17"/>
      <c r="T2843" s="17"/>
      <c r="U2843" s="17"/>
    </row>
    <row r="2844" spans="17:21" x14ac:dyDescent="0.25">
      <c r="Q2844" s="17" t="s">
        <v>3579</v>
      </c>
      <c r="R2844" s="17" t="s">
        <v>86</v>
      </c>
      <c r="S2844" s="17"/>
      <c r="T2844" s="17"/>
      <c r="U2844" s="17"/>
    </row>
    <row r="2845" spans="17:21" x14ac:dyDescent="0.25">
      <c r="Q2845" s="17" t="s">
        <v>3580</v>
      </c>
      <c r="R2845" s="17" t="s">
        <v>86</v>
      </c>
      <c r="S2845" s="17"/>
      <c r="T2845" s="17"/>
      <c r="U2845" s="17"/>
    </row>
    <row r="2846" spans="17:21" x14ac:dyDescent="0.25">
      <c r="Q2846" s="17" t="s">
        <v>3581</v>
      </c>
      <c r="R2846" s="17" t="s">
        <v>86</v>
      </c>
      <c r="S2846" s="17"/>
      <c r="T2846" s="17"/>
      <c r="U2846" s="17"/>
    </row>
    <row r="2847" spans="17:21" x14ac:dyDescent="0.25">
      <c r="Q2847" s="17" t="s">
        <v>3582</v>
      </c>
      <c r="R2847" s="17" t="s">
        <v>86</v>
      </c>
      <c r="S2847" s="17"/>
      <c r="T2847" s="17"/>
      <c r="U2847" s="17"/>
    </row>
    <row r="2848" spans="17:21" x14ac:dyDescent="0.25">
      <c r="Q2848" s="17" t="s">
        <v>3583</v>
      </c>
      <c r="R2848" s="17" t="s">
        <v>86</v>
      </c>
      <c r="S2848" s="17"/>
      <c r="T2848" s="17"/>
      <c r="U2848" s="17"/>
    </row>
    <row r="2849" spans="17:21" x14ac:dyDescent="0.25">
      <c r="Q2849" s="17" t="s">
        <v>3584</v>
      </c>
      <c r="R2849" s="17" t="s">
        <v>86</v>
      </c>
      <c r="S2849" s="17"/>
      <c r="T2849" s="17"/>
      <c r="U2849" s="17"/>
    </row>
    <row r="2850" spans="17:21" x14ac:dyDescent="0.25">
      <c r="Q2850" s="17" t="s">
        <v>3585</v>
      </c>
      <c r="R2850" s="17" t="s">
        <v>86</v>
      </c>
      <c r="S2850" s="17"/>
      <c r="T2850" s="17"/>
      <c r="U2850" s="17"/>
    </row>
    <row r="2851" spans="17:21" x14ac:dyDescent="0.25">
      <c r="Q2851" s="17" t="s">
        <v>3586</v>
      </c>
      <c r="R2851" s="17" t="s">
        <v>86</v>
      </c>
      <c r="S2851" s="17"/>
      <c r="T2851" s="17"/>
      <c r="U2851" s="17"/>
    </row>
    <row r="2852" spans="17:21" x14ac:dyDescent="0.25">
      <c r="Q2852" s="17" t="s">
        <v>3587</v>
      </c>
      <c r="R2852" s="17" t="s">
        <v>86</v>
      </c>
      <c r="S2852" s="17"/>
      <c r="T2852" s="17"/>
      <c r="U2852" s="17"/>
    </row>
    <row r="2853" spans="17:21" x14ac:dyDescent="0.25">
      <c r="Q2853" s="17" t="s">
        <v>3588</v>
      </c>
      <c r="R2853" s="17" t="s">
        <v>86</v>
      </c>
      <c r="S2853" s="17"/>
      <c r="T2853" s="17"/>
      <c r="U2853" s="17"/>
    </row>
    <row r="2854" spans="17:21" x14ac:dyDescent="0.25">
      <c r="Q2854" s="17" t="s">
        <v>3589</v>
      </c>
      <c r="R2854" s="17" t="s">
        <v>86</v>
      </c>
      <c r="S2854" s="17"/>
      <c r="T2854" s="17"/>
      <c r="U2854" s="17"/>
    </row>
    <row r="2855" spans="17:21" x14ac:dyDescent="0.25">
      <c r="Q2855" s="17" t="s">
        <v>3590</v>
      </c>
      <c r="R2855" s="17" t="s">
        <v>86</v>
      </c>
      <c r="S2855" s="17"/>
      <c r="T2855" s="17"/>
      <c r="U2855" s="17"/>
    </row>
    <row r="2856" spans="17:21" x14ac:dyDescent="0.25">
      <c r="Q2856" s="17" t="s">
        <v>752</v>
      </c>
      <c r="R2856" s="17" t="s">
        <v>233</v>
      </c>
      <c r="S2856" s="17"/>
      <c r="T2856" s="17"/>
      <c r="U2856" s="17"/>
    </row>
    <row r="2857" spans="17:21" x14ac:dyDescent="0.25">
      <c r="Q2857" s="17" t="s">
        <v>1342</v>
      </c>
      <c r="R2857" s="17" t="s">
        <v>233</v>
      </c>
      <c r="S2857" s="17"/>
      <c r="T2857" s="17"/>
      <c r="U2857" s="17"/>
    </row>
    <row r="2858" spans="17:21" x14ac:dyDescent="0.25">
      <c r="Q2858" s="17" t="s">
        <v>802</v>
      </c>
      <c r="R2858" s="17" t="s">
        <v>233</v>
      </c>
      <c r="S2858" s="17"/>
      <c r="T2858" s="17"/>
      <c r="U2858" s="17"/>
    </row>
    <row r="2859" spans="17:21" x14ac:dyDescent="0.25">
      <c r="Q2859" s="17" t="s">
        <v>374</v>
      </c>
      <c r="R2859" s="17" t="s">
        <v>233</v>
      </c>
      <c r="S2859" s="17"/>
      <c r="T2859" s="17"/>
      <c r="U2859" s="17"/>
    </row>
    <row r="2860" spans="17:21" x14ac:dyDescent="0.25">
      <c r="Q2860" s="17" t="s">
        <v>626</v>
      </c>
      <c r="R2860" s="17" t="s">
        <v>233</v>
      </c>
      <c r="S2860" s="17"/>
      <c r="T2860" s="17"/>
      <c r="U2860" s="17"/>
    </row>
    <row r="2861" spans="17:21" x14ac:dyDescent="0.25">
      <c r="Q2861" s="17" t="s">
        <v>3591</v>
      </c>
      <c r="R2861" s="17" t="s">
        <v>255</v>
      </c>
      <c r="S2861" s="17"/>
      <c r="T2861" s="17"/>
      <c r="U2861" s="17"/>
    </row>
    <row r="2862" spans="17:21" x14ac:dyDescent="0.25">
      <c r="Q2862" s="17" t="s">
        <v>3592</v>
      </c>
      <c r="R2862" s="17" t="s">
        <v>255</v>
      </c>
      <c r="S2862" s="17"/>
      <c r="T2862" s="17"/>
      <c r="U2862" s="17"/>
    </row>
    <row r="2863" spans="17:21" x14ac:dyDescent="0.25">
      <c r="Q2863" s="17" t="s">
        <v>3593</v>
      </c>
      <c r="R2863" s="17" t="s">
        <v>255</v>
      </c>
      <c r="S2863" s="17"/>
      <c r="T2863" s="17"/>
      <c r="U2863" s="17"/>
    </row>
    <row r="2864" spans="17:21" x14ac:dyDescent="0.25">
      <c r="Q2864" s="17" t="s">
        <v>3594</v>
      </c>
      <c r="R2864" s="17" t="s">
        <v>255</v>
      </c>
      <c r="S2864" s="17"/>
      <c r="T2864" s="17"/>
      <c r="U2864" s="17"/>
    </row>
    <row r="2865" spans="17:21" x14ac:dyDescent="0.25">
      <c r="Q2865" s="17" t="s">
        <v>913</v>
      </c>
      <c r="R2865" s="17" t="s">
        <v>255</v>
      </c>
      <c r="S2865" s="17"/>
      <c r="T2865" s="17"/>
      <c r="U2865" s="17"/>
    </row>
    <row r="2866" spans="17:21" x14ac:dyDescent="0.25">
      <c r="Q2866" s="17" t="s">
        <v>1267</v>
      </c>
      <c r="R2866" s="17" t="s">
        <v>251</v>
      </c>
      <c r="S2866" s="17"/>
      <c r="T2866" s="17"/>
      <c r="U2866" s="17"/>
    </row>
    <row r="2867" spans="17:21" x14ac:dyDescent="0.25">
      <c r="Q2867" s="17" t="s">
        <v>1321</v>
      </c>
      <c r="R2867" s="17" t="s">
        <v>251</v>
      </c>
      <c r="S2867" s="17"/>
      <c r="T2867" s="17"/>
      <c r="U2867" s="17"/>
    </row>
    <row r="2868" spans="17:21" x14ac:dyDescent="0.25">
      <c r="Q2868" s="17" t="s">
        <v>987</v>
      </c>
      <c r="R2868" s="17" t="s">
        <v>251</v>
      </c>
      <c r="S2868" s="17"/>
      <c r="T2868" s="17"/>
      <c r="U2868" s="17"/>
    </row>
    <row r="2869" spans="17:21" x14ac:dyDescent="0.25">
      <c r="Q2869" s="17" t="s">
        <v>3595</v>
      </c>
      <c r="R2869" s="17" t="s">
        <v>251</v>
      </c>
      <c r="S2869" s="17"/>
      <c r="T2869" s="17"/>
      <c r="U2869" s="17"/>
    </row>
    <row r="2870" spans="17:21" x14ac:dyDescent="0.25">
      <c r="Q2870" s="17" t="s">
        <v>687</v>
      </c>
      <c r="R2870" s="17" t="s">
        <v>251</v>
      </c>
      <c r="S2870" s="17"/>
      <c r="T2870" s="17"/>
      <c r="U2870" s="17"/>
    </row>
    <row r="2871" spans="17:21" x14ac:dyDescent="0.25">
      <c r="Q2871" s="17" t="s">
        <v>3596</v>
      </c>
      <c r="R2871" s="17" t="s">
        <v>251</v>
      </c>
      <c r="S2871" s="17"/>
      <c r="T2871" s="17"/>
      <c r="U2871" s="17"/>
    </row>
    <row r="2872" spans="17:21" x14ac:dyDescent="0.25">
      <c r="Q2872" s="17" t="s">
        <v>3597</v>
      </c>
      <c r="R2872" s="17" t="s">
        <v>86</v>
      </c>
      <c r="S2872" s="17"/>
      <c r="T2872" s="17"/>
      <c r="U2872" s="17"/>
    </row>
    <row r="2873" spans="17:21" x14ac:dyDescent="0.25">
      <c r="Q2873" s="17" t="s">
        <v>3598</v>
      </c>
      <c r="R2873" s="17" t="s">
        <v>86</v>
      </c>
      <c r="S2873" s="17"/>
      <c r="T2873" s="17"/>
      <c r="U2873" s="17"/>
    </row>
    <row r="2874" spans="17:21" x14ac:dyDescent="0.25">
      <c r="Q2874" s="17" t="s">
        <v>3599</v>
      </c>
      <c r="R2874" s="17" t="s">
        <v>86</v>
      </c>
      <c r="S2874" s="17"/>
      <c r="T2874" s="17"/>
      <c r="U2874" s="17"/>
    </row>
    <row r="2875" spans="17:21" x14ac:dyDescent="0.25">
      <c r="Q2875" s="17" t="s">
        <v>3600</v>
      </c>
      <c r="R2875" s="17" t="s">
        <v>86</v>
      </c>
      <c r="S2875" s="17"/>
      <c r="T2875" s="17"/>
      <c r="U2875" s="17"/>
    </row>
    <row r="2876" spans="17:21" x14ac:dyDescent="0.25">
      <c r="Q2876" s="17" t="s">
        <v>3601</v>
      </c>
      <c r="R2876" s="17" t="s">
        <v>86</v>
      </c>
      <c r="S2876" s="17"/>
      <c r="T2876" s="17"/>
      <c r="U2876" s="17"/>
    </row>
    <row r="2877" spans="17:21" x14ac:dyDescent="0.25">
      <c r="Q2877" s="17" t="s">
        <v>3602</v>
      </c>
      <c r="R2877" s="17" t="s">
        <v>86</v>
      </c>
      <c r="S2877" s="17"/>
      <c r="T2877" s="17"/>
      <c r="U2877" s="17"/>
    </row>
    <row r="2878" spans="17:21" x14ac:dyDescent="0.25">
      <c r="Q2878" s="17" t="s">
        <v>3603</v>
      </c>
      <c r="R2878" s="17" t="s">
        <v>86</v>
      </c>
      <c r="S2878" s="17"/>
      <c r="T2878" s="17"/>
      <c r="U2878" s="17"/>
    </row>
    <row r="2879" spans="17:21" x14ac:dyDescent="0.25">
      <c r="Q2879" s="17" t="s">
        <v>3604</v>
      </c>
      <c r="R2879" s="17" t="s">
        <v>86</v>
      </c>
      <c r="S2879" s="17"/>
      <c r="T2879" s="17"/>
      <c r="U2879" s="17"/>
    </row>
    <row r="2880" spans="17:21" x14ac:dyDescent="0.25">
      <c r="Q2880" s="17" t="s">
        <v>3605</v>
      </c>
      <c r="R2880" s="17" t="s">
        <v>86</v>
      </c>
      <c r="S2880" s="17"/>
      <c r="T2880" s="17"/>
      <c r="U2880" s="17"/>
    </row>
    <row r="2881" spans="17:21" x14ac:dyDescent="0.25">
      <c r="Q2881" s="17" t="s">
        <v>3606</v>
      </c>
      <c r="R2881" s="17" t="s">
        <v>86</v>
      </c>
      <c r="S2881" s="17"/>
      <c r="T2881" s="17"/>
      <c r="U2881" s="17"/>
    </row>
    <row r="2882" spans="17:21" x14ac:dyDescent="0.25">
      <c r="Q2882" s="17" t="s">
        <v>3607</v>
      </c>
      <c r="R2882" s="17" t="s">
        <v>86</v>
      </c>
      <c r="S2882" s="17"/>
      <c r="T2882" s="17"/>
      <c r="U2882" s="17"/>
    </row>
    <row r="2883" spans="17:21" x14ac:dyDescent="0.25">
      <c r="Q2883" s="17" t="s">
        <v>3608</v>
      </c>
      <c r="R2883" s="17" t="s">
        <v>86</v>
      </c>
      <c r="S2883" s="17"/>
      <c r="T2883" s="17"/>
      <c r="U2883" s="17"/>
    </row>
    <row r="2884" spans="17:21" x14ac:dyDescent="0.25">
      <c r="Q2884" s="17" t="s">
        <v>3609</v>
      </c>
      <c r="R2884" s="17" t="s">
        <v>86</v>
      </c>
      <c r="S2884" s="17"/>
      <c r="T2884" s="17"/>
      <c r="U2884" s="17"/>
    </row>
    <row r="2885" spans="17:21" x14ac:dyDescent="0.25">
      <c r="Q2885" s="17" t="s">
        <v>3610</v>
      </c>
      <c r="R2885" s="17" t="s">
        <v>86</v>
      </c>
      <c r="S2885" s="17"/>
      <c r="T2885" s="17"/>
      <c r="U2885" s="17"/>
    </row>
    <row r="2886" spans="17:21" x14ac:dyDescent="0.25">
      <c r="Q2886" s="17" t="s">
        <v>3611</v>
      </c>
      <c r="R2886" s="17" t="s">
        <v>86</v>
      </c>
      <c r="S2886" s="17"/>
      <c r="T2886" s="17"/>
      <c r="U2886" s="17"/>
    </row>
    <row r="2887" spans="17:21" x14ac:dyDescent="0.25">
      <c r="Q2887" s="17" t="s">
        <v>3612</v>
      </c>
      <c r="R2887" s="17" t="s">
        <v>86</v>
      </c>
      <c r="S2887" s="17"/>
      <c r="T2887" s="17"/>
      <c r="U2887" s="17"/>
    </row>
    <row r="2888" spans="17:21" x14ac:dyDescent="0.25">
      <c r="Q2888" s="17" t="s">
        <v>3613</v>
      </c>
      <c r="R2888" s="17" t="s">
        <v>86</v>
      </c>
      <c r="S2888" s="17"/>
      <c r="T2888" s="17"/>
      <c r="U2888" s="17"/>
    </row>
    <row r="2889" spans="17:21" x14ac:dyDescent="0.25">
      <c r="Q2889" s="17" t="s">
        <v>3614</v>
      </c>
      <c r="R2889" s="17" t="s">
        <v>86</v>
      </c>
      <c r="S2889" s="17"/>
      <c r="T2889" s="17"/>
      <c r="U2889" s="17"/>
    </row>
    <row r="2890" spans="17:21" x14ac:dyDescent="0.25">
      <c r="Q2890" s="17" t="s">
        <v>3615</v>
      </c>
      <c r="R2890" s="17" t="s">
        <v>86</v>
      </c>
      <c r="S2890" s="17"/>
      <c r="T2890" s="17"/>
      <c r="U2890" s="17"/>
    </row>
    <row r="2891" spans="17:21" x14ac:dyDescent="0.25">
      <c r="Q2891" s="17" t="s">
        <v>478</v>
      </c>
      <c r="R2891" s="17" t="s">
        <v>233</v>
      </c>
      <c r="S2891" s="17"/>
      <c r="T2891" s="17"/>
      <c r="U2891" s="17"/>
    </row>
    <row r="2892" spans="17:21" x14ac:dyDescent="0.25">
      <c r="Q2892" s="17" t="s">
        <v>3616</v>
      </c>
      <c r="R2892" s="17" t="s">
        <v>86</v>
      </c>
      <c r="S2892" s="17"/>
      <c r="T2892" s="17"/>
      <c r="U2892" s="17"/>
    </row>
    <row r="2893" spans="17:21" x14ac:dyDescent="0.25">
      <c r="Q2893" s="17" t="s">
        <v>3617</v>
      </c>
      <c r="R2893" s="17" t="s">
        <v>86</v>
      </c>
      <c r="S2893" s="17"/>
      <c r="T2893" s="17"/>
      <c r="U2893" s="17"/>
    </row>
    <row r="2894" spans="17:21" x14ac:dyDescent="0.25">
      <c r="Q2894" s="17" t="s">
        <v>3618</v>
      </c>
      <c r="R2894" s="17" t="s">
        <v>86</v>
      </c>
      <c r="S2894" s="17"/>
      <c r="T2894" s="17"/>
      <c r="U2894" s="17"/>
    </row>
    <row r="2895" spans="17:21" x14ac:dyDescent="0.25">
      <c r="Q2895" s="17" t="s">
        <v>3619</v>
      </c>
      <c r="R2895" s="17" t="s">
        <v>86</v>
      </c>
      <c r="S2895" s="17"/>
      <c r="T2895" s="17"/>
      <c r="U2895" s="17"/>
    </row>
    <row r="2896" spans="17:21" x14ac:dyDescent="0.25">
      <c r="Q2896" s="17" t="s">
        <v>3620</v>
      </c>
      <c r="R2896" s="17" t="s">
        <v>86</v>
      </c>
      <c r="S2896" s="17"/>
      <c r="T2896" s="17"/>
      <c r="U2896" s="17"/>
    </row>
    <row r="2897" spans="17:21" x14ac:dyDescent="0.25">
      <c r="Q2897" s="17" t="s">
        <v>3621</v>
      </c>
      <c r="R2897" s="17" t="s">
        <v>86</v>
      </c>
      <c r="S2897" s="17"/>
      <c r="T2897" s="17"/>
      <c r="U2897" s="17"/>
    </row>
    <row r="2898" spans="17:21" x14ac:dyDescent="0.25">
      <c r="Q2898" s="17" t="s">
        <v>3622</v>
      </c>
      <c r="R2898" s="17" t="s">
        <v>86</v>
      </c>
      <c r="S2898" s="17"/>
      <c r="T2898" s="17"/>
      <c r="U2898" s="17"/>
    </row>
    <row r="2899" spans="17:21" x14ac:dyDescent="0.25">
      <c r="Q2899" s="17" t="s">
        <v>743</v>
      </c>
      <c r="R2899" s="17" t="s">
        <v>233</v>
      </c>
      <c r="S2899" s="17"/>
      <c r="T2899" s="17"/>
      <c r="U2899" s="17"/>
    </row>
    <row r="2900" spans="17:21" x14ac:dyDescent="0.25">
      <c r="Q2900" s="17" t="s">
        <v>517</v>
      </c>
      <c r="R2900" s="17" t="s">
        <v>233</v>
      </c>
      <c r="S2900" s="17"/>
      <c r="T2900" s="17"/>
      <c r="U2900" s="17"/>
    </row>
    <row r="2901" spans="17:21" x14ac:dyDescent="0.25">
      <c r="Q2901" s="17" t="s">
        <v>891</v>
      </c>
      <c r="R2901" s="17" t="s">
        <v>233</v>
      </c>
      <c r="S2901" s="17"/>
      <c r="T2901" s="17"/>
      <c r="U2901" s="17"/>
    </row>
    <row r="2902" spans="17:21" x14ac:dyDescent="0.25">
      <c r="Q2902" s="17" t="s">
        <v>3623</v>
      </c>
      <c r="R2902" s="17" t="s">
        <v>233</v>
      </c>
      <c r="S2902" s="17"/>
      <c r="T2902" s="17"/>
      <c r="U2902" s="17"/>
    </row>
    <row r="2903" spans="17:21" x14ac:dyDescent="0.25">
      <c r="Q2903" s="17" t="s">
        <v>3624</v>
      </c>
      <c r="R2903" s="17" t="s">
        <v>233</v>
      </c>
      <c r="S2903" s="17"/>
      <c r="T2903" s="17"/>
      <c r="U2903" s="17"/>
    </row>
    <row r="2904" spans="17:21" x14ac:dyDescent="0.25">
      <c r="Q2904" s="17" t="s">
        <v>3625</v>
      </c>
      <c r="R2904" s="17" t="s">
        <v>233</v>
      </c>
      <c r="S2904" s="17"/>
      <c r="T2904" s="17"/>
      <c r="U2904" s="17"/>
    </row>
    <row r="2905" spans="17:21" x14ac:dyDescent="0.25">
      <c r="Q2905" s="17" t="s">
        <v>3626</v>
      </c>
      <c r="R2905" s="17" t="s">
        <v>233</v>
      </c>
      <c r="S2905" s="17"/>
      <c r="T2905" s="17"/>
      <c r="U2905" s="17"/>
    </row>
    <row r="2906" spans="17:21" x14ac:dyDescent="0.25">
      <c r="Q2906" s="17" t="s">
        <v>3627</v>
      </c>
      <c r="R2906" s="17" t="s">
        <v>233</v>
      </c>
      <c r="S2906" s="17"/>
      <c r="T2906" s="17"/>
      <c r="U2906" s="17"/>
    </row>
    <row r="2907" spans="17:21" x14ac:dyDescent="0.25">
      <c r="Q2907" s="17" t="s">
        <v>3628</v>
      </c>
      <c r="R2907" s="17" t="s">
        <v>233</v>
      </c>
      <c r="S2907" s="17"/>
      <c r="T2907" s="17"/>
      <c r="U2907" s="17"/>
    </row>
    <row r="2908" spans="17:21" x14ac:dyDescent="0.25">
      <c r="Q2908" s="17" t="s">
        <v>3629</v>
      </c>
      <c r="R2908" s="17" t="s">
        <v>233</v>
      </c>
      <c r="S2908" s="17"/>
      <c r="T2908" s="17"/>
      <c r="U2908" s="17"/>
    </row>
    <row r="2909" spans="17:21" x14ac:dyDescent="0.25">
      <c r="Q2909" s="17" t="s">
        <v>3630</v>
      </c>
      <c r="R2909" s="17" t="s">
        <v>86</v>
      </c>
      <c r="S2909" s="17"/>
      <c r="T2909" s="17"/>
      <c r="U2909" s="17"/>
    </row>
    <row r="2910" spans="17:21" x14ac:dyDescent="0.25">
      <c r="Q2910" s="17" t="s">
        <v>3631</v>
      </c>
      <c r="R2910" s="17" t="s">
        <v>86</v>
      </c>
      <c r="S2910" s="17"/>
      <c r="T2910" s="17"/>
      <c r="U2910" s="17"/>
    </row>
    <row r="2911" spans="17:21" x14ac:dyDescent="0.25">
      <c r="Q2911" s="17" t="s">
        <v>3632</v>
      </c>
      <c r="R2911" s="17" t="s">
        <v>86</v>
      </c>
      <c r="S2911" s="17"/>
      <c r="T2911" s="17"/>
      <c r="U2911" s="17"/>
    </row>
    <row r="2912" spans="17:21" x14ac:dyDescent="0.25">
      <c r="Q2912" s="17" t="s">
        <v>3633</v>
      </c>
      <c r="R2912" s="17" t="s">
        <v>86</v>
      </c>
      <c r="S2912" s="17"/>
      <c r="T2912" s="17"/>
      <c r="U2912" s="17"/>
    </row>
    <row r="2913" spans="17:21" x14ac:dyDescent="0.25">
      <c r="Q2913" s="17" t="s">
        <v>3634</v>
      </c>
      <c r="R2913" s="17" t="s">
        <v>255</v>
      </c>
      <c r="S2913" s="17"/>
      <c r="T2913" s="17"/>
      <c r="U2913" s="17"/>
    </row>
    <row r="2914" spans="17:21" x14ac:dyDescent="0.25">
      <c r="Q2914" s="17" t="s">
        <v>3635</v>
      </c>
      <c r="R2914" s="17" t="s">
        <v>255</v>
      </c>
      <c r="S2914" s="17"/>
      <c r="T2914" s="17"/>
      <c r="U2914" s="17"/>
    </row>
    <row r="2915" spans="17:21" x14ac:dyDescent="0.25">
      <c r="Q2915" s="17" t="s">
        <v>3636</v>
      </c>
      <c r="R2915" s="17" t="s">
        <v>255</v>
      </c>
      <c r="S2915" s="17"/>
      <c r="T2915" s="17"/>
      <c r="U2915" s="17"/>
    </row>
    <row r="2916" spans="17:21" x14ac:dyDescent="0.25">
      <c r="Q2916" s="17" t="s">
        <v>3637</v>
      </c>
      <c r="R2916" s="17" t="s">
        <v>255</v>
      </c>
      <c r="S2916" s="17"/>
      <c r="T2916" s="17"/>
      <c r="U2916" s="17"/>
    </row>
    <row r="2917" spans="17:21" x14ac:dyDescent="0.25">
      <c r="Q2917" s="17" t="s">
        <v>3638</v>
      </c>
      <c r="R2917" s="17" t="s">
        <v>255</v>
      </c>
      <c r="S2917" s="17"/>
      <c r="T2917" s="17"/>
      <c r="U2917" s="17"/>
    </row>
    <row r="2918" spans="17:21" x14ac:dyDescent="0.25">
      <c r="Q2918" s="17" t="s">
        <v>983</v>
      </c>
      <c r="R2918" s="17" t="s">
        <v>255</v>
      </c>
      <c r="S2918" s="17"/>
      <c r="T2918" s="17"/>
      <c r="U2918" s="17"/>
    </row>
    <row r="2919" spans="17:21" x14ac:dyDescent="0.25">
      <c r="Q2919" s="17" t="s">
        <v>3639</v>
      </c>
      <c r="R2919" s="17" t="s">
        <v>2239</v>
      </c>
      <c r="S2919" s="17"/>
      <c r="T2919" s="17"/>
      <c r="U2919" s="17"/>
    </row>
    <row r="2920" spans="17:21" x14ac:dyDescent="0.25">
      <c r="Q2920" s="17" t="s">
        <v>3640</v>
      </c>
      <c r="R2920" s="17" t="s">
        <v>2239</v>
      </c>
      <c r="S2920" s="17"/>
      <c r="T2920" s="17"/>
      <c r="U2920" s="17"/>
    </row>
    <row r="2921" spans="17:21" x14ac:dyDescent="0.25">
      <c r="Q2921" s="17" t="s">
        <v>3641</v>
      </c>
      <c r="R2921" s="17" t="s">
        <v>2239</v>
      </c>
      <c r="S2921" s="17"/>
      <c r="T2921" s="17"/>
      <c r="U2921" s="17"/>
    </row>
    <row r="2922" spans="17:21" x14ac:dyDescent="0.25">
      <c r="Q2922" s="17" t="s">
        <v>3642</v>
      </c>
      <c r="R2922" s="17" t="s">
        <v>2239</v>
      </c>
      <c r="S2922" s="17"/>
      <c r="T2922" s="17"/>
      <c r="U2922" s="17"/>
    </row>
    <row r="2923" spans="17:21" x14ac:dyDescent="0.25">
      <c r="Q2923" s="17" t="s">
        <v>3643</v>
      </c>
      <c r="R2923" s="17" t="s">
        <v>2239</v>
      </c>
      <c r="S2923" s="17"/>
      <c r="T2923" s="17"/>
      <c r="U2923" s="17"/>
    </row>
    <row r="2924" spans="17:21" x14ac:dyDescent="0.25">
      <c r="Q2924" s="17" t="s">
        <v>3644</v>
      </c>
      <c r="R2924" s="17" t="s">
        <v>2239</v>
      </c>
      <c r="S2924" s="17"/>
      <c r="T2924" s="17"/>
      <c r="U2924" s="17"/>
    </row>
    <row r="2925" spans="17:21" x14ac:dyDescent="0.25">
      <c r="Q2925" s="17" t="s">
        <v>3645</v>
      </c>
      <c r="R2925" s="17" t="s">
        <v>2239</v>
      </c>
      <c r="S2925" s="17"/>
      <c r="T2925" s="17"/>
      <c r="U2925" s="17"/>
    </row>
    <row r="2926" spans="17:21" x14ac:dyDescent="0.25">
      <c r="Q2926" s="17" t="s">
        <v>3646</v>
      </c>
      <c r="R2926" s="17" t="s">
        <v>2239</v>
      </c>
      <c r="S2926" s="17"/>
      <c r="T2926" s="17"/>
      <c r="U2926" s="17"/>
    </row>
    <row r="2927" spans="17:21" x14ac:dyDescent="0.25">
      <c r="Q2927" s="17" t="s">
        <v>3647</v>
      </c>
      <c r="R2927" s="17" t="s">
        <v>2239</v>
      </c>
      <c r="S2927" s="17"/>
      <c r="T2927" s="17"/>
      <c r="U2927" s="17"/>
    </row>
    <row r="2928" spans="17:21" x14ac:dyDescent="0.25">
      <c r="Q2928" s="17" t="s">
        <v>3648</v>
      </c>
      <c r="R2928" s="17" t="s">
        <v>2239</v>
      </c>
      <c r="S2928" s="17"/>
      <c r="T2928" s="17"/>
      <c r="U2928" s="17"/>
    </row>
    <row r="2929" spans="17:21" x14ac:dyDescent="0.25">
      <c r="Q2929" s="17" t="s">
        <v>3649</v>
      </c>
      <c r="R2929" s="17" t="s">
        <v>2239</v>
      </c>
      <c r="S2929" s="17"/>
      <c r="T2929" s="17"/>
      <c r="U2929" s="17"/>
    </row>
    <row r="2930" spans="17:21" x14ac:dyDescent="0.25">
      <c r="Q2930" s="17" t="s">
        <v>3650</v>
      </c>
      <c r="R2930" s="17" t="s">
        <v>2239</v>
      </c>
      <c r="S2930" s="17"/>
      <c r="T2930" s="17"/>
      <c r="U2930" s="17"/>
    </row>
    <row r="2931" spans="17:21" x14ac:dyDescent="0.25">
      <c r="Q2931" s="17" t="s">
        <v>3651</v>
      </c>
      <c r="R2931" s="17" t="s">
        <v>2239</v>
      </c>
      <c r="S2931" s="17"/>
      <c r="T2931" s="17"/>
      <c r="U2931" s="17"/>
    </row>
    <row r="2932" spans="17:21" x14ac:dyDescent="0.25">
      <c r="Q2932" s="17" t="s">
        <v>3652</v>
      </c>
      <c r="R2932" s="17" t="s">
        <v>2239</v>
      </c>
      <c r="S2932" s="17"/>
      <c r="T2932" s="17"/>
      <c r="U2932" s="17"/>
    </row>
    <row r="2933" spans="17:21" x14ac:dyDescent="0.25">
      <c r="Q2933" s="17" t="s">
        <v>3653</v>
      </c>
      <c r="R2933" s="17" t="s">
        <v>2239</v>
      </c>
      <c r="S2933" s="17"/>
      <c r="T2933" s="17"/>
      <c r="U2933" s="17"/>
    </row>
    <row r="2934" spans="17:21" x14ac:dyDescent="0.25">
      <c r="Q2934" s="17" t="s">
        <v>3654</v>
      </c>
      <c r="R2934" s="17" t="s">
        <v>2239</v>
      </c>
      <c r="S2934" s="17"/>
      <c r="T2934" s="17"/>
      <c r="U2934" s="17"/>
    </row>
    <row r="2935" spans="17:21" x14ac:dyDescent="0.25">
      <c r="Q2935" s="17" t="s">
        <v>3655</v>
      </c>
      <c r="R2935" s="17" t="s">
        <v>86</v>
      </c>
      <c r="S2935" s="17"/>
      <c r="T2935" s="17"/>
      <c r="U2935" s="17"/>
    </row>
    <row r="2936" spans="17:21" x14ac:dyDescent="0.25">
      <c r="Q2936" s="17" t="s">
        <v>3656</v>
      </c>
      <c r="R2936" s="17" t="s">
        <v>2239</v>
      </c>
      <c r="S2936" s="17"/>
      <c r="T2936" s="17"/>
      <c r="U2936" s="17"/>
    </row>
    <row r="2937" spans="17:21" x14ac:dyDescent="0.25">
      <c r="Q2937" s="17" t="s">
        <v>3657</v>
      </c>
      <c r="R2937" s="17" t="s">
        <v>2239</v>
      </c>
      <c r="S2937" s="17"/>
      <c r="T2937" s="17"/>
      <c r="U2937" s="17"/>
    </row>
    <row r="2938" spans="17:21" x14ac:dyDescent="0.25">
      <c r="Q2938" s="17" t="s">
        <v>3658</v>
      </c>
      <c r="R2938" s="17" t="s">
        <v>2239</v>
      </c>
      <c r="S2938" s="17"/>
      <c r="T2938" s="17"/>
      <c r="U2938" s="17"/>
    </row>
    <row r="2939" spans="17:21" x14ac:dyDescent="0.25">
      <c r="Q2939" s="17" t="s">
        <v>3659</v>
      </c>
      <c r="R2939" s="17" t="s">
        <v>2239</v>
      </c>
      <c r="S2939" s="17"/>
      <c r="T2939" s="17"/>
      <c r="U2939" s="17"/>
    </row>
    <row r="2940" spans="17:21" x14ac:dyDescent="0.25">
      <c r="Q2940" s="17" t="s">
        <v>3660</v>
      </c>
      <c r="R2940" s="17" t="s">
        <v>2239</v>
      </c>
      <c r="S2940" s="17"/>
      <c r="T2940" s="17"/>
      <c r="U2940" s="17"/>
    </row>
    <row r="2941" spans="17:21" x14ac:dyDescent="0.25">
      <c r="Q2941" s="17" t="s">
        <v>3661</v>
      </c>
      <c r="R2941" s="17" t="s">
        <v>2239</v>
      </c>
      <c r="S2941" s="17"/>
      <c r="T2941" s="17"/>
      <c r="U2941" s="17"/>
    </row>
    <row r="2942" spans="17:21" x14ac:dyDescent="0.25">
      <c r="Q2942" s="17" t="s">
        <v>3662</v>
      </c>
      <c r="R2942" s="17" t="s">
        <v>2239</v>
      </c>
      <c r="S2942" s="17"/>
      <c r="T2942" s="17"/>
      <c r="U2942" s="17"/>
    </row>
    <row r="2943" spans="17:21" x14ac:dyDescent="0.25">
      <c r="Q2943" s="17" t="s">
        <v>3663</v>
      </c>
      <c r="R2943" s="17" t="s">
        <v>2239</v>
      </c>
      <c r="S2943" s="17"/>
      <c r="T2943" s="17"/>
      <c r="U2943" s="17"/>
    </row>
    <row r="2944" spans="17:21" x14ac:dyDescent="0.25">
      <c r="Q2944" s="17" t="s">
        <v>3664</v>
      </c>
      <c r="R2944" s="17" t="s">
        <v>2239</v>
      </c>
      <c r="S2944" s="17"/>
      <c r="T2944" s="17"/>
      <c r="U2944" s="17"/>
    </row>
    <row r="2945" spans="17:21" x14ac:dyDescent="0.25">
      <c r="Q2945" s="17" t="s">
        <v>3665</v>
      </c>
      <c r="R2945" s="17" t="s">
        <v>2239</v>
      </c>
      <c r="S2945" s="17"/>
      <c r="T2945" s="17"/>
      <c r="U2945" s="17"/>
    </row>
    <row r="2946" spans="17:21" x14ac:dyDescent="0.25">
      <c r="Q2946" s="17" t="s">
        <v>3666</v>
      </c>
      <c r="R2946" s="17" t="s">
        <v>86</v>
      </c>
      <c r="S2946" s="17"/>
      <c r="T2946" s="17"/>
      <c r="U2946" s="17"/>
    </row>
    <row r="2947" spans="17:21" x14ac:dyDescent="0.25">
      <c r="Q2947" s="17" t="s">
        <v>3667</v>
      </c>
      <c r="R2947" s="17" t="s">
        <v>86</v>
      </c>
      <c r="S2947" s="17"/>
      <c r="T2947" s="17"/>
      <c r="U2947" s="17"/>
    </row>
    <row r="2948" spans="17:21" x14ac:dyDescent="0.25">
      <c r="Q2948" s="17" t="s">
        <v>3668</v>
      </c>
      <c r="R2948" s="17" t="s">
        <v>2239</v>
      </c>
      <c r="S2948" s="17"/>
      <c r="T2948" s="17"/>
      <c r="U2948" s="17"/>
    </row>
    <row r="2949" spans="17:21" x14ac:dyDescent="0.25">
      <c r="Q2949" s="17" t="s">
        <v>984</v>
      </c>
      <c r="R2949" s="17" t="s">
        <v>251</v>
      </c>
      <c r="S2949" s="17"/>
      <c r="T2949" s="17"/>
      <c r="U2949" s="17"/>
    </row>
    <row r="2950" spans="17:21" x14ac:dyDescent="0.25">
      <c r="Q2950" s="17" t="s">
        <v>956</v>
      </c>
      <c r="R2950" s="17" t="s">
        <v>251</v>
      </c>
      <c r="S2950" s="17"/>
      <c r="T2950" s="17"/>
      <c r="U2950" s="17"/>
    </row>
    <row r="2951" spans="17:21" x14ac:dyDescent="0.25">
      <c r="Q2951" s="17" t="s">
        <v>3669</v>
      </c>
      <c r="R2951" s="17" t="s">
        <v>251</v>
      </c>
      <c r="S2951" s="17"/>
      <c r="T2951" s="17"/>
      <c r="U2951" s="17"/>
    </row>
    <row r="2952" spans="17:21" x14ac:dyDescent="0.25">
      <c r="Q2952" s="17" t="s">
        <v>985</v>
      </c>
      <c r="R2952" s="17" t="s">
        <v>251</v>
      </c>
      <c r="S2952" s="17"/>
      <c r="T2952" s="17"/>
      <c r="U2952" s="17"/>
    </row>
    <row r="2953" spans="17:21" x14ac:dyDescent="0.25">
      <c r="Q2953" s="17" t="s">
        <v>3670</v>
      </c>
      <c r="R2953" s="17" t="s">
        <v>251</v>
      </c>
      <c r="S2953" s="17"/>
      <c r="T2953" s="17"/>
      <c r="U2953" s="17"/>
    </row>
    <row r="2954" spans="17:21" x14ac:dyDescent="0.25">
      <c r="Q2954" s="17" t="s">
        <v>986</v>
      </c>
      <c r="R2954" s="17" t="s">
        <v>251</v>
      </c>
      <c r="S2954" s="17"/>
      <c r="T2954" s="17"/>
      <c r="U2954" s="17"/>
    </row>
    <row r="2955" spans="17:21" x14ac:dyDescent="0.25">
      <c r="Q2955" s="17" t="s">
        <v>3671</v>
      </c>
      <c r="R2955" s="17" t="s">
        <v>251</v>
      </c>
      <c r="S2955" s="17"/>
      <c r="T2955" s="17"/>
      <c r="U2955" s="17"/>
    </row>
    <row r="2956" spans="17:21" x14ac:dyDescent="0.25">
      <c r="Q2956" s="17" t="s">
        <v>442</v>
      </c>
      <c r="R2956" s="17" t="s">
        <v>251</v>
      </c>
      <c r="S2956" s="17"/>
      <c r="T2956" s="17"/>
      <c r="U2956" s="17"/>
    </row>
    <row r="2957" spans="17:21" x14ac:dyDescent="0.25">
      <c r="Q2957" s="17" t="s">
        <v>3672</v>
      </c>
      <c r="R2957" s="17" t="s">
        <v>86</v>
      </c>
      <c r="S2957" s="17"/>
      <c r="T2957" s="17"/>
      <c r="U2957" s="17"/>
    </row>
    <row r="2958" spans="17:21" x14ac:dyDescent="0.25">
      <c r="Q2958" s="17" t="s">
        <v>3673</v>
      </c>
      <c r="R2958" s="17" t="s">
        <v>2239</v>
      </c>
      <c r="S2958" s="17"/>
      <c r="T2958" s="17"/>
      <c r="U2958" s="17"/>
    </row>
    <row r="2959" spans="17:21" x14ac:dyDescent="0.25">
      <c r="Q2959" s="17" t="s">
        <v>3674</v>
      </c>
      <c r="R2959" s="17" t="s">
        <v>2239</v>
      </c>
      <c r="S2959" s="17"/>
      <c r="T2959" s="17"/>
      <c r="U2959" s="17"/>
    </row>
    <row r="2960" spans="17:21" x14ac:dyDescent="0.25">
      <c r="Q2960" s="17" t="s">
        <v>3675</v>
      </c>
      <c r="R2960" s="17" t="s">
        <v>2239</v>
      </c>
      <c r="S2960" s="17"/>
      <c r="T2960" s="17"/>
      <c r="U2960" s="17"/>
    </row>
    <row r="2961" spans="17:21" x14ac:dyDescent="0.25">
      <c r="Q2961" s="17" t="s">
        <v>3676</v>
      </c>
      <c r="R2961" s="17" t="s">
        <v>2239</v>
      </c>
      <c r="S2961" s="17"/>
      <c r="T2961" s="17"/>
      <c r="U2961" s="17"/>
    </row>
    <row r="2962" spans="17:21" x14ac:dyDescent="0.25">
      <c r="Q2962" s="17" t="s">
        <v>3677</v>
      </c>
      <c r="R2962" s="17" t="s">
        <v>2239</v>
      </c>
      <c r="S2962" s="17"/>
      <c r="T2962" s="17"/>
      <c r="U2962" s="17"/>
    </row>
    <row r="2963" spans="17:21" x14ac:dyDescent="0.25">
      <c r="Q2963" s="17" t="s">
        <v>3678</v>
      </c>
      <c r="R2963" s="17" t="s">
        <v>2239</v>
      </c>
      <c r="S2963" s="17"/>
      <c r="T2963" s="17"/>
      <c r="U2963" s="17"/>
    </row>
    <row r="2964" spans="17:21" x14ac:dyDescent="0.25">
      <c r="Q2964" s="17" t="s">
        <v>3679</v>
      </c>
      <c r="R2964" s="17" t="s">
        <v>2239</v>
      </c>
      <c r="S2964" s="17"/>
      <c r="T2964" s="17"/>
      <c r="U2964" s="17"/>
    </row>
    <row r="2965" spans="17:21" x14ac:dyDescent="0.25">
      <c r="Q2965" s="17" t="s">
        <v>3680</v>
      </c>
      <c r="R2965" s="17" t="s">
        <v>2239</v>
      </c>
      <c r="S2965" s="17"/>
      <c r="T2965" s="17"/>
      <c r="U2965" s="17"/>
    </row>
    <row r="2966" spans="17:21" x14ac:dyDescent="0.25">
      <c r="Q2966" s="17" t="s">
        <v>3681</v>
      </c>
      <c r="R2966" s="17" t="s">
        <v>2239</v>
      </c>
      <c r="S2966" s="17"/>
      <c r="T2966" s="17"/>
      <c r="U2966" s="17"/>
    </row>
    <row r="2967" spans="17:21" x14ac:dyDescent="0.25">
      <c r="Q2967" s="17" t="s">
        <v>3682</v>
      </c>
      <c r="R2967" s="17" t="s">
        <v>2239</v>
      </c>
      <c r="S2967" s="17"/>
      <c r="T2967" s="17"/>
      <c r="U2967" s="17"/>
    </row>
    <row r="2968" spans="17:21" x14ac:dyDescent="0.25">
      <c r="Q2968" s="17" t="s">
        <v>3683</v>
      </c>
      <c r="R2968" s="17" t="s">
        <v>2239</v>
      </c>
      <c r="S2968" s="17"/>
      <c r="T2968" s="17"/>
      <c r="U2968" s="17"/>
    </row>
    <row r="2969" spans="17:21" x14ac:dyDescent="0.25">
      <c r="Q2969" s="17" t="s">
        <v>3684</v>
      </c>
      <c r="R2969" s="17" t="s">
        <v>86</v>
      </c>
      <c r="S2969" s="17"/>
      <c r="T2969" s="17"/>
      <c r="U2969" s="17"/>
    </row>
    <row r="2970" spans="17:21" x14ac:dyDescent="0.25">
      <c r="Q2970" s="17" t="s">
        <v>3685</v>
      </c>
      <c r="R2970" s="17" t="s">
        <v>86</v>
      </c>
      <c r="S2970" s="17"/>
      <c r="T2970" s="17"/>
      <c r="U2970" s="17"/>
    </row>
    <row r="2971" spans="17:21" x14ac:dyDescent="0.25">
      <c r="Q2971" s="17" t="s">
        <v>3686</v>
      </c>
      <c r="R2971" s="17" t="s">
        <v>86</v>
      </c>
      <c r="S2971" s="17"/>
      <c r="T2971" s="17"/>
      <c r="U2971" s="17"/>
    </row>
    <row r="2972" spans="17:21" x14ac:dyDescent="0.25">
      <c r="Q2972" s="17" t="s">
        <v>3687</v>
      </c>
      <c r="R2972" s="17" t="s">
        <v>86</v>
      </c>
      <c r="S2972" s="17"/>
      <c r="T2972" s="17"/>
      <c r="U2972" s="17"/>
    </row>
    <row r="2973" spans="17:21" x14ac:dyDescent="0.25">
      <c r="Q2973" s="17" t="s">
        <v>3688</v>
      </c>
      <c r="R2973" s="17" t="s">
        <v>86</v>
      </c>
      <c r="S2973" s="17"/>
      <c r="T2973" s="17"/>
      <c r="U2973" s="17"/>
    </row>
    <row r="2974" spans="17:21" x14ac:dyDescent="0.25">
      <c r="Q2974" s="17" t="s">
        <v>3689</v>
      </c>
      <c r="R2974" s="17" t="s">
        <v>86</v>
      </c>
      <c r="S2974" s="17"/>
      <c r="T2974" s="17"/>
      <c r="U2974" s="17"/>
    </row>
    <row r="2975" spans="17:21" x14ac:dyDescent="0.25">
      <c r="Q2975" s="17" t="s">
        <v>3690</v>
      </c>
      <c r="R2975" s="17" t="s">
        <v>86</v>
      </c>
      <c r="S2975" s="17"/>
      <c r="T2975" s="17"/>
      <c r="U2975" s="17"/>
    </row>
    <row r="2976" spans="17:21" x14ac:dyDescent="0.25">
      <c r="Q2976" s="17" t="s">
        <v>3691</v>
      </c>
      <c r="R2976" s="17" t="s">
        <v>86</v>
      </c>
      <c r="S2976" s="17"/>
      <c r="T2976" s="17"/>
      <c r="U2976" s="17"/>
    </row>
    <row r="2977" spans="17:21" x14ac:dyDescent="0.25">
      <c r="Q2977" s="17" t="s">
        <v>3692</v>
      </c>
      <c r="R2977" s="17" t="s">
        <v>86</v>
      </c>
      <c r="S2977" s="17"/>
      <c r="T2977" s="17"/>
      <c r="U2977" s="17"/>
    </row>
    <row r="2978" spans="17:21" x14ac:dyDescent="0.25">
      <c r="Q2978" s="17" t="s">
        <v>3693</v>
      </c>
      <c r="R2978" s="17" t="s">
        <v>86</v>
      </c>
      <c r="S2978" s="17"/>
      <c r="T2978" s="17"/>
      <c r="U2978" s="17"/>
    </row>
    <row r="2979" spans="17:21" x14ac:dyDescent="0.25">
      <c r="Q2979" s="17" t="s">
        <v>3694</v>
      </c>
      <c r="R2979" s="17" t="s">
        <v>86</v>
      </c>
      <c r="S2979" s="17"/>
      <c r="T2979" s="17"/>
      <c r="U2979" s="17"/>
    </row>
    <row r="2980" spans="17:21" x14ac:dyDescent="0.25">
      <c r="Q2980" s="17" t="s">
        <v>3695</v>
      </c>
      <c r="R2980" s="17" t="s">
        <v>86</v>
      </c>
      <c r="S2980" s="17"/>
      <c r="T2980" s="17"/>
      <c r="U2980" s="17"/>
    </row>
    <row r="2981" spans="17:21" x14ac:dyDescent="0.25">
      <c r="Q2981" s="17" t="s">
        <v>3696</v>
      </c>
      <c r="R2981" s="17" t="s">
        <v>2239</v>
      </c>
      <c r="S2981" s="17"/>
      <c r="T2981" s="17"/>
      <c r="U2981" s="17"/>
    </row>
    <row r="2982" spans="17:21" x14ac:dyDescent="0.25">
      <c r="Q2982" s="17" t="s">
        <v>3697</v>
      </c>
      <c r="R2982" s="17" t="s">
        <v>86</v>
      </c>
      <c r="S2982" s="17"/>
      <c r="T2982" s="17"/>
      <c r="U2982" s="17"/>
    </row>
    <row r="2983" spans="17:21" x14ac:dyDescent="0.25">
      <c r="Q2983" s="17" t="s">
        <v>3698</v>
      </c>
      <c r="R2983" s="17" t="s">
        <v>86</v>
      </c>
      <c r="S2983" s="17"/>
      <c r="T2983" s="17"/>
      <c r="U2983" s="17"/>
    </row>
    <row r="2984" spans="17:21" x14ac:dyDescent="0.25">
      <c r="Q2984" s="17" t="s">
        <v>3699</v>
      </c>
      <c r="R2984" s="17" t="s">
        <v>86</v>
      </c>
      <c r="S2984" s="17"/>
      <c r="T2984" s="17"/>
      <c r="U2984" s="17"/>
    </row>
    <row r="2985" spans="17:21" x14ac:dyDescent="0.25">
      <c r="Q2985" s="17" t="s">
        <v>3700</v>
      </c>
      <c r="R2985" s="17" t="s">
        <v>86</v>
      </c>
      <c r="S2985" s="17"/>
      <c r="T2985" s="17"/>
      <c r="U2985" s="17"/>
    </row>
    <row r="2986" spans="17:21" x14ac:dyDescent="0.25">
      <c r="Q2986" s="17" t="s">
        <v>3701</v>
      </c>
      <c r="R2986" s="17" t="s">
        <v>86</v>
      </c>
      <c r="S2986" s="17"/>
      <c r="T2986" s="17"/>
      <c r="U2986" s="17"/>
    </row>
    <row r="2987" spans="17:21" x14ac:dyDescent="0.25">
      <c r="Q2987" s="17" t="s">
        <v>3702</v>
      </c>
      <c r="R2987" s="17" t="s">
        <v>86</v>
      </c>
      <c r="S2987" s="17"/>
      <c r="T2987" s="17"/>
      <c r="U2987" s="17"/>
    </row>
    <row r="2988" spans="17:21" x14ac:dyDescent="0.25">
      <c r="Q2988" s="17" t="s">
        <v>3703</v>
      </c>
      <c r="R2988" s="17" t="s">
        <v>86</v>
      </c>
      <c r="S2988" s="17"/>
      <c r="T2988" s="17"/>
      <c r="U2988" s="17"/>
    </row>
    <row r="2989" spans="17:21" x14ac:dyDescent="0.25">
      <c r="Q2989" s="17" t="s">
        <v>3704</v>
      </c>
      <c r="R2989" s="17" t="s">
        <v>86</v>
      </c>
      <c r="S2989" s="17"/>
      <c r="T2989" s="17"/>
      <c r="U2989" s="17"/>
    </row>
    <row r="2990" spans="17:21" x14ac:dyDescent="0.25">
      <c r="Q2990" s="17" t="s">
        <v>3705</v>
      </c>
      <c r="R2990" s="17" t="s">
        <v>86</v>
      </c>
      <c r="S2990" s="17"/>
      <c r="T2990" s="17"/>
      <c r="U2990" s="17"/>
    </row>
    <row r="2991" spans="17:21" x14ac:dyDescent="0.25">
      <c r="Q2991" s="17" t="s">
        <v>3706</v>
      </c>
      <c r="R2991" s="17" t="s">
        <v>86</v>
      </c>
      <c r="S2991" s="17"/>
      <c r="T2991" s="17"/>
      <c r="U2991" s="17"/>
    </row>
    <row r="2992" spans="17:21" x14ac:dyDescent="0.25">
      <c r="Q2992" s="17" t="s">
        <v>3707</v>
      </c>
      <c r="R2992" s="17" t="s">
        <v>249</v>
      </c>
      <c r="S2992" s="17"/>
      <c r="T2992" s="17"/>
      <c r="U2992" s="17"/>
    </row>
    <row r="2993" spans="17:21" x14ac:dyDescent="0.25">
      <c r="Q2993" s="17" t="s">
        <v>3708</v>
      </c>
      <c r="R2993" s="17" t="s">
        <v>249</v>
      </c>
      <c r="S2993" s="17"/>
      <c r="T2993" s="17"/>
      <c r="U2993" s="17"/>
    </row>
    <row r="2994" spans="17:21" x14ac:dyDescent="0.25">
      <c r="Q2994" s="17" t="s">
        <v>3709</v>
      </c>
      <c r="R2994" s="17" t="s">
        <v>2239</v>
      </c>
      <c r="S2994" s="17"/>
      <c r="T2994" s="17"/>
      <c r="U2994" s="17"/>
    </row>
    <row r="2995" spans="17:21" x14ac:dyDescent="0.25">
      <c r="Q2995" s="17" t="s">
        <v>3710</v>
      </c>
      <c r="R2995" s="17" t="s">
        <v>2239</v>
      </c>
      <c r="S2995" s="17"/>
      <c r="T2995" s="17"/>
      <c r="U2995" s="17"/>
    </row>
    <row r="2996" spans="17:21" x14ac:dyDescent="0.25">
      <c r="Q2996" s="17" t="s">
        <v>3711</v>
      </c>
      <c r="R2996" s="17" t="s">
        <v>2239</v>
      </c>
      <c r="S2996" s="17"/>
      <c r="T2996" s="17"/>
      <c r="U2996" s="17"/>
    </row>
    <row r="2997" spans="17:21" x14ac:dyDescent="0.25">
      <c r="Q2997" s="17" t="s">
        <v>3712</v>
      </c>
      <c r="R2997" s="17" t="s">
        <v>2239</v>
      </c>
      <c r="S2997" s="17"/>
      <c r="T2997" s="17"/>
      <c r="U2997" s="17"/>
    </row>
    <row r="2998" spans="17:21" x14ac:dyDescent="0.25">
      <c r="Q2998" s="17" t="s">
        <v>3713</v>
      </c>
      <c r="R2998" s="17" t="s">
        <v>2239</v>
      </c>
      <c r="S2998" s="17"/>
      <c r="T2998" s="17"/>
      <c r="U2998" s="17"/>
    </row>
    <row r="2999" spans="17:21" x14ac:dyDescent="0.25">
      <c r="Q2999" s="17" t="s">
        <v>3714</v>
      </c>
      <c r="R2999" s="17" t="s">
        <v>2239</v>
      </c>
      <c r="S2999" s="17"/>
      <c r="T2999" s="17"/>
      <c r="U2999" s="17"/>
    </row>
    <row r="3000" spans="17:21" x14ac:dyDescent="0.25">
      <c r="Q3000" s="17" t="s">
        <v>3715</v>
      </c>
      <c r="R3000" s="17" t="s">
        <v>2239</v>
      </c>
      <c r="S3000" s="17"/>
      <c r="T3000" s="17"/>
      <c r="U3000" s="17"/>
    </row>
    <row r="3001" spans="17:21" x14ac:dyDescent="0.25">
      <c r="Q3001" s="17" t="s">
        <v>3716</v>
      </c>
      <c r="R3001" s="17" t="s">
        <v>2239</v>
      </c>
      <c r="S3001" s="17"/>
      <c r="T3001" s="17"/>
      <c r="U3001" s="17"/>
    </row>
    <row r="3002" spans="17:21" x14ac:dyDescent="0.25">
      <c r="Q3002" s="17" t="s">
        <v>3717</v>
      </c>
      <c r="R3002" s="17" t="s">
        <v>2239</v>
      </c>
      <c r="S3002" s="17"/>
      <c r="T3002" s="17"/>
      <c r="U3002" s="17"/>
    </row>
    <row r="3003" spans="17:21" x14ac:dyDescent="0.25">
      <c r="Q3003" s="17" t="s">
        <v>3718</v>
      </c>
      <c r="R3003" s="17" t="s">
        <v>2239</v>
      </c>
      <c r="S3003" s="17"/>
      <c r="T3003" s="17"/>
      <c r="U3003" s="17"/>
    </row>
    <row r="3004" spans="17:21" x14ac:dyDescent="0.25">
      <c r="Q3004" s="17" t="s">
        <v>3719</v>
      </c>
      <c r="R3004" s="17" t="s">
        <v>2239</v>
      </c>
      <c r="S3004" s="17"/>
      <c r="T3004" s="17"/>
      <c r="U3004" s="17"/>
    </row>
    <row r="3005" spans="17:21" x14ac:dyDescent="0.25">
      <c r="Q3005" s="17" t="s">
        <v>3720</v>
      </c>
      <c r="R3005" s="17" t="s">
        <v>2239</v>
      </c>
      <c r="S3005" s="17"/>
      <c r="T3005" s="17"/>
      <c r="U3005" s="17"/>
    </row>
    <row r="3006" spans="17:21" x14ac:dyDescent="0.25">
      <c r="Q3006" s="17" t="s">
        <v>3721</v>
      </c>
      <c r="R3006" s="17" t="s">
        <v>2239</v>
      </c>
      <c r="S3006" s="17"/>
      <c r="T3006" s="17"/>
      <c r="U3006" s="17"/>
    </row>
    <row r="3007" spans="17:21" x14ac:dyDescent="0.25">
      <c r="Q3007" s="17" t="s">
        <v>3722</v>
      </c>
      <c r="R3007" s="17" t="s">
        <v>2996</v>
      </c>
      <c r="S3007" s="17"/>
      <c r="T3007" s="17"/>
      <c r="U3007" s="17"/>
    </row>
    <row r="3008" spans="17:21" x14ac:dyDescent="0.25">
      <c r="Q3008" s="17" t="s">
        <v>3723</v>
      </c>
      <c r="R3008" s="17" t="s">
        <v>2996</v>
      </c>
      <c r="S3008" s="17"/>
      <c r="T3008" s="17"/>
      <c r="U3008" s="17"/>
    </row>
    <row r="3009" spans="17:21" x14ac:dyDescent="0.25">
      <c r="Q3009" s="17" t="s">
        <v>3724</v>
      </c>
      <c r="R3009" s="17" t="s">
        <v>2996</v>
      </c>
      <c r="S3009" s="17"/>
      <c r="T3009" s="17"/>
      <c r="U3009" s="17"/>
    </row>
    <row r="3010" spans="17:21" x14ac:dyDescent="0.25">
      <c r="Q3010" s="17" t="s">
        <v>3725</v>
      </c>
      <c r="R3010" s="17" t="s">
        <v>2996</v>
      </c>
      <c r="S3010" s="17"/>
      <c r="T3010" s="17"/>
      <c r="U3010" s="17"/>
    </row>
    <row r="3011" spans="17:21" x14ac:dyDescent="0.25">
      <c r="Q3011" s="17" t="s">
        <v>3726</v>
      </c>
      <c r="R3011" s="17" t="s">
        <v>2830</v>
      </c>
      <c r="S3011" s="17"/>
      <c r="T3011" s="17"/>
      <c r="U3011" s="17"/>
    </row>
    <row r="3012" spans="17:21" x14ac:dyDescent="0.25">
      <c r="Q3012" s="17" t="s">
        <v>3727</v>
      </c>
      <c r="R3012" s="17" t="s">
        <v>2239</v>
      </c>
      <c r="S3012" s="17"/>
      <c r="T3012" s="17"/>
      <c r="U3012" s="17"/>
    </row>
    <row r="3013" spans="17:21" x14ac:dyDescent="0.25">
      <c r="Q3013" s="17" t="s">
        <v>3728</v>
      </c>
      <c r="R3013" s="17" t="s">
        <v>2239</v>
      </c>
      <c r="S3013" s="17"/>
      <c r="T3013" s="17"/>
      <c r="U3013" s="17"/>
    </row>
    <row r="3014" spans="17:21" x14ac:dyDescent="0.25">
      <c r="Q3014" s="17" t="s">
        <v>3729</v>
      </c>
      <c r="R3014" s="17" t="s">
        <v>2239</v>
      </c>
      <c r="S3014" s="17"/>
      <c r="T3014" s="17"/>
      <c r="U3014" s="17"/>
    </row>
    <row r="3015" spans="17:21" x14ac:dyDescent="0.25">
      <c r="Q3015" s="17" t="s">
        <v>3730</v>
      </c>
      <c r="R3015" s="17" t="s">
        <v>2239</v>
      </c>
      <c r="S3015" s="17"/>
      <c r="T3015" s="17"/>
      <c r="U3015" s="17"/>
    </row>
    <row r="3016" spans="17:21" x14ac:dyDescent="0.25">
      <c r="Q3016" s="17" t="s">
        <v>3731</v>
      </c>
      <c r="R3016" s="17" t="s">
        <v>2239</v>
      </c>
      <c r="S3016" s="17"/>
      <c r="T3016" s="17"/>
      <c r="U3016" s="17"/>
    </row>
    <row r="3017" spans="17:21" x14ac:dyDescent="0.25">
      <c r="Q3017" s="17" t="s">
        <v>3732</v>
      </c>
      <c r="R3017" s="17" t="s">
        <v>2239</v>
      </c>
      <c r="S3017" s="17"/>
      <c r="T3017" s="17"/>
      <c r="U3017" s="17"/>
    </row>
    <row r="3018" spans="17:21" x14ac:dyDescent="0.25">
      <c r="Q3018" s="17" t="s">
        <v>3733</v>
      </c>
      <c r="R3018" s="17" t="s">
        <v>2239</v>
      </c>
      <c r="S3018" s="17"/>
      <c r="T3018" s="17"/>
      <c r="U3018" s="17"/>
    </row>
    <row r="3019" spans="17:21" x14ac:dyDescent="0.25">
      <c r="Q3019" s="17" t="s">
        <v>3734</v>
      </c>
      <c r="R3019" s="17" t="s">
        <v>2239</v>
      </c>
      <c r="S3019" s="17"/>
      <c r="T3019" s="17"/>
      <c r="U3019" s="17"/>
    </row>
    <row r="3020" spans="17:21" x14ac:dyDescent="0.25">
      <c r="Q3020" s="17" t="s">
        <v>3735</v>
      </c>
      <c r="R3020" s="17" t="s">
        <v>2239</v>
      </c>
      <c r="S3020" s="17"/>
      <c r="T3020" s="17"/>
      <c r="U3020" s="17"/>
    </row>
    <row r="3021" spans="17:21" x14ac:dyDescent="0.25">
      <c r="Q3021" s="17" t="s">
        <v>3736</v>
      </c>
      <c r="R3021" s="17" t="s">
        <v>2239</v>
      </c>
      <c r="S3021" s="17"/>
      <c r="T3021" s="17"/>
      <c r="U3021" s="17"/>
    </row>
    <row r="3022" spans="17:21" x14ac:dyDescent="0.25">
      <c r="Q3022" s="17" t="s">
        <v>3737</v>
      </c>
      <c r="R3022" s="17" t="s">
        <v>2239</v>
      </c>
      <c r="S3022" s="17"/>
      <c r="T3022" s="17"/>
      <c r="U3022" s="17"/>
    </row>
    <row r="3023" spans="17:21" x14ac:dyDescent="0.25">
      <c r="Q3023" s="17" t="s">
        <v>3738</v>
      </c>
      <c r="R3023" s="17" t="s">
        <v>2239</v>
      </c>
      <c r="S3023" s="17"/>
      <c r="T3023" s="17"/>
      <c r="U3023" s="17"/>
    </row>
    <row r="3024" spans="17:21" x14ac:dyDescent="0.25">
      <c r="Q3024" s="17" t="s">
        <v>3739</v>
      </c>
      <c r="R3024" s="17" t="s">
        <v>2239</v>
      </c>
      <c r="S3024" s="17"/>
      <c r="T3024" s="17"/>
      <c r="U3024" s="17"/>
    </row>
    <row r="3025" spans="17:21" x14ac:dyDescent="0.25">
      <c r="Q3025" s="17" t="s">
        <v>3740</v>
      </c>
      <c r="R3025" s="17" t="s">
        <v>2912</v>
      </c>
      <c r="S3025" s="17"/>
      <c r="T3025" s="17"/>
      <c r="U3025" s="17"/>
    </row>
    <row r="3026" spans="17:21" x14ac:dyDescent="0.25">
      <c r="Q3026" s="17" t="s">
        <v>3741</v>
      </c>
      <c r="R3026" s="17" t="s">
        <v>2239</v>
      </c>
      <c r="S3026" s="17"/>
      <c r="T3026" s="17"/>
      <c r="U3026" s="17"/>
    </row>
    <row r="3027" spans="17:21" x14ac:dyDescent="0.25">
      <c r="Q3027" s="17" t="s">
        <v>3742</v>
      </c>
      <c r="R3027" s="17" t="s">
        <v>2912</v>
      </c>
      <c r="S3027" s="17"/>
      <c r="T3027" s="17"/>
      <c r="U3027" s="17"/>
    </row>
    <row r="3028" spans="17:21" x14ac:dyDescent="0.25">
      <c r="Q3028" s="17" t="s">
        <v>3743</v>
      </c>
      <c r="R3028" s="17" t="s">
        <v>2912</v>
      </c>
      <c r="S3028" s="17"/>
      <c r="T3028" s="17"/>
      <c r="U3028" s="17"/>
    </row>
    <row r="3029" spans="17:21" x14ac:dyDescent="0.25">
      <c r="Q3029" s="17" t="s">
        <v>3744</v>
      </c>
      <c r="R3029" s="17" t="s">
        <v>2239</v>
      </c>
      <c r="S3029" s="17"/>
      <c r="T3029" s="17"/>
      <c r="U3029" s="17"/>
    </row>
    <row r="3030" spans="17:21" x14ac:dyDescent="0.25">
      <c r="Q3030" s="17" t="s">
        <v>3745</v>
      </c>
      <c r="R3030" s="17" t="s">
        <v>2912</v>
      </c>
      <c r="S3030" s="17"/>
      <c r="T3030" s="17"/>
      <c r="U3030" s="17"/>
    </row>
    <row r="3031" spans="17:21" x14ac:dyDescent="0.25">
      <c r="Q3031" s="17" t="s">
        <v>3746</v>
      </c>
      <c r="R3031" s="17" t="s">
        <v>2239</v>
      </c>
      <c r="S3031" s="17"/>
      <c r="T3031" s="17"/>
      <c r="U3031" s="17"/>
    </row>
    <row r="3032" spans="17:21" x14ac:dyDescent="0.25">
      <c r="Q3032" s="17" t="s">
        <v>3747</v>
      </c>
      <c r="R3032" s="17" t="s">
        <v>2239</v>
      </c>
      <c r="S3032" s="17"/>
      <c r="T3032" s="17"/>
      <c r="U3032" s="17"/>
    </row>
    <row r="3033" spans="17:21" x14ac:dyDescent="0.25">
      <c r="Q3033" s="17" t="s">
        <v>3748</v>
      </c>
      <c r="R3033" s="17" t="s">
        <v>2239</v>
      </c>
      <c r="S3033" s="17"/>
      <c r="T3033" s="17"/>
      <c r="U3033" s="17"/>
    </row>
    <row r="3034" spans="17:21" x14ac:dyDescent="0.25">
      <c r="Q3034" s="17" t="s">
        <v>3749</v>
      </c>
      <c r="R3034" s="17" t="s">
        <v>2239</v>
      </c>
      <c r="S3034" s="17"/>
      <c r="T3034" s="17"/>
      <c r="U3034" s="17"/>
    </row>
    <row r="3035" spans="17:21" x14ac:dyDescent="0.25">
      <c r="Q3035" s="17" t="s">
        <v>3750</v>
      </c>
      <c r="R3035" s="17" t="s">
        <v>2239</v>
      </c>
      <c r="S3035" s="17"/>
      <c r="T3035" s="17"/>
      <c r="U3035" s="17"/>
    </row>
    <row r="3036" spans="17:21" x14ac:dyDescent="0.25">
      <c r="Q3036" s="17" t="s">
        <v>3751</v>
      </c>
      <c r="R3036" s="17" t="s">
        <v>2239</v>
      </c>
      <c r="S3036" s="17"/>
      <c r="T3036" s="17"/>
      <c r="U3036" s="17"/>
    </row>
    <row r="3037" spans="17:21" x14ac:dyDescent="0.25">
      <c r="Q3037" s="17" t="s">
        <v>3752</v>
      </c>
      <c r="R3037" s="17" t="s">
        <v>2239</v>
      </c>
      <c r="S3037" s="17"/>
      <c r="T3037" s="17"/>
      <c r="U3037" s="17"/>
    </row>
    <row r="3038" spans="17:21" x14ac:dyDescent="0.25">
      <c r="Q3038" s="17" t="s">
        <v>3753</v>
      </c>
      <c r="R3038" s="17" t="s">
        <v>2239</v>
      </c>
      <c r="S3038" s="17"/>
      <c r="T3038" s="17"/>
      <c r="U3038" s="17"/>
    </row>
    <row r="3039" spans="17:21" x14ac:dyDescent="0.25">
      <c r="Q3039" s="17" t="s">
        <v>3754</v>
      </c>
      <c r="R3039" s="17" t="s">
        <v>2239</v>
      </c>
      <c r="S3039" s="17"/>
      <c r="T3039" s="17"/>
      <c r="U3039" s="17"/>
    </row>
    <row r="3040" spans="17:21" x14ac:dyDescent="0.25">
      <c r="Q3040" s="17" t="s">
        <v>3755</v>
      </c>
      <c r="R3040" s="17" t="s">
        <v>2239</v>
      </c>
      <c r="S3040" s="17"/>
      <c r="T3040" s="17"/>
      <c r="U3040" s="17"/>
    </row>
    <row r="3041" spans="17:21" x14ac:dyDescent="0.25">
      <c r="Q3041" s="17" t="s">
        <v>3756</v>
      </c>
      <c r="R3041" s="17" t="s">
        <v>2239</v>
      </c>
      <c r="S3041" s="17"/>
      <c r="T3041" s="17"/>
      <c r="U3041" s="17"/>
    </row>
    <row r="3042" spans="17:21" x14ac:dyDescent="0.25">
      <c r="Q3042" s="17" t="s">
        <v>3757</v>
      </c>
      <c r="R3042" s="17" t="s">
        <v>2239</v>
      </c>
      <c r="S3042" s="17"/>
      <c r="T3042" s="17"/>
      <c r="U3042" s="17"/>
    </row>
    <row r="3043" spans="17:21" x14ac:dyDescent="0.25">
      <c r="Q3043" s="17" t="s">
        <v>3758</v>
      </c>
      <c r="R3043" s="17" t="s">
        <v>2239</v>
      </c>
      <c r="S3043" s="17"/>
      <c r="T3043" s="17"/>
      <c r="U3043" s="17"/>
    </row>
    <row r="3044" spans="17:21" x14ac:dyDescent="0.25">
      <c r="Q3044" s="17" t="s">
        <v>3759</v>
      </c>
      <c r="R3044" s="17" t="s">
        <v>2239</v>
      </c>
      <c r="S3044" s="17"/>
      <c r="T3044" s="17"/>
      <c r="U3044" s="17"/>
    </row>
    <row r="3045" spans="17:21" x14ac:dyDescent="0.25">
      <c r="Q3045" s="17" t="s">
        <v>3760</v>
      </c>
      <c r="R3045" s="17" t="s">
        <v>2239</v>
      </c>
      <c r="S3045" s="17"/>
      <c r="T3045" s="17"/>
      <c r="U3045" s="17"/>
    </row>
    <row r="3046" spans="17:21" x14ac:dyDescent="0.25">
      <c r="Q3046" s="17" t="s">
        <v>3761</v>
      </c>
      <c r="R3046" s="17" t="s">
        <v>2239</v>
      </c>
      <c r="S3046" s="17"/>
      <c r="T3046" s="17"/>
      <c r="U3046" s="17"/>
    </row>
    <row r="3047" spans="17:21" x14ac:dyDescent="0.25">
      <c r="Q3047" s="17" t="s">
        <v>3762</v>
      </c>
      <c r="R3047" s="17" t="s">
        <v>2239</v>
      </c>
      <c r="S3047" s="17"/>
      <c r="T3047" s="17"/>
      <c r="U3047" s="17"/>
    </row>
    <row r="3048" spans="17:21" x14ac:dyDescent="0.25">
      <c r="Q3048" s="17" t="s">
        <v>3763</v>
      </c>
      <c r="R3048" s="17" t="s">
        <v>2239</v>
      </c>
      <c r="S3048" s="17"/>
      <c r="T3048" s="17"/>
      <c r="U3048" s="17"/>
    </row>
    <row r="3049" spans="17:21" x14ac:dyDescent="0.25">
      <c r="Q3049" s="17" t="s">
        <v>3764</v>
      </c>
      <c r="R3049" s="17" t="s">
        <v>2239</v>
      </c>
      <c r="S3049" s="17"/>
      <c r="T3049" s="17"/>
      <c r="U3049" s="17"/>
    </row>
    <row r="3050" spans="17:21" x14ac:dyDescent="0.25">
      <c r="Q3050" s="17" t="s">
        <v>3765</v>
      </c>
      <c r="R3050" s="17" t="s">
        <v>2239</v>
      </c>
      <c r="S3050" s="17"/>
      <c r="T3050" s="17"/>
      <c r="U3050" s="17"/>
    </row>
    <row r="3051" spans="17:21" x14ac:dyDescent="0.25">
      <c r="Q3051" s="17" t="s">
        <v>3766</v>
      </c>
      <c r="R3051" s="17" t="s">
        <v>2239</v>
      </c>
      <c r="S3051" s="17"/>
      <c r="T3051" s="17"/>
      <c r="U3051" s="17"/>
    </row>
    <row r="3052" spans="17:21" x14ac:dyDescent="0.25">
      <c r="Q3052" s="17" t="s">
        <v>3767</v>
      </c>
      <c r="R3052" s="17" t="s">
        <v>2830</v>
      </c>
      <c r="S3052" s="17"/>
      <c r="T3052" s="17"/>
      <c r="U3052" s="17"/>
    </row>
    <row r="3053" spans="17:21" x14ac:dyDescent="0.25">
      <c r="Q3053" s="17" t="s">
        <v>3768</v>
      </c>
      <c r="R3053" s="17" t="s">
        <v>2239</v>
      </c>
      <c r="S3053" s="17"/>
      <c r="T3053" s="17"/>
      <c r="U3053" s="17"/>
    </row>
    <row r="3054" spans="17:21" x14ac:dyDescent="0.25">
      <c r="Q3054" s="17" t="s">
        <v>3769</v>
      </c>
      <c r="R3054" s="17" t="s">
        <v>2239</v>
      </c>
      <c r="S3054" s="17"/>
      <c r="T3054" s="17"/>
      <c r="U3054" s="17"/>
    </row>
    <row r="3055" spans="17:21" x14ac:dyDescent="0.25">
      <c r="Q3055" s="17" t="s">
        <v>3770</v>
      </c>
      <c r="R3055" s="17" t="s">
        <v>2239</v>
      </c>
      <c r="S3055" s="17"/>
      <c r="T3055" s="17"/>
      <c r="U3055" s="17"/>
    </row>
    <row r="3056" spans="17:21" x14ac:dyDescent="0.25">
      <c r="Q3056" s="17" t="s">
        <v>3771</v>
      </c>
      <c r="R3056" s="17" t="s">
        <v>2239</v>
      </c>
      <c r="S3056" s="17"/>
      <c r="T3056" s="17"/>
      <c r="U3056" s="17"/>
    </row>
    <row r="3057" spans="17:21" x14ac:dyDescent="0.25">
      <c r="Q3057" s="17" t="s">
        <v>3772</v>
      </c>
      <c r="R3057" s="17" t="s">
        <v>2239</v>
      </c>
      <c r="S3057" s="17"/>
      <c r="T3057" s="17"/>
      <c r="U3057" s="17"/>
    </row>
    <row r="3058" spans="17:21" x14ac:dyDescent="0.25">
      <c r="Q3058" s="17" t="s">
        <v>3773</v>
      </c>
      <c r="R3058" s="17" t="s">
        <v>2239</v>
      </c>
      <c r="S3058" s="17"/>
      <c r="T3058" s="17"/>
      <c r="U3058" s="17"/>
    </row>
    <row r="3059" spans="17:21" x14ac:dyDescent="0.25">
      <c r="Q3059" s="17" t="s">
        <v>3774</v>
      </c>
      <c r="R3059" s="17" t="s">
        <v>2239</v>
      </c>
      <c r="S3059" s="17"/>
      <c r="T3059" s="17"/>
      <c r="U3059" s="17"/>
    </row>
    <row r="3060" spans="17:21" x14ac:dyDescent="0.25">
      <c r="Q3060" s="17" t="s">
        <v>3775</v>
      </c>
      <c r="R3060" s="17" t="s">
        <v>2239</v>
      </c>
      <c r="S3060" s="17"/>
      <c r="T3060" s="17"/>
      <c r="U3060" s="17"/>
    </row>
    <row r="3061" spans="17:21" x14ac:dyDescent="0.25">
      <c r="Q3061" s="17" t="s">
        <v>3776</v>
      </c>
      <c r="R3061" s="17" t="s">
        <v>2239</v>
      </c>
      <c r="S3061" s="17"/>
      <c r="T3061" s="17"/>
      <c r="U3061" s="17"/>
    </row>
    <row r="3062" spans="17:21" x14ac:dyDescent="0.25">
      <c r="Q3062" s="17" t="s">
        <v>3777</v>
      </c>
      <c r="R3062" s="17" t="s">
        <v>2239</v>
      </c>
      <c r="S3062" s="17"/>
      <c r="T3062" s="17"/>
      <c r="U3062" s="17"/>
    </row>
    <row r="3063" spans="17:21" x14ac:dyDescent="0.25">
      <c r="Q3063" s="17" t="s">
        <v>3778</v>
      </c>
      <c r="R3063" s="17" t="s">
        <v>2239</v>
      </c>
      <c r="S3063" s="17"/>
      <c r="T3063" s="17"/>
      <c r="U3063" s="17"/>
    </row>
    <row r="3064" spans="17:21" x14ac:dyDescent="0.25">
      <c r="Q3064" s="17" t="s">
        <v>3779</v>
      </c>
      <c r="R3064" s="17" t="s">
        <v>2239</v>
      </c>
      <c r="S3064" s="17"/>
      <c r="T3064" s="17"/>
      <c r="U3064" s="17"/>
    </row>
    <row r="3065" spans="17:21" x14ac:dyDescent="0.25">
      <c r="Q3065" s="17" t="s">
        <v>3780</v>
      </c>
      <c r="R3065" s="17" t="s">
        <v>2239</v>
      </c>
      <c r="S3065" s="17"/>
      <c r="T3065" s="17"/>
      <c r="U3065" s="17"/>
    </row>
    <row r="3066" spans="17:21" x14ac:dyDescent="0.25">
      <c r="Q3066" s="17" t="s">
        <v>3781</v>
      </c>
      <c r="R3066" s="17" t="s">
        <v>2239</v>
      </c>
      <c r="S3066" s="17"/>
      <c r="T3066" s="17"/>
      <c r="U3066" s="17"/>
    </row>
    <row r="3067" spans="17:21" x14ac:dyDescent="0.25">
      <c r="Q3067" s="17" t="s">
        <v>3782</v>
      </c>
      <c r="R3067" s="17" t="s">
        <v>2239</v>
      </c>
      <c r="S3067" s="17"/>
      <c r="T3067" s="17"/>
      <c r="U3067" s="17"/>
    </row>
    <row r="3068" spans="17:21" x14ac:dyDescent="0.25">
      <c r="Q3068" s="17" t="s">
        <v>3783</v>
      </c>
      <c r="R3068" s="17" t="s">
        <v>2239</v>
      </c>
      <c r="S3068" s="17"/>
      <c r="T3068" s="17"/>
      <c r="U3068" s="17"/>
    </row>
    <row r="3069" spans="17:21" x14ac:dyDescent="0.25">
      <c r="Q3069" s="17" t="s">
        <v>3784</v>
      </c>
      <c r="R3069" s="17" t="s">
        <v>2239</v>
      </c>
      <c r="S3069" s="17"/>
      <c r="T3069" s="17"/>
      <c r="U3069" s="17"/>
    </row>
    <row r="3070" spans="17:21" x14ac:dyDescent="0.25">
      <c r="Q3070" s="17" t="s">
        <v>3785</v>
      </c>
      <c r="R3070" s="17" t="s">
        <v>2239</v>
      </c>
      <c r="S3070" s="17"/>
      <c r="T3070" s="17"/>
      <c r="U3070" s="17"/>
    </row>
    <row r="3071" spans="17:21" x14ac:dyDescent="0.25">
      <c r="Q3071" s="17" t="s">
        <v>3786</v>
      </c>
      <c r="R3071" s="17" t="s">
        <v>2239</v>
      </c>
      <c r="S3071" s="17"/>
      <c r="T3071" s="17"/>
      <c r="U3071" s="17"/>
    </row>
    <row r="3072" spans="17:21" x14ac:dyDescent="0.25">
      <c r="Q3072" s="17" t="s">
        <v>3787</v>
      </c>
      <c r="R3072" s="17" t="s">
        <v>2239</v>
      </c>
      <c r="S3072" s="17"/>
      <c r="T3072" s="17"/>
      <c r="U3072" s="17"/>
    </row>
    <row r="3073" spans="17:21" x14ac:dyDescent="0.25">
      <c r="Q3073" s="17" t="s">
        <v>3788</v>
      </c>
      <c r="R3073" s="17" t="s">
        <v>2239</v>
      </c>
      <c r="S3073" s="17"/>
      <c r="T3073" s="17"/>
      <c r="U3073" s="17"/>
    </row>
    <row r="3074" spans="17:21" x14ac:dyDescent="0.25">
      <c r="Q3074" s="17" t="s">
        <v>3789</v>
      </c>
      <c r="R3074" s="17" t="s">
        <v>2239</v>
      </c>
      <c r="S3074" s="17"/>
      <c r="T3074" s="17"/>
      <c r="U3074" s="17"/>
    </row>
    <row r="3075" spans="17:21" x14ac:dyDescent="0.25">
      <c r="Q3075" s="17" t="s">
        <v>3790</v>
      </c>
      <c r="R3075" s="17" t="s">
        <v>2239</v>
      </c>
      <c r="S3075" s="17"/>
      <c r="T3075" s="17"/>
      <c r="U3075" s="17"/>
    </row>
    <row r="3076" spans="17:21" x14ac:dyDescent="0.25">
      <c r="Q3076" s="17" t="s">
        <v>3791</v>
      </c>
      <c r="R3076" s="17" t="s">
        <v>2239</v>
      </c>
      <c r="S3076" s="17"/>
      <c r="T3076" s="17"/>
      <c r="U3076" s="17"/>
    </row>
    <row r="3077" spans="17:21" x14ac:dyDescent="0.25">
      <c r="Q3077" s="17" t="s">
        <v>3792</v>
      </c>
      <c r="R3077" s="17" t="s">
        <v>2239</v>
      </c>
      <c r="S3077" s="17"/>
      <c r="T3077" s="17"/>
      <c r="U3077" s="17"/>
    </row>
    <row r="3078" spans="17:21" x14ac:dyDescent="0.25">
      <c r="Q3078" s="17" t="s">
        <v>3793</v>
      </c>
      <c r="R3078" s="17" t="s">
        <v>2239</v>
      </c>
      <c r="S3078" s="17"/>
      <c r="T3078" s="17"/>
      <c r="U3078" s="17"/>
    </row>
    <row r="3079" spans="17:21" x14ac:dyDescent="0.25">
      <c r="Q3079" s="17" t="s">
        <v>3794</v>
      </c>
      <c r="R3079" s="17" t="s">
        <v>2239</v>
      </c>
      <c r="S3079" s="17"/>
      <c r="T3079" s="17"/>
      <c r="U3079" s="17"/>
    </row>
    <row r="3080" spans="17:21" x14ac:dyDescent="0.25">
      <c r="Q3080" s="17" t="s">
        <v>3795</v>
      </c>
      <c r="R3080" s="17" t="s">
        <v>2239</v>
      </c>
      <c r="S3080" s="17"/>
      <c r="T3080" s="17"/>
      <c r="U3080" s="17"/>
    </row>
    <row r="3081" spans="17:21" x14ac:dyDescent="0.25">
      <c r="Q3081" s="17" t="s">
        <v>3796</v>
      </c>
      <c r="R3081" s="17" t="s">
        <v>2239</v>
      </c>
      <c r="S3081" s="17"/>
      <c r="T3081" s="17"/>
      <c r="U3081" s="17"/>
    </row>
    <row r="3082" spans="17:21" x14ac:dyDescent="0.25">
      <c r="Q3082" s="17" t="s">
        <v>3797</v>
      </c>
      <c r="R3082" s="17" t="s">
        <v>2239</v>
      </c>
      <c r="S3082" s="17"/>
      <c r="T3082" s="17"/>
      <c r="U3082" s="17"/>
    </row>
    <row r="3083" spans="17:21" x14ac:dyDescent="0.25">
      <c r="Q3083" s="17" t="s">
        <v>3798</v>
      </c>
      <c r="R3083" s="17" t="s">
        <v>2239</v>
      </c>
      <c r="S3083" s="17"/>
      <c r="T3083" s="17"/>
      <c r="U3083" s="17"/>
    </row>
    <row r="3084" spans="17:21" x14ac:dyDescent="0.25">
      <c r="Q3084" s="17" t="s">
        <v>3799</v>
      </c>
      <c r="R3084" s="17" t="s">
        <v>2239</v>
      </c>
      <c r="S3084" s="17"/>
      <c r="T3084" s="17"/>
      <c r="U3084" s="17"/>
    </row>
    <row r="3085" spans="17:21" x14ac:dyDescent="0.25">
      <c r="Q3085" s="17" t="s">
        <v>3800</v>
      </c>
      <c r="R3085" s="17" t="s">
        <v>2239</v>
      </c>
      <c r="S3085" s="17"/>
      <c r="T3085" s="17"/>
      <c r="U3085" s="17"/>
    </row>
    <row r="3086" spans="17:21" x14ac:dyDescent="0.25">
      <c r="Q3086" s="17" t="s">
        <v>3801</v>
      </c>
      <c r="R3086" s="17" t="s">
        <v>2239</v>
      </c>
      <c r="S3086" s="17"/>
      <c r="T3086" s="17"/>
      <c r="U3086" s="17"/>
    </row>
    <row r="3087" spans="17:21" x14ac:dyDescent="0.25">
      <c r="Q3087" s="17" t="s">
        <v>3802</v>
      </c>
      <c r="R3087" s="17" t="s">
        <v>2239</v>
      </c>
      <c r="S3087" s="17"/>
      <c r="T3087" s="17"/>
      <c r="U3087" s="17"/>
    </row>
    <row r="3088" spans="17:21" x14ac:dyDescent="0.25">
      <c r="Q3088" s="17" t="s">
        <v>3803</v>
      </c>
      <c r="R3088" s="17" t="s">
        <v>2239</v>
      </c>
      <c r="S3088" s="17"/>
      <c r="T3088" s="17"/>
      <c r="U3088" s="17"/>
    </row>
    <row r="3089" spans="17:21" x14ac:dyDescent="0.25">
      <c r="Q3089" s="17" t="s">
        <v>3804</v>
      </c>
      <c r="R3089" s="17" t="s">
        <v>2239</v>
      </c>
      <c r="S3089" s="17"/>
      <c r="T3089" s="17"/>
      <c r="U3089" s="17"/>
    </row>
    <row r="3090" spans="17:21" x14ac:dyDescent="0.25">
      <c r="Q3090" s="17" t="s">
        <v>3805</v>
      </c>
      <c r="R3090" s="17" t="s">
        <v>2239</v>
      </c>
      <c r="S3090" s="17"/>
      <c r="T3090" s="17"/>
      <c r="U3090" s="17"/>
    </row>
    <row r="3091" spans="17:21" x14ac:dyDescent="0.25">
      <c r="Q3091" s="17" t="s">
        <v>3806</v>
      </c>
      <c r="R3091" s="17" t="s">
        <v>2239</v>
      </c>
      <c r="S3091" s="17"/>
      <c r="T3091" s="17"/>
      <c r="U3091" s="17"/>
    </row>
    <row r="3092" spans="17:21" x14ac:dyDescent="0.25">
      <c r="Q3092" s="17" t="s">
        <v>3807</v>
      </c>
      <c r="R3092" s="17" t="s">
        <v>2239</v>
      </c>
      <c r="S3092" s="17"/>
      <c r="T3092" s="17"/>
      <c r="U3092" s="17"/>
    </row>
    <row r="3093" spans="17:21" x14ac:dyDescent="0.25">
      <c r="Q3093" s="17" t="s">
        <v>3808</v>
      </c>
      <c r="R3093" s="17" t="s">
        <v>2239</v>
      </c>
      <c r="S3093" s="17"/>
      <c r="T3093" s="17"/>
      <c r="U3093" s="17"/>
    </row>
    <row r="3094" spans="17:21" x14ac:dyDescent="0.25">
      <c r="Q3094" s="17" t="s">
        <v>3809</v>
      </c>
      <c r="R3094" s="17" t="s">
        <v>2239</v>
      </c>
      <c r="S3094" s="17"/>
      <c r="T3094" s="17"/>
      <c r="U3094" s="17"/>
    </row>
    <row r="3095" spans="17:21" x14ac:dyDescent="0.25">
      <c r="Q3095" s="17" t="s">
        <v>3810</v>
      </c>
      <c r="R3095" s="17" t="s">
        <v>2239</v>
      </c>
      <c r="S3095" s="17"/>
      <c r="T3095" s="17"/>
      <c r="U3095" s="17"/>
    </row>
    <row r="3096" spans="17:21" x14ac:dyDescent="0.25">
      <c r="Q3096" s="17" t="s">
        <v>3811</v>
      </c>
      <c r="R3096" s="17" t="s">
        <v>2239</v>
      </c>
      <c r="S3096" s="17"/>
      <c r="T3096" s="17"/>
      <c r="U3096" s="17"/>
    </row>
    <row r="3097" spans="17:21" x14ac:dyDescent="0.25">
      <c r="Q3097" s="17" t="s">
        <v>3812</v>
      </c>
      <c r="R3097" s="17" t="s">
        <v>2239</v>
      </c>
      <c r="S3097" s="17"/>
      <c r="T3097" s="17"/>
      <c r="U3097" s="17"/>
    </row>
    <row r="3098" spans="17:21" x14ac:dyDescent="0.25">
      <c r="Q3098" s="17" t="s">
        <v>3813</v>
      </c>
      <c r="R3098" s="17" t="s">
        <v>2239</v>
      </c>
      <c r="S3098" s="17"/>
      <c r="T3098" s="17"/>
      <c r="U3098" s="17"/>
    </row>
    <row r="3099" spans="17:21" x14ac:dyDescent="0.25">
      <c r="Q3099" s="17" t="s">
        <v>3814</v>
      </c>
      <c r="R3099" s="17" t="s">
        <v>2239</v>
      </c>
      <c r="S3099" s="17"/>
      <c r="T3099" s="17"/>
      <c r="U3099" s="17"/>
    </row>
    <row r="3100" spans="17:21" x14ac:dyDescent="0.25">
      <c r="Q3100" s="17" t="s">
        <v>3815</v>
      </c>
      <c r="R3100" s="17" t="s">
        <v>2239</v>
      </c>
      <c r="S3100" s="17"/>
      <c r="T3100" s="17"/>
      <c r="U3100" s="17"/>
    </row>
    <row r="3101" spans="17:21" x14ac:dyDescent="0.25">
      <c r="Q3101" s="17" t="s">
        <v>3816</v>
      </c>
      <c r="R3101" s="17" t="s">
        <v>2239</v>
      </c>
      <c r="S3101" s="17"/>
      <c r="T3101" s="17"/>
      <c r="U3101" s="17"/>
    </row>
    <row r="3102" spans="17:21" x14ac:dyDescent="0.25">
      <c r="Q3102" s="17" t="s">
        <v>3817</v>
      </c>
      <c r="R3102" s="17" t="s">
        <v>2239</v>
      </c>
      <c r="S3102" s="17"/>
      <c r="T3102" s="17"/>
      <c r="U3102" s="17"/>
    </row>
    <row r="3103" spans="17:21" x14ac:dyDescent="0.25">
      <c r="Q3103" s="17" t="s">
        <v>3818</v>
      </c>
      <c r="R3103" s="17" t="s">
        <v>2239</v>
      </c>
      <c r="S3103" s="17"/>
      <c r="T3103" s="17"/>
      <c r="U3103" s="17"/>
    </row>
    <row r="3104" spans="17:21" x14ac:dyDescent="0.25">
      <c r="Q3104" s="17" t="s">
        <v>3819</v>
      </c>
      <c r="R3104" s="17" t="s">
        <v>2239</v>
      </c>
      <c r="S3104" s="17"/>
      <c r="T3104" s="17"/>
      <c r="U3104" s="17"/>
    </row>
    <row r="3105" spans="17:21" x14ac:dyDescent="0.25">
      <c r="Q3105" s="17" t="s">
        <v>3820</v>
      </c>
      <c r="R3105" s="17" t="s">
        <v>2239</v>
      </c>
      <c r="S3105" s="17"/>
      <c r="T3105" s="17"/>
      <c r="U3105" s="17"/>
    </row>
    <row r="3106" spans="17:21" x14ac:dyDescent="0.25">
      <c r="Q3106" s="17" t="s">
        <v>3821</v>
      </c>
      <c r="R3106" s="17" t="s">
        <v>2239</v>
      </c>
      <c r="S3106" s="17"/>
      <c r="T3106" s="17"/>
      <c r="U3106" s="17"/>
    </row>
    <row r="3107" spans="17:21" x14ac:dyDescent="0.25">
      <c r="Q3107" s="17" t="s">
        <v>3822</v>
      </c>
      <c r="R3107" s="17" t="s">
        <v>2239</v>
      </c>
      <c r="S3107" s="17"/>
      <c r="T3107" s="17"/>
      <c r="U3107" s="17"/>
    </row>
    <row r="3108" spans="17:21" x14ac:dyDescent="0.25">
      <c r="Q3108" s="17" t="s">
        <v>3823</v>
      </c>
      <c r="R3108" s="17" t="s">
        <v>2239</v>
      </c>
      <c r="S3108" s="17"/>
      <c r="T3108" s="17"/>
      <c r="U3108" s="17"/>
    </row>
    <row r="3109" spans="17:21" x14ac:dyDescent="0.25">
      <c r="Q3109" s="17" t="s">
        <v>3824</v>
      </c>
      <c r="R3109" s="17" t="s">
        <v>2239</v>
      </c>
      <c r="S3109" s="17"/>
      <c r="T3109" s="17"/>
      <c r="U3109" s="17"/>
    </row>
    <row r="3110" spans="17:21" x14ac:dyDescent="0.25">
      <c r="Q3110" s="17" t="s">
        <v>3825</v>
      </c>
      <c r="R3110" s="17" t="s">
        <v>2239</v>
      </c>
      <c r="S3110" s="17"/>
      <c r="T3110" s="17"/>
      <c r="U3110" s="17"/>
    </row>
    <row r="3111" spans="17:21" x14ac:dyDescent="0.25">
      <c r="Q3111" s="17" t="s">
        <v>3826</v>
      </c>
      <c r="R3111" s="17" t="s">
        <v>2239</v>
      </c>
      <c r="S3111" s="17"/>
      <c r="T3111" s="17"/>
      <c r="U3111" s="17"/>
    </row>
    <row r="3112" spans="17:21" x14ac:dyDescent="0.25">
      <c r="Q3112" s="17" t="s">
        <v>3827</v>
      </c>
      <c r="R3112" s="17" t="s">
        <v>2239</v>
      </c>
      <c r="S3112" s="17"/>
      <c r="T3112" s="17"/>
      <c r="U3112" s="17"/>
    </row>
    <row r="3113" spans="17:21" x14ac:dyDescent="0.25">
      <c r="Q3113" s="17" t="s">
        <v>3828</v>
      </c>
      <c r="R3113" s="17" t="s">
        <v>2239</v>
      </c>
      <c r="S3113" s="17"/>
      <c r="T3113" s="17"/>
      <c r="U3113" s="17"/>
    </row>
    <row r="3114" spans="17:21" x14ac:dyDescent="0.25">
      <c r="Q3114" s="17" t="s">
        <v>3829</v>
      </c>
      <c r="R3114" s="17" t="s">
        <v>2239</v>
      </c>
      <c r="S3114" s="17"/>
      <c r="T3114" s="17"/>
      <c r="U3114" s="17"/>
    </row>
    <row r="3115" spans="17:21" x14ac:dyDescent="0.25">
      <c r="Q3115" s="17" t="s">
        <v>3830</v>
      </c>
      <c r="R3115" s="17" t="s">
        <v>2239</v>
      </c>
      <c r="S3115" s="17"/>
      <c r="T3115" s="17"/>
      <c r="U3115" s="17"/>
    </row>
    <row r="3116" spans="17:21" x14ac:dyDescent="0.25">
      <c r="Q3116" s="17" t="s">
        <v>3831</v>
      </c>
      <c r="R3116" s="17" t="s">
        <v>2239</v>
      </c>
      <c r="S3116" s="17"/>
      <c r="T3116" s="17"/>
      <c r="U3116" s="17"/>
    </row>
    <row r="3117" spans="17:21" x14ac:dyDescent="0.25">
      <c r="Q3117" s="17" t="s">
        <v>3832</v>
      </c>
      <c r="R3117" s="17" t="s">
        <v>2239</v>
      </c>
      <c r="S3117" s="17"/>
      <c r="T3117" s="17"/>
      <c r="U3117" s="17"/>
    </row>
    <row r="3118" spans="17:21" x14ac:dyDescent="0.25">
      <c r="Q3118" s="17" t="s">
        <v>3833</v>
      </c>
      <c r="R3118" s="17" t="s">
        <v>2239</v>
      </c>
      <c r="S3118" s="17"/>
      <c r="T3118" s="17"/>
      <c r="U3118" s="17"/>
    </row>
    <row r="3119" spans="17:21" x14ac:dyDescent="0.25">
      <c r="Q3119" s="17" t="s">
        <v>3834</v>
      </c>
      <c r="R3119" s="17" t="s">
        <v>2239</v>
      </c>
      <c r="S3119" s="17"/>
      <c r="T3119" s="17"/>
      <c r="U3119" s="17"/>
    </row>
    <row r="3120" spans="17:21" x14ac:dyDescent="0.25">
      <c r="Q3120" s="17" t="s">
        <v>3835</v>
      </c>
      <c r="R3120" s="17" t="s">
        <v>2239</v>
      </c>
      <c r="S3120" s="17"/>
      <c r="T3120" s="17"/>
      <c r="U3120" s="17"/>
    </row>
    <row r="3121" spans="17:21" x14ac:dyDescent="0.25">
      <c r="Q3121" s="17" t="s">
        <v>3836</v>
      </c>
      <c r="R3121" s="17" t="s">
        <v>2239</v>
      </c>
      <c r="S3121" s="17"/>
      <c r="T3121" s="17"/>
      <c r="U3121" s="17"/>
    </row>
    <row r="3122" spans="17:21" x14ac:dyDescent="0.25">
      <c r="Q3122" s="17" t="s">
        <v>3837</v>
      </c>
      <c r="R3122" s="17" t="s">
        <v>2239</v>
      </c>
      <c r="S3122" s="17"/>
      <c r="T3122" s="17"/>
      <c r="U3122" s="17"/>
    </row>
    <row r="3123" spans="17:21" x14ac:dyDescent="0.25">
      <c r="Q3123" s="17" t="s">
        <v>3838</v>
      </c>
      <c r="R3123" s="17" t="s">
        <v>2239</v>
      </c>
      <c r="S3123" s="17"/>
      <c r="T3123" s="17"/>
      <c r="U3123" s="17"/>
    </row>
    <row r="3124" spans="17:21" x14ac:dyDescent="0.25">
      <c r="Q3124" s="17" t="s">
        <v>3839</v>
      </c>
      <c r="R3124" s="17" t="s">
        <v>2239</v>
      </c>
      <c r="S3124" s="17"/>
      <c r="T3124" s="17"/>
      <c r="U3124" s="17"/>
    </row>
    <row r="3125" spans="17:21" x14ac:dyDescent="0.25">
      <c r="Q3125" s="17" t="s">
        <v>3840</v>
      </c>
      <c r="R3125" s="17" t="s">
        <v>2239</v>
      </c>
      <c r="S3125" s="17"/>
      <c r="T3125" s="17"/>
      <c r="U3125" s="17"/>
    </row>
    <row r="3126" spans="17:21" x14ac:dyDescent="0.25">
      <c r="Q3126" s="17" t="s">
        <v>3841</v>
      </c>
      <c r="R3126" s="17" t="s">
        <v>2239</v>
      </c>
      <c r="S3126" s="17"/>
      <c r="T3126" s="17"/>
      <c r="U3126" s="17"/>
    </row>
    <row r="3127" spans="17:21" x14ac:dyDescent="0.25">
      <c r="Q3127" s="17" t="s">
        <v>3842</v>
      </c>
      <c r="R3127" s="17" t="s">
        <v>2239</v>
      </c>
      <c r="S3127" s="17"/>
      <c r="T3127" s="17"/>
      <c r="U3127" s="17"/>
    </row>
    <row r="3128" spans="17:21" x14ac:dyDescent="0.25">
      <c r="Q3128" s="17" t="s">
        <v>3843</v>
      </c>
      <c r="R3128" s="17" t="s">
        <v>2239</v>
      </c>
      <c r="S3128" s="17"/>
      <c r="T3128" s="17"/>
      <c r="U3128" s="17"/>
    </row>
    <row r="3129" spans="17:21" x14ac:dyDescent="0.25">
      <c r="Q3129" s="17" t="s">
        <v>3844</v>
      </c>
      <c r="R3129" s="17" t="s">
        <v>2239</v>
      </c>
      <c r="S3129" s="17"/>
      <c r="T3129" s="17"/>
      <c r="U3129" s="17"/>
    </row>
    <row r="3130" spans="17:21" x14ac:dyDescent="0.25">
      <c r="Q3130" s="17" t="s">
        <v>3845</v>
      </c>
      <c r="R3130" s="17" t="s">
        <v>2239</v>
      </c>
      <c r="S3130" s="17"/>
      <c r="T3130" s="17"/>
      <c r="U3130" s="17"/>
    </row>
    <row r="3131" spans="17:21" x14ac:dyDescent="0.25">
      <c r="Q3131" s="17" t="s">
        <v>3846</v>
      </c>
      <c r="R3131" s="17" t="s">
        <v>2239</v>
      </c>
      <c r="S3131" s="17"/>
      <c r="T3131" s="17"/>
      <c r="U3131" s="17"/>
    </row>
    <row r="3132" spans="17:21" x14ac:dyDescent="0.25">
      <c r="Q3132" s="17" t="s">
        <v>3847</v>
      </c>
      <c r="R3132" s="17" t="s">
        <v>2239</v>
      </c>
      <c r="S3132" s="17"/>
      <c r="T3132" s="17"/>
      <c r="U3132" s="17"/>
    </row>
    <row r="3133" spans="17:21" x14ac:dyDescent="0.25">
      <c r="Q3133" s="17" t="s">
        <v>3848</v>
      </c>
      <c r="R3133" s="17" t="s">
        <v>2239</v>
      </c>
      <c r="S3133" s="17"/>
      <c r="T3133" s="17"/>
      <c r="U3133" s="17"/>
    </row>
    <row r="3134" spans="17:21" x14ac:dyDescent="0.25">
      <c r="Q3134" s="17" t="s">
        <v>3849</v>
      </c>
      <c r="R3134" s="17" t="s">
        <v>2239</v>
      </c>
      <c r="S3134" s="17"/>
      <c r="T3134" s="17"/>
      <c r="U3134" s="17"/>
    </row>
    <row r="3135" spans="17:21" x14ac:dyDescent="0.25">
      <c r="Q3135" s="17" t="s">
        <v>3850</v>
      </c>
      <c r="R3135" s="17" t="s">
        <v>2239</v>
      </c>
      <c r="S3135" s="17"/>
      <c r="T3135" s="17"/>
      <c r="U3135" s="17"/>
    </row>
    <row r="3136" spans="17:21" x14ac:dyDescent="0.25">
      <c r="Q3136" s="17" t="s">
        <v>3851</v>
      </c>
      <c r="R3136" s="17" t="s">
        <v>2239</v>
      </c>
      <c r="S3136" s="17"/>
      <c r="T3136" s="17"/>
      <c r="U3136" s="17"/>
    </row>
    <row r="3137" spans="17:21" x14ac:dyDescent="0.25">
      <c r="Q3137" s="17" t="s">
        <v>3852</v>
      </c>
      <c r="R3137" s="17" t="s">
        <v>2239</v>
      </c>
      <c r="S3137" s="17"/>
      <c r="T3137" s="17"/>
      <c r="U3137" s="17"/>
    </row>
    <row r="3138" spans="17:21" x14ac:dyDescent="0.25">
      <c r="Q3138" s="17" t="s">
        <v>3853</v>
      </c>
      <c r="R3138" s="17" t="s">
        <v>2239</v>
      </c>
      <c r="S3138" s="17"/>
      <c r="T3138" s="17"/>
      <c r="U3138" s="17"/>
    </row>
    <row r="3139" spans="17:21" x14ac:dyDescent="0.25">
      <c r="Q3139" s="17" t="s">
        <v>3854</v>
      </c>
      <c r="R3139" s="17" t="s">
        <v>2239</v>
      </c>
      <c r="S3139" s="17"/>
      <c r="T3139" s="17"/>
      <c r="U3139" s="17"/>
    </row>
    <row r="3140" spans="17:21" x14ac:dyDescent="0.25">
      <c r="Q3140" s="17" t="s">
        <v>3855</v>
      </c>
      <c r="R3140" s="17" t="s">
        <v>2239</v>
      </c>
      <c r="S3140" s="17"/>
      <c r="T3140" s="17"/>
      <c r="U3140" s="17"/>
    </row>
    <row r="3141" spans="17:21" x14ac:dyDescent="0.25">
      <c r="Q3141" s="17" t="s">
        <v>3856</v>
      </c>
      <c r="R3141" s="17" t="s">
        <v>2239</v>
      </c>
      <c r="S3141" s="17"/>
      <c r="T3141" s="17"/>
      <c r="U3141" s="17"/>
    </row>
    <row r="3142" spans="17:21" x14ac:dyDescent="0.25">
      <c r="Q3142" s="17" t="s">
        <v>3857</v>
      </c>
      <c r="R3142" s="17" t="s">
        <v>2239</v>
      </c>
      <c r="S3142" s="17"/>
      <c r="T3142" s="17"/>
      <c r="U3142" s="17"/>
    </row>
    <row r="3143" spans="17:21" x14ac:dyDescent="0.25">
      <c r="Q3143" s="17" t="s">
        <v>3858</v>
      </c>
      <c r="R3143" s="17" t="s">
        <v>2239</v>
      </c>
      <c r="S3143" s="17"/>
      <c r="T3143" s="17"/>
      <c r="U3143" s="17"/>
    </row>
    <row r="3144" spans="17:21" x14ac:dyDescent="0.25">
      <c r="Q3144" s="17" t="s">
        <v>3859</v>
      </c>
      <c r="R3144" s="17" t="s">
        <v>2239</v>
      </c>
      <c r="S3144" s="17"/>
      <c r="T3144" s="17"/>
      <c r="U3144" s="17"/>
    </row>
    <row r="3145" spans="17:21" x14ac:dyDescent="0.25">
      <c r="Q3145" s="17" t="s">
        <v>3860</v>
      </c>
      <c r="R3145" s="17" t="s">
        <v>2239</v>
      </c>
      <c r="S3145" s="17"/>
      <c r="T3145" s="17"/>
      <c r="U3145" s="17"/>
    </row>
    <row r="3146" spans="17:21" x14ac:dyDescent="0.25">
      <c r="Q3146" s="17" t="s">
        <v>3861</v>
      </c>
      <c r="R3146" s="17" t="s">
        <v>2239</v>
      </c>
      <c r="S3146" s="17"/>
      <c r="T3146" s="17"/>
      <c r="U3146" s="17"/>
    </row>
    <row r="3147" spans="17:21" x14ac:dyDescent="0.25">
      <c r="Q3147" s="17" t="s">
        <v>3862</v>
      </c>
      <c r="R3147" s="17" t="s">
        <v>2239</v>
      </c>
      <c r="S3147" s="17"/>
      <c r="T3147" s="17"/>
      <c r="U3147" s="17"/>
    </row>
    <row r="3148" spans="17:21" x14ac:dyDescent="0.25">
      <c r="Q3148" s="17" t="s">
        <v>3863</v>
      </c>
      <c r="R3148" s="17" t="s">
        <v>2239</v>
      </c>
      <c r="S3148" s="17"/>
      <c r="T3148" s="17"/>
      <c r="U3148" s="17"/>
    </row>
    <row r="3149" spans="17:21" x14ac:dyDescent="0.25">
      <c r="Q3149" s="17" t="s">
        <v>3864</v>
      </c>
      <c r="R3149" s="17" t="s">
        <v>2239</v>
      </c>
      <c r="S3149" s="17"/>
      <c r="T3149" s="17"/>
      <c r="U3149" s="17"/>
    </row>
    <row r="3150" spans="17:21" x14ac:dyDescent="0.25">
      <c r="Q3150" s="17" t="s">
        <v>3865</v>
      </c>
      <c r="R3150" s="17" t="s">
        <v>2239</v>
      </c>
      <c r="S3150" s="17"/>
      <c r="T3150" s="17"/>
      <c r="U3150" s="17"/>
    </row>
    <row r="3151" spans="17:21" x14ac:dyDescent="0.25">
      <c r="Q3151" s="17" t="s">
        <v>3866</v>
      </c>
      <c r="R3151" s="17" t="s">
        <v>2239</v>
      </c>
      <c r="S3151" s="17"/>
      <c r="T3151" s="17"/>
      <c r="U3151" s="17"/>
    </row>
    <row r="3152" spans="17:21" x14ac:dyDescent="0.25">
      <c r="Q3152" s="17" t="s">
        <v>3867</v>
      </c>
      <c r="R3152" s="17" t="s">
        <v>2239</v>
      </c>
      <c r="S3152" s="17"/>
      <c r="T3152" s="17"/>
      <c r="U3152" s="17"/>
    </row>
    <row r="3153" spans="17:21" x14ac:dyDescent="0.25">
      <c r="Q3153" s="17" t="s">
        <v>3868</v>
      </c>
      <c r="R3153" s="17" t="s">
        <v>2239</v>
      </c>
      <c r="S3153" s="17"/>
      <c r="T3153" s="17"/>
      <c r="U3153" s="17"/>
    </row>
    <row r="3154" spans="17:21" x14ac:dyDescent="0.25">
      <c r="Q3154" s="17" t="s">
        <v>3869</v>
      </c>
      <c r="R3154" s="17" t="s">
        <v>2239</v>
      </c>
      <c r="S3154" s="17"/>
      <c r="T3154" s="17"/>
      <c r="U3154" s="17"/>
    </row>
    <row r="3155" spans="17:21" x14ac:dyDescent="0.25">
      <c r="Q3155" s="17" t="s">
        <v>3870</v>
      </c>
      <c r="R3155" s="17" t="s">
        <v>2239</v>
      </c>
      <c r="S3155" s="17"/>
      <c r="T3155" s="17"/>
      <c r="U3155" s="17"/>
    </row>
    <row r="3156" spans="17:21" x14ac:dyDescent="0.25">
      <c r="Q3156" s="17" t="s">
        <v>3871</v>
      </c>
      <c r="R3156" s="17" t="s">
        <v>2239</v>
      </c>
      <c r="S3156" s="17"/>
      <c r="T3156" s="17"/>
      <c r="U3156" s="17"/>
    </row>
    <row r="3157" spans="17:21" x14ac:dyDescent="0.25">
      <c r="Q3157" s="17" t="s">
        <v>3872</v>
      </c>
      <c r="R3157" s="17" t="s">
        <v>2239</v>
      </c>
      <c r="S3157" s="17"/>
      <c r="T3157" s="17"/>
      <c r="U3157" s="17"/>
    </row>
    <row r="3158" spans="17:21" x14ac:dyDescent="0.25">
      <c r="Q3158" s="17" t="s">
        <v>3873</v>
      </c>
      <c r="R3158" s="17" t="s">
        <v>2239</v>
      </c>
      <c r="S3158" s="17"/>
      <c r="T3158" s="17"/>
      <c r="U3158" s="17"/>
    </row>
    <row r="3159" spans="17:21" x14ac:dyDescent="0.25">
      <c r="Q3159" s="17" t="s">
        <v>3874</v>
      </c>
      <c r="R3159" s="17" t="s">
        <v>2239</v>
      </c>
      <c r="S3159" s="17"/>
      <c r="T3159" s="17"/>
      <c r="U3159" s="17"/>
    </row>
    <row r="3160" spans="17:21" x14ac:dyDescent="0.25">
      <c r="Q3160" s="17" t="s">
        <v>3875</v>
      </c>
      <c r="R3160" s="17" t="s">
        <v>2239</v>
      </c>
      <c r="S3160" s="17"/>
      <c r="T3160" s="17"/>
      <c r="U3160" s="17"/>
    </row>
    <row r="3161" spans="17:21" x14ac:dyDescent="0.25">
      <c r="Q3161" s="17" t="s">
        <v>3876</v>
      </c>
      <c r="R3161" s="17" t="s">
        <v>2239</v>
      </c>
      <c r="S3161" s="17"/>
      <c r="T3161" s="17"/>
      <c r="U3161" s="17"/>
    </row>
    <row r="3162" spans="17:21" x14ac:dyDescent="0.25">
      <c r="Q3162" s="17" t="s">
        <v>3877</v>
      </c>
      <c r="R3162" s="17" t="s">
        <v>2239</v>
      </c>
      <c r="S3162" s="17"/>
      <c r="T3162" s="17"/>
      <c r="U3162" s="17"/>
    </row>
    <row r="3163" spans="17:21" x14ac:dyDescent="0.25">
      <c r="Q3163" s="17" t="s">
        <v>3878</v>
      </c>
      <c r="R3163" s="17" t="s">
        <v>2239</v>
      </c>
      <c r="S3163" s="17"/>
      <c r="T3163" s="17"/>
      <c r="U3163" s="17"/>
    </row>
    <row r="3164" spans="17:21" x14ac:dyDescent="0.25">
      <c r="Q3164" s="17" t="s">
        <v>3879</v>
      </c>
      <c r="R3164" s="17" t="s">
        <v>2239</v>
      </c>
      <c r="S3164" s="17"/>
      <c r="T3164" s="17"/>
      <c r="U3164" s="17"/>
    </row>
    <row r="3165" spans="17:21" x14ac:dyDescent="0.25">
      <c r="Q3165" s="17" t="s">
        <v>3880</v>
      </c>
      <c r="R3165" s="17" t="s">
        <v>2239</v>
      </c>
      <c r="S3165" s="17"/>
      <c r="T3165" s="17"/>
      <c r="U3165" s="17"/>
    </row>
    <row r="3166" spans="17:21" x14ac:dyDescent="0.25">
      <c r="Q3166" s="17" t="s">
        <v>3881</v>
      </c>
      <c r="R3166" s="17" t="s">
        <v>2239</v>
      </c>
      <c r="S3166" s="17"/>
      <c r="T3166" s="17"/>
      <c r="U3166" s="17"/>
    </row>
    <row r="3167" spans="17:21" x14ac:dyDescent="0.25">
      <c r="Q3167" s="17" t="s">
        <v>3882</v>
      </c>
      <c r="R3167" s="17" t="s">
        <v>2239</v>
      </c>
      <c r="S3167" s="17"/>
      <c r="T3167" s="17"/>
      <c r="U3167" s="17"/>
    </row>
    <row r="3168" spans="17:21" x14ac:dyDescent="0.25">
      <c r="Q3168" s="17" t="s">
        <v>3883</v>
      </c>
      <c r="R3168" s="17" t="s">
        <v>2239</v>
      </c>
      <c r="S3168" s="17"/>
      <c r="T3168" s="17"/>
      <c r="U3168" s="17"/>
    </row>
    <row r="3169" spans="17:21" x14ac:dyDescent="0.25">
      <c r="Q3169" s="17" t="s">
        <v>3884</v>
      </c>
      <c r="R3169" s="17" t="s">
        <v>2239</v>
      </c>
      <c r="S3169" s="17"/>
      <c r="T3169" s="17"/>
      <c r="U3169" s="17"/>
    </row>
    <row r="3170" spans="17:21" x14ac:dyDescent="0.25">
      <c r="Q3170" s="17" t="s">
        <v>3885</v>
      </c>
      <c r="R3170" s="17" t="s">
        <v>2239</v>
      </c>
      <c r="S3170" s="17"/>
      <c r="T3170" s="17"/>
      <c r="U3170" s="17"/>
    </row>
    <row r="3171" spans="17:21" x14ac:dyDescent="0.25">
      <c r="Q3171" s="17" t="s">
        <v>3886</v>
      </c>
      <c r="R3171" s="17" t="s">
        <v>2239</v>
      </c>
      <c r="S3171" s="17"/>
      <c r="T3171" s="17"/>
      <c r="U3171" s="17"/>
    </row>
    <row r="3172" spans="17:21" x14ac:dyDescent="0.25">
      <c r="Q3172" s="17" t="s">
        <v>3887</v>
      </c>
      <c r="R3172" s="17" t="s">
        <v>2239</v>
      </c>
      <c r="S3172" s="17"/>
      <c r="T3172" s="17"/>
      <c r="U3172" s="17"/>
    </row>
    <row r="3173" spans="17:21" x14ac:dyDescent="0.25">
      <c r="Q3173" s="17" t="s">
        <v>3888</v>
      </c>
      <c r="R3173" s="17" t="s">
        <v>2239</v>
      </c>
      <c r="S3173" s="17"/>
      <c r="T3173" s="17"/>
      <c r="U3173" s="17"/>
    </row>
    <row r="3174" spans="17:21" x14ac:dyDescent="0.25">
      <c r="Q3174" s="17" t="s">
        <v>3889</v>
      </c>
      <c r="R3174" s="17" t="s">
        <v>2239</v>
      </c>
      <c r="S3174" s="17"/>
      <c r="T3174" s="17"/>
      <c r="U3174" s="17"/>
    </row>
    <row r="3175" spans="17:21" x14ac:dyDescent="0.25">
      <c r="Q3175" s="17" t="s">
        <v>3890</v>
      </c>
      <c r="R3175" s="17" t="s">
        <v>2239</v>
      </c>
      <c r="S3175" s="17"/>
      <c r="T3175" s="17"/>
      <c r="U3175" s="17"/>
    </row>
    <row r="3176" spans="17:21" x14ac:dyDescent="0.25">
      <c r="Q3176" s="17" t="s">
        <v>3891</v>
      </c>
      <c r="R3176" s="17" t="s">
        <v>2239</v>
      </c>
      <c r="S3176" s="17"/>
      <c r="T3176" s="17"/>
      <c r="U3176" s="17"/>
    </row>
    <row r="3177" spans="17:21" x14ac:dyDescent="0.25">
      <c r="Q3177" s="17" t="s">
        <v>3892</v>
      </c>
      <c r="R3177" s="17" t="s">
        <v>2239</v>
      </c>
      <c r="S3177" s="17"/>
      <c r="T3177" s="17"/>
      <c r="U3177" s="17"/>
    </row>
    <row r="3178" spans="17:21" x14ac:dyDescent="0.25">
      <c r="Q3178" s="17" t="s">
        <v>3893</v>
      </c>
      <c r="R3178" s="17" t="s">
        <v>2239</v>
      </c>
      <c r="S3178" s="17"/>
      <c r="T3178" s="17"/>
      <c r="U3178" s="17"/>
    </row>
    <row r="3179" spans="17:21" x14ac:dyDescent="0.25">
      <c r="Q3179" s="17" t="s">
        <v>3894</v>
      </c>
      <c r="R3179" s="17" t="s">
        <v>2239</v>
      </c>
      <c r="S3179" s="17"/>
      <c r="T3179" s="17"/>
      <c r="U3179" s="17"/>
    </row>
    <row r="3180" spans="17:21" x14ac:dyDescent="0.25">
      <c r="Q3180" s="17" t="s">
        <v>3895</v>
      </c>
      <c r="R3180" s="17" t="s">
        <v>2239</v>
      </c>
      <c r="S3180" s="17"/>
      <c r="T3180" s="17"/>
      <c r="U3180" s="17"/>
    </row>
    <row r="3181" spans="17:21" x14ac:dyDescent="0.25">
      <c r="Q3181" s="17" t="s">
        <v>3896</v>
      </c>
      <c r="R3181" s="17" t="s">
        <v>2239</v>
      </c>
      <c r="S3181" s="17"/>
      <c r="T3181" s="17"/>
      <c r="U3181" s="17"/>
    </row>
    <row r="3182" spans="17:21" x14ac:dyDescent="0.25">
      <c r="Q3182" s="17" t="s">
        <v>3897</v>
      </c>
      <c r="R3182" s="17" t="s">
        <v>2239</v>
      </c>
      <c r="S3182" s="17"/>
      <c r="T3182" s="17"/>
      <c r="U3182" s="17"/>
    </row>
    <row r="3183" spans="17:21" x14ac:dyDescent="0.25">
      <c r="Q3183" s="17" t="s">
        <v>3898</v>
      </c>
      <c r="R3183" s="17" t="s">
        <v>2239</v>
      </c>
      <c r="S3183" s="17"/>
      <c r="T3183" s="17"/>
      <c r="U3183" s="17"/>
    </row>
    <row r="3184" spans="17:21" x14ac:dyDescent="0.25">
      <c r="Q3184" s="17" t="s">
        <v>3899</v>
      </c>
      <c r="R3184" s="17" t="s">
        <v>2239</v>
      </c>
      <c r="S3184" s="17"/>
      <c r="T3184" s="17"/>
      <c r="U3184" s="17"/>
    </row>
    <row r="3185" spans="17:21" x14ac:dyDescent="0.25">
      <c r="Q3185" s="17" t="s">
        <v>3900</v>
      </c>
      <c r="R3185" s="17" t="s">
        <v>2239</v>
      </c>
      <c r="S3185" s="17"/>
      <c r="T3185" s="17"/>
      <c r="U3185" s="17"/>
    </row>
    <row r="3186" spans="17:21" x14ac:dyDescent="0.25">
      <c r="Q3186" s="17" t="s">
        <v>3901</v>
      </c>
      <c r="R3186" s="17" t="s">
        <v>2239</v>
      </c>
      <c r="S3186" s="17"/>
      <c r="T3186" s="17"/>
      <c r="U3186" s="17"/>
    </row>
    <row r="3187" spans="17:21" x14ac:dyDescent="0.25">
      <c r="Q3187" s="17" t="s">
        <v>3902</v>
      </c>
      <c r="R3187" s="17" t="s">
        <v>2239</v>
      </c>
      <c r="S3187" s="17"/>
      <c r="T3187" s="17"/>
      <c r="U3187" s="17"/>
    </row>
    <row r="3188" spans="17:21" x14ac:dyDescent="0.25">
      <c r="Q3188" s="17" t="s">
        <v>3903</v>
      </c>
      <c r="R3188" s="17" t="s">
        <v>2239</v>
      </c>
      <c r="S3188" s="17"/>
      <c r="T3188" s="17"/>
      <c r="U3188" s="17"/>
    </row>
    <row r="3189" spans="17:21" x14ac:dyDescent="0.25">
      <c r="Q3189" s="17" t="s">
        <v>3904</v>
      </c>
      <c r="R3189" s="17" t="s">
        <v>2239</v>
      </c>
      <c r="S3189" s="17"/>
      <c r="T3189" s="17"/>
      <c r="U3189" s="17"/>
    </row>
    <row r="3190" spans="17:21" x14ac:dyDescent="0.25">
      <c r="Q3190" s="17" t="s">
        <v>3905</v>
      </c>
      <c r="R3190" s="17" t="s">
        <v>2239</v>
      </c>
      <c r="S3190" s="17"/>
      <c r="T3190" s="17"/>
      <c r="U3190" s="17"/>
    </row>
    <row r="3191" spans="17:21" x14ac:dyDescent="0.25">
      <c r="Q3191" s="17" t="s">
        <v>3906</v>
      </c>
      <c r="R3191" s="17" t="s">
        <v>2239</v>
      </c>
      <c r="S3191" s="17"/>
      <c r="T3191" s="17"/>
      <c r="U3191" s="17"/>
    </row>
    <row r="3192" spans="17:21" x14ac:dyDescent="0.25">
      <c r="Q3192" s="17" t="s">
        <v>3907</v>
      </c>
      <c r="R3192" s="17" t="s">
        <v>2239</v>
      </c>
      <c r="S3192" s="17"/>
      <c r="T3192" s="17"/>
      <c r="U3192" s="17"/>
    </row>
    <row r="3193" spans="17:21" x14ac:dyDescent="0.25">
      <c r="Q3193" s="17" t="s">
        <v>3908</v>
      </c>
      <c r="R3193" s="17" t="s">
        <v>2239</v>
      </c>
      <c r="S3193" s="17"/>
      <c r="T3193" s="17"/>
      <c r="U3193" s="17"/>
    </row>
    <row r="3194" spans="17:21" x14ac:dyDescent="0.25">
      <c r="Q3194" s="17" t="s">
        <v>3909</v>
      </c>
      <c r="R3194" s="17" t="s">
        <v>2239</v>
      </c>
      <c r="S3194" s="17"/>
      <c r="T3194" s="17"/>
      <c r="U3194" s="17"/>
    </row>
    <row r="3195" spans="17:21" x14ac:dyDescent="0.25">
      <c r="Q3195" s="17" t="s">
        <v>3910</v>
      </c>
      <c r="R3195" s="17" t="s">
        <v>2239</v>
      </c>
      <c r="S3195" s="17"/>
      <c r="T3195" s="17"/>
      <c r="U3195" s="17"/>
    </row>
    <row r="3196" spans="17:21" x14ac:dyDescent="0.25">
      <c r="Q3196" s="17" t="s">
        <v>3911</v>
      </c>
      <c r="R3196" s="17" t="s">
        <v>2239</v>
      </c>
      <c r="S3196" s="17"/>
      <c r="T3196" s="17"/>
      <c r="U3196" s="17"/>
    </row>
    <row r="3197" spans="17:21" x14ac:dyDescent="0.25">
      <c r="Q3197" s="17" t="s">
        <v>3912</v>
      </c>
      <c r="R3197" s="17" t="s">
        <v>2239</v>
      </c>
      <c r="S3197" s="17"/>
      <c r="T3197" s="17"/>
      <c r="U3197" s="17"/>
    </row>
    <row r="3198" spans="17:21" x14ac:dyDescent="0.25">
      <c r="Q3198" s="17" t="s">
        <v>3913</v>
      </c>
      <c r="R3198" s="17" t="s">
        <v>2239</v>
      </c>
      <c r="S3198" s="17"/>
      <c r="T3198" s="17"/>
      <c r="U3198" s="17"/>
    </row>
    <row r="3199" spans="17:21" x14ac:dyDescent="0.25">
      <c r="Q3199" s="17" t="s">
        <v>3914</v>
      </c>
      <c r="R3199" s="17" t="s">
        <v>2239</v>
      </c>
      <c r="S3199" s="17"/>
      <c r="T3199" s="17"/>
      <c r="U3199" s="17"/>
    </row>
    <row r="3200" spans="17:21" x14ac:dyDescent="0.25">
      <c r="Q3200" s="17" t="s">
        <v>3915</v>
      </c>
      <c r="R3200" s="17" t="s">
        <v>2239</v>
      </c>
      <c r="S3200" s="17"/>
      <c r="T3200" s="17"/>
      <c r="U3200" s="17"/>
    </row>
    <row r="3201" spans="17:21" x14ac:dyDescent="0.25">
      <c r="Q3201" s="17" t="s">
        <v>3916</v>
      </c>
      <c r="R3201" s="17" t="s">
        <v>2239</v>
      </c>
      <c r="S3201" s="17"/>
      <c r="T3201" s="17"/>
      <c r="U3201" s="17"/>
    </row>
    <row r="3202" spans="17:21" x14ac:dyDescent="0.25">
      <c r="Q3202" s="17" t="s">
        <v>3917</v>
      </c>
      <c r="R3202" s="17" t="s">
        <v>2239</v>
      </c>
      <c r="S3202" s="17"/>
      <c r="T3202" s="17"/>
      <c r="U3202" s="17"/>
    </row>
    <row r="3203" spans="17:21" x14ac:dyDescent="0.25">
      <c r="Q3203" s="17" t="s">
        <v>3918</v>
      </c>
      <c r="R3203" s="17" t="s">
        <v>2239</v>
      </c>
      <c r="S3203" s="17"/>
      <c r="T3203" s="17"/>
      <c r="U3203" s="17"/>
    </row>
    <row r="3204" spans="17:21" x14ac:dyDescent="0.25">
      <c r="Q3204" s="17" t="s">
        <v>3919</v>
      </c>
      <c r="R3204" s="17" t="s">
        <v>2239</v>
      </c>
      <c r="S3204" s="17"/>
      <c r="T3204" s="17"/>
      <c r="U3204" s="17"/>
    </row>
    <row r="3205" spans="17:21" x14ac:dyDescent="0.25">
      <c r="Q3205" s="17" t="s">
        <v>3920</v>
      </c>
      <c r="R3205" s="17" t="s">
        <v>2239</v>
      </c>
      <c r="S3205" s="17"/>
      <c r="T3205" s="17"/>
      <c r="U3205" s="17"/>
    </row>
    <row r="3206" spans="17:21" x14ac:dyDescent="0.25">
      <c r="Q3206" s="17" t="s">
        <v>3921</v>
      </c>
      <c r="R3206" s="17" t="s">
        <v>2239</v>
      </c>
      <c r="S3206" s="17"/>
      <c r="T3206" s="17"/>
      <c r="U3206" s="17"/>
    </row>
    <row r="3207" spans="17:21" x14ac:dyDescent="0.25">
      <c r="Q3207" s="17" t="s">
        <v>3922</v>
      </c>
      <c r="R3207" s="17" t="s">
        <v>2239</v>
      </c>
      <c r="S3207" s="17"/>
      <c r="T3207" s="17"/>
      <c r="U3207" s="17"/>
    </row>
    <row r="3208" spans="17:21" x14ac:dyDescent="0.25">
      <c r="Q3208" s="17" t="s">
        <v>3923</v>
      </c>
      <c r="R3208" s="17" t="s">
        <v>2239</v>
      </c>
      <c r="S3208" s="17"/>
      <c r="T3208" s="17"/>
      <c r="U3208" s="17"/>
    </row>
    <row r="3209" spans="17:21" x14ac:dyDescent="0.25">
      <c r="Q3209" s="17" t="s">
        <v>3924</v>
      </c>
      <c r="R3209" s="17" t="s">
        <v>2239</v>
      </c>
      <c r="S3209" s="17"/>
      <c r="T3209" s="17"/>
      <c r="U3209" s="17"/>
    </row>
    <row r="3210" spans="17:21" x14ac:dyDescent="0.25">
      <c r="Q3210" s="17" t="s">
        <v>3925</v>
      </c>
      <c r="R3210" s="17" t="s">
        <v>2239</v>
      </c>
      <c r="S3210" s="17"/>
      <c r="T3210" s="17"/>
      <c r="U3210" s="17"/>
    </row>
    <row r="3211" spans="17:21" x14ac:dyDescent="0.25">
      <c r="Q3211" s="17" t="s">
        <v>3926</v>
      </c>
      <c r="R3211" s="17" t="s">
        <v>2239</v>
      </c>
      <c r="S3211" s="17"/>
      <c r="T3211" s="17"/>
      <c r="U3211" s="17"/>
    </row>
    <row r="3212" spans="17:21" x14ac:dyDescent="0.25">
      <c r="Q3212" s="17" t="s">
        <v>3927</v>
      </c>
      <c r="R3212" s="17" t="s">
        <v>2239</v>
      </c>
      <c r="S3212" s="17"/>
      <c r="T3212" s="17"/>
      <c r="U3212" s="17"/>
    </row>
    <row r="3213" spans="17:21" x14ac:dyDescent="0.25">
      <c r="Q3213" s="17" t="s">
        <v>3928</v>
      </c>
      <c r="R3213" s="17" t="s">
        <v>2239</v>
      </c>
      <c r="S3213" s="17"/>
      <c r="T3213" s="17"/>
      <c r="U3213" s="17"/>
    </row>
    <row r="3214" spans="17:21" x14ac:dyDescent="0.25">
      <c r="Q3214" s="17" t="s">
        <v>3929</v>
      </c>
      <c r="R3214" s="17" t="s">
        <v>2239</v>
      </c>
      <c r="S3214" s="17"/>
      <c r="T3214" s="17"/>
      <c r="U3214" s="17"/>
    </row>
    <row r="3215" spans="17:21" x14ac:dyDescent="0.25">
      <c r="Q3215" s="17" t="s">
        <v>3930</v>
      </c>
      <c r="R3215" s="17" t="s">
        <v>2239</v>
      </c>
      <c r="S3215" s="17"/>
      <c r="T3215" s="17"/>
      <c r="U3215" s="17"/>
    </row>
    <row r="3216" spans="17:21" x14ac:dyDescent="0.25">
      <c r="Q3216" s="17" t="s">
        <v>3931</v>
      </c>
      <c r="R3216" s="17" t="s">
        <v>2239</v>
      </c>
      <c r="S3216" s="17"/>
      <c r="T3216" s="17"/>
      <c r="U3216" s="17"/>
    </row>
    <row r="3217" spans="17:21" x14ac:dyDescent="0.25">
      <c r="Q3217" s="17" t="s">
        <v>3932</v>
      </c>
      <c r="R3217" s="17" t="s">
        <v>2239</v>
      </c>
      <c r="S3217" s="17"/>
      <c r="T3217" s="17"/>
      <c r="U3217" s="17"/>
    </row>
    <row r="3218" spans="17:21" x14ac:dyDescent="0.25">
      <c r="Q3218" s="17" t="s">
        <v>3933</v>
      </c>
      <c r="R3218" s="17" t="s">
        <v>2239</v>
      </c>
      <c r="S3218" s="17"/>
      <c r="T3218" s="17"/>
      <c r="U3218" s="17"/>
    </row>
    <row r="3219" spans="17:21" x14ac:dyDescent="0.25">
      <c r="Q3219" s="17" t="s">
        <v>3934</v>
      </c>
      <c r="R3219" s="17" t="s">
        <v>2239</v>
      </c>
      <c r="S3219" s="17"/>
      <c r="T3219" s="17"/>
      <c r="U3219" s="17"/>
    </row>
    <row r="3220" spans="17:21" x14ac:dyDescent="0.25">
      <c r="Q3220" s="17" t="s">
        <v>3935</v>
      </c>
      <c r="R3220" s="17" t="s">
        <v>2239</v>
      </c>
      <c r="S3220" s="17"/>
      <c r="T3220" s="17"/>
      <c r="U3220" s="17"/>
    </row>
    <row r="3221" spans="17:21" x14ac:dyDescent="0.25">
      <c r="Q3221" s="17" t="s">
        <v>3936</v>
      </c>
      <c r="R3221" s="17" t="s">
        <v>2239</v>
      </c>
      <c r="S3221" s="17"/>
      <c r="T3221" s="17"/>
      <c r="U3221" s="17"/>
    </row>
    <row r="3222" spans="17:21" x14ac:dyDescent="0.25">
      <c r="Q3222" s="17" t="s">
        <v>3937</v>
      </c>
      <c r="R3222" s="17" t="s">
        <v>2239</v>
      </c>
      <c r="S3222" s="17"/>
      <c r="T3222" s="17"/>
      <c r="U3222" s="17"/>
    </row>
    <row r="3223" spans="17:21" x14ac:dyDescent="0.25">
      <c r="Q3223" s="17" t="s">
        <v>3938</v>
      </c>
      <c r="R3223" s="17" t="s">
        <v>2239</v>
      </c>
      <c r="S3223" s="17"/>
      <c r="T3223" s="17"/>
      <c r="U3223" s="17"/>
    </row>
    <row r="3224" spans="17:21" x14ac:dyDescent="0.25">
      <c r="Q3224" s="17" t="s">
        <v>3939</v>
      </c>
      <c r="R3224" s="17" t="s">
        <v>2239</v>
      </c>
      <c r="S3224" s="17"/>
      <c r="T3224" s="17"/>
      <c r="U3224" s="17"/>
    </row>
    <row r="3225" spans="17:21" x14ac:dyDescent="0.25">
      <c r="Q3225" s="17" t="s">
        <v>3940</v>
      </c>
      <c r="R3225" s="17" t="s">
        <v>2239</v>
      </c>
      <c r="S3225" s="17"/>
      <c r="T3225" s="17"/>
      <c r="U3225" s="17"/>
    </row>
    <row r="3226" spans="17:21" x14ac:dyDescent="0.25">
      <c r="Q3226" s="17" t="s">
        <v>3941</v>
      </c>
      <c r="R3226" s="17" t="s">
        <v>2239</v>
      </c>
      <c r="S3226" s="17"/>
      <c r="T3226" s="17"/>
      <c r="U3226" s="17"/>
    </row>
    <row r="3227" spans="17:21" x14ac:dyDescent="0.25">
      <c r="Q3227" s="17" t="s">
        <v>3942</v>
      </c>
      <c r="R3227" s="17" t="s">
        <v>2239</v>
      </c>
      <c r="S3227" s="17"/>
      <c r="T3227" s="17"/>
      <c r="U3227" s="17"/>
    </row>
    <row r="3228" spans="17:21" x14ac:dyDescent="0.25">
      <c r="Q3228" s="17" t="s">
        <v>3943</v>
      </c>
      <c r="R3228" s="17" t="s">
        <v>2239</v>
      </c>
      <c r="S3228" s="17"/>
      <c r="T3228" s="17"/>
      <c r="U3228" s="17"/>
    </row>
    <row r="3229" spans="17:21" x14ac:dyDescent="0.25">
      <c r="Q3229" s="17" t="s">
        <v>3944</v>
      </c>
      <c r="R3229" s="17" t="s">
        <v>2239</v>
      </c>
      <c r="S3229" s="17"/>
      <c r="T3229" s="17"/>
      <c r="U3229" s="17"/>
    </row>
    <row r="3230" spans="17:21" x14ac:dyDescent="0.25">
      <c r="Q3230" s="17" t="s">
        <v>3945</v>
      </c>
      <c r="R3230" s="17" t="s">
        <v>2239</v>
      </c>
      <c r="S3230" s="17"/>
      <c r="T3230" s="17"/>
      <c r="U3230" s="17"/>
    </row>
    <row r="3231" spans="17:21" x14ac:dyDescent="0.25">
      <c r="Q3231" s="17" t="s">
        <v>3946</v>
      </c>
      <c r="R3231" s="17" t="s">
        <v>2239</v>
      </c>
      <c r="S3231" s="17"/>
      <c r="T3231" s="17"/>
      <c r="U3231" s="17"/>
    </row>
    <row r="3232" spans="17:21" x14ac:dyDescent="0.25">
      <c r="Q3232" s="17" t="s">
        <v>3947</v>
      </c>
      <c r="R3232" s="17" t="s">
        <v>2239</v>
      </c>
      <c r="S3232" s="17"/>
      <c r="T3232" s="17"/>
      <c r="U3232" s="17"/>
    </row>
    <row r="3233" spans="17:21" x14ac:dyDescent="0.25">
      <c r="Q3233" s="17" t="s">
        <v>3948</v>
      </c>
      <c r="R3233" s="17" t="s">
        <v>2239</v>
      </c>
      <c r="S3233" s="17"/>
      <c r="T3233" s="17"/>
      <c r="U3233" s="17"/>
    </row>
    <row r="3234" spans="17:21" x14ac:dyDescent="0.25">
      <c r="Q3234" s="17" t="s">
        <v>3949</v>
      </c>
      <c r="R3234" s="17" t="s">
        <v>2239</v>
      </c>
      <c r="S3234" s="17"/>
      <c r="T3234" s="17"/>
      <c r="U3234" s="17"/>
    </row>
    <row r="3235" spans="17:21" x14ac:dyDescent="0.25">
      <c r="Q3235" s="17" t="s">
        <v>3950</v>
      </c>
      <c r="R3235" s="17" t="s">
        <v>2239</v>
      </c>
      <c r="S3235" s="17"/>
      <c r="T3235" s="17"/>
      <c r="U3235" s="17"/>
    </row>
    <row r="3236" spans="17:21" x14ac:dyDescent="0.25">
      <c r="Q3236" s="17" t="s">
        <v>3951</v>
      </c>
      <c r="R3236" s="17" t="s">
        <v>2239</v>
      </c>
      <c r="S3236" s="17"/>
      <c r="T3236" s="17"/>
      <c r="U3236" s="17"/>
    </row>
    <row r="3237" spans="17:21" x14ac:dyDescent="0.25">
      <c r="Q3237" s="17" t="s">
        <v>3952</v>
      </c>
      <c r="R3237" s="17" t="s">
        <v>2239</v>
      </c>
      <c r="S3237" s="17"/>
      <c r="T3237" s="17"/>
      <c r="U3237" s="17"/>
    </row>
    <row r="3238" spans="17:21" x14ac:dyDescent="0.25">
      <c r="Q3238" s="17" t="s">
        <v>3953</v>
      </c>
      <c r="R3238" s="17" t="s">
        <v>2239</v>
      </c>
      <c r="S3238" s="17"/>
      <c r="T3238" s="17"/>
      <c r="U3238" s="17"/>
    </row>
    <row r="3239" spans="17:21" x14ac:dyDescent="0.25">
      <c r="Q3239" s="17" t="s">
        <v>3954</v>
      </c>
      <c r="R3239" s="17" t="s">
        <v>2239</v>
      </c>
      <c r="S3239" s="17"/>
      <c r="T3239" s="17"/>
      <c r="U3239" s="17"/>
    </row>
    <row r="3240" spans="17:21" x14ac:dyDescent="0.25">
      <c r="Q3240" s="17" t="s">
        <v>3955</v>
      </c>
      <c r="R3240" s="17" t="s">
        <v>2239</v>
      </c>
      <c r="S3240" s="17"/>
      <c r="T3240" s="17"/>
      <c r="U3240" s="17"/>
    </row>
    <row r="3241" spans="17:21" x14ac:dyDescent="0.25">
      <c r="Q3241" s="17" t="s">
        <v>3956</v>
      </c>
      <c r="R3241" s="17" t="s">
        <v>2239</v>
      </c>
      <c r="S3241" s="17"/>
      <c r="T3241" s="17"/>
      <c r="U3241" s="17"/>
    </row>
    <row r="3242" spans="17:21" x14ac:dyDescent="0.25">
      <c r="Q3242" s="17" t="s">
        <v>3957</v>
      </c>
      <c r="R3242" s="17" t="s">
        <v>2239</v>
      </c>
      <c r="S3242" s="17"/>
      <c r="T3242" s="17"/>
      <c r="U3242" s="17"/>
    </row>
    <row r="3243" spans="17:21" x14ac:dyDescent="0.25">
      <c r="Q3243" s="17" t="s">
        <v>3958</v>
      </c>
      <c r="R3243" s="17" t="s">
        <v>2239</v>
      </c>
      <c r="S3243" s="17"/>
      <c r="T3243" s="17"/>
      <c r="U3243" s="17"/>
    </row>
    <row r="3244" spans="17:21" x14ac:dyDescent="0.25">
      <c r="Q3244" s="17" t="s">
        <v>3959</v>
      </c>
      <c r="R3244" s="17" t="s">
        <v>2239</v>
      </c>
      <c r="S3244" s="17"/>
      <c r="T3244" s="17"/>
      <c r="U3244" s="17"/>
    </row>
    <row r="3245" spans="17:21" x14ac:dyDescent="0.25">
      <c r="Q3245" s="17" t="s">
        <v>3960</v>
      </c>
      <c r="R3245" s="17" t="s">
        <v>2239</v>
      </c>
      <c r="S3245" s="17"/>
      <c r="T3245" s="17"/>
      <c r="U3245" s="17"/>
    </row>
    <row r="3246" spans="17:21" x14ac:dyDescent="0.25">
      <c r="Q3246" s="17" t="s">
        <v>3961</v>
      </c>
      <c r="R3246" s="17" t="s">
        <v>2239</v>
      </c>
      <c r="S3246" s="17"/>
      <c r="T3246" s="17"/>
      <c r="U3246" s="17"/>
    </row>
    <row r="3247" spans="17:21" x14ac:dyDescent="0.25">
      <c r="Q3247" s="17" t="s">
        <v>3962</v>
      </c>
      <c r="R3247" s="17" t="s">
        <v>2239</v>
      </c>
      <c r="S3247" s="17"/>
      <c r="T3247" s="17"/>
      <c r="U3247" s="17"/>
    </row>
    <row r="3248" spans="17:21" x14ac:dyDescent="0.25">
      <c r="Q3248" s="17" t="s">
        <v>3963</v>
      </c>
      <c r="R3248" s="17" t="s">
        <v>2239</v>
      </c>
      <c r="S3248" s="17"/>
      <c r="T3248" s="17"/>
      <c r="U3248" s="17"/>
    </row>
    <row r="3249" spans="17:21" x14ac:dyDescent="0.25">
      <c r="Q3249" s="17" t="s">
        <v>3964</v>
      </c>
      <c r="R3249" s="17" t="s">
        <v>2239</v>
      </c>
      <c r="S3249" s="17"/>
      <c r="T3249" s="17"/>
      <c r="U3249" s="17"/>
    </row>
    <row r="3250" spans="17:21" x14ac:dyDescent="0.25">
      <c r="Q3250" s="17" t="s">
        <v>3965</v>
      </c>
      <c r="R3250" s="17" t="s">
        <v>2239</v>
      </c>
      <c r="S3250" s="17"/>
      <c r="T3250" s="17"/>
      <c r="U3250" s="17"/>
    </row>
    <row r="3251" spans="17:21" x14ac:dyDescent="0.25">
      <c r="Q3251" s="17" t="s">
        <v>3966</v>
      </c>
      <c r="R3251" s="17" t="s">
        <v>2239</v>
      </c>
      <c r="S3251" s="17"/>
      <c r="T3251" s="17"/>
      <c r="U3251" s="17"/>
    </row>
    <row r="3252" spans="17:21" x14ac:dyDescent="0.25">
      <c r="Q3252" s="17" t="s">
        <v>3967</v>
      </c>
      <c r="R3252" s="17" t="s">
        <v>2239</v>
      </c>
      <c r="S3252" s="17"/>
      <c r="T3252" s="17"/>
      <c r="U3252" s="17"/>
    </row>
    <row r="3253" spans="17:21" x14ac:dyDescent="0.25">
      <c r="Q3253" s="17" t="s">
        <v>3968</v>
      </c>
      <c r="R3253" s="17" t="s">
        <v>2239</v>
      </c>
      <c r="S3253" s="17"/>
      <c r="T3253" s="17"/>
      <c r="U3253" s="17"/>
    </row>
    <row r="3254" spans="17:21" x14ac:dyDescent="0.25">
      <c r="Q3254" s="17" t="s">
        <v>3969</v>
      </c>
      <c r="R3254" s="17" t="s">
        <v>2239</v>
      </c>
      <c r="S3254" s="17"/>
      <c r="T3254" s="17"/>
      <c r="U3254" s="17"/>
    </row>
    <row r="3255" spans="17:21" x14ac:dyDescent="0.25">
      <c r="Q3255" s="17" t="s">
        <v>3970</v>
      </c>
      <c r="R3255" s="17" t="s">
        <v>2239</v>
      </c>
      <c r="S3255" s="17"/>
      <c r="T3255" s="17"/>
      <c r="U3255" s="17"/>
    </row>
    <row r="3256" spans="17:21" x14ac:dyDescent="0.25">
      <c r="Q3256" s="17" t="s">
        <v>3971</v>
      </c>
      <c r="R3256" s="17" t="s">
        <v>2239</v>
      </c>
      <c r="S3256" s="17"/>
      <c r="T3256" s="17"/>
      <c r="U3256" s="17"/>
    </row>
    <row r="3257" spans="17:21" x14ac:dyDescent="0.25">
      <c r="Q3257" s="17" t="s">
        <v>3972</v>
      </c>
      <c r="R3257" s="17" t="s">
        <v>2239</v>
      </c>
      <c r="S3257" s="17"/>
      <c r="T3257" s="17"/>
      <c r="U3257" s="17"/>
    </row>
    <row r="3258" spans="17:21" x14ac:dyDescent="0.25">
      <c r="Q3258" s="17" t="s">
        <v>3973</v>
      </c>
      <c r="R3258" s="17" t="s">
        <v>2239</v>
      </c>
      <c r="S3258" s="17"/>
      <c r="T3258" s="17"/>
      <c r="U3258" s="17"/>
    </row>
    <row r="3259" spans="17:21" x14ac:dyDescent="0.25">
      <c r="Q3259" s="17" t="s">
        <v>3974</v>
      </c>
      <c r="R3259" s="17" t="s">
        <v>2239</v>
      </c>
      <c r="S3259" s="17"/>
      <c r="T3259" s="17"/>
      <c r="U3259" s="17"/>
    </row>
    <row r="3260" spans="17:21" x14ac:dyDescent="0.25">
      <c r="Q3260" s="17" t="s">
        <v>3975</v>
      </c>
      <c r="R3260" s="17" t="s">
        <v>2239</v>
      </c>
      <c r="S3260" s="17"/>
      <c r="T3260" s="17"/>
      <c r="U3260" s="17"/>
    </row>
    <row r="3261" spans="17:21" x14ac:dyDescent="0.25">
      <c r="Q3261" s="17" t="s">
        <v>3976</v>
      </c>
      <c r="R3261" s="17" t="s">
        <v>2239</v>
      </c>
      <c r="S3261" s="17"/>
      <c r="T3261" s="17"/>
      <c r="U3261" s="17"/>
    </row>
    <row r="3262" spans="17:21" x14ac:dyDescent="0.25">
      <c r="Q3262" s="17" t="s">
        <v>3977</v>
      </c>
      <c r="R3262" s="17" t="s">
        <v>2239</v>
      </c>
      <c r="S3262" s="17"/>
      <c r="T3262" s="17"/>
      <c r="U3262" s="17"/>
    </row>
    <row r="3263" spans="17:21" x14ac:dyDescent="0.25">
      <c r="Q3263" s="17" t="s">
        <v>3978</v>
      </c>
      <c r="R3263" s="17" t="s">
        <v>2239</v>
      </c>
      <c r="S3263" s="17"/>
      <c r="T3263" s="17"/>
      <c r="U3263" s="17"/>
    </row>
    <row r="3264" spans="17:21" x14ac:dyDescent="0.25">
      <c r="Q3264" s="17" t="s">
        <v>3979</v>
      </c>
      <c r="R3264" s="17" t="s">
        <v>2239</v>
      </c>
      <c r="S3264" s="17"/>
      <c r="T3264" s="17"/>
      <c r="U3264" s="17"/>
    </row>
    <row r="3265" spans="17:21" x14ac:dyDescent="0.25">
      <c r="Q3265" s="17" t="s">
        <v>3980</v>
      </c>
      <c r="R3265" s="17" t="s">
        <v>2239</v>
      </c>
      <c r="S3265" s="17"/>
      <c r="T3265" s="17"/>
      <c r="U3265" s="17"/>
    </row>
    <row r="3266" spans="17:21" x14ac:dyDescent="0.25">
      <c r="Q3266" s="17" t="s">
        <v>3981</v>
      </c>
      <c r="R3266" s="17" t="s">
        <v>2239</v>
      </c>
      <c r="S3266" s="17"/>
      <c r="T3266" s="17"/>
      <c r="U3266" s="17"/>
    </row>
    <row r="3267" spans="17:21" x14ac:dyDescent="0.25">
      <c r="Q3267" s="17" t="s">
        <v>3982</v>
      </c>
      <c r="R3267" s="17" t="s">
        <v>2239</v>
      </c>
      <c r="S3267" s="17"/>
      <c r="T3267" s="17"/>
      <c r="U3267" s="17"/>
    </row>
    <row r="3268" spans="17:21" x14ac:dyDescent="0.25">
      <c r="Q3268" s="17" t="s">
        <v>3983</v>
      </c>
      <c r="R3268" s="17" t="s">
        <v>2239</v>
      </c>
      <c r="S3268" s="17"/>
      <c r="T3268" s="17"/>
      <c r="U3268" s="17"/>
    </row>
    <row r="3269" spans="17:21" x14ac:dyDescent="0.25">
      <c r="Q3269" s="17" t="s">
        <v>3984</v>
      </c>
      <c r="R3269" s="17" t="s">
        <v>2239</v>
      </c>
      <c r="S3269" s="17"/>
      <c r="T3269" s="17"/>
      <c r="U3269" s="17"/>
    </row>
    <row r="3270" spans="17:21" x14ac:dyDescent="0.25">
      <c r="Q3270" s="17" t="s">
        <v>3985</v>
      </c>
      <c r="R3270" s="17" t="s">
        <v>2239</v>
      </c>
      <c r="S3270" s="17"/>
      <c r="T3270" s="17"/>
      <c r="U3270" s="17"/>
    </row>
    <row r="3271" spans="17:21" x14ac:dyDescent="0.25">
      <c r="Q3271" s="17" t="s">
        <v>3986</v>
      </c>
      <c r="R3271" s="17" t="s">
        <v>2239</v>
      </c>
      <c r="S3271" s="17"/>
      <c r="T3271" s="17"/>
      <c r="U3271" s="17"/>
    </row>
    <row r="3272" spans="17:21" x14ac:dyDescent="0.25">
      <c r="Q3272" s="17" t="s">
        <v>3987</v>
      </c>
      <c r="R3272" s="17" t="s">
        <v>2239</v>
      </c>
      <c r="S3272" s="17"/>
      <c r="T3272" s="17"/>
      <c r="U3272" s="17"/>
    </row>
    <row r="3273" spans="17:21" x14ac:dyDescent="0.25">
      <c r="Q3273" s="17" t="s">
        <v>3988</v>
      </c>
      <c r="R3273" s="17" t="s">
        <v>2239</v>
      </c>
      <c r="S3273" s="17"/>
      <c r="T3273" s="17"/>
      <c r="U3273" s="17"/>
    </row>
    <row r="3274" spans="17:21" x14ac:dyDescent="0.25">
      <c r="Q3274" s="17" t="s">
        <v>3989</v>
      </c>
      <c r="R3274" s="17" t="s">
        <v>2239</v>
      </c>
      <c r="S3274" s="17"/>
      <c r="T3274" s="17"/>
      <c r="U3274" s="17"/>
    </row>
    <row r="3275" spans="17:21" x14ac:dyDescent="0.25">
      <c r="Q3275" s="17" t="s">
        <v>3990</v>
      </c>
      <c r="R3275" s="17" t="s">
        <v>2239</v>
      </c>
      <c r="S3275" s="17"/>
      <c r="T3275" s="17"/>
      <c r="U3275" s="17"/>
    </row>
    <row r="3276" spans="17:21" x14ac:dyDescent="0.25">
      <c r="Q3276" s="17" t="s">
        <v>3991</v>
      </c>
      <c r="R3276" s="17" t="s">
        <v>2239</v>
      </c>
      <c r="S3276" s="17"/>
      <c r="T3276" s="17"/>
      <c r="U3276" s="17"/>
    </row>
    <row r="3277" spans="17:21" x14ac:dyDescent="0.25">
      <c r="Q3277" s="17" t="s">
        <v>3992</v>
      </c>
      <c r="R3277" s="17" t="s">
        <v>2239</v>
      </c>
      <c r="S3277" s="17"/>
      <c r="T3277" s="17"/>
      <c r="U3277" s="17"/>
    </row>
    <row r="3278" spans="17:21" x14ac:dyDescent="0.25">
      <c r="Q3278" s="17" t="s">
        <v>3993</v>
      </c>
      <c r="R3278" s="17" t="s">
        <v>2239</v>
      </c>
      <c r="S3278" s="17"/>
      <c r="T3278" s="17"/>
      <c r="U3278" s="17"/>
    </row>
    <row r="3279" spans="17:21" x14ac:dyDescent="0.25">
      <c r="Q3279" s="17" t="s">
        <v>3994</v>
      </c>
      <c r="R3279" s="17" t="s">
        <v>2239</v>
      </c>
      <c r="S3279" s="17"/>
      <c r="T3279" s="17"/>
      <c r="U3279" s="17"/>
    </row>
    <row r="3280" spans="17:21" x14ac:dyDescent="0.25">
      <c r="Q3280" s="17" t="s">
        <v>3995</v>
      </c>
      <c r="R3280" s="17" t="s">
        <v>2239</v>
      </c>
      <c r="S3280" s="17"/>
      <c r="T3280" s="17"/>
      <c r="U3280" s="17"/>
    </row>
    <row r="3281" spans="17:21" x14ac:dyDescent="0.25">
      <c r="Q3281" s="17" t="s">
        <v>3996</v>
      </c>
      <c r="R3281" s="17" t="s">
        <v>2239</v>
      </c>
      <c r="S3281" s="17"/>
      <c r="T3281" s="17"/>
      <c r="U3281" s="17"/>
    </row>
    <row r="3282" spans="17:21" x14ac:dyDescent="0.25">
      <c r="Q3282" s="17" t="s">
        <v>3997</v>
      </c>
      <c r="R3282" s="17" t="s">
        <v>2239</v>
      </c>
      <c r="S3282" s="17"/>
      <c r="T3282" s="17"/>
      <c r="U3282" s="17"/>
    </row>
    <row r="3283" spans="17:21" x14ac:dyDescent="0.25">
      <c r="Q3283" s="17" t="s">
        <v>3998</v>
      </c>
      <c r="R3283" s="17" t="s">
        <v>3999</v>
      </c>
      <c r="S3283" s="17"/>
      <c r="T3283" s="17"/>
      <c r="U3283" s="17"/>
    </row>
    <row r="3284" spans="17:21" x14ac:dyDescent="0.25">
      <c r="Q3284" s="17" t="s">
        <v>4000</v>
      </c>
      <c r="R3284" s="17" t="s">
        <v>2239</v>
      </c>
      <c r="S3284" s="17"/>
      <c r="T3284" s="17"/>
      <c r="U3284" s="17"/>
    </row>
    <row r="3285" spans="17:21" x14ac:dyDescent="0.25">
      <c r="Q3285" s="17" t="s">
        <v>4001</v>
      </c>
      <c r="R3285" s="17" t="s">
        <v>2239</v>
      </c>
      <c r="S3285" s="17"/>
      <c r="T3285" s="17"/>
      <c r="U3285" s="17"/>
    </row>
    <row r="3286" spans="17:21" x14ac:dyDescent="0.25">
      <c r="Q3286" s="17" t="s">
        <v>4002</v>
      </c>
      <c r="R3286" s="17" t="s">
        <v>2239</v>
      </c>
      <c r="S3286" s="17"/>
      <c r="T3286" s="17"/>
      <c r="U3286" s="17"/>
    </row>
    <row r="3287" spans="17:21" x14ac:dyDescent="0.25">
      <c r="Q3287" s="17" t="s">
        <v>4003</v>
      </c>
      <c r="R3287" s="17" t="s">
        <v>2239</v>
      </c>
      <c r="S3287" s="17"/>
      <c r="T3287" s="17"/>
      <c r="U3287" s="17"/>
    </row>
    <row r="3288" spans="17:21" x14ac:dyDescent="0.25">
      <c r="Q3288" s="17" t="s">
        <v>4004</v>
      </c>
      <c r="R3288" s="17" t="s">
        <v>3999</v>
      </c>
      <c r="S3288" s="17"/>
      <c r="T3288" s="17"/>
      <c r="U3288" s="17"/>
    </row>
    <row r="3289" spans="17:21" x14ac:dyDescent="0.25">
      <c r="Q3289" s="17" t="s">
        <v>4005</v>
      </c>
      <c r="R3289" s="17" t="s">
        <v>3999</v>
      </c>
      <c r="S3289" s="17"/>
      <c r="T3289" s="17"/>
      <c r="U3289" s="17"/>
    </row>
    <row r="3290" spans="17:21" x14ac:dyDescent="0.25">
      <c r="Q3290" s="17" t="s">
        <v>4006</v>
      </c>
      <c r="R3290" s="17" t="s">
        <v>3999</v>
      </c>
      <c r="S3290" s="17"/>
      <c r="T3290" s="17"/>
      <c r="U3290" s="17"/>
    </row>
    <row r="3291" spans="17:21" x14ac:dyDescent="0.25">
      <c r="Q3291" s="17" t="s">
        <v>4007</v>
      </c>
      <c r="R3291" s="17" t="s">
        <v>3999</v>
      </c>
      <c r="S3291" s="17"/>
      <c r="T3291" s="17"/>
      <c r="U3291" s="17"/>
    </row>
    <row r="3292" spans="17:21" x14ac:dyDescent="0.25">
      <c r="Q3292" s="17" t="s">
        <v>4008</v>
      </c>
      <c r="R3292" s="17" t="s">
        <v>3999</v>
      </c>
      <c r="S3292" s="17"/>
      <c r="T3292" s="17"/>
      <c r="U3292" s="17"/>
    </row>
    <row r="3293" spans="17:21" x14ac:dyDescent="0.25">
      <c r="Q3293" s="17" t="s">
        <v>4009</v>
      </c>
      <c r="R3293" s="17" t="s">
        <v>3999</v>
      </c>
      <c r="S3293" s="17"/>
      <c r="T3293" s="17"/>
      <c r="U3293" s="17"/>
    </row>
    <row r="3294" spans="17:21" x14ac:dyDescent="0.25">
      <c r="Q3294" s="17" t="s">
        <v>4010</v>
      </c>
      <c r="R3294" s="17" t="s">
        <v>3999</v>
      </c>
      <c r="S3294" s="17"/>
      <c r="T3294" s="17"/>
      <c r="U3294" s="17"/>
    </row>
    <row r="3295" spans="17:21" x14ac:dyDescent="0.25">
      <c r="Q3295" s="17" t="s">
        <v>4011</v>
      </c>
      <c r="R3295" s="17" t="s">
        <v>3999</v>
      </c>
      <c r="S3295" s="17"/>
      <c r="T3295" s="17"/>
      <c r="U3295" s="17"/>
    </row>
    <row r="3296" spans="17:21" x14ac:dyDescent="0.25">
      <c r="Q3296" s="17" t="s">
        <v>4012</v>
      </c>
      <c r="R3296" s="17" t="s">
        <v>3999</v>
      </c>
      <c r="S3296" s="17"/>
      <c r="T3296" s="17"/>
      <c r="U3296" s="17"/>
    </row>
    <row r="3297" spans="17:21" x14ac:dyDescent="0.25">
      <c r="Q3297" s="17" t="s">
        <v>4013</v>
      </c>
      <c r="R3297" s="17" t="s">
        <v>2239</v>
      </c>
      <c r="S3297" s="17"/>
      <c r="T3297" s="17"/>
      <c r="U3297" s="17"/>
    </row>
    <row r="3298" spans="17:21" x14ac:dyDescent="0.25">
      <c r="Q3298" s="17" t="s">
        <v>4014</v>
      </c>
      <c r="R3298" s="17" t="s">
        <v>3999</v>
      </c>
      <c r="S3298" s="17"/>
      <c r="T3298" s="17"/>
      <c r="U3298" s="17"/>
    </row>
    <row r="3299" spans="17:21" x14ac:dyDescent="0.25">
      <c r="Q3299" s="17" t="s">
        <v>4015</v>
      </c>
      <c r="R3299" s="17" t="s">
        <v>3999</v>
      </c>
      <c r="S3299" s="17"/>
      <c r="T3299" s="17"/>
      <c r="U3299" s="17"/>
    </row>
    <row r="3300" spans="17:21" x14ac:dyDescent="0.25">
      <c r="Q3300" s="17" t="s">
        <v>4016</v>
      </c>
      <c r="R3300" s="17" t="s">
        <v>3999</v>
      </c>
      <c r="S3300" s="17"/>
      <c r="T3300" s="17"/>
      <c r="U3300" s="17"/>
    </row>
    <row r="3301" spans="17:21" x14ac:dyDescent="0.25">
      <c r="Q3301" s="17" t="s">
        <v>4017</v>
      </c>
      <c r="R3301" s="17" t="s">
        <v>2239</v>
      </c>
      <c r="S3301" s="17"/>
      <c r="T3301" s="17"/>
      <c r="U3301" s="17"/>
    </row>
    <row r="3302" spans="17:21" x14ac:dyDescent="0.25">
      <c r="Q3302" s="17" t="s">
        <v>4018</v>
      </c>
      <c r="R3302" s="17" t="s">
        <v>2239</v>
      </c>
      <c r="S3302" s="17"/>
      <c r="T3302" s="17"/>
      <c r="U3302" s="17"/>
    </row>
    <row r="3303" spans="17:21" x14ac:dyDescent="0.25">
      <c r="Q3303" s="17" t="s">
        <v>4019</v>
      </c>
      <c r="R3303" s="17" t="s">
        <v>2239</v>
      </c>
      <c r="S3303" s="17"/>
      <c r="T3303" s="17"/>
      <c r="U3303" s="17"/>
    </row>
    <row r="3304" spans="17:21" x14ac:dyDescent="0.25">
      <c r="Q3304" s="17" t="s">
        <v>4020</v>
      </c>
      <c r="R3304" s="17" t="s">
        <v>2239</v>
      </c>
      <c r="S3304" s="17"/>
      <c r="T3304" s="17"/>
      <c r="U3304" s="17"/>
    </row>
    <row r="3305" spans="17:21" x14ac:dyDescent="0.25">
      <c r="Q3305" s="17" t="s">
        <v>4021</v>
      </c>
      <c r="R3305" s="17" t="s">
        <v>2239</v>
      </c>
      <c r="S3305" s="17"/>
      <c r="T3305" s="17"/>
      <c r="U3305" s="17"/>
    </row>
    <row r="3306" spans="17:21" x14ac:dyDescent="0.25">
      <c r="Q3306" s="17" t="s">
        <v>4022</v>
      </c>
      <c r="R3306" s="17" t="s">
        <v>2239</v>
      </c>
      <c r="S3306" s="17"/>
      <c r="T3306" s="17"/>
      <c r="U3306" s="17"/>
    </row>
    <row r="3307" spans="17:21" x14ac:dyDescent="0.25">
      <c r="Q3307" s="17" t="s">
        <v>4023</v>
      </c>
      <c r="R3307" s="17" t="s">
        <v>2239</v>
      </c>
      <c r="S3307" s="17"/>
      <c r="T3307" s="17"/>
      <c r="U3307" s="17"/>
    </row>
    <row r="3308" spans="17:21" x14ac:dyDescent="0.25">
      <c r="Q3308" s="17" t="s">
        <v>4024</v>
      </c>
      <c r="R3308" s="17" t="s">
        <v>2239</v>
      </c>
      <c r="S3308" s="17"/>
      <c r="T3308" s="17"/>
      <c r="U3308" s="17"/>
    </row>
    <row r="3309" spans="17:21" x14ac:dyDescent="0.25">
      <c r="Q3309" s="17" t="s">
        <v>4025</v>
      </c>
      <c r="R3309" s="17" t="s">
        <v>2239</v>
      </c>
      <c r="S3309" s="17"/>
      <c r="T3309" s="17"/>
      <c r="U3309" s="17"/>
    </row>
    <row r="3310" spans="17:21" x14ac:dyDescent="0.25">
      <c r="Q3310" s="17" t="s">
        <v>4026</v>
      </c>
      <c r="R3310" s="17" t="s">
        <v>2239</v>
      </c>
      <c r="S3310" s="17"/>
      <c r="T3310" s="17"/>
      <c r="U3310" s="17"/>
    </row>
    <row r="3311" spans="17:21" x14ac:dyDescent="0.25">
      <c r="Q3311" s="17" t="s">
        <v>4027</v>
      </c>
      <c r="R3311" s="17" t="s">
        <v>2239</v>
      </c>
      <c r="S3311" s="17"/>
      <c r="T3311" s="17"/>
      <c r="U3311" s="17"/>
    </row>
    <row r="3312" spans="17:21" x14ac:dyDescent="0.25">
      <c r="Q3312" s="17" t="s">
        <v>4028</v>
      </c>
      <c r="R3312" s="17" t="s">
        <v>2239</v>
      </c>
      <c r="S3312" s="17"/>
      <c r="T3312" s="17"/>
      <c r="U3312" s="17"/>
    </row>
    <row r="3313" spans="17:21" x14ac:dyDescent="0.25">
      <c r="Q3313" s="17" t="s">
        <v>4029</v>
      </c>
      <c r="R3313" s="17" t="s">
        <v>2239</v>
      </c>
      <c r="S3313" s="17"/>
      <c r="T3313" s="17"/>
      <c r="U3313" s="17"/>
    </row>
    <row r="3314" spans="17:21" x14ac:dyDescent="0.25">
      <c r="Q3314" s="17" t="s">
        <v>4030</v>
      </c>
      <c r="R3314" s="17" t="s">
        <v>2239</v>
      </c>
      <c r="S3314" s="17"/>
      <c r="T3314" s="17"/>
      <c r="U3314" s="17"/>
    </row>
    <row r="3315" spans="17:21" x14ac:dyDescent="0.25">
      <c r="Q3315" s="17" t="s">
        <v>4031</v>
      </c>
      <c r="R3315" s="17" t="s">
        <v>2239</v>
      </c>
      <c r="S3315" s="17"/>
      <c r="T3315" s="17"/>
      <c r="U3315" s="17"/>
    </row>
    <row r="3316" spans="17:21" x14ac:dyDescent="0.25">
      <c r="Q3316" s="17" t="s">
        <v>4032</v>
      </c>
      <c r="R3316" s="17" t="s">
        <v>2239</v>
      </c>
      <c r="S3316" s="17"/>
      <c r="T3316" s="17"/>
      <c r="U3316" s="17"/>
    </row>
    <row r="3317" spans="17:21" x14ac:dyDescent="0.25">
      <c r="Q3317" s="17" t="s">
        <v>4033</v>
      </c>
      <c r="R3317" s="17" t="s">
        <v>2239</v>
      </c>
      <c r="S3317" s="17"/>
      <c r="T3317" s="17"/>
      <c r="U3317" s="17"/>
    </row>
    <row r="3318" spans="17:21" x14ac:dyDescent="0.25">
      <c r="Q3318" s="17" t="s">
        <v>4034</v>
      </c>
      <c r="R3318" s="17" t="s">
        <v>2239</v>
      </c>
      <c r="S3318" s="17"/>
      <c r="T3318" s="17"/>
      <c r="U3318" s="17"/>
    </row>
    <row r="3319" spans="17:21" x14ac:dyDescent="0.25">
      <c r="Q3319" s="17" t="s">
        <v>4035</v>
      </c>
      <c r="R3319" s="17" t="s">
        <v>2239</v>
      </c>
      <c r="S3319" s="17"/>
      <c r="T3319" s="17"/>
      <c r="U3319" s="17"/>
    </row>
    <row r="3320" spans="17:21" x14ac:dyDescent="0.25">
      <c r="Q3320" s="17" t="s">
        <v>4036</v>
      </c>
      <c r="R3320" s="17" t="s">
        <v>2239</v>
      </c>
      <c r="S3320" s="17"/>
      <c r="T3320" s="17"/>
      <c r="U3320" s="17"/>
    </row>
    <row r="3321" spans="17:21" x14ac:dyDescent="0.25">
      <c r="Q3321" s="17" t="s">
        <v>4037</v>
      </c>
      <c r="R3321" s="17" t="s">
        <v>2239</v>
      </c>
      <c r="S3321" s="17"/>
      <c r="T3321" s="17"/>
      <c r="U3321" s="17"/>
    </row>
    <row r="3322" spans="17:21" x14ac:dyDescent="0.25">
      <c r="Q3322" s="17" t="s">
        <v>4038</v>
      </c>
      <c r="R3322" s="17" t="s">
        <v>2239</v>
      </c>
      <c r="S3322" s="17"/>
      <c r="T3322" s="17"/>
      <c r="U3322" s="17"/>
    </row>
    <row r="3323" spans="17:21" x14ac:dyDescent="0.25">
      <c r="Q3323" s="17" t="s">
        <v>4039</v>
      </c>
      <c r="R3323" s="17" t="s">
        <v>2239</v>
      </c>
      <c r="S3323" s="17"/>
      <c r="T3323" s="17"/>
      <c r="U3323" s="17"/>
    </row>
    <row r="3324" spans="17:21" x14ac:dyDescent="0.25">
      <c r="Q3324" s="17" t="s">
        <v>4040</v>
      </c>
      <c r="R3324" s="17" t="s">
        <v>2239</v>
      </c>
      <c r="S3324" s="17"/>
      <c r="T3324" s="17"/>
      <c r="U3324" s="17"/>
    </row>
    <row r="3325" spans="17:21" x14ac:dyDescent="0.25">
      <c r="Q3325" s="17" t="s">
        <v>4041</v>
      </c>
      <c r="R3325" s="17" t="s">
        <v>2566</v>
      </c>
      <c r="S3325" s="17"/>
      <c r="T3325" s="17"/>
      <c r="U3325" s="17"/>
    </row>
    <row r="3326" spans="17:21" x14ac:dyDescent="0.25">
      <c r="Q3326" s="17" t="s">
        <v>4042</v>
      </c>
      <c r="R3326" s="17" t="s">
        <v>2239</v>
      </c>
      <c r="S3326" s="17"/>
      <c r="T3326" s="17"/>
      <c r="U3326" s="17"/>
    </row>
    <row r="3327" spans="17:21" x14ac:dyDescent="0.25">
      <c r="Q3327" s="17" t="s">
        <v>4043</v>
      </c>
      <c r="R3327" s="17" t="s">
        <v>2239</v>
      </c>
      <c r="S3327" s="17"/>
      <c r="T3327" s="17"/>
      <c r="U3327" s="17"/>
    </row>
    <row r="3328" spans="17:21" x14ac:dyDescent="0.25">
      <c r="Q3328" s="17" t="s">
        <v>4044</v>
      </c>
      <c r="R3328" s="17" t="s">
        <v>2239</v>
      </c>
      <c r="S3328" s="17"/>
      <c r="T3328" s="17"/>
      <c r="U3328" s="17"/>
    </row>
    <row r="3329" spans="17:21" x14ac:dyDescent="0.25">
      <c r="Q3329" s="17" t="s">
        <v>4045</v>
      </c>
      <c r="R3329" s="17" t="s">
        <v>2239</v>
      </c>
      <c r="S3329" s="17"/>
      <c r="T3329" s="17"/>
      <c r="U3329" s="17"/>
    </row>
    <row r="3330" spans="17:21" x14ac:dyDescent="0.25">
      <c r="Q3330" s="17" t="s">
        <v>4046</v>
      </c>
      <c r="R3330" s="17" t="s">
        <v>2239</v>
      </c>
      <c r="S3330" s="17"/>
      <c r="T3330" s="17"/>
      <c r="U3330" s="17"/>
    </row>
    <row r="3331" spans="17:21" x14ac:dyDescent="0.25">
      <c r="Q3331" s="17" t="s">
        <v>4047</v>
      </c>
      <c r="R3331" s="17" t="s">
        <v>2239</v>
      </c>
      <c r="S3331" s="17"/>
      <c r="T3331" s="17"/>
      <c r="U3331" s="17"/>
    </row>
    <row r="3332" spans="17:21" x14ac:dyDescent="0.25">
      <c r="Q3332" s="17" t="s">
        <v>4048</v>
      </c>
      <c r="R3332" s="17" t="s">
        <v>2239</v>
      </c>
      <c r="S3332" s="17"/>
      <c r="T3332" s="17"/>
      <c r="U3332" s="17"/>
    </row>
    <row r="3333" spans="17:21" x14ac:dyDescent="0.25">
      <c r="Q3333" s="17" t="s">
        <v>4049</v>
      </c>
      <c r="R3333" s="17" t="s">
        <v>2239</v>
      </c>
      <c r="S3333" s="17"/>
      <c r="T3333" s="17"/>
      <c r="U3333" s="17"/>
    </row>
    <row r="3334" spans="17:21" x14ac:dyDescent="0.25">
      <c r="Q3334" s="17" t="s">
        <v>4050</v>
      </c>
      <c r="R3334" s="17" t="s">
        <v>2239</v>
      </c>
      <c r="S3334" s="17"/>
      <c r="T3334" s="17"/>
      <c r="U3334" s="17"/>
    </row>
    <row r="3335" spans="17:21" x14ac:dyDescent="0.25">
      <c r="Q3335" s="17" t="s">
        <v>4051</v>
      </c>
      <c r="R3335" s="17" t="s">
        <v>2239</v>
      </c>
      <c r="S3335" s="17"/>
      <c r="T3335" s="17"/>
      <c r="U3335" s="17"/>
    </row>
    <row r="3336" spans="17:21" x14ac:dyDescent="0.25">
      <c r="Q3336" s="17" t="s">
        <v>4052</v>
      </c>
      <c r="R3336" s="17" t="s">
        <v>2239</v>
      </c>
      <c r="S3336" s="17"/>
      <c r="T3336" s="17"/>
      <c r="U3336" s="17"/>
    </row>
    <row r="3337" spans="17:21" x14ac:dyDescent="0.25">
      <c r="Q3337" s="17" t="s">
        <v>4053</v>
      </c>
      <c r="R3337" s="17" t="s">
        <v>2996</v>
      </c>
      <c r="S3337" s="17"/>
      <c r="T3337" s="17"/>
      <c r="U3337" s="17"/>
    </row>
    <row r="3338" spans="17:21" x14ac:dyDescent="0.25">
      <c r="Q3338" s="17" t="s">
        <v>4054</v>
      </c>
      <c r="R3338" s="17" t="s">
        <v>2239</v>
      </c>
      <c r="S3338" s="17"/>
      <c r="T3338" s="17"/>
      <c r="U3338" s="17"/>
    </row>
    <row r="3339" spans="17:21" x14ac:dyDescent="0.25">
      <c r="Q3339" s="17" t="s">
        <v>4055</v>
      </c>
      <c r="R3339" s="17" t="s">
        <v>2239</v>
      </c>
      <c r="S3339" s="17"/>
      <c r="T3339" s="17"/>
      <c r="U3339" s="17"/>
    </row>
    <row r="3340" spans="17:21" x14ac:dyDescent="0.25">
      <c r="Q3340" s="17" t="s">
        <v>4056</v>
      </c>
      <c r="R3340" s="17" t="s">
        <v>2239</v>
      </c>
      <c r="S3340" s="17"/>
      <c r="T3340" s="17"/>
      <c r="U3340" s="17"/>
    </row>
    <row r="3341" spans="17:21" x14ac:dyDescent="0.25">
      <c r="Q3341" s="17" t="s">
        <v>4057</v>
      </c>
      <c r="R3341" s="17" t="s">
        <v>2239</v>
      </c>
      <c r="S3341" s="17"/>
      <c r="T3341" s="17"/>
      <c r="U3341" s="17"/>
    </row>
    <row r="3342" spans="17:21" x14ac:dyDescent="0.25">
      <c r="Q3342" s="17" t="s">
        <v>4058</v>
      </c>
      <c r="R3342" s="17" t="s">
        <v>2239</v>
      </c>
      <c r="S3342" s="17"/>
      <c r="T3342" s="17"/>
      <c r="U3342" s="17"/>
    </row>
    <row r="3343" spans="17:21" x14ac:dyDescent="0.25">
      <c r="Q3343" s="17" t="s">
        <v>4059</v>
      </c>
      <c r="R3343" s="17" t="s">
        <v>2239</v>
      </c>
      <c r="S3343" s="17"/>
      <c r="T3343" s="17"/>
      <c r="U3343" s="17"/>
    </row>
    <row r="3344" spans="17:21" x14ac:dyDescent="0.25">
      <c r="Q3344" s="17" t="s">
        <v>4060</v>
      </c>
      <c r="R3344" s="17" t="s">
        <v>2239</v>
      </c>
      <c r="S3344" s="17"/>
      <c r="T3344" s="17"/>
      <c r="U3344" s="17"/>
    </row>
    <row r="3345" spans="17:21" x14ac:dyDescent="0.25">
      <c r="Q3345" s="17" t="s">
        <v>4061</v>
      </c>
      <c r="R3345" s="17" t="s">
        <v>2239</v>
      </c>
      <c r="S3345" s="17"/>
      <c r="T3345" s="17"/>
      <c r="U3345" s="17"/>
    </row>
    <row r="3346" spans="17:21" x14ac:dyDescent="0.25">
      <c r="Q3346" s="17" t="s">
        <v>4062</v>
      </c>
      <c r="R3346" s="17" t="s">
        <v>2239</v>
      </c>
      <c r="S3346" s="17"/>
      <c r="T3346" s="17"/>
      <c r="U3346" s="17"/>
    </row>
    <row r="3347" spans="17:21" x14ac:dyDescent="0.25">
      <c r="Q3347" s="17" t="s">
        <v>4063</v>
      </c>
      <c r="R3347" s="17" t="s">
        <v>2239</v>
      </c>
      <c r="S3347" s="17"/>
      <c r="T3347" s="17"/>
      <c r="U3347" s="17"/>
    </row>
    <row r="3348" spans="17:21" x14ac:dyDescent="0.25">
      <c r="Q3348" s="17" t="s">
        <v>4064</v>
      </c>
      <c r="R3348" s="17" t="s">
        <v>2239</v>
      </c>
      <c r="S3348" s="17"/>
      <c r="T3348" s="17"/>
      <c r="U3348" s="17"/>
    </row>
    <row r="3349" spans="17:21" x14ac:dyDescent="0.25">
      <c r="Q3349" s="17" t="s">
        <v>4065</v>
      </c>
      <c r="R3349" s="17" t="s">
        <v>2239</v>
      </c>
      <c r="S3349" s="17"/>
      <c r="T3349" s="17"/>
      <c r="U3349" s="17"/>
    </row>
    <row r="3350" spans="17:21" x14ac:dyDescent="0.25">
      <c r="Q3350" s="17" t="s">
        <v>4066</v>
      </c>
      <c r="R3350" s="17" t="s">
        <v>2239</v>
      </c>
      <c r="S3350" s="17"/>
      <c r="T3350" s="17"/>
      <c r="U3350" s="17"/>
    </row>
    <row r="3351" spans="17:21" x14ac:dyDescent="0.25">
      <c r="Q3351" s="17" t="s">
        <v>4067</v>
      </c>
      <c r="R3351" s="17" t="s">
        <v>2239</v>
      </c>
      <c r="S3351" s="17"/>
      <c r="T3351" s="17"/>
      <c r="U3351" s="17"/>
    </row>
    <row r="3352" spans="17:21" x14ac:dyDescent="0.25">
      <c r="Q3352" s="17" t="s">
        <v>4068</v>
      </c>
      <c r="R3352" s="17" t="s">
        <v>2239</v>
      </c>
      <c r="S3352" s="17"/>
      <c r="T3352" s="17"/>
      <c r="U3352" s="17"/>
    </row>
    <row r="3353" spans="17:21" x14ac:dyDescent="0.25">
      <c r="Q3353" s="17" t="s">
        <v>4069</v>
      </c>
      <c r="R3353" s="17" t="s">
        <v>2239</v>
      </c>
      <c r="S3353" s="17"/>
      <c r="T3353" s="17"/>
      <c r="U3353" s="17"/>
    </row>
    <row r="3354" spans="17:21" x14ac:dyDescent="0.25">
      <c r="Q3354" s="17" t="s">
        <v>4070</v>
      </c>
      <c r="R3354" s="17" t="s">
        <v>2239</v>
      </c>
      <c r="S3354" s="17"/>
      <c r="T3354" s="17"/>
      <c r="U3354" s="17"/>
    </row>
    <row r="3355" spans="17:21" x14ac:dyDescent="0.25">
      <c r="Q3355" s="17" t="s">
        <v>4071</v>
      </c>
      <c r="R3355" s="17" t="s">
        <v>2239</v>
      </c>
      <c r="S3355" s="17"/>
      <c r="T3355" s="17"/>
      <c r="U3355" s="17"/>
    </row>
    <row r="3356" spans="17:21" x14ac:dyDescent="0.25">
      <c r="Q3356" s="17" t="s">
        <v>4072</v>
      </c>
      <c r="R3356" s="17" t="s">
        <v>2239</v>
      </c>
      <c r="S3356" s="17"/>
      <c r="T3356" s="17"/>
      <c r="U3356" s="17"/>
    </row>
    <row r="3357" spans="17:21" x14ac:dyDescent="0.25">
      <c r="Q3357" s="17" t="s">
        <v>4073</v>
      </c>
      <c r="R3357" s="17" t="s">
        <v>2239</v>
      </c>
      <c r="S3357" s="17"/>
      <c r="T3357" s="17"/>
      <c r="U3357" s="17"/>
    </row>
    <row r="3358" spans="17:21" x14ac:dyDescent="0.25">
      <c r="Q3358" s="17" t="s">
        <v>4074</v>
      </c>
      <c r="R3358" s="17" t="s">
        <v>2239</v>
      </c>
      <c r="S3358" s="17"/>
      <c r="T3358" s="17"/>
      <c r="U3358" s="17"/>
    </row>
    <row r="3359" spans="17:21" x14ac:dyDescent="0.25">
      <c r="Q3359" s="17" t="s">
        <v>4075</v>
      </c>
      <c r="R3359" s="17" t="s">
        <v>2239</v>
      </c>
      <c r="S3359" s="17"/>
      <c r="T3359" s="17"/>
      <c r="U3359" s="17"/>
    </row>
    <row r="3360" spans="17:21" x14ac:dyDescent="0.25">
      <c r="Q3360" s="17" t="s">
        <v>4076</v>
      </c>
      <c r="R3360" s="17" t="s">
        <v>2239</v>
      </c>
      <c r="S3360" s="17"/>
      <c r="T3360" s="17"/>
      <c r="U3360" s="17"/>
    </row>
    <row r="3361" spans="17:21" x14ac:dyDescent="0.25">
      <c r="Q3361" s="17" t="s">
        <v>4077</v>
      </c>
      <c r="R3361" s="17" t="s">
        <v>2239</v>
      </c>
      <c r="S3361" s="17"/>
      <c r="T3361" s="17"/>
      <c r="U3361" s="17"/>
    </row>
    <row r="3362" spans="17:21" x14ac:dyDescent="0.25">
      <c r="Q3362" s="17" t="s">
        <v>4078</v>
      </c>
      <c r="R3362" s="17" t="s">
        <v>2239</v>
      </c>
      <c r="S3362" s="17"/>
      <c r="T3362" s="17"/>
      <c r="U3362" s="17"/>
    </row>
    <row r="3363" spans="17:21" x14ac:dyDescent="0.25">
      <c r="Q3363" s="17" t="s">
        <v>4079</v>
      </c>
      <c r="R3363" s="17" t="s">
        <v>2239</v>
      </c>
      <c r="S3363" s="17"/>
      <c r="T3363" s="17"/>
      <c r="U3363" s="17"/>
    </row>
    <row r="3364" spans="17:21" x14ac:dyDescent="0.25">
      <c r="Q3364" s="17" t="s">
        <v>4080</v>
      </c>
      <c r="R3364" s="17" t="s">
        <v>2239</v>
      </c>
      <c r="S3364" s="17"/>
      <c r="T3364" s="17"/>
      <c r="U3364" s="17"/>
    </row>
    <row r="3365" spans="17:21" x14ac:dyDescent="0.25">
      <c r="Q3365" s="17" t="s">
        <v>4081</v>
      </c>
      <c r="R3365" s="17" t="s">
        <v>2239</v>
      </c>
      <c r="S3365" s="17"/>
      <c r="T3365" s="17"/>
      <c r="U3365" s="17"/>
    </row>
    <row r="3366" spans="17:21" x14ac:dyDescent="0.25">
      <c r="Q3366" s="17" t="s">
        <v>4082</v>
      </c>
      <c r="R3366" s="17" t="s">
        <v>2239</v>
      </c>
      <c r="S3366" s="17"/>
      <c r="T3366" s="17"/>
      <c r="U3366" s="17"/>
    </row>
    <row r="3367" spans="17:21" x14ac:dyDescent="0.25">
      <c r="Q3367" s="17" t="s">
        <v>4083</v>
      </c>
      <c r="R3367" s="17" t="s">
        <v>2239</v>
      </c>
      <c r="S3367" s="17"/>
      <c r="T3367" s="17"/>
      <c r="U3367" s="17"/>
    </row>
    <row r="3368" spans="17:21" x14ac:dyDescent="0.25">
      <c r="Q3368" s="17" t="s">
        <v>4084</v>
      </c>
      <c r="R3368" s="17" t="s">
        <v>2239</v>
      </c>
      <c r="S3368" s="17"/>
      <c r="T3368" s="17"/>
      <c r="U3368" s="17"/>
    </row>
    <row r="3369" spans="17:21" x14ac:dyDescent="0.25">
      <c r="Q3369" s="17" t="s">
        <v>4085</v>
      </c>
      <c r="R3369" s="17" t="s">
        <v>2239</v>
      </c>
      <c r="S3369" s="17"/>
      <c r="T3369" s="17"/>
      <c r="U3369" s="17"/>
    </row>
    <row r="3370" spans="17:21" x14ac:dyDescent="0.25">
      <c r="Q3370" s="17" t="s">
        <v>4086</v>
      </c>
      <c r="R3370" s="17" t="s">
        <v>2239</v>
      </c>
      <c r="S3370" s="17"/>
      <c r="T3370" s="17"/>
      <c r="U3370" s="17"/>
    </row>
    <row r="3371" spans="17:21" x14ac:dyDescent="0.25">
      <c r="Q3371" s="17" t="s">
        <v>4087</v>
      </c>
      <c r="R3371" s="17" t="s">
        <v>2239</v>
      </c>
      <c r="S3371" s="17"/>
      <c r="T3371" s="17"/>
      <c r="U3371" s="17"/>
    </row>
    <row r="3372" spans="17:21" x14ac:dyDescent="0.25">
      <c r="Q3372" s="17" t="s">
        <v>4088</v>
      </c>
      <c r="R3372" s="17" t="s">
        <v>2239</v>
      </c>
      <c r="S3372" s="17"/>
      <c r="T3372" s="17"/>
      <c r="U3372" s="17"/>
    </row>
    <row r="3373" spans="17:21" x14ac:dyDescent="0.25">
      <c r="Q3373" s="17" t="s">
        <v>4089</v>
      </c>
      <c r="R3373" s="17" t="s">
        <v>2239</v>
      </c>
      <c r="S3373" s="17"/>
      <c r="T3373" s="17"/>
      <c r="U3373" s="17"/>
    </row>
    <row r="3374" spans="17:21" x14ac:dyDescent="0.25">
      <c r="Q3374" s="17" t="s">
        <v>4090</v>
      </c>
      <c r="R3374" s="17" t="s">
        <v>2239</v>
      </c>
      <c r="S3374" s="17"/>
      <c r="T3374" s="17"/>
      <c r="U3374" s="17"/>
    </row>
    <row r="3375" spans="17:21" x14ac:dyDescent="0.25">
      <c r="Q3375" s="17" t="s">
        <v>4091</v>
      </c>
      <c r="R3375" s="17" t="s">
        <v>2239</v>
      </c>
      <c r="S3375" s="17"/>
      <c r="T3375" s="17"/>
      <c r="U3375" s="17"/>
    </row>
    <row r="3376" spans="17:21" x14ac:dyDescent="0.25">
      <c r="Q3376" s="17" t="s">
        <v>4092</v>
      </c>
      <c r="R3376" s="17" t="s">
        <v>2239</v>
      </c>
      <c r="S3376" s="17"/>
      <c r="T3376" s="17"/>
      <c r="U3376" s="17"/>
    </row>
    <row r="3377" spans="17:21" x14ac:dyDescent="0.25">
      <c r="Q3377" s="17" t="s">
        <v>4093</v>
      </c>
      <c r="R3377" s="17" t="s">
        <v>2239</v>
      </c>
      <c r="S3377" s="17"/>
      <c r="T3377" s="17"/>
      <c r="U3377" s="17"/>
    </row>
    <row r="3378" spans="17:21" x14ac:dyDescent="0.25">
      <c r="Q3378" s="17" t="s">
        <v>4094</v>
      </c>
      <c r="R3378" s="17" t="s">
        <v>2239</v>
      </c>
      <c r="S3378" s="17"/>
      <c r="T3378" s="17"/>
      <c r="U3378" s="17"/>
    </row>
    <row r="3379" spans="17:21" x14ac:dyDescent="0.25">
      <c r="Q3379" s="17" t="s">
        <v>4095</v>
      </c>
      <c r="R3379" s="17" t="s">
        <v>2566</v>
      </c>
      <c r="S3379" s="17"/>
      <c r="T3379" s="17"/>
      <c r="U3379" s="17"/>
    </row>
    <row r="3380" spans="17:21" x14ac:dyDescent="0.25">
      <c r="Q3380" s="17" t="s">
        <v>4096</v>
      </c>
      <c r="R3380" s="17" t="s">
        <v>2239</v>
      </c>
      <c r="S3380" s="17"/>
      <c r="T3380" s="17"/>
      <c r="U3380" s="17"/>
    </row>
    <row r="3381" spans="17:21" x14ac:dyDescent="0.25">
      <c r="Q3381" s="17" t="s">
        <v>4097</v>
      </c>
      <c r="R3381" s="17" t="s">
        <v>2239</v>
      </c>
      <c r="S3381" s="17"/>
      <c r="T3381" s="17"/>
      <c r="U3381" s="17"/>
    </row>
    <row r="3382" spans="17:21" x14ac:dyDescent="0.25">
      <c r="Q3382" s="17" t="s">
        <v>4098</v>
      </c>
      <c r="R3382" s="17" t="s">
        <v>2239</v>
      </c>
      <c r="S3382" s="17"/>
      <c r="T3382" s="17"/>
      <c r="U3382" s="17"/>
    </row>
    <row r="3383" spans="17:21" x14ac:dyDescent="0.25">
      <c r="Q3383" s="17" t="s">
        <v>4099</v>
      </c>
      <c r="R3383" s="17" t="s">
        <v>2239</v>
      </c>
      <c r="S3383" s="17"/>
      <c r="T3383" s="17"/>
      <c r="U3383" s="17"/>
    </row>
    <row r="3384" spans="17:21" x14ac:dyDescent="0.25">
      <c r="Q3384" s="17" t="s">
        <v>4100</v>
      </c>
      <c r="R3384" s="17" t="s">
        <v>2239</v>
      </c>
      <c r="S3384" s="17"/>
      <c r="T3384" s="17"/>
      <c r="U3384" s="17"/>
    </row>
    <row r="3385" spans="17:21" x14ac:dyDescent="0.25">
      <c r="Q3385" s="17" t="s">
        <v>4101</v>
      </c>
      <c r="R3385" s="17" t="s">
        <v>2239</v>
      </c>
      <c r="S3385" s="17"/>
      <c r="T3385" s="17"/>
      <c r="U3385" s="17"/>
    </row>
    <row r="3386" spans="17:21" x14ac:dyDescent="0.25">
      <c r="Q3386" s="17" t="s">
        <v>4102</v>
      </c>
      <c r="R3386" s="17" t="s">
        <v>2239</v>
      </c>
      <c r="S3386" s="17"/>
      <c r="T3386" s="17"/>
      <c r="U3386" s="17"/>
    </row>
    <row r="3387" spans="17:21" x14ac:dyDescent="0.25">
      <c r="Q3387" s="17" t="s">
        <v>4103</v>
      </c>
      <c r="R3387" s="17" t="s">
        <v>2239</v>
      </c>
      <c r="S3387" s="17"/>
      <c r="T3387" s="17"/>
      <c r="U3387" s="17"/>
    </row>
    <row r="3388" spans="17:21" x14ac:dyDescent="0.25">
      <c r="Q3388" s="17" t="s">
        <v>4104</v>
      </c>
      <c r="R3388" s="17" t="s">
        <v>2239</v>
      </c>
      <c r="S3388" s="17"/>
      <c r="T3388" s="17"/>
      <c r="U3388" s="17"/>
    </row>
    <row r="3389" spans="17:21" x14ac:dyDescent="0.25">
      <c r="Q3389" s="17" t="s">
        <v>4105</v>
      </c>
      <c r="R3389" s="17" t="s">
        <v>2239</v>
      </c>
      <c r="S3389" s="17"/>
      <c r="T3389" s="17"/>
      <c r="U3389" s="17"/>
    </row>
    <row r="3390" spans="17:21" x14ac:dyDescent="0.25">
      <c r="Q3390" s="17" t="s">
        <v>4106</v>
      </c>
      <c r="R3390" s="17" t="s">
        <v>2239</v>
      </c>
      <c r="S3390" s="17"/>
      <c r="T3390" s="17"/>
      <c r="U3390" s="17"/>
    </row>
    <row r="3391" spans="17:21" x14ac:dyDescent="0.25">
      <c r="Q3391" s="17" t="s">
        <v>4107</v>
      </c>
      <c r="R3391" s="17" t="s">
        <v>2239</v>
      </c>
      <c r="S3391" s="17"/>
      <c r="T3391" s="17"/>
      <c r="U3391" s="17"/>
    </row>
    <row r="3392" spans="17:21" x14ac:dyDescent="0.25">
      <c r="Q3392" s="17" t="s">
        <v>4108</v>
      </c>
      <c r="R3392" s="17" t="s">
        <v>2239</v>
      </c>
      <c r="S3392" s="17"/>
      <c r="T3392" s="17"/>
      <c r="U3392" s="17"/>
    </row>
    <row r="3393" spans="17:21" x14ac:dyDescent="0.25">
      <c r="Q3393" s="17" t="s">
        <v>4109</v>
      </c>
      <c r="R3393" s="17" t="s">
        <v>2239</v>
      </c>
      <c r="S3393" s="17"/>
      <c r="T3393" s="17"/>
      <c r="U3393" s="17"/>
    </row>
    <row r="3394" spans="17:21" x14ac:dyDescent="0.25">
      <c r="Q3394" s="17" t="s">
        <v>4110</v>
      </c>
      <c r="R3394" s="17" t="s">
        <v>2239</v>
      </c>
      <c r="S3394" s="17"/>
      <c r="T3394" s="17"/>
      <c r="U3394" s="17"/>
    </row>
    <row r="3395" spans="17:21" x14ac:dyDescent="0.25">
      <c r="Q3395" s="17" t="s">
        <v>4111</v>
      </c>
      <c r="R3395" s="17" t="s">
        <v>2239</v>
      </c>
      <c r="S3395" s="17"/>
      <c r="T3395" s="17"/>
      <c r="U3395" s="17"/>
    </row>
    <row r="3396" spans="17:21" x14ac:dyDescent="0.25">
      <c r="Q3396" s="17" t="s">
        <v>4112</v>
      </c>
      <c r="R3396" s="17" t="s">
        <v>2239</v>
      </c>
      <c r="S3396" s="17"/>
      <c r="T3396" s="17"/>
      <c r="U3396" s="17"/>
    </row>
    <row r="3397" spans="17:21" x14ac:dyDescent="0.25">
      <c r="Q3397" s="17" t="s">
        <v>4113</v>
      </c>
      <c r="R3397" s="17" t="s">
        <v>2239</v>
      </c>
      <c r="S3397" s="17"/>
      <c r="T3397" s="17"/>
      <c r="U3397" s="17"/>
    </row>
    <row r="3398" spans="17:21" x14ac:dyDescent="0.25">
      <c r="Q3398" s="17" t="s">
        <v>4114</v>
      </c>
      <c r="R3398" s="17" t="s">
        <v>2239</v>
      </c>
      <c r="S3398" s="17"/>
      <c r="T3398" s="17"/>
      <c r="U3398" s="17"/>
    </row>
    <row r="3399" spans="17:21" x14ac:dyDescent="0.25">
      <c r="Q3399" s="17" t="s">
        <v>4115</v>
      </c>
      <c r="R3399" s="17" t="s">
        <v>2239</v>
      </c>
      <c r="S3399" s="17"/>
      <c r="T3399" s="17"/>
      <c r="U3399" s="17"/>
    </row>
    <row r="3400" spans="17:21" x14ac:dyDescent="0.25">
      <c r="Q3400" s="17" t="s">
        <v>4116</v>
      </c>
      <c r="R3400" s="17" t="s">
        <v>2239</v>
      </c>
      <c r="S3400" s="17"/>
      <c r="T3400" s="17"/>
      <c r="U3400" s="17"/>
    </row>
    <row r="3401" spans="17:21" x14ac:dyDescent="0.25">
      <c r="Q3401" s="17" t="s">
        <v>4117</v>
      </c>
      <c r="R3401" s="17" t="s">
        <v>2239</v>
      </c>
      <c r="S3401" s="17"/>
      <c r="T3401" s="17"/>
      <c r="U3401" s="17"/>
    </row>
    <row r="3402" spans="17:21" x14ac:dyDescent="0.25">
      <c r="Q3402" s="17" t="s">
        <v>4118</v>
      </c>
      <c r="R3402" s="17" t="s">
        <v>2239</v>
      </c>
      <c r="S3402" s="17"/>
      <c r="T3402" s="17"/>
      <c r="U3402" s="17"/>
    </row>
    <row r="3403" spans="17:21" x14ac:dyDescent="0.25">
      <c r="Q3403" s="17" t="s">
        <v>4119</v>
      </c>
      <c r="R3403" s="17" t="s">
        <v>2239</v>
      </c>
      <c r="S3403" s="17"/>
      <c r="T3403" s="17"/>
      <c r="U3403" s="17"/>
    </row>
    <row r="3404" spans="17:21" x14ac:dyDescent="0.25">
      <c r="Q3404" s="17" t="s">
        <v>4120</v>
      </c>
      <c r="R3404" s="17" t="s">
        <v>2239</v>
      </c>
      <c r="S3404" s="17"/>
      <c r="T3404" s="17"/>
      <c r="U3404" s="17"/>
    </row>
    <row r="3405" spans="17:21" x14ac:dyDescent="0.25">
      <c r="Q3405" s="17" t="s">
        <v>4121</v>
      </c>
      <c r="R3405" s="17" t="s">
        <v>2239</v>
      </c>
      <c r="S3405" s="17"/>
      <c r="T3405" s="17"/>
      <c r="U3405" s="17"/>
    </row>
    <row r="3406" spans="17:21" x14ac:dyDescent="0.25">
      <c r="Q3406" s="17" t="s">
        <v>4122</v>
      </c>
      <c r="R3406" s="17" t="s">
        <v>2239</v>
      </c>
      <c r="S3406" s="17"/>
      <c r="T3406" s="17"/>
      <c r="U3406" s="17"/>
    </row>
    <row r="3407" spans="17:21" x14ac:dyDescent="0.25">
      <c r="Q3407" s="17" t="s">
        <v>4123</v>
      </c>
      <c r="R3407" s="17" t="s">
        <v>2239</v>
      </c>
      <c r="S3407" s="17"/>
      <c r="T3407" s="17"/>
      <c r="U3407" s="17"/>
    </row>
    <row r="3408" spans="17:21" x14ac:dyDescent="0.25">
      <c r="Q3408" s="17" t="s">
        <v>4124</v>
      </c>
      <c r="R3408" s="17" t="s">
        <v>2239</v>
      </c>
      <c r="S3408" s="17"/>
      <c r="T3408" s="17"/>
      <c r="U3408" s="17"/>
    </row>
    <row r="3409" spans="17:21" x14ac:dyDescent="0.25">
      <c r="Q3409" s="17" t="s">
        <v>4125</v>
      </c>
      <c r="R3409" s="17" t="s">
        <v>2239</v>
      </c>
      <c r="S3409" s="17"/>
      <c r="T3409" s="17"/>
      <c r="U3409" s="17"/>
    </row>
    <row r="3410" spans="17:21" x14ac:dyDescent="0.25">
      <c r="Q3410" s="17" t="s">
        <v>4126</v>
      </c>
      <c r="R3410" s="17" t="s">
        <v>2239</v>
      </c>
      <c r="S3410" s="17"/>
      <c r="T3410" s="17"/>
      <c r="U3410" s="17"/>
    </row>
    <row r="3411" spans="17:21" x14ac:dyDescent="0.25">
      <c r="Q3411" s="17" t="s">
        <v>4127</v>
      </c>
      <c r="R3411" s="17" t="s">
        <v>2239</v>
      </c>
      <c r="S3411" s="17"/>
      <c r="T3411" s="17"/>
      <c r="U3411" s="17"/>
    </row>
    <row r="3412" spans="17:21" x14ac:dyDescent="0.25">
      <c r="Q3412" s="17" t="s">
        <v>4128</v>
      </c>
      <c r="R3412" s="17" t="s">
        <v>2239</v>
      </c>
      <c r="S3412" s="17"/>
      <c r="T3412" s="17"/>
      <c r="U3412" s="17"/>
    </row>
    <row r="3413" spans="17:21" x14ac:dyDescent="0.25">
      <c r="Q3413" s="17" t="s">
        <v>4129</v>
      </c>
      <c r="R3413" s="17" t="s">
        <v>2239</v>
      </c>
      <c r="S3413" s="17"/>
      <c r="T3413" s="17"/>
      <c r="U3413" s="17"/>
    </row>
    <row r="3414" spans="17:21" x14ac:dyDescent="0.25">
      <c r="Q3414" s="17" t="s">
        <v>4130</v>
      </c>
      <c r="R3414" s="17" t="s">
        <v>2239</v>
      </c>
      <c r="S3414" s="17"/>
      <c r="T3414" s="17"/>
      <c r="U3414" s="17"/>
    </row>
    <row r="3415" spans="17:21" x14ac:dyDescent="0.25">
      <c r="Q3415" s="17" t="s">
        <v>4131</v>
      </c>
      <c r="R3415" s="17" t="s">
        <v>2239</v>
      </c>
      <c r="S3415" s="17"/>
      <c r="T3415" s="17"/>
      <c r="U3415" s="17"/>
    </row>
    <row r="3416" spans="17:21" x14ac:dyDescent="0.25">
      <c r="Q3416" s="17" t="s">
        <v>4132</v>
      </c>
      <c r="R3416" s="17" t="s">
        <v>2239</v>
      </c>
      <c r="S3416" s="17"/>
      <c r="T3416" s="17"/>
      <c r="U3416" s="17"/>
    </row>
    <row r="3417" spans="17:21" x14ac:dyDescent="0.25">
      <c r="Q3417" s="17" t="s">
        <v>4133</v>
      </c>
      <c r="R3417" s="17" t="s">
        <v>2239</v>
      </c>
      <c r="S3417" s="17"/>
      <c r="T3417" s="17"/>
      <c r="U3417" s="17"/>
    </row>
    <row r="3418" spans="17:21" x14ac:dyDescent="0.25">
      <c r="Q3418" s="17" t="s">
        <v>4134</v>
      </c>
      <c r="R3418" s="17" t="s">
        <v>2239</v>
      </c>
      <c r="S3418" s="17"/>
      <c r="T3418" s="17"/>
      <c r="U3418" s="17"/>
    </row>
    <row r="3419" spans="17:21" x14ac:dyDescent="0.25">
      <c r="Q3419" s="17" t="s">
        <v>4135</v>
      </c>
      <c r="R3419" s="17" t="s">
        <v>2239</v>
      </c>
      <c r="S3419" s="17"/>
      <c r="T3419" s="17"/>
      <c r="U3419" s="17"/>
    </row>
    <row r="3420" spans="17:21" x14ac:dyDescent="0.25">
      <c r="Q3420" s="17" t="s">
        <v>4136</v>
      </c>
      <c r="R3420" s="17" t="s">
        <v>2239</v>
      </c>
      <c r="S3420" s="17"/>
      <c r="T3420" s="17"/>
      <c r="U3420" s="17"/>
    </row>
    <row r="3421" spans="17:21" x14ac:dyDescent="0.25">
      <c r="Q3421" s="17" t="s">
        <v>4137</v>
      </c>
      <c r="R3421" s="17" t="s">
        <v>2239</v>
      </c>
      <c r="S3421" s="17"/>
      <c r="T3421" s="17"/>
      <c r="U3421" s="17"/>
    </row>
    <row r="3422" spans="17:21" x14ac:dyDescent="0.25">
      <c r="Q3422" s="17" t="s">
        <v>4138</v>
      </c>
      <c r="R3422" s="17" t="s">
        <v>2239</v>
      </c>
      <c r="S3422" s="17"/>
      <c r="T3422" s="17"/>
      <c r="U3422" s="17"/>
    </row>
    <row r="3423" spans="17:21" x14ac:dyDescent="0.25">
      <c r="Q3423" s="17" t="s">
        <v>4139</v>
      </c>
      <c r="R3423" s="17" t="s">
        <v>2239</v>
      </c>
      <c r="S3423" s="17"/>
      <c r="T3423" s="17"/>
      <c r="U3423" s="17"/>
    </row>
    <row r="3424" spans="17:21" x14ac:dyDescent="0.25">
      <c r="Q3424" s="17" t="s">
        <v>4140</v>
      </c>
      <c r="R3424" s="17" t="s">
        <v>2239</v>
      </c>
      <c r="S3424" s="17"/>
      <c r="T3424" s="17"/>
      <c r="U3424" s="17"/>
    </row>
    <row r="3425" spans="17:21" x14ac:dyDescent="0.25">
      <c r="Q3425" s="17" t="s">
        <v>4141</v>
      </c>
      <c r="R3425" s="17" t="s">
        <v>2239</v>
      </c>
      <c r="S3425" s="17"/>
      <c r="T3425" s="17"/>
      <c r="U3425" s="17"/>
    </row>
    <row r="3426" spans="17:21" x14ac:dyDescent="0.25">
      <c r="Q3426" s="17" t="s">
        <v>4142</v>
      </c>
      <c r="R3426" s="17" t="s">
        <v>2239</v>
      </c>
      <c r="S3426" s="17"/>
      <c r="T3426" s="17"/>
      <c r="U3426" s="17"/>
    </row>
    <row r="3427" spans="17:21" x14ac:dyDescent="0.25">
      <c r="Q3427" s="17" t="s">
        <v>4143</v>
      </c>
      <c r="R3427" s="17" t="s">
        <v>2239</v>
      </c>
      <c r="S3427" s="17"/>
      <c r="T3427" s="17"/>
      <c r="U3427" s="17"/>
    </row>
    <row r="3428" spans="17:21" x14ac:dyDescent="0.25">
      <c r="Q3428" s="17" t="s">
        <v>4144</v>
      </c>
      <c r="R3428" s="17" t="s">
        <v>2239</v>
      </c>
      <c r="S3428" s="17"/>
      <c r="T3428" s="17"/>
      <c r="U3428" s="17"/>
    </row>
    <row r="3429" spans="17:21" x14ac:dyDescent="0.25">
      <c r="Q3429" s="17" t="s">
        <v>4145</v>
      </c>
      <c r="R3429" s="17" t="s">
        <v>2239</v>
      </c>
      <c r="S3429" s="17"/>
      <c r="T3429" s="17"/>
      <c r="U3429" s="17"/>
    </row>
    <row r="3430" spans="17:21" x14ac:dyDescent="0.25">
      <c r="Q3430" s="17" t="s">
        <v>4146</v>
      </c>
      <c r="R3430" s="17" t="s">
        <v>2239</v>
      </c>
      <c r="S3430" s="17"/>
      <c r="T3430" s="17"/>
      <c r="U3430" s="17"/>
    </row>
    <row r="3431" spans="17:21" x14ac:dyDescent="0.25">
      <c r="Q3431" s="17" t="s">
        <v>4147</v>
      </c>
      <c r="R3431" s="17" t="s">
        <v>2239</v>
      </c>
      <c r="S3431" s="17"/>
      <c r="T3431" s="17"/>
      <c r="U3431" s="17"/>
    </row>
    <row r="3432" spans="17:21" x14ac:dyDescent="0.25">
      <c r="Q3432" s="17" t="s">
        <v>4148</v>
      </c>
      <c r="R3432" s="17" t="s">
        <v>2239</v>
      </c>
      <c r="S3432" s="17"/>
      <c r="T3432" s="17"/>
      <c r="U3432" s="17"/>
    </row>
    <row r="3433" spans="17:21" x14ac:dyDescent="0.25">
      <c r="Q3433" s="17" t="s">
        <v>4149</v>
      </c>
      <c r="R3433" s="17" t="s">
        <v>2239</v>
      </c>
      <c r="S3433" s="17"/>
      <c r="T3433" s="17"/>
      <c r="U3433" s="17"/>
    </row>
    <row r="3434" spans="17:21" x14ac:dyDescent="0.25">
      <c r="Q3434" s="17" t="s">
        <v>4150</v>
      </c>
      <c r="R3434" s="17" t="s">
        <v>2239</v>
      </c>
      <c r="S3434" s="17"/>
      <c r="T3434" s="17"/>
      <c r="U3434" s="17"/>
    </row>
    <row r="3435" spans="17:21" x14ac:dyDescent="0.25">
      <c r="Q3435" s="17" t="s">
        <v>4151</v>
      </c>
      <c r="R3435" s="17" t="s">
        <v>2239</v>
      </c>
      <c r="S3435" s="17"/>
      <c r="T3435" s="17"/>
      <c r="U3435" s="17"/>
    </row>
    <row r="3436" spans="17:21" x14ac:dyDescent="0.25">
      <c r="Q3436" s="17" t="s">
        <v>4152</v>
      </c>
      <c r="R3436" s="17" t="s">
        <v>2239</v>
      </c>
      <c r="S3436" s="17"/>
      <c r="T3436" s="17"/>
      <c r="U3436" s="17"/>
    </row>
    <row r="3437" spans="17:21" x14ac:dyDescent="0.25">
      <c r="Q3437" s="17" t="s">
        <v>4153</v>
      </c>
      <c r="R3437" s="17" t="s">
        <v>2239</v>
      </c>
      <c r="S3437" s="17"/>
      <c r="T3437" s="17"/>
      <c r="U3437" s="17"/>
    </row>
    <row r="3438" spans="17:21" x14ac:dyDescent="0.25">
      <c r="Q3438" s="17" t="s">
        <v>4154</v>
      </c>
      <c r="R3438" s="17" t="s">
        <v>2239</v>
      </c>
      <c r="S3438" s="17"/>
      <c r="T3438" s="17"/>
      <c r="U3438" s="17"/>
    </row>
    <row r="3439" spans="17:21" x14ac:dyDescent="0.25">
      <c r="Q3439" s="17" t="s">
        <v>4155</v>
      </c>
      <c r="R3439" s="17" t="s">
        <v>2239</v>
      </c>
      <c r="S3439" s="17"/>
      <c r="T3439" s="17"/>
      <c r="U3439" s="17"/>
    </row>
    <row r="3440" spans="17:21" x14ac:dyDescent="0.25">
      <c r="Q3440" s="17" t="s">
        <v>4156</v>
      </c>
      <c r="R3440" s="17" t="s">
        <v>2239</v>
      </c>
      <c r="S3440" s="17"/>
      <c r="T3440" s="17"/>
      <c r="U3440" s="17"/>
    </row>
    <row r="3441" spans="17:21" x14ac:dyDescent="0.25">
      <c r="Q3441" s="17" t="s">
        <v>4157</v>
      </c>
      <c r="R3441" s="17" t="s">
        <v>2239</v>
      </c>
      <c r="S3441" s="17"/>
      <c r="T3441" s="17"/>
      <c r="U3441" s="17"/>
    </row>
    <row r="3442" spans="17:21" x14ac:dyDescent="0.25">
      <c r="Q3442" s="17" t="s">
        <v>4158</v>
      </c>
      <c r="R3442" s="17" t="s">
        <v>2239</v>
      </c>
      <c r="S3442" s="17"/>
      <c r="T3442" s="17"/>
      <c r="U3442" s="17"/>
    </row>
    <row r="3443" spans="17:21" x14ac:dyDescent="0.25">
      <c r="Q3443" s="17" t="s">
        <v>4159</v>
      </c>
      <c r="R3443" s="17" t="s">
        <v>2239</v>
      </c>
      <c r="S3443" s="17"/>
      <c r="T3443" s="17"/>
      <c r="U3443" s="17"/>
    </row>
    <row r="3444" spans="17:21" x14ac:dyDescent="0.25">
      <c r="Q3444" s="17" t="s">
        <v>4160</v>
      </c>
      <c r="R3444" s="17" t="s">
        <v>2239</v>
      </c>
      <c r="S3444" s="17"/>
      <c r="T3444" s="17"/>
      <c r="U3444" s="17"/>
    </row>
    <row r="3445" spans="17:21" x14ac:dyDescent="0.25">
      <c r="Q3445" s="17" t="s">
        <v>4161</v>
      </c>
      <c r="R3445" s="17" t="s">
        <v>2239</v>
      </c>
      <c r="S3445" s="17"/>
      <c r="T3445" s="17"/>
      <c r="U3445" s="17"/>
    </row>
    <row r="3446" spans="17:21" x14ac:dyDescent="0.25">
      <c r="Q3446" s="17" t="s">
        <v>4162</v>
      </c>
      <c r="R3446" s="17" t="s">
        <v>2239</v>
      </c>
      <c r="S3446" s="17"/>
      <c r="T3446" s="17"/>
      <c r="U3446" s="17"/>
    </row>
    <row r="3447" spans="17:21" x14ac:dyDescent="0.25">
      <c r="Q3447" s="17" t="s">
        <v>4163</v>
      </c>
      <c r="R3447" s="17" t="s">
        <v>2239</v>
      </c>
      <c r="S3447" s="17"/>
      <c r="T3447" s="17"/>
      <c r="U3447" s="17"/>
    </row>
    <row r="3448" spans="17:21" x14ac:dyDescent="0.25">
      <c r="Q3448" s="17" t="s">
        <v>4164</v>
      </c>
      <c r="R3448" s="17" t="s">
        <v>2239</v>
      </c>
      <c r="S3448" s="17"/>
      <c r="T3448" s="17"/>
      <c r="U3448" s="17"/>
    </row>
    <row r="3449" spans="17:21" x14ac:dyDescent="0.25">
      <c r="Q3449" s="17" t="s">
        <v>4165</v>
      </c>
      <c r="R3449" s="17" t="s">
        <v>2239</v>
      </c>
      <c r="S3449" s="17"/>
      <c r="T3449" s="17"/>
      <c r="U3449" s="17"/>
    </row>
    <row r="3450" spans="17:21" x14ac:dyDescent="0.25">
      <c r="Q3450" s="17" t="s">
        <v>4166</v>
      </c>
      <c r="R3450" s="17" t="s">
        <v>2239</v>
      </c>
      <c r="S3450" s="17"/>
      <c r="T3450" s="17"/>
      <c r="U3450" s="17"/>
    </row>
    <row r="3451" spans="17:21" x14ac:dyDescent="0.25">
      <c r="Q3451" s="17" t="s">
        <v>4167</v>
      </c>
      <c r="R3451" s="17" t="s">
        <v>2239</v>
      </c>
      <c r="S3451" s="17"/>
      <c r="T3451" s="17"/>
      <c r="U3451" s="17"/>
    </row>
    <row r="3452" spans="17:21" x14ac:dyDescent="0.25">
      <c r="Q3452" s="17" t="s">
        <v>4168</v>
      </c>
      <c r="R3452" s="17" t="s">
        <v>2239</v>
      </c>
      <c r="S3452" s="17"/>
      <c r="T3452" s="17"/>
      <c r="U3452" s="17"/>
    </row>
    <row r="3453" spans="17:21" x14ac:dyDescent="0.25">
      <c r="Q3453" s="17" t="s">
        <v>4169</v>
      </c>
      <c r="R3453" s="17" t="s">
        <v>2239</v>
      </c>
      <c r="S3453" s="17"/>
      <c r="T3453" s="17"/>
      <c r="U3453" s="17"/>
    </row>
    <row r="3454" spans="17:21" x14ac:dyDescent="0.25">
      <c r="Q3454" s="17" t="s">
        <v>4170</v>
      </c>
      <c r="R3454" s="17" t="s">
        <v>2239</v>
      </c>
      <c r="S3454" s="17"/>
      <c r="T3454" s="17"/>
      <c r="U3454" s="17"/>
    </row>
    <row r="3455" spans="17:21" x14ac:dyDescent="0.25">
      <c r="Q3455" s="17" t="s">
        <v>4171</v>
      </c>
      <c r="R3455" s="17" t="s">
        <v>2239</v>
      </c>
      <c r="S3455" s="17"/>
      <c r="T3455" s="17"/>
      <c r="U3455" s="17"/>
    </row>
    <row r="3456" spans="17:21" x14ac:dyDescent="0.25">
      <c r="Q3456" s="17" t="s">
        <v>4172</v>
      </c>
      <c r="R3456" s="17" t="s">
        <v>2239</v>
      </c>
      <c r="S3456" s="17"/>
      <c r="T3456" s="17"/>
      <c r="U3456" s="17"/>
    </row>
    <row r="3457" spans="17:21" x14ac:dyDescent="0.25">
      <c r="Q3457" s="17" t="s">
        <v>4173</v>
      </c>
      <c r="R3457" s="17" t="s">
        <v>2239</v>
      </c>
      <c r="S3457" s="17"/>
      <c r="T3457" s="17"/>
      <c r="U3457" s="17"/>
    </row>
    <row r="3458" spans="17:21" x14ac:dyDescent="0.25">
      <c r="Q3458" s="17" t="s">
        <v>4174</v>
      </c>
      <c r="R3458" s="17" t="s">
        <v>2239</v>
      </c>
      <c r="S3458" s="17"/>
      <c r="T3458" s="17"/>
      <c r="U3458" s="17"/>
    </row>
    <row r="3459" spans="17:21" x14ac:dyDescent="0.25">
      <c r="Q3459" s="17" t="s">
        <v>4175</v>
      </c>
      <c r="R3459" s="17" t="s">
        <v>2239</v>
      </c>
      <c r="S3459" s="17"/>
      <c r="T3459" s="17"/>
      <c r="U3459" s="17"/>
    </row>
    <row r="3460" spans="17:21" x14ac:dyDescent="0.25">
      <c r="Q3460" s="17" t="s">
        <v>4176</v>
      </c>
      <c r="R3460" s="17" t="s">
        <v>2239</v>
      </c>
      <c r="S3460" s="17"/>
      <c r="T3460" s="17"/>
      <c r="U3460" s="17"/>
    </row>
    <row r="3461" spans="17:21" x14ac:dyDescent="0.25">
      <c r="Q3461" s="17" t="s">
        <v>4177</v>
      </c>
      <c r="R3461" s="17" t="s">
        <v>2239</v>
      </c>
      <c r="S3461" s="17"/>
      <c r="T3461" s="17"/>
      <c r="U3461" s="17"/>
    </row>
    <row r="3462" spans="17:21" x14ac:dyDescent="0.25">
      <c r="Q3462" s="17" t="s">
        <v>4178</v>
      </c>
      <c r="R3462" s="17" t="s">
        <v>2239</v>
      </c>
      <c r="S3462" s="17"/>
      <c r="T3462" s="17"/>
      <c r="U3462" s="17"/>
    </row>
    <row r="3463" spans="17:21" x14ac:dyDescent="0.25">
      <c r="Q3463" s="17" t="s">
        <v>4179</v>
      </c>
      <c r="R3463" s="17" t="s">
        <v>2239</v>
      </c>
      <c r="S3463" s="17"/>
      <c r="T3463" s="17"/>
      <c r="U3463" s="17"/>
    </row>
    <row r="3464" spans="17:21" x14ac:dyDescent="0.25">
      <c r="Q3464" s="17" t="s">
        <v>4180</v>
      </c>
      <c r="R3464" s="17" t="s">
        <v>2239</v>
      </c>
      <c r="S3464" s="17"/>
      <c r="T3464" s="17"/>
      <c r="U3464" s="17"/>
    </row>
    <row r="3465" spans="17:21" x14ac:dyDescent="0.25">
      <c r="Q3465" s="17" t="s">
        <v>4181</v>
      </c>
      <c r="R3465" s="17" t="s">
        <v>2239</v>
      </c>
      <c r="S3465" s="17"/>
      <c r="T3465" s="17"/>
      <c r="U3465" s="17"/>
    </row>
    <row r="3466" spans="17:21" x14ac:dyDescent="0.25">
      <c r="Q3466" s="17" t="s">
        <v>4182</v>
      </c>
      <c r="R3466" s="17" t="s">
        <v>2239</v>
      </c>
      <c r="S3466" s="17"/>
      <c r="T3466" s="17"/>
      <c r="U3466" s="17"/>
    </row>
    <row r="3467" spans="17:21" x14ac:dyDescent="0.25">
      <c r="Q3467" s="17" t="s">
        <v>4183</v>
      </c>
      <c r="R3467" s="17" t="s">
        <v>2239</v>
      </c>
      <c r="S3467" s="17"/>
      <c r="T3467" s="17"/>
      <c r="U3467" s="17"/>
    </row>
    <row r="3468" spans="17:21" x14ac:dyDescent="0.25">
      <c r="Q3468" s="17" t="s">
        <v>4184</v>
      </c>
      <c r="R3468" s="17" t="s">
        <v>2239</v>
      </c>
      <c r="S3468" s="17"/>
      <c r="T3468" s="17"/>
      <c r="U3468" s="17"/>
    </row>
    <row r="3469" spans="17:21" x14ac:dyDescent="0.25">
      <c r="Q3469" s="17" t="s">
        <v>4185</v>
      </c>
      <c r="R3469" s="17" t="s">
        <v>2239</v>
      </c>
      <c r="S3469" s="17"/>
      <c r="T3469" s="17"/>
      <c r="U3469" s="17"/>
    </row>
    <row r="3470" spans="17:21" x14ac:dyDescent="0.25">
      <c r="Q3470" s="17" t="s">
        <v>4186</v>
      </c>
      <c r="R3470" s="17" t="s">
        <v>2239</v>
      </c>
      <c r="S3470" s="17"/>
      <c r="T3470" s="17"/>
      <c r="U3470" s="17"/>
    </row>
    <row r="3471" spans="17:21" x14ac:dyDescent="0.25">
      <c r="Q3471" s="17" t="s">
        <v>4187</v>
      </c>
      <c r="R3471" s="17" t="s">
        <v>2239</v>
      </c>
      <c r="S3471" s="17"/>
      <c r="T3471" s="17"/>
      <c r="U3471" s="17"/>
    </row>
    <row r="3472" spans="17:21" x14ac:dyDescent="0.25">
      <c r="Q3472" s="17" t="s">
        <v>4188</v>
      </c>
      <c r="R3472" s="17" t="s">
        <v>2239</v>
      </c>
      <c r="S3472" s="17"/>
      <c r="T3472" s="17"/>
      <c r="U3472" s="17"/>
    </row>
    <row r="3473" spans="17:21" x14ac:dyDescent="0.25">
      <c r="Q3473" s="17" t="s">
        <v>4189</v>
      </c>
      <c r="R3473" s="17" t="s">
        <v>2239</v>
      </c>
      <c r="S3473" s="17"/>
      <c r="T3473" s="17"/>
      <c r="U3473" s="17"/>
    </row>
    <row r="3474" spans="17:21" x14ac:dyDescent="0.25">
      <c r="Q3474" s="17" t="s">
        <v>4190</v>
      </c>
      <c r="R3474" s="17" t="s">
        <v>2239</v>
      </c>
      <c r="S3474" s="17"/>
      <c r="T3474" s="17"/>
      <c r="U3474" s="17"/>
    </row>
    <row r="3475" spans="17:21" x14ac:dyDescent="0.25">
      <c r="Q3475" s="17" t="s">
        <v>4191</v>
      </c>
      <c r="R3475" s="17" t="s">
        <v>2239</v>
      </c>
      <c r="S3475" s="17"/>
      <c r="T3475" s="17"/>
      <c r="U3475" s="17"/>
    </row>
    <row r="3476" spans="17:21" x14ac:dyDescent="0.25">
      <c r="Q3476" s="17" t="s">
        <v>4192</v>
      </c>
      <c r="R3476" s="17" t="s">
        <v>2239</v>
      </c>
      <c r="S3476" s="17"/>
      <c r="T3476" s="17"/>
      <c r="U3476" s="17"/>
    </row>
    <row r="3477" spans="17:21" x14ac:dyDescent="0.25">
      <c r="Q3477" s="17" t="s">
        <v>4193</v>
      </c>
      <c r="R3477" s="17" t="s">
        <v>2239</v>
      </c>
      <c r="S3477" s="17"/>
      <c r="T3477" s="17"/>
      <c r="U3477" s="17"/>
    </row>
    <row r="3478" spans="17:21" x14ac:dyDescent="0.25">
      <c r="Q3478" s="17" t="s">
        <v>4194</v>
      </c>
      <c r="R3478" s="17" t="s">
        <v>2239</v>
      </c>
      <c r="S3478" s="17"/>
      <c r="T3478" s="17"/>
      <c r="U3478" s="17"/>
    </row>
    <row r="3479" spans="17:21" x14ac:dyDescent="0.25">
      <c r="Q3479" s="17" t="s">
        <v>4195</v>
      </c>
      <c r="R3479" s="17" t="s">
        <v>2239</v>
      </c>
      <c r="S3479" s="17"/>
      <c r="T3479" s="17"/>
      <c r="U3479" s="17"/>
    </row>
    <row r="3480" spans="17:21" x14ac:dyDescent="0.25">
      <c r="Q3480" s="17" t="s">
        <v>4196</v>
      </c>
      <c r="R3480" s="17" t="s">
        <v>2239</v>
      </c>
      <c r="S3480" s="17"/>
      <c r="T3480" s="17"/>
      <c r="U3480" s="17"/>
    </row>
    <row r="3481" spans="17:21" x14ac:dyDescent="0.25">
      <c r="Q3481" s="17" t="s">
        <v>4197</v>
      </c>
      <c r="R3481" s="17" t="s">
        <v>2239</v>
      </c>
      <c r="S3481" s="17"/>
      <c r="T3481" s="17"/>
      <c r="U3481" s="17"/>
    </row>
    <row r="3482" spans="17:21" x14ac:dyDescent="0.25">
      <c r="Q3482" s="17" t="s">
        <v>4198</v>
      </c>
      <c r="R3482" s="17" t="s">
        <v>2239</v>
      </c>
      <c r="S3482" s="17"/>
      <c r="T3482" s="17"/>
      <c r="U3482" s="17"/>
    </row>
    <row r="3483" spans="17:21" x14ac:dyDescent="0.25">
      <c r="Q3483" s="17" t="s">
        <v>4199</v>
      </c>
      <c r="R3483" s="17" t="s">
        <v>2239</v>
      </c>
      <c r="S3483" s="17"/>
      <c r="T3483" s="17"/>
      <c r="U3483" s="17"/>
    </row>
    <row r="3484" spans="17:21" x14ac:dyDescent="0.25">
      <c r="Q3484" s="17" t="s">
        <v>4200</v>
      </c>
      <c r="R3484" s="17" t="s">
        <v>2239</v>
      </c>
      <c r="S3484" s="17"/>
      <c r="T3484" s="17"/>
      <c r="U3484" s="17"/>
    </row>
    <row r="3485" spans="17:21" x14ac:dyDescent="0.25">
      <c r="Q3485" s="17" t="s">
        <v>4201</v>
      </c>
      <c r="R3485" s="17" t="s">
        <v>2239</v>
      </c>
      <c r="S3485" s="17"/>
      <c r="T3485" s="17"/>
      <c r="U3485" s="17"/>
    </row>
    <row r="3486" spans="17:21" x14ac:dyDescent="0.25">
      <c r="Q3486" s="17" t="s">
        <v>4202</v>
      </c>
      <c r="R3486" s="17" t="s">
        <v>2239</v>
      </c>
      <c r="S3486" s="17"/>
      <c r="T3486" s="17"/>
      <c r="U3486" s="17"/>
    </row>
    <row r="3487" spans="17:21" x14ac:dyDescent="0.25">
      <c r="Q3487" s="17" t="s">
        <v>4203</v>
      </c>
      <c r="R3487" s="17" t="s">
        <v>2239</v>
      </c>
      <c r="S3487" s="17"/>
      <c r="T3487" s="17"/>
      <c r="U3487" s="17"/>
    </row>
    <row r="3488" spans="17:21" x14ac:dyDescent="0.25">
      <c r="Q3488" s="17" t="s">
        <v>4204</v>
      </c>
      <c r="R3488" s="17" t="s">
        <v>2239</v>
      </c>
      <c r="S3488" s="17"/>
      <c r="T3488" s="17"/>
      <c r="U3488" s="17"/>
    </row>
    <row r="3489" spans="17:21" x14ac:dyDescent="0.25">
      <c r="Q3489" s="17" t="s">
        <v>4205</v>
      </c>
      <c r="R3489" s="17" t="s">
        <v>2239</v>
      </c>
      <c r="S3489" s="17"/>
      <c r="T3489" s="17"/>
      <c r="U3489" s="17"/>
    </row>
    <row r="3490" spans="17:21" x14ac:dyDescent="0.25">
      <c r="Q3490" s="17" t="s">
        <v>4206</v>
      </c>
      <c r="R3490" s="17" t="s">
        <v>2239</v>
      </c>
      <c r="S3490" s="17"/>
      <c r="T3490" s="17"/>
      <c r="U3490" s="17"/>
    </row>
    <row r="3491" spans="17:21" x14ac:dyDescent="0.25">
      <c r="Q3491" s="17" t="s">
        <v>4207</v>
      </c>
      <c r="R3491" s="17" t="s">
        <v>2239</v>
      </c>
      <c r="S3491" s="17"/>
      <c r="T3491" s="17"/>
      <c r="U3491" s="17"/>
    </row>
    <row r="3492" spans="17:21" x14ac:dyDescent="0.25">
      <c r="Q3492" s="17" t="s">
        <v>4208</v>
      </c>
      <c r="R3492" s="17" t="s">
        <v>2239</v>
      </c>
      <c r="S3492" s="17"/>
      <c r="T3492" s="17"/>
      <c r="U3492" s="17"/>
    </row>
    <row r="3493" spans="17:21" x14ac:dyDescent="0.25">
      <c r="Q3493" s="17" t="s">
        <v>4209</v>
      </c>
      <c r="R3493" s="17" t="s">
        <v>2239</v>
      </c>
      <c r="S3493" s="17"/>
      <c r="T3493" s="17"/>
      <c r="U3493" s="17"/>
    </row>
    <row r="3494" spans="17:21" x14ac:dyDescent="0.25">
      <c r="Q3494" s="17" t="s">
        <v>4210</v>
      </c>
      <c r="R3494" s="17" t="s">
        <v>2239</v>
      </c>
      <c r="S3494" s="17"/>
      <c r="T3494" s="17"/>
      <c r="U3494" s="17"/>
    </row>
    <row r="3495" spans="17:21" x14ac:dyDescent="0.25">
      <c r="Q3495" s="17" t="s">
        <v>4211</v>
      </c>
      <c r="R3495" s="17" t="s">
        <v>2239</v>
      </c>
      <c r="S3495" s="17"/>
      <c r="T3495" s="17"/>
      <c r="U3495" s="17"/>
    </row>
    <row r="3496" spans="17:21" x14ac:dyDescent="0.25">
      <c r="Q3496" s="17" t="s">
        <v>4212</v>
      </c>
      <c r="R3496" s="17" t="s">
        <v>2239</v>
      </c>
      <c r="S3496" s="17"/>
      <c r="T3496" s="17"/>
      <c r="U3496" s="17"/>
    </row>
    <row r="3497" spans="17:21" x14ac:dyDescent="0.25">
      <c r="Q3497" s="17" t="s">
        <v>4213</v>
      </c>
      <c r="R3497" s="17" t="s">
        <v>2239</v>
      </c>
      <c r="S3497" s="17"/>
      <c r="T3497" s="17"/>
      <c r="U3497" s="17"/>
    </row>
    <row r="3498" spans="17:21" x14ac:dyDescent="0.25">
      <c r="Q3498" s="17" t="s">
        <v>4214</v>
      </c>
      <c r="R3498" s="17" t="s">
        <v>2239</v>
      </c>
      <c r="S3498" s="17"/>
      <c r="T3498" s="17"/>
      <c r="U3498" s="17"/>
    </row>
    <row r="3499" spans="17:21" x14ac:dyDescent="0.25">
      <c r="Q3499" s="17" t="s">
        <v>4215</v>
      </c>
      <c r="R3499" s="17" t="s">
        <v>2239</v>
      </c>
      <c r="S3499" s="17"/>
      <c r="T3499" s="17"/>
      <c r="U3499" s="17"/>
    </row>
    <row r="3500" spans="17:21" x14ac:dyDescent="0.25">
      <c r="Q3500" s="17" t="s">
        <v>4216</v>
      </c>
      <c r="R3500" s="17" t="s">
        <v>2239</v>
      </c>
      <c r="S3500" s="17"/>
      <c r="T3500" s="17"/>
      <c r="U3500" s="17"/>
    </row>
    <row r="3501" spans="17:21" x14ac:dyDescent="0.25">
      <c r="Q3501" s="17" t="s">
        <v>4217</v>
      </c>
      <c r="R3501" s="17" t="s">
        <v>2239</v>
      </c>
      <c r="S3501" s="17"/>
      <c r="T3501" s="17"/>
      <c r="U3501" s="17"/>
    </row>
    <row r="3502" spans="17:21" x14ac:dyDescent="0.25">
      <c r="Q3502" s="17" t="s">
        <v>4218</v>
      </c>
      <c r="R3502" s="17" t="s">
        <v>2239</v>
      </c>
      <c r="S3502" s="17"/>
      <c r="T3502" s="17"/>
      <c r="U3502" s="17"/>
    </row>
    <row r="3503" spans="17:21" x14ac:dyDescent="0.25">
      <c r="Q3503" s="17" t="s">
        <v>4219</v>
      </c>
      <c r="R3503" s="17" t="s">
        <v>2239</v>
      </c>
      <c r="S3503" s="17"/>
      <c r="T3503" s="17"/>
      <c r="U3503" s="17"/>
    </row>
    <row r="3504" spans="17:21" x14ac:dyDescent="0.25">
      <c r="Q3504" s="17" t="s">
        <v>4220</v>
      </c>
      <c r="R3504" s="17" t="s">
        <v>2239</v>
      </c>
      <c r="S3504" s="17"/>
      <c r="T3504" s="17"/>
      <c r="U3504" s="17"/>
    </row>
    <row r="3505" spans="17:21" x14ac:dyDescent="0.25">
      <c r="Q3505" s="17" t="s">
        <v>4221</v>
      </c>
      <c r="R3505" s="17" t="s">
        <v>2239</v>
      </c>
      <c r="S3505" s="17"/>
      <c r="T3505" s="17"/>
      <c r="U3505" s="17"/>
    </row>
    <row r="3506" spans="17:21" x14ac:dyDescent="0.25">
      <c r="Q3506" s="17" t="s">
        <v>4222</v>
      </c>
      <c r="R3506" s="17" t="s">
        <v>2239</v>
      </c>
      <c r="S3506" s="17"/>
      <c r="T3506" s="17"/>
      <c r="U3506" s="17"/>
    </row>
    <row r="3507" spans="17:21" x14ac:dyDescent="0.25">
      <c r="Q3507" s="17" t="s">
        <v>4223</v>
      </c>
      <c r="R3507" s="17" t="s">
        <v>2239</v>
      </c>
      <c r="S3507" s="17"/>
      <c r="T3507" s="17"/>
      <c r="U3507" s="17"/>
    </row>
    <row r="3508" spans="17:21" x14ac:dyDescent="0.25">
      <c r="Q3508" s="17" t="s">
        <v>4224</v>
      </c>
      <c r="R3508" s="17" t="s">
        <v>2239</v>
      </c>
      <c r="S3508" s="17"/>
      <c r="T3508" s="17"/>
      <c r="U3508" s="17"/>
    </row>
    <row r="3509" spans="17:21" x14ac:dyDescent="0.25">
      <c r="Q3509" s="17" t="s">
        <v>4225</v>
      </c>
      <c r="R3509" s="17" t="s">
        <v>2239</v>
      </c>
      <c r="S3509" s="17"/>
      <c r="T3509" s="17"/>
      <c r="U3509" s="17"/>
    </row>
    <row r="3510" spans="17:21" x14ac:dyDescent="0.25">
      <c r="Q3510" s="17" t="s">
        <v>4226</v>
      </c>
      <c r="R3510" s="17" t="s">
        <v>2239</v>
      </c>
      <c r="S3510" s="17"/>
      <c r="T3510" s="17"/>
      <c r="U3510" s="17"/>
    </row>
    <row r="3511" spans="17:21" x14ac:dyDescent="0.25">
      <c r="Q3511" s="17" t="s">
        <v>4227</v>
      </c>
      <c r="R3511" s="17" t="s">
        <v>2239</v>
      </c>
      <c r="S3511" s="17"/>
      <c r="T3511" s="17"/>
      <c r="U3511" s="17"/>
    </row>
    <row r="3512" spans="17:21" x14ac:dyDescent="0.25">
      <c r="Q3512" s="17" t="s">
        <v>4228</v>
      </c>
      <c r="R3512" s="17" t="s">
        <v>2239</v>
      </c>
      <c r="S3512" s="17"/>
      <c r="T3512" s="17"/>
      <c r="U3512" s="17"/>
    </row>
    <row r="3513" spans="17:21" x14ac:dyDescent="0.25">
      <c r="Q3513" s="17" t="s">
        <v>4229</v>
      </c>
      <c r="R3513" s="17" t="s">
        <v>2239</v>
      </c>
      <c r="S3513" s="17"/>
      <c r="T3513" s="17"/>
      <c r="U3513" s="17"/>
    </row>
    <row r="3514" spans="17:21" x14ac:dyDescent="0.25">
      <c r="Q3514" s="17" t="s">
        <v>4230</v>
      </c>
      <c r="R3514" s="17" t="s">
        <v>2239</v>
      </c>
      <c r="S3514" s="17"/>
      <c r="T3514" s="17"/>
      <c r="U3514" s="17"/>
    </row>
    <row r="3515" spans="17:21" x14ac:dyDescent="0.25">
      <c r="Q3515" s="17" t="s">
        <v>4231</v>
      </c>
      <c r="R3515" s="17" t="s">
        <v>2239</v>
      </c>
      <c r="S3515" s="17"/>
      <c r="T3515" s="17"/>
      <c r="U3515" s="17"/>
    </row>
    <row r="3516" spans="17:21" x14ac:dyDescent="0.25">
      <c r="Q3516" s="17" t="s">
        <v>4232</v>
      </c>
      <c r="R3516" s="17" t="s">
        <v>2239</v>
      </c>
      <c r="S3516" s="17"/>
      <c r="T3516" s="17"/>
      <c r="U3516" s="17"/>
    </row>
    <row r="3517" spans="17:21" x14ac:dyDescent="0.25">
      <c r="Q3517" s="17" t="s">
        <v>4233</v>
      </c>
      <c r="R3517" s="17" t="s">
        <v>2239</v>
      </c>
      <c r="S3517" s="17"/>
      <c r="T3517" s="17"/>
      <c r="U3517" s="17"/>
    </row>
    <row r="3518" spans="17:21" x14ac:dyDescent="0.25">
      <c r="Q3518" s="17" t="s">
        <v>4234</v>
      </c>
      <c r="R3518" s="17" t="s">
        <v>2239</v>
      </c>
      <c r="S3518" s="17"/>
      <c r="T3518" s="17"/>
      <c r="U3518" s="17"/>
    </row>
    <row r="3519" spans="17:21" x14ac:dyDescent="0.25">
      <c r="Q3519" s="17" t="s">
        <v>4235</v>
      </c>
      <c r="R3519" s="17" t="s">
        <v>2239</v>
      </c>
      <c r="S3519" s="17"/>
      <c r="T3519" s="17"/>
      <c r="U3519" s="17"/>
    </row>
    <row r="3520" spans="17:21" x14ac:dyDescent="0.25">
      <c r="Q3520" s="17" t="s">
        <v>4236</v>
      </c>
      <c r="R3520" s="17" t="s">
        <v>2239</v>
      </c>
      <c r="S3520" s="17"/>
      <c r="T3520" s="17"/>
      <c r="U3520" s="17"/>
    </row>
    <row r="3521" spans="17:21" x14ac:dyDescent="0.25">
      <c r="Q3521" s="17" t="s">
        <v>4237</v>
      </c>
      <c r="R3521" s="17" t="s">
        <v>2239</v>
      </c>
      <c r="S3521" s="17"/>
      <c r="T3521" s="17"/>
      <c r="U3521" s="17"/>
    </row>
    <row r="3522" spans="17:21" x14ac:dyDescent="0.25">
      <c r="Q3522" s="17" t="s">
        <v>4238</v>
      </c>
      <c r="R3522" s="17" t="s">
        <v>2239</v>
      </c>
      <c r="S3522" s="17"/>
      <c r="T3522" s="17"/>
      <c r="U3522" s="17"/>
    </row>
    <row r="3523" spans="17:21" x14ac:dyDescent="0.25">
      <c r="Q3523" s="17" t="s">
        <v>4239</v>
      </c>
      <c r="R3523" s="17" t="s">
        <v>2239</v>
      </c>
      <c r="S3523" s="17"/>
      <c r="T3523" s="17"/>
      <c r="U3523" s="17"/>
    </row>
    <row r="3524" spans="17:21" x14ac:dyDescent="0.25">
      <c r="Q3524" s="17" t="s">
        <v>4240</v>
      </c>
      <c r="R3524" s="17" t="s">
        <v>2239</v>
      </c>
      <c r="S3524" s="17"/>
      <c r="T3524" s="17"/>
      <c r="U3524" s="17"/>
    </row>
    <row r="3525" spans="17:21" x14ac:dyDescent="0.25">
      <c r="Q3525" s="17" t="s">
        <v>4241</v>
      </c>
      <c r="R3525" s="17" t="s">
        <v>2239</v>
      </c>
      <c r="S3525" s="17"/>
      <c r="T3525" s="17"/>
      <c r="U3525" s="17"/>
    </row>
    <row r="3526" spans="17:21" x14ac:dyDescent="0.25">
      <c r="Q3526" s="17" t="s">
        <v>4242</v>
      </c>
      <c r="R3526" s="17" t="s">
        <v>2239</v>
      </c>
      <c r="S3526" s="17"/>
      <c r="T3526" s="17"/>
      <c r="U3526" s="17"/>
    </row>
    <row r="3527" spans="17:21" x14ac:dyDescent="0.25">
      <c r="Q3527" s="17" t="s">
        <v>4243</v>
      </c>
      <c r="R3527" s="17" t="s">
        <v>2239</v>
      </c>
      <c r="S3527" s="17"/>
      <c r="T3527" s="17"/>
      <c r="U3527" s="17"/>
    </row>
    <row r="3528" spans="17:21" x14ac:dyDescent="0.25">
      <c r="Q3528" s="17" t="s">
        <v>4244</v>
      </c>
      <c r="R3528" s="17" t="s">
        <v>2239</v>
      </c>
      <c r="S3528" s="17"/>
      <c r="T3528" s="17"/>
      <c r="U3528" s="17"/>
    </row>
    <row r="3529" spans="17:21" x14ac:dyDescent="0.25">
      <c r="Q3529" s="17" t="s">
        <v>4245</v>
      </c>
      <c r="R3529" s="17" t="s">
        <v>2239</v>
      </c>
      <c r="S3529" s="17"/>
      <c r="T3529" s="17"/>
      <c r="U3529" s="17"/>
    </row>
    <row r="3530" spans="17:21" x14ac:dyDescent="0.25">
      <c r="Q3530" s="17" t="s">
        <v>4246</v>
      </c>
      <c r="R3530" s="17" t="s">
        <v>2239</v>
      </c>
      <c r="S3530" s="17"/>
      <c r="T3530" s="17"/>
      <c r="U3530" s="17"/>
    </row>
    <row r="3531" spans="17:21" x14ac:dyDescent="0.25">
      <c r="Q3531" s="17" t="s">
        <v>4247</v>
      </c>
      <c r="R3531" s="17" t="s">
        <v>2239</v>
      </c>
      <c r="S3531" s="17"/>
      <c r="T3531" s="17"/>
      <c r="U3531" s="17"/>
    </row>
    <row r="3532" spans="17:21" x14ac:dyDescent="0.25">
      <c r="Q3532" s="17" t="s">
        <v>4248</v>
      </c>
      <c r="R3532" s="17" t="s">
        <v>2239</v>
      </c>
      <c r="S3532" s="17"/>
      <c r="T3532" s="17"/>
      <c r="U3532" s="17"/>
    </row>
    <row r="3533" spans="17:21" x14ac:dyDescent="0.25">
      <c r="Q3533" s="17" t="s">
        <v>4249</v>
      </c>
      <c r="R3533" s="17" t="s">
        <v>2239</v>
      </c>
      <c r="S3533" s="17"/>
      <c r="T3533" s="17"/>
      <c r="U3533" s="17"/>
    </row>
    <row r="3534" spans="17:21" x14ac:dyDescent="0.25">
      <c r="Q3534" s="17" t="s">
        <v>4250</v>
      </c>
      <c r="R3534" s="17" t="s">
        <v>2239</v>
      </c>
      <c r="S3534" s="17"/>
      <c r="T3534" s="17"/>
      <c r="U3534" s="17"/>
    </row>
    <row r="3535" spans="17:21" x14ac:dyDescent="0.25">
      <c r="Q3535" s="17" t="s">
        <v>4251</v>
      </c>
      <c r="R3535" s="17" t="s">
        <v>2239</v>
      </c>
      <c r="S3535" s="17"/>
      <c r="T3535" s="17"/>
      <c r="U3535" s="17"/>
    </row>
    <row r="3536" spans="17:21" x14ac:dyDescent="0.25">
      <c r="Q3536" s="17" t="s">
        <v>4252</v>
      </c>
      <c r="R3536" s="17" t="s">
        <v>2239</v>
      </c>
      <c r="S3536" s="17"/>
      <c r="T3536" s="17"/>
      <c r="U3536" s="17"/>
    </row>
    <row r="3537" spans="17:21" x14ac:dyDescent="0.25">
      <c r="Q3537" s="17" t="s">
        <v>4253</v>
      </c>
      <c r="R3537" s="17" t="s">
        <v>2239</v>
      </c>
      <c r="S3537" s="17"/>
      <c r="T3537" s="17"/>
      <c r="U3537" s="17"/>
    </row>
    <row r="3538" spans="17:21" x14ac:dyDescent="0.25">
      <c r="Q3538" s="17" t="s">
        <v>4254</v>
      </c>
      <c r="R3538" s="17" t="s">
        <v>2239</v>
      </c>
      <c r="S3538" s="17"/>
      <c r="T3538" s="17"/>
      <c r="U3538" s="17"/>
    </row>
    <row r="3539" spans="17:21" x14ac:dyDescent="0.25">
      <c r="Q3539" s="17" t="s">
        <v>4255</v>
      </c>
      <c r="R3539" s="17" t="s">
        <v>2239</v>
      </c>
      <c r="S3539" s="17"/>
      <c r="T3539" s="17"/>
      <c r="U3539" s="17"/>
    </row>
    <row r="3540" spans="17:21" x14ac:dyDescent="0.25">
      <c r="Q3540" s="17" t="s">
        <v>4256</v>
      </c>
      <c r="R3540" s="17" t="s">
        <v>2239</v>
      </c>
      <c r="S3540" s="17"/>
      <c r="T3540" s="17"/>
      <c r="U3540" s="17"/>
    </row>
    <row r="3541" spans="17:21" x14ac:dyDescent="0.25">
      <c r="Q3541" s="17" t="s">
        <v>4257</v>
      </c>
      <c r="R3541" s="17" t="s">
        <v>2239</v>
      </c>
      <c r="S3541" s="17"/>
      <c r="T3541" s="17"/>
      <c r="U3541" s="17"/>
    </row>
    <row r="3542" spans="17:21" x14ac:dyDescent="0.25">
      <c r="Q3542" s="17" t="s">
        <v>4258</v>
      </c>
      <c r="R3542" s="17" t="s">
        <v>2239</v>
      </c>
      <c r="S3542" s="17"/>
      <c r="T3542" s="17"/>
      <c r="U3542" s="17"/>
    </row>
    <row r="3543" spans="17:21" x14ac:dyDescent="0.25">
      <c r="Q3543" s="17" t="s">
        <v>4259</v>
      </c>
      <c r="R3543" s="17" t="s">
        <v>2239</v>
      </c>
      <c r="S3543" s="17"/>
      <c r="T3543" s="17"/>
      <c r="U3543" s="17"/>
    </row>
    <row r="3544" spans="17:21" x14ac:dyDescent="0.25">
      <c r="Q3544" s="17" t="s">
        <v>4260</v>
      </c>
      <c r="R3544" s="17" t="s">
        <v>2239</v>
      </c>
      <c r="S3544" s="17"/>
      <c r="T3544" s="17"/>
      <c r="U3544" s="17"/>
    </row>
    <row r="3545" spans="17:21" x14ac:dyDescent="0.25">
      <c r="Q3545" s="17" t="s">
        <v>4261</v>
      </c>
      <c r="R3545" s="17" t="s">
        <v>2239</v>
      </c>
      <c r="S3545" s="17"/>
      <c r="T3545" s="17"/>
      <c r="U3545" s="17"/>
    </row>
    <row r="3546" spans="17:21" x14ac:dyDescent="0.25">
      <c r="Q3546" s="17" t="s">
        <v>4262</v>
      </c>
      <c r="R3546" s="17" t="s">
        <v>2239</v>
      </c>
      <c r="S3546" s="17"/>
      <c r="T3546" s="17"/>
      <c r="U3546" s="17"/>
    </row>
    <row r="3547" spans="17:21" x14ac:dyDescent="0.25">
      <c r="Q3547" s="17" t="s">
        <v>4263</v>
      </c>
      <c r="R3547" s="17" t="s">
        <v>2239</v>
      </c>
      <c r="S3547" s="17"/>
      <c r="T3547" s="17"/>
      <c r="U3547" s="17"/>
    </row>
    <row r="3548" spans="17:21" x14ac:dyDescent="0.25">
      <c r="Q3548" s="17" t="s">
        <v>4264</v>
      </c>
      <c r="R3548" s="17" t="s">
        <v>2239</v>
      </c>
      <c r="S3548" s="17"/>
      <c r="T3548" s="17"/>
      <c r="U3548" s="17"/>
    </row>
    <row r="3549" spans="17:21" x14ac:dyDescent="0.25">
      <c r="Q3549" s="17" t="s">
        <v>4265</v>
      </c>
      <c r="R3549" s="17" t="s">
        <v>2239</v>
      </c>
      <c r="S3549" s="17"/>
      <c r="T3549" s="17"/>
      <c r="U3549" s="17"/>
    </row>
    <row r="3550" spans="17:21" x14ac:dyDescent="0.25">
      <c r="Q3550" s="17" t="s">
        <v>4266</v>
      </c>
      <c r="R3550" s="17" t="s">
        <v>2239</v>
      </c>
      <c r="S3550" s="17"/>
      <c r="T3550" s="17"/>
      <c r="U3550" s="17"/>
    </row>
    <row r="3551" spans="17:21" x14ac:dyDescent="0.25">
      <c r="Q3551" s="17" t="s">
        <v>4267</v>
      </c>
      <c r="R3551" s="17" t="s">
        <v>2239</v>
      </c>
      <c r="S3551" s="17"/>
      <c r="T3551" s="17"/>
      <c r="U3551" s="17"/>
    </row>
    <row r="3552" spans="17:21" x14ac:dyDescent="0.25">
      <c r="Q3552" s="17" t="s">
        <v>4268</v>
      </c>
      <c r="R3552" s="17" t="s">
        <v>2239</v>
      </c>
      <c r="S3552" s="17"/>
      <c r="T3552" s="17"/>
      <c r="U3552" s="17"/>
    </row>
    <row r="3553" spans="17:21" x14ac:dyDescent="0.25">
      <c r="Q3553" s="17" t="s">
        <v>4269</v>
      </c>
      <c r="R3553" s="17" t="s">
        <v>2239</v>
      </c>
      <c r="S3553" s="17"/>
      <c r="T3553" s="17"/>
      <c r="U3553" s="17"/>
    </row>
    <row r="3554" spans="17:21" x14ac:dyDescent="0.25">
      <c r="Q3554" s="17" t="s">
        <v>4270</v>
      </c>
      <c r="R3554" s="17" t="s">
        <v>2239</v>
      </c>
      <c r="S3554" s="17"/>
      <c r="T3554" s="17"/>
      <c r="U3554" s="17"/>
    </row>
    <row r="3555" spans="17:21" x14ac:dyDescent="0.25">
      <c r="Q3555" s="17" t="s">
        <v>4271</v>
      </c>
      <c r="R3555" s="17" t="s">
        <v>2239</v>
      </c>
      <c r="S3555" s="17"/>
      <c r="T3555" s="17"/>
      <c r="U3555" s="17"/>
    </row>
    <row r="3556" spans="17:21" x14ac:dyDescent="0.25">
      <c r="Q3556" s="17" t="s">
        <v>4272</v>
      </c>
      <c r="R3556" s="17" t="s">
        <v>2239</v>
      </c>
      <c r="S3556" s="17"/>
      <c r="T3556" s="17"/>
      <c r="U3556" s="17"/>
    </row>
    <row r="3557" spans="17:21" x14ac:dyDescent="0.25">
      <c r="Q3557" s="17" t="s">
        <v>4273</v>
      </c>
      <c r="R3557" s="17" t="s">
        <v>2239</v>
      </c>
      <c r="S3557" s="17"/>
      <c r="T3557" s="17"/>
      <c r="U3557" s="17"/>
    </row>
    <row r="3558" spans="17:21" x14ac:dyDescent="0.25">
      <c r="Q3558" s="17" t="s">
        <v>4274</v>
      </c>
      <c r="R3558" s="17" t="s">
        <v>2239</v>
      </c>
      <c r="S3558" s="17"/>
      <c r="T3558" s="17"/>
      <c r="U3558" s="17"/>
    </row>
    <row r="3559" spans="17:21" x14ac:dyDescent="0.25">
      <c r="Q3559" s="17" t="s">
        <v>4275</v>
      </c>
      <c r="R3559" s="17" t="s">
        <v>2239</v>
      </c>
      <c r="S3559" s="17"/>
      <c r="T3559" s="17"/>
      <c r="U3559" s="17"/>
    </row>
    <row r="3560" spans="17:21" x14ac:dyDescent="0.25">
      <c r="Q3560" s="17" t="s">
        <v>4276</v>
      </c>
      <c r="R3560" s="17" t="s">
        <v>2239</v>
      </c>
      <c r="S3560" s="17"/>
      <c r="T3560" s="17"/>
      <c r="U3560" s="17"/>
    </row>
    <row r="3561" spans="17:21" x14ac:dyDescent="0.25">
      <c r="Q3561" s="17" t="s">
        <v>4277</v>
      </c>
      <c r="R3561" s="17" t="s">
        <v>2239</v>
      </c>
      <c r="S3561" s="17"/>
      <c r="T3561" s="17"/>
      <c r="U3561" s="17"/>
    </row>
    <row r="3562" spans="17:21" x14ac:dyDescent="0.25">
      <c r="Q3562" s="17" t="s">
        <v>4278</v>
      </c>
      <c r="R3562" s="17" t="s">
        <v>2239</v>
      </c>
      <c r="S3562" s="17"/>
      <c r="T3562" s="17"/>
      <c r="U3562" s="17"/>
    </row>
    <row r="3563" spans="17:21" x14ac:dyDescent="0.25">
      <c r="Q3563" s="17" t="s">
        <v>4279</v>
      </c>
      <c r="R3563" s="17" t="s">
        <v>2239</v>
      </c>
      <c r="S3563" s="17"/>
      <c r="T3563" s="17"/>
      <c r="U3563" s="17"/>
    </row>
    <row r="3564" spans="17:21" x14ac:dyDescent="0.25">
      <c r="Q3564" s="17" t="s">
        <v>4280</v>
      </c>
      <c r="R3564" s="17" t="s">
        <v>2239</v>
      </c>
      <c r="S3564" s="17"/>
      <c r="T3564" s="17"/>
      <c r="U3564" s="17"/>
    </row>
    <row r="3565" spans="17:21" x14ac:dyDescent="0.25">
      <c r="Q3565" s="17" t="s">
        <v>4281</v>
      </c>
      <c r="R3565" s="17" t="s">
        <v>2239</v>
      </c>
      <c r="S3565" s="17"/>
      <c r="T3565" s="17"/>
      <c r="U3565" s="17"/>
    </row>
    <row r="3566" spans="17:21" x14ac:dyDescent="0.25">
      <c r="Q3566" s="17" t="s">
        <v>4282</v>
      </c>
      <c r="R3566" s="17" t="s">
        <v>2239</v>
      </c>
      <c r="S3566" s="17"/>
      <c r="T3566" s="17"/>
      <c r="U3566" s="17"/>
    </row>
    <row r="3567" spans="17:21" x14ac:dyDescent="0.25">
      <c r="Q3567" s="17" t="s">
        <v>4283</v>
      </c>
      <c r="R3567" s="17" t="s">
        <v>2239</v>
      </c>
      <c r="S3567" s="17"/>
      <c r="T3567" s="17"/>
      <c r="U3567" s="17"/>
    </row>
    <row r="3568" spans="17:21" x14ac:dyDescent="0.25">
      <c r="Q3568" s="17" t="s">
        <v>4284</v>
      </c>
      <c r="R3568" s="17" t="s">
        <v>2239</v>
      </c>
      <c r="S3568" s="17"/>
      <c r="T3568" s="17"/>
      <c r="U3568" s="17"/>
    </row>
    <row r="3569" spans="17:21" x14ac:dyDescent="0.25">
      <c r="Q3569" s="17" t="s">
        <v>4285</v>
      </c>
      <c r="R3569" s="17" t="s">
        <v>2239</v>
      </c>
      <c r="S3569" s="17"/>
      <c r="T3569" s="17"/>
      <c r="U3569" s="17"/>
    </row>
    <row r="3570" spans="17:21" x14ac:dyDescent="0.25">
      <c r="Q3570" s="17" t="s">
        <v>4286</v>
      </c>
      <c r="R3570" s="17" t="s">
        <v>2239</v>
      </c>
      <c r="S3570" s="17"/>
      <c r="T3570" s="17"/>
      <c r="U3570" s="17"/>
    </row>
    <row r="3571" spans="17:21" x14ac:dyDescent="0.25">
      <c r="Q3571" s="17" t="s">
        <v>4287</v>
      </c>
      <c r="R3571" s="17" t="s">
        <v>2239</v>
      </c>
      <c r="S3571" s="17"/>
      <c r="T3571" s="17"/>
      <c r="U3571" s="17"/>
    </row>
    <row r="3572" spans="17:21" x14ac:dyDescent="0.25">
      <c r="Q3572" s="17" t="s">
        <v>4288</v>
      </c>
      <c r="R3572" s="17" t="s">
        <v>2239</v>
      </c>
      <c r="S3572" s="17"/>
      <c r="T3572" s="17"/>
      <c r="U3572" s="17"/>
    </row>
    <row r="3573" spans="17:21" x14ac:dyDescent="0.25">
      <c r="Q3573" s="17" t="s">
        <v>4289</v>
      </c>
      <c r="R3573" s="17" t="s">
        <v>2239</v>
      </c>
      <c r="S3573" s="17"/>
      <c r="T3573" s="17"/>
      <c r="U3573" s="17"/>
    </row>
    <row r="3574" spans="17:21" x14ac:dyDescent="0.25">
      <c r="Q3574" s="17" t="s">
        <v>4290</v>
      </c>
      <c r="R3574" s="17" t="s">
        <v>2239</v>
      </c>
      <c r="S3574" s="17"/>
      <c r="T3574" s="17"/>
      <c r="U3574" s="17"/>
    </row>
    <row r="3575" spans="17:21" x14ac:dyDescent="0.25">
      <c r="Q3575" s="17" t="s">
        <v>4291</v>
      </c>
      <c r="R3575" s="17" t="s">
        <v>2239</v>
      </c>
      <c r="S3575" s="17"/>
      <c r="T3575" s="17"/>
      <c r="U3575" s="17"/>
    </row>
    <row r="3576" spans="17:21" x14ac:dyDescent="0.25">
      <c r="Q3576" s="17" t="s">
        <v>4292</v>
      </c>
      <c r="R3576" s="17" t="s">
        <v>2239</v>
      </c>
      <c r="S3576" s="17"/>
      <c r="T3576" s="17"/>
      <c r="U3576" s="17"/>
    </row>
    <row r="3577" spans="17:21" x14ac:dyDescent="0.25">
      <c r="Q3577" s="17" t="s">
        <v>4293</v>
      </c>
      <c r="R3577" s="17" t="s">
        <v>2239</v>
      </c>
      <c r="S3577" s="17"/>
      <c r="T3577" s="17"/>
      <c r="U3577" s="17"/>
    </row>
    <row r="3578" spans="17:21" x14ac:dyDescent="0.25">
      <c r="Q3578" s="17" t="s">
        <v>4294</v>
      </c>
      <c r="R3578" s="17" t="s">
        <v>2239</v>
      </c>
      <c r="S3578" s="17"/>
      <c r="T3578" s="17"/>
      <c r="U3578" s="17"/>
    </row>
    <row r="3579" spans="17:21" x14ac:dyDescent="0.25">
      <c r="Q3579" s="17" t="s">
        <v>4295</v>
      </c>
      <c r="R3579" s="17" t="s">
        <v>2239</v>
      </c>
      <c r="S3579" s="17"/>
      <c r="T3579" s="17"/>
      <c r="U3579" s="17"/>
    </row>
    <row r="3580" spans="17:21" x14ac:dyDescent="0.25">
      <c r="Q3580" s="17" t="s">
        <v>4296</v>
      </c>
      <c r="R3580" s="17" t="s">
        <v>2239</v>
      </c>
      <c r="S3580" s="17"/>
      <c r="T3580" s="17"/>
      <c r="U3580" s="17"/>
    </row>
    <row r="3581" spans="17:21" x14ac:dyDescent="0.25">
      <c r="Q3581" s="17" t="s">
        <v>4297</v>
      </c>
      <c r="R3581" s="17" t="s">
        <v>2239</v>
      </c>
      <c r="S3581" s="17"/>
      <c r="T3581" s="17"/>
      <c r="U3581" s="17"/>
    </row>
    <row r="3582" spans="17:21" x14ac:dyDescent="0.25">
      <c r="Q3582" s="17" t="s">
        <v>4298</v>
      </c>
      <c r="R3582" s="17" t="s">
        <v>2239</v>
      </c>
      <c r="S3582" s="17"/>
      <c r="T3582" s="17"/>
      <c r="U3582" s="17"/>
    </row>
    <row r="3583" spans="17:21" x14ac:dyDescent="0.25">
      <c r="Q3583" s="17" t="s">
        <v>4299</v>
      </c>
      <c r="R3583" s="17" t="s">
        <v>2239</v>
      </c>
      <c r="S3583" s="17"/>
      <c r="T3583" s="17"/>
      <c r="U3583" s="17"/>
    </row>
    <row r="3584" spans="17:21" x14ac:dyDescent="0.25">
      <c r="Q3584" s="17" t="s">
        <v>4300</v>
      </c>
      <c r="R3584" s="17" t="s">
        <v>2239</v>
      </c>
      <c r="S3584" s="17"/>
      <c r="T3584" s="17"/>
      <c r="U3584" s="17"/>
    </row>
    <row r="3585" spans="17:21" x14ac:dyDescent="0.25">
      <c r="Q3585" s="17" t="s">
        <v>4301</v>
      </c>
      <c r="R3585" s="17" t="s">
        <v>2239</v>
      </c>
      <c r="S3585" s="17"/>
      <c r="T3585" s="17"/>
      <c r="U3585" s="17"/>
    </row>
    <row r="3586" spans="17:21" x14ac:dyDescent="0.25">
      <c r="Q3586" s="17" t="s">
        <v>4302</v>
      </c>
      <c r="R3586" s="17" t="s">
        <v>2239</v>
      </c>
      <c r="S3586" s="17"/>
      <c r="T3586" s="17"/>
      <c r="U3586" s="17"/>
    </row>
    <row r="3587" spans="17:21" x14ac:dyDescent="0.25">
      <c r="Q3587" s="17" t="s">
        <v>4303</v>
      </c>
      <c r="R3587" s="17" t="s">
        <v>2239</v>
      </c>
      <c r="S3587" s="17"/>
      <c r="T3587" s="17"/>
      <c r="U3587" s="17"/>
    </row>
    <row r="3588" spans="17:21" x14ac:dyDescent="0.25">
      <c r="Q3588" s="17" t="s">
        <v>4304</v>
      </c>
      <c r="R3588" s="17" t="s">
        <v>2239</v>
      </c>
      <c r="S3588" s="17"/>
      <c r="T3588" s="17"/>
      <c r="U3588" s="17"/>
    </row>
    <row r="3589" spans="17:21" x14ac:dyDescent="0.25">
      <c r="Q3589" s="17" t="s">
        <v>4305</v>
      </c>
      <c r="R3589" s="17" t="s">
        <v>2239</v>
      </c>
      <c r="S3589" s="17"/>
      <c r="T3589" s="17"/>
      <c r="U3589" s="17"/>
    </row>
    <row r="3590" spans="17:21" x14ac:dyDescent="0.25">
      <c r="Q3590" s="17" t="s">
        <v>4306</v>
      </c>
      <c r="R3590" s="17" t="s">
        <v>2239</v>
      </c>
      <c r="S3590" s="17"/>
      <c r="T3590" s="17"/>
      <c r="U3590" s="17"/>
    </row>
    <row r="3591" spans="17:21" x14ac:dyDescent="0.25">
      <c r="Q3591" s="17" t="s">
        <v>4307</v>
      </c>
      <c r="R3591" s="17" t="s">
        <v>2239</v>
      </c>
      <c r="S3591" s="17"/>
      <c r="T3591" s="17"/>
      <c r="U3591" s="17"/>
    </row>
    <row r="3592" spans="17:21" x14ac:dyDescent="0.25">
      <c r="Q3592" s="17" t="s">
        <v>4308</v>
      </c>
      <c r="R3592" s="17" t="s">
        <v>2239</v>
      </c>
      <c r="S3592" s="17"/>
      <c r="T3592" s="17"/>
      <c r="U3592" s="17"/>
    </row>
    <row r="3593" spans="17:21" x14ac:dyDescent="0.25">
      <c r="Q3593" s="17" t="s">
        <v>4309</v>
      </c>
      <c r="R3593" s="17" t="s">
        <v>2239</v>
      </c>
      <c r="S3593" s="17"/>
      <c r="T3593" s="17"/>
      <c r="U3593" s="17"/>
    </row>
    <row r="3594" spans="17:21" x14ac:dyDescent="0.25">
      <c r="Q3594" s="17" t="s">
        <v>4310</v>
      </c>
      <c r="R3594" s="17" t="s">
        <v>2239</v>
      </c>
      <c r="S3594" s="17"/>
      <c r="T3594" s="17"/>
      <c r="U3594" s="17"/>
    </row>
    <row r="3595" spans="17:21" x14ac:dyDescent="0.25">
      <c r="Q3595" s="17" t="s">
        <v>4311</v>
      </c>
      <c r="R3595" s="17" t="s">
        <v>2239</v>
      </c>
      <c r="S3595" s="17"/>
      <c r="T3595" s="17"/>
      <c r="U3595" s="17"/>
    </row>
    <row r="3596" spans="17:21" x14ac:dyDescent="0.25">
      <c r="Q3596" s="17" t="s">
        <v>4312</v>
      </c>
      <c r="R3596" s="17" t="s">
        <v>2239</v>
      </c>
      <c r="S3596" s="17"/>
      <c r="T3596" s="17"/>
      <c r="U3596" s="17"/>
    </row>
    <row r="3597" spans="17:21" x14ac:dyDescent="0.25">
      <c r="Q3597" s="17" t="s">
        <v>4313</v>
      </c>
      <c r="R3597" s="17" t="s">
        <v>2239</v>
      </c>
      <c r="S3597" s="17"/>
      <c r="T3597" s="17"/>
      <c r="U3597" s="17"/>
    </row>
    <row r="3598" spans="17:21" x14ac:dyDescent="0.25">
      <c r="Q3598" s="17" t="s">
        <v>4314</v>
      </c>
      <c r="R3598" s="17" t="s">
        <v>2239</v>
      </c>
      <c r="S3598" s="17"/>
      <c r="T3598" s="17"/>
      <c r="U3598" s="17"/>
    </row>
    <row r="3599" spans="17:21" x14ac:dyDescent="0.25">
      <c r="Q3599" s="17" t="s">
        <v>4315</v>
      </c>
      <c r="R3599" s="17" t="s">
        <v>2239</v>
      </c>
      <c r="S3599" s="17"/>
      <c r="T3599" s="17"/>
      <c r="U3599" s="17"/>
    </row>
    <row r="3600" spans="17:21" x14ac:dyDescent="0.25">
      <c r="Q3600" s="17" t="s">
        <v>4316</v>
      </c>
      <c r="R3600" s="17" t="s">
        <v>2239</v>
      </c>
      <c r="S3600" s="17"/>
      <c r="T3600" s="17"/>
      <c r="U3600" s="17"/>
    </row>
    <row r="3601" spans="17:21" x14ac:dyDescent="0.25">
      <c r="Q3601" s="17" t="s">
        <v>4317</v>
      </c>
      <c r="R3601" s="17" t="s">
        <v>2239</v>
      </c>
      <c r="S3601" s="17"/>
      <c r="T3601" s="17"/>
      <c r="U3601" s="17"/>
    </row>
    <row r="3602" spans="17:21" x14ac:dyDescent="0.25">
      <c r="Q3602" s="17" t="s">
        <v>4318</v>
      </c>
      <c r="R3602" s="17" t="s">
        <v>2239</v>
      </c>
      <c r="S3602" s="17"/>
      <c r="T3602" s="17"/>
      <c r="U3602" s="17"/>
    </row>
    <row r="3603" spans="17:21" x14ac:dyDescent="0.25">
      <c r="Q3603" s="17" t="s">
        <v>4319</v>
      </c>
      <c r="R3603" s="17" t="s">
        <v>2239</v>
      </c>
      <c r="S3603" s="17"/>
      <c r="T3603" s="17"/>
      <c r="U3603" s="17"/>
    </row>
    <row r="3604" spans="17:21" x14ac:dyDescent="0.25">
      <c r="Q3604" s="17" t="s">
        <v>4320</v>
      </c>
      <c r="R3604" s="17" t="s">
        <v>2239</v>
      </c>
      <c r="S3604" s="17"/>
      <c r="T3604" s="17"/>
      <c r="U3604" s="17"/>
    </row>
    <row r="3605" spans="17:21" x14ac:dyDescent="0.25">
      <c r="Q3605" s="17" t="s">
        <v>4321</v>
      </c>
      <c r="R3605" s="17" t="s">
        <v>2239</v>
      </c>
      <c r="S3605" s="17"/>
      <c r="T3605" s="17"/>
      <c r="U3605" s="17"/>
    </row>
    <row r="3606" spans="17:21" x14ac:dyDescent="0.25">
      <c r="Q3606" s="17" t="s">
        <v>4322</v>
      </c>
      <c r="R3606" s="17" t="s">
        <v>2239</v>
      </c>
      <c r="S3606" s="17"/>
      <c r="T3606" s="17"/>
      <c r="U3606" s="17"/>
    </row>
    <row r="3607" spans="17:21" x14ac:dyDescent="0.25">
      <c r="Q3607" s="17" t="s">
        <v>4323</v>
      </c>
      <c r="R3607" s="17" t="s">
        <v>2239</v>
      </c>
      <c r="S3607" s="17"/>
      <c r="T3607" s="17"/>
      <c r="U3607" s="17"/>
    </row>
    <row r="3608" spans="17:21" x14ac:dyDescent="0.25">
      <c r="Q3608" s="17" t="s">
        <v>4324</v>
      </c>
      <c r="R3608" s="17" t="s">
        <v>2239</v>
      </c>
      <c r="S3608" s="17"/>
      <c r="T3608" s="17"/>
      <c r="U3608" s="17"/>
    </row>
    <row r="3609" spans="17:21" x14ac:dyDescent="0.25">
      <c r="Q3609" s="17" t="s">
        <v>4325</v>
      </c>
      <c r="R3609" s="17" t="s">
        <v>2239</v>
      </c>
      <c r="S3609" s="17"/>
      <c r="T3609" s="17"/>
      <c r="U3609" s="17"/>
    </row>
    <row r="3610" spans="17:21" x14ac:dyDescent="0.25">
      <c r="Q3610" s="17" t="s">
        <v>4326</v>
      </c>
      <c r="R3610" s="17" t="s">
        <v>2239</v>
      </c>
      <c r="S3610" s="17"/>
      <c r="T3610" s="17"/>
      <c r="U3610" s="17"/>
    </row>
    <row r="3611" spans="17:21" x14ac:dyDescent="0.25">
      <c r="Q3611" s="17" t="s">
        <v>4327</v>
      </c>
      <c r="R3611" s="17" t="s">
        <v>2239</v>
      </c>
      <c r="S3611" s="17"/>
      <c r="T3611" s="17"/>
      <c r="U3611" s="17"/>
    </row>
    <row r="3612" spans="17:21" x14ac:dyDescent="0.25">
      <c r="Q3612" s="17" t="s">
        <v>4328</v>
      </c>
      <c r="R3612" s="17" t="s">
        <v>2239</v>
      </c>
      <c r="S3612" s="17"/>
      <c r="T3612" s="17"/>
      <c r="U3612" s="17"/>
    </row>
    <row r="3613" spans="17:21" x14ac:dyDescent="0.25">
      <c r="Q3613" s="17" t="s">
        <v>4329</v>
      </c>
      <c r="R3613" s="17" t="s">
        <v>2239</v>
      </c>
      <c r="S3613" s="17"/>
      <c r="T3613" s="17"/>
      <c r="U3613" s="17"/>
    </row>
    <row r="3614" spans="17:21" x14ac:dyDescent="0.25">
      <c r="Q3614" s="17" t="s">
        <v>4330</v>
      </c>
      <c r="R3614" s="17" t="s">
        <v>2239</v>
      </c>
      <c r="S3614" s="17"/>
      <c r="T3614" s="17"/>
      <c r="U3614" s="17"/>
    </row>
    <row r="3615" spans="17:21" x14ac:dyDescent="0.25">
      <c r="Q3615" s="17" t="s">
        <v>4331</v>
      </c>
      <c r="R3615" s="17" t="s">
        <v>2239</v>
      </c>
      <c r="S3615" s="17"/>
      <c r="T3615" s="17"/>
      <c r="U3615" s="17"/>
    </row>
    <row r="3616" spans="17:21" x14ac:dyDescent="0.25">
      <c r="Q3616" s="17" t="s">
        <v>4332</v>
      </c>
      <c r="R3616" s="17" t="s">
        <v>2239</v>
      </c>
      <c r="S3616" s="17"/>
      <c r="T3616" s="17"/>
      <c r="U3616" s="17"/>
    </row>
    <row r="3617" spans="17:21" x14ac:dyDescent="0.25">
      <c r="Q3617" s="17" t="s">
        <v>4333</v>
      </c>
      <c r="R3617" s="17" t="s">
        <v>2239</v>
      </c>
      <c r="S3617" s="17"/>
      <c r="T3617" s="17"/>
      <c r="U3617" s="17"/>
    </row>
    <row r="3618" spans="17:21" x14ac:dyDescent="0.25">
      <c r="Q3618" s="17" t="s">
        <v>4334</v>
      </c>
      <c r="R3618" s="17" t="s">
        <v>2239</v>
      </c>
      <c r="S3618" s="17"/>
      <c r="T3618" s="17"/>
      <c r="U3618" s="17"/>
    </row>
    <row r="3619" spans="17:21" x14ac:dyDescent="0.25">
      <c r="Q3619" s="17" t="s">
        <v>4335</v>
      </c>
      <c r="R3619" s="17" t="s">
        <v>2239</v>
      </c>
      <c r="S3619" s="17"/>
      <c r="T3619" s="17"/>
      <c r="U3619" s="17"/>
    </row>
    <row r="3620" spans="17:21" x14ac:dyDescent="0.25">
      <c r="Q3620" s="17" t="s">
        <v>4336</v>
      </c>
      <c r="R3620" s="17" t="s">
        <v>2239</v>
      </c>
      <c r="S3620" s="17"/>
      <c r="T3620" s="17"/>
      <c r="U3620" s="17"/>
    </row>
    <row r="3621" spans="17:21" x14ac:dyDescent="0.25">
      <c r="Q3621" s="17" t="s">
        <v>4337</v>
      </c>
      <c r="R3621" s="17" t="s">
        <v>2239</v>
      </c>
      <c r="S3621" s="17"/>
      <c r="T3621" s="17"/>
      <c r="U3621" s="17"/>
    </row>
    <row r="3622" spans="17:21" x14ac:dyDescent="0.25">
      <c r="Q3622" s="17" t="s">
        <v>4338</v>
      </c>
      <c r="R3622" s="17" t="s">
        <v>2239</v>
      </c>
      <c r="S3622" s="17"/>
      <c r="T3622" s="17"/>
      <c r="U3622" s="17"/>
    </row>
    <row r="3623" spans="17:21" x14ac:dyDescent="0.25">
      <c r="Q3623" s="17" t="s">
        <v>4339</v>
      </c>
      <c r="R3623" s="17" t="s">
        <v>2239</v>
      </c>
      <c r="S3623" s="17"/>
      <c r="T3623" s="17"/>
      <c r="U3623" s="17"/>
    </row>
    <row r="3624" spans="17:21" x14ac:dyDescent="0.25">
      <c r="Q3624" s="17" t="s">
        <v>4340</v>
      </c>
      <c r="R3624" s="17" t="s">
        <v>2239</v>
      </c>
      <c r="S3624" s="17"/>
      <c r="T3624" s="17"/>
      <c r="U3624" s="17"/>
    </row>
    <row r="3625" spans="17:21" x14ac:dyDescent="0.25">
      <c r="Q3625" s="17" t="s">
        <v>4341</v>
      </c>
      <c r="R3625" s="17" t="s">
        <v>2239</v>
      </c>
      <c r="S3625" s="17"/>
      <c r="T3625" s="17"/>
      <c r="U3625" s="17"/>
    </row>
    <row r="3626" spans="17:21" x14ac:dyDescent="0.25">
      <c r="Q3626" s="17" t="s">
        <v>4342</v>
      </c>
      <c r="R3626" s="17" t="s">
        <v>2239</v>
      </c>
      <c r="S3626" s="17"/>
      <c r="T3626" s="17"/>
      <c r="U3626" s="17"/>
    </row>
    <row r="3627" spans="17:21" x14ac:dyDescent="0.25">
      <c r="Q3627" s="17" t="s">
        <v>4343</v>
      </c>
      <c r="R3627" s="17" t="s">
        <v>2239</v>
      </c>
      <c r="S3627" s="17"/>
      <c r="T3627" s="17"/>
      <c r="U3627" s="17"/>
    </row>
    <row r="3628" spans="17:21" x14ac:dyDescent="0.25">
      <c r="Q3628" s="17" t="s">
        <v>4344</v>
      </c>
      <c r="R3628" s="17" t="s">
        <v>2239</v>
      </c>
      <c r="S3628" s="17"/>
      <c r="T3628" s="17"/>
      <c r="U3628" s="17"/>
    </row>
    <row r="3629" spans="17:21" x14ac:dyDescent="0.25">
      <c r="Q3629" s="17" t="s">
        <v>4345</v>
      </c>
      <c r="R3629" s="17" t="s">
        <v>2239</v>
      </c>
      <c r="S3629" s="17"/>
      <c r="T3629" s="17"/>
      <c r="U3629" s="17"/>
    </row>
    <row r="3630" spans="17:21" x14ac:dyDescent="0.25">
      <c r="Q3630" s="17" t="s">
        <v>4346</v>
      </c>
      <c r="R3630" s="17" t="s">
        <v>2239</v>
      </c>
      <c r="S3630" s="17"/>
      <c r="T3630" s="17"/>
      <c r="U3630" s="17"/>
    </row>
    <row r="3631" spans="17:21" x14ac:dyDescent="0.25">
      <c r="Q3631" s="17" t="s">
        <v>4347</v>
      </c>
      <c r="R3631" s="17" t="s">
        <v>2239</v>
      </c>
      <c r="S3631" s="17"/>
      <c r="T3631" s="17"/>
      <c r="U3631" s="17"/>
    </row>
    <row r="3632" spans="17:21" x14ac:dyDescent="0.25">
      <c r="Q3632" s="17" t="s">
        <v>4348</v>
      </c>
      <c r="R3632" s="17" t="s">
        <v>2239</v>
      </c>
      <c r="S3632" s="17"/>
      <c r="T3632" s="17"/>
      <c r="U3632" s="17"/>
    </row>
    <row r="3633" spans="17:21" x14ac:dyDescent="0.25">
      <c r="Q3633" s="17" t="s">
        <v>4349</v>
      </c>
      <c r="R3633" s="17" t="s">
        <v>2239</v>
      </c>
      <c r="S3633" s="17"/>
      <c r="T3633" s="17"/>
      <c r="U3633" s="17"/>
    </row>
    <row r="3634" spans="17:21" x14ac:dyDescent="0.25">
      <c r="Q3634" s="17" t="s">
        <v>4350</v>
      </c>
      <c r="R3634" s="17" t="s">
        <v>2239</v>
      </c>
      <c r="S3634" s="17"/>
      <c r="T3634" s="17"/>
      <c r="U3634" s="17"/>
    </row>
    <row r="3635" spans="17:21" x14ac:dyDescent="0.25">
      <c r="Q3635" s="17" t="s">
        <v>4351</v>
      </c>
      <c r="R3635" s="17" t="s">
        <v>2239</v>
      </c>
      <c r="S3635" s="17"/>
      <c r="T3635" s="17"/>
      <c r="U3635" s="17"/>
    </row>
    <row r="3636" spans="17:21" x14ac:dyDescent="0.25">
      <c r="Q3636" s="17" t="s">
        <v>4352</v>
      </c>
      <c r="R3636" s="17" t="s">
        <v>2239</v>
      </c>
      <c r="S3636" s="17"/>
      <c r="T3636" s="17"/>
      <c r="U3636" s="17"/>
    </row>
    <row r="3637" spans="17:21" x14ac:dyDescent="0.25">
      <c r="Q3637" s="17" t="s">
        <v>4353</v>
      </c>
      <c r="R3637" s="17" t="s">
        <v>2239</v>
      </c>
      <c r="S3637" s="17"/>
      <c r="T3637" s="17"/>
      <c r="U3637" s="17"/>
    </row>
    <row r="3638" spans="17:21" x14ac:dyDescent="0.25">
      <c r="Q3638" s="17" t="s">
        <v>4354</v>
      </c>
      <c r="R3638" s="17" t="s">
        <v>2239</v>
      </c>
      <c r="S3638" s="17"/>
      <c r="T3638" s="17"/>
      <c r="U3638" s="17"/>
    </row>
    <row r="3639" spans="17:21" x14ac:dyDescent="0.25">
      <c r="Q3639" s="17" t="s">
        <v>4355</v>
      </c>
      <c r="R3639" s="17" t="s">
        <v>2239</v>
      </c>
      <c r="S3639" s="17"/>
      <c r="T3639" s="17"/>
      <c r="U3639" s="17"/>
    </row>
    <row r="3640" spans="17:21" x14ac:dyDescent="0.25">
      <c r="Q3640" s="17" t="s">
        <v>4356</v>
      </c>
      <c r="R3640" s="17" t="s">
        <v>2239</v>
      </c>
      <c r="S3640" s="17"/>
      <c r="T3640" s="17"/>
      <c r="U3640" s="17"/>
    </row>
    <row r="3641" spans="17:21" x14ac:dyDescent="0.25">
      <c r="Q3641" s="17" t="s">
        <v>4357</v>
      </c>
      <c r="R3641" s="17" t="s">
        <v>2239</v>
      </c>
      <c r="S3641" s="17"/>
      <c r="T3641" s="17"/>
      <c r="U3641" s="17"/>
    </row>
    <row r="3642" spans="17:21" x14ac:dyDescent="0.25">
      <c r="Q3642" s="17" t="s">
        <v>4358</v>
      </c>
      <c r="R3642" s="17" t="s">
        <v>2239</v>
      </c>
      <c r="S3642" s="17"/>
      <c r="T3642" s="17"/>
      <c r="U3642" s="17"/>
    </row>
    <row r="3643" spans="17:21" x14ac:dyDescent="0.25">
      <c r="Q3643" s="17" t="s">
        <v>4359</v>
      </c>
      <c r="R3643" s="17" t="s">
        <v>2239</v>
      </c>
      <c r="S3643" s="17"/>
      <c r="T3643" s="17"/>
      <c r="U3643" s="17"/>
    </row>
    <row r="3644" spans="17:21" x14ac:dyDescent="0.25">
      <c r="Q3644" s="17" t="s">
        <v>4360</v>
      </c>
      <c r="R3644" s="17" t="s">
        <v>2239</v>
      </c>
      <c r="S3644" s="17"/>
      <c r="T3644" s="17"/>
      <c r="U3644" s="17"/>
    </row>
    <row r="3645" spans="17:21" x14ac:dyDescent="0.25">
      <c r="Q3645" s="17" t="s">
        <v>4361</v>
      </c>
      <c r="R3645" s="17" t="s">
        <v>2239</v>
      </c>
      <c r="S3645" s="17"/>
      <c r="T3645" s="17"/>
      <c r="U3645" s="17"/>
    </row>
    <row r="3646" spans="17:21" x14ac:dyDescent="0.25">
      <c r="Q3646" s="17" t="s">
        <v>4362</v>
      </c>
      <c r="R3646" s="17" t="s">
        <v>2239</v>
      </c>
      <c r="S3646" s="17"/>
      <c r="T3646" s="17"/>
      <c r="U3646" s="17"/>
    </row>
    <row r="3647" spans="17:21" x14ac:dyDescent="0.25">
      <c r="Q3647" s="17" t="s">
        <v>4363</v>
      </c>
      <c r="R3647" s="17" t="s">
        <v>2239</v>
      </c>
      <c r="S3647" s="17"/>
      <c r="T3647" s="17"/>
      <c r="U3647" s="17"/>
    </row>
    <row r="3648" spans="17:21" x14ac:dyDescent="0.25">
      <c r="Q3648" s="17" t="s">
        <v>4364</v>
      </c>
      <c r="R3648" s="17" t="s">
        <v>2239</v>
      </c>
      <c r="S3648" s="17"/>
      <c r="T3648" s="17"/>
      <c r="U3648" s="17"/>
    </row>
    <row r="3649" spans="17:21" x14ac:dyDescent="0.25">
      <c r="Q3649" s="17" t="s">
        <v>4365</v>
      </c>
      <c r="R3649" s="17" t="s">
        <v>2239</v>
      </c>
      <c r="S3649" s="17"/>
      <c r="T3649" s="17"/>
      <c r="U3649" s="17"/>
    </row>
    <row r="3650" spans="17:21" x14ac:dyDescent="0.25">
      <c r="Q3650" s="17" t="s">
        <v>4366</v>
      </c>
      <c r="R3650" s="17" t="s">
        <v>2239</v>
      </c>
      <c r="S3650" s="17"/>
      <c r="T3650" s="17"/>
      <c r="U3650" s="17"/>
    </row>
    <row r="3651" spans="17:21" x14ac:dyDescent="0.25">
      <c r="Q3651" s="17" t="s">
        <v>4367</v>
      </c>
      <c r="R3651" s="17" t="s">
        <v>2239</v>
      </c>
      <c r="S3651" s="17"/>
      <c r="T3651" s="17"/>
      <c r="U3651" s="17"/>
    </row>
    <row r="3652" spans="17:21" x14ac:dyDescent="0.25">
      <c r="Q3652" s="17" t="s">
        <v>4368</v>
      </c>
      <c r="R3652" s="17" t="s">
        <v>2239</v>
      </c>
      <c r="S3652" s="17"/>
      <c r="T3652" s="17"/>
      <c r="U3652" s="17"/>
    </row>
    <row r="3653" spans="17:21" x14ac:dyDescent="0.25">
      <c r="Q3653" s="17" t="s">
        <v>4369</v>
      </c>
      <c r="R3653" s="17" t="s">
        <v>2239</v>
      </c>
      <c r="S3653" s="17"/>
      <c r="T3653" s="17"/>
      <c r="U3653" s="17"/>
    </row>
    <row r="3654" spans="17:21" x14ac:dyDescent="0.25">
      <c r="Q3654" s="17" t="s">
        <v>4370</v>
      </c>
      <c r="R3654" s="17" t="s">
        <v>2239</v>
      </c>
      <c r="S3654" s="17"/>
      <c r="T3654" s="17"/>
      <c r="U3654" s="17"/>
    </row>
    <row r="3655" spans="17:21" x14ac:dyDescent="0.25">
      <c r="Q3655" s="17" t="s">
        <v>4371</v>
      </c>
      <c r="R3655" s="17" t="s">
        <v>2239</v>
      </c>
      <c r="S3655" s="17"/>
      <c r="T3655" s="17"/>
      <c r="U3655" s="17"/>
    </row>
    <row r="3656" spans="17:21" x14ac:dyDescent="0.25">
      <c r="Q3656" s="17" t="s">
        <v>4372</v>
      </c>
      <c r="R3656" s="17" t="s">
        <v>2239</v>
      </c>
      <c r="S3656" s="17"/>
      <c r="T3656" s="17"/>
      <c r="U3656" s="17"/>
    </row>
    <row r="3657" spans="17:21" x14ac:dyDescent="0.25">
      <c r="Q3657" s="17" t="s">
        <v>4373</v>
      </c>
      <c r="R3657" s="17" t="s">
        <v>2239</v>
      </c>
      <c r="S3657" s="17"/>
      <c r="T3657" s="17"/>
      <c r="U3657" s="17"/>
    </row>
    <row r="3658" spans="17:21" x14ac:dyDescent="0.25">
      <c r="Q3658" s="17" t="s">
        <v>4374</v>
      </c>
      <c r="R3658" s="17" t="s">
        <v>2239</v>
      </c>
      <c r="S3658" s="17"/>
      <c r="T3658" s="17"/>
      <c r="U3658" s="17"/>
    </row>
    <row r="3659" spans="17:21" x14ac:dyDescent="0.25">
      <c r="Q3659" s="17" t="s">
        <v>4375</v>
      </c>
      <c r="R3659" s="17" t="s">
        <v>2239</v>
      </c>
      <c r="S3659" s="17"/>
      <c r="T3659" s="17"/>
      <c r="U3659" s="17"/>
    </row>
    <row r="3660" spans="17:21" x14ac:dyDescent="0.25">
      <c r="Q3660" s="17" t="s">
        <v>4376</v>
      </c>
      <c r="R3660" s="17" t="s">
        <v>2239</v>
      </c>
      <c r="S3660" s="17"/>
      <c r="T3660" s="17"/>
      <c r="U3660" s="17"/>
    </row>
    <row r="3661" spans="17:21" x14ac:dyDescent="0.25">
      <c r="Q3661" s="17" t="s">
        <v>4377</v>
      </c>
      <c r="R3661" s="17" t="s">
        <v>2239</v>
      </c>
      <c r="S3661" s="17"/>
      <c r="T3661" s="17"/>
      <c r="U3661" s="17"/>
    </row>
    <row r="3662" spans="17:21" x14ac:dyDescent="0.25">
      <c r="Q3662" s="17" t="s">
        <v>4378</v>
      </c>
      <c r="R3662" s="17" t="s">
        <v>2239</v>
      </c>
      <c r="S3662" s="17"/>
      <c r="T3662" s="17"/>
      <c r="U3662" s="17"/>
    </row>
    <row r="3663" spans="17:21" x14ac:dyDescent="0.25">
      <c r="Q3663" s="17" t="s">
        <v>4379</v>
      </c>
      <c r="R3663" s="17" t="s">
        <v>2239</v>
      </c>
      <c r="S3663" s="17"/>
      <c r="T3663" s="17"/>
      <c r="U3663" s="17"/>
    </row>
    <row r="3664" spans="17:21" x14ac:dyDescent="0.25">
      <c r="Q3664" s="17" t="s">
        <v>4380</v>
      </c>
      <c r="R3664" s="17" t="s">
        <v>2239</v>
      </c>
      <c r="S3664" s="17"/>
      <c r="T3664" s="17"/>
      <c r="U3664" s="17"/>
    </row>
    <row r="3665" spans="17:21" x14ac:dyDescent="0.25">
      <c r="Q3665" s="17" t="s">
        <v>4381</v>
      </c>
      <c r="R3665" s="17" t="s">
        <v>2239</v>
      </c>
      <c r="S3665" s="17"/>
      <c r="T3665" s="17"/>
      <c r="U3665" s="17"/>
    </row>
    <row r="3666" spans="17:21" x14ac:dyDescent="0.25">
      <c r="Q3666" s="17" t="s">
        <v>4382</v>
      </c>
      <c r="R3666" s="17" t="s">
        <v>2239</v>
      </c>
      <c r="S3666" s="17"/>
      <c r="T3666" s="17"/>
      <c r="U3666" s="17"/>
    </row>
    <row r="3667" spans="17:21" x14ac:dyDescent="0.25">
      <c r="Q3667" s="17" t="s">
        <v>4383</v>
      </c>
      <c r="R3667" s="17" t="s">
        <v>2239</v>
      </c>
      <c r="S3667" s="17"/>
      <c r="T3667" s="17"/>
      <c r="U3667" s="17"/>
    </row>
    <row r="3668" spans="17:21" x14ac:dyDescent="0.25">
      <c r="Q3668" s="17" t="s">
        <v>4384</v>
      </c>
      <c r="R3668" s="17" t="s">
        <v>2239</v>
      </c>
      <c r="S3668" s="17"/>
      <c r="T3668" s="17"/>
      <c r="U3668" s="17"/>
    </row>
    <row r="3669" spans="17:21" x14ac:dyDescent="0.25">
      <c r="Q3669" s="17" t="s">
        <v>4385</v>
      </c>
      <c r="R3669" s="17" t="s">
        <v>2239</v>
      </c>
      <c r="S3669" s="17"/>
      <c r="T3669" s="17"/>
      <c r="U3669" s="17"/>
    </row>
    <row r="3670" spans="17:21" x14ac:dyDescent="0.25">
      <c r="Q3670" s="17" t="s">
        <v>4386</v>
      </c>
      <c r="R3670" s="17" t="s">
        <v>2239</v>
      </c>
      <c r="S3670" s="17"/>
      <c r="T3670" s="17"/>
      <c r="U3670" s="17"/>
    </row>
    <row r="3671" spans="17:21" x14ac:dyDescent="0.25">
      <c r="Q3671" s="17" t="s">
        <v>4387</v>
      </c>
      <c r="R3671" s="17" t="s">
        <v>2239</v>
      </c>
      <c r="S3671" s="17"/>
      <c r="T3671" s="17"/>
      <c r="U3671" s="17"/>
    </row>
    <row r="3672" spans="17:21" x14ac:dyDescent="0.25">
      <c r="Q3672" s="17" t="s">
        <v>4388</v>
      </c>
      <c r="R3672" s="17" t="s">
        <v>2239</v>
      </c>
      <c r="S3672" s="17"/>
      <c r="T3672" s="17"/>
      <c r="U3672" s="17"/>
    </row>
    <row r="3673" spans="17:21" x14ac:dyDescent="0.25">
      <c r="Q3673" s="17" t="s">
        <v>4389</v>
      </c>
      <c r="R3673" s="17" t="s">
        <v>2239</v>
      </c>
      <c r="S3673" s="17"/>
      <c r="T3673" s="17"/>
      <c r="U3673" s="17"/>
    </row>
    <row r="3674" spans="17:21" x14ac:dyDescent="0.25">
      <c r="Q3674" s="17" t="s">
        <v>4390</v>
      </c>
      <c r="R3674" s="17" t="s">
        <v>2239</v>
      </c>
      <c r="S3674" s="17"/>
      <c r="T3674" s="17"/>
      <c r="U3674" s="17"/>
    </row>
    <row r="3675" spans="17:21" x14ac:dyDescent="0.25">
      <c r="Q3675" s="17" t="s">
        <v>4391</v>
      </c>
      <c r="R3675" s="17" t="s">
        <v>2239</v>
      </c>
      <c r="S3675" s="17"/>
      <c r="T3675" s="17"/>
      <c r="U3675" s="17"/>
    </row>
    <row r="3676" spans="17:21" x14ac:dyDescent="0.25">
      <c r="Q3676" s="17" t="s">
        <v>4392</v>
      </c>
      <c r="R3676" s="17" t="s">
        <v>2239</v>
      </c>
      <c r="S3676" s="17"/>
      <c r="T3676" s="17"/>
      <c r="U3676" s="17"/>
    </row>
    <row r="3677" spans="17:21" x14ac:dyDescent="0.25">
      <c r="Q3677" s="17" t="s">
        <v>4393</v>
      </c>
      <c r="R3677" s="17" t="s">
        <v>2239</v>
      </c>
      <c r="S3677" s="17"/>
      <c r="T3677" s="17"/>
      <c r="U3677" s="17"/>
    </row>
    <row r="3678" spans="17:21" x14ac:dyDescent="0.25">
      <c r="Q3678" s="17" t="s">
        <v>4394</v>
      </c>
      <c r="R3678" s="17" t="s">
        <v>2239</v>
      </c>
      <c r="S3678" s="17"/>
      <c r="T3678" s="17"/>
      <c r="U3678" s="17"/>
    </row>
    <row r="3679" spans="17:21" x14ac:dyDescent="0.25">
      <c r="Q3679" s="17" t="s">
        <v>4395</v>
      </c>
      <c r="R3679" s="17" t="s">
        <v>2239</v>
      </c>
      <c r="S3679" s="17"/>
      <c r="T3679" s="17"/>
      <c r="U3679" s="17"/>
    </row>
    <row r="3680" spans="17:21" x14ac:dyDescent="0.25">
      <c r="Q3680" s="17" t="s">
        <v>4396</v>
      </c>
      <c r="R3680" s="17" t="s">
        <v>2239</v>
      </c>
      <c r="S3680" s="17"/>
      <c r="T3680" s="17"/>
      <c r="U3680" s="17"/>
    </row>
    <row r="3681" spans="17:21" x14ac:dyDescent="0.25">
      <c r="Q3681" s="17" t="s">
        <v>4397</v>
      </c>
      <c r="R3681" s="17" t="s">
        <v>2239</v>
      </c>
      <c r="S3681" s="17"/>
      <c r="T3681" s="17"/>
      <c r="U3681" s="17"/>
    </row>
    <row r="3682" spans="17:21" x14ac:dyDescent="0.25">
      <c r="Q3682" s="17" t="s">
        <v>4398</v>
      </c>
      <c r="R3682" s="17" t="s">
        <v>2239</v>
      </c>
      <c r="S3682" s="17"/>
      <c r="T3682" s="17"/>
      <c r="U3682" s="17"/>
    </row>
    <row r="3683" spans="17:21" x14ac:dyDescent="0.25">
      <c r="Q3683" s="17" t="s">
        <v>4399</v>
      </c>
      <c r="R3683" s="17" t="s">
        <v>2239</v>
      </c>
      <c r="S3683" s="17"/>
      <c r="T3683" s="17"/>
      <c r="U3683" s="17"/>
    </row>
    <row r="3684" spans="17:21" x14ac:dyDescent="0.25">
      <c r="Q3684" s="17" t="s">
        <v>4400</v>
      </c>
      <c r="R3684" s="17" t="s">
        <v>2239</v>
      </c>
      <c r="S3684" s="17"/>
      <c r="T3684" s="17"/>
      <c r="U3684" s="17"/>
    </row>
    <row r="3685" spans="17:21" x14ac:dyDescent="0.25">
      <c r="Q3685" s="17" t="s">
        <v>4401</v>
      </c>
      <c r="R3685" s="17" t="s">
        <v>2239</v>
      </c>
      <c r="S3685" s="17"/>
      <c r="T3685" s="17"/>
      <c r="U3685" s="17"/>
    </row>
    <row r="3686" spans="17:21" x14ac:dyDescent="0.25">
      <c r="Q3686" s="17" t="s">
        <v>4402</v>
      </c>
      <c r="R3686" s="17" t="s">
        <v>2239</v>
      </c>
      <c r="S3686" s="17"/>
      <c r="T3686" s="17"/>
      <c r="U3686" s="17"/>
    </row>
    <row r="3687" spans="17:21" x14ac:dyDescent="0.25">
      <c r="Q3687" s="17" t="s">
        <v>4403</v>
      </c>
      <c r="R3687" s="17" t="s">
        <v>2239</v>
      </c>
      <c r="S3687" s="17"/>
      <c r="T3687" s="17"/>
      <c r="U3687" s="17"/>
    </row>
    <row r="3688" spans="17:21" x14ac:dyDescent="0.25">
      <c r="Q3688" s="17" t="s">
        <v>4404</v>
      </c>
      <c r="R3688" s="17" t="s">
        <v>2239</v>
      </c>
      <c r="S3688" s="17"/>
      <c r="T3688" s="17"/>
      <c r="U3688" s="17"/>
    </row>
    <row r="3689" spans="17:21" x14ac:dyDescent="0.25">
      <c r="Q3689" s="17" t="s">
        <v>4405</v>
      </c>
      <c r="R3689" s="17" t="s">
        <v>2239</v>
      </c>
      <c r="S3689" s="17"/>
      <c r="T3689" s="17"/>
      <c r="U3689" s="17"/>
    </row>
    <row r="3690" spans="17:21" x14ac:dyDescent="0.25">
      <c r="Q3690" s="17" t="s">
        <v>4406</v>
      </c>
      <c r="R3690" s="17" t="s">
        <v>2239</v>
      </c>
      <c r="S3690" s="17"/>
      <c r="T3690" s="17"/>
      <c r="U3690" s="17"/>
    </row>
    <row r="3691" spans="17:21" x14ac:dyDescent="0.25">
      <c r="Q3691" s="17" t="s">
        <v>4407</v>
      </c>
      <c r="R3691" s="17" t="s">
        <v>2239</v>
      </c>
      <c r="S3691" s="17"/>
      <c r="T3691" s="17"/>
      <c r="U3691" s="17"/>
    </row>
    <row r="3692" spans="17:21" x14ac:dyDescent="0.25">
      <c r="Q3692" s="17" t="s">
        <v>4408</v>
      </c>
      <c r="R3692" s="17" t="s">
        <v>2239</v>
      </c>
      <c r="S3692" s="17"/>
      <c r="T3692" s="17"/>
      <c r="U3692" s="17"/>
    </row>
    <row r="3693" spans="17:21" x14ac:dyDescent="0.25">
      <c r="Q3693" s="17" t="s">
        <v>4409</v>
      </c>
      <c r="R3693" s="17" t="s">
        <v>2239</v>
      </c>
      <c r="S3693" s="17"/>
      <c r="T3693" s="17"/>
      <c r="U3693" s="17"/>
    </row>
    <row r="3694" spans="17:21" x14ac:dyDescent="0.25">
      <c r="Q3694" s="17" t="s">
        <v>4410</v>
      </c>
      <c r="R3694" s="17" t="s">
        <v>2239</v>
      </c>
      <c r="S3694" s="17"/>
      <c r="T3694" s="17"/>
      <c r="U3694" s="17"/>
    </row>
    <row r="3695" spans="17:21" x14ac:dyDescent="0.25">
      <c r="Q3695" s="17" t="s">
        <v>4411</v>
      </c>
      <c r="R3695" s="17" t="s">
        <v>86</v>
      </c>
      <c r="S3695" s="17"/>
      <c r="T3695" s="17"/>
      <c r="U3695" s="17"/>
    </row>
    <row r="3696" spans="17:21" x14ac:dyDescent="0.25">
      <c r="Q3696" s="17" t="s">
        <v>4412</v>
      </c>
      <c r="R3696" s="17" t="s">
        <v>86</v>
      </c>
      <c r="S3696" s="17"/>
      <c r="T3696" s="17"/>
      <c r="U3696" s="17"/>
    </row>
    <row r="3697" spans="17:21" x14ac:dyDescent="0.25">
      <c r="Q3697" s="17" t="s">
        <v>4413</v>
      </c>
      <c r="R3697" s="17" t="s">
        <v>255</v>
      </c>
      <c r="S3697" s="17"/>
      <c r="T3697" s="17"/>
      <c r="U3697" s="17"/>
    </row>
    <row r="3698" spans="17:21" x14ac:dyDescent="0.25">
      <c r="Q3698" s="17" t="s">
        <v>4414</v>
      </c>
      <c r="R3698" s="17" t="s">
        <v>251</v>
      </c>
      <c r="S3698" s="17"/>
      <c r="T3698" s="17"/>
      <c r="U3698" s="17"/>
    </row>
    <row r="3699" spans="17:21" x14ac:dyDescent="0.25">
      <c r="Q3699" s="17" t="s">
        <v>4415</v>
      </c>
      <c r="R3699" s="17" t="s">
        <v>2239</v>
      </c>
      <c r="S3699" s="17"/>
      <c r="T3699" s="17"/>
      <c r="U3699" s="17"/>
    </row>
    <row r="3700" spans="17:21" x14ac:dyDescent="0.25">
      <c r="Q3700" s="17" t="s">
        <v>4416</v>
      </c>
      <c r="R3700" s="17" t="s">
        <v>2239</v>
      </c>
      <c r="S3700" s="17"/>
      <c r="T3700" s="17"/>
      <c r="U3700" s="17"/>
    </row>
    <row r="3701" spans="17:21" x14ac:dyDescent="0.25">
      <c r="Q3701" s="17" t="s">
        <v>4417</v>
      </c>
      <c r="R3701" s="17" t="s">
        <v>2239</v>
      </c>
      <c r="S3701" s="17"/>
      <c r="T3701" s="17"/>
      <c r="U3701" s="17"/>
    </row>
    <row r="3702" spans="17:21" x14ac:dyDescent="0.25">
      <c r="Q3702" s="17" t="s">
        <v>4418</v>
      </c>
      <c r="R3702" s="17" t="s">
        <v>2239</v>
      </c>
      <c r="S3702" s="17"/>
      <c r="T3702" s="17"/>
      <c r="U3702" s="17"/>
    </row>
    <row r="3703" spans="17:21" x14ac:dyDescent="0.25">
      <c r="Q3703" s="17" t="s">
        <v>4419</v>
      </c>
      <c r="R3703" s="17" t="s">
        <v>2239</v>
      </c>
      <c r="S3703" s="17"/>
      <c r="T3703" s="17"/>
      <c r="U3703" s="17"/>
    </row>
    <row r="3704" spans="17:21" x14ac:dyDescent="0.25">
      <c r="Q3704" s="17" t="s">
        <v>4420</v>
      </c>
      <c r="R3704" s="17" t="s">
        <v>2239</v>
      </c>
      <c r="S3704" s="17"/>
      <c r="T3704" s="17"/>
      <c r="U3704" s="17"/>
    </row>
    <row r="3705" spans="17:21" x14ac:dyDescent="0.25">
      <c r="Q3705" s="17" t="s">
        <v>4421</v>
      </c>
      <c r="R3705" s="17" t="s">
        <v>2239</v>
      </c>
      <c r="S3705" s="17"/>
      <c r="T3705" s="17"/>
      <c r="U3705" s="17"/>
    </row>
    <row r="3706" spans="17:21" x14ac:dyDescent="0.25">
      <c r="Q3706" s="17" t="s">
        <v>4422</v>
      </c>
      <c r="R3706" s="17" t="s">
        <v>2239</v>
      </c>
      <c r="S3706" s="17"/>
      <c r="T3706" s="17"/>
      <c r="U3706" s="17"/>
    </row>
    <row r="3707" spans="17:21" x14ac:dyDescent="0.25">
      <c r="Q3707" s="17" t="s">
        <v>4423</v>
      </c>
      <c r="R3707" s="17" t="s">
        <v>2239</v>
      </c>
      <c r="S3707" s="17"/>
      <c r="T3707" s="17"/>
      <c r="U3707" s="17"/>
    </row>
    <row r="3708" spans="17:21" x14ac:dyDescent="0.25">
      <c r="Q3708" s="17" t="s">
        <v>4424</v>
      </c>
      <c r="R3708" s="17" t="s">
        <v>2239</v>
      </c>
      <c r="S3708" s="17"/>
      <c r="T3708" s="17"/>
      <c r="U3708" s="17"/>
    </row>
    <row r="3709" spans="17:21" x14ac:dyDescent="0.25">
      <c r="Q3709" s="17" t="s">
        <v>4425</v>
      </c>
      <c r="R3709" s="17" t="s">
        <v>2239</v>
      </c>
      <c r="S3709" s="17"/>
      <c r="T3709" s="17"/>
      <c r="U3709" s="17"/>
    </row>
    <row r="3710" spans="17:21" x14ac:dyDescent="0.25">
      <c r="Q3710" s="17" t="s">
        <v>4426</v>
      </c>
      <c r="R3710" s="17" t="s">
        <v>2239</v>
      </c>
      <c r="S3710" s="17"/>
      <c r="T3710" s="17"/>
      <c r="U3710" s="17"/>
    </row>
    <row r="3711" spans="17:21" x14ac:dyDescent="0.25">
      <c r="Q3711" s="17" t="s">
        <v>4427</v>
      </c>
      <c r="R3711" s="17" t="s">
        <v>2239</v>
      </c>
      <c r="S3711" s="17"/>
      <c r="T3711" s="17"/>
      <c r="U3711" s="17"/>
    </row>
    <row r="3712" spans="17:21" x14ac:dyDescent="0.25">
      <c r="Q3712" s="17" t="s">
        <v>4428</v>
      </c>
      <c r="R3712" s="17" t="s">
        <v>2239</v>
      </c>
      <c r="S3712" s="17"/>
      <c r="T3712" s="17"/>
      <c r="U3712" s="17"/>
    </row>
    <row r="3713" spans="17:21" x14ac:dyDescent="0.25">
      <c r="Q3713" s="17" t="s">
        <v>4429</v>
      </c>
      <c r="R3713" s="17" t="s">
        <v>2239</v>
      </c>
      <c r="S3713" s="17"/>
      <c r="T3713" s="17"/>
      <c r="U3713" s="17"/>
    </row>
    <row r="3714" spans="17:21" x14ac:dyDescent="0.25">
      <c r="Q3714" s="17" t="s">
        <v>4430</v>
      </c>
      <c r="R3714" s="17" t="s">
        <v>2239</v>
      </c>
      <c r="S3714" s="17"/>
      <c r="T3714" s="17"/>
      <c r="U3714" s="17"/>
    </row>
    <row r="3715" spans="17:21" x14ac:dyDescent="0.25">
      <c r="Q3715" s="17" t="s">
        <v>4431</v>
      </c>
      <c r="R3715" s="17" t="s">
        <v>2239</v>
      </c>
      <c r="S3715" s="17"/>
      <c r="T3715" s="17"/>
      <c r="U3715" s="17"/>
    </row>
    <row r="3716" spans="17:21" x14ac:dyDescent="0.25">
      <c r="Q3716" s="17" t="s">
        <v>4432</v>
      </c>
      <c r="R3716" s="17" t="s">
        <v>2239</v>
      </c>
      <c r="S3716" s="17"/>
      <c r="T3716" s="17"/>
      <c r="U3716" s="17"/>
    </row>
    <row r="3717" spans="17:21" x14ac:dyDescent="0.25">
      <c r="Q3717" s="17" t="s">
        <v>4433</v>
      </c>
      <c r="R3717" s="17" t="s">
        <v>2239</v>
      </c>
      <c r="S3717" s="17"/>
      <c r="T3717" s="17"/>
      <c r="U3717" s="17"/>
    </row>
    <row r="3718" spans="17:21" x14ac:dyDescent="0.25">
      <c r="Q3718" s="17" t="s">
        <v>4434</v>
      </c>
      <c r="R3718" s="17" t="s">
        <v>2239</v>
      </c>
      <c r="S3718" s="17"/>
      <c r="T3718" s="17"/>
      <c r="U3718" s="17"/>
    </row>
    <row r="3719" spans="17:21" x14ac:dyDescent="0.25">
      <c r="Q3719" s="17" t="s">
        <v>4435</v>
      </c>
      <c r="R3719" s="17" t="s">
        <v>2239</v>
      </c>
      <c r="S3719" s="17"/>
      <c r="T3719" s="17"/>
      <c r="U3719" s="17"/>
    </row>
    <row r="3720" spans="17:21" x14ac:dyDescent="0.25">
      <c r="Q3720" s="17" t="s">
        <v>4436</v>
      </c>
      <c r="R3720" s="17" t="s">
        <v>2239</v>
      </c>
      <c r="S3720" s="17"/>
      <c r="T3720" s="17"/>
      <c r="U3720" s="17"/>
    </row>
    <row r="3721" spans="17:21" x14ac:dyDescent="0.25">
      <c r="Q3721" s="17" t="s">
        <v>4437</v>
      </c>
      <c r="R3721" s="17" t="s">
        <v>2239</v>
      </c>
      <c r="S3721" s="17"/>
      <c r="T3721" s="17"/>
      <c r="U3721" s="17"/>
    </row>
    <row r="3722" spans="17:21" x14ac:dyDescent="0.25">
      <c r="Q3722" s="17" t="s">
        <v>4438</v>
      </c>
      <c r="R3722" s="17" t="s">
        <v>2239</v>
      </c>
      <c r="S3722" s="17"/>
      <c r="T3722" s="17"/>
      <c r="U3722" s="17"/>
    </row>
    <row r="3723" spans="17:21" x14ac:dyDescent="0.25">
      <c r="Q3723" s="17" t="s">
        <v>4439</v>
      </c>
      <c r="R3723" s="17" t="s">
        <v>2239</v>
      </c>
      <c r="S3723" s="17"/>
      <c r="T3723" s="17"/>
      <c r="U3723" s="17"/>
    </row>
    <row r="3724" spans="17:21" x14ac:dyDescent="0.25">
      <c r="Q3724" s="17" t="s">
        <v>4440</v>
      </c>
      <c r="R3724" s="17" t="s">
        <v>2239</v>
      </c>
      <c r="S3724" s="17"/>
      <c r="T3724" s="17"/>
      <c r="U3724" s="17"/>
    </row>
    <row r="3725" spans="17:21" x14ac:dyDescent="0.25">
      <c r="Q3725" s="17" t="s">
        <v>4441</v>
      </c>
      <c r="R3725" s="17" t="s">
        <v>2239</v>
      </c>
      <c r="S3725" s="17"/>
      <c r="T3725" s="17"/>
      <c r="U3725" s="17"/>
    </row>
    <row r="3726" spans="17:21" x14ac:dyDescent="0.25">
      <c r="Q3726" s="17" t="s">
        <v>4442</v>
      </c>
      <c r="R3726" s="17" t="s">
        <v>2239</v>
      </c>
      <c r="S3726" s="17"/>
      <c r="T3726" s="17"/>
      <c r="U3726" s="17"/>
    </row>
    <row r="3727" spans="17:21" x14ac:dyDescent="0.25">
      <c r="Q3727" s="17" t="s">
        <v>4443</v>
      </c>
      <c r="R3727" s="17" t="s">
        <v>2239</v>
      </c>
      <c r="S3727" s="17"/>
      <c r="T3727" s="17"/>
      <c r="U3727" s="17"/>
    </row>
    <row r="3728" spans="17:21" x14ac:dyDescent="0.25">
      <c r="Q3728" s="17" t="s">
        <v>4444</v>
      </c>
      <c r="R3728" s="17" t="s">
        <v>2239</v>
      </c>
      <c r="S3728" s="17"/>
      <c r="T3728" s="17"/>
      <c r="U3728" s="17"/>
    </row>
    <row r="3729" spans="17:21" x14ac:dyDescent="0.25">
      <c r="Q3729" s="17" t="s">
        <v>4445</v>
      </c>
      <c r="R3729" s="17" t="s">
        <v>2239</v>
      </c>
      <c r="S3729" s="17"/>
      <c r="T3729" s="17"/>
      <c r="U3729" s="17"/>
    </row>
    <row r="3730" spans="17:21" x14ac:dyDescent="0.25">
      <c r="Q3730" s="17" t="s">
        <v>4446</v>
      </c>
      <c r="R3730" s="17" t="s">
        <v>2239</v>
      </c>
      <c r="S3730" s="17"/>
      <c r="T3730" s="17"/>
      <c r="U3730" s="17"/>
    </row>
    <row r="3731" spans="17:21" x14ac:dyDescent="0.25">
      <c r="Q3731" s="17" t="s">
        <v>4447</v>
      </c>
      <c r="R3731" s="17" t="s">
        <v>2239</v>
      </c>
      <c r="S3731" s="17"/>
      <c r="T3731" s="17"/>
      <c r="U3731" s="17"/>
    </row>
    <row r="3732" spans="17:21" x14ac:dyDescent="0.25">
      <c r="Q3732" s="17" t="s">
        <v>4448</v>
      </c>
      <c r="R3732" s="17" t="s">
        <v>2239</v>
      </c>
      <c r="S3732" s="17"/>
      <c r="T3732" s="17"/>
      <c r="U3732" s="17"/>
    </row>
    <row r="3733" spans="17:21" x14ac:dyDescent="0.25">
      <c r="Q3733" s="17" t="s">
        <v>4449</v>
      </c>
      <c r="R3733" s="17" t="s">
        <v>2239</v>
      </c>
      <c r="S3733" s="17"/>
      <c r="T3733" s="17"/>
      <c r="U3733" s="17"/>
    </row>
    <row r="3734" spans="17:21" x14ac:dyDescent="0.25">
      <c r="Q3734" s="17" t="s">
        <v>4450</v>
      </c>
      <c r="R3734" s="17" t="s">
        <v>2239</v>
      </c>
      <c r="S3734" s="17"/>
      <c r="T3734" s="17"/>
      <c r="U3734" s="17"/>
    </row>
    <row r="3735" spans="17:21" x14ac:dyDescent="0.25">
      <c r="Q3735" s="17" t="s">
        <v>4451</v>
      </c>
      <c r="R3735" s="17" t="s">
        <v>2239</v>
      </c>
      <c r="S3735" s="17"/>
      <c r="T3735" s="17"/>
      <c r="U3735" s="17"/>
    </row>
    <row r="3736" spans="17:21" x14ac:dyDescent="0.25">
      <c r="Q3736" s="17" t="s">
        <v>4452</v>
      </c>
      <c r="R3736" s="17" t="s">
        <v>2239</v>
      </c>
      <c r="S3736" s="17"/>
      <c r="T3736" s="17"/>
      <c r="U3736" s="17"/>
    </row>
    <row r="3737" spans="17:21" x14ac:dyDescent="0.25">
      <c r="Q3737" s="17" t="s">
        <v>4453</v>
      </c>
      <c r="R3737" s="17" t="s">
        <v>86</v>
      </c>
      <c r="S3737" s="17"/>
      <c r="T3737" s="17"/>
      <c r="U3737" s="17"/>
    </row>
    <row r="3738" spans="17:21" x14ac:dyDescent="0.25">
      <c r="Q3738" s="17" t="s">
        <v>4454</v>
      </c>
      <c r="R3738" s="17" t="s">
        <v>2239</v>
      </c>
      <c r="S3738" s="17"/>
      <c r="T3738" s="17"/>
      <c r="U3738" s="17"/>
    </row>
    <row r="3739" spans="17:21" x14ac:dyDescent="0.25">
      <c r="Q3739" s="17" t="s">
        <v>4455</v>
      </c>
      <c r="R3739" s="17" t="s">
        <v>2239</v>
      </c>
      <c r="S3739" s="17"/>
      <c r="T3739" s="17"/>
      <c r="U3739" s="17"/>
    </row>
    <row r="3740" spans="17:21" x14ac:dyDescent="0.25">
      <c r="Q3740" s="17" t="s">
        <v>4456</v>
      </c>
      <c r="R3740" s="17" t="s">
        <v>2239</v>
      </c>
      <c r="S3740" s="17"/>
      <c r="T3740" s="17"/>
      <c r="U3740" s="17"/>
    </row>
    <row r="3741" spans="17:21" x14ac:dyDescent="0.25">
      <c r="Q3741" s="17" t="s">
        <v>4457</v>
      </c>
      <c r="R3741" s="17" t="s">
        <v>2239</v>
      </c>
      <c r="S3741" s="17"/>
      <c r="T3741" s="17"/>
      <c r="U3741" s="17"/>
    </row>
    <row r="3742" spans="17:21" x14ac:dyDescent="0.25">
      <c r="Q3742" s="17" t="s">
        <v>4458</v>
      </c>
      <c r="R3742" s="17" t="s">
        <v>2239</v>
      </c>
      <c r="S3742" s="17"/>
      <c r="T3742" s="17"/>
      <c r="U3742" s="17"/>
    </row>
    <row r="3743" spans="17:21" x14ac:dyDescent="0.25">
      <c r="Q3743" s="17" t="s">
        <v>4459</v>
      </c>
      <c r="R3743" s="17" t="s">
        <v>2239</v>
      </c>
      <c r="S3743" s="17"/>
      <c r="T3743" s="17"/>
      <c r="U3743" s="17"/>
    </row>
    <row r="3744" spans="17:21" x14ac:dyDescent="0.25">
      <c r="Q3744" s="17" t="s">
        <v>4460</v>
      </c>
      <c r="R3744" s="17" t="s">
        <v>2239</v>
      </c>
      <c r="S3744" s="17"/>
      <c r="T3744" s="17"/>
      <c r="U3744" s="17"/>
    </row>
    <row r="3745" spans="17:21" x14ac:dyDescent="0.25">
      <c r="Q3745" s="17" t="s">
        <v>4461</v>
      </c>
      <c r="R3745" s="17" t="s">
        <v>2239</v>
      </c>
      <c r="S3745" s="17"/>
      <c r="T3745" s="17"/>
      <c r="U3745" s="17"/>
    </row>
    <row r="3746" spans="17:21" x14ac:dyDescent="0.25">
      <c r="Q3746" s="17" t="s">
        <v>4462</v>
      </c>
      <c r="R3746" s="17" t="s">
        <v>2239</v>
      </c>
      <c r="S3746" s="17"/>
      <c r="T3746" s="17"/>
      <c r="U3746" s="17"/>
    </row>
    <row r="3747" spans="17:21" x14ac:dyDescent="0.25">
      <c r="Q3747" s="17" t="s">
        <v>4463</v>
      </c>
      <c r="R3747" s="17" t="s">
        <v>2239</v>
      </c>
      <c r="S3747" s="17"/>
      <c r="T3747" s="17"/>
      <c r="U3747" s="17"/>
    </row>
    <row r="3748" spans="17:21" x14ac:dyDescent="0.25">
      <c r="Q3748" s="17" t="s">
        <v>4464</v>
      </c>
      <c r="R3748" s="17" t="s">
        <v>2239</v>
      </c>
      <c r="S3748" s="17"/>
      <c r="T3748" s="17"/>
      <c r="U3748" s="17"/>
    </row>
    <row r="3749" spans="17:21" x14ac:dyDescent="0.25">
      <c r="Q3749" s="17" t="s">
        <v>4465</v>
      </c>
      <c r="R3749" s="17" t="s">
        <v>2239</v>
      </c>
      <c r="S3749" s="17"/>
      <c r="T3749" s="17"/>
      <c r="U3749" s="17"/>
    </row>
    <row r="3750" spans="17:21" x14ac:dyDescent="0.25">
      <c r="Q3750" s="17" t="s">
        <v>4466</v>
      </c>
      <c r="R3750" s="17" t="s">
        <v>2239</v>
      </c>
      <c r="S3750" s="17"/>
      <c r="T3750" s="17"/>
      <c r="U3750" s="17"/>
    </row>
    <row r="3751" spans="17:21" x14ac:dyDescent="0.25">
      <c r="Q3751" s="17" t="s">
        <v>4467</v>
      </c>
      <c r="R3751" s="17" t="s">
        <v>86</v>
      </c>
      <c r="S3751" s="17"/>
      <c r="T3751" s="17"/>
      <c r="U3751" s="17"/>
    </row>
    <row r="3752" spans="17:21" x14ac:dyDescent="0.25">
      <c r="Q3752" s="17" t="s">
        <v>4468</v>
      </c>
      <c r="R3752" s="17" t="s">
        <v>86</v>
      </c>
      <c r="S3752" s="17"/>
      <c r="T3752" s="17"/>
      <c r="U3752" s="17"/>
    </row>
    <row r="3753" spans="17:21" x14ac:dyDescent="0.25">
      <c r="Q3753" s="17" t="s">
        <v>4469</v>
      </c>
      <c r="R3753" s="17" t="s">
        <v>86</v>
      </c>
      <c r="S3753" s="17"/>
      <c r="T3753" s="17"/>
      <c r="U3753" s="17"/>
    </row>
    <row r="3754" spans="17:21" x14ac:dyDescent="0.25">
      <c r="Q3754" s="17" t="s">
        <v>4470</v>
      </c>
      <c r="R3754" s="17" t="s">
        <v>86</v>
      </c>
      <c r="S3754" s="17"/>
      <c r="T3754" s="17"/>
      <c r="U3754" s="17"/>
    </row>
    <row r="3755" spans="17:21" x14ac:dyDescent="0.25">
      <c r="Q3755" s="17" t="s">
        <v>4471</v>
      </c>
      <c r="R3755" s="17" t="s">
        <v>86</v>
      </c>
      <c r="S3755" s="17"/>
      <c r="T3755" s="17"/>
      <c r="U3755" s="17"/>
    </row>
    <row r="3756" spans="17:21" x14ac:dyDescent="0.25">
      <c r="Q3756" s="17" t="s">
        <v>4472</v>
      </c>
      <c r="R3756" s="17" t="s">
        <v>86</v>
      </c>
      <c r="S3756" s="17"/>
      <c r="T3756" s="17"/>
      <c r="U3756" s="17"/>
    </row>
    <row r="3757" spans="17:21" x14ac:dyDescent="0.25">
      <c r="Q3757" s="17" t="s">
        <v>4473</v>
      </c>
      <c r="R3757" s="17" t="s">
        <v>86</v>
      </c>
      <c r="S3757" s="17"/>
      <c r="T3757" s="17"/>
      <c r="U3757" s="17"/>
    </row>
    <row r="3758" spans="17:21" x14ac:dyDescent="0.25">
      <c r="Q3758" s="17" t="s">
        <v>4474</v>
      </c>
      <c r="R3758" s="17" t="s">
        <v>86</v>
      </c>
      <c r="S3758" s="17"/>
      <c r="T3758" s="17"/>
      <c r="U3758" s="17"/>
    </row>
    <row r="3759" spans="17:21" x14ac:dyDescent="0.25">
      <c r="Q3759" s="17" t="s">
        <v>4475</v>
      </c>
      <c r="R3759" s="17" t="s">
        <v>86</v>
      </c>
      <c r="S3759" s="17"/>
      <c r="T3759" s="17"/>
      <c r="U3759" s="17"/>
    </row>
    <row r="3760" spans="17:21" x14ac:dyDescent="0.25">
      <c r="Q3760" s="17" t="s">
        <v>4476</v>
      </c>
      <c r="R3760" s="17" t="s">
        <v>86</v>
      </c>
      <c r="S3760" s="17"/>
      <c r="T3760" s="17"/>
      <c r="U3760" s="17"/>
    </row>
    <row r="3761" spans="17:21" x14ac:dyDescent="0.25">
      <c r="Q3761" s="17" t="s">
        <v>4477</v>
      </c>
      <c r="R3761" s="17" t="s">
        <v>86</v>
      </c>
      <c r="S3761" s="17"/>
      <c r="T3761" s="17"/>
      <c r="U3761" s="17"/>
    </row>
    <row r="3762" spans="17:21" x14ac:dyDescent="0.25">
      <c r="Q3762" s="17" t="s">
        <v>4478</v>
      </c>
      <c r="R3762" s="17" t="s">
        <v>1369</v>
      </c>
      <c r="S3762" s="17"/>
      <c r="T3762" s="17"/>
      <c r="U3762" s="17"/>
    </row>
    <row r="3763" spans="17:21" x14ac:dyDescent="0.25">
      <c r="Q3763" s="17" t="s">
        <v>4479</v>
      </c>
      <c r="R3763" s="17" t="s">
        <v>1369</v>
      </c>
      <c r="S3763" s="17"/>
      <c r="T3763" s="17"/>
      <c r="U3763" s="17"/>
    </row>
    <row r="3764" spans="17:21" x14ac:dyDescent="0.25">
      <c r="Q3764" s="17" t="s">
        <v>4480</v>
      </c>
      <c r="R3764" s="17" t="s">
        <v>1369</v>
      </c>
      <c r="S3764" s="17"/>
      <c r="T3764" s="17"/>
      <c r="U3764" s="17"/>
    </row>
    <row r="3765" spans="17:21" x14ac:dyDescent="0.25">
      <c r="Q3765" s="17" t="s">
        <v>4481</v>
      </c>
      <c r="R3765" s="17" t="s">
        <v>1369</v>
      </c>
      <c r="S3765" s="17"/>
      <c r="T3765" s="17"/>
      <c r="U3765" s="17"/>
    </row>
    <row r="3766" spans="17:21" x14ac:dyDescent="0.25">
      <c r="Q3766" s="17" t="s">
        <v>4482</v>
      </c>
      <c r="R3766" s="17" t="s">
        <v>1369</v>
      </c>
      <c r="S3766" s="17"/>
      <c r="T3766" s="17"/>
      <c r="U3766" s="17"/>
    </row>
    <row r="3767" spans="17:21" x14ac:dyDescent="0.25">
      <c r="Q3767" s="17" t="s">
        <v>4483</v>
      </c>
      <c r="R3767" s="17" t="s">
        <v>86</v>
      </c>
      <c r="S3767" s="17"/>
      <c r="T3767" s="17"/>
      <c r="U3767" s="17"/>
    </row>
    <row r="3768" spans="17:21" x14ac:dyDescent="0.25">
      <c r="Q3768" s="17" t="s">
        <v>4484</v>
      </c>
      <c r="R3768" s="17" t="s">
        <v>86</v>
      </c>
      <c r="S3768" s="17"/>
      <c r="T3768" s="17"/>
      <c r="U3768" s="17"/>
    </row>
    <row r="3769" spans="17:21" x14ac:dyDescent="0.25">
      <c r="Q3769" s="17" t="s">
        <v>4485</v>
      </c>
      <c r="R3769" s="17" t="s">
        <v>2239</v>
      </c>
      <c r="S3769" s="17"/>
      <c r="T3769" s="17"/>
      <c r="U3769" s="17"/>
    </row>
    <row r="3770" spans="17:21" x14ac:dyDescent="0.25">
      <c r="Q3770" s="17" t="s">
        <v>4486</v>
      </c>
      <c r="R3770" s="17" t="s">
        <v>86</v>
      </c>
      <c r="S3770" s="17"/>
      <c r="T3770" s="17"/>
      <c r="U3770" s="17"/>
    </row>
    <row r="3771" spans="17:21" x14ac:dyDescent="0.25">
      <c r="Q3771" s="17" t="s">
        <v>4487</v>
      </c>
      <c r="R3771" s="17" t="s">
        <v>86</v>
      </c>
      <c r="S3771" s="17"/>
      <c r="T3771" s="17"/>
      <c r="U3771" s="17"/>
    </row>
    <row r="3772" spans="17:21" x14ac:dyDescent="0.25">
      <c r="Q3772" s="17" t="s">
        <v>4488</v>
      </c>
      <c r="R3772" s="17" t="s">
        <v>86</v>
      </c>
      <c r="S3772" s="17"/>
      <c r="T3772" s="17"/>
      <c r="U3772" s="17"/>
    </row>
    <row r="3773" spans="17:21" x14ac:dyDescent="0.25">
      <c r="Q3773" s="17" t="s">
        <v>4489</v>
      </c>
      <c r="R3773" s="17" t="s">
        <v>86</v>
      </c>
      <c r="S3773" s="17"/>
      <c r="T3773" s="17"/>
      <c r="U3773" s="17"/>
    </row>
    <row r="3774" spans="17:21" x14ac:dyDescent="0.25">
      <c r="Q3774" s="17" t="s">
        <v>4490</v>
      </c>
      <c r="R3774" s="17" t="s">
        <v>2239</v>
      </c>
      <c r="S3774" s="17"/>
      <c r="T3774" s="17"/>
      <c r="U3774" s="17"/>
    </row>
    <row r="3775" spans="17:21" x14ac:dyDescent="0.25">
      <c r="Q3775" s="17" t="s">
        <v>4491</v>
      </c>
      <c r="R3775" s="17" t="s">
        <v>2239</v>
      </c>
      <c r="S3775" s="17"/>
      <c r="T3775" s="17"/>
      <c r="U3775" s="17"/>
    </row>
    <row r="3776" spans="17:21" x14ac:dyDescent="0.25">
      <c r="Q3776" s="17" t="s">
        <v>4492</v>
      </c>
      <c r="R3776" s="17" t="s">
        <v>2239</v>
      </c>
      <c r="S3776" s="17"/>
      <c r="T3776" s="17"/>
      <c r="U3776" s="17"/>
    </row>
    <row r="3777" spans="17:21" x14ac:dyDescent="0.25">
      <c r="Q3777" s="17" t="s">
        <v>4493</v>
      </c>
      <c r="R3777" s="17" t="s">
        <v>2239</v>
      </c>
      <c r="S3777" s="17"/>
      <c r="T3777" s="17"/>
      <c r="U3777" s="17"/>
    </row>
    <row r="3778" spans="17:21" x14ac:dyDescent="0.25">
      <c r="Q3778" s="17" t="s">
        <v>4494</v>
      </c>
      <c r="R3778" s="17" t="s">
        <v>2239</v>
      </c>
      <c r="S3778" s="17"/>
      <c r="T3778" s="17"/>
      <c r="U3778" s="17"/>
    </row>
    <row r="3779" spans="17:21" x14ac:dyDescent="0.25">
      <c r="Q3779" s="17" t="s">
        <v>4495</v>
      </c>
      <c r="R3779" s="17" t="s">
        <v>2239</v>
      </c>
      <c r="S3779" s="17"/>
      <c r="T3779" s="17"/>
      <c r="U3779" s="17"/>
    </row>
    <row r="3780" spans="17:21" x14ac:dyDescent="0.25">
      <c r="Q3780" s="17" t="s">
        <v>4496</v>
      </c>
      <c r="R3780" s="17" t="s">
        <v>2239</v>
      </c>
      <c r="S3780" s="17"/>
      <c r="T3780" s="17"/>
      <c r="U3780" s="17"/>
    </row>
    <row r="3781" spans="17:21" x14ac:dyDescent="0.25">
      <c r="Q3781" s="17" t="s">
        <v>4497</v>
      </c>
      <c r="R3781" s="17" t="s">
        <v>2239</v>
      </c>
      <c r="S3781" s="17"/>
      <c r="T3781" s="17"/>
      <c r="U3781" s="17"/>
    </row>
    <row r="3782" spans="17:21" x14ac:dyDescent="0.25">
      <c r="Q3782" s="17" t="s">
        <v>4498</v>
      </c>
      <c r="R3782" s="17" t="s">
        <v>2239</v>
      </c>
      <c r="S3782" s="17"/>
      <c r="T3782" s="17"/>
      <c r="U3782" s="17"/>
    </row>
    <row r="3783" spans="17:21" x14ac:dyDescent="0.25">
      <c r="Q3783" s="17" t="s">
        <v>4499</v>
      </c>
      <c r="R3783" s="17" t="s">
        <v>2239</v>
      </c>
      <c r="S3783" s="17"/>
      <c r="T3783" s="17"/>
      <c r="U3783" s="17"/>
    </row>
    <row r="3784" spans="17:21" x14ac:dyDescent="0.25">
      <c r="Q3784" s="17" t="s">
        <v>4500</v>
      </c>
      <c r="R3784" s="17" t="s">
        <v>2239</v>
      </c>
      <c r="S3784" s="17"/>
      <c r="T3784" s="17"/>
      <c r="U3784" s="17"/>
    </row>
    <row r="3785" spans="17:21" x14ac:dyDescent="0.25">
      <c r="Q3785" s="17" t="s">
        <v>4501</v>
      </c>
      <c r="R3785" s="17" t="s">
        <v>2239</v>
      </c>
      <c r="S3785" s="17"/>
      <c r="T3785" s="17"/>
      <c r="U3785" s="17"/>
    </row>
    <row r="3786" spans="17:21" x14ac:dyDescent="0.25">
      <c r="Q3786" s="17" t="s">
        <v>4502</v>
      </c>
      <c r="R3786" s="17" t="s">
        <v>2239</v>
      </c>
      <c r="S3786" s="17"/>
      <c r="T3786" s="17"/>
      <c r="U3786" s="17"/>
    </row>
    <row r="3787" spans="17:21" x14ac:dyDescent="0.25">
      <c r="Q3787" s="17" t="s">
        <v>4503</v>
      </c>
      <c r="R3787" s="17" t="s">
        <v>2239</v>
      </c>
      <c r="S3787" s="17"/>
      <c r="T3787" s="17"/>
      <c r="U3787" s="17"/>
    </row>
    <row r="3788" spans="17:21" x14ac:dyDescent="0.25">
      <c r="Q3788" s="17" t="s">
        <v>4504</v>
      </c>
      <c r="R3788" s="17" t="s">
        <v>2239</v>
      </c>
      <c r="S3788" s="17"/>
      <c r="T3788" s="17"/>
      <c r="U3788" s="17"/>
    </row>
    <row r="3789" spans="17:21" x14ac:dyDescent="0.25">
      <c r="Q3789" s="17" t="s">
        <v>4505</v>
      </c>
      <c r="R3789" s="17" t="s">
        <v>2239</v>
      </c>
      <c r="S3789" s="17"/>
      <c r="T3789" s="17"/>
      <c r="U3789" s="17"/>
    </row>
    <row r="3790" spans="17:21" x14ac:dyDescent="0.25">
      <c r="Q3790" s="17" t="s">
        <v>4506</v>
      </c>
      <c r="R3790" s="17" t="s">
        <v>2239</v>
      </c>
      <c r="S3790" s="17"/>
      <c r="T3790" s="17"/>
      <c r="U3790" s="17"/>
    </row>
    <row r="3791" spans="17:21" x14ac:dyDescent="0.25">
      <c r="Q3791" s="17" t="s">
        <v>4507</v>
      </c>
      <c r="R3791" s="17" t="s">
        <v>2239</v>
      </c>
      <c r="S3791" s="17"/>
      <c r="T3791" s="17"/>
      <c r="U3791" s="17"/>
    </row>
    <row r="3792" spans="17:21" x14ac:dyDescent="0.25">
      <c r="Q3792" s="17" t="s">
        <v>4508</v>
      </c>
      <c r="R3792" s="17" t="s">
        <v>2239</v>
      </c>
      <c r="S3792" s="17"/>
      <c r="T3792" s="17"/>
      <c r="U3792" s="17"/>
    </row>
    <row r="3793" spans="17:21" x14ac:dyDescent="0.25">
      <c r="Q3793" s="17" t="s">
        <v>4509</v>
      </c>
      <c r="R3793" s="17" t="s">
        <v>2239</v>
      </c>
      <c r="S3793" s="17"/>
      <c r="T3793" s="17"/>
      <c r="U3793" s="17"/>
    </row>
    <row r="3794" spans="17:21" x14ac:dyDescent="0.25">
      <c r="Q3794" s="17" t="s">
        <v>4510</v>
      </c>
      <c r="R3794" s="17" t="s">
        <v>2239</v>
      </c>
      <c r="S3794" s="17"/>
      <c r="T3794" s="17"/>
      <c r="U3794" s="17"/>
    </row>
    <row r="3795" spans="17:21" x14ac:dyDescent="0.25">
      <c r="Q3795" s="17" t="s">
        <v>4511</v>
      </c>
      <c r="R3795" s="17" t="s">
        <v>2239</v>
      </c>
      <c r="S3795" s="17"/>
      <c r="T3795" s="17"/>
      <c r="U3795" s="17"/>
    </row>
    <row r="3796" spans="17:21" x14ac:dyDescent="0.25">
      <c r="Q3796" s="17" t="s">
        <v>4512</v>
      </c>
      <c r="R3796" s="17" t="s">
        <v>2239</v>
      </c>
      <c r="S3796" s="17"/>
      <c r="T3796" s="17"/>
      <c r="U3796" s="17"/>
    </row>
    <row r="3797" spans="17:21" x14ac:dyDescent="0.25">
      <c r="Q3797" s="17" t="s">
        <v>4513</v>
      </c>
      <c r="R3797" s="17" t="s">
        <v>2239</v>
      </c>
      <c r="S3797" s="17"/>
      <c r="T3797" s="17"/>
      <c r="U3797" s="17"/>
    </row>
    <row r="3798" spans="17:21" x14ac:dyDescent="0.25">
      <c r="Q3798" s="17" t="s">
        <v>4514</v>
      </c>
      <c r="R3798" s="17" t="s">
        <v>2239</v>
      </c>
      <c r="S3798" s="17"/>
      <c r="T3798" s="17"/>
      <c r="U3798" s="17"/>
    </row>
    <row r="3799" spans="17:21" x14ac:dyDescent="0.25">
      <c r="Q3799" s="17" t="s">
        <v>4515</v>
      </c>
      <c r="R3799" s="17" t="s">
        <v>2239</v>
      </c>
      <c r="S3799" s="17"/>
      <c r="T3799" s="17"/>
      <c r="U3799" s="17"/>
    </row>
    <row r="3800" spans="17:21" x14ac:dyDescent="0.25">
      <c r="Q3800" s="17" t="s">
        <v>4516</v>
      </c>
      <c r="R3800" s="17" t="s">
        <v>2239</v>
      </c>
      <c r="S3800" s="17"/>
      <c r="T3800" s="17"/>
      <c r="U3800" s="17"/>
    </row>
    <row r="3801" spans="17:21" x14ac:dyDescent="0.25">
      <c r="Q3801" s="17" t="s">
        <v>4517</v>
      </c>
      <c r="R3801" s="17" t="s">
        <v>2239</v>
      </c>
      <c r="S3801" s="17"/>
      <c r="T3801" s="17"/>
      <c r="U3801" s="17"/>
    </row>
    <row r="3802" spans="17:21" x14ac:dyDescent="0.25">
      <c r="Q3802" s="17" t="s">
        <v>4518</v>
      </c>
      <c r="R3802" s="17" t="s">
        <v>2239</v>
      </c>
      <c r="S3802" s="17"/>
      <c r="T3802" s="17"/>
      <c r="U3802" s="17"/>
    </row>
    <row r="3803" spans="17:21" x14ac:dyDescent="0.25">
      <c r="Q3803" s="17" t="s">
        <v>4519</v>
      </c>
      <c r="R3803" s="17" t="s">
        <v>2239</v>
      </c>
      <c r="S3803" s="17"/>
      <c r="T3803" s="17"/>
      <c r="U3803" s="17"/>
    </row>
    <row r="3804" spans="17:21" x14ac:dyDescent="0.25">
      <c r="Q3804" s="17" t="s">
        <v>4520</v>
      </c>
      <c r="R3804" s="17" t="s">
        <v>2239</v>
      </c>
      <c r="S3804" s="17"/>
      <c r="T3804" s="17"/>
      <c r="U3804" s="17"/>
    </row>
    <row r="3805" spans="17:21" x14ac:dyDescent="0.25">
      <c r="Q3805" s="17" t="s">
        <v>4521</v>
      </c>
      <c r="R3805" s="17" t="s">
        <v>2239</v>
      </c>
      <c r="S3805" s="17"/>
      <c r="T3805" s="17"/>
      <c r="U3805" s="17"/>
    </row>
    <row r="3806" spans="17:21" x14ac:dyDescent="0.25">
      <c r="Q3806" s="17" t="s">
        <v>4522</v>
      </c>
      <c r="R3806" s="17" t="s">
        <v>2239</v>
      </c>
      <c r="S3806" s="17"/>
      <c r="T3806" s="17"/>
      <c r="U3806" s="17"/>
    </row>
    <row r="3807" spans="17:21" x14ac:dyDescent="0.25">
      <c r="Q3807" s="17" t="s">
        <v>4523</v>
      </c>
      <c r="R3807" s="17" t="s">
        <v>2239</v>
      </c>
      <c r="S3807" s="17"/>
      <c r="T3807" s="17"/>
      <c r="U3807" s="17"/>
    </row>
    <row r="3808" spans="17:21" x14ac:dyDescent="0.25">
      <c r="Q3808" s="17" t="s">
        <v>4524</v>
      </c>
      <c r="R3808" s="17" t="s">
        <v>2239</v>
      </c>
      <c r="S3808" s="17"/>
      <c r="T3808" s="17"/>
      <c r="U3808" s="17"/>
    </row>
    <row r="3809" spans="17:21" x14ac:dyDescent="0.25">
      <c r="Q3809" s="17" t="s">
        <v>4525</v>
      </c>
      <c r="R3809" s="17" t="s">
        <v>2360</v>
      </c>
      <c r="S3809" s="17"/>
      <c r="T3809" s="17"/>
      <c r="U3809" s="17"/>
    </row>
    <row r="3810" spans="17:21" x14ac:dyDescent="0.25">
      <c r="Q3810" s="17" t="s">
        <v>4526</v>
      </c>
      <c r="R3810" s="17" t="s">
        <v>2360</v>
      </c>
      <c r="S3810" s="17"/>
      <c r="T3810" s="17"/>
      <c r="U3810" s="17"/>
    </row>
    <row r="3811" spans="17:21" x14ac:dyDescent="0.25">
      <c r="Q3811" s="17" t="s">
        <v>4527</v>
      </c>
      <c r="R3811" s="17" t="s">
        <v>2360</v>
      </c>
      <c r="S3811" s="17"/>
      <c r="T3811" s="17"/>
      <c r="U3811" s="17"/>
    </row>
    <row r="3812" spans="17:21" x14ac:dyDescent="0.25">
      <c r="Q3812" s="17" t="s">
        <v>4528</v>
      </c>
      <c r="R3812" s="17" t="s">
        <v>2239</v>
      </c>
      <c r="S3812" s="17"/>
      <c r="T3812" s="17"/>
      <c r="U3812" s="17"/>
    </row>
    <row r="3813" spans="17:21" x14ac:dyDescent="0.25">
      <c r="Q3813" s="17" t="s">
        <v>4529</v>
      </c>
      <c r="R3813" s="17" t="s">
        <v>2239</v>
      </c>
      <c r="S3813" s="17"/>
      <c r="T3813" s="17"/>
      <c r="U3813" s="17"/>
    </row>
    <row r="3814" spans="17:21" x14ac:dyDescent="0.25">
      <c r="Q3814" s="17" t="s">
        <v>4530</v>
      </c>
      <c r="R3814" s="17" t="s">
        <v>2239</v>
      </c>
      <c r="S3814" s="17"/>
      <c r="T3814" s="17"/>
      <c r="U3814" s="17"/>
    </row>
    <row r="3815" spans="17:21" x14ac:dyDescent="0.25">
      <c r="Q3815" s="17" t="s">
        <v>4531</v>
      </c>
      <c r="R3815" s="17" t="s">
        <v>2239</v>
      </c>
      <c r="S3815" s="17"/>
      <c r="T3815" s="17"/>
      <c r="U3815" s="17"/>
    </row>
    <row r="3816" spans="17:21" x14ac:dyDescent="0.25">
      <c r="Q3816" s="17" t="s">
        <v>4532</v>
      </c>
      <c r="R3816" s="17" t="s">
        <v>2239</v>
      </c>
      <c r="S3816" s="17"/>
      <c r="T3816" s="17"/>
      <c r="U3816" s="17"/>
    </row>
    <row r="3817" spans="17:21" x14ac:dyDescent="0.25">
      <c r="Q3817" s="17" t="s">
        <v>4533</v>
      </c>
      <c r="R3817" s="17" t="s">
        <v>2239</v>
      </c>
      <c r="S3817" s="17"/>
      <c r="T3817" s="17"/>
      <c r="U3817" s="17"/>
    </row>
    <row r="3818" spans="17:21" x14ac:dyDescent="0.25">
      <c r="Q3818" s="17" t="s">
        <v>4534</v>
      </c>
      <c r="R3818" s="17" t="s">
        <v>1369</v>
      </c>
      <c r="S3818" s="17"/>
      <c r="T3818" s="17"/>
      <c r="U3818" s="17"/>
    </row>
    <row r="3819" spans="17:21" x14ac:dyDescent="0.25">
      <c r="Q3819" s="17" t="s">
        <v>4535</v>
      </c>
      <c r="R3819" s="17" t="s">
        <v>86</v>
      </c>
      <c r="S3819" s="17"/>
      <c r="T3819" s="17"/>
      <c r="U3819" s="17"/>
    </row>
    <row r="3820" spans="17:21" x14ac:dyDescent="0.25">
      <c r="Q3820" s="17" t="s">
        <v>4536</v>
      </c>
      <c r="R3820" s="17" t="s">
        <v>2239</v>
      </c>
      <c r="S3820" s="17"/>
      <c r="T3820" s="17"/>
      <c r="U3820" s="17"/>
    </row>
    <row r="3821" spans="17:21" x14ac:dyDescent="0.25">
      <c r="Q3821" s="17" t="s">
        <v>4537</v>
      </c>
      <c r="R3821" s="17" t="s">
        <v>2239</v>
      </c>
      <c r="S3821" s="17"/>
      <c r="T3821" s="17"/>
      <c r="U3821" s="17"/>
    </row>
    <row r="3822" spans="17:21" x14ac:dyDescent="0.25">
      <c r="Q3822" s="17" t="s">
        <v>4538</v>
      </c>
      <c r="R3822" s="17" t="s">
        <v>2239</v>
      </c>
      <c r="S3822" s="17"/>
      <c r="T3822" s="17"/>
      <c r="U3822" s="17"/>
    </row>
    <row r="3823" spans="17:21" x14ac:dyDescent="0.25">
      <c r="Q3823" s="17" t="s">
        <v>4539</v>
      </c>
      <c r="R3823" s="17" t="s">
        <v>2239</v>
      </c>
      <c r="S3823" s="17"/>
      <c r="T3823" s="17"/>
      <c r="U3823" s="17"/>
    </row>
    <row r="3824" spans="17:21" x14ac:dyDescent="0.25">
      <c r="Q3824" s="17" t="s">
        <v>4540</v>
      </c>
      <c r="R3824" s="17" t="s">
        <v>2239</v>
      </c>
      <c r="S3824" s="17"/>
      <c r="T3824" s="17"/>
      <c r="U3824" s="17"/>
    </row>
    <row r="3825" spans="17:21" x14ac:dyDescent="0.25">
      <c r="Q3825" s="17" t="s">
        <v>4541</v>
      </c>
      <c r="R3825" s="17" t="s">
        <v>2239</v>
      </c>
      <c r="S3825" s="17"/>
      <c r="T3825" s="17"/>
      <c r="U3825" s="17"/>
    </row>
    <row r="3826" spans="17:21" x14ac:dyDescent="0.25">
      <c r="Q3826" s="17" t="s">
        <v>4542</v>
      </c>
      <c r="R3826" s="17" t="s">
        <v>2239</v>
      </c>
      <c r="S3826" s="17"/>
      <c r="T3826" s="17"/>
      <c r="U3826" s="17"/>
    </row>
    <row r="3827" spans="17:21" x14ac:dyDescent="0.25">
      <c r="Q3827" s="17" t="s">
        <v>4543</v>
      </c>
      <c r="R3827" s="17" t="s">
        <v>2239</v>
      </c>
      <c r="S3827" s="17"/>
      <c r="T3827" s="17"/>
      <c r="U3827" s="17"/>
    </row>
    <row r="3828" spans="17:21" x14ac:dyDescent="0.25">
      <c r="Q3828" s="17" t="s">
        <v>4544</v>
      </c>
      <c r="R3828" s="17" t="s">
        <v>2239</v>
      </c>
      <c r="S3828" s="17"/>
      <c r="T3828" s="17"/>
      <c r="U3828" s="17"/>
    </row>
    <row r="3829" spans="17:21" x14ac:dyDescent="0.25">
      <c r="Q3829" s="17" t="s">
        <v>4545</v>
      </c>
      <c r="R3829" s="17" t="s">
        <v>2239</v>
      </c>
      <c r="S3829" s="17"/>
      <c r="T3829" s="17"/>
      <c r="U3829" s="17"/>
    </row>
    <row r="3830" spans="17:21" x14ac:dyDescent="0.25">
      <c r="Q3830" s="17" t="s">
        <v>4546</v>
      </c>
      <c r="R3830" s="17" t="s">
        <v>2239</v>
      </c>
      <c r="S3830" s="17"/>
      <c r="T3830" s="17"/>
      <c r="U3830" s="17"/>
    </row>
    <row r="3831" spans="17:21" x14ac:dyDescent="0.25">
      <c r="Q3831" s="17" t="s">
        <v>4547</v>
      </c>
      <c r="R3831" s="17" t="s">
        <v>2239</v>
      </c>
      <c r="S3831" s="17"/>
      <c r="T3831" s="17"/>
      <c r="U3831" s="17"/>
    </row>
    <row r="3832" spans="17:21" x14ac:dyDescent="0.25">
      <c r="Q3832" s="17" t="s">
        <v>4548</v>
      </c>
      <c r="R3832" s="17" t="s">
        <v>2239</v>
      </c>
      <c r="S3832" s="17"/>
      <c r="T3832" s="17"/>
      <c r="U3832" s="17"/>
    </row>
    <row r="3833" spans="17:21" x14ac:dyDescent="0.25">
      <c r="Q3833" s="17" t="s">
        <v>4549</v>
      </c>
      <c r="R3833" s="17" t="s">
        <v>2239</v>
      </c>
      <c r="S3833" s="17"/>
      <c r="T3833" s="17"/>
      <c r="U3833" s="17"/>
    </row>
    <row r="3834" spans="17:21" x14ac:dyDescent="0.25">
      <c r="Q3834" s="17" t="s">
        <v>4550</v>
      </c>
      <c r="R3834" s="17" t="s">
        <v>2239</v>
      </c>
      <c r="S3834" s="17"/>
      <c r="T3834" s="17"/>
      <c r="U3834" s="17"/>
    </row>
    <row r="3835" spans="17:21" x14ac:dyDescent="0.25">
      <c r="Q3835" s="17" t="s">
        <v>4551</v>
      </c>
      <c r="R3835" s="17" t="s">
        <v>2239</v>
      </c>
      <c r="S3835" s="17"/>
      <c r="T3835" s="17"/>
      <c r="U3835" s="17"/>
    </row>
    <row r="3836" spans="17:21" x14ac:dyDescent="0.25">
      <c r="Q3836" s="17" t="s">
        <v>4552</v>
      </c>
      <c r="R3836" s="17" t="s">
        <v>2239</v>
      </c>
      <c r="S3836" s="17"/>
      <c r="T3836" s="17"/>
      <c r="U3836" s="17"/>
    </row>
    <row r="3837" spans="17:21" x14ac:dyDescent="0.25">
      <c r="Q3837" s="17" t="s">
        <v>4553</v>
      </c>
      <c r="R3837" s="17" t="s">
        <v>2239</v>
      </c>
      <c r="S3837" s="17"/>
      <c r="T3837" s="17"/>
      <c r="U3837" s="17"/>
    </row>
    <row r="3838" spans="17:21" x14ac:dyDescent="0.25">
      <c r="Q3838" s="17" t="s">
        <v>4554</v>
      </c>
      <c r="R3838" s="17" t="s">
        <v>1369</v>
      </c>
      <c r="S3838" s="17"/>
      <c r="T3838" s="17"/>
      <c r="U3838" s="17"/>
    </row>
    <row r="3839" spans="17:21" x14ac:dyDescent="0.25">
      <c r="Q3839" s="17" t="s">
        <v>4555</v>
      </c>
      <c r="R3839" s="17" t="s">
        <v>1369</v>
      </c>
      <c r="S3839" s="17"/>
      <c r="T3839" s="17"/>
      <c r="U3839" s="17"/>
    </row>
    <row r="3840" spans="17:21" x14ac:dyDescent="0.25">
      <c r="Q3840" s="17" t="s">
        <v>4556</v>
      </c>
      <c r="R3840" s="17" t="s">
        <v>1369</v>
      </c>
      <c r="S3840" s="17"/>
      <c r="T3840" s="17"/>
      <c r="U3840" s="17"/>
    </row>
    <row r="3841" spans="17:21" x14ac:dyDescent="0.25">
      <c r="Q3841" s="17" t="s">
        <v>4557</v>
      </c>
      <c r="R3841" s="17" t="s">
        <v>1369</v>
      </c>
      <c r="S3841" s="17"/>
      <c r="T3841" s="17"/>
      <c r="U3841" s="17"/>
    </row>
    <row r="3842" spans="17:21" x14ac:dyDescent="0.25">
      <c r="Q3842" s="17" t="s">
        <v>4558</v>
      </c>
      <c r="R3842" s="17" t="s">
        <v>1369</v>
      </c>
      <c r="S3842" s="17"/>
      <c r="T3842" s="17"/>
      <c r="U3842" s="17"/>
    </row>
    <row r="3843" spans="17:21" x14ac:dyDescent="0.25">
      <c r="Q3843" s="17" t="s">
        <v>4559</v>
      </c>
      <c r="R3843" s="17" t="s">
        <v>1369</v>
      </c>
      <c r="S3843" s="17"/>
      <c r="T3843" s="17"/>
      <c r="U3843" s="17"/>
    </row>
    <row r="3844" spans="17:21" x14ac:dyDescent="0.25">
      <c r="Q3844" s="17" t="s">
        <v>4560</v>
      </c>
      <c r="R3844" s="17" t="s">
        <v>1369</v>
      </c>
      <c r="S3844" s="17"/>
      <c r="T3844" s="17"/>
      <c r="U3844" s="17"/>
    </row>
    <row r="3845" spans="17:21" x14ac:dyDescent="0.25">
      <c r="Q3845" s="17" t="s">
        <v>4561</v>
      </c>
      <c r="R3845" s="17" t="s">
        <v>1369</v>
      </c>
      <c r="S3845" s="17"/>
      <c r="T3845" s="17"/>
      <c r="U3845" s="17"/>
    </row>
    <row r="3846" spans="17:21" x14ac:dyDescent="0.25">
      <c r="Q3846" s="17" t="s">
        <v>4562</v>
      </c>
      <c r="R3846" s="17" t="s">
        <v>1369</v>
      </c>
      <c r="S3846" s="17"/>
      <c r="T3846" s="17"/>
      <c r="U3846" s="17"/>
    </row>
    <row r="3847" spans="17:21" x14ac:dyDescent="0.25">
      <c r="Q3847" s="17" t="s">
        <v>4563</v>
      </c>
      <c r="R3847" s="17" t="s">
        <v>1369</v>
      </c>
      <c r="S3847" s="17"/>
      <c r="T3847" s="17"/>
      <c r="U3847" s="17"/>
    </row>
    <row r="3848" spans="17:21" x14ac:dyDescent="0.25">
      <c r="Q3848" s="17" t="s">
        <v>4564</v>
      </c>
      <c r="R3848" s="17" t="s">
        <v>1369</v>
      </c>
      <c r="S3848" s="17"/>
      <c r="T3848" s="17"/>
      <c r="U3848" s="17"/>
    </row>
    <row r="3849" spans="17:21" x14ac:dyDescent="0.25">
      <c r="Q3849" s="17" t="s">
        <v>4565</v>
      </c>
      <c r="R3849" s="17" t="s">
        <v>1369</v>
      </c>
      <c r="S3849" s="17"/>
      <c r="T3849" s="17"/>
      <c r="U3849" s="17"/>
    </row>
    <row r="3850" spans="17:21" x14ac:dyDescent="0.25">
      <c r="Q3850" s="17" t="s">
        <v>4566</v>
      </c>
      <c r="R3850" s="17" t="s">
        <v>1369</v>
      </c>
      <c r="S3850" s="17"/>
      <c r="T3850" s="17"/>
      <c r="U3850" s="17"/>
    </row>
    <row r="3851" spans="17:21" x14ac:dyDescent="0.25">
      <c r="Q3851" s="17" t="s">
        <v>4567</v>
      </c>
      <c r="R3851" s="17" t="s">
        <v>1369</v>
      </c>
      <c r="S3851" s="17"/>
      <c r="T3851" s="17"/>
      <c r="U3851" s="17"/>
    </row>
    <row r="3852" spans="17:21" x14ac:dyDescent="0.25">
      <c r="Q3852" s="17" t="s">
        <v>4568</v>
      </c>
      <c r="R3852" s="17" t="s">
        <v>1369</v>
      </c>
      <c r="S3852" s="17"/>
      <c r="T3852" s="17"/>
      <c r="U3852" s="17"/>
    </row>
    <row r="3853" spans="17:21" x14ac:dyDescent="0.25">
      <c r="Q3853" s="17" t="s">
        <v>4569</v>
      </c>
      <c r="R3853" s="17" t="s">
        <v>1369</v>
      </c>
      <c r="S3853" s="17"/>
      <c r="T3853" s="17"/>
      <c r="U3853" s="17"/>
    </row>
    <row r="3854" spans="17:21" x14ac:dyDescent="0.25">
      <c r="Q3854" s="17" t="s">
        <v>4570</v>
      </c>
      <c r="R3854" s="17" t="s">
        <v>2360</v>
      </c>
      <c r="S3854" s="17"/>
      <c r="T3854" s="17"/>
      <c r="U3854" s="17"/>
    </row>
    <row r="3855" spans="17:21" x14ac:dyDescent="0.25">
      <c r="Q3855" s="17" t="s">
        <v>4571</v>
      </c>
      <c r="R3855" s="17" t="s">
        <v>2360</v>
      </c>
      <c r="S3855" s="17"/>
      <c r="T3855" s="17"/>
      <c r="U3855" s="17"/>
    </row>
    <row r="3856" spans="17:21" x14ac:dyDescent="0.25">
      <c r="Q3856" s="17" t="s">
        <v>4572</v>
      </c>
      <c r="R3856" s="17" t="s">
        <v>2360</v>
      </c>
      <c r="S3856" s="17"/>
      <c r="T3856" s="17"/>
      <c r="U3856" s="17"/>
    </row>
    <row r="3857" spans="17:21" x14ac:dyDescent="0.25">
      <c r="Q3857" s="17" t="s">
        <v>4573</v>
      </c>
      <c r="R3857" s="17" t="s">
        <v>2360</v>
      </c>
      <c r="S3857" s="17"/>
      <c r="T3857" s="17"/>
      <c r="U3857" s="17"/>
    </row>
    <row r="3858" spans="17:21" x14ac:dyDescent="0.25">
      <c r="Q3858" s="17" t="s">
        <v>4574</v>
      </c>
      <c r="R3858" s="17" t="s">
        <v>1369</v>
      </c>
      <c r="S3858" s="17"/>
      <c r="T3858" s="17"/>
      <c r="U3858" s="17"/>
    </row>
    <row r="3859" spans="17:21" x14ac:dyDescent="0.25">
      <c r="Q3859" s="17" t="s">
        <v>4575</v>
      </c>
      <c r="R3859" s="17" t="s">
        <v>2360</v>
      </c>
      <c r="S3859" s="17"/>
      <c r="T3859" s="17"/>
      <c r="U3859" s="17"/>
    </row>
    <row r="3860" spans="17:21" x14ac:dyDescent="0.25">
      <c r="Q3860" s="17" t="s">
        <v>4576</v>
      </c>
      <c r="R3860" s="17" t="s">
        <v>2360</v>
      </c>
      <c r="S3860" s="17"/>
      <c r="T3860" s="17"/>
      <c r="U3860" s="17"/>
    </row>
    <row r="3861" spans="17:21" x14ac:dyDescent="0.25">
      <c r="Q3861" s="17" t="s">
        <v>4577</v>
      </c>
      <c r="R3861" s="17" t="s">
        <v>1369</v>
      </c>
      <c r="S3861" s="17"/>
      <c r="T3861" s="17"/>
      <c r="U3861" s="17"/>
    </row>
    <row r="3862" spans="17:21" x14ac:dyDescent="0.25">
      <c r="Q3862" s="17" t="s">
        <v>4578</v>
      </c>
      <c r="R3862" s="17" t="s">
        <v>1369</v>
      </c>
      <c r="S3862" s="17"/>
      <c r="T3862" s="17"/>
      <c r="U3862" s="17"/>
    </row>
    <row r="3863" spans="17:21" x14ac:dyDescent="0.25">
      <c r="Q3863" s="17" t="s">
        <v>4579</v>
      </c>
      <c r="R3863" s="17" t="s">
        <v>1369</v>
      </c>
      <c r="S3863" s="17"/>
      <c r="T3863" s="17"/>
      <c r="U3863" s="17"/>
    </row>
    <row r="3864" spans="17:21" x14ac:dyDescent="0.25">
      <c r="Q3864" s="17" t="s">
        <v>4580</v>
      </c>
      <c r="R3864" s="17" t="s">
        <v>1369</v>
      </c>
      <c r="S3864" s="17"/>
      <c r="T3864" s="17"/>
      <c r="U3864" s="17"/>
    </row>
    <row r="3865" spans="17:21" x14ac:dyDescent="0.25">
      <c r="Q3865" s="17" t="s">
        <v>4581</v>
      </c>
      <c r="R3865" s="17" t="s">
        <v>1369</v>
      </c>
      <c r="S3865" s="17"/>
      <c r="T3865" s="17"/>
      <c r="U3865" s="17"/>
    </row>
    <row r="3866" spans="17:21" x14ac:dyDescent="0.25">
      <c r="Q3866" s="17" t="s">
        <v>4582</v>
      </c>
      <c r="R3866" s="17" t="s">
        <v>1369</v>
      </c>
      <c r="S3866" s="17"/>
      <c r="T3866" s="17"/>
      <c r="U3866" s="17"/>
    </row>
    <row r="3867" spans="17:21" x14ac:dyDescent="0.25">
      <c r="Q3867" s="17" t="s">
        <v>4583</v>
      </c>
      <c r="R3867" s="17" t="s">
        <v>1369</v>
      </c>
      <c r="S3867" s="17"/>
      <c r="T3867" s="17"/>
      <c r="U3867" s="17"/>
    </row>
    <row r="3868" spans="17:21" x14ac:dyDescent="0.25">
      <c r="Q3868" s="17" t="s">
        <v>4584</v>
      </c>
      <c r="R3868" s="17" t="s">
        <v>1369</v>
      </c>
      <c r="S3868" s="17"/>
      <c r="T3868" s="17"/>
      <c r="U3868" s="17"/>
    </row>
    <row r="3869" spans="17:21" x14ac:dyDescent="0.25">
      <c r="Q3869" s="17" t="s">
        <v>4585</v>
      </c>
      <c r="R3869" s="17" t="s">
        <v>1369</v>
      </c>
      <c r="S3869" s="17"/>
      <c r="T3869" s="17"/>
      <c r="U3869" s="17"/>
    </row>
    <row r="3870" spans="17:21" x14ac:dyDescent="0.25">
      <c r="Q3870" s="17" t="s">
        <v>4586</v>
      </c>
      <c r="R3870" s="17" t="s">
        <v>1369</v>
      </c>
      <c r="S3870" s="17"/>
      <c r="T3870" s="17"/>
      <c r="U3870" s="17"/>
    </row>
    <row r="3871" spans="17:21" x14ac:dyDescent="0.25">
      <c r="Q3871" s="17" t="s">
        <v>4587</v>
      </c>
      <c r="R3871" s="17" t="s">
        <v>1369</v>
      </c>
      <c r="S3871" s="17"/>
      <c r="T3871" s="17"/>
      <c r="U3871" s="17"/>
    </row>
    <row r="3872" spans="17:21" x14ac:dyDescent="0.25">
      <c r="Q3872" s="17" t="s">
        <v>4588</v>
      </c>
      <c r="R3872" s="17" t="s">
        <v>1369</v>
      </c>
      <c r="S3872" s="17"/>
      <c r="T3872" s="17"/>
      <c r="U3872" s="17"/>
    </row>
    <row r="3873" spans="17:21" x14ac:dyDescent="0.25">
      <c r="Q3873" s="17" t="s">
        <v>4589</v>
      </c>
      <c r="R3873" s="17" t="s">
        <v>1369</v>
      </c>
      <c r="S3873" s="17"/>
      <c r="T3873" s="17"/>
      <c r="U3873" s="17"/>
    </row>
    <row r="3874" spans="17:21" x14ac:dyDescent="0.25">
      <c r="Q3874" s="17" t="s">
        <v>4590</v>
      </c>
      <c r="R3874" s="17" t="s">
        <v>1369</v>
      </c>
      <c r="S3874" s="17"/>
      <c r="T3874" s="17"/>
      <c r="U3874" s="17"/>
    </row>
    <row r="3875" spans="17:21" x14ac:dyDescent="0.25">
      <c r="Q3875" s="17" t="s">
        <v>4591</v>
      </c>
      <c r="R3875" s="17" t="s">
        <v>1369</v>
      </c>
      <c r="S3875" s="17"/>
      <c r="T3875" s="17"/>
      <c r="U3875" s="17"/>
    </row>
    <row r="3876" spans="17:21" x14ac:dyDescent="0.25">
      <c r="Q3876" s="17" t="s">
        <v>4592</v>
      </c>
      <c r="R3876" s="17" t="s">
        <v>1369</v>
      </c>
      <c r="S3876" s="17"/>
      <c r="T3876" s="17"/>
      <c r="U3876" s="17"/>
    </row>
    <row r="3877" spans="17:21" x14ac:dyDescent="0.25">
      <c r="Q3877" s="17" t="s">
        <v>4593</v>
      </c>
      <c r="R3877" s="17" t="s">
        <v>1369</v>
      </c>
      <c r="S3877" s="17"/>
      <c r="T3877" s="17"/>
      <c r="U3877" s="17"/>
    </row>
    <row r="3878" spans="17:21" x14ac:dyDescent="0.25">
      <c r="Q3878" s="17" t="s">
        <v>4594</v>
      </c>
      <c r="R3878" s="17" t="s">
        <v>1369</v>
      </c>
      <c r="S3878" s="17"/>
      <c r="T3878" s="17"/>
      <c r="U3878" s="17"/>
    </row>
    <row r="3879" spans="17:21" x14ac:dyDescent="0.25">
      <c r="Q3879" s="17" t="s">
        <v>4595</v>
      </c>
      <c r="R3879" s="17" t="s">
        <v>1369</v>
      </c>
      <c r="S3879" s="17"/>
      <c r="T3879" s="17"/>
      <c r="U3879" s="17"/>
    </row>
    <row r="3880" spans="17:21" x14ac:dyDescent="0.25">
      <c r="Q3880" s="17" t="s">
        <v>4596</v>
      </c>
      <c r="R3880" s="17" t="s">
        <v>1369</v>
      </c>
      <c r="S3880" s="17"/>
      <c r="T3880" s="17"/>
      <c r="U3880" s="17"/>
    </row>
    <row r="3881" spans="17:21" x14ac:dyDescent="0.25">
      <c r="Q3881" s="17" t="s">
        <v>4597</v>
      </c>
      <c r="R3881" s="17" t="s">
        <v>2239</v>
      </c>
      <c r="S3881" s="17"/>
      <c r="T3881" s="17"/>
      <c r="U3881" s="17"/>
    </row>
    <row r="3882" spans="17:21" x14ac:dyDescent="0.25">
      <c r="Q3882" s="17" t="s">
        <v>4598</v>
      </c>
      <c r="R3882" s="17" t="s">
        <v>2239</v>
      </c>
      <c r="S3882" s="17"/>
      <c r="T3882" s="17"/>
      <c r="U3882" s="17"/>
    </row>
    <row r="3883" spans="17:21" x14ac:dyDescent="0.25">
      <c r="Q3883" s="17" t="s">
        <v>4599</v>
      </c>
      <c r="R3883" s="17" t="s">
        <v>2239</v>
      </c>
      <c r="S3883" s="17"/>
      <c r="T3883" s="17"/>
      <c r="U3883" s="17"/>
    </row>
    <row r="3884" spans="17:21" x14ac:dyDescent="0.25">
      <c r="Q3884" s="17" t="s">
        <v>4600</v>
      </c>
      <c r="R3884" s="17" t="s">
        <v>2239</v>
      </c>
      <c r="S3884" s="17"/>
      <c r="T3884" s="17"/>
      <c r="U3884" s="17"/>
    </row>
    <row r="3885" spans="17:21" x14ac:dyDescent="0.25">
      <c r="Q3885" s="17" t="s">
        <v>4601</v>
      </c>
      <c r="R3885" s="17" t="s">
        <v>2239</v>
      </c>
      <c r="S3885" s="17"/>
      <c r="T3885" s="17"/>
      <c r="U3885" s="17"/>
    </row>
    <row r="3886" spans="17:21" x14ac:dyDescent="0.25">
      <c r="Q3886" s="17" t="s">
        <v>4602</v>
      </c>
      <c r="R3886" s="17" t="s">
        <v>2239</v>
      </c>
      <c r="S3886" s="17"/>
      <c r="T3886" s="17"/>
      <c r="U3886" s="17"/>
    </row>
    <row r="3887" spans="17:21" x14ac:dyDescent="0.25">
      <c r="Q3887" s="17" t="s">
        <v>4603</v>
      </c>
      <c r="R3887" s="17" t="s">
        <v>2239</v>
      </c>
      <c r="S3887" s="17"/>
      <c r="T3887" s="17"/>
      <c r="U3887" s="17"/>
    </row>
    <row r="3888" spans="17:21" x14ac:dyDescent="0.25">
      <c r="Q3888" s="17" t="s">
        <v>4604</v>
      </c>
      <c r="R3888" s="17" t="s">
        <v>2239</v>
      </c>
      <c r="S3888" s="17"/>
      <c r="T3888" s="17"/>
      <c r="U3888" s="17"/>
    </row>
    <row r="3889" spans="17:21" x14ac:dyDescent="0.25">
      <c r="Q3889" s="17" t="s">
        <v>4605</v>
      </c>
      <c r="R3889" s="17" t="s">
        <v>2239</v>
      </c>
      <c r="S3889" s="17"/>
      <c r="T3889" s="17"/>
      <c r="U3889" s="17"/>
    </row>
    <row r="3890" spans="17:21" x14ac:dyDescent="0.25">
      <c r="Q3890" s="17" t="s">
        <v>4606</v>
      </c>
      <c r="R3890" s="17" t="s">
        <v>2239</v>
      </c>
      <c r="S3890" s="17"/>
      <c r="T3890" s="17"/>
      <c r="U3890" s="17"/>
    </row>
    <row r="3891" spans="17:21" x14ac:dyDescent="0.25">
      <c r="Q3891" s="17" t="s">
        <v>4607</v>
      </c>
      <c r="R3891" s="17" t="s">
        <v>2239</v>
      </c>
      <c r="S3891" s="17"/>
      <c r="T3891" s="17"/>
      <c r="U3891" s="17"/>
    </row>
    <row r="3892" spans="17:21" x14ac:dyDescent="0.25">
      <c r="Q3892" s="17" t="s">
        <v>4608</v>
      </c>
      <c r="R3892" s="17" t="s">
        <v>2239</v>
      </c>
      <c r="S3892" s="17"/>
      <c r="T3892" s="17"/>
      <c r="U3892" s="17"/>
    </row>
    <row r="3893" spans="17:21" x14ac:dyDescent="0.25">
      <c r="Q3893" s="17" t="s">
        <v>4609</v>
      </c>
      <c r="R3893" s="17" t="s">
        <v>2239</v>
      </c>
      <c r="S3893" s="17"/>
      <c r="T3893" s="17"/>
      <c r="U3893" s="17"/>
    </row>
    <row r="3894" spans="17:21" x14ac:dyDescent="0.25">
      <c r="Q3894" s="17" t="s">
        <v>4610</v>
      </c>
      <c r="R3894" s="17" t="s">
        <v>2239</v>
      </c>
      <c r="S3894" s="17"/>
      <c r="T3894" s="17"/>
      <c r="U3894" s="17"/>
    </row>
    <row r="3895" spans="17:21" x14ac:dyDescent="0.25">
      <c r="Q3895" s="17" t="s">
        <v>4611</v>
      </c>
      <c r="R3895" s="17" t="s">
        <v>2239</v>
      </c>
      <c r="S3895" s="17"/>
      <c r="T3895" s="17"/>
      <c r="U3895" s="17"/>
    </row>
    <row r="3896" spans="17:21" x14ac:dyDescent="0.25">
      <c r="Q3896" s="17" t="s">
        <v>4612</v>
      </c>
      <c r="R3896" s="17" t="s">
        <v>2239</v>
      </c>
      <c r="S3896" s="17"/>
      <c r="T3896" s="17"/>
      <c r="U3896" s="17"/>
    </row>
    <row r="3897" spans="17:21" x14ac:dyDescent="0.25">
      <c r="Q3897" s="17" t="s">
        <v>4613</v>
      </c>
      <c r="R3897" s="17" t="s">
        <v>2239</v>
      </c>
      <c r="S3897" s="17"/>
      <c r="T3897" s="17"/>
      <c r="U3897" s="17"/>
    </row>
    <row r="3898" spans="17:21" x14ac:dyDescent="0.25">
      <c r="Q3898" s="17" t="s">
        <v>4614</v>
      </c>
      <c r="R3898" s="17" t="s">
        <v>2239</v>
      </c>
      <c r="S3898" s="17"/>
      <c r="T3898" s="17"/>
      <c r="U3898" s="17"/>
    </row>
    <row r="3899" spans="17:21" x14ac:dyDescent="0.25">
      <c r="Q3899" s="17" t="s">
        <v>4615</v>
      </c>
      <c r="R3899" s="17" t="s">
        <v>2239</v>
      </c>
      <c r="S3899" s="17"/>
      <c r="T3899" s="17"/>
      <c r="U3899" s="17"/>
    </row>
    <row r="3900" spans="17:21" x14ac:dyDescent="0.25">
      <c r="Q3900" s="17" t="s">
        <v>4616</v>
      </c>
      <c r="R3900" s="17" t="s">
        <v>2239</v>
      </c>
      <c r="S3900" s="17"/>
      <c r="T3900" s="17"/>
      <c r="U3900" s="17"/>
    </row>
    <row r="3901" spans="17:21" x14ac:dyDescent="0.25">
      <c r="Q3901" s="17" t="s">
        <v>4617</v>
      </c>
      <c r="R3901" s="17" t="s">
        <v>2239</v>
      </c>
      <c r="S3901" s="17"/>
      <c r="T3901" s="17"/>
      <c r="U3901" s="17"/>
    </row>
    <row r="3902" spans="17:21" x14ac:dyDescent="0.25">
      <c r="Q3902" s="17" t="s">
        <v>4618</v>
      </c>
      <c r="R3902" s="17" t="s">
        <v>2239</v>
      </c>
      <c r="S3902" s="17"/>
      <c r="T3902" s="17"/>
      <c r="U3902" s="17"/>
    </row>
    <row r="3903" spans="17:21" x14ac:dyDescent="0.25">
      <c r="Q3903" s="17" t="s">
        <v>4619</v>
      </c>
      <c r="R3903" s="17" t="s">
        <v>2239</v>
      </c>
      <c r="S3903" s="17"/>
      <c r="T3903" s="17"/>
      <c r="U3903" s="17"/>
    </row>
    <row r="3904" spans="17:21" x14ac:dyDescent="0.25">
      <c r="Q3904" s="17" t="s">
        <v>4620</v>
      </c>
      <c r="R3904" s="17" t="s">
        <v>2239</v>
      </c>
      <c r="S3904" s="17"/>
      <c r="T3904" s="17"/>
      <c r="U3904" s="17"/>
    </row>
    <row r="3905" spans="17:21" x14ac:dyDescent="0.25">
      <c r="Q3905" s="17" t="s">
        <v>4621</v>
      </c>
      <c r="R3905" s="17" t="s">
        <v>2239</v>
      </c>
      <c r="S3905" s="17"/>
      <c r="T3905" s="17"/>
      <c r="U3905" s="17"/>
    </row>
    <row r="3906" spans="17:21" x14ac:dyDescent="0.25">
      <c r="Q3906" s="17" t="s">
        <v>4622</v>
      </c>
      <c r="R3906" s="17" t="s">
        <v>2239</v>
      </c>
      <c r="S3906" s="17"/>
      <c r="T3906" s="17"/>
      <c r="U3906" s="17"/>
    </row>
    <row r="3907" spans="17:21" x14ac:dyDescent="0.25">
      <c r="Q3907" s="17" t="s">
        <v>4623</v>
      </c>
      <c r="R3907" s="17" t="s">
        <v>2239</v>
      </c>
      <c r="S3907" s="17"/>
      <c r="T3907" s="17"/>
      <c r="U3907" s="17"/>
    </row>
    <row r="3908" spans="17:21" x14ac:dyDescent="0.25">
      <c r="Q3908" s="17" t="s">
        <v>4624</v>
      </c>
      <c r="R3908" s="17" t="s">
        <v>2239</v>
      </c>
      <c r="S3908" s="17"/>
      <c r="T3908" s="17"/>
      <c r="U3908" s="17"/>
    </row>
    <row r="3909" spans="17:21" x14ac:dyDescent="0.25">
      <c r="Q3909" s="17" t="s">
        <v>4625</v>
      </c>
      <c r="R3909" s="17" t="s">
        <v>2239</v>
      </c>
      <c r="S3909" s="17"/>
      <c r="T3909" s="17"/>
      <c r="U3909" s="17"/>
    </row>
    <row r="3910" spans="17:21" x14ac:dyDescent="0.25">
      <c r="Q3910" s="17" t="s">
        <v>4626</v>
      </c>
      <c r="R3910" s="17" t="s">
        <v>2239</v>
      </c>
      <c r="S3910" s="17"/>
      <c r="T3910" s="17"/>
      <c r="U3910" s="17"/>
    </row>
    <row r="3911" spans="17:21" x14ac:dyDescent="0.25">
      <c r="Q3911" s="17" t="s">
        <v>4627</v>
      </c>
      <c r="R3911" s="17" t="s">
        <v>2239</v>
      </c>
      <c r="S3911" s="17"/>
      <c r="T3911" s="17"/>
      <c r="U3911" s="17"/>
    </row>
    <row r="3912" spans="17:21" x14ac:dyDescent="0.25">
      <c r="Q3912" s="17" t="s">
        <v>4628</v>
      </c>
      <c r="R3912" s="17" t="s">
        <v>2239</v>
      </c>
      <c r="S3912" s="17"/>
      <c r="T3912" s="17"/>
      <c r="U3912" s="17"/>
    </row>
    <row r="3913" spans="17:21" x14ac:dyDescent="0.25">
      <c r="Q3913" s="17" t="s">
        <v>4629</v>
      </c>
      <c r="R3913" s="17" t="s">
        <v>2239</v>
      </c>
      <c r="S3913" s="17"/>
      <c r="T3913" s="17"/>
      <c r="U3913" s="17"/>
    </row>
    <row r="3914" spans="17:21" x14ac:dyDescent="0.25">
      <c r="Q3914" s="17" t="s">
        <v>4630</v>
      </c>
      <c r="R3914" s="17" t="s">
        <v>2239</v>
      </c>
      <c r="S3914" s="17"/>
      <c r="T3914" s="17"/>
      <c r="U3914" s="17"/>
    </row>
    <row r="3915" spans="17:21" x14ac:dyDescent="0.25">
      <c r="Q3915" s="17" t="s">
        <v>4631</v>
      </c>
      <c r="R3915" s="17" t="s">
        <v>2239</v>
      </c>
      <c r="S3915" s="17"/>
      <c r="T3915" s="17"/>
      <c r="U3915" s="17"/>
    </row>
    <row r="3916" spans="17:21" x14ac:dyDescent="0.25">
      <c r="Q3916" s="17" t="s">
        <v>4632</v>
      </c>
      <c r="R3916" s="17" t="s">
        <v>2239</v>
      </c>
      <c r="S3916" s="17"/>
      <c r="T3916" s="17"/>
      <c r="U3916" s="17"/>
    </row>
    <row r="3917" spans="17:21" x14ac:dyDescent="0.25">
      <c r="Q3917" s="17" t="s">
        <v>4633</v>
      </c>
      <c r="R3917" s="17" t="s">
        <v>2239</v>
      </c>
      <c r="S3917" s="17"/>
      <c r="T3917" s="17"/>
      <c r="U3917" s="17"/>
    </row>
    <row r="3918" spans="17:21" x14ac:dyDescent="0.25">
      <c r="Q3918" s="17" t="s">
        <v>4634</v>
      </c>
      <c r="R3918" s="17" t="s">
        <v>2239</v>
      </c>
      <c r="S3918" s="17"/>
      <c r="T3918" s="17"/>
      <c r="U3918" s="17"/>
    </row>
    <row r="3919" spans="17:21" x14ac:dyDescent="0.25">
      <c r="Q3919" s="17" t="s">
        <v>4635</v>
      </c>
      <c r="R3919" s="17" t="s">
        <v>2239</v>
      </c>
      <c r="S3919" s="17"/>
      <c r="T3919" s="17"/>
      <c r="U3919" s="17"/>
    </row>
    <row r="3920" spans="17:21" x14ac:dyDescent="0.25">
      <c r="Q3920" s="17" t="s">
        <v>4636</v>
      </c>
      <c r="R3920" s="17" t="s">
        <v>2239</v>
      </c>
      <c r="S3920" s="17"/>
      <c r="T3920" s="17"/>
      <c r="U3920" s="17"/>
    </row>
    <row r="3921" spans="17:21" x14ac:dyDescent="0.25">
      <c r="Q3921" s="17" t="s">
        <v>4637</v>
      </c>
      <c r="R3921" s="17" t="s">
        <v>2239</v>
      </c>
      <c r="S3921" s="17"/>
      <c r="T3921" s="17"/>
      <c r="U3921" s="17"/>
    </row>
    <row r="3922" spans="17:21" x14ac:dyDescent="0.25">
      <c r="Q3922" s="17" t="s">
        <v>4638</v>
      </c>
      <c r="R3922" s="17" t="s">
        <v>2239</v>
      </c>
      <c r="S3922" s="17"/>
      <c r="T3922" s="17"/>
      <c r="U3922" s="17"/>
    </row>
    <row r="3923" spans="17:21" x14ac:dyDescent="0.25">
      <c r="Q3923" s="17" t="s">
        <v>4639</v>
      </c>
      <c r="R3923" s="17" t="s">
        <v>2239</v>
      </c>
      <c r="S3923" s="17"/>
      <c r="T3923" s="17"/>
      <c r="U3923" s="17"/>
    </row>
    <row r="3924" spans="17:21" x14ac:dyDescent="0.25">
      <c r="Q3924" s="17" t="s">
        <v>4640</v>
      </c>
      <c r="R3924" s="17" t="s">
        <v>2239</v>
      </c>
      <c r="S3924" s="17"/>
      <c r="T3924" s="17"/>
      <c r="U3924" s="17"/>
    </row>
    <row r="3925" spans="17:21" x14ac:dyDescent="0.25">
      <c r="Q3925" s="17" t="s">
        <v>4641</v>
      </c>
      <c r="R3925" s="17" t="s">
        <v>2239</v>
      </c>
      <c r="S3925" s="17"/>
      <c r="T3925" s="17"/>
      <c r="U3925" s="17"/>
    </row>
    <row r="3926" spans="17:21" x14ac:dyDescent="0.25">
      <c r="Q3926" s="17" t="s">
        <v>4642</v>
      </c>
      <c r="R3926" s="17" t="s">
        <v>2239</v>
      </c>
      <c r="S3926" s="17"/>
      <c r="T3926" s="17"/>
      <c r="U3926" s="17"/>
    </row>
    <row r="3927" spans="17:21" x14ac:dyDescent="0.25">
      <c r="Q3927" s="17" t="s">
        <v>4643</v>
      </c>
      <c r="R3927" s="17" t="s">
        <v>2239</v>
      </c>
      <c r="S3927" s="17"/>
      <c r="T3927" s="17"/>
      <c r="U3927" s="17"/>
    </row>
    <row r="3928" spans="17:21" x14ac:dyDescent="0.25">
      <c r="Q3928" s="17" t="s">
        <v>4644</v>
      </c>
      <c r="R3928" s="17" t="s">
        <v>2239</v>
      </c>
      <c r="S3928" s="17"/>
      <c r="T3928" s="17"/>
      <c r="U3928" s="17"/>
    </row>
    <row r="3929" spans="17:21" x14ac:dyDescent="0.25">
      <c r="Q3929" s="17" t="s">
        <v>4645</v>
      </c>
      <c r="R3929" s="17" t="s">
        <v>2239</v>
      </c>
      <c r="S3929" s="17"/>
      <c r="T3929" s="17"/>
      <c r="U3929" s="17"/>
    </row>
    <row r="3930" spans="17:21" x14ac:dyDescent="0.25">
      <c r="Q3930" s="17" t="s">
        <v>4646</v>
      </c>
      <c r="R3930" s="17" t="s">
        <v>2239</v>
      </c>
      <c r="S3930" s="17"/>
      <c r="T3930" s="17"/>
      <c r="U3930" s="17"/>
    </row>
    <row r="3931" spans="17:21" x14ac:dyDescent="0.25">
      <c r="Q3931" s="17" t="s">
        <v>4647</v>
      </c>
      <c r="R3931" s="17" t="s">
        <v>2239</v>
      </c>
      <c r="S3931" s="17"/>
      <c r="T3931" s="17"/>
      <c r="U3931" s="17"/>
    </row>
    <row r="3932" spans="17:21" x14ac:dyDescent="0.25">
      <c r="Q3932" s="17" t="s">
        <v>4648</v>
      </c>
      <c r="R3932" s="17" t="s">
        <v>2239</v>
      </c>
      <c r="S3932" s="17"/>
      <c r="T3932" s="17"/>
      <c r="U3932" s="17"/>
    </row>
    <row r="3933" spans="17:21" x14ac:dyDescent="0.25">
      <c r="Q3933" s="17" t="s">
        <v>4649</v>
      </c>
      <c r="R3933" s="17" t="s">
        <v>2239</v>
      </c>
      <c r="S3933" s="17"/>
      <c r="T3933" s="17"/>
      <c r="U3933" s="17"/>
    </row>
    <row r="3934" spans="17:21" x14ac:dyDescent="0.25">
      <c r="Q3934" s="17" t="s">
        <v>4650</v>
      </c>
      <c r="R3934" s="17" t="s">
        <v>2239</v>
      </c>
      <c r="S3934" s="17"/>
      <c r="T3934" s="17"/>
      <c r="U3934" s="17"/>
    </row>
    <row r="3935" spans="17:21" x14ac:dyDescent="0.25">
      <c r="Q3935" s="17" t="s">
        <v>4651</v>
      </c>
      <c r="R3935" s="17" t="s">
        <v>2239</v>
      </c>
      <c r="S3935" s="17"/>
      <c r="T3935" s="17"/>
      <c r="U3935" s="17"/>
    </row>
    <row r="3936" spans="17:21" x14ac:dyDescent="0.25">
      <c r="Q3936" s="17" t="s">
        <v>4652</v>
      </c>
      <c r="R3936" s="17" t="s">
        <v>2239</v>
      </c>
      <c r="S3936" s="17"/>
      <c r="T3936" s="17"/>
      <c r="U3936" s="17"/>
    </row>
    <row r="3937" spans="17:21" x14ac:dyDescent="0.25">
      <c r="Q3937" s="17" t="s">
        <v>4653</v>
      </c>
      <c r="R3937" s="17" t="s">
        <v>2239</v>
      </c>
      <c r="S3937" s="17"/>
      <c r="T3937" s="17"/>
      <c r="U3937" s="17"/>
    </row>
    <row r="3938" spans="17:21" x14ac:dyDescent="0.25">
      <c r="Q3938" s="17" t="s">
        <v>4654</v>
      </c>
      <c r="R3938" s="17" t="s">
        <v>2239</v>
      </c>
      <c r="S3938" s="17"/>
      <c r="T3938" s="17"/>
      <c r="U3938" s="17"/>
    </row>
    <row r="3939" spans="17:21" x14ac:dyDescent="0.25">
      <c r="Q3939" s="17" t="s">
        <v>4655</v>
      </c>
      <c r="R3939" s="17" t="s">
        <v>2239</v>
      </c>
      <c r="S3939" s="17"/>
      <c r="T3939" s="17"/>
      <c r="U3939" s="17"/>
    </row>
    <row r="3940" spans="17:21" x14ac:dyDescent="0.25">
      <c r="Q3940" s="17" t="s">
        <v>4656</v>
      </c>
      <c r="R3940" s="17" t="s">
        <v>2239</v>
      </c>
      <c r="S3940" s="17"/>
      <c r="T3940" s="17"/>
      <c r="U3940" s="17"/>
    </row>
    <row r="3941" spans="17:21" x14ac:dyDescent="0.25">
      <c r="Q3941" s="17" t="s">
        <v>4657</v>
      </c>
      <c r="R3941" s="17" t="s">
        <v>2239</v>
      </c>
      <c r="S3941" s="17"/>
      <c r="T3941" s="17"/>
      <c r="U3941" s="17"/>
    </row>
    <row r="3942" spans="17:21" x14ac:dyDescent="0.25">
      <c r="Q3942" s="17" t="s">
        <v>4658</v>
      </c>
      <c r="R3942" s="17" t="s">
        <v>2239</v>
      </c>
      <c r="S3942" s="17"/>
      <c r="T3942" s="17"/>
      <c r="U3942" s="17"/>
    </row>
    <row r="3943" spans="17:21" x14ac:dyDescent="0.25">
      <c r="Q3943" s="17" t="s">
        <v>4659</v>
      </c>
      <c r="R3943" s="17" t="s">
        <v>2239</v>
      </c>
      <c r="S3943" s="17"/>
      <c r="T3943" s="17"/>
      <c r="U3943" s="17"/>
    </row>
    <row r="3944" spans="17:21" x14ac:dyDescent="0.25">
      <c r="Q3944" s="17" t="s">
        <v>4660</v>
      </c>
      <c r="R3944" s="17" t="s">
        <v>2239</v>
      </c>
      <c r="S3944" s="17"/>
      <c r="T3944" s="17"/>
      <c r="U3944" s="17"/>
    </row>
    <row r="3945" spans="17:21" x14ac:dyDescent="0.25">
      <c r="Q3945" s="17" t="s">
        <v>4661</v>
      </c>
      <c r="R3945" s="17" t="s">
        <v>2239</v>
      </c>
      <c r="S3945" s="17"/>
      <c r="T3945" s="17"/>
      <c r="U3945" s="17"/>
    </row>
    <row r="3946" spans="17:21" x14ac:dyDescent="0.25">
      <c r="Q3946" s="17" t="s">
        <v>4662</v>
      </c>
      <c r="R3946" s="17" t="s">
        <v>2239</v>
      </c>
      <c r="S3946" s="17"/>
      <c r="T3946" s="17"/>
      <c r="U3946" s="17"/>
    </row>
    <row r="3947" spans="17:21" x14ac:dyDescent="0.25">
      <c r="Q3947" s="17" t="s">
        <v>4663</v>
      </c>
      <c r="R3947" s="17" t="s">
        <v>2239</v>
      </c>
      <c r="S3947" s="17"/>
      <c r="T3947" s="17"/>
      <c r="U3947" s="17"/>
    </row>
    <row r="3948" spans="17:21" x14ac:dyDescent="0.25">
      <c r="Q3948" s="17" t="s">
        <v>4664</v>
      </c>
      <c r="R3948" s="17" t="s">
        <v>2239</v>
      </c>
      <c r="S3948" s="17"/>
      <c r="T3948" s="17"/>
      <c r="U3948" s="17"/>
    </row>
    <row r="3949" spans="17:21" x14ac:dyDescent="0.25">
      <c r="Q3949" s="17" t="s">
        <v>4665</v>
      </c>
      <c r="R3949" s="17" t="s">
        <v>2239</v>
      </c>
      <c r="S3949" s="17"/>
      <c r="T3949" s="17"/>
      <c r="U3949" s="17"/>
    </row>
    <row r="3950" spans="17:21" x14ac:dyDescent="0.25">
      <c r="Q3950" s="17" t="s">
        <v>4666</v>
      </c>
      <c r="R3950" s="17" t="s">
        <v>2239</v>
      </c>
      <c r="S3950" s="17"/>
      <c r="T3950" s="17"/>
      <c r="U3950" s="17"/>
    </row>
    <row r="3951" spans="17:21" x14ac:dyDescent="0.25">
      <c r="Q3951" s="17" t="s">
        <v>4667</v>
      </c>
      <c r="R3951" s="17" t="s">
        <v>2239</v>
      </c>
      <c r="S3951" s="17"/>
      <c r="T3951" s="17"/>
      <c r="U3951" s="17"/>
    </row>
    <row r="3952" spans="17:21" x14ac:dyDescent="0.25">
      <c r="Q3952" s="17" t="s">
        <v>4668</v>
      </c>
      <c r="R3952" s="17" t="s">
        <v>2239</v>
      </c>
      <c r="S3952" s="17"/>
      <c r="T3952" s="17"/>
      <c r="U3952" s="17"/>
    </row>
    <row r="3953" spans="17:21" x14ac:dyDescent="0.25">
      <c r="Q3953" s="17" t="s">
        <v>4669</v>
      </c>
      <c r="R3953" s="17" t="s">
        <v>2239</v>
      </c>
      <c r="S3953" s="17"/>
      <c r="T3953" s="17"/>
      <c r="U3953" s="17"/>
    </row>
    <row r="3954" spans="17:21" x14ac:dyDescent="0.25">
      <c r="Q3954" s="17" t="s">
        <v>4670</v>
      </c>
      <c r="R3954" s="17" t="s">
        <v>2239</v>
      </c>
      <c r="S3954" s="17"/>
      <c r="T3954" s="17"/>
      <c r="U3954" s="17"/>
    </row>
    <row r="3955" spans="17:21" x14ac:dyDescent="0.25">
      <c r="Q3955" s="17" t="s">
        <v>4671</v>
      </c>
      <c r="R3955" s="17" t="s">
        <v>2239</v>
      </c>
      <c r="S3955" s="17"/>
      <c r="T3955" s="17"/>
      <c r="U3955" s="17"/>
    </row>
    <row r="3956" spans="17:21" x14ac:dyDescent="0.25">
      <c r="Q3956" s="17" t="s">
        <v>4672</v>
      </c>
      <c r="R3956" s="17" t="s">
        <v>2239</v>
      </c>
      <c r="S3956" s="17"/>
      <c r="T3956" s="17"/>
      <c r="U3956" s="17"/>
    </row>
    <row r="3957" spans="17:21" x14ac:dyDescent="0.25">
      <c r="Q3957" s="17" t="s">
        <v>4673</v>
      </c>
      <c r="R3957" s="17" t="s">
        <v>2239</v>
      </c>
      <c r="S3957" s="17"/>
      <c r="T3957" s="17"/>
      <c r="U3957" s="17"/>
    </row>
    <row r="3958" spans="17:21" x14ac:dyDescent="0.25">
      <c r="Q3958" s="17" t="s">
        <v>4674</v>
      </c>
      <c r="R3958" s="17" t="s">
        <v>2239</v>
      </c>
      <c r="S3958" s="17"/>
      <c r="T3958" s="17"/>
      <c r="U3958" s="17"/>
    </row>
    <row r="3959" spans="17:21" x14ac:dyDescent="0.25">
      <c r="Q3959" s="17" t="s">
        <v>4675</v>
      </c>
      <c r="R3959" s="17" t="s">
        <v>2239</v>
      </c>
      <c r="S3959" s="17"/>
      <c r="T3959" s="17"/>
      <c r="U3959" s="17"/>
    </row>
    <row r="3960" spans="17:21" x14ac:dyDescent="0.25">
      <c r="Q3960" s="17" t="s">
        <v>4676</v>
      </c>
      <c r="R3960" s="17" t="s">
        <v>2239</v>
      </c>
      <c r="S3960" s="17"/>
      <c r="T3960" s="17"/>
      <c r="U3960" s="17"/>
    </row>
    <row r="3961" spans="17:21" x14ac:dyDescent="0.25">
      <c r="Q3961" s="17" t="s">
        <v>4677</v>
      </c>
      <c r="R3961" s="17" t="s">
        <v>2239</v>
      </c>
      <c r="S3961" s="17"/>
      <c r="T3961" s="17"/>
      <c r="U3961" s="17"/>
    </row>
    <row r="3962" spans="17:21" x14ac:dyDescent="0.25">
      <c r="Q3962" s="17" t="s">
        <v>4678</v>
      </c>
      <c r="R3962" s="17" t="s">
        <v>2239</v>
      </c>
      <c r="S3962" s="17"/>
      <c r="T3962" s="17"/>
      <c r="U3962" s="17"/>
    </row>
    <row r="3963" spans="17:21" x14ac:dyDescent="0.25">
      <c r="Q3963" s="17" t="s">
        <v>4679</v>
      </c>
      <c r="R3963" s="17" t="s">
        <v>2239</v>
      </c>
      <c r="S3963" s="17"/>
      <c r="T3963" s="17"/>
      <c r="U3963" s="17"/>
    </row>
    <row r="3964" spans="17:21" x14ac:dyDescent="0.25">
      <c r="Q3964" s="17" t="s">
        <v>4680</v>
      </c>
      <c r="R3964" s="17" t="s">
        <v>2239</v>
      </c>
      <c r="S3964" s="17"/>
      <c r="T3964" s="17"/>
      <c r="U3964" s="17"/>
    </row>
    <row r="3965" spans="17:21" x14ac:dyDescent="0.25">
      <c r="Q3965" s="17" t="s">
        <v>4681</v>
      </c>
      <c r="R3965" s="17" t="s">
        <v>2239</v>
      </c>
      <c r="S3965" s="17"/>
      <c r="T3965" s="17"/>
      <c r="U3965" s="17"/>
    </row>
    <row r="3966" spans="17:21" x14ac:dyDescent="0.25">
      <c r="Q3966" s="17" t="s">
        <v>4682</v>
      </c>
      <c r="R3966" s="17" t="s">
        <v>2239</v>
      </c>
      <c r="S3966" s="17"/>
      <c r="T3966" s="17"/>
      <c r="U3966" s="17"/>
    </row>
    <row r="3967" spans="17:21" x14ac:dyDescent="0.25">
      <c r="Q3967" s="17" t="s">
        <v>4683</v>
      </c>
      <c r="R3967" s="17" t="s">
        <v>2239</v>
      </c>
      <c r="S3967" s="17"/>
      <c r="T3967" s="17"/>
      <c r="U3967" s="17"/>
    </row>
    <row r="3968" spans="17:21" x14ac:dyDescent="0.25">
      <c r="Q3968" s="17" t="s">
        <v>4684</v>
      </c>
      <c r="R3968" s="17" t="s">
        <v>2239</v>
      </c>
      <c r="S3968" s="17"/>
      <c r="T3968" s="17"/>
      <c r="U3968" s="17"/>
    </row>
    <row r="3969" spans="17:21" x14ac:dyDescent="0.25">
      <c r="Q3969" s="17" t="s">
        <v>4685</v>
      </c>
      <c r="R3969" s="17" t="s">
        <v>2239</v>
      </c>
      <c r="S3969" s="17"/>
      <c r="T3969" s="17"/>
      <c r="U3969" s="17"/>
    </row>
    <row r="3970" spans="17:21" x14ac:dyDescent="0.25">
      <c r="Q3970" s="17" t="s">
        <v>4686</v>
      </c>
      <c r="R3970" s="17" t="s">
        <v>2239</v>
      </c>
      <c r="S3970" s="17"/>
      <c r="T3970" s="17"/>
      <c r="U3970" s="17"/>
    </row>
    <row r="3971" spans="17:21" x14ac:dyDescent="0.25">
      <c r="Q3971" s="17" t="s">
        <v>4687</v>
      </c>
      <c r="R3971" s="17" t="s">
        <v>2239</v>
      </c>
      <c r="S3971" s="17"/>
      <c r="T3971" s="17"/>
      <c r="U3971" s="17"/>
    </row>
    <row r="3972" spans="17:21" x14ac:dyDescent="0.25">
      <c r="Q3972" s="17" t="s">
        <v>4688</v>
      </c>
      <c r="R3972" s="17" t="s">
        <v>2239</v>
      </c>
      <c r="S3972" s="17"/>
      <c r="T3972" s="17"/>
      <c r="U3972" s="17"/>
    </row>
    <row r="3973" spans="17:21" x14ac:dyDescent="0.25">
      <c r="Q3973" s="17" t="s">
        <v>4689</v>
      </c>
      <c r="R3973" s="17" t="s">
        <v>2239</v>
      </c>
      <c r="S3973" s="17"/>
      <c r="T3973" s="17"/>
      <c r="U3973" s="17"/>
    </row>
    <row r="3974" spans="17:21" x14ac:dyDescent="0.25">
      <c r="Q3974" s="17" t="s">
        <v>4690</v>
      </c>
      <c r="R3974" s="17" t="s">
        <v>2239</v>
      </c>
      <c r="S3974" s="17"/>
      <c r="T3974" s="17"/>
      <c r="U3974" s="17"/>
    </row>
    <row r="3975" spans="17:21" x14ac:dyDescent="0.25">
      <c r="Q3975" s="17" t="s">
        <v>4691</v>
      </c>
      <c r="R3975" s="17" t="s">
        <v>2239</v>
      </c>
      <c r="S3975" s="17"/>
      <c r="T3975" s="17"/>
      <c r="U3975" s="17"/>
    </row>
    <row r="3976" spans="17:21" x14ac:dyDescent="0.25">
      <c r="Q3976" s="17" t="s">
        <v>4692</v>
      </c>
      <c r="R3976" s="17" t="s">
        <v>2239</v>
      </c>
      <c r="S3976" s="17"/>
      <c r="T3976" s="17"/>
      <c r="U3976" s="17"/>
    </row>
    <row r="3977" spans="17:21" x14ac:dyDescent="0.25">
      <c r="Q3977" s="17" t="s">
        <v>4693</v>
      </c>
      <c r="R3977" s="17" t="s">
        <v>2239</v>
      </c>
      <c r="S3977" s="17"/>
      <c r="T3977" s="17"/>
      <c r="U3977" s="17"/>
    </row>
    <row r="3978" spans="17:21" x14ac:dyDescent="0.25">
      <c r="Q3978" s="17" t="s">
        <v>4694</v>
      </c>
      <c r="R3978" s="17" t="s">
        <v>2239</v>
      </c>
      <c r="S3978" s="17"/>
      <c r="T3978" s="17"/>
      <c r="U3978" s="17"/>
    </row>
    <row r="3979" spans="17:21" x14ac:dyDescent="0.25">
      <c r="Q3979" s="17" t="s">
        <v>4695</v>
      </c>
      <c r="R3979" s="17" t="s">
        <v>2239</v>
      </c>
      <c r="S3979" s="17"/>
      <c r="T3979" s="17"/>
      <c r="U3979" s="17"/>
    </row>
    <row r="3980" spans="17:21" x14ac:dyDescent="0.25">
      <c r="Q3980" s="17" t="s">
        <v>4696</v>
      </c>
      <c r="R3980" s="17" t="s">
        <v>2239</v>
      </c>
      <c r="S3980" s="17"/>
      <c r="T3980" s="17"/>
      <c r="U3980" s="17"/>
    </row>
    <row r="3981" spans="17:21" x14ac:dyDescent="0.25">
      <c r="Q3981" s="17" t="s">
        <v>4697</v>
      </c>
      <c r="R3981" s="17" t="s">
        <v>2239</v>
      </c>
      <c r="S3981" s="17"/>
      <c r="T3981" s="17"/>
      <c r="U3981" s="17"/>
    </row>
    <row r="3982" spans="17:21" x14ac:dyDescent="0.25">
      <c r="Q3982" s="17" t="s">
        <v>4698</v>
      </c>
      <c r="R3982" s="17" t="s">
        <v>2239</v>
      </c>
      <c r="S3982" s="17"/>
      <c r="T3982" s="17"/>
      <c r="U3982" s="17"/>
    </row>
    <row r="3983" spans="17:21" x14ac:dyDescent="0.25">
      <c r="Q3983" s="17" t="s">
        <v>4699</v>
      </c>
      <c r="R3983" s="17" t="s">
        <v>2239</v>
      </c>
      <c r="S3983" s="17"/>
      <c r="T3983" s="17"/>
      <c r="U3983" s="17"/>
    </row>
    <row r="3984" spans="17:21" x14ac:dyDescent="0.25">
      <c r="Q3984" s="17" t="s">
        <v>4700</v>
      </c>
      <c r="R3984" s="17" t="s">
        <v>2239</v>
      </c>
      <c r="S3984" s="17"/>
      <c r="T3984" s="17"/>
      <c r="U3984" s="17"/>
    </row>
    <row r="3985" spans="17:21" x14ac:dyDescent="0.25">
      <c r="Q3985" s="17" t="s">
        <v>4701</v>
      </c>
      <c r="R3985" s="17" t="s">
        <v>2239</v>
      </c>
      <c r="S3985" s="17"/>
      <c r="T3985" s="17"/>
      <c r="U3985" s="17"/>
    </row>
    <row r="3986" spans="17:21" x14ac:dyDescent="0.25">
      <c r="Q3986" s="17" t="s">
        <v>4702</v>
      </c>
      <c r="R3986" s="17" t="s">
        <v>2239</v>
      </c>
      <c r="S3986" s="17"/>
      <c r="T3986" s="17"/>
      <c r="U3986" s="17"/>
    </row>
    <row r="3987" spans="17:21" x14ac:dyDescent="0.25">
      <c r="Q3987" s="17" t="s">
        <v>4703</v>
      </c>
      <c r="R3987" s="17" t="s">
        <v>2239</v>
      </c>
      <c r="S3987" s="17"/>
      <c r="T3987" s="17"/>
      <c r="U3987" s="17"/>
    </row>
    <row r="3988" spans="17:21" x14ac:dyDescent="0.25">
      <c r="Q3988" s="17" t="s">
        <v>4704</v>
      </c>
      <c r="R3988" s="17" t="s">
        <v>2239</v>
      </c>
      <c r="S3988" s="17"/>
      <c r="T3988" s="17"/>
      <c r="U3988" s="17"/>
    </row>
    <row r="3989" spans="17:21" x14ac:dyDescent="0.25">
      <c r="Q3989" s="17" t="s">
        <v>4705</v>
      </c>
      <c r="R3989" s="17" t="s">
        <v>2239</v>
      </c>
      <c r="S3989" s="17"/>
      <c r="T3989" s="17"/>
      <c r="U3989" s="17"/>
    </row>
    <row r="3990" spans="17:21" x14ac:dyDescent="0.25">
      <c r="Q3990" s="17" t="s">
        <v>4706</v>
      </c>
      <c r="R3990" s="17" t="s">
        <v>2239</v>
      </c>
      <c r="S3990" s="17"/>
      <c r="T3990" s="17"/>
      <c r="U3990" s="17"/>
    </row>
    <row r="3991" spans="17:21" x14ac:dyDescent="0.25">
      <c r="Q3991" s="17" t="s">
        <v>4707</v>
      </c>
      <c r="R3991" s="17" t="s">
        <v>2239</v>
      </c>
      <c r="S3991" s="17"/>
      <c r="T3991" s="17"/>
      <c r="U3991" s="17"/>
    </row>
    <row r="3992" spans="17:21" x14ac:dyDescent="0.25">
      <c r="Q3992" s="17" t="s">
        <v>4708</v>
      </c>
      <c r="R3992" s="17" t="s">
        <v>2239</v>
      </c>
      <c r="S3992" s="17"/>
      <c r="T3992" s="17"/>
      <c r="U3992" s="17"/>
    </row>
    <row r="3993" spans="17:21" x14ac:dyDescent="0.25">
      <c r="Q3993" s="17" t="s">
        <v>4709</v>
      </c>
      <c r="R3993" s="17" t="s">
        <v>2239</v>
      </c>
      <c r="S3993" s="17"/>
      <c r="T3993" s="17"/>
      <c r="U3993" s="17"/>
    </row>
    <row r="3994" spans="17:21" x14ac:dyDescent="0.25">
      <c r="Q3994" s="17" t="s">
        <v>4710</v>
      </c>
      <c r="R3994" s="17" t="s">
        <v>2239</v>
      </c>
      <c r="S3994" s="17"/>
      <c r="T3994" s="17"/>
      <c r="U3994" s="17"/>
    </row>
    <row r="3995" spans="17:21" x14ac:dyDescent="0.25">
      <c r="Q3995" s="17" t="s">
        <v>4711</v>
      </c>
      <c r="R3995" s="17" t="s">
        <v>2239</v>
      </c>
      <c r="S3995" s="17"/>
      <c r="T3995" s="17"/>
      <c r="U3995" s="17"/>
    </row>
    <row r="3996" spans="17:21" x14ac:dyDescent="0.25">
      <c r="Q3996" s="17" t="s">
        <v>4712</v>
      </c>
      <c r="R3996" s="17" t="s">
        <v>2239</v>
      </c>
      <c r="S3996" s="17"/>
      <c r="T3996" s="17"/>
      <c r="U3996" s="17"/>
    </row>
    <row r="3997" spans="17:21" x14ac:dyDescent="0.25">
      <c r="Q3997" s="17" t="s">
        <v>4713</v>
      </c>
      <c r="R3997" s="17" t="s">
        <v>2239</v>
      </c>
      <c r="S3997" s="17"/>
      <c r="T3997" s="17"/>
      <c r="U3997" s="17"/>
    </row>
    <row r="3998" spans="17:21" x14ac:dyDescent="0.25">
      <c r="Q3998" s="17" t="s">
        <v>4714</v>
      </c>
      <c r="R3998" s="17" t="s">
        <v>2239</v>
      </c>
      <c r="S3998" s="17"/>
      <c r="T3998" s="17"/>
      <c r="U3998" s="17"/>
    </row>
    <row r="3999" spans="17:21" x14ac:dyDescent="0.25">
      <c r="Q3999" s="17" t="s">
        <v>4715</v>
      </c>
      <c r="R3999" s="17" t="s">
        <v>2239</v>
      </c>
      <c r="S3999" s="17"/>
      <c r="T3999" s="17"/>
      <c r="U3999" s="17"/>
    </row>
    <row r="4000" spans="17:21" x14ac:dyDescent="0.25">
      <c r="Q4000" s="17" t="s">
        <v>4716</v>
      </c>
      <c r="R4000" s="17" t="s">
        <v>2239</v>
      </c>
      <c r="S4000" s="17"/>
      <c r="T4000" s="17"/>
      <c r="U4000" s="17"/>
    </row>
    <row r="4001" spans="17:21" x14ac:dyDescent="0.25">
      <c r="Q4001" s="17" t="s">
        <v>4717</v>
      </c>
      <c r="R4001" s="17" t="s">
        <v>2239</v>
      </c>
      <c r="S4001" s="17"/>
      <c r="T4001" s="17"/>
      <c r="U4001" s="17"/>
    </row>
    <row r="4002" spans="17:21" x14ac:dyDescent="0.25">
      <c r="Q4002" s="17" t="s">
        <v>4718</v>
      </c>
      <c r="R4002" s="17" t="s">
        <v>2239</v>
      </c>
      <c r="S4002" s="17"/>
      <c r="T4002" s="17"/>
      <c r="U4002" s="17"/>
    </row>
    <row r="4003" spans="17:21" x14ac:dyDescent="0.25">
      <c r="Q4003" s="17" t="s">
        <v>4719</v>
      </c>
      <c r="R4003" s="17" t="s">
        <v>2239</v>
      </c>
      <c r="S4003" s="17"/>
      <c r="T4003" s="17"/>
      <c r="U4003" s="17"/>
    </row>
    <row r="4004" spans="17:21" x14ac:dyDescent="0.25">
      <c r="Q4004" s="17" t="s">
        <v>4720</v>
      </c>
      <c r="R4004" s="17" t="s">
        <v>2239</v>
      </c>
      <c r="S4004" s="17"/>
      <c r="T4004" s="17"/>
      <c r="U4004" s="17"/>
    </row>
    <row r="4005" spans="17:21" x14ac:dyDescent="0.25">
      <c r="Q4005" s="17" t="s">
        <v>4721</v>
      </c>
      <c r="R4005" s="17" t="s">
        <v>2239</v>
      </c>
      <c r="S4005" s="17"/>
      <c r="T4005" s="17"/>
      <c r="U4005" s="17"/>
    </row>
    <row r="4006" spans="17:21" x14ac:dyDescent="0.25">
      <c r="Q4006" s="17" t="s">
        <v>4722</v>
      </c>
      <c r="R4006" s="17" t="s">
        <v>2239</v>
      </c>
      <c r="S4006" s="17"/>
      <c r="T4006" s="17"/>
      <c r="U4006" s="17"/>
    </row>
    <row r="4007" spans="17:21" x14ac:dyDescent="0.25">
      <c r="Q4007" s="17" t="s">
        <v>4723</v>
      </c>
      <c r="R4007" s="17" t="s">
        <v>2239</v>
      </c>
      <c r="S4007" s="17"/>
      <c r="T4007" s="17"/>
      <c r="U4007" s="17"/>
    </row>
    <row r="4008" spans="17:21" x14ac:dyDescent="0.25">
      <c r="Q4008" s="17" t="s">
        <v>4724</v>
      </c>
      <c r="R4008" s="17" t="s">
        <v>2239</v>
      </c>
      <c r="S4008" s="17"/>
      <c r="T4008" s="17"/>
      <c r="U4008" s="17"/>
    </row>
    <row r="4009" spans="17:21" x14ac:dyDescent="0.25">
      <c r="Q4009" s="17" t="s">
        <v>4725</v>
      </c>
      <c r="R4009" s="17" t="s">
        <v>2239</v>
      </c>
      <c r="S4009" s="17"/>
      <c r="T4009" s="17"/>
      <c r="U4009" s="17"/>
    </row>
    <row r="4010" spans="17:21" x14ac:dyDescent="0.25">
      <c r="Q4010" s="17" t="s">
        <v>4726</v>
      </c>
      <c r="R4010" s="17" t="s">
        <v>2239</v>
      </c>
      <c r="S4010" s="17"/>
      <c r="T4010" s="17"/>
      <c r="U4010" s="17"/>
    </row>
    <row r="4011" spans="17:21" x14ac:dyDescent="0.25">
      <c r="Q4011" s="17" t="s">
        <v>4727</v>
      </c>
      <c r="R4011" s="17" t="s">
        <v>2239</v>
      </c>
      <c r="S4011" s="17"/>
      <c r="T4011" s="17"/>
      <c r="U4011" s="17"/>
    </row>
    <row r="4012" spans="17:21" x14ac:dyDescent="0.25">
      <c r="Q4012" s="17" t="s">
        <v>4728</v>
      </c>
      <c r="R4012" s="17" t="s">
        <v>2239</v>
      </c>
      <c r="S4012" s="17"/>
      <c r="T4012" s="17"/>
      <c r="U4012" s="17"/>
    </row>
    <row r="4013" spans="17:21" x14ac:dyDescent="0.25">
      <c r="Q4013" s="17" t="s">
        <v>4729</v>
      </c>
      <c r="R4013" s="17" t="s">
        <v>2239</v>
      </c>
      <c r="S4013" s="17"/>
      <c r="T4013" s="17"/>
      <c r="U4013" s="17"/>
    </row>
    <row r="4014" spans="17:21" x14ac:dyDescent="0.25">
      <c r="Q4014" s="17" t="s">
        <v>4730</v>
      </c>
      <c r="R4014" s="17" t="s">
        <v>2239</v>
      </c>
      <c r="S4014" s="17"/>
      <c r="T4014" s="17"/>
      <c r="U4014" s="17"/>
    </row>
    <row r="4015" spans="17:21" x14ac:dyDescent="0.25">
      <c r="Q4015" s="17" t="s">
        <v>4731</v>
      </c>
      <c r="R4015" s="17" t="s">
        <v>2239</v>
      </c>
      <c r="S4015" s="17"/>
      <c r="T4015" s="17"/>
      <c r="U4015" s="17"/>
    </row>
    <row r="4016" spans="17:21" x14ac:dyDescent="0.25">
      <c r="Q4016" s="17" t="s">
        <v>4732</v>
      </c>
      <c r="R4016" s="17" t="s">
        <v>2239</v>
      </c>
      <c r="S4016" s="17"/>
      <c r="T4016" s="17"/>
      <c r="U4016" s="17"/>
    </row>
    <row r="4017" spans="17:21" x14ac:dyDescent="0.25">
      <c r="Q4017" s="17" t="s">
        <v>4733</v>
      </c>
      <c r="R4017" s="17" t="s">
        <v>2239</v>
      </c>
      <c r="S4017" s="17"/>
      <c r="T4017" s="17"/>
      <c r="U4017" s="17"/>
    </row>
    <row r="4018" spans="17:21" x14ac:dyDescent="0.25">
      <c r="Q4018" s="17" t="s">
        <v>4734</v>
      </c>
      <c r="R4018" s="17" t="s">
        <v>2239</v>
      </c>
      <c r="S4018" s="17"/>
      <c r="T4018" s="17"/>
      <c r="U4018" s="17"/>
    </row>
    <row r="4019" spans="17:21" x14ac:dyDescent="0.25">
      <c r="Q4019" s="17" t="s">
        <v>4735</v>
      </c>
      <c r="R4019" s="17" t="s">
        <v>3999</v>
      </c>
      <c r="S4019" s="17"/>
      <c r="T4019" s="17"/>
      <c r="U4019" s="17"/>
    </row>
    <row r="4020" spans="17:21" x14ac:dyDescent="0.25">
      <c r="Q4020" s="17" t="s">
        <v>4736</v>
      </c>
      <c r="R4020" s="17" t="s">
        <v>2239</v>
      </c>
      <c r="S4020" s="17"/>
      <c r="T4020" s="17"/>
      <c r="U4020" s="17"/>
    </row>
    <row r="4021" spans="17:21" x14ac:dyDescent="0.25">
      <c r="Q4021" s="17" t="s">
        <v>4737</v>
      </c>
      <c r="R4021" s="17" t="s">
        <v>2239</v>
      </c>
      <c r="S4021" s="17"/>
      <c r="T4021" s="17"/>
      <c r="U4021" s="17"/>
    </row>
    <row r="4022" spans="17:21" x14ac:dyDescent="0.25">
      <c r="Q4022" s="17" t="s">
        <v>4738</v>
      </c>
      <c r="R4022" s="17" t="s">
        <v>2239</v>
      </c>
      <c r="S4022" s="17"/>
      <c r="T4022" s="17"/>
      <c r="U4022" s="17"/>
    </row>
    <row r="4023" spans="17:21" x14ac:dyDescent="0.25">
      <c r="Q4023" s="17" t="s">
        <v>4739</v>
      </c>
      <c r="R4023" s="17" t="s">
        <v>2239</v>
      </c>
      <c r="S4023" s="17"/>
      <c r="T4023" s="17"/>
      <c r="U4023" s="17"/>
    </row>
    <row r="4024" spans="17:21" x14ac:dyDescent="0.25">
      <c r="Q4024" s="17" t="s">
        <v>4740</v>
      </c>
      <c r="R4024" s="17" t="s">
        <v>3999</v>
      </c>
      <c r="S4024" s="17"/>
      <c r="T4024" s="17"/>
      <c r="U4024" s="17"/>
    </row>
    <row r="4025" spans="17:21" x14ac:dyDescent="0.25">
      <c r="Q4025" s="17" t="s">
        <v>4741</v>
      </c>
      <c r="R4025" s="17" t="s">
        <v>3999</v>
      </c>
      <c r="S4025" s="17"/>
      <c r="T4025" s="17"/>
      <c r="U4025" s="17"/>
    </row>
    <row r="4026" spans="17:21" x14ac:dyDescent="0.25">
      <c r="Q4026" s="17" t="s">
        <v>4742</v>
      </c>
      <c r="R4026" s="17" t="s">
        <v>2239</v>
      </c>
      <c r="S4026" s="17"/>
      <c r="T4026" s="17"/>
      <c r="U4026" s="17"/>
    </row>
    <row r="4027" spans="17:21" x14ac:dyDescent="0.25">
      <c r="Q4027" s="17" t="s">
        <v>4743</v>
      </c>
      <c r="R4027" s="17" t="s">
        <v>2239</v>
      </c>
      <c r="S4027" s="17"/>
      <c r="T4027" s="17"/>
      <c r="U4027" s="17"/>
    </row>
    <row r="4028" spans="17:21" x14ac:dyDescent="0.25">
      <c r="Q4028" s="17" t="s">
        <v>4744</v>
      </c>
      <c r="R4028" s="17" t="s">
        <v>2239</v>
      </c>
      <c r="S4028" s="17"/>
      <c r="T4028" s="17"/>
      <c r="U4028" s="17"/>
    </row>
    <row r="4029" spans="17:21" x14ac:dyDescent="0.25">
      <c r="Q4029" s="17" t="s">
        <v>4745</v>
      </c>
      <c r="R4029" s="17" t="s">
        <v>2239</v>
      </c>
      <c r="S4029" s="17"/>
      <c r="T4029" s="17"/>
      <c r="U4029" s="17"/>
    </row>
    <row r="4030" spans="17:21" x14ac:dyDescent="0.25">
      <c r="Q4030" s="17" t="s">
        <v>4746</v>
      </c>
      <c r="R4030" s="17" t="s">
        <v>2239</v>
      </c>
      <c r="S4030" s="17"/>
      <c r="T4030" s="17"/>
      <c r="U4030" s="17"/>
    </row>
    <row r="4031" spans="17:21" x14ac:dyDescent="0.25">
      <c r="Q4031" s="17" t="s">
        <v>4747</v>
      </c>
      <c r="R4031" s="17" t="s">
        <v>2239</v>
      </c>
      <c r="S4031" s="17"/>
      <c r="T4031" s="17"/>
      <c r="U4031" s="17"/>
    </row>
    <row r="4032" spans="17:21" x14ac:dyDescent="0.25">
      <c r="Q4032" s="17" t="s">
        <v>4748</v>
      </c>
      <c r="R4032" s="17" t="s">
        <v>2239</v>
      </c>
      <c r="S4032" s="17"/>
      <c r="T4032" s="17"/>
      <c r="U4032" s="17"/>
    </row>
    <row r="4033" spans="17:21" x14ac:dyDescent="0.25">
      <c r="Q4033" s="17" t="s">
        <v>4749</v>
      </c>
      <c r="R4033" s="17" t="s">
        <v>2239</v>
      </c>
      <c r="S4033" s="17"/>
      <c r="T4033" s="17"/>
      <c r="U4033" s="17"/>
    </row>
    <row r="4034" spans="17:21" x14ac:dyDescent="0.25">
      <c r="Q4034" s="17" t="s">
        <v>4750</v>
      </c>
      <c r="R4034" s="17" t="s">
        <v>2239</v>
      </c>
      <c r="S4034" s="17"/>
      <c r="T4034" s="17"/>
      <c r="U4034" s="17"/>
    </row>
    <row r="4035" spans="17:21" x14ac:dyDescent="0.25">
      <c r="Q4035" s="17" t="s">
        <v>4751</v>
      </c>
      <c r="R4035" s="17" t="s">
        <v>2239</v>
      </c>
      <c r="S4035" s="17"/>
      <c r="T4035" s="17"/>
      <c r="U4035" s="17"/>
    </row>
    <row r="4036" spans="17:21" x14ac:dyDescent="0.25">
      <c r="Q4036" s="17" t="s">
        <v>4752</v>
      </c>
      <c r="R4036" s="17" t="s">
        <v>2239</v>
      </c>
      <c r="S4036" s="17"/>
      <c r="T4036" s="17"/>
      <c r="U4036" s="17"/>
    </row>
    <row r="4037" spans="17:21" x14ac:dyDescent="0.25">
      <c r="Q4037" s="17" t="s">
        <v>4753</v>
      </c>
      <c r="R4037" s="17" t="s">
        <v>2239</v>
      </c>
      <c r="S4037" s="17"/>
      <c r="T4037" s="17"/>
      <c r="U4037" s="17"/>
    </row>
    <row r="4038" spans="17:21" x14ac:dyDescent="0.25">
      <c r="Q4038" s="17" t="s">
        <v>4754</v>
      </c>
      <c r="R4038" s="17" t="s">
        <v>2239</v>
      </c>
      <c r="S4038" s="17"/>
      <c r="T4038" s="17"/>
      <c r="U4038" s="17"/>
    </row>
    <row r="4039" spans="17:21" x14ac:dyDescent="0.25">
      <c r="Q4039" s="17" t="s">
        <v>4755</v>
      </c>
      <c r="R4039" s="17" t="s">
        <v>2239</v>
      </c>
      <c r="S4039" s="17"/>
      <c r="T4039" s="17"/>
      <c r="U4039" s="17"/>
    </row>
    <row r="4040" spans="17:21" x14ac:dyDescent="0.25">
      <c r="Q4040" s="17" t="s">
        <v>4756</v>
      </c>
      <c r="R4040" s="17" t="s">
        <v>2675</v>
      </c>
      <c r="S4040" s="17"/>
      <c r="T4040" s="17"/>
      <c r="U4040" s="17"/>
    </row>
    <row r="4041" spans="17:21" x14ac:dyDescent="0.25">
      <c r="Q4041" s="17" t="s">
        <v>4757</v>
      </c>
      <c r="R4041" s="17" t="s">
        <v>2675</v>
      </c>
      <c r="S4041" s="17"/>
      <c r="T4041" s="17"/>
      <c r="U4041" s="17"/>
    </row>
    <row r="4042" spans="17:21" x14ac:dyDescent="0.25">
      <c r="Q4042" s="17" t="s">
        <v>4758</v>
      </c>
      <c r="R4042" s="17" t="s">
        <v>2675</v>
      </c>
      <c r="S4042" s="17"/>
      <c r="T4042" s="17"/>
      <c r="U4042" s="17"/>
    </row>
    <row r="4043" spans="17:21" x14ac:dyDescent="0.25">
      <c r="Q4043" s="17" t="s">
        <v>4759</v>
      </c>
      <c r="R4043" s="17" t="s">
        <v>2675</v>
      </c>
      <c r="S4043" s="17"/>
      <c r="T4043" s="17"/>
      <c r="U4043" s="17"/>
    </row>
    <row r="4044" spans="17:21" x14ac:dyDescent="0.25">
      <c r="Q4044" s="17" t="s">
        <v>4760</v>
      </c>
      <c r="R4044" s="17" t="s">
        <v>2675</v>
      </c>
      <c r="S4044" s="17"/>
      <c r="T4044" s="17"/>
      <c r="U4044" s="17"/>
    </row>
    <row r="4045" spans="17:21" x14ac:dyDescent="0.25">
      <c r="Q4045" s="17" t="s">
        <v>4761</v>
      </c>
      <c r="R4045" s="17" t="s">
        <v>2675</v>
      </c>
      <c r="S4045" s="17"/>
      <c r="T4045" s="17"/>
      <c r="U4045" s="17"/>
    </row>
    <row r="4046" spans="17:21" x14ac:dyDescent="0.25">
      <c r="Q4046" s="17" t="s">
        <v>4762</v>
      </c>
      <c r="R4046" s="17" t="s">
        <v>2675</v>
      </c>
      <c r="S4046" s="17"/>
      <c r="T4046" s="17"/>
      <c r="U4046" s="17"/>
    </row>
    <row r="4047" spans="17:21" x14ac:dyDescent="0.25">
      <c r="Q4047" s="17" t="s">
        <v>4763</v>
      </c>
      <c r="R4047" s="17" t="s">
        <v>2675</v>
      </c>
      <c r="S4047" s="17"/>
      <c r="T4047" s="17"/>
      <c r="U4047" s="17"/>
    </row>
    <row r="4048" spans="17:21" x14ac:dyDescent="0.25">
      <c r="Q4048" s="17" t="s">
        <v>4764</v>
      </c>
      <c r="R4048" s="17" t="s">
        <v>2675</v>
      </c>
      <c r="S4048" s="17"/>
      <c r="T4048" s="17"/>
      <c r="U4048" s="17"/>
    </row>
    <row r="4049" spans="17:21" x14ac:dyDescent="0.25">
      <c r="Q4049" s="17" t="s">
        <v>4765</v>
      </c>
      <c r="R4049" s="17" t="s">
        <v>2675</v>
      </c>
      <c r="S4049" s="17"/>
      <c r="T4049" s="17"/>
      <c r="U4049" s="17"/>
    </row>
    <row r="4050" spans="17:21" x14ac:dyDescent="0.25">
      <c r="Q4050" s="17" t="s">
        <v>4766</v>
      </c>
      <c r="R4050" s="17" t="s">
        <v>2675</v>
      </c>
      <c r="S4050" s="17"/>
      <c r="T4050" s="17"/>
      <c r="U4050" s="17"/>
    </row>
    <row r="4051" spans="17:21" x14ac:dyDescent="0.25">
      <c r="Q4051" s="17" t="s">
        <v>4767</v>
      </c>
      <c r="R4051" s="17" t="s">
        <v>2675</v>
      </c>
      <c r="S4051" s="17"/>
      <c r="T4051" s="17"/>
      <c r="U4051" s="17"/>
    </row>
    <row r="4052" spans="17:21" x14ac:dyDescent="0.25">
      <c r="Q4052" s="17" t="s">
        <v>4768</v>
      </c>
      <c r="R4052" s="17" t="s">
        <v>2675</v>
      </c>
      <c r="S4052" s="17"/>
      <c r="T4052" s="17"/>
      <c r="U4052" s="17"/>
    </row>
    <row r="4053" spans="17:21" x14ac:dyDescent="0.25">
      <c r="Q4053" s="17" t="s">
        <v>4769</v>
      </c>
      <c r="R4053" s="17" t="s">
        <v>289</v>
      </c>
      <c r="S4053" s="17"/>
      <c r="T4053" s="17"/>
      <c r="U4053" s="17"/>
    </row>
    <row r="4054" spans="17:21" x14ac:dyDescent="0.25">
      <c r="Q4054" s="17" t="s">
        <v>818</v>
      </c>
      <c r="R4054" s="17" t="s">
        <v>289</v>
      </c>
      <c r="S4054" s="17"/>
      <c r="T4054" s="17"/>
      <c r="U4054" s="17"/>
    </row>
    <row r="4055" spans="17:21" x14ac:dyDescent="0.25">
      <c r="Q4055" s="17" t="s">
        <v>4770</v>
      </c>
      <c r="R4055" s="17" t="s">
        <v>289</v>
      </c>
      <c r="S4055" s="17"/>
      <c r="T4055" s="17"/>
      <c r="U4055" s="17"/>
    </row>
    <row r="4056" spans="17:21" x14ac:dyDescent="0.25">
      <c r="Q4056" s="17" t="s">
        <v>4771</v>
      </c>
      <c r="R4056" s="17" t="s">
        <v>289</v>
      </c>
      <c r="S4056" s="17"/>
      <c r="T4056" s="17"/>
      <c r="U4056" s="17"/>
    </row>
    <row r="4057" spans="17:21" x14ac:dyDescent="0.25">
      <c r="Q4057" s="17" t="s">
        <v>1096</v>
      </c>
      <c r="R4057" s="17" t="s">
        <v>289</v>
      </c>
      <c r="S4057" s="17"/>
      <c r="T4057" s="17"/>
      <c r="U4057" s="17"/>
    </row>
    <row r="4058" spans="17:21" x14ac:dyDescent="0.25">
      <c r="Q4058" s="17" t="s">
        <v>4772</v>
      </c>
      <c r="R4058" s="17" t="s">
        <v>289</v>
      </c>
      <c r="S4058" s="17"/>
      <c r="T4058" s="17"/>
      <c r="U4058" s="17"/>
    </row>
    <row r="4059" spans="17:21" x14ac:dyDescent="0.25">
      <c r="Q4059" s="17" t="s">
        <v>4773</v>
      </c>
      <c r="R4059" s="17" t="s">
        <v>289</v>
      </c>
      <c r="S4059" s="17"/>
      <c r="T4059" s="17"/>
      <c r="U4059" s="17"/>
    </row>
    <row r="4060" spans="17:21" x14ac:dyDescent="0.25">
      <c r="Q4060" s="17" t="s">
        <v>4774</v>
      </c>
      <c r="R4060" s="17" t="s">
        <v>289</v>
      </c>
      <c r="S4060" s="17"/>
      <c r="T4060" s="17"/>
      <c r="U4060" s="17"/>
    </row>
    <row r="4061" spans="17:21" x14ac:dyDescent="0.25">
      <c r="Q4061" s="17" t="s">
        <v>4775</v>
      </c>
      <c r="R4061" s="17" t="s">
        <v>289</v>
      </c>
      <c r="S4061" s="17"/>
      <c r="T4061" s="17"/>
      <c r="U4061" s="17"/>
    </row>
    <row r="4062" spans="17:21" x14ac:dyDescent="0.25">
      <c r="Q4062" s="17" t="s">
        <v>4776</v>
      </c>
      <c r="R4062" s="17" t="s">
        <v>289</v>
      </c>
      <c r="S4062" s="17"/>
      <c r="T4062" s="17"/>
      <c r="U4062" s="17"/>
    </row>
    <row r="4063" spans="17:21" x14ac:dyDescent="0.25">
      <c r="Q4063" s="17" t="s">
        <v>4777</v>
      </c>
      <c r="R4063" s="17" t="s">
        <v>289</v>
      </c>
      <c r="S4063" s="17"/>
      <c r="T4063" s="17"/>
      <c r="U4063" s="17"/>
    </row>
    <row r="4064" spans="17:21" x14ac:dyDescent="0.25">
      <c r="Q4064" s="17" t="s">
        <v>4778</v>
      </c>
      <c r="R4064" s="17" t="s">
        <v>289</v>
      </c>
      <c r="S4064" s="17"/>
      <c r="T4064" s="17"/>
      <c r="U4064" s="17"/>
    </row>
    <row r="4065" spans="17:21" x14ac:dyDescent="0.25">
      <c r="Q4065" s="17" t="s">
        <v>4779</v>
      </c>
      <c r="R4065" s="17" t="s">
        <v>289</v>
      </c>
      <c r="S4065" s="17"/>
      <c r="T4065" s="17"/>
      <c r="U4065" s="17"/>
    </row>
    <row r="4066" spans="17:21" x14ac:dyDescent="0.25">
      <c r="Q4066" s="17" t="s">
        <v>1218</v>
      </c>
      <c r="R4066" s="17" t="s">
        <v>289</v>
      </c>
      <c r="S4066" s="17"/>
      <c r="T4066" s="17"/>
      <c r="U4066" s="17"/>
    </row>
    <row r="4067" spans="17:21" x14ac:dyDescent="0.25">
      <c r="Q4067" s="17" t="s">
        <v>4780</v>
      </c>
      <c r="R4067" s="17" t="s">
        <v>289</v>
      </c>
      <c r="S4067" s="17"/>
      <c r="T4067" s="17"/>
      <c r="U4067" s="17"/>
    </row>
    <row r="4068" spans="17:21" x14ac:dyDescent="0.25">
      <c r="Q4068" s="17" t="s">
        <v>4781</v>
      </c>
      <c r="R4068" s="17" t="s">
        <v>289</v>
      </c>
      <c r="S4068" s="17"/>
      <c r="T4068" s="17"/>
      <c r="U4068" s="17"/>
    </row>
    <row r="4069" spans="17:21" x14ac:dyDescent="0.25">
      <c r="Q4069" s="17" t="s">
        <v>4782</v>
      </c>
      <c r="R4069" s="17" t="s">
        <v>289</v>
      </c>
      <c r="S4069" s="17"/>
      <c r="T4069" s="17"/>
      <c r="U4069" s="17"/>
    </row>
    <row r="4070" spans="17:21" x14ac:dyDescent="0.25">
      <c r="Q4070" s="17" t="s">
        <v>4783</v>
      </c>
      <c r="R4070" s="17" t="s">
        <v>289</v>
      </c>
      <c r="S4070" s="17"/>
      <c r="T4070" s="17"/>
      <c r="U4070" s="17"/>
    </row>
    <row r="4071" spans="17:21" x14ac:dyDescent="0.25">
      <c r="Q4071" s="17" t="s">
        <v>4784</v>
      </c>
      <c r="R4071" s="17" t="s">
        <v>289</v>
      </c>
      <c r="S4071" s="17"/>
      <c r="T4071" s="17"/>
      <c r="U4071" s="17"/>
    </row>
    <row r="4072" spans="17:21" x14ac:dyDescent="0.25">
      <c r="Q4072" s="17" t="s">
        <v>4785</v>
      </c>
      <c r="R4072" s="17" t="s">
        <v>289</v>
      </c>
      <c r="S4072" s="17"/>
      <c r="T4072" s="17"/>
      <c r="U4072" s="17"/>
    </row>
    <row r="4073" spans="17:21" x14ac:dyDescent="0.25">
      <c r="Q4073" s="17" t="s">
        <v>4786</v>
      </c>
      <c r="R4073" s="17" t="s">
        <v>289</v>
      </c>
      <c r="S4073" s="17"/>
      <c r="T4073" s="17"/>
      <c r="U4073" s="17"/>
    </row>
    <row r="4074" spans="17:21" x14ac:dyDescent="0.25">
      <c r="Q4074" s="17" t="s">
        <v>950</v>
      </c>
      <c r="R4074" s="17" t="s">
        <v>289</v>
      </c>
      <c r="S4074" s="17"/>
      <c r="T4074" s="17"/>
      <c r="U4074" s="17"/>
    </row>
    <row r="4075" spans="17:21" x14ac:dyDescent="0.25">
      <c r="Q4075" s="17" t="s">
        <v>1292</v>
      </c>
      <c r="R4075" s="17" t="s">
        <v>289</v>
      </c>
      <c r="S4075" s="17"/>
      <c r="T4075" s="17"/>
      <c r="U4075" s="17"/>
    </row>
    <row r="4076" spans="17:21" x14ac:dyDescent="0.25">
      <c r="Q4076" s="17" t="s">
        <v>4787</v>
      </c>
      <c r="R4076" s="17" t="s">
        <v>289</v>
      </c>
      <c r="S4076" s="17"/>
      <c r="T4076" s="17"/>
      <c r="U4076" s="17"/>
    </row>
    <row r="4077" spans="17:21" x14ac:dyDescent="0.25">
      <c r="Q4077" s="17" t="s">
        <v>4788</v>
      </c>
      <c r="R4077" s="17" t="s">
        <v>289</v>
      </c>
      <c r="S4077" s="17"/>
      <c r="T4077" s="17"/>
      <c r="U4077" s="17"/>
    </row>
    <row r="4078" spans="17:21" x14ac:dyDescent="0.25">
      <c r="Q4078" s="17" t="s">
        <v>4789</v>
      </c>
      <c r="R4078" s="17" t="s">
        <v>289</v>
      </c>
      <c r="S4078" s="17"/>
      <c r="T4078" s="17"/>
      <c r="U4078" s="17"/>
    </row>
    <row r="4079" spans="17:21" x14ac:dyDescent="0.25">
      <c r="Q4079" s="17" t="s">
        <v>4790</v>
      </c>
      <c r="R4079" s="17" t="s">
        <v>289</v>
      </c>
      <c r="S4079" s="17"/>
      <c r="T4079" s="17"/>
      <c r="U4079" s="17"/>
    </row>
    <row r="4080" spans="17:21" x14ac:dyDescent="0.25">
      <c r="Q4080" s="17" t="s">
        <v>4791</v>
      </c>
      <c r="R4080" s="17" t="s">
        <v>289</v>
      </c>
      <c r="S4080" s="17"/>
      <c r="T4080" s="17"/>
      <c r="U4080" s="17"/>
    </row>
    <row r="4081" spans="17:21" x14ac:dyDescent="0.25">
      <c r="Q4081" s="17" t="s">
        <v>4792</v>
      </c>
      <c r="R4081" s="17" t="s">
        <v>289</v>
      </c>
      <c r="S4081" s="17"/>
      <c r="T4081" s="17"/>
      <c r="U4081" s="17"/>
    </row>
    <row r="4082" spans="17:21" x14ac:dyDescent="0.25">
      <c r="Q4082" s="17" t="s">
        <v>4793</v>
      </c>
      <c r="R4082" s="17" t="s">
        <v>289</v>
      </c>
      <c r="S4082" s="17"/>
      <c r="T4082" s="17"/>
      <c r="U4082" s="17"/>
    </row>
    <row r="4083" spans="17:21" x14ac:dyDescent="0.25">
      <c r="Q4083" s="17" t="s">
        <v>4794</v>
      </c>
      <c r="R4083" s="17" t="s">
        <v>289</v>
      </c>
      <c r="S4083" s="17"/>
      <c r="T4083" s="17"/>
      <c r="U4083" s="17"/>
    </row>
    <row r="4084" spans="17:21" x14ac:dyDescent="0.25">
      <c r="Q4084" s="17" t="s">
        <v>1237</v>
      </c>
      <c r="R4084" s="17" t="s">
        <v>289</v>
      </c>
      <c r="S4084" s="17"/>
      <c r="T4084" s="17"/>
      <c r="U4084" s="17"/>
    </row>
    <row r="4085" spans="17:21" x14ac:dyDescent="0.25">
      <c r="Q4085" s="17" t="s">
        <v>1249</v>
      </c>
      <c r="R4085" s="17" t="s">
        <v>289</v>
      </c>
      <c r="S4085" s="17"/>
      <c r="T4085" s="17"/>
      <c r="U4085" s="17"/>
    </row>
    <row r="4086" spans="17:21" x14ac:dyDescent="0.25">
      <c r="Q4086" s="17" t="s">
        <v>4795</v>
      </c>
      <c r="R4086" s="17" t="s">
        <v>289</v>
      </c>
      <c r="S4086" s="17"/>
      <c r="T4086" s="17"/>
      <c r="U4086" s="17"/>
    </row>
    <row r="4087" spans="17:21" x14ac:dyDescent="0.25">
      <c r="Q4087" s="17" t="s">
        <v>4796</v>
      </c>
      <c r="R4087" s="17" t="s">
        <v>289</v>
      </c>
      <c r="S4087" s="17"/>
      <c r="T4087" s="17"/>
      <c r="U4087" s="17"/>
    </row>
    <row r="4088" spans="17:21" x14ac:dyDescent="0.25">
      <c r="Q4088" s="17" t="s">
        <v>4797</v>
      </c>
      <c r="R4088" s="17" t="s">
        <v>289</v>
      </c>
      <c r="S4088" s="17"/>
      <c r="T4088" s="17"/>
      <c r="U4088" s="17"/>
    </row>
    <row r="4089" spans="17:21" x14ac:dyDescent="0.25">
      <c r="Q4089" s="17" t="s">
        <v>4798</v>
      </c>
      <c r="R4089" s="17" t="s">
        <v>289</v>
      </c>
      <c r="S4089" s="17"/>
      <c r="T4089" s="17"/>
      <c r="U4089" s="17"/>
    </row>
    <row r="4090" spans="17:21" x14ac:dyDescent="0.25">
      <c r="Q4090" s="17" t="s">
        <v>4799</v>
      </c>
      <c r="R4090" s="17" t="s">
        <v>289</v>
      </c>
      <c r="S4090" s="17"/>
      <c r="T4090" s="17"/>
      <c r="U4090" s="17"/>
    </row>
    <row r="4091" spans="17:21" x14ac:dyDescent="0.25">
      <c r="Q4091" s="17" t="s">
        <v>4800</v>
      </c>
      <c r="R4091" s="17" t="s">
        <v>289</v>
      </c>
      <c r="S4091" s="17"/>
      <c r="T4091" s="17"/>
      <c r="U4091" s="17"/>
    </row>
    <row r="4092" spans="17:21" x14ac:dyDescent="0.25">
      <c r="Q4092" s="17" t="s">
        <v>4801</v>
      </c>
      <c r="R4092" s="17" t="s">
        <v>289</v>
      </c>
      <c r="S4092" s="17"/>
      <c r="T4092" s="17"/>
      <c r="U4092" s="17"/>
    </row>
    <row r="4093" spans="17:21" x14ac:dyDescent="0.25">
      <c r="Q4093" s="17" t="s">
        <v>4802</v>
      </c>
      <c r="R4093" s="17" t="s">
        <v>289</v>
      </c>
      <c r="S4093" s="17"/>
      <c r="T4093" s="17"/>
      <c r="U4093" s="17"/>
    </row>
    <row r="4094" spans="17:21" x14ac:dyDescent="0.25">
      <c r="Q4094" s="17" t="s">
        <v>4803</v>
      </c>
      <c r="R4094" s="17" t="s">
        <v>289</v>
      </c>
      <c r="S4094" s="17"/>
      <c r="T4094" s="17"/>
      <c r="U4094" s="17"/>
    </row>
    <row r="4095" spans="17:21" x14ac:dyDescent="0.25">
      <c r="Q4095" s="17" t="s">
        <v>4804</v>
      </c>
      <c r="R4095" s="17" t="s">
        <v>289</v>
      </c>
      <c r="S4095" s="17"/>
      <c r="T4095" s="17"/>
      <c r="U4095" s="17"/>
    </row>
    <row r="4096" spans="17:21" x14ac:dyDescent="0.25">
      <c r="Q4096" s="17" t="s">
        <v>4805</v>
      </c>
      <c r="R4096" s="17" t="s">
        <v>289</v>
      </c>
      <c r="S4096" s="17"/>
      <c r="T4096" s="17"/>
      <c r="U4096" s="17"/>
    </row>
    <row r="4097" spans="17:21" x14ac:dyDescent="0.25">
      <c r="Q4097" s="17" t="s">
        <v>4806</v>
      </c>
      <c r="R4097" s="17" t="s">
        <v>289</v>
      </c>
      <c r="S4097" s="17"/>
      <c r="T4097" s="17"/>
      <c r="U4097" s="17"/>
    </row>
    <row r="4098" spans="17:21" x14ac:dyDescent="0.25">
      <c r="Q4098" s="17" t="s">
        <v>4807</v>
      </c>
      <c r="R4098" s="17" t="s">
        <v>289</v>
      </c>
      <c r="S4098" s="17"/>
      <c r="T4098" s="17"/>
      <c r="U4098" s="17"/>
    </row>
    <row r="4099" spans="17:21" x14ac:dyDescent="0.25">
      <c r="Q4099" s="17" t="s">
        <v>4808</v>
      </c>
      <c r="R4099" s="17" t="s">
        <v>289</v>
      </c>
      <c r="S4099" s="17"/>
      <c r="T4099" s="17"/>
      <c r="U4099" s="17"/>
    </row>
    <row r="4100" spans="17:21" x14ac:dyDescent="0.25">
      <c r="Q4100" s="17" t="s">
        <v>4809</v>
      </c>
      <c r="R4100" s="17" t="s">
        <v>289</v>
      </c>
      <c r="S4100" s="17"/>
      <c r="T4100" s="17"/>
      <c r="U4100" s="17"/>
    </row>
    <row r="4101" spans="17:21" x14ac:dyDescent="0.25">
      <c r="Q4101" s="17" t="s">
        <v>4810</v>
      </c>
      <c r="R4101" s="17" t="s">
        <v>289</v>
      </c>
      <c r="S4101" s="17"/>
      <c r="T4101" s="17"/>
      <c r="U4101" s="17"/>
    </row>
    <row r="4102" spans="17:21" x14ac:dyDescent="0.25">
      <c r="Q4102" s="17" t="s">
        <v>4811</v>
      </c>
      <c r="R4102" s="17" t="s">
        <v>289</v>
      </c>
      <c r="S4102" s="17"/>
      <c r="T4102" s="17"/>
      <c r="U4102" s="17"/>
    </row>
    <row r="4103" spans="17:21" x14ac:dyDescent="0.25">
      <c r="Q4103" s="17" t="s">
        <v>4812</v>
      </c>
      <c r="R4103" s="17" t="s">
        <v>289</v>
      </c>
      <c r="S4103" s="17"/>
      <c r="T4103" s="17"/>
      <c r="U4103" s="17"/>
    </row>
    <row r="4104" spans="17:21" x14ac:dyDescent="0.25">
      <c r="Q4104" s="17" t="s">
        <v>4813</v>
      </c>
      <c r="R4104" s="17" t="s">
        <v>289</v>
      </c>
      <c r="S4104" s="17"/>
      <c r="T4104" s="17"/>
      <c r="U4104" s="17"/>
    </row>
    <row r="4105" spans="17:21" x14ac:dyDescent="0.25">
      <c r="Q4105" s="17" t="s">
        <v>4814</v>
      </c>
      <c r="R4105" s="17" t="s">
        <v>289</v>
      </c>
      <c r="S4105" s="17"/>
      <c r="T4105" s="17"/>
      <c r="U4105" s="17"/>
    </row>
    <row r="4106" spans="17:21" x14ac:dyDescent="0.25">
      <c r="Q4106" s="17" t="s">
        <v>4815</v>
      </c>
      <c r="R4106" s="17" t="s">
        <v>289</v>
      </c>
      <c r="S4106" s="17"/>
      <c r="T4106" s="17"/>
      <c r="U4106" s="17"/>
    </row>
    <row r="4107" spans="17:21" x14ac:dyDescent="0.25">
      <c r="Q4107" s="17" t="s">
        <v>4816</v>
      </c>
      <c r="R4107" s="17" t="s">
        <v>289</v>
      </c>
      <c r="S4107" s="17"/>
      <c r="T4107" s="17"/>
      <c r="U4107" s="17"/>
    </row>
    <row r="4108" spans="17:21" x14ac:dyDescent="0.25">
      <c r="Q4108" s="17" t="s">
        <v>4817</v>
      </c>
      <c r="R4108" s="17" t="s">
        <v>289</v>
      </c>
      <c r="S4108" s="17"/>
      <c r="T4108" s="17"/>
      <c r="U4108" s="17"/>
    </row>
    <row r="4109" spans="17:21" x14ac:dyDescent="0.25">
      <c r="Q4109" s="17" t="s">
        <v>546</v>
      </c>
      <c r="R4109" s="17" t="s">
        <v>289</v>
      </c>
      <c r="S4109" s="17"/>
      <c r="T4109" s="17"/>
      <c r="U4109" s="17"/>
    </row>
    <row r="4110" spans="17:21" x14ac:dyDescent="0.25">
      <c r="Q4110" s="17" t="s">
        <v>4818</v>
      </c>
      <c r="R4110" s="17" t="s">
        <v>289</v>
      </c>
      <c r="S4110" s="17"/>
      <c r="T4110" s="17"/>
      <c r="U4110" s="17"/>
    </row>
    <row r="4111" spans="17:21" x14ac:dyDescent="0.25">
      <c r="Q4111" s="17" t="s">
        <v>819</v>
      </c>
      <c r="R4111" s="17" t="s">
        <v>289</v>
      </c>
      <c r="S4111" s="17"/>
      <c r="T4111" s="17"/>
      <c r="U4111" s="17"/>
    </row>
    <row r="4112" spans="17:21" x14ac:dyDescent="0.25">
      <c r="Q4112" s="17" t="s">
        <v>820</v>
      </c>
      <c r="R4112" s="17" t="s">
        <v>289</v>
      </c>
      <c r="S4112" s="17"/>
      <c r="T4112" s="17"/>
      <c r="U4112" s="17"/>
    </row>
    <row r="4113" spans="17:21" x14ac:dyDescent="0.25">
      <c r="Q4113" s="17" t="s">
        <v>4819</v>
      </c>
      <c r="R4113" s="17" t="s">
        <v>289</v>
      </c>
      <c r="S4113" s="17"/>
      <c r="T4113" s="17"/>
      <c r="U4113" s="17"/>
    </row>
    <row r="4114" spans="17:21" x14ac:dyDescent="0.25">
      <c r="Q4114" s="17" t="s">
        <v>4820</v>
      </c>
      <c r="R4114" s="17" t="s">
        <v>289</v>
      </c>
      <c r="S4114" s="17"/>
      <c r="T4114" s="17"/>
      <c r="U4114" s="17"/>
    </row>
    <row r="4115" spans="17:21" x14ac:dyDescent="0.25">
      <c r="Q4115" s="17" t="s">
        <v>4821</v>
      </c>
      <c r="R4115" s="17" t="s">
        <v>289</v>
      </c>
      <c r="S4115" s="17"/>
      <c r="T4115" s="17"/>
      <c r="U4115" s="17"/>
    </row>
    <row r="4116" spans="17:21" x14ac:dyDescent="0.25">
      <c r="Q4116" s="17" t="s">
        <v>4822</v>
      </c>
      <c r="R4116" s="17" t="s">
        <v>289</v>
      </c>
      <c r="S4116" s="17"/>
      <c r="T4116" s="17"/>
      <c r="U4116" s="17"/>
    </row>
    <row r="4117" spans="17:21" x14ac:dyDescent="0.25">
      <c r="Q4117" s="17" t="s">
        <v>1317</v>
      </c>
      <c r="R4117" s="17" t="s">
        <v>289</v>
      </c>
      <c r="S4117" s="17"/>
      <c r="T4117" s="17"/>
      <c r="U4117" s="17"/>
    </row>
    <row r="4118" spans="17:21" x14ac:dyDescent="0.25">
      <c r="Q4118" s="17" t="s">
        <v>4823</v>
      </c>
      <c r="R4118" s="17" t="s">
        <v>289</v>
      </c>
      <c r="S4118" s="17"/>
      <c r="T4118" s="17"/>
      <c r="U4118" s="17"/>
    </row>
    <row r="4119" spans="17:21" x14ac:dyDescent="0.25">
      <c r="Q4119" s="17" t="s">
        <v>4824</v>
      </c>
      <c r="R4119" s="17" t="s">
        <v>289</v>
      </c>
      <c r="S4119" s="17"/>
      <c r="T4119" s="17"/>
      <c r="U4119" s="17"/>
    </row>
    <row r="4120" spans="17:21" x14ac:dyDescent="0.25">
      <c r="Q4120" s="17" t="s">
        <v>4825</v>
      </c>
      <c r="R4120" s="17" t="s">
        <v>289</v>
      </c>
      <c r="S4120" s="17"/>
      <c r="T4120" s="17"/>
      <c r="U4120" s="17"/>
    </row>
    <row r="4121" spans="17:21" x14ac:dyDescent="0.25">
      <c r="Q4121" s="17" t="s">
        <v>4826</v>
      </c>
      <c r="R4121" s="17" t="s">
        <v>289</v>
      </c>
      <c r="S4121" s="17"/>
      <c r="T4121" s="17"/>
      <c r="U4121" s="17"/>
    </row>
    <row r="4122" spans="17:21" x14ac:dyDescent="0.25">
      <c r="Q4122" s="17" t="s">
        <v>448</v>
      </c>
      <c r="R4122" s="17" t="s">
        <v>289</v>
      </c>
      <c r="S4122" s="17"/>
      <c r="T4122" s="17"/>
      <c r="U4122" s="17"/>
    </row>
    <row r="4123" spans="17:21" x14ac:dyDescent="0.25">
      <c r="Q4123" s="17" t="s">
        <v>4827</v>
      </c>
      <c r="R4123" s="17" t="s">
        <v>289</v>
      </c>
      <c r="S4123" s="17"/>
      <c r="T4123" s="17"/>
      <c r="U4123" s="17"/>
    </row>
    <row r="4124" spans="17:21" x14ac:dyDescent="0.25">
      <c r="Q4124" s="17" t="s">
        <v>4828</v>
      </c>
      <c r="R4124" s="17" t="s">
        <v>289</v>
      </c>
      <c r="S4124" s="17"/>
      <c r="T4124" s="17"/>
      <c r="U4124" s="17"/>
    </row>
    <row r="4125" spans="17:21" x14ac:dyDescent="0.25">
      <c r="Q4125" s="17" t="s">
        <v>4829</v>
      </c>
      <c r="R4125" s="17" t="s">
        <v>289</v>
      </c>
      <c r="S4125" s="17"/>
      <c r="T4125" s="17"/>
      <c r="U4125" s="17"/>
    </row>
    <row r="4126" spans="17:21" x14ac:dyDescent="0.25">
      <c r="Q4126" s="17" t="s">
        <v>4830</v>
      </c>
      <c r="R4126" s="17" t="s">
        <v>289</v>
      </c>
      <c r="S4126" s="17"/>
      <c r="T4126" s="17"/>
      <c r="U4126" s="17"/>
    </row>
    <row r="4127" spans="17:21" x14ac:dyDescent="0.25">
      <c r="Q4127" s="17" t="s">
        <v>4831</v>
      </c>
      <c r="R4127" s="17" t="s">
        <v>289</v>
      </c>
      <c r="S4127" s="17"/>
      <c r="T4127" s="17"/>
      <c r="U4127" s="17"/>
    </row>
    <row r="4128" spans="17:21" x14ac:dyDescent="0.25">
      <c r="Q4128" s="17" t="s">
        <v>4832</v>
      </c>
      <c r="R4128" s="17" t="s">
        <v>289</v>
      </c>
      <c r="S4128" s="17"/>
      <c r="T4128" s="17"/>
      <c r="U4128" s="17"/>
    </row>
    <row r="4129" spans="17:21" x14ac:dyDescent="0.25">
      <c r="Q4129" s="17" t="s">
        <v>4833</v>
      </c>
      <c r="R4129" s="17" t="s">
        <v>289</v>
      </c>
      <c r="S4129" s="17"/>
      <c r="T4129" s="17"/>
      <c r="U4129" s="17"/>
    </row>
    <row r="4130" spans="17:21" x14ac:dyDescent="0.25">
      <c r="Q4130" s="17" t="s">
        <v>4834</v>
      </c>
      <c r="R4130" s="17" t="s">
        <v>289</v>
      </c>
      <c r="S4130" s="17"/>
      <c r="T4130" s="17"/>
      <c r="U4130" s="17"/>
    </row>
    <row r="4131" spans="17:21" x14ac:dyDescent="0.25">
      <c r="Q4131" s="17" t="s">
        <v>4835</v>
      </c>
      <c r="R4131" s="17" t="s">
        <v>289</v>
      </c>
      <c r="S4131" s="17"/>
      <c r="T4131" s="17"/>
      <c r="U4131" s="17"/>
    </row>
    <row r="4132" spans="17:21" x14ac:dyDescent="0.25">
      <c r="Q4132" s="17" t="s">
        <v>4836</v>
      </c>
      <c r="R4132" s="17" t="s">
        <v>289</v>
      </c>
      <c r="S4132" s="17"/>
      <c r="T4132" s="17"/>
      <c r="U4132" s="17"/>
    </row>
    <row r="4133" spans="17:21" x14ac:dyDescent="0.25">
      <c r="Q4133" s="17" t="s">
        <v>1225</v>
      </c>
      <c r="R4133" s="17" t="s">
        <v>289</v>
      </c>
      <c r="S4133" s="17"/>
      <c r="T4133" s="17"/>
      <c r="U4133" s="17"/>
    </row>
    <row r="4134" spans="17:21" x14ac:dyDescent="0.25">
      <c r="Q4134" s="17" t="s">
        <v>4837</v>
      </c>
      <c r="R4134" s="17" t="s">
        <v>289</v>
      </c>
      <c r="S4134" s="17"/>
      <c r="T4134" s="17"/>
      <c r="U4134" s="17"/>
    </row>
    <row r="4135" spans="17:21" x14ac:dyDescent="0.25">
      <c r="Q4135" s="17" t="s">
        <v>4838</v>
      </c>
      <c r="R4135" s="17" t="s">
        <v>289</v>
      </c>
      <c r="S4135" s="17"/>
      <c r="T4135" s="17"/>
      <c r="U4135" s="17"/>
    </row>
    <row r="4136" spans="17:21" x14ac:dyDescent="0.25">
      <c r="Q4136" s="17" t="s">
        <v>4839</v>
      </c>
      <c r="R4136" s="17" t="s">
        <v>289</v>
      </c>
      <c r="S4136" s="17"/>
      <c r="T4136" s="17"/>
      <c r="U4136" s="17"/>
    </row>
    <row r="4137" spans="17:21" x14ac:dyDescent="0.25">
      <c r="Q4137" s="17" t="s">
        <v>1097</v>
      </c>
      <c r="R4137" s="17" t="s">
        <v>289</v>
      </c>
      <c r="S4137" s="17"/>
      <c r="T4137" s="17"/>
      <c r="U4137" s="17"/>
    </row>
    <row r="4138" spans="17:21" x14ac:dyDescent="0.25">
      <c r="Q4138" s="17" t="s">
        <v>4840</v>
      </c>
      <c r="R4138" s="17" t="s">
        <v>289</v>
      </c>
      <c r="S4138" s="17"/>
      <c r="T4138" s="17"/>
      <c r="U4138" s="17"/>
    </row>
    <row r="4139" spans="17:21" x14ac:dyDescent="0.25">
      <c r="Q4139" s="17" t="s">
        <v>4841</v>
      </c>
      <c r="R4139" s="17" t="s">
        <v>289</v>
      </c>
      <c r="S4139" s="17"/>
      <c r="T4139" s="17"/>
      <c r="U4139" s="17"/>
    </row>
    <row r="4140" spans="17:21" x14ac:dyDescent="0.25">
      <c r="Q4140" s="17" t="s">
        <v>4842</v>
      </c>
      <c r="R4140" s="17" t="s">
        <v>289</v>
      </c>
      <c r="S4140" s="17"/>
      <c r="T4140" s="17"/>
      <c r="U4140" s="17"/>
    </row>
    <row r="4141" spans="17:21" x14ac:dyDescent="0.25">
      <c r="Q4141" s="17" t="s">
        <v>4843</v>
      </c>
      <c r="R4141" s="17" t="s">
        <v>289</v>
      </c>
      <c r="S4141" s="17"/>
      <c r="T4141" s="17"/>
      <c r="U4141" s="17"/>
    </row>
    <row r="4142" spans="17:21" x14ac:dyDescent="0.25">
      <c r="Q4142" s="17" t="s">
        <v>1098</v>
      </c>
      <c r="R4142" s="17" t="s">
        <v>289</v>
      </c>
      <c r="S4142" s="17"/>
      <c r="T4142" s="17"/>
      <c r="U4142" s="17"/>
    </row>
    <row r="4143" spans="17:21" x14ac:dyDescent="0.25">
      <c r="Q4143" s="17" t="s">
        <v>4844</v>
      </c>
      <c r="R4143" s="17" t="s">
        <v>289</v>
      </c>
      <c r="S4143" s="17"/>
      <c r="T4143" s="17"/>
      <c r="U4143" s="17"/>
    </row>
    <row r="4144" spans="17:21" x14ac:dyDescent="0.25">
      <c r="Q4144" s="17" t="s">
        <v>470</v>
      </c>
      <c r="R4144" s="17" t="s">
        <v>289</v>
      </c>
      <c r="S4144" s="17"/>
      <c r="T4144" s="17"/>
      <c r="U4144" s="17"/>
    </row>
    <row r="4145" spans="17:21" x14ac:dyDescent="0.25">
      <c r="Q4145" s="17" t="s">
        <v>4845</v>
      </c>
      <c r="R4145" s="17" t="s">
        <v>289</v>
      </c>
      <c r="S4145" s="17"/>
      <c r="T4145" s="17"/>
      <c r="U4145" s="17"/>
    </row>
    <row r="4146" spans="17:21" x14ac:dyDescent="0.25">
      <c r="Q4146" s="17" t="s">
        <v>4846</v>
      </c>
      <c r="R4146" s="17" t="s">
        <v>289</v>
      </c>
      <c r="S4146" s="17"/>
      <c r="T4146" s="17"/>
      <c r="U4146" s="17"/>
    </row>
    <row r="4147" spans="17:21" x14ac:dyDescent="0.25">
      <c r="Q4147" s="17" t="s">
        <v>4847</v>
      </c>
      <c r="R4147" s="17" t="s">
        <v>289</v>
      </c>
      <c r="S4147" s="17"/>
      <c r="T4147" s="17"/>
      <c r="U4147" s="17"/>
    </row>
    <row r="4148" spans="17:21" x14ac:dyDescent="0.25">
      <c r="Q4148" s="17" t="s">
        <v>4848</v>
      </c>
      <c r="R4148" s="17" t="s">
        <v>289</v>
      </c>
      <c r="S4148" s="17"/>
      <c r="T4148" s="17"/>
      <c r="U4148" s="17"/>
    </row>
    <row r="4149" spans="17:21" x14ac:dyDescent="0.25">
      <c r="Q4149" s="17" t="s">
        <v>4849</v>
      </c>
      <c r="R4149" s="17" t="s">
        <v>2675</v>
      </c>
      <c r="S4149" s="17"/>
      <c r="T4149" s="17"/>
      <c r="U4149" s="17"/>
    </row>
    <row r="4150" spans="17:21" x14ac:dyDescent="0.25">
      <c r="Q4150" s="17" t="s">
        <v>4850</v>
      </c>
      <c r="R4150" s="17" t="s">
        <v>2675</v>
      </c>
      <c r="S4150" s="17"/>
      <c r="T4150" s="17"/>
      <c r="U4150" s="17"/>
    </row>
    <row r="4151" spans="17:21" x14ac:dyDescent="0.25">
      <c r="Q4151" s="17" t="s">
        <v>4851</v>
      </c>
      <c r="R4151" s="17" t="s">
        <v>2675</v>
      </c>
      <c r="S4151" s="17"/>
      <c r="T4151" s="17"/>
      <c r="U4151" s="17"/>
    </row>
    <row r="4152" spans="17:21" x14ac:dyDescent="0.25">
      <c r="Q4152" s="17" t="s">
        <v>4852</v>
      </c>
      <c r="R4152" s="17" t="s">
        <v>2675</v>
      </c>
      <c r="S4152" s="17"/>
      <c r="T4152" s="17"/>
      <c r="U4152" s="17"/>
    </row>
    <row r="4153" spans="17:21" x14ac:dyDescent="0.25">
      <c r="Q4153" s="17" t="s">
        <v>4853</v>
      </c>
      <c r="R4153" s="17" t="s">
        <v>2675</v>
      </c>
      <c r="S4153" s="17"/>
      <c r="T4153" s="17"/>
      <c r="U4153" s="17"/>
    </row>
    <row r="4154" spans="17:21" x14ac:dyDescent="0.25">
      <c r="Q4154" s="17" t="s">
        <v>4854</v>
      </c>
      <c r="R4154" s="17" t="s">
        <v>2675</v>
      </c>
      <c r="S4154" s="17"/>
      <c r="T4154" s="17"/>
      <c r="U4154" s="17"/>
    </row>
    <row r="4155" spans="17:21" x14ac:dyDescent="0.25">
      <c r="Q4155" s="17" t="s">
        <v>4855</v>
      </c>
      <c r="R4155" s="17" t="s">
        <v>2675</v>
      </c>
      <c r="S4155" s="17"/>
      <c r="T4155" s="17"/>
      <c r="U4155" s="17"/>
    </row>
    <row r="4156" spans="17:21" x14ac:dyDescent="0.25">
      <c r="Q4156" s="17" t="s">
        <v>4856</v>
      </c>
      <c r="R4156" s="17" t="s">
        <v>2675</v>
      </c>
      <c r="S4156" s="17"/>
      <c r="T4156" s="17"/>
      <c r="U4156" s="17"/>
    </row>
    <row r="4157" spans="17:21" x14ac:dyDescent="0.25">
      <c r="Q4157" s="17" t="s">
        <v>4857</v>
      </c>
      <c r="R4157" s="17" t="s">
        <v>2675</v>
      </c>
      <c r="S4157" s="17"/>
      <c r="T4157" s="17"/>
      <c r="U4157" s="17"/>
    </row>
    <row r="4158" spans="17:21" x14ac:dyDescent="0.25">
      <c r="Q4158" s="17" t="s">
        <v>4858</v>
      </c>
      <c r="R4158" s="17" t="s">
        <v>2675</v>
      </c>
      <c r="S4158" s="17"/>
      <c r="T4158" s="17"/>
      <c r="U4158" s="17"/>
    </row>
    <row r="4159" spans="17:21" x14ac:dyDescent="0.25">
      <c r="Q4159" s="17" t="s">
        <v>4859</v>
      </c>
      <c r="R4159" s="17" t="s">
        <v>2675</v>
      </c>
      <c r="S4159" s="17"/>
      <c r="T4159" s="17"/>
      <c r="U4159" s="17"/>
    </row>
    <row r="4160" spans="17:21" x14ac:dyDescent="0.25">
      <c r="Q4160" s="17" t="s">
        <v>4860</v>
      </c>
      <c r="R4160" s="17" t="s">
        <v>2675</v>
      </c>
      <c r="S4160" s="17"/>
      <c r="T4160" s="17"/>
      <c r="U4160" s="17"/>
    </row>
    <row r="4161" spans="17:21" x14ac:dyDescent="0.25">
      <c r="Q4161" s="17" t="s">
        <v>4861</v>
      </c>
      <c r="R4161" s="17" t="s">
        <v>2675</v>
      </c>
      <c r="S4161" s="17"/>
      <c r="T4161" s="17"/>
      <c r="U4161" s="17"/>
    </row>
    <row r="4162" spans="17:21" x14ac:dyDescent="0.25">
      <c r="Q4162" s="17" t="s">
        <v>4862</v>
      </c>
      <c r="R4162" s="17" t="s">
        <v>2675</v>
      </c>
      <c r="S4162" s="17"/>
      <c r="T4162" s="17"/>
      <c r="U4162" s="17"/>
    </row>
    <row r="4163" spans="17:21" x14ac:dyDescent="0.25">
      <c r="Q4163" s="17" t="s">
        <v>4863</v>
      </c>
      <c r="R4163" s="17" t="s">
        <v>2675</v>
      </c>
      <c r="S4163" s="17"/>
      <c r="T4163" s="17"/>
      <c r="U4163" s="17"/>
    </row>
    <row r="4164" spans="17:21" x14ac:dyDescent="0.25">
      <c r="Q4164" s="17" t="s">
        <v>4864</v>
      </c>
      <c r="R4164" s="17" t="s">
        <v>2675</v>
      </c>
      <c r="S4164" s="17"/>
      <c r="T4164" s="17"/>
      <c r="U4164" s="17"/>
    </row>
    <row r="4165" spans="17:21" x14ac:dyDescent="0.25">
      <c r="Q4165" s="17" t="s">
        <v>4865</v>
      </c>
      <c r="R4165" s="17" t="s">
        <v>2675</v>
      </c>
      <c r="S4165" s="17"/>
      <c r="T4165" s="17"/>
      <c r="U4165" s="17"/>
    </row>
    <row r="4166" spans="17:21" x14ac:dyDescent="0.25">
      <c r="Q4166" s="17" t="s">
        <v>524</v>
      </c>
      <c r="R4166" s="17" t="s">
        <v>289</v>
      </c>
      <c r="S4166" s="17"/>
      <c r="T4166" s="17"/>
      <c r="U4166" s="17"/>
    </row>
    <row r="4167" spans="17:21" x14ac:dyDescent="0.25">
      <c r="Q4167" s="17" t="s">
        <v>4866</v>
      </c>
      <c r="R4167" s="17" t="s">
        <v>289</v>
      </c>
      <c r="S4167" s="17"/>
      <c r="T4167" s="17"/>
      <c r="U4167" s="17"/>
    </row>
    <row r="4168" spans="17:21" x14ac:dyDescent="0.25">
      <c r="Q4168" s="17" t="s">
        <v>4867</v>
      </c>
      <c r="R4168" s="17" t="s">
        <v>289</v>
      </c>
      <c r="S4168" s="17"/>
      <c r="T4168" s="17"/>
      <c r="U4168" s="17"/>
    </row>
    <row r="4169" spans="17:21" x14ac:dyDescent="0.25">
      <c r="Q4169" s="17" t="s">
        <v>4868</v>
      </c>
      <c r="R4169" s="17" t="s">
        <v>289</v>
      </c>
      <c r="S4169" s="17"/>
      <c r="T4169" s="17"/>
      <c r="U4169" s="17"/>
    </row>
    <row r="4170" spans="17:21" x14ac:dyDescent="0.25">
      <c r="Q4170" s="17" t="s">
        <v>4869</v>
      </c>
      <c r="R4170" s="17" t="s">
        <v>289</v>
      </c>
      <c r="S4170" s="17"/>
      <c r="T4170" s="17"/>
      <c r="U4170" s="17"/>
    </row>
    <row r="4171" spans="17:21" x14ac:dyDescent="0.25">
      <c r="Q4171" s="17" t="s">
        <v>4870</v>
      </c>
      <c r="R4171" s="17" t="s">
        <v>289</v>
      </c>
      <c r="S4171" s="17"/>
      <c r="T4171" s="17"/>
      <c r="U4171" s="17"/>
    </row>
    <row r="4172" spans="17:21" x14ac:dyDescent="0.25">
      <c r="Q4172" s="17" t="s">
        <v>4871</v>
      </c>
      <c r="R4172" s="17" t="s">
        <v>289</v>
      </c>
      <c r="S4172" s="17"/>
      <c r="T4172" s="17"/>
      <c r="U4172" s="17"/>
    </row>
    <row r="4173" spans="17:21" x14ac:dyDescent="0.25">
      <c r="Q4173" s="17" t="s">
        <v>4872</v>
      </c>
      <c r="R4173" s="17" t="s">
        <v>289</v>
      </c>
      <c r="S4173" s="17"/>
      <c r="T4173" s="17"/>
      <c r="U4173" s="17"/>
    </row>
    <row r="4174" spans="17:21" x14ac:dyDescent="0.25">
      <c r="Q4174" s="17" t="s">
        <v>4873</v>
      </c>
      <c r="R4174" s="17" t="s">
        <v>289</v>
      </c>
      <c r="S4174" s="17"/>
      <c r="T4174" s="17"/>
      <c r="U4174" s="17"/>
    </row>
    <row r="4175" spans="17:21" x14ac:dyDescent="0.25">
      <c r="Q4175" s="17" t="s">
        <v>4874</v>
      </c>
      <c r="R4175" s="17" t="s">
        <v>289</v>
      </c>
      <c r="S4175" s="17"/>
      <c r="T4175" s="17"/>
      <c r="U4175" s="17"/>
    </row>
    <row r="4176" spans="17:21" x14ac:dyDescent="0.25">
      <c r="Q4176" s="17" t="s">
        <v>4875</v>
      </c>
      <c r="R4176" s="17" t="s">
        <v>289</v>
      </c>
      <c r="S4176" s="17"/>
      <c r="T4176" s="17"/>
      <c r="U4176" s="17"/>
    </row>
    <row r="4177" spans="17:21" x14ac:dyDescent="0.25">
      <c r="Q4177" s="17" t="s">
        <v>4876</v>
      </c>
      <c r="R4177" s="17" t="s">
        <v>289</v>
      </c>
      <c r="S4177" s="17"/>
      <c r="T4177" s="17"/>
      <c r="U4177" s="17"/>
    </row>
    <row r="4178" spans="17:21" x14ac:dyDescent="0.25">
      <c r="Q4178" s="17" t="s">
        <v>4877</v>
      </c>
      <c r="R4178" s="17" t="s">
        <v>289</v>
      </c>
      <c r="S4178" s="17"/>
      <c r="T4178" s="17"/>
      <c r="U4178" s="17"/>
    </row>
    <row r="4179" spans="17:21" x14ac:dyDescent="0.25">
      <c r="Q4179" s="17" t="s">
        <v>4878</v>
      </c>
      <c r="R4179" s="17" t="s">
        <v>289</v>
      </c>
      <c r="S4179" s="17"/>
      <c r="T4179" s="17"/>
      <c r="U4179" s="17"/>
    </row>
    <row r="4180" spans="17:21" x14ac:dyDescent="0.25">
      <c r="Q4180" s="17" t="s">
        <v>4879</v>
      </c>
      <c r="R4180" s="17" t="s">
        <v>289</v>
      </c>
      <c r="S4180" s="17"/>
      <c r="T4180" s="17"/>
      <c r="U4180" s="17"/>
    </row>
    <row r="4181" spans="17:21" x14ac:dyDescent="0.25">
      <c r="Q4181" s="17" t="s">
        <v>4880</v>
      </c>
      <c r="R4181" s="17" t="s">
        <v>289</v>
      </c>
      <c r="S4181" s="17"/>
      <c r="T4181" s="17"/>
      <c r="U4181" s="17"/>
    </row>
    <row r="4182" spans="17:21" x14ac:dyDescent="0.25">
      <c r="Q4182" s="17" t="s">
        <v>4881</v>
      </c>
      <c r="R4182" s="17" t="s">
        <v>289</v>
      </c>
      <c r="S4182" s="17"/>
      <c r="T4182" s="17"/>
      <c r="U4182" s="17"/>
    </row>
    <row r="4183" spans="17:21" x14ac:dyDescent="0.25">
      <c r="Q4183" s="17" t="s">
        <v>4882</v>
      </c>
      <c r="R4183" s="17" t="s">
        <v>289</v>
      </c>
      <c r="S4183" s="17"/>
      <c r="T4183" s="17"/>
      <c r="U4183" s="17"/>
    </row>
    <row r="4184" spans="17:21" x14ac:dyDescent="0.25">
      <c r="Q4184" s="17" t="s">
        <v>4883</v>
      </c>
      <c r="R4184" s="17" t="s">
        <v>289</v>
      </c>
      <c r="S4184" s="17"/>
      <c r="T4184" s="17"/>
      <c r="U4184" s="17"/>
    </row>
    <row r="4185" spans="17:21" x14ac:dyDescent="0.25">
      <c r="Q4185" s="17" t="s">
        <v>4884</v>
      </c>
      <c r="R4185" s="17" t="s">
        <v>289</v>
      </c>
      <c r="S4185" s="17"/>
      <c r="T4185" s="17"/>
      <c r="U4185" s="17"/>
    </row>
    <row r="4186" spans="17:21" x14ac:dyDescent="0.25">
      <c r="Q4186" s="17" t="s">
        <v>4885</v>
      </c>
      <c r="R4186" s="17" t="s">
        <v>289</v>
      </c>
      <c r="S4186" s="17"/>
      <c r="T4186" s="17"/>
      <c r="U4186" s="17"/>
    </row>
    <row r="4187" spans="17:21" x14ac:dyDescent="0.25">
      <c r="Q4187" s="17" t="s">
        <v>4886</v>
      </c>
      <c r="R4187" s="17" t="s">
        <v>289</v>
      </c>
      <c r="S4187" s="17"/>
      <c r="T4187" s="17"/>
      <c r="U4187" s="17"/>
    </row>
    <row r="4188" spans="17:21" x14ac:dyDescent="0.25">
      <c r="Q4188" s="17" t="s">
        <v>4887</v>
      </c>
      <c r="R4188" s="17" t="s">
        <v>289</v>
      </c>
      <c r="S4188" s="17"/>
      <c r="T4188" s="17"/>
      <c r="U4188" s="17"/>
    </row>
    <row r="4189" spans="17:21" x14ac:dyDescent="0.25">
      <c r="Q4189" s="17" t="s">
        <v>4888</v>
      </c>
      <c r="R4189" s="17" t="s">
        <v>289</v>
      </c>
      <c r="S4189" s="17"/>
      <c r="T4189" s="17"/>
      <c r="U4189" s="17"/>
    </row>
    <row r="4190" spans="17:21" x14ac:dyDescent="0.25">
      <c r="Q4190" s="17" t="s">
        <v>4889</v>
      </c>
      <c r="R4190" s="17" t="s">
        <v>289</v>
      </c>
      <c r="S4190" s="17"/>
      <c r="T4190" s="17"/>
      <c r="U4190" s="17"/>
    </row>
    <row r="4191" spans="17:21" x14ac:dyDescent="0.25">
      <c r="Q4191" s="17" t="s">
        <v>4890</v>
      </c>
      <c r="R4191" s="17" t="s">
        <v>289</v>
      </c>
      <c r="S4191" s="17"/>
      <c r="T4191" s="17"/>
      <c r="U4191" s="17"/>
    </row>
    <row r="4192" spans="17:21" x14ac:dyDescent="0.25">
      <c r="Q4192" s="17" t="s">
        <v>4891</v>
      </c>
      <c r="R4192" s="17" t="s">
        <v>289</v>
      </c>
      <c r="S4192" s="17"/>
      <c r="T4192" s="17"/>
      <c r="U4192" s="17"/>
    </row>
    <row r="4193" spans="17:21" x14ac:dyDescent="0.25">
      <c r="Q4193" s="17" t="s">
        <v>4892</v>
      </c>
      <c r="R4193" s="17" t="s">
        <v>289</v>
      </c>
      <c r="S4193" s="17"/>
      <c r="T4193" s="17"/>
      <c r="U4193" s="17"/>
    </row>
    <row r="4194" spans="17:21" x14ac:dyDescent="0.25">
      <c r="Q4194" s="17" t="s">
        <v>4893</v>
      </c>
      <c r="R4194" s="17" t="s">
        <v>2675</v>
      </c>
      <c r="S4194" s="17"/>
      <c r="T4194" s="17"/>
      <c r="U4194" s="17"/>
    </row>
    <row r="4195" spans="17:21" x14ac:dyDescent="0.25">
      <c r="Q4195" s="17" t="s">
        <v>4894</v>
      </c>
      <c r="R4195" s="17" t="s">
        <v>2675</v>
      </c>
      <c r="S4195" s="17"/>
      <c r="T4195" s="17"/>
      <c r="U4195" s="17"/>
    </row>
    <row r="4196" spans="17:21" x14ac:dyDescent="0.25">
      <c r="Q4196" s="17" t="s">
        <v>4895</v>
      </c>
      <c r="R4196" s="17" t="s">
        <v>2675</v>
      </c>
      <c r="S4196" s="17"/>
      <c r="T4196" s="17"/>
      <c r="U4196" s="17"/>
    </row>
    <row r="4197" spans="17:21" x14ac:dyDescent="0.25">
      <c r="Q4197" s="17" t="s">
        <v>4896</v>
      </c>
      <c r="R4197" s="17" t="s">
        <v>289</v>
      </c>
      <c r="S4197" s="17"/>
      <c r="T4197" s="17"/>
      <c r="U4197" s="17"/>
    </row>
    <row r="4198" spans="17:21" x14ac:dyDescent="0.25">
      <c r="Q4198" s="17" t="s">
        <v>4897</v>
      </c>
      <c r="R4198" s="17" t="s">
        <v>289</v>
      </c>
      <c r="S4198" s="17"/>
      <c r="T4198" s="17"/>
      <c r="U4198" s="17"/>
    </row>
    <row r="4199" spans="17:21" x14ac:dyDescent="0.25">
      <c r="Q4199" s="17" t="s">
        <v>4898</v>
      </c>
      <c r="R4199" s="17" t="s">
        <v>289</v>
      </c>
      <c r="S4199" s="17"/>
      <c r="T4199" s="17"/>
      <c r="U4199" s="17"/>
    </row>
    <row r="4200" spans="17:21" x14ac:dyDescent="0.25">
      <c r="Q4200" s="17" t="s">
        <v>4899</v>
      </c>
      <c r="R4200" s="17" t="s">
        <v>289</v>
      </c>
      <c r="S4200" s="17"/>
      <c r="T4200" s="17"/>
      <c r="U4200" s="17"/>
    </row>
    <row r="4201" spans="17:21" x14ac:dyDescent="0.25">
      <c r="Q4201" s="17" t="s">
        <v>4900</v>
      </c>
      <c r="R4201" s="17" t="s">
        <v>289</v>
      </c>
      <c r="S4201" s="17"/>
      <c r="T4201" s="17"/>
      <c r="U4201" s="17"/>
    </row>
    <row r="4202" spans="17:21" x14ac:dyDescent="0.25">
      <c r="Q4202" s="17" t="s">
        <v>1093</v>
      </c>
      <c r="R4202" s="17" t="s">
        <v>289</v>
      </c>
      <c r="S4202" s="17"/>
      <c r="T4202" s="17"/>
      <c r="U4202" s="17"/>
    </row>
    <row r="4203" spans="17:21" x14ac:dyDescent="0.25">
      <c r="Q4203" s="17" t="s">
        <v>4901</v>
      </c>
      <c r="R4203" s="17" t="s">
        <v>289</v>
      </c>
      <c r="S4203" s="17"/>
      <c r="T4203" s="17"/>
      <c r="U4203" s="17"/>
    </row>
    <row r="4204" spans="17:21" x14ac:dyDescent="0.25">
      <c r="Q4204" s="17" t="s">
        <v>4902</v>
      </c>
      <c r="R4204" s="17" t="s">
        <v>289</v>
      </c>
      <c r="S4204" s="17"/>
      <c r="T4204" s="17"/>
      <c r="U4204" s="17"/>
    </row>
    <row r="4205" spans="17:21" x14ac:dyDescent="0.25">
      <c r="Q4205" s="17" t="s">
        <v>4903</v>
      </c>
      <c r="R4205" s="17" t="s">
        <v>289</v>
      </c>
      <c r="S4205" s="17"/>
      <c r="T4205" s="17"/>
      <c r="U4205" s="17"/>
    </row>
    <row r="4206" spans="17:21" x14ac:dyDescent="0.25">
      <c r="Q4206" s="17" t="s">
        <v>1095</v>
      </c>
      <c r="R4206" s="17" t="s">
        <v>289</v>
      </c>
      <c r="S4206" s="17"/>
      <c r="T4206" s="17"/>
      <c r="U4206" s="17"/>
    </row>
    <row r="4207" spans="17:21" x14ac:dyDescent="0.25">
      <c r="Q4207" s="17" t="s">
        <v>4904</v>
      </c>
      <c r="R4207" s="17" t="s">
        <v>289</v>
      </c>
      <c r="S4207" s="17"/>
      <c r="T4207" s="17"/>
      <c r="U4207" s="17"/>
    </row>
    <row r="4208" spans="17:21" x14ac:dyDescent="0.25">
      <c r="Q4208" s="17" t="s">
        <v>4905</v>
      </c>
      <c r="R4208" s="17" t="s">
        <v>289</v>
      </c>
      <c r="S4208" s="17"/>
      <c r="T4208" s="17"/>
      <c r="U4208" s="17"/>
    </row>
    <row r="4209" spans="17:21" x14ac:dyDescent="0.25">
      <c r="Q4209" s="17" t="s">
        <v>4906</v>
      </c>
      <c r="R4209" s="17" t="s">
        <v>289</v>
      </c>
      <c r="S4209" s="17"/>
      <c r="T4209" s="17"/>
      <c r="U4209" s="17"/>
    </row>
    <row r="4210" spans="17:21" x14ac:dyDescent="0.25">
      <c r="Q4210" s="17" t="s">
        <v>1171</v>
      </c>
      <c r="R4210" s="17" t="s">
        <v>289</v>
      </c>
      <c r="S4210" s="17"/>
      <c r="T4210" s="17"/>
      <c r="U4210" s="17"/>
    </row>
    <row r="4211" spans="17:21" x14ac:dyDescent="0.25">
      <c r="Q4211" s="17" t="s">
        <v>4907</v>
      </c>
      <c r="R4211" s="17" t="s">
        <v>289</v>
      </c>
      <c r="S4211" s="17"/>
      <c r="T4211" s="17"/>
      <c r="U4211" s="17"/>
    </row>
    <row r="4212" spans="17:21" x14ac:dyDescent="0.25">
      <c r="Q4212" s="17" t="s">
        <v>4908</v>
      </c>
      <c r="R4212" s="17" t="s">
        <v>289</v>
      </c>
      <c r="S4212" s="17"/>
      <c r="T4212" s="17"/>
      <c r="U4212" s="17"/>
    </row>
    <row r="4213" spans="17:21" x14ac:dyDescent="0.25">
      <c r="Q4213" s="17" t="s">
        <v>4909</v>
      </c>
      <c r="R4213" s="17" t="s">
        <v>289</v>
      </c>
      <c r="S4213" s="17"/>
      <c r="T4213" s="17"/>
      <c r="U4213" s="17"/>
    </row>
    <row r="4214" spans="17:21" x14ac:dyDescent="0.25">
      <c r="Q4214" s="17" t="s">
        <v>1094</v>
      </c>
      <c r="R4214" s="17" t="s">
        <v>289</v>
      </c>
      <c r="S4214" s="17"/>
      <c r="T4214" s="17"/>
      <c r="U4214" s="17"/>
    </row>
    <row r="4215" spans="17:21" x14ac:dyDescent="0.25">
      <c r="Q4215" s="17" t="s">
        <v>4910</v>
      </c>
      <c r="R4215" s="17" t="s">
        <v>289</v>
      </c>
      <c r="S4215" s="17"/>
      <c r="T4215" s="17"/>
      <c r="U4215" s="17"/>
    </row>
    <row r="4216" spans="17:21" x14ac:dyDescent="0.25">
      <c r="Q4216" s="17" t="s">
        <v>1335</v>
      </c>
      <c r="R4216" s="17" t="s">
        <v>289</v>
      </c>
      <c r="S4216" s="17"/>
      <c r="T4216" s="17"/>
      <c r="U4216" s="17"/>
    </row>
    <row r="4217" spans="17:21" x14ac:dyDescent="0.25">
      <c r="Q4217" s="17" t="s">
        <v>4911</v>
      </c>
      <c r="R4217" s="17" t="s">
        <v>289</v>
      </c>
      <c r="S4217" s="17"/>
      <c r="T4217" s="17"/>
      <c r="U4217" s="17"/>
    </row>
    <row r="4218" spans="17:21" x14ac:dyDescent="0.25">
      <c r="Q4218" s="17" t="s">
        <v>1217</v>
      </c>
      <c r="R4218" s="17" t="s">
        <v>289</v>
      </c>
      <c r="S4218" s="17"/>
      <c r="T4218" s="17"/>
      <c r="U4218" s="17"/>
    </row>
    <row r="4219" spans="17:21" x14ac:dyDescent="0.25">
      <c r="Q4219" s="17" t="s">
        <v>4912</v>
      </c>
      <c r="R4219" s="17" t="s">
        <v>289</v>
      </c>
      <c r="S4219" s="17"/>
      <c r="T4219" s="17"/>
      <c r="U4219" s="17"/>
    </row>
    <row r="4220" spans="17:21" x14ac:dyDescent="0.25">
      <c r="Q4220" s="17" t="s">
        <v>4913</v>
      </c>
      <c r="R4220" s="17" t="s">
        <v>2675</v>
      </c>
      <c r="S4220" s="17"/>
      <c r="T4220" s="17"/>
      <c r="U4220" s="17"/>
    </row>
    <row r="4221" spans="17:21" x14ac:dyDescent="0.25">
      <c r="Q4221" s="17" t="s">
        <v>4914</v>
      </c>
      <c r="R4221" s="17" t="s">
        <v>289</v>
      </c>
      <c r="S4221" s="17"/>
      <c r="T4221" s="17"/>
      <c r="U4221" s="17"/>
    </row>
    <row r="4222" spans="17:21" x14ac:dyDescent="0.25">
      <c r="Q4222" s="17" t="s">
        <v>4915</v>
      </c>
      <c r="R4222" s="17" t="s">
        <v>2675</v>
      </c>
      <c r="S4222" s="17"/>
      <c r="T4222" s="17"/>
      <c r="U4222" s="17"/>
    </row>
    <row r="4223" spans="17:21" x14ac:dyDescent="0.25">
      <c r="Q4223" s="17" t="s">
        <v>4916</v>
      </c>
      <c r="R4223" s="17" t="s">
        <v>2675</v>
      </c>
      <c r="S4223" s="17"/>
      <c r="T4223" s="17"/>
      <c r="U4223" s="17"/>
    </row>
    <row r="4224" spans="17:21" x14ac:dyDescent="0.25">
      <c r="Q4224" s="17" t="s">
        <v>4917</v>
      </c>
      <c r="R4224" s="17" t="s">
        <v>2675</v>
      </c>
      <c r="S4224" s="17"/>
      <c r="T4224" s="17"/>
      <c r="U4224" s="17"/>
    </row>
    <row r="4225" spans="17:21" x14ac:dyDescent="0.25">
      <c r="Q4225" s="17" t="s">
        <v>4918</v>
      </c>
      <c r="R4225" s="17" t="s">
        <v>2675</v>
      </c>
      <c r="S4225" s="17"/>
      <c r="T4225" s="17"/>
      <c r="U4225" s="17"/>
    </row>
    <row r="4226" spans="17:21" x14ac:dyDescent="0.25">
      <c r="Q4226" s="17" t="s">
        <v>4919</v>
      </c>
      <c r="R4226" s="17" t="s">
        <v>2675</v>
      </c>
      <c r="S4226" s="17"/>
      <c r="T4226" s="17"/>
      <c r="U4226" s="17"/>
    </row>
    <row r="4227" spans="17:21" x14ac:dyDescent="0.25">
      <c r="Q4227" s="17" t="s">
        <v>4920</v>
      </c>
      <c r="R4227" s="17" t="s">
        <v>289</v>
      </c>
      <c r="S4227" s="17"/>
      <c r="T4227" s="17"/>
      <c r="U4227" s="17"/>
    </row>
    <row r="4228" spans="17:21" x14ac:dyDescent="0.25">
      <c r="Q4228" s="17" t="s">
        <v>4921</v>
      </c>
      <c r="R4228" s="17" t="s">
        <v>2675</v>
      </c>
      <c r="S4228" s="17"/>
      <c r="T4228" s="17"/>
      <c r="U4228" s="17"/>
    </row>
    <row r="4229" spans="17:21" x14ac:dyDescent="0.25">
      <c r="Q4229" s="17" t="s">
        <v>527</v>
      </c>
      <c r="R4229" s="17" t="s">
        <v>289</v>
      </c>
      <c r="S4229" s="17"/>
      <c r="T4229" s="17"/>
      <c r="U4229" s="17"/>
    </row>
    <row r="4230" spans="17:21" x14ac:dyDescent="0.25">
      <c r="Q4230" s="17" t="s">
        <v>4922</v>
      </c>
      <c r="R4230" s="17" t="s">
        <v>289</v>
      </c>
      <c r="S4230" s="17"/>
      <c r="T4230" s="17"/>
      <c r="U4230" s="17"/>
    </row>
    <row r="4231" spans="17:21" x14ac:dyDescent="0.25">
      <c r="Q4231" s="17" t="s">
        <v>4923</v>
      </c>
      <c r="R4231" s="17" t="s">
        <v>2675</v>
      </c>
      <c r="S4231" s="17"/>
      <c r="T4231" s="17"/>
      <c r="U4231" s="17"/>
    </row>
    <row r="4232" spans="17:21" x14ac:dyDescent="0.25">
      <c r="Q4232" s="17" t="s">
        <v>4924</v>
      </c>
      <c r="R4232" s="17" t="s">
        <v>2675</v>
      </c>
      <c r="S4232" s="17"/>
      <c r="T4232" s="17"/>
      <c r="U4232" s="17"/>
    </row>
    <row r="4233" spans="17:21" x14ac:dyDescent="0.25">
      <c r="Q4233" s="17" t="s">
        <v>4925</v>
      </c>
      <c r="R4233" s="17" t="s">
        <v>2675</v>
      </c>
      <c r="S4233" s="17"/>
      <c r="T4233" s="17"/>
      <c r="U4233" s="17"/>
    </row>
    <row r="4234" spans="17:21" x14ac:dyDescent="0.25">
      <c r="Q4234" s="17" t="s">
        <v>4926</v>
      </c>
      <c r="R4234" s="17" t="s">
        <v>289</v>
      </c>
      <c r="S4234" s="17"/>
      <c r="T4234" s="17"/>
      <c r="U4234" s="17"/>
    </row>
    <row r="4235" spans="17:21" x14ac:dyDescent="0.25">
      <c r="Q4235" s="17" t="s">
        <v>4927</v>
      </c>
      <c r="R4235" s="17" t="s">
        <v>289</v>
      </c>
      <c r="S4235" s="17"/>
      <c r="T4235" s="17"/>
      <c r="U4235" s="17"/>
    </row>
    <row r="4236" spans="17:21" x14ac:dyDescent="0.25">
      <c r="Q4236" s="17" t="s">
        <v>4928</v>
      </c>
      <c r="R4236" s="17" t="s">
        <v>289</v>
      </c>
      <c r="S4236" s="17"/>
      <c r="T4236" s="17"/>
      <c r="U4236" s="17"/>
    </row>
    <row r="4237" spans="17:21" x14ac:dyDescent="0.25">
      <c r="Q4237" s="17" t="s">
        <v>1337</v>
      </c>
      <c r="R4237" s="17" t="s">
        <v>289</v>
      </c>
      <c r="S4237" s="17"/>
      <c r="T4237" s="17"/>
      <c r="U4237" s="17"/>
    </row>
    <row r="4238" spans="17:21" x14ac:dyDescent="0.25">
      <c r="Q4238" s="17" t="s">
        <v>4929</v>
      </c>
      <c r="R4238" s="17" t="s">
        <v>289</v>
      </c>
      <c r="S4238" s="17"/>
      <c r="T4238" s="17"/>
      <c r="U4238" s="17"/>
    </row>
    <row r="4239" spans="17:21" x14ac:dyDescent="0.25">
      <c r="Q4239" s="17" t="s">
        <v>523</v>
      </c>
      <c r="R4239" s="17" t="s">
        <v>289</v>
      </c>
      <c r="S4239" s="17"/>
      <c r="T4239" s="17"/>
      <c r="U4239" s="17"/>
    </row>
    <row r="4240" spans="17:21" x14ac:dyDescent="0.25">
      <c r="Q4240" s="17" t="s">
        <v>4930</v>
      </c>
      <c r="R4240" s="17" t="s">
        <v>289</v>
      </c>
      <c r="S4240" s="17"/>
      <c r="T4240" s="17"/>
      <c r="U4240" s="17"/>
    </row>
    <row r="4241" spans="17:21" x14ac:dyDescent="0.25">
      <c r="Q4241" s="17" t="s">
        <v>4931</v>
      </c>
      <c r="R4241" s="17" t="s">
        <v>289</v>
      </c>
      <c r="S4241" s="17"/>
      <c r="T4241" s="17"/>
      <c r="U4241" s="17"/>
    </row>
    <row r="4242" spans="17:21" x14ac:dyDescent="0.25">
      <c r="Q4242" s="17" t="s">
        <v>1165</v>
      </c>
      <c r="R4242" s="17" t="s">
        <v>289</v>
      </c>
      <c r="S4242" s="17"/>
      <c r="T4242" s="17"/>
      <c r="U4242" s="17"/>
    </row>
    <row r="4243" spans="17:21" x14ac:dyDescent="0.25">
      <c r="Q4243" s="17" t="s">
        <v>4932</v>
      </c>
      <c r="R4243" s="17" t="s">
        <v>289</v>
      </c>
      <c r="S4243" s="17"/>
      <c r="T4243" s="17"/>
      <c r="U4243" s="17"/>
    </row>
    <row r="4244" spans="17:21" x14ac:dyDescent="0.25">
      <c r="Q4244" s="17" t="s">
        <v>1173</v>
      </c>
      <c r="R4244" s="17" t="s">
        <v>289</v>
      </c>
      <c r="S4244" s="17"/>
      <c r="T4244" s="17"/>
      <c r="U4244" s="17"/>
    </row>
    <row r="4245" spans="17:21" x14ac:dyDescent="0.25">
      <c r="Q4245" s="17" t="s">
        <v>4933</v>
      </c>
      <c r="R4245" s="17" t="s">
        <v>289</v>
      </c>
      <c r="S4245" s="17"/>
      <c r="T4245" s="17"/>
      <c r="U4245" s="17"/>
    </row>
    <row r="4246" spans="17:21" x14ac:dyDescent="0.25">
      <c r="Q4246" s="17" t="s">
        <v>4934</v>
      </c>
      <c r="R4246" s="17" t="s">
        <v>289</v>
      </c>
      <c r="S4246" s="17"/>
      <c r="T4246" s="17"/>
      <c r="U4246" s="17"/>
    </row>
    <row r="4247" spans="17:21" x14ac:dyDescent="0.25">
      <c r="Q4247" s="17" t="s">
        <v>671</v>
      </c>
      <c r="R4247" s="17" t="s">
        <v>289</v>
      </c>
      <c r="S4247" s="17"/>
      <c r="T4247" s="17"/>
      <c r="U4247" s="17"/>
    </row>
    <row r="4248" spans="17:21" x14ac:dyDescent="0.25">
      <c r="Q4248" s="17" t="s">
        <v>469</v>
      </c>
      <c r="R4248" s="17" t="s">
        <v>289</v>
      </c>
      <c r="S4248" s="17"/>
      <c r="T4248" s="17"/>
      <c r="U4248" s="17"/>
    </row>
    <row r="4249" spans="17:21" x14ac:dyDescent="0.25">
      <c r="Q4249" s="17" t="s">
        <v>1126</v>
      </c>
      <c r="R4249" s="17" t="s">
        <v>289</v>
      </c>
      <c r="S4249" s="17"/>
      <c r="T4249" s="17"/>
      <c r="U4249" s="17"/>
    </row>
    <row r="4250" spans="17:21" x14ac:dyDescent="0.25">
      <c r="Q4250" s="17" t="s">
        <v>447</v>
      </c>
      <c r="R4250" s="17" t="s">
        <v>289</v>
      </c>
      <c r="S4250" s="17"/>
      <c r="T4250" s="17"/>
      <c r="U4250" s="17"/>
    </row>
    <row r="4251" spans="17:21" x14ac:dyDescent="0.25">
      <c r="Q4251" s="17" t="s">
        <v>4935</v>
      </c>
      <c r="R4251" s="17" t="s">
        <v>289</v>
      </c>
      <c r="S4251" s="17"/>
      <c r="T4251" s="17"/>
      <c r="U4251" s="17"/>
    </row>
    <row r="4252" spans="17:21" x14ac:dyDescent="0.25">
      <c r="Q4252" s="17" t="s">
        <v>4936</v>
      </c>
      <c r="R4252" s="17" t="s">
        <v>289</v>
      </c>
      <c r="S4252" s="17"/>
      <c r="T4252" s="17"/>
      <c r="U4252" s="17"/>
    </row>
    <row r="4253" spans="17:21" x14ac:dyDescent="0.25">
      <c r="Q4253" s="17" t="s">
        <v>4937</v>
      </c>
      <c r="R4253" s="17" t="s">
        <v>289</v>
      </c>
      <c r="S4253" s="17"/>
      <c r="T4253" s="17"/>
      <c r="U4253" s="17"/>
    </row>
    <row r="4254" spans="17:21" x14ac:dyDescent="0.25">
      <c r="Q4254" s="17" t="s">
        <v>4938</v>
      </c>
      <c r="R4254" s="17" t="s">
        <v>289</v>
      </c>
      <c r="S4254" s="17"/>
      <c r="T4254" s="17"/>
      <c r="U4254" s="17"/>
    </row>
    <row r="4255" spans="17:21" x14ac:dyDescent="0.25">
      <c r="Q4255" s="17" t="s">
        <v>4939</v>
      </c>
      <c r="R4255" s="17" t="s">
        <v>289</v>
      </c>
      <c r="S4255" s="17"/>
      <c r="T4255" s="17"/>
      <c r="U4255" s="17"/>
    </row>
    <row r="4256" spans="17:21" x14ac:dyDescent="0.25">
      <c r="Q4256" s="17" t="s">
        <v>4940</v>
      </c>
      <c r="R4256" s="17" t="s">
        <v>289</v>
      </c>
      <c r="S4256" s="17"/>
      <c r="T4256" s="17"/>
      <c r="U4256" s="17"/>
    </row>
    <row r="4257" spans="17:21" x14ac:dyDescent="0.25">
      <c r="Q4257" s="17" t="s">
        <v>1069</v>
      </c>
      <c r="R4257" s="17" t="s">
        <v>289</v>
      </c>
      <c r="S4257" s="17"/>
      <c r="T4257" s="17"/>
      <c r="U4257" s="17"/>
    </row>
    <row r="4258" spans="17:21" x14ac:dyDescent="0.25">
      <c r="Q4258" s="17" t="s">
        <v>4941</v>
      </c>
      <c r="R4258" s="17" t="s">
        <v>289</v>
      </c>
      <c r="S4258" s="17"/>
      <c r="T4258" s="17"/>
      <c r="U4258" s="17"/>
    </row>
    <row r="4259" spans="17:21" x14ac:dyDescent="0.25">
      <c r="Q4259" s="17" t="s">
        <v>1172</v>
      </c>
      <c r="R4259" s="17" t="s">
        <v>289</v>
      </c>
      <c r="S4259" s="17"/>
      <c r="T4259" s="17"/>
      <c r="U4259" s="17"/>
    </row>
    <row r="4260" spans="17:21" x14ac:dyDescent="0.25">
      <c r="Q4260" s="17" t="s">
        <v>1239</v>
      </c>
      <c r="R4260" s="17" t="s">
        <v>289</v>
      </c>
      <c r="S4260" s="17"/>
      <c r="T4260" s="17"/>
      <c r="U4260" s="17"/>
    </row>
    <row r="4261" spans="17:21" x14ac:dyDescent="0.25">
      <c r="Q4261" s="17" t="s">
        <v>4942</v>
      </c>
      <c r="R4261" s="17" t="s">
        <v>289</v>
      </c>
      <c r="S4261" s="17"/>
      <c r="T4261" s="17"/>
      <c r="U4261" s="17"/>
    </row>
    <row r="4262" spans="17:21" x14ac:dyDescent="0.25">
      <c r="Q4262" s="17" t="s">
        <v>1188</v>
      </c>
      <c r="R4262" s="17" t="s">
        <v>289</v>
      </c>
      <c r="S4262" s="17"/>
      <c r="T4262" s="17"/>
      <c r="U4262" s="17"/>
    </row>
    <row r="4263" spans="17:21" x14ac:dyDescent="0.25">
      <c r="Q4263" s="17" t="s">
        <v>4943</v>
      </c>
      <c r="R4263" s="17" t="s">
        <v>229</v>
      </c>
      <c r="S4263" s="17"/>
      <c r="T4263" s="17"/>
      <c r="U4263" s="17"/>
    </row>
    <row r="4264" spans="17:21" x14ac:dyDescent="0.25">
      <c r="Q4264" s="17" t="s">
        <v>512</v>
      </c>
      <c r="R4264" s="17" t="s">
        <v>229</v>
      </c>
      <c r="S4264" s="17"/>
      <c r="T4264" s="17"/>
      <c r="U4264" s="17"/>
    </row>
    <row r="4265" spans="17:21" x14ac:dyDescent="0.25">
      <c r="Q4265" s="17" t="s">
        <v>1257</v>
      </c>
      <c r="R4265" s="17" t="s">
        <v>229</v>
      </c>
      <c r="S4265" s="17"/>
      <c r="T4265" s="17"/>
      <c r="U4265" s="17"/>
    </row>
    <row r="4266" spans="17:21" x14ac:dyDescent="0.25">
      <c r="Q4266" s="17" t="s">
        <v>4944</v>
      </c>
      <c r="R4266" s="17" t="s">
        <v>229</v>
      </c>
      <c r="S4266" s="17"/>
      <c r="T4266" s="17"/>
      <c r="U4266" s="17"/>
    </row>
    <row r="4267" spans="17:21" x14ac:dyDescent="0.25">
      <c r="Q4267" s="17" t="s">
        <v>883</v>
      </c>
      <c r="R4267" s="17" t="s">
        <v>229</v>
      </c>
      <c r="S4267" s="17"/>
      <c r="T4267" s="17"/>
      <c r="U4267" s="17"/>
    </row>
    <row r="4268" spans="17:21" x14ac:dyDescent="0.25">
      <c r="Q4268" s="17" t="s">
        <v>4945</v>
      </c>
      <c r="R4268" s="17" t="s">
        <v>229</v>
      </c>
      <c r="S4268" s="17"/>
      <c r="T4268" s="17"/>
      <c r="U4268" s="17"/>
    </row>
    <row r="4269" spans="17:21" x14ac:dyDescent="0.25">
      <c r="Q4269" s="17" t="s">
        <v>4946</v>
      </c>
      <c r="R4269" s="17" t="s">
        <v>229</v>
      </c>
      <c r="S4269" s="17"/>
      <c r="T4269" s="17"/>
      <c r="U4269" s="17"/>
    </row>
    <row r="4270" spans="17:21" x14ac:dyDescent="0.25">
      <c r="Q4270" s="17" t="s">
        <v>4947</v>
      </c>
      <c r="R4270" s="17" t="s">
        <v>229</v>
      </c>
      <c r="S4270" s="17"/>
      <c r="T4270" s="17"/>
      <c r="U4270" s="17"/>
    </row>
    <row r="4271" spans="17:21" x14ac:dyDescent="0.25">
      <c r="Q4271" s="17" t="s">
        <v>1326</v>
      </c>
      <c r="R4271" s="17" t="s">
        <v>229</v>
      </c>
      <c r="S4271" s="17"/>
      <c r="T4271" s="17"/>
      <c r="U4271" s="17"/>
    </row>
    <row r="4272" spans="17:21" x14ac:dyDescent="0.25">
      <c r="Q4272" s="17" t="s">
        <v>4948</v>
      </c>
      <c r="R4272" s="17" t="s">
        <v>229</v>
      </c>
      <c r="S4272" s="17"/>
      <c r="T4272" s="17"/>
      <c r="U4272" s="17"/>
    </row>
    <row r="4273" spans="17:21" x14ac:dyDescent="0.25">
      <c r="Q4273" s="17" t="s">
        <v>887</v>
      </c>
      <c r="R4273" s="17" t="s">
        <v>229</v>
      </c>
      <c r="S4273" s="17"/>
      <c r="T4273" s="17"/>
      <c r="U4273" s="17"/>
    </row>
    <row r="4274" spans="17:21" x14ac:dyDescent="0.25">
      <c r="Q4274" s="17" t="s">
        <v>4949</v>
      </c>
      <c r="R4274" s="17" t="s">
        <v>229</v>
      </c>
      <c r="S4274" s="17"/>
      <c r="T4274" s="17"/>
      <c r="U4274" s="17"/>
    </row>
    <row r="4275" spans="17:21" x14ac:dyDescent="0.25">
      <c r="Q4275" s="17" t="s">
        <v>685</v>
      </c>
      <c r="R4275" s="17" t="s">
        <v>229</v>
      </c>
      <c r="S4275" s="17"/>
      <c r="T4275" s="17"/>
      <c r="U4275" s="17"/>
    </row>
    <row r="4276" spans="17:21" x14ac:dyDescent="0.25">
      <c r="Q4276" s="17" t="s">
        <v>4950</v>
      </c>
      <c r="R4276" s="17" t="s">
        <v>229</v>
      </c>
      <c r="S4276" s="17"/>
      <c r="T4276" s="17"/>
      <c r="U4276" s="17"/>
    </row>
    <row r="4277" spans="17:21" x14ac:dyDescent="0.25">
      <c r="Q4277" s="17" t="s">
        <v>4951</v>
      </c>
      <c r="R4277" s="17" t="s">
        <v>229</v>
      </c>
      <c r="S4277" s="17"/>
      <c r="T4277" s="17"/>
      <c r="U4277" s="17"/>
    </row>
    <row r="4278" spans="17:21" x14ac:dyDescent="0.25">
      <c r="Q4278" s="17" t="s">
        <v>4952</v>
      </c>
      <c r="R4278" s="17" t="s">
        <v>229</v>
      </c>
      <c r="S4278" s="17"/>
      <c r="T4278" s="17"/>
      <c r="U4278" s="17"/>
    </row>
    <row r="4279" spans="17:21" x14ac:dyDescent="0.25">
      <c r="Q4279" s="17" t="s">
        <v>4953</v>
      </c>
      <c r="R4279" s="17" t="s">
        <v>229</v>
      </c>
      <c r="S4279" s="17"/>
      <c r="T4279" s="17"/>
      <c r="U4279" s="17"/>
    </row>
    <row r="4280" spans="17:21" x14ac:dyDescent="0.25">
      <c r="Q4280" s="17" t="s">
        <v>4954</v>
      </c>
      <c r="R4280" s="17" t="s">
        <v>229</v>
      </c>
      <c r="S4280" s="17"/>
      <c r="T4280" s="17"/>
      <c r="U4280" s="17"/>
    </row>
    <row r="4281" spans="17:21" x14ac:dyDescent="0.25">
      <c r="Q4281" s="17" t="s">
        <v>4955</v>
      </c>
      <c r="R4281" s="17" t="s">
        <v>4956</v>
      </c>
      <c r="S4281" s="17"/>
      <c r="T4281" s="17"/>
      <c r="U4281" s="17"/>
    </row>
    <row r="4282" spans="17:21" x14ac:dyDescent="0.25">
      <c r="Q4282" s="17" t="s">
        <v>4957</v>
      </c>
      <c r="R4282" s="17" t="s">
        <v>4956</v>
      </c>
      <c r="S4282" s="17"/>
      <c r="T4282" s="17"/>
      <c r="U4282" s="17"/>
    </row>
    <row r="4283" spans="17:21" x14ac:dyDescent="0.25">
      <c r="Q4283" s="17" t="s">
        <v>4958</v>
      </c>
      <c r="R4283" s="17" t="s">
        <v>4956</v>
      </c>
      <c r="S4283" s="17"/>
      <c r="T4283" s="17"/>
      <c r="U4283" s="17"/>
    </row>
    <row r="4284" spans="17:21" x14ac:dyDescent="0.25">
      <c r="Q4284" s="17" t="s">
        <v>4959</v>
      </c>
      <c r="R4284" s="17" t="s">
        <v>4956</v>
      </c>
      <c r="S4284" s="17"/>
      <c r="T4284" s="17"/>
      <c r="U4284" s="17"/>
    </row>
    <row r="4285" spans="17:21" x14ac:dyDescent="0.25">
      <c r="Q4285" s="17" t="s">
        <v>4960</v>
      </c>
      <c r="R4285" s="17" t="s">
        <v>4956</v>
      </c>
      <c r="S4285" s="17"/>
      <c r="T4285" s="17"/>
      <c r="U4285" s="17"/>
    </row>
    <row r="4286" spans="17:21" x14ac:dyDescent="0.25">
      <c r="Q4286" s="17" t="s">
        <v>4961</v>
      </c>
      <c r="R4286" s="17" t="s">
        <v>4956</v>
      </c>
      <c r="S4286" s="17"/>
      <c r="T4286" s="17"/>
      <c r="U4286" s="17"/>
    </row>
    <row r="4287" spans="17:21" x14ac:dyDescent="0.25">
      <c r="Q4287" s="17" t="s">
        <v>4962</v>
      </c>
      <c r="R4287" s="17" t="s">
        <v>4956</v>
      </c>
      <c r="S4287" s="17"/>
      <c r="T4287" s="17"/>
      <c r="U4287" s="17"/>
    </row>
    <row r="4288" spans="17:21" x14ac:dyDescent="0.25">
      <c r="Q4288" s="17" t="s">
        <v>4963</v>
      </c>
      <c r="R4288" s="17" t="s">
        <v>4956</v>
      </c>
      <c r="S4288" s="17"/>
      <c r="T4288" s="17"/>
      <c r="U4288" s="17"/>
    </row>
    <row r="4289" spans="17:21" x14ac:dyDescent="0.25">
      <c r="Q4289" s="17" t="s">
        <v>4964</v>
      </c>
      <c r="R4289" s="17" t="s">
        <v>4956</v>
      </c>
      <c r="S4289" s="17"/>
      <c r="T4289" s="17"/>
      <c r="U4289" s="17"/>
    </row>
    <row r="4290" spans="17:21" x14ac:dyDescent="0.25">
      <c r="Q4290" s="17" t="s">
        <v>4965</v>
      </c>
      <c r="R4290" s="17" t="s">
        <v>4956</v>
      </c>
      <c r="S4290" s="17"/>
      <c r="T4290" s="17"/>
      <c r="U4290" s="17"/>
    </row>
    <row r="4291" spans="17:21" x14ac:dyDescent="0.25">
      <c r="Q4291" s="17" t="s">
        <v>4966</v>
      </c>
      <c r="R4291" s="17" t="s">
        <v>4956</v>
      </c>
      <c r="S4291" s="17"/>
      <c r="T4291" s="17"/>
      <c r="U4291" s="17"/>
    </row>
    <row r="4292" spans="17:21" x14ac:dyDescent="0.25">
      <c r="Q4292" s="17" t="s">
        <v>4967</v>
      </c>
      <c r="R4292" s="17" t="s">
        <v>4956</v>
      </c>
      <c r="S4292" s="17"/>
      <c r="T4292" s="17"/>
      <c r="U4292" s="17"/>
    </row>
    <row r="4293" spans="17:21" x14ac:dyDescent="0.25">
      <c r="Q4293" s="17" t="s">
        <v>385</v>
      </c>
      <c r="R4293" s="17" t="s">
        <v>229</v>
      </c>
      <c r="S4293" s="17"/>
      <c r="T4293" s="17"/>
      <c r="U4293" s="17"/>
    </row>
    <row r="4294" spans="17:21" x14ac:dyDescent="0.25">
      <c r="Q4294" s="17" t="s">
        <v>4968</v>
      </c>
      <c r="R4294" s="17" t="s">
        <v>229</v>
      </c>
      <c r="S4294" s="17"/>
      <c r="T4294" s="17"/>
      <c r="U4294" s="17"/>
    </row>
    <row r="4295" spans="17:21" x14ac:dyDescent="0.25">
      <c r="Q4295" s="17" t="s">
        <v>4969</v>
      </c>
      <c r="R4295" s="17" t="s">
        <v>229</v>
      </c>
      <c r="S4295" s="17"/>
      <c r="T4295" s="17"/>
      <c r="U4295" s="17"/>
    </row>
    <row r="4296" spans="17:21" x14ac:dyDescent="0.25">
      <c r="Q4296" s="17" t="s">
        <v>4970</v>
      </c>
      <c r="R4296" s="17" t="s">
        <v>229</v>
      </c>
      <c r="S4296" s="17"/>
      <c r="T4296" s="17"/>
      <c r="U4296" s="17"/>
    </row>
    <row r="4297" spans="17:21" x14ac:dyDescent="0.25">
      <c r="Q4297" s="17" t="s">
        <v>4971</v>
      </c>
      <c r="R4297" s="17" t="s">
        <v>229</v>
      </c>
      <c r="S4297" s="17"/>
      <c r="T4297" s="17"/>
      <c r="U4297" s="17"/>
    </row>
    <row r="4298" spans="17:21" x14ac:dyDescent="0.25">
      <c r="Q4298" s="17" t="s">
        <v>4972</v>
      </c>
      <c r="R4298" s="17" t="s">
        <v>229</v>
      </c>
      <c r="S4298" s="17"/>
      <c r="T4298" s="17"/>
      <c r="U4298" s="17"/>
    </row>
    <row r="4299" spans="17:21" x14ac:dyDescent="0.25">
      <c r="Q4299" s="17" t="s">
        <v>4973</v>
      </c>
      <c r="R4299" s="17" t="s">
        <v>229</v>
      </c>
      <c r="S4299" s="17"/>
      <c r="T4299" s="17"/>
      <c r="U4299" s="17"/>
    </row>
    <row r="4300" spans="17:21" x14ac:dyDescent="0.25">
      <c r="Q4300" s="17" t="s">
        <v>4974</v>
      </c>
      <c r="R4300" s="17" t="s">
        <v>229</v>
      </c>
      <c r="S4300" s="17"/>
      <c r="T4300" s="17"/>
      <c r="U4300" s="17"/>
    </row>
    <row r="4301" spans="17:21" x14ac:dyDescent="0.25">
      <c r="Q4301" s="17" t="s">
        <v>1152</v>
      </c>
      <c r="R4301" s="17" t="s">
        <v>229</v>
      </c>
      <c r="S4301" s="17"/>
      <c r="T4301" s="17"/>
      <c r="U4301" s="17"/>
    </row>
    <row r="4302" spans="17:21" x14ac:dyDescent="0.25">
      <c r="Q4302" s="17" t="s">
        <v>4975</v>
      </c>
      <c r="R4302" s="17" t="s">
        <v>229</v>
      </c>
      <c r="S4302" s="17"/>
      <c r="T4302" s="17"/>
      <c r="U4302" s="17"/>
    </row>
    <row r="4303" spans="17:21" x14ac:dyDescent="0.25">
      <c r="Q4303" s="17" t="s">
        <v>4976</v>
      </c>
      <c r="R4303" s="17" t="s">
        <v>229</v>
      </c>
      <c r="S4303" s="17"/>
      <c r="T4303" s="17"/>
      <c r="U4303" s="17"/>
    </row>
    <row r="4304" spans="17:21" x14ac:dyDescent="0.25">
      <c r="Q4304" s="17" t="s">
        <v>1327</v>
      </c>
      <c r="R4304" s="17" t="s">
        <v>229</v>
      </c>
      <c r="S4304" s="17"/>
      <c r="T4304" s="17"/>
      <c r="U4304" s="17"/>
    </row>
    <row r="4305" spans="17:21" x14ac:dyDescent="0.25">
      <c r="Q4305" s="17" t="s">
        <v>456</v>
      </c>
      <c r="R4305" s="17" t="s">
        <v>229</v>
      </c>
      <c r="S4305" s="17"/>
      <c r="T4305" s="17"/>
      <c r="U4305" s="17"/>
    </row>
    <row r="4306" spans="17:21" x14ac:dyDescent="0.25">
      <c r="Q4306" s="17" t="s">
        <v>704</v>
      </c>
      <c r="R4306" s="17" t="s">
        <v>229</v>
      </c>
      <c r="S4306" s="17"/>
      <c r="T4306" s="17"/>
      <c r="U4306" s="17"/>
    </row>
    <row r="4307" spans="17:21" x14ac:dyDescent="0.25">
      <c r="Q4307" s="17" t="s">
        <v>4977</v>
      </c>
      <c r="R4307" s="17" t="s">
        <v>229</v>
      </c>
      <c r="S4307" s="17"/>
      <c r="T4307" s="17"/>
      <c r="U4307" s="17"/>
    </row>
    <row r="4308" spans="17:21" x14ac:dyDescent="0.25">
      <c r="Q4308" s="17" t="s">
        <v>4978</v>
      </c>
      <c r="R4308" s="17" t="s">
        <v>229</v>
      </c>
      <c r="S4308" s="17"/>
      <c r="T4308" s="17"/>
      <c r="U4308" s="17"/>
    </row>
    <row r="4309" spans="17:21" x14ac:dyDescent="0.25">
      <c r="Q4309" s="17" t="s">
        <v>4979</v>
      </c>
      <c r="R4309" s="17" t="s">
        <v>4956</v>
      </c>
      <c r="S4309" s="17"/>
      <c r="T4309" s="17"/>
      <c r="U4309" s="17"/>
    </row>
    <row r="4310" spans="17:21" x14ac:dyDescent="0.25">
      <c r="Q4310" s="17" t="s">
        <v>4980</v>
      </c>
      <c r="R4310" s="17" t="s">
        <v>4956</v>
      </c>
      <c r="S4310" s="17"/>
      <c r="T4310" s="17"/>
      <c r="U4310" s="17"/>
    </row>
    <row r="4311" spans="17:21" x14ac:dyDescent="0.25">
      <c r="Q4311" s="17" t="s">
        <v>4981</v>
      </c>
      <c r="R4311" s="17" t="s">
        <v>4956</v>
      </c>
      <c r="S4311" s="17"/>
      <c r="T4311" s="17"/>
      <c r="U4311" s="17"/>
    </row>
    <row r="4312" spans="17:21" x14ac:dyDescent="0.25">
      <c r="Q4312" s="17" t="s">
        <v>4982</v>
      </c>
      <c r="R4312" s="17" t="s">
        <v>4956</v>
      </c>
      <c r="S4312" s="17"/>
      <c r="T4312" s="17"/>
      <c r="U4312" s="17"/>
    </row>
    <row r="4313" spans="17:21" x14ac:dyDescent="0.25">
      <c r="Q4313" s="17" t="s">
        <v>4983</v>
      </c>
      <c r="R4313" s="17" t="s">
        <v>4956</v>
      </c>
      <c r="S4313" s="17"/>
      <c r="T4313" s="17"/>
      <c r="U4313" s="17"/>
    </row>
    <row r="4314" spans="17:21" x14ac:dyDescent="0.25">
      <c r="Q4314" s="17" t="s">
        <v>4984</v>
      </c>
      <c r="R4314" s="17" t="s">
        <v>4956</v>
      </c>
      <c r="S4314" s="17"/>
      <c r="T4314" s="17"/>
      <c r="U4314" s="17"/>
    </row>
    <row r="4315" spans="17:21" x14ac:dyDescent="0.25">
      <c r="Q4315" s="17" t="s">
        <v>4985</v>
      </c>
      <c r="R4315" s="17" t="s">
        <v>4956</v>
      </c>
      <c r="S4315" s="17"/>
      <c r="T4315" s="17"/>
      <c r="U4315" s="17"/>
    </row>
    <row r="4316" spans="17:21" x14ac:dyDescent="0.25">
      <c r="Q4316" s="17" t="s">
        <v>4986</v>
      </c>
      <c r="R4316" s="17" t="s">
        <v>4956</v>
      </c>
      <c r="S4316" s="17"/>
      <c r="T4316" s="17"/>
      <c r="U4316" s="17"/>
    </row>
    <row r="4317" spans="17:21" x14ac:dyDescent="0.25">
      <c r="Q4317" s="17" t="s">
        <v>4987</v>
      </c>
      <c r="R4317" s="17" t="s">
        <v>4956</v>
      </c>
      <c r="S4317" s="17"/>
      <c r="T4317" s="17"/>
      <c r="U4317" s="17"/>
    </row>
    <row r="4318" spans="17:21" x14ac:dyDescent="0.25">
      <c r="Q4318" s="17" t="s">
        <v>4988</v>
      </c>
      <c r="R4318" s="17" t="s">
        <v>4956</v>
      </c>
      <c r="S4318" s="17"/>
      <c r="T4318" s="17"/>
      <c r="U4318" s="17"/>
    </row>
    <row r="4319" spans="17:21" x14ac:dyDescent="0.25">
      <c r="Q4319" s="17" t="s">
        <v>4989</v>
      </c>
      <c r="R4319" s="17" t="s">
        <v>4956</v>
      </c>
      <c r="S4319" s="17"/>
      <c r="T4319" s="17"/>
      <c r="U4319" s="17"/>
    </row>
    <row r="4320" spans="17:21" x14ac:dyDescent="0.25">
      <c r="Q4320" s="17" t="s">
        <v>4990</v>
      </c>
      <c r="R4320" s="17" t="s">
        <v>4956</v>
      </c>
      <c r="S4320" s="17"/>
      <c r="T4320" s="17"/>
      <c r="U4320" s="17"/>
    </row>
    <row r="4321" spans="17:21" x14ac:dyDescent="0.25">
      <c r="Q4321" s="17" t="s">
        <v>4991</v>
      </c>
      <c r="R4321" s="17" t="s">
        <v>4956</v>
      </c>
      <c r="S4321" s="17"/>
      <c r="T4321" s="17"/>
      <c r="U4321" s="17"/>
    </row>
    <row r="4322" spans="17:21" x14ac:dyDescent="0.25">
      <c r="Q4322" s="17" t="s">
        <v>4992</v>
      </c>
      <c r="R4322" s="17" t="s">
        <v>229</v>
      </c>
      <c r="S4322" s="17"/>
      <c r="T4322" s="17"/>
      <c r="U4322" s="17"/>
    </row>
    <row r="4323" spans="17:21" x14ac:dyDescent="0.25">
      <c r="Q4323" s="17" t="s">
        <v>4993</v>
      </c>
      <c r="R4323" s="17" t="s">
        <v>229</v>
      </c>
      <c r="S4323" s="17"/>
      <c r="T4323" s="17"/>
      <c r="U4323" s="17"/>
    </row>
    <row r="4324" spans="17:21" x14ac:dyDescent="0.25">
      <c r="Q4324" s="17" t="s">
        <v>4994</v>
      </c>
      <c r="R4324" s="17" t="s">
        <v>229</v>
      </c>
      <c r="S4324" s="17"/>
      <c r="T4324" s="17"/>
      <c r="U4324" s="17"/>
    </row>
    <row r="4325" spans="17:21" x14ac:dyDescent="0.25">
      <c r="Q4325" s="17" t="s">
        <v>4995</v>
      </c>
      <c r="R4325" s="17" t="s">
        <v>229</v>
      </c>
      <c r="S4325" s="17"/>
      <c r="T4325" s="17"/>
      <c r="U4325" s="17"/>
    </row>
    <row r="4326" spans="17:21" x14ac:dyDescent="0.25">
      <c r="Q4326" s="17" t="s">
        <v>884</v>
      </c>
      <c r="R4326" s="17" t="s">
        <v>229</v>
      </c>
      <c r="S4326" s="17"/>
      <c r="T4326" s="17"/>
      <c r="U4326" s="17"/>
    </row>
    <row r="4327" spans="17:21" x14ac:dyDescent="0.25">
      <c r="Q4327" s="17" t="s">
        <v>885</v>
      </c>
      <c r="R4327" s="17" t="s">
        <v>229</v>
      </c>
      <c r="S4327" s="17"/>
      <c r="T4327" s="17"/>
      <c r="U4327" s="17"/>
    </row>
    <row r="4328" spans="17:21" x14ac:dyDescent="0.25">
      <c r="Q4328" s="17" t="s">
        <v>4996</v>
      </c>
      <c r="R4328" s="17" t="s">
        <v>229</v>
      </c>
      <c r="S4328" s="17"/>
      <c r="T4328" s="17"/>
      <c r="U4328" s="17"/>
    </row>
    <row r="4329" spans="17:21" x14ac:dyDescent="0.25">
      <c r="Q4329" s="17" t="s">
        <v>4997</v>
      </c>
      <c r="R4329" s="17" t="s">
        <v>229</v>
      </c>
      <c r="S4329" s="17"/>
      <c r="T4329" s="17"/>
      <c r="U4329" s="17"/>
    </row>
    <row r="4330" spans="17:21" x14ac:dyDescent="0.25">
      <c r="Q4330" s="17" t="s">
        <v>4998</v>
      </c>
      <c r="R4330" s="17" t="s">
        <v>229</v>
      </c>
      <c r="S4330" s="17"/>
      <c r="T4330" s="17"/>
      <c r="U4330" s="17"/>
    </row>
    <row r="4331" spans="17:21" x14ac:dyDescent="0.25">
      <c r="Q4331" s="17" t="s">
        <v>4999</v>
      </c>
      <c r="R4331" s="17" t="s">
        <v>229</v>
      </c>
      <c r="S4331" s="17"/>
      <c r="T4331" s="17"/>
      <c r="U4331" s="17"/>
    </row>
    <row r="4332" spans="17:21" x14ac:dyDescent="0.25">
      <c r="Q4332" s="17" t="s">
        <v>5000</v>
      </c>
      <c r="R4332" s="17" t="s">
        <v>229</v>
      </c>
      <c r="S4332" s="17"/>
      <c r="T4332" s="17"/>
      <c r="U4332" s="17"/>
    </row>
    <row r="4333" spans="17:21" x14ac:dyDescent="0.25">
      <c r="Q4333" s="17" t="s">
        <v>886</v>
      </c>
      <c r="R4333" s="17" t="s">
        <v>229</v>
      </c>
      <c r="S4333" s="17"/>
      <c r="T4333" s="17"/>
      <c r="U4333" s="17"/>
    </row>
    <row r="4334" spans="17:21" x14ac:dyDescent="0.25">
      <c r="Q4334" s="17" t="s">
        <v>5001</v>
      </c>
      <c r="R4334" s="17" t="s">
        <v>229</v>
      </c>
      <c r="S4334" s="17"/>
      <c r="T4334" s="17"/>
      <c r="U4334" s="17"/>
    </row>
    <row r="4335" spans="17:21" x14ac:dyDescent="0.25">
      <c r="Q4335" s="17" t="s">
        <v>5002</v>
      </c>
      <c r="R4335" s="17" t="s">
        <v>229</v>
      </c>
      <c r="S4335" s="17"/>
      <c r="T4335" s="17"/>
      <c r="U4335" s="17"/>
    </row>
    <row r="4336" spans="17:21" x14ac:dyDescent="0.25">
      <c r="Q4336" s="17" t="s">
        <v>5003</v>
      </c>
      <c r="R4336" s="17" t="s">
        <v>229</v>
      </c>
      <c r="S4336" s="17"/>
      <c r="T4336" s="17"/>
      <c r="U4336" s="17"/>
    </row>
    <row r="4337" spans="17:21" x14ac:dyDescent="0.25">
      <c r="Q4337" s="17" t="s">
        <v>5004</v>
      </c>
      <c r="R4337" s="17" t="s">
        <v>2239</v>
      </c>
      <c r="S4337" s="17"/>
      <c r="T4337" s="17"/>
      <c r="U4337" s="17"/>
    </row>
    <row r="4338" spans="17:21" x14ac:dyDescent="0.25">
      <c r="Q4338" s="17" t="s">
        <v>5005</v>
      </c>
      <c r="R4338" s="17" t="s">
        <v>2239</v>
      </c>
      <c r="S4338" s="17"/>
      <c r="T4338" s="17"/>
      <c r="U4338" s="17"/>
    </row>
    <row r="4339" spans="17:21" x14ac:dyDescent="0.25">
      <c r="Q4339" s="17" t="s">
        <v>5006</v>
      </c>
      <c r="R4339" s="17" t="s">
        <v>2239</v>
      </c>
      <c r="S4339" s="17"/>
      <c r="T4339" s="17"/>
      <c r="U4339" s="17"/>
    </row>
    <row r="4340" spans="17:21" x14ac:dyDescent="0.25">
      <c r="Q4340" s="17" t="s">
        <v>5007</v>
      </c>
      <c r="R4340" s="17" t="s">
        <v>2239</v>
      </c>
      <c r="S4340" s="17"/>
      <c r="T4340" s="17"/>
      <c r="U4340" s="17"/>
    </row>
    <row r="4341" spans="17:21" x14ac:dyDescent="0.25">
      <c r="Q4341" s="17" t="s">
        <v>5008</v>
      </c>
      <c r="R4341" s="17" t="s">
        <v>2239</v>
      </c>
      <c r="S4341" s="17"/>
      <c r="T4341" s="17"/>
      <c r="U4341" s="17"/>
    </row>
    <row r="4342" spans="17:21" x14ac:dyDescent="0.25">
      <c r="Q4342" s="17" t="s">
        <v>5009</v>
      </c>
      <c r="R4342" s="17" t="s">
        <v>2239</v>
      </c>
      <c r="S4342" s="17"/>
      <c r="T4342" s="17"/>
      <c r="U4342" s="17"/>
    </row>
    <row r="4343" spans="17:21" x14ac:dyDescent="0.25">
      <c r="Q4343" s="17" t="s">
        <v>5010</v>
      </c>
      <c r="R4343" s="17" t="s">
        <v>2239</v>
      </c>
      <c r="S4343" s="17"/>
      <c r="T4343" s="17"/>
      <c r="U4343" s="17"/>
    </row>
    <row r="4344" spans="17:21" x14ac:dyDescent="0.25">
      <c r="Q4344" s="17" t="s">
        <v>5011</v>
      </c>
      <c r="R4344" s="17" t="s">
        <v>2239</v>
      </c>
      <c r="S4344" s="17"/>
      <c r="T4344" s="17"/>
      <c r="U4344" s="17"/>
    </row>
    <row r="4345" spans="17:21" x14ac:dyDescent="0.25">
      <c r="Q4345" s="17" t="s">
        <v>5012</v>
      </c>
      <c r="R4345" s="17" t="s">
        <v>2239</v>
      </c>
      <c r="S4345" s="17"/>
      <c r="T4345" s="17"/>
      <c r="U4345" s="17"/>
    </row>
    <row r="4346" spans="17:21" x14ac:dyDescent="0.25">
      <c r="Q4346" s="17" t="s">
        <v>5013</v>
      </c>
      <c r="R4346" s="17" t="s">
        <v>2239</v>
      </c>
      <c r="S4346" s="17"/>
      <c r="T4346" s="17"/>
      <c r="U4346" s="17"/>
    </row>
    <row r="4347" spans="17:21" x14ac:dyDescent="0.25">
      <c r="Q4347" s="17" t="s">
        <v>5014</v>
      </c>
      <c r="R4347" s="17" t="s">
        <v>2239</v>
      </c>
      <c r="S4347" s="17"/>
      <c r="T4347" s="17"/>
      <c r="U4347" s="17"/>
    </row>
    <row r="4348" spans="17:21" x14ac:dyDescent="0.25">
      <c r="Q4348" s="17" t="s">
        <v>5015</v>
      </c>
      <c r="R4348" s="17" t="s">
        <v>2239</v>
      </c>
      <c r="S4348" s="17"/>
      <c r="T4348" s="17"/>
      <c r="U4348" s="17"/>
    </row>
    <row r="4349" spans="17:21" x14ac:dyDescent="0.25">
      <c r="Q4349" s="17" t="s">
        <v>5016</v>
      </c>
      <c r="R4349" s="17" t="s">
        <v>2239</v>
      </c>
      <c r="S4349" s="17"/>
      <c r="T4349" s="17"/>
      <c r="U4349" s="17"/>
    </row>
    <row r="4350" spans="17:21" x14ac:dyDescent="0.25">
      <c r="Q4350" s="17" t="s">
        <v>5017</v>
      </c>
      <c r="R4350" s="17" t="s">
        <v>2239</v>
      </c>
      <c r="S4350" s="17"/>
      <c r="T4350" s="17"/>
      <c r="U4350" s="17"/>
    </row>
    <row r="4351" spans="17:21" x14ac:dyDescent="0.25">
      <c r="Q4351" s="17" t="s">
        <v>5018</v>
      </c>
      <c r="R4351" s="17" t="s">
        <v>2239</v>
      </c>
      <c r="S4351" s="17"/>
      <c r="T4351" s="17"/>
      <c r="U4351" s="17"/>
    </row>
    <row r="4352" spans="17:21" x14ac:dyDescent="0.25">
      <c r="Q4352" s="17" t="s">
        <v>5019</v>
      </c>
      <c r="R4352" s="17" t="s">
        <v>2239</v>
      </c>
      <c r="S4352" s="17"/>
      <c r="T4352" s="17"/>
      <c r="U4352" s="17"/>
    </row>
    <row r="4353" spans="17:21" x14ac:dyDescent="0.25">
      <c r="Q4353" s="17" t="s">
        <v>5020</v>
      </c>
      <c r="R4353" s="17" t="s">
        <v>2239</v>
      </c>
      <c r="S4353" s="17"/>
      <c r="T4353" s="17"/>
      <c r="U4353" s="17"/>
    </row>
    <row r="4354" spans="17:21" x14ac:dyDescent="0.25">
      <c r="Q4354" s="17" t="s">
        <v>5021</v>
      </c>
      <c r="R4354" s="17" t="s">
        <v>2239</v>
      </c>
      <c r="S4354" s="17"/>
      <c r="T4354" s="17"/>
      <c r="U4354" s="17"/>
    </row>
    <row r="4355" spans="17:21" x14ac:dyDescent="0.25">
      <c r="Q4355" s="17" t="s">
        <v>5022</v>
      </c>
      <c r="R4355" s="17" t="s">
        <v>2239</v>
      </c>
      <c r="S4355" s="17"/>
      <c r="T4355" s="17"/>
      <c r="U4355" s="17"/>
    </row>
    <row r="4356" spans="17:21" x14ac:dyDescent="0.25">
      <c r="Q4356" s="17" t="s">
        <v>5023</v>
      </c>
      <c r="R4356" s="17" t="s">
        <v>2239</v>
      </c>
      <c r="S4356" s="17"/>
      <c r="T4356" s="17"/>
      <c r="U4356" s="17"/>
    </row>
    <row r="4357" spans="17:21" x14ac:dyDescent="0.25">
      <c r="Q4357" s="17" t="s">
        <v>5024</v>
      </c>
      <c r="R4357" s="17" t="s">
        <v>2239</v>
      </c>
      <c r="S4357" s="17"/>
      <c r="T4357" s="17"/>
      <c r="U4357" s="17"/>
    </row>
    <row r="4358" spans="17:21" x14ac:dyDescent="0.25">
      <c r="Q4358" s="17" t="s">
        <v>5025</v>
      </c>
      <c r="R4358" s="17" t="s">
        <v>2239</v>
      </c>
      <c r="S4358" s="17"/>
      <c r="T4358" s="17"/>
      <c r="U4358" s="17"/>
    </row>
    <row r="4359" spans="17:21" x14ac:dyDescent="0.25">
      <c r="Q4359" s="17" t="s">
        <v>5026</v>
      </c>
      <c r="R4359" s="17" t="s">
        <v>2239</v>
      </c>
      <c r="S4359" s="17"/>
      <c r="T4359" s="17"/>
      <c r="U4359" s="17"/>
    </row>
    <row r="4360" spans="17:21" x14ac:dyDescent="0.25">
      <c r="Q4360" s="17" t="s">
        <v>5027</v>
      </c>
      <c r="R4360" s="17" t="s">
        <v>2239</v>
      </c>
      <c r="S4360" s="17"/>
      <c r="T4360" s="17"/>
      <c r="U4360" s="17"/>
    </row>
    <row r="4361" spans="17:21" x14ac:dyDescent="0.25">
      <c r="Q4361" s="17" t="s">
        <v>5028</v>
      </c>
      <c r="R4361" s="17" t="s">
        <v>2239</v>
      </c>
      <c r="S4361" s="17"/>
      <c r="T4361" s="17"/>
      <c r="U4361" s="17"/>
    </row>
    <row r="4362" spans="17:21" x14ac:dyDescent="0.25">
      <c r="Q4362" s="17" t="s">
        <v>5029</v>
      </c>
      <c r="R4362" s="17" t="s">
        <v>2239</v>
      </c>
      <c r="S4362" s="17"/>
      <c r="T4362" s="17"/>
      <c r="U4362" s="17"/>
    </row>
    <row r="4363" spans="17:21" x14ac:dyDescent="0.25">
      <c r="Q4363" s="17" t="s">
        <v>5030</v>
      </c>
      <c r="R4363" s="17" t="s">
        <v>2239</v>
      </c>
      <c r="S4363" s="17"/>
      <c r="T4363" s="17"/>
      <c r="U4363" s="17"/>
    </row>
    <row r="4364" spans="17:21" x14ac:dyDescent="0.25">
      <c r="Q4364" s="17" t="s">
        <v>5031</v>
      </c>
      <c r="R4364" s="17" t="s">
        <v>2239</v>
      </c>
      <c r="S4364" s="17"/>
      <c r="T4364" s="17"/>
      <c r="U4364" s="17"/>
    </row>
    <row r="4365" spans="17:21" x14ac:dyDescent="0.25">
      <c r="Q4365" s="17" t="s">
        <v>5032</v>
      </c>
      <c r="R4365" s="17" t="s">
        <v>2239</v>
      </c>
      <c r="S4365" s="17"/>
      <c r="T4365" s="17"/>
      <c r="U4365" s="17"/>
    </row>
    <row r="4366" spans="17:21" x14ac:dyDescent="0.25">
      <c r="Q4366" s="17" t="s">
        <v>5033</v>
      </c>
      <c r="R4366" s="17" t="s">
        <v>2239</v>
      </c>
      <c r="S4366" s="17"/>
      <c r="T4366" s="17"/>
      <c r="U4366" s="17"/>
    </row>
    <row r="4367" spans="17:21" x14ac:dyDescent="0.25">
      <c r="Q4367" s="17" t="s">
        <v>5034</v>
      </c>
      <c r="R4367" s="17" t="s">
        <v>2239</v>
      </c>
      <c r="S4367" s="17"/>
      <c r="T4367" s="17"/>
      <c r="U4367" s="17"/>
    </row>
    <row r="4368" spans="17:21" x14ac:dyDescent="0.25">
      <c r="Q4368" s="17" t="s">
        <v>5035</v>
      </c>
      <c r="R4368" s="17" t="s">
        <v>2239</v>
      </c>
      <c r="S4368" s="17"/>
      <c r="T4368" s="17"/>
      <c r="U4368" s="17"/>
    </row>
    <row r="4369" spans="17:21" x14ac:dyDescent="0.25">
      <c r="Q4369" s="17" t="s">
        <v>5036</v>
      </c>
      <c r="R4369" s="17" t="s">
        <v>2239</v>
      </c>
      <c r="S4369" s="17"/>
      <c r="T4369" s="17"/>
      <c r="U4369" s="17"/>
    </row>
    <row r="4370" spans="17:21" x14ac:dyDescent="0.25">
      <c r="Q4370" s="17" t="s">
        <v>5037</v>
      </c>
      <c r="R4370" s="17" t="s">
        <v>2239</v>
      </c>
      <c r="S4370" s="17"/>
      <c r="T4370" s="17"/>
      <c r="U4370" s="17"/>
    </row>
    <row r="4371" spans="17:21" x14ac:dyDescent="0.25">
      <c r="Q4371" s="17" t="s">
        <v>5038</v>
      </c>
      <c r="R4371" s="17" t="s">
        <v>2239</v>
      </c>
      <c r="S4371" s="17"/>
      <c r="T4371" s="17"/>
      <c r="U4371" s="17"/>
    </row>
    <row r="4372" spans="17:21" x14ac:dyDescent="0.25">
      <c r="Q4372" s="17" t="s">
        <v>5039</v>
      </c>
      <c r="R4372" s="17" t="s">
        <v>2239</v>
      </c>
      <c r="S4372" s="17"/>
      <c r="T4372" s="17"/>
      <c r="U4372" s="17"/>
    </row>
    <row r="4373" spans="17:21" x14ac:dyDescent="0.25">
      <c r="Q4373" s="17" t="s">
        <v>5040</v>
      </c>
      <c r="R4373" s="17" t="s">
        <v>2239</v>
      </c>
      <c r="S4373" s="17"/>
      <c r="T4373" s="17"/>
      <c r="U4373" s="17"/>
    </row>
    <row r="4374" spans="17:21" x14ac:dyDescent="0.25">
      <c r="Q4374" s="17" t="s">
        <v>5041</v>
      </c>
      <c r="R4374" s="17" t="s">
        <v>2239</v>
      </c>
      <c r="S4374" s="17"/>
      <c r="T4374" s="17"/>
      <c r="U4374" s="17"/>
    </row>
    <row r="4375" spans="17:21" x14ac:dyDescent="0.25">
      <c r="Q4375" s="17" t="s">
        <v>5042</v>
      </c>
      <c r="R4375" s="17" t="s">
        <v>2239</v>
      </c>
      <c r="S4375" s="17"/>
      <c r="T4375" s="17"/>
      <c r="U4375" s="17"/>
    </row>
    <row r="4376" spans="17:21" x14ac:dyDescent="0.25">
      <c r="Q4376" s="17" t="s">
        <v>5043</v>
      </c>
      <c r="R4376" s="17" t="s">
        <v>2239</v>
      </c>
      <c r="S4376" s="17"/>
      <c r="T4376" s="17"/>
      <c r="U4376" s="17"/>
    </row>
    <row r="4377" spans="17:21" x14ac:dyDescent="0.25">
      <c r="Q4377" s="17" t="s">
        <v>5044</v>
      </c>
      <c r="R4377" s="17" t="s">
        <v>2239</v>
      </c>
      <c r="S4377" s="17"/>
      <c r="T4377" s="17"/>
      <c r="U4377" s="17"/>
    </row>
    <row r="4378" spans="17:21" x14ac:dyDescent="0.25">
      <c r="Q4378" s="17" t="s">
        <v>5045</v>
      </c>
      <c r="R4378" s="17" t="s">
        <v>2239</v>
      </c>
      <c r="S4378" s="17"/>
      <c r="T4378" s="17"/>
      <c r="U4378" s="17"/>
    </row>
    <row r="4379" spans="17:21" x14ac:dyDescent="0.25">
      <c r="Q4379" s="17" t="s">
        <v>5046</v>
      </c>
      <c r="R4379" s="17" t="s">
        <v>2239</v>
      </c>
      <c r="S4379" s="17"/>
      <c r="T4379" s="17"/>
      <c r="U4379" s="17"/>
    </row>
    <row r="4380" spans="17:21" x14ac:dyDescent="0.25">
      <c r="Q4380" s="17" t="s">
        <v>5047</v>
      </c>
      <c r="R4380" s="17" t="s">
        <v>2239</v>
      </c>
      <c r="S4380" s="17"/>
      <c r="T4380" s="17"/>
      <c r="U4380" s="17"/>
    </row>
    <row r="4381" spans="17:21" x14ac:dyDescent="0.25">
      <c r="Q4381" s="17" t="s">
        <v>5048</v>
      </c>
      <c r="R4381" s="17" t="s">
        <v>2239</v>
      </c>
      <c r="S4381" s="17"/>
      <c r="T4381" s="17"/>
      <c r="U4381" s="17"/>
    </row>
    <row r="4382" spans="17:21" x14ac:dyDescent="0.25">
      <c r="Q4382" s="17" t="s">
        <v>5049</v>
      </c>
      <c r="R4382" s="17" t="s">
        <v>2239</v>
      </c>
      <c r="S4382" s="17"/>
      <c r="T4382" s="17"/>
      <c r="U4382" s="17"/>
    </row>
    <row r="4383" spans="17:21" x14ac:dyDescent="0.25">
      <c r="Q4383" s="17" t="s">
        <v>5050</v>
      </c>
      <c r="R4383" s="17" t="s">
        <v>2239</v>
      </c>
      <c r="S4383" s="17"/>
      <c r="T4383" s="17"/>
      <c r="U4383" s="17"/>
    </row>
    <row r="4384" spans="17:21" x14ac:dyDescent="0.25">
      <c r="Q4384" s="17" t="s">
        <v>5051</v>
      </c>
      <c r="R4384" s="17" t="s">
        <v>2239</v>
      </c>
      <c r="S4384" s="17"/>
      <c r="T4384" s="17"/>
      <c r="U4384" s="17"/>
    </row>
    <row r="4385" spans="17:21" x14ac:dyDescent="0.25">
      <c r="Q4385" s="17" t="s">
        <v>5052</v>
      </c>
      <c r="R4385" s="17" t="s">
        <v>2239</v>
      </c>
      <c r="S4385" s="17"/>
      <c r="T4385" s="17"/>
      <c r="U4385" s="17"/>
    </row>
    <row r="4386" spans="17:21" x14ac:dyDescent="0.25">
      <c r="Q4386" s="17" t="s">
        <v>5053</v>
      </c>
      <c r="R4386" s="17" t="s">
        <v>2239</v>
      </c>
      <c r="S4386" s="17"/>
      <c r="T4386" s="17"/>
      <c r="U4386" s="17"/>
    </row>
    <row r="4387" spans="17:21" x14ac:dyDescent="0.25">
      <c r="Q4387" s="17" t="s">
        <v>5054</v>
      </c>
      <c r="R4387" s="17" t="s">
        <v>2239</v>
      </c>
      <c r="S4387" s="17"/>
      <c r="T4387" s="17"/>
      <c r="U4387" s="17"/>
    </row>
    <row r="4388" spans="17:21" x14ac:dyDescent="0.25">
      <c r="Q4388" s="17" t="s">
        <v>5055</v>
      </c>
      <c r="R4388" s="17" t="s">
        <v>2239</v>
      </c>
      <c r="S4388" s="17"/>
      <c r="T4388" s="17"/>
      <c r="U4388" s="17"/>
    </row>
    <row r="4389" spans="17:21" x14ac:dyDescent="0.25">
      <c r="Q4389" s="17" t="s">
        <v>5056</v>
      </c>
      <c r="R4389" s="17" t="s">
        <v>2239</v>
      </c>
      <c r="S4389" s="17"/>
      <c r="T4389" s="17"/>
      <c r="U4389" s="17"/>
    </row>
    <row r="4390" spans="17:21" x14ac:dyDescent="0.25">
      <c r="Q4390" s="17" t="s">
        <v>5057</v>
      </c>
      <c r="R4390" s="17" t="s">
        <v>2239</v>
      </c>
      <c r="S4390" s="17"/>
      <c r="T4390" s="17"/>
      <c r="U4390" s="17"/>
    </row>
    <row r="4391" spans="17:21" x14ac:dyDescent="0.25">
      <c r="Q4391" s="17" t="s">
        <v>5058</v>
      </c>
      <c r="R4391" s="17" t="s">
        <v>2239</v>
      </c>
      <c r="S4391" s="17"/>
      <c r="T4391" s="17"/>
      <c r="U4391" s="17"/>
    </row>
    <row r="4392" spans="17:21" x14ac:dyDescent="0.25">
      <c r="Q4392" s="17" t="s">
        <v>5059</v>
      </c>
      <c r="R4392" s="17" t="s">
        <v>2239</v>
      </c>
      <c r="S4392" s="17"/>
      <c r="T4392" s="17"/>
      <c r="U4392" s="17"/>
    </row>
    <row r="4393" spans="17:21" x14ac:dyDescent="0.25">
      <c r="Q4393" s="17" t="s">
        <v>5060</v>
      </c>
      <c r="R4393" s="17" t="s">
        <v>2239</v>
      </c>
      <c r="S4393" s="17"/>
      <c r="T4393" s="17"/>
      <c r="U4393" s="17"/>
    </row>
    <row r="4394" spans="17:21" x14ac:dyDescent="0.25">
      <c r="Q4394" s="17" t="s">
        <v>5061</v>
      </c>
      <c r="R4394" s="17" t="s">
        <v>2239</v>
      </c>
      <c r="S4394" s="17"/>
      <c r="T4394" s="17"/>
      <c r="U4394" s="17"/>
    </row>
    <row r="4395" spans="17:21" x14ac:dyDescent="0.25">
      <c r="Q4395" s="17" t="s">
        <v>5062</v>
      </c>
      <c r="R4395" s="17" t="s">
        <v>2239</v>
      </c>
      <c r="S4395" s="17"/>
      <c r="T4395" s="17"/>
      <c r="U4395" s="17"/>
    </row>
    <row r="4396" spans="17:21" x14ac:dyDescent="0.25">
      <c r="Q4396" s="17" t="s">
        <v>5063</v>
      </c>
      <c r="R4396" s="17" t="s">
        <v>2239</v>
      </c>
      <c r="S4396" s="17"/>
      <c r="T4396" s="17"/>
      <c r="U4396" s="17"/>
    </row>
    <row r="4397" spans="17:21" x14ac:dyDescent="0.25">
      <c r="Q4397" s="17" t="s">
        <v>5064</v>
      </c>
      <c r="R4397" s="17" t="s">
        <v>2239</v>
      </c>
      <c r="S4397" s="17"/>
      <c r="T4397" s="17"/>
      <c r="U4397" s="17"/>
    </row>
    <row r="4398" spans="17:21" x14ac:dyDescent="0.25">
      <c r="Q4398" s="17" t="s">
        <v>5065</v>
      </c>
      <c r="R4398" s="17" t="s">
        <v>2239</v>
      </c>
      <c r="S4398" s="17"/>
      <c r="T4398" s="17"/>
      <c r="U4398" s="17"/>
    </row>
    <row r="4399" spans="17:21" x14ac:dyDescent="0.25">
      <c r="Q4399" s="17" t="s">
        <v>5066</v>
      </c>
      <c r="R4399" s="17" t="s">
        <v>2239</v>
      </c>
      <c r="S4399" s="17"/>
      <c r="T4399" s="17"/>
      <c r="U4399" s="17"/>
    </row>
    <row r="4400" spans="17:21" x14ac:dyDescent="0.25">
      <c r="Q4400" s="17" t="s">
        <v>5067</v>
      </c>
      <c r="R4400" s="17" t="s">
        <v>2239</v>
      </c>
      <c r="S4400" s="17"/>
      <c r="T4400" s="17"/>
      <c r="U4400" s="17"/>
    </row>
    <row r="4401" spans="17:21" x14ac:dyDescent="0.25">
      <c r="Q4401" s="17" t="s">
        <v>5068</v>
      </c>
      <c r="R4401" s="17" t="s">
        <v>2239</v>
      </c>
      <c r="S4401" s="17"/>
      <c r="T4401" s="17"/>
      <c r="U4401" s="17"/>
    </row>
    <row r="4402" spans="17:21" x14ac:dyDescent="0.25">
      <c r="Q4402" s="17" t="s">
        <v>5069</v>
      </c>
      <c r="R4402" s="17" t="s">
        <v>2239</v>
      </c>
      <c r="S4402" s="17"/>
      <c r="T4402" s="17"/>
      <c r="U4402" s="17"/>
    </row>
    <row r="4403" spans="17:21" x14ac:dyDescent="0.25">
      <c r="Q4403" s="17" t="s">
        <v>5070</v>
      </c>
      <c r="R4403" s="17" t="s">
        <v>2239</v>
      </c>
      <c r="S4403" s="17"/>
      <c r="T4403" s="17"/>
      <c r="U4403" s="17"/>
    </row>
    <row r="4404" spans="17:21" x14ac:dyDescent="0.25">
      <c r="Q4404" s="17" t="s">
        <v>5071</v>
      </c>
      <c r="R4404" s="17" t="s">
        <v>2239</v>
      </c>
      <c r="S4404" s="17"/>
      <c r="T4404" s="17"/>
      <c r="U4404" s="17"/>
    </row>
    <row r="4405" spans="17:21" x14ac:dyDescent="0.25">
      <c r="Q4405" s="17" t="s">
        <v>5072</v>
      </c>
      <c r="R4405" s="17" t="s">
        <v>2239</v>
      </c>
      <c r="S4405" s="17"/>
      <c r="T4405" s="17"/>
      <c r="U4405" s="17"/>
    </row>
    <row r="4406" spans="17:21" x14ac:dyDescent="0.25">
      <c r="Q4406" s="17" t="s">
        <v>5073</v>
      </c>
      <c r="R4406" s="17" t="s">
        <v>2239</v>
      </c>
      <c r="S4406" s="17"/>
      <c r="T4406" s="17"/>
      <c r="U4406" s="17"/>
    </row>
    <row r="4407" spans="17:21" x14ac:dyDescent="0.25">
      <c r="Q4407" s="17" t="s">
        <v>5074</v>
      </c>
      <c r="R4407" s="17" t="s">
        <v>2239</v>
      </c>
      <c r="S4407" s="17"/>
      <c r="T4407" s="17"/>
      <c r="U4407" s="17"/>
    </row>
    <row r="4408" spans="17:21" x14ac:dyDescent="0.25">
      <c r="Q4408" s="17" t="s">
        <v>5075</v>
      </c>
      <c r="R4408" s="17" t="s">
        <v>2239</v>
      </c>
      <c r="S4408" s="17"/>
      <c r="T4408" s="17"/>
      <c r="U4408" s="17"/>
    </row>
    <row r="4409" spans="17:21" x14ac:dyDescent="0.25">
      <c r="Q4409" s="17" t="s">
        <v>5076</v>
      </c>
      <c r="R4409" s="17" t="s">
        <v>2239</v>
      </c>
      <c r="S4409" s="17"/>
      <c r="T4409" s="17"/>
      <c r="U4409" s="17"/>
    </row>
    <row r="4410" spans="17:21" x14ac:dyDescent="0.25">
      <c r="Q4410" s="17" t="s">
        <v>5077</v>
      </c>
      <c r="R4410" s="17" t="s">
        <v>2239</v>
      </c>
      <c r="S4410" s="17"/>
      <c r="T4410" s="17"/>
      <c r="U4410" s="17"/>
    </row>
    <row r="4411" spans="17:21" x14ac:dyDescent="0.25">
      <c r="Q4411" s="17" t="s">
        <v>5078</v>
      </c>
      <c r="R4411" s="17" t="s">
        <v>2239</v>
      </c>
      <c r="S4411" s="17"/>
      <c r="T4411" s="17"/>
      <c r="U4411" s="17"/>
    </row>
    <row r="4412" spans="17:21" x14ac:dyDescent="0.25">
      <c r="Q4412" s="17" t="s">
        <v>5079</v>
      </c>
      <c r="R4412" s="17" t="s">
        <v>2239</v>
      </c>
      <c r="S4412" s="17"/>
      <c r="T4412" s="17"/>
      <c r="U4412" s="17"/>
    </row>
    <row r="4413" spans="17:21" x14ac:dyDescent="0.25">
      <c r="Q4413" s="17" t="s">
        <v>5080</v>
      </c>
      <c r="R4413" s="17" t="s">
        <v>2239</v>
      </c>
      <c r="S4413" s="17"/>
      <c r="T4413" s="17"/>
      <c r="U4413" s="17"/>
    </row>
    <row r="4414" spans="17:21" x14ac:dyDescent="0.25">
      <c r="Q4414" s="17" t="s">
        <v>5081</v>
      </c>
      <c r="R4414" s="17" t="s">
        <v>2239</v>
      </c>
      <c r="S4414" s="17"/>
      <c r="T4414" s="17"/>
      <c r="U4414" s="17"/>
    </row>
    <row r="4415" spans="17:21" x14ac:dyDescent="0.25">
      <c r="Q4415" s="17" t="s">
        <v>5082</v>
      </c>
      <c r="R4415" s="17" t="s">
        <v>2239</v>
      </c>
      <c r="S4415" s="17"/>
      <c r="T4415" s="17"/>
      <c r="U4415" s="17"/>
    </row>
    <row r="4416" spans="17:21" x14ac:dyDescent="0.25">
      <c r="Q4416" s="17" t="s">
        <v>5083</v>
      </c>
      <c r="R4416" s="17" t="s">
        <v>2239</v>
      </c>
      <c r="S4416" s="17"/>
      <c r="T4416" s="17"/>
      <c r="U4416" s="17"/>
    </row>
    <row r="4417" spans="17:21" x14ac:dyDescent="0.25">
      <c r="Q4417" s="17" t="s">
        <v>5084</v>
      </c>
      <c r="R4417" s="17" t="s">
        <v>2239</v>
      </c>
      <c r="S4417" s="17"/>
      <c r="T4417" s="17"/>
      <c r="U4417" s="17"/>
    </row>
    <row r="4418" spans="17:21" x14ac:dyDescent="0.25">
      <c r="Q4418" s="17" t="s">
        <v>5085</v>
      </c>
      <c r="R4418" s="17" t="s">
        <v>2239</v>
      </c>
      <c r="S4418" s="17"/>
      <c r="T4418" s="17"/>
      <c r="U4418" s="17"/>
    </row>
    <row r="4419" spans="17:21" x14ac:dyDescent="0.25">
      <c r="Q4419" s="17" t="s">
        <v>5086</v>
      </c>
      <c r="R4419" s="17" t="s">
        <v>2675</v>
      </c>
      <c r="S4419" s="17"/>
      <c r="T4419" s="17"/>
      <c r="U4419" s="17"/>
    </row>
    <row r="4420" spans="17:21" x14ac:dyDescent="0.25">
      <c r="Q4420" s="17" t="s">
        <v>5087</v>
      </c>
      <c r="R4420" s="17" t="s">
        <v>2675</v>
      </c>
      <c r="S4420" s="17"/>
      <c r="T4420" s="17"/>
      <c r="U4420" s="17"/>
    </row>
    <row r="4421" spans="17:21" x14ac:dyDescent="0.25">
      <c r="Q4421" s="17" t="s">
        <v>5088</v>
      </c>
      <c r="R4421" s="17" t="s">
        <v>2675</v>
      </c>
      <c r="S4421" s="17"/>
      <c r="T4421" s="17"/>
      <c r="U4421" s="17"/>
    </row>
    <row r="4422" spans="17:21" x14ac:dyDescent="0.25">
      <c r="Q4422" s="17" t="s">
        <v>5089</v>
      </c>
      <c r="R4422" s="17" t="s">
        <v>2675</v>
      </c>
      <c r="S4422" s="17"/>
      <c r="T4422" s="17"/>
      <c r="U4422" s="17"/>
    </row>
    <row r="4423" spans="17:21" x14ac:dyDescent="0.25">
      <c r="Q4423" s="17" t="s">
        <v>5090</v>
      </c>
      <c r="R4423" s="17" t="s">
        <v>2239</v>
      </c>
      <c r="S4423" s="17"/>
      <c r="T4423" s="17"/>
      <c r="U4423" s="17"/>
    </row>
    <row r="4424" spans="17:21" x14ac:dyDescent="0.25">
      <c r="Q4424" s="17" t="s">
        <v>5091</v>
      </c>
      <c r="R4424" s="17" t="s">
        <v>2239</v>
      </c>
      <c r="S4424" s="17"/>
      <c r="T4424" s="17"/>
      <c r="U4424" s="17"/>
    </row>
    <row r="4425" spans="17:21" x14ac:dyDescent="0.25">
      <c r="Q4425" s="17" t="s">
        <v>5092</v>
      </c>
      <c r="R4425" s="17" t="s">
        <v>2239</v>
      </c>
      <c r="S4425" s="17"/>
      <c r="T4425" s="17"/>
      <c r="U4425" s="17"/>
    </row>
    <row r="4426" spans="17:21" x14ac:dyDescent="0.25">
      <c r="Q4426" s="17" t="s">
        <v>5093</v>
      </c>
      <c r="R4426" s="17" t="s">
        <v>2239</v>
      </c>
      <c r="S4426" s="17"/>
      <c r="T4426" s="17"/>
      <c r="U4426" s="17"/>
    </row>
    <row r="4427" spans="17:21" x14ac:dyDescent="0.25">
      <c r="Q4427" s="17" t="s">
        <v>5094</v>
      </c>
      <c r="R4427" s="17" t="s">
        <v>2239</v>
      </c>
      <c r="S4427" s="17"/>
      <c r="T4427" s="17"/>
      <c r="U4427" s="17"/>
    </row>
    <row r="4428" spans="17:21" x14ac:dyDescent="0.25">
      <c r="Q4428" s="17" t="s">
        <v>5095</v>
      </c>
      <c r="R4428" s="17" t="s">
        <v>2239</v>
      </c>
      <c r="S4428" s="17"/>
      <c r="T4428" s="17"/>
      <c r="U4428" s="17"/>
    </row>
    <row r="4429" spans="17:21" x14ac:dyDescent="0.25">
      <c r="Q4429" s="17" t="s">
        <v>5096</v>
      </c>
      <c r="R4429" s="17" t="s">
        <v>2239</v>
      </c>
      <c r="S4429" s="17"/>
      <c r="T4429" s="17"/>
      <c r="U4429" s="17"/>
    </row>
    <row r="4430" spans="17:21" x14ac:dyDescent="0.25">
      <c r="Q4430" s="17" t="s">
        <v>5097</v>
      </c>
      <c r="R4430" s="17" t="s">
        <v>2239</v>
      </c>
      <c r="S4430" s="17"/>
      <c r="T4430" s="17"/>
      <c r="U4430" s="17"/>
    </row>
    <row r="4431" spans="17:21" x14ac:dyDescent="0.25">
      <c r="Q4431" s="17" t="s">
        <v>5098</v>
      </c>
      <c r="R4431" s="17" t="s">
        <v>2239</v>
      </c>
      <c r="S4431" s="17"/>
      <c r="T4431" s="17"/>
      <c r="U4431" s="17"/>
    </row>
    <row r="4432" spans="17:21" x14ac:dyDescent="0.25">
      <c r="Q4432" s="17" t="s">
        <v>5099</v>
      </c>
      <c r="R4432" s="17" t="s">
        <v>2239</v>
      </c>
      <c r="S4432" s="17"/>
      <c r="T4432" s="17"/>
      <c r="U4432" s="17"/>
    </row>
    <row r="4433" spans="17:21" x14ac:dyDescent="0.25">
      <c r="Q4433" s="17" t="s">
        <v>5100</v>
      </c>
      <c r="R4433" s="17" t="s">
        <v>2239</v>
      </c>
      <c r="S4433" s="17"/>
      <c r="T4433" s="17"/>
      <c r="U4433" s="17"/>
    </row>
    <row r="4434" spans="17:21" x14ac:dyDescent="0.25">
      <c r="Q4434" s="17" t="s">
        <v>5101</v>
      </c>
      <c r="R4434" s="17" t="s">
        <v>2239</v>
      </c>
      <c r="S4434" s="17"/>
      <c r="T4434" s="17"/>
      <c r="U4434" s="17"/>
    </row>
    <row r="4435" spans="17:21" x14ac:dyDescent="0.25">
      <c r="Q4435" s="17" t="s">
        <v>5102</v>
      </c>
      <c r="R4435" s="17" t="s">
        <v>2239</v>
      </c>
      <c r="S4435" s="17"/>
      <c r="T4435" s="17"/>
      <c r="U4435" s="17"/>
    </row>
    <row r="4436" spans="17:21" x14ac:dyDescent="0.25">
      <c r="Q4436" s="17" t="s">
        <v>5103</v>
      </c>
      <c r="R4436" s="17" t="s">
        <v>2239</v>
      </c>
      <c r="S4436" s="17"/>
      <c r="T4436" s="17"/>
      <c r="U4436" s="17"/>
    </row>
    <row r="4437" spans="17:21" x14ac:dyDescent="0.25">
      <c r="Q4437" s="17" t="s">
        <v>5104</v>
      </c>
      <c r="R4437" s="17" t="s">
        <v>2239</v>
      </c>
      <c r="S4437" s="17"/>
      <c r="T4437" s="17"/>
      <c r="U4437" s="17"/>
    </row>
    <row r="4438" spans="17:21" x14ac:dyDescent="0.25">
      <c r="Q4438" s="17" t="s">
        <v>5105</v>
      </c>
      <c r="R4438" s="17" t="s">
        <v>2239</v>
      </c>
      <c r="S4438" s="17"/>
      <c r="T4438" s="17"/>
      <c r="U4438" s="17"/>
    </row>
    <row r="4439" spans="17:21" x14ac:dyDescent="0.25">
      <c r="Q4439" s="17" t="s">
        <v>5106</v>
      </c>
      <c r="R4439" s="17" t="s">
        <v>2239</v>
      </c>
      <c r="S4439" s="17"/>
      <c r="T4439" s="17"/>
      <c r="U4439" s="17"/>
    </row>
    <row r="4440" spans="17:21" x14ac:dyDescent="0.25">
      <c r="Q4440" s="17" t="s">
        <v>5107</v>
      </c>
      <c r="R4440" s="17" t="s">
        <v>2239</v>
      </c>
      <c r="S4440" s="17"/>
      <c r="T4440" s="17"/>
      <c r="U4440" s="17"/>
    </row>
    <row r="4441" spans="17:21" x14ac:dyDescent="0.25">
      <c r="Q4441" s="17" t="s">
        <v>5108</v>
      </c>
      <c r="R4441" s="17" t="s">
        <v>2239</v>
      </c>
      <c r="S4441" s="17"/>
      <c r="T4441" s="17"/>
      <c r="U4441" s="17"/>
    </row>
    <row r="4442" spans="17:21" x14ac:dyDescent="0.25">
      <c r="Q4442" s="17" t="s">
        <v>5109</v>
      </c>
      <c r="R4442" s="17" t="s">
        <v>2239</v>
      </c>
      <c r="S4442" s="17"/>
      <c r="T4442" s="17"/>
      <c r="U4442" s="17"/>
    </row>
    <row r="4443" spans="17:21" x14ac:dyDescent="0.25">
      <c r="Q4443" s="17" t="s">
        <v>5110</v>
      </c>
      <c r="R4443" s="17" t="s">
        <v>2239</v>
      </c>
      <c r="S4443" s="17"/>
      <c r="T4443" s="17"/>
      <c r="U4443" s="17"/>
    </row>
    <row r="4444" spans="17:21" x14ac:dyDescent="0.25">
      <c r="Q4444" s="17" t="s">
        <v>5111</v>
      </c>
      <c r="R4444" s="17" t="s">
        <v>2239</v>
      </c>
      <c r="S4444" s="17"/>
      <c r="T4444" s="17"/>
      <c r="U4444" s="17"/>
    </row>
    <row r="4445" spans="17:21" x14ac:dyDescent="0.25">
      <c r="Q4445" s="17" t="s">
        <v>5112</v>
      </c>
      <c r="R4445" s="17" t="s">
        <v>2239</v>
      </c>
      <c r="S4445" s="17"/>
      <c r="T4445" s="17"/>
      <c r="U4445" s="17"/>
    </row>
    <row r="4446" spans="17:21" x14ac:dyDescent="0.25">
      <c r="Q4446" s="17" t="s">
        <v>5113</v>
      </c>
      <c r="R4446" s="17" t="s">
        <v>2239</v>
      </c>
      <c r="S4446" s="17"/>
      <c r="T4446" s="17"/>
      <c r="U4446" s="17"/>
    </row>
    <row r="4447" spans="17:21" x14ac:dyDescent="0.25">
      <c r="Q4447" s="17" t="s">
        <v>5114</v>
      </c>
      <c r="R4447" s="17" t="s">
        <v>2239</v>
      </c>
      <c r="S4447" s="17"/>
      <c r="T4447" s="17"/>
      <c r="U4447" s="17"/>
    </row>
    <row r="4448" spans="17:21" x14ac:dyDescent="0.25">
      <c r="Q4448" s="17" t="s">
        <v>5115</v>
      </c>
      <c r="R4448" s="17" t="s">
        <v>2239</v>
      </c>
      <c r="S4448" s="17"/>
      <c r="T4448" s="17"/>
      <c r="U4448" s="17"/>
    </row>
    <row r="4449" spans="17:21" x14ac:dyDescent="0.25">
      <c r="Q4449" s="17" t="s">
        <v>5116</v>
      </c>
      <c r="R4449" s="17" t="s">
        <v>2239</v>
      </c>
      <c r="S4449" s="17"/>
      <c r="T4449" s="17"/>
      <c r="U4449" s="17"/>
    </row>
    <row r="4450" spans="17:21" x14ac:dyDescent="0.25">
      <c r="Q4450" s="17" t="s">
        <v>5117</v>
      </c>
      <c r="R4450" s="17" t="s">
        <v>2239</v>
      </c>
      <c r="S4450" s="17"/>
      <c r="T4450" s="17"/>
      <c r="U4450" s="17"/>
    </row>
    <row r="4451" spans="17:21" x14ac:dyDescent="0.25">
      <c r="Q4451" s="17" t="s">
        <v>5118</v>
      </c>
      <c r="R4451" s="17" t="s">
        <v>2239</v>
      </c>
      <c r="S4451" s="17"/>
      <c r="T4451" s="17"/>
      <c r="U4451" s="17"/>
    </row>
    <row r="4452" spans="17:21" x14ac:dyDescent="0.25">
      <c r="Q4452" s="17" t="s">
        <v>5119</v>
      </c>
      <c r="R4452" s="17" t="s">
        <v>2239</v>
      </c>
      <c r="S4452" s="17"/>
      <c r="T4452" s="17"/>
      <c r="U4452" s="17"/>
    </row>
    <row r="4453" spans="17:21" x14ac:dyDescent="0.25">
      <c r="Q4453" s="17" t="s">
        <v>5120</v>
      </c>
      <c r="R4453" s="17" t="s">
        <v>2239</v>
      </c>
      <c r="S4453" s="17"/>
      <c r="T4453" s="17"/>
      <c r="U4453" s="17"/>
    </row>
    <row r="4454" spans="17:21" x14ac:dyDescent="0.25">
      <c r="Q4454" s="17" t="s">
        <v>5121</v>
      </c>
      <c r="R4454" s="17" t="s">
        <v>2239</v>
      </c>
      <c r="S4454" s="17"/>
      <c r="T4454" s="17"/>
      <c r="U4454" s="17"/>
    </row>
    <row r="4455" spans="17:21" x14ac:dyDescent="0.25">
      <c r="Q4455" s="17" t="s">
        <v>5122</v>
      </c>
      <c r="R4455" s="17" t="s">
        <v>2239</v>
      </c>
      <c r="S4455" s="17"/>
      <c r="T4455" s="17"/>
      <c r="U4455" s="17"/>
    </row>
    <row r="4456" spans="17:21" x14ac:dyDescent="0.25">
      <c r="Q4456" s="17" t="s">
        <v>5123</v>
      </c>
      <c r="R4456" s="17" t="s">
        <v>2239</v>
      </c>
      <c r="S4456" s="17"/>
      <c r="T4456" s="17"/>
      <c r="U4456" s="17"/>
    </row>
    <row r="4457" spans="17:21" x14ac:dyDescent="0.25">
      <c r="Q4457" s="17" t="s">
        <v>5124</v>
      </c>
      <c r="R4457" s="17" t="s">
        <v>2239</v>
      </c>
      <c r="S4457" s="17"/>
      <c r="T4457" s="17"/>
      <c r="U4457" s="17"/>
    </row>
    <row r="4458" spans="17:21" x14ac:dyDescent="0.25">
      <c r="Q4458" s="17" t="s">
        <v>5125</v>
      </c>
      <c r="R4458" s="17" t="s">
        <v>2239</v>
      </c>
      <c r="S4458" s="17"/>
      <c r="T4458" s="17"/>
      <c r="U4458" s="17"/>
    </row>
    <row r="4459" spans="17:21" x14ac:dyDescent="0.25">
      <c r="Q4459" s="17" t="s">
        <v>5126</v>
      </c>
      <c r="R4459" s="17" t="s">
        <v>2239</v>
      </c>
      <c r="S4459" s="17"/>
      <c r="T4459" s="17"/>
      <c r="U4459" s="17"/>
    </row>
    <row r="4460" spans="17:21" x14ac:dyDescent="0.25">
      <c r="Q4460" s="17" t="s">
        <v>5127</v>
      </c>
      <c r="R4460" s="17" t="s">
        <v>2239</v>
      </c>
      <c r="S4460" s="17"/>
      <c r="T4460" s="17"/>
      <c r="U4460" s="17"/>
    </row>
    <row r="4461" spans="17:21" x14ac:dyDescent="0.25">
      <c r="Q4461" s="17" t="s">
        <v>5128</v>
      </c>
      <c r="R4461" s="17" t="s">
        <v>2239</v>
      </c>
      <c r="S4461" s="17"/>
      <c r="T4461" s="17"/>
      <c r="U4461" s="17"/>
    </row>
    <row r="4462" spans="17:21" x14ac:dyDescent="0.25">
      <c r="Q4462" s="17" t="s">
        <v>5129</v>
      </c>
      <c r="R4462" s="17" t="s">
        <v>2239</v>
      </c>
      <c r="S4462" s="17"/>
      <c r="T4462" s="17"/>
      <c r="U4462" s="17"/>
    </row>
    <row r="4463" spans="17:21" x14ac:dyDescent="0.25">
      <c r="Q4463" s="17" t="s">
        <v>5130</v>
      </c>
      <c r="R4463" s="17" t="s">
        <v>2239</v>
      </c>
      <c r="S4463" s="17"/>
      <c r="T4463" s="17"/>
      <c r="U4463" s="17"/>
    </row>
    <row r="4464" spans="17:21" x14ac:dyDescent="0.25">
      <c r="Q4464" s="17" t="s">
        <v>5131</v>
      </c>
      <c r="R4464" s="17" t="s">
        <v>2239</v>
      </c>
      <c r="S4464" s="17"/>
      <c r="T4464" s="17"/>
      <c r="U4464" s="17"/>
    </row>
    <row r="4465" spans="17:21" x14ac:dyDescent="0.25">
      <c r="Q4465" s="17" t="s">
        <v>5132</v>
      </c>
      <c r="R4465" s="17" t="s">
        <v>2239</v>
      </c>
      <c r="S4465" s="17"/>
      <c r="T4465" s="17"/>
      <c r="U4465" s="17"/>
    </row>
    <row r="4466" spans="17:21" x14ac:dyDescent="0.25">
      <c r="Q4466" s="17" t="s">
        <v>5133</v>
      </c>
      <c r="R4466" s="17" t="s">
        <v>2239</v>
      </c>
      <c r="S4466" s="17"/>
      <c r="T4466" s="17"/>
      <c r="U4466" s="17"/>
    </row>
    <row r="4467" spans="17:21" x14ac:dyDescent="0.25">
      <c r="Q4467" s="17" t="s">
        <v>5134</v>
      </c>
      <c r="R4467" s="17" t="s">
        <v>2239</v>
      </c>
      <c r="S4467" s="17"/>
      <c r="T4467" s="17"/>
      <c r="U4467" s="17"/>
    </row>
    <row r="4468" spans="17:21" x14ac:dyDescent="0.25">
      <c r="Q4468" s="17" t="s">
        <v>5135</v>
      </c>
      <c r="R4468" s="17" t="s">
        <v>2239</v>
      </c>
      <c r="S4468" s="17"/>
      <c r="T4468" s="17"/>
      <c r="U4468" s="17"/>
    </row>
    <row r="4469" spans="17:21" x14ac:dyDescent="0.25">
      <c r="Q4469" s="17" t="s">
        <v>5136</v>
      </c>
      <c r="R4469" s="17" t="s">
        <v>2239</v>
      </c>
      <c r="S4469" s="17"/>
      <c r="T4469" s="17"/>
      <c r="U4469" s="17"/>
    </row>
    <row r="4470" spans="17:21" x14ac:dyDescent="0.25">
      <c r="Q4470" s="17" t="s">
        <v>5137</v>
      </c>
      <c r="R4470" s="17" t="s">
        <v>2675</v>
      </c>
      <c r="S4470" s="17"/>
      <c r="T4470" s="17"/>
      <c r="U4470" s="17"/>
    </row>
    <row r="4471" spans="17:21" x14ac:dyDescent="0.25">
      <c r="Q4471" s="17" t="s">
        <v>5138</v>
      </c>
      <c r="R4471" s="17" t="s">
        <v>2675</v>
      </c>
      <c r="S4471" s="17"/>
      <c r="T4471" s="17"/>
      <c r="U4471" s="17"/>
    </row>
    <row r="4472" spans="17:21" x14ac:dyDescent="0.25">
      <c r="Q4472" s="17" t="s">
        <v>5139</v>
      </c>
      <c r="R4472" s="17" t="s">
        <v>2675</v>
      </c>
      <c r="S4472" s="17"/>
      <c r="T4472" s="17"/>
      <c r="U4472" s="17"/>
    </row>
    <row r="4473" spans="17:21" x14ac:dyDescent="0.25">
      <c r="Q4473" s="17" t="s">
        <v>5140</v>
      </c>
      <c r="R4473" s="17" t="s">
        <v>2675</v>
      </c>
      <c r="S4473" s="17"/>
      <c r="T4473" s="17"/>
      <c r="U4473" s="17"/>
    </row>
    <row r="4474" spans="17:21" x14ac:dyDescent="0.25">
      <c r="Q4474" s="17" t="s">
        <v>5141</v>
      </c>
      <c r="R4474" s="17" t="s">
        <v>2675</v>
      </c>
      <c r="S4474" s="17"/>
      <c r="T4474" s="17"/>
      <c r="U4474" s="17"/>
    </row>
    <row r="4475" spans="17:21" x14ac:dyDescent="0.25">
      <c r="Q4475" s="17" t="s">
        <v>5142</v>
      </c>
      <c r="R4475" s="17" t="s">
        <v>2675</v>
      </c>
      <c r="S4475" s="17"/>
      <c r="T4475" s="17"/>
      <c r="U4475" s="17"/>
    </row>
    <row r="4476" spans="17:21" x14ac:dyDescent="0.25">
      <c r="Q4476" s="17" t="s">
        <v>5143</v>
      </c>
      <c r="R4476" s="17" t="s">
        <v>2675</v>
      </c>
      <c r="S4476" s="17"/>
      <c r="T4476" s="17"/>
      <c r="U4476" s="17"/>
    </row>
    <row r="4477" spans="17:21" x14ac:dyDescent="0.25">
      <c r="Q4477" s="17" t="s">
        <v>5144</v>
      </c>
      <c r="R4477" s="17" t="s">
        <v>2675</v>
      </c>
      <c r="S4477" s="17"/>
      <c r="T4477" s="17"/>
      <c r="U4477" s="17"/>
    </row>
    <row r="4478" spans="17:21" x14ac:dyDescent="0.25">
      <c r="Q4478" s="17" t="s">
        <v>5145</v>
      </c>
      <c r="R4478" s="17" t="s">
        <v>2239</v>
      </c>
      <c r="S4478" s="17"/>
      <c r="T4478" s="17"/>
      <c r="U4478" s="17"/>
    </row>
    <row r="4479" spans="17:21" x14ac:dyDescent="0.25">
      <c r="Q4479" s="17" t="s">
        <v>5146</v>
      </c>
      <c r="R4479" s="17" t="s">
        <v>2239</v>
      </c>
      <c r="S4479" s="17"/>
      <c r="T4479" s="17"/>
      <c r="U4479" s="17"/>
    </row>
    <row r="4480" spans="17:21" x14ac:dyDescent="0.25">
      <c r="Q4480" s="17" t="s">
        <v>5147</v>
      </c>
      <c r="R4480" s="17" t="s">
        <v>2239</v>
      </c>
      <c r="S4480" s="17"/>
      <c r="T4480" s="17"/>
      <c r="U4480" s="17"/>
    </row>
    <row r="4481" spans="17:21" x14ac:dyDescent="0.25">
      <c r="Q4481" s="17" t="s">
        <v>5148</v>
      </c>
      <c r="R4481" s="17" t="s">
        <v>2239</v>
      </c>
      <c r="S4481" s="17"/>
      <c r="T4481" s="17"/>
      <c r="U4481" s="17"/>
    </row>
    <row r="4482" spans="17:21" x14ac:dyDescent="0.25">
      <c r="Q4482" s="17" t="s">
        <v>5149</v>
      </c>
      <c r="R4482" s="17" t="s">
        <v>2239</v>
      </c>
      <c r="S4482" s="17"/>
      <c r="T4482" s="17"/>
      <c r="U4482" s="17"/>
    </row>
    <row r="4483" spans="17:21" x14ac:dyDescent="0.25">
      <c r="Q4483" s="17" t="s">
        <v>5150</v>
      </c>
      <c r="R4483" s="17" t="s">
        <v>2239</v>
      </c>
      <c r="S4483" s="17"/>
      <c r="T4483" s="17"/>
      <c r="U4483" s="17"/>
    </row>
    <row r="4484" spans="17:21" x14ac:dyDescent="0.25">
      <c r="Q4484" s="17" t="s">
        <v>5151</v>
      </c>
      <c r="R4484" s="17" t="s">
        <v>2239</v>
      </c>
      <c r="S4484" s="17"/>
      <c r="T4484" s="17"/>
      <c r="U4484" s="17"/>
    </row>
    <row r="4485" spans="17:21" x14ac:dyDescent="0.25">
      <c r="Q4485" s="17" t="s">
        <v>5152</v>
      </c>
      <c r="R4485" s="17" t="s">
        <v>2239</v>
      </c>
      <c r="S4485" s="17"/>
      <c r="T4485" s="17"/>
      <c r="U4485" s="17"/>
    </row>
    <row r="4486" spans="17:21" x14ac:dyDescent="0.25">
      <c r="Q4486" s="17" t="s">
        <v>5153</v>
      </c>
      <c r="R4486" s="17" t="s">
        <v>2239</v>
      </c>
      <c r="S4486" s="17"/>
      <c r="T4486" s="17"/>
      <c r="U4486" s="17"/>
    </row>
    <row r="4487" spans="17:21" x14ac:dyDescent="0.25">
      <c r="Q4487" s="17" t="s">
        <v>5154</v>
      </c>
      <c r="R4487" s="17" t="s">
        <v>2239</v>
      </c>
      <c r="S4487" s="17"/>
      <c r="T4487" s="17"/>
      <c r="U4487" s="17"/>
    </row>
    <row r="4488" spans="17:21" x14ac:dyDescent="0.25">
      <c r="Q4488" s="17" t="s">
        <v>5155</v>
      </c>
      <c r="R4488" s="17" t="s">
        <v>2239</v>
      </c>
      <c r="S4488" s="17"/>
      <c r="T4488" s="17"/>
      <c r="U4488" s="17"/>
    </row>
    <row r="4489" spans="17:21" x14ac:dyDescent="0.25">
      <c r="Q4489" s="17" t="s">
        <v>5156</v>
      </c>
      <c r="R4489" s="17" t="s">
        <v>2239</v>
      </c>
      <c r="S4489" s="17"/>
      <c r="T4489" s="17"/>
      <c r="U4489" s="17"/>
    </row>
    <row r="4490" spans="17:21" x14ac:dyDescent="0.25">
      <c r="Q4490" s="17" t="s">
        <v>5157</v>
      </c>
      <c r="R4490" s="17" t="s">
        <v>2239</v>
      </c>
      <c r="S4490" s="17"/>
      <c r="T4490" s="17"/>
      <c r="U4490" s="17"/>
    </row>
    <row r="4491" spans="17:21" x14ac:dyDescent="0.25">
      <c r="Q4491" s="17" t="s">
        <v>5158</v>
      </c>
      <c r="R4491" s="17" t="s">
        <v>2239</v>
      </c>
      <c r="S4491" s="17"/>
      <c r="T4491" s="17"/>
      <c r="U4491" s="17"/>
    </row>
    <row r="4492" spans="17:21" x14ac:dyDescent="0.25">
      <c r="Q4492" s="17" t="s">
        <v>5159</v>
      </c>
      <c r="R4492" s="17" t="s">
        <v>2239</v>
      </c>
      <c r="S4492" s="17"/>
      <c r="T4492" s="17"/>
      <c r="U4492" s="17"/>
    </row>
    <row r="4493" spans="17:21" x14ac:dyDescent="0.25">
      <c r="Q4493" s="17" t="s">
        <v>5160</v>
      </c>
      <c r="R4493" s="17" t="s">
        <v>2239</v>
      </c>
      <c r="S4493" s="17"/>
      <c r="T4493" s="17"/>
      <c r="U4493" s="17"/>
    </row>
    <row r="4494" spans="17:21" x14ac:dyDescent="0.25">
      <c r="Q4494" s="17" t="s">
        <v>5161</v>
      </c>
      <c r="R4494" s="17" t="s">
        <v>2239</v>
      </c>
      <c r="S4494" s="17"/>
      <c r="T4494" s="17"/>
      <c r="U4494" s="17"/>
    </row>
    <row r="4495" spans="17:21" x14ac:dyDescent="0.25">
      <c r="Q4495" s="17" t="s">
        <v>5162</v>
      </c>
      <c r="R4495" s="17" t="s">
        <v>2239</v>
      </c>
      <c r="S4495" s="17"/>
      <c r="T4495" s="17"/>
      <c r="U4495" s="17"/>
    </row>
    <row r="4496" spans="17:21" x14ac:dyDescent="0.25">
      <c r="Q4496" s="17" t="s">
        <v>5163</v>
      </c>
      <c r="R4496" s="17" t="s">
        <v>2239</v>
      </c>
      <c r="S4496" s="17"/>
      <c r="T4496" s="17"/>
      <c r="U4496" s="17"/>
    </row>
    <row r="4497" spans="17:21" x14ac:dyDescent="0.25">
      <c r="Q4497" s="17" t="s">
        <v>5164</v>
      </c>
      <c r="R4497" s="17" t="s">
        <v>2239</v>
      </c>
      <c r="S4497" s="17"/>
      <c r="T4497" s="17"/>
      <c r="U4497" s="17"/>
    </row>
    <row r="4498" spans="17:21" x14ac:dyDescent="0.25">
      <c r="Q4498" s="17" t="s">
        <v>5165</v>
      </c>
      <c r="R4498" s="17" t="s">
        <v>2239</v>
      </c>
      <c r="S4498" s="17"/>
      <c r="T4498" s="17"/>
      <c r="U4498" s="17"/>
    </row>
    <row r="4499" spans="17:21" x14ac:dyDescent="0.25">
      <c r="Q4499" s="17" t="s">
        <v>5166</v>
      </c>
      <c r="R4499" s="17" t="s">
        <v>2239</v>
      </c>
      <c r="S4499" s="17"/>
      <c r="T4499" s="17"/>
      <c r="U4499" s="17"/>
    </row>
    <row r="4500" spans="17:21" x14ac:dyDescent="0.25">
      <c r="Q4500" s="17" t="s">
        <v>5167</v>
      </c>
      <c r="R4500" s="17" t="s">
        <v>2239</v>
      </c>
      <c r="S4500" s="17"/>
      <c r="T4500" s="17"/>
      <c r="U4500" s="17"/>
    </row>
    <row r="4501" spans="17:21" x14ac:dyDescent="0.25">
      <c r="Q4501" s="17" t="s">
        <v>5168</v>
      </c>
      <c r="R4501" s="17" t="s">
        <v>2239</v>
      </c>
      <c r="S4501" s="17"/>
      <c r="T4501" s="17"/>
      <c r="U4501" s="17"/>
    </row>
    <row r="4502" spans="17:21" x14ac:dyDescent="0.25">
      <c r="Q4502" s="17" t="s">
        <v>5169</v>
      </c>
      <c r="R4502" s="17" t="s">
        <v>2239</v>
      </c>
      <c r="S4502" s="17"/>
      <c r="T4502" s="17"/>
      <c r="U4502" s="17"/>
    </row>
    <row r="4503" spans="17:21" x14ac:dyDescent="0.25">
      <c r="Q4503" s="17" t="s">
        <v>5170</v>
      </c>
      <c r="R4503" s="17" t="s">
        <v>2239</v>
      </c>
      <c r="S4503" s="17"/>
      <c r="T4503" s="17"/>
      <c r="U4503" s="17"/>
    </row>
    <row r="4504" spans="17:21" x14ac:dyDescent="0.25">
      <c r="Q4504" s="17" t="s">
        <v>5171</v>
      </c>
      <c r="R4504" s="17" t="s">
        <v>2239</v>
      </c>
      <c r="S4504" s="17"/>
      <c r="T4504" s="17"/>
      <c r="U4504" s="17"/>
    </row>
    <row r="4505" spans="17:21" x14ac:dyDescent="0.25">
      <c r="Q4505" s="17" t="s">
        <v>5172</v>
      </c>
      <c r="R4505" s="17" t="s">
        <v>2239</v>
      </c>
      <c r="S4505" s="17"/>
      <c r="T4505" s="17"/>
      <c r="U4505" s="17"/>
    </row>
    <row r="4506" spans="17:21" x14ac:dyDescent="0.25">
      <c r="Q4506" s="17" t="s">
        <v>5173</v>
      </c>
      <c r="R4506" s="17" t="s">
        <v>4956</v>
      </c>
      <c r="S4506" s="17"/>
      <c r="T4506" s="17"/>
      <c r="U4506" s="17"/>
    </row>
    <row r="4507" spans="17:21" x14ac:dyDescent="0.25">
      <c r="Q4507" s="17" t="s">
        <v>5174</v>
      </c>
      <c r="R4507" s="17" t="s">
        <v>2239</v>
      </c>
      <c r="S4507" s="17"/>
      <c r="T4507" s="17"/>
      <c r="U4507" s="17"/>
    </row>
    <row r="4508" spans="17:21" x14ac:dyDescent="0.25">
      <c r="Q4508" s="17" t="s">
        <v>5175</v>
      </c>
      <c r="R4508" s="17" t="s">
        <v>2239</v>
      </c>
      <c r="S4508" s="17"/>
      <c r="T4508" s="17"/>
      <c r="U4508" s="17"/>
    </row>
    <row r="4509" spans="17:21" x14ac:dyDescent="0.25">
      <c r="Q4509" s="17" t="s">
        <v>5176</v>
      </c>
      <c r="R4509" s="17" t="s">
        <v>2239</v>
      </c>
      <c r="S4509" s="17"/>
      <c r="T4509" s="17"/>
      <c r="U4509" s="17"/>
    </row>
    <row r="4510" spans="17:21" x14ac:dyDescent="0.25">
      <c r="Q4510" s="17" t="s">
        <v>5177</v>
      </c>
      <c r="R4510" s="17" t="s">
        <v>2239</v>
      </c>
      <c r="S4510" s="17"/>
      <c r="T4510" s="17"/>
      <c r="U4510" s="17"/>
    </row>
    <row r="4511" spans="17:21" x14ac:dyDescent="0.25">
      <c r="Q4511" s="17" t="s">
        <v>5178</v>
      </c>
      <c r="R4511" s="17" t="s">
        <v>2239</v>
      </c>
      <c r="S4511" s="17"/>
      <c r="T4511" s="17"/>
      <c r="U4511" s="17"/>
    </row>
    <row r="4512" spans="17:21" x14ac:dyDescent="0.25">
      <c r="Q4512" s="17" t="s">
        <v>5179</v>
      </c>
      <c r="R4512" s="17" t="s">
        <v>2239</v>
      </c>
      <c r="S4512" s="17"/>
      <c r="T4512" s="17"/>
      <c r="U4512" s="17"/>
    </row>
    <row r="4513" spans="17:21" x14ac:dyDescent="0.25">
      <c r="Q4513" s="17" t="s">
        <v>5180</v>
      </c>
      <c r="R4513" s="17" t="s">
        <v>2239</v>
      </c>
      <c r="S4513" s="17"/>
      <c r="T4513" s="17"/>
      <c r="U4513" s="17"/>
    </row>
    <row r="4514" spans="17:21" x14ac:dyDescent="0.25">
      <c r="Q4514" s="17" t="s">
        <v>5181</v>
      </c>
      <c r="R4514" s="17" t="s">
        <v>2239</v>
      </c>
      <c r="S4514" s="17"/>
      <c r="T4514" s="17"/>
      <c r="U4514" s="17"/>
    </row>
    <row r="4515" spans="17:21" x14ac:dyDescent="0.25">
      <c r="Q4515" s="17" t="s">
        <v>5182</v>
      </c>
      <c r="R4515" s="17" t="s">
        <v>2239</v>
      </c>
      <c r="S4515" s="17"/>
      <c r="T4515" s="17"/>
      <c r="U4515" s="17"/>
    </row>
    <row r="4516" spans="17:21" x14ac:dyDescent="0.25">
      <c r="Q4516" s="17" t="s">
        <v>5183</v>
      </c>
      <c r="R4516" s="17" t="s">
        <v>4956</v>
      </c>
      <c r="S4516" s="17"/>
      <c r="T4516" s="17"/>
      <c r="U4516" s="17"/>
    </row>
    <row r="4517" spans="17:21" x14ac:dyDescent="0.25">
      <c r="Q4517" s="17" t="s">
        <v>5184</v>
      </c>
      <c r="R4517" s="17" t="s">
        <v>4956</v>
      </c>
      <c r="S4517" s="17"/>
      <c r="T4517" s="17"/>
      <c r="U4517" s="17"/>
    </row>
    <row r="4518" spans="17:21" x14ac:dyDescent="0.25">
      <c r="Q4518" s="17" t="s">
        <v>5185</v>
      </c>
      <c r="R4518" s="17" t="s">
        <v>4956</v>
      </c>
      <c r="S4518" s="17"/>
      <c r="T4518" s="17"/>
      <c r="U4518" s="17"/>
    </row>
    <row r="4519" spans="17:21" x14ac:dyDescent="0.25">
      <c r="Q4519" s="17" t="s">
        <v>5186</v>
      </c>
      <c r="R4519" s="17" t="s">
        <v>4956</v>
      </c>
      <c r="S4519" s="17"/>
      <c r="T4519" s="17"/>
      <c r="U4519" s="17"/>
    </row>
    <row r="4520" spans="17:21" x14ac:dyDescent="0.25">
      <c r="Q4520" s="17" t="s">
        <v>5187</v>
      </c>
      <c r="R4520" s="17" t="s">
        <v>4956</v>
      </c>
      <c r="S4520" s="17"/>
      <c r="T4520" s="17"/>
      <c r="U4520" s="17"/>
    </row>
    <row r="4521" spans="17:21" x14ac:dyDescent="0.25">
      <c r="Q4521" s="17" t="s">
        <v>5188</v>
      </c>
      <c r="R4521" s="17" t="s">
        <v>4956</v>
      </c>
      <c r="S4521" s="17"/>
      <c r="T4521" s="17"/>
      <c r="U4521" s="17"/>
    </row>
    <row r="4522" spans="17:21" x14ac:dyDescent="0.25">
      <c r="Q4522" s="17" t="s">
        <v>5189</v>
      </c>
      <c r="R4522" s="17" t="s">
        <v>2239</v>
      </c>
      <c r="S4522" s="17"/>
      <c r="T4522" s="17"/>
      <c r="U4522" s="17"/>
    </row>
    <row r="4523" spans="17:21" x14ac:dyDescent="0.25">
      <c r="Q4523" s="17" t="s">
        <v>5190</v>
      </c>
      <c r="R4523" s="17" t="s">
        <v>4956</v>
      </c>
      <c r="S4523" s="17"/>
      <c r="T4523" s="17"/>
      <c r="U4523" s="17"/>
    </row>
    <row r="4524" spans="17:21" x14ac:dyDescent="0.25">
      <c r="Q4524" s="17" t="s">
        <v>5191</v>
      </c>
      <c r="R4524" s="17" t="s">
        <v>4956</v>
      </c>
      <c r="S4524" s="17"/>
      <c r="T4524" s="17"/>
      <c r="U4524" s="17"/>
    </row>
    <row r="4525" spans="17:21" x14ac:dyDescent="0.25">
      <c r="Q4525" s="17" t="s">
        <v>5192</v>
      </c>
      <c r="R4525" s="17" t="s">
        <v>4956</v>
      </c>
      <c r="S4525" s="17"/>
      <c r="T4525" s="17"/>
      <c r="U4525" s="17"/>
    </row>
    <row r="4526" spans="17:21" x14ac:dyDescent="0.25">
      <c r="Q4526" s="17" t="s">
        <v>5193</v>
      </c>
      <c r="R4526" s="17" t="s">
        <v>4956</v>
      </c>
      <c r="S4526" s="17"/>
      <c r="T4526" s="17"/>
      <c r="U4526" s="17"/>
    </row>
    <row r="4527" spans="17:21" x14ac:dyDescent="0.25">
      <c r="Q4527" s="17" t="s">
        <v>5194</v>
      </c>
      <c r="R4527" s="17" t="s">
        <v>4956</v>
      </c>
      <c r="S4527" s="17"/>
      <c r="T4527" s="17"/>
      <c r="U4527" s="17"/>
    </row>
    <row r="4528" spans="17:21" x14ac:dyDescent="0.25">
      <c r="Q4528" s="17" t="s">
        <v>5195</v>
      </c>
      <c r="R4528" s="17" t="s">
        <v>4956</v>
      </c>
      <c r="S4528" s="17"/>
      <c r="T4528" s="17"/>
      <c r="U4528" s="17"/>
    </row>
    <row r="4529" spans="17:21" x14ac:dyDescent="0.25">
      <c r="Q4529" s="17" t="s">
        <v>5196</v>
      </c>
      <c r="R4529" s="17" t="s">
        <v>4956</v>
      </c>
      <c r="S4529" s="17"/>
      <c r="T4529" s="17"/>
      <c r="U4529" s="17"/>
    </row>
    <row r="4530" spans="17:21" x14ac:dyDescent="0.25">
      <c r="Q4530" s="17" t="s">
        <v>5197</v>
      </c>
      <c r="R4530" s="17" t="s">
        <v>4956</v>
      </c>
      <c r="S4530" s="17"/>
      <c r="T4530" s="17"/>
      <c r="U4530" s="17"/>
    </row>
    <row r="4531" spans="17:21" x14ac:dyDescent="0.25">
      <c r="Q4531" s="17" t="s">
        <v>5198</v>
      </c>
      <c r="R4531" s="17" t="s">
        <v>4956</v>
      </c>
      <c r="S4531" s="17"/>
      <c r="T4531" s="17"/>
      <c r="U4531" s="17"/>
    </row>
    <row r="4532" spans="17:21" x14ac:dyDescent="0.25">
      <c r="Q4532" s="17" t="s">
        <v>5199</v>
      </c>
      <c r="R4532" s="17" t="s">
        <v>4956</v>
      </c>
      <c r="S4532" s="17"/>
      <c r="T4532" s="17"/>
      <c r="U4532" s="17"/>
    </row>
    <row r="4533" spans="17:21" x14ac:dyDescent="0.25">
      <c r="Q4533" s="17" t="s">
        <v>5200</v>
      </c>
      <c r="R4533" s="17" t="s">
        <v>4956</v>
      </c>
      <c r="S4533" s="17"/>
      <c r="T4533" s="17"/>
      <c r="U4533" s="17"/>
    </row>
    <row r="4534" spans="17:21" x14ac:dyDescent="0.25">
      <c r="Q4534" s="17" t="s">
        <v>5201</v>
      </c>
      <c r="R4534" s="17" t="s">
        <v>4956</v>
      </c>
      <c r="S4534" s="17"/>
      <c r="T4534" s="17"/>
      <c r="U4534" s="17"/>
    </row>
    <row r="4535" spans="17:21" x14ac:dyDescent="0.25">
      <c r="Q4535" s="17" t="s">
        <v>5202</v>
      </c>
      <c r="R4535" s="17" t="s">
        <v>4956</v>
      </c>
      <c r="S4535" s="17"/>
      <c r="T4535" s="17"/>
      <c r="U4535" s="17"/>
    </row>
    <row r="4536" spans="17:21" x14ac:dyDescent="0.25">
      <c r="Q4536" s="17" t="s">
        <v>5203</v>
      </c>
      <c r="R4536" s="17" t="s">
        <v>4956</v>
      </c>
      <c r="S4536" s="17"/>
      <c r="T4536" s="17"/>
      <c r="U4536" s="17"/>
    </row>
    <row r="4537" spans="17:21" x14ac:dyDescent="0.25">
      <c r="Q4537" s="17" t="s">
        <v>5204</v>
      </c>
      <c r="R4537" s="17" t="s">
        <v>4956</v>
      </c>
      <c r="S4537" s="17"/>
      <c r="T4537" s="17"/>
      <c r="U4537" s="17"/>
    </row>
    <row r="4538" spans="17:21" x14ac:dyDescent="0.25">
      <c r="Q4538" s="17" t="s">
        <v>5205</v>
      </c>
      <c r="R4538" s="17" t="s">
        <v>4956</v>
      </c>
      <c r="S4538" s="17"/>
      <c r="T4538" s="17"/>
      <c r="U4538" s="17"/>
    </row>
    <row r="4539" spans="17:21" x14ac:dyDescent="0.25">
      <c r="Q4539" s="17" t="s">
        <v>5206</v>
      </c>
      <c r="R4539" s="17" t="s">
        <v>4956</v>
      </c>
      <c r="S4539" s="17"/>
      <c r="T4539" s="17"/>
      <c r="U4539" s="17"/>
    </row>
    <row r="4540" spans="17:21" x14ac:dyDescent="0.25">
      <c r="Q4540" s="17" t="s">
        <v>5207</v>
      </c>
      <c r="R4540" s="17" t="s">
        <v>4956</v>
      </c>
      <c r="S4540" s="17"/>
      <c r="T4540" s="17"/>
      <c r="U4540" s="17"/>
    </row>
    <row r="4541" spans="17:21" x14ac:dyDescent="0.25">
      <c r="Q4541" s="17" t="s">
        <v>5208</v>
      </c>
      <c r="R4541" s="17" t="s">
        <v>4956</v>
      </c>
      <c r="S4541" s="17"/>
      <c r="T4541" s="17"/>
      <c r="U4541" s="17"/>
    </row>
    <row r="4542" spans="17:21" x14ac:dyDescent="0.25">
      <c r="Q4542" s="17" t="s">
        <v>5209</v>
      </c>
      <c r="R4542" s="17" t="s">
        <v>4956</v>
      </c>
      <c r="S4542" s="17"/>
      <c r="T4542" s="17"/>
      <c r="U4542" s="17"/>
    </row>
    <row r="4543" spans="17:21" x14ac:dyDescent="0.25">
      <c r="Q4543" s="17" t="s">
        <v>5210</v>
      </c>
      <c r="R4543" s="17" t="s">
        <v>4956</v>
      </c>
      <c r="S4543" s="17"/>
      <c r="T4543" s="17"/>
      <c r="U4543" s="17"/>
    </row>
    <row r="4544" spans="17:21" x14ac:dyDescent="0.25">
      <c r="Q4544" s="17" t="s">
        <v>5211</v>
      </c>
      <c r="R4544" s="17" t="s">
        <v>4956</v>
      </c>
      <c r="S4544" s="17"/>
      <c r="T4544" s="17"/>
      <c r="U4544" s="17"/>
    </row>
    <row r="4545" spans="17:21" x14ac:dyDescent="0.25">
      <c r="Q4545" s="17" t="s">
        <v>5212</v>
      </c>
      <c r="R4545" s="17" t="s">
        <v>4956</v>
      </c>
      <c r="S4545" s="17"/>
      <c r="T4545" s="17"/>
      <c r="U4545" s="17"/>
    </row>
    <row r="4546" spans="17:21" x14ac:dyDescent="0.25">
      <c r="Q4546" s="17" t="s">
        <v>5213</v>
      </c>
      <c r="R4546" s="17" t="s">
        <v>4956</v>
      </c>
      <c r="S4546" s="17"/>
      <c r="T4546" s="17"/>
      <c r="U4546" s="17"/>
    </row>
    <row r="4547" spans="17:21" x14ac:dyDescent="0.25">
      <c r="Q4547" s="17" t="s">
        <v>5214</v>
      </c>
      <c r="R4547" s="17" t="s">
        <v>4956</v>
      </c>
      <c r="S4547" s="17"/>
      <c r="T4547" s="17"/>
      <c r="U4547" s="17"/>
    </row>
    <row r="4548" spans="17:21" x14ac:dyDescent="0.25">
      <c r="Q4548" s="17" t="s">
        <v>5215</v>
      </c>
      <c r="R4548" s="17" t="s">
        <v>4956</v>
      </c>
      <c r="S4548" s="17"/>
      <c r="T4548" s="17"/>
      <c r="U4548" s="17"/>
    </row>
    <row r="4549" spans="17:21" x14ac:dyDescent="0.25">
      <c r="Q4549" s="17" t="s">
        <v>5216</v>
      </c>
      <c r="R4549" s="17" t="s">
        <v>4956</v>
      </c>
      <c r="S4549" s="17"/>
      <c r="T4549" s="17"/>
      <c r="U4549" s="17"/>
    </row>
    <row r="4550" spans="17:21" x14ac:dyDescent="0.25">
      <c r="Q4550" s="17" t="s">
        <v>5217</v>
      </c>
      <c r="R4550" s="17" t="s">
        <v>4956</v>
      </c>
      <c r="S4550" s="17"/>
      <c r="T4550" s="17"/>
      <c r="U4550" s="17"/>
    </row>
    <row r="4551" spans="17:21" x14ac:dyDescent="0.25">
      <c r="Q4551" s="17" t="s">
        <v>5218</v>
      </c>
      <c r="R4551" s="17" t="s">
        <v>4956</v>
      </c>
      <c r="S4551" s="17"/>
      <c r="T4551" s="17"/>
      <c r="U4551" s="17"/>
    </row>
    <row r="4552" spans="17:21" x14ac:dyDescent="0.25">
      <c r="Q4552" s="17" t="s">
        <v>5219</v>
      </c>
      <c r="R4552" s="17" t="s">
        <v>4956</v>
      </c>
      <c r="S4552" s="17"/>
      <c r="T4552" s="17"/>
      <c r="U4552" s="17"/>
    </row>
    <row r="4553" spans="17:21" x14ac:dyDescent="0.25">
      <c r="Q4553" s="17" t="s">
        <v>5220</v>
      </c>
      <c r="R4553" s="17" t="s">
        <v>4956</v>
      </c>
      <c r="S4553" s="17"/>
      <c r="T4553" s="17"/>
      <c r="U4553" s="17"/>
    </row>
    <row r="4554" spans="17:21" x14ac:dyDescent="0.25">
      <c r="Q4554" s="17" t="s">
        <v>5221</v>
      </c>
      <c r="R4554" s="17" t="s">
        <v>4956</v>
      </c>
      <c r="S4554" s="17"/>
      <c r="T4554" s="17"/>
      <c r="U4554" s="17"/>
    </row>
    <row r="4555" spans="17:21" x14ac:dyDescent="0.25">
      <c r="Q4555" s="17" t="s">
        <v>5222</v>
      </c>
      <c r="R4555" s="17" t="s">
        <v>4956</v>
      </c>
      <c r="S4555" s="17"/>
      <c r="T4555" s="17"/>
      <c r="U4555" s="17"/>
    </row>
    <row r="4556" spans="17:21" x14ac:dyDescent="0.25">
      <c r="Q4556" s="17" t="s">
        <v>5223</v>
      </c>
      <c r="R4556" s="17" t="s">
        <v>4956</v>
      </c>
      <c r="S4556" s="17"/>
      <c r="T4556" s="17"/>
      <c r="U4556" s="17"/>
    </row>
    <row r="4557" spans="17:21" x14ac:dyDescent="0.25">
      <c r="Q4557" s="17" t="s">
        <v>5224</v>
      </c>
      <c r="R4557" s="17" t="s">
        <v>4956</v>
      </c>
      <c r="S4557" s="17"/>
      <c r="T4557" s="17"/>
      <c r="U4557" s="17"/>
    </row>
    <row r="4558" spans="17:21" x14ac:dyDescent="0.25">
      <c r="Q4558" s="17" t="s">
        <v>5225</v>
      </c>
      <c r="R4558" s="17" t="s">
        <v>4956</v>
      </c>
      <c r="S4558" s="17"/>
      <c r="T4558" s="17"/>
      <c r="U4558" s="17"/>
    </row>
    <row r="4559" spans="17:21" x14ac:dyDescent="0.25">
      <c r="Q4559" s="17" t="s">
        <v>5226</v>
      </c>
      <c r="R4559" s="17" t="s">
        <v>3999</v>
      </c>
      <c r="S4559" s="17"/>
      <c r="T4559" s="17"/>
      <c r="U4559" s="17"/>
    </row>
    <row r="4560" spans="17:21" x14ac:dyDescent="0.25">
      <c r="Q4560" s="17" t="s">
        <v>5227</v>
      </c>
      <c r="R4560" s="17" t="s">
        <v>3999</v>
      </c>
      <c r="S4560" s="17"/>
      <c r="T4560" s="17"/>
      <c r="U4560" s="17"/>
    </row>
    <row r="4561" spans="17:21" x14ac:dyDescent="0.25">
      <c r="Q4561" s="17" t="s">
        <v>5228</v>
      </c>
      <c r="R4561" s="17" t="s">
        <v>3999</v>
      </c>
      <c r="S4561" s="17"/>
      <c r="T4561" s="17"/>
      <c r="U4561" s="17"/>
    </row>
    <row r="4562" spans="17:21" x14ac:dyDescent="0.25">
      <c r="Q4562" s="17" t="s">
        <v>5229</v>
      </c>
      <c r="R4562" s="17" t="s">
        <v>3999</v>
      </c>
      <c r="S4562" s="17"/>
      <c r="T4562" s="17"/>
      <c r="U4562" s="17"/>
    </row>
    <row r="4563" spans="17:21" x14ac:dyDescent="0.25">
      <c r="Q4563" s="17" t="s">
        <v>5230</v>
      </c>
      <c r="R4563" s="17" t="s">
        <v>3999</v>
      </c>
      <c r="S4563" s="17"/>
      <c r="T4563" s="17"/>
      <c r="U4563" s="17"/>
    </row>
    <row r="4564" spans="17:21" x14ac:dyDescent="0.25">
      <c r="Q4564" s="17" t="s">
        <v>5231</v>
      </c>
      <c r="R4564" s="17" t="s">
        <v>3999</v>
      </c>
      <c r="S4564" s="17"/>
      <c r="T4564" s="17"/>
      <c r="U4564" s="17"/>
    </row>
    <row r="4565" spans="17:21" x14ac:dyDescent="0.25">
      <c r="Q4565" s="17" t="s">
        <v>5232</v>
      </c>
      <c r="R4565" s="17" t="s">
        <v>3999</v>
      </c>
      <c r="S4565" s="17"/>
      <c r="T4565" s="17"/>
      <c r="U4565" s="17"/>
    </row>
    <row r="4566" spans="17:21" x14ac:dyDescent="0.25">
      <c r="Q4566" s="17" t="s">
        <v>5233</v>
      </c>
      <c r="R4566" s="17" t="s">
        <v>3999</v>
      </c>
      <c r="S4566" s="17"/>
      <c r="T4566" s="17"/>
      <c r="U4566" s="17"/>
    </row>
    <row r="4567" spans="17:21" x14ac:dyDescent="0.25">
      <c r="Q4567" s="17" t="s">
        <v>5234</v>
      </c>
      <c r="R4567" s="17" t="s">
        <v>3999</v>
      </c>
      <c r="S4567" s="17"/>
      <c r="T4567" s="17"/>
      <c r="U4567" s="17"/>
    </row>
    <row r="4568" spans="17:21" x14ac:dyDescent="0.25">
      <c r="Q4568" s="17" t="s">
        <v>5235</v>
      </c>
      <c r="R4568" s="17" t="s">
        <v>3999</v>
      </c>
      <c r="S4568" s="17"/>
      <c r="T4568" s="17"/>
      <c r="U4568" s="17"/>
    </row>
    <row r="4569" spans="17:21" x14ac:dyDescent="0.25">
      <c r="Q4569" s="17" t="s">
        <v>5236</v>
      </c>
      <c r="R4569" s="17" t="s">
        <v>3999</v>
      </c>
      <c r="S4569" s="17"/>
      <c r="T4569" s="17"/>
      <c r="U4569" s="17"/>
    </row>
    <row r="4570" spans="17:21" x14ac:dyDescent="0.25">
      <c r="Q4570" s="17" t="s">
        <v>5237</v>
      </c>
      <c r="R4570" s="17" t="s">
        <v>3999</v>
      </c>
      <c r="S4570" s="17"/>
      <c r="T4570" s="17"/>
      <c r="U4570" s="17"/>
    </row>
    <row r="4571" spans="17:21" x14ac:dyDescent="0.25">
      <c r="Q4571" s="17" t="s">
        <v>5238</v>
      </c>
      <c r="R4571" s="17" t="s">
        <v>3999</v>
      </c>
      <c r="S4571" s="17"/>
      <c r="T4571" s="17"/>
      <c r="U4571" s="17"/>
    </row>
    <row r="4572" spans="17:21" x14ac:dyDescent="0.25">
      <c r="Q4572" s="17" t="s">
        <v>5239</v>
      </c>
      <c r="R4572" s="17" t="s">
        <v>3999</v>
      </c>
      <c r="S4572" s="17"/>
      <c r="T4572" s="17"/>
      <c r="U4572" s="17"/>
    </row>
    <row r="4573" spans="17:21" x14ac:dyDescent="0.25">
      <c r="Q4573" s="17" t="s">
        <v>5240</v>
      </c>
      <c r="R4573" s="17" t="s">
        <v>3999</v>
      </c>
      <c r="S4573" s="17"/>
      <c r="T4573" s="17"/>
      <c r="U4573" s="17"/>
    </row>
    <row r="4574" spans="17:21" x14ac:dyDescent="0.25">
      <c r="Q4574" s="17" t="s">
        <v>5241</v>
      </c>
      <c r="R4574" s="17" t="s">
        <v>3999</v>
      </c>
      <c r="S4574" s="17"/>
      <c r="T4574" s="17"/>
      <c r="U4574" s="17"/>
    </row>
    <row r="4575" spans="17:21" x14ac:dyDescent="0.25">
      <c r="Q4575" s="17" t="s">
        <v>5242</v>
      </c>
      <c r="R4575" s="17" t="s">
        <v>3999</v>
      </c>
      <c r="S4575" s="17"/>
      <c r="T4575" s="17"/>
      <c r="U4575" s="17"/>
    </row>
    <row r="4576" spans="17:21" x14ac:dyDescent="0.25">
      <c r="Q4576" s="17" t="s">
        <v>5243</v>
      </c>
      <c r="R4576" s="17" t="s">
        <v>3999</v>
      </c>
      <c r="S4576" s="17"/>
      <c r="T4576" s="17"/>
      <c r="U4576" s="17"/>
    </row>
    <row r="4577" spans="17:21" x14ac:dyDescent="0.25">
      <c r="Q4577" s="17" t="s">
        <v>5244</v>
      </c>
      <c r="R4577" s="17" t="s">
        <v>3999</v>
      </c>
      <c r="S4577" s="17"/>
      <c r="T4577" s="17"/>
      <c r="U4577" s="17"/>
    </row>
    <row r="4578" spans="17:21" x14ac:dyDescent="0.25">
      <c r="Q4578" s="17" t="s">
        <v>5245</v>
      </c>
      <c r="R4578" s="17" t="s">
        <v>3999</v>
      </c>
      <c r="S4578" s="17"/>
      <c r="T4578" s="17"/>
      <c r="U4578" s="17"/>
    </row>
    <row r="4579" spans="17:21" x14ac:dyDescent="0.25">
      <c r="Q4579" s="17" t="s">
        <v>5246</v>
      </c>
      <c r="R4579" s="17" t="s">
        <v>3999</v>
      </c>
      <c r="S4579" s="17"/>
      <c r="T4579" s="17"/>
      <c r="U4579" s="17"/>
    </row>
    <row r="4580" spans="17:21" x14ac:dyDescent="0.25">
      <c r="Q4580" s="17" t="s">
        <v>5247</v>
      </c>
      <c r="R4580" s="17" t="s">
        <v>3999</v>
      </c>
      <c r="S4580" s="17"/>
      <c r="T4580" s="17"/>
      <c r="U4580" s="17"/>
    </row>
    <row r="4581" spans="17:21" x14ac:dyDescent="0.25">
      <c r="Q4581" s="17" t="s">
        <v>5248</v>
      </c>
      <c r="R4581" s="17" t="s">
        <v>3999</v>
      </c>
      <c r="S4581" s="17"/>
      <c r="T4581" s="17"/>
      <c r="U4581" s="17"/>
    </row>
    <row r="4582" spans="17:21" x14ac:dyDescent="0.25">
      <c r="Q4582" s="17" t="s">
        <v>5249</v>
      </c>
      <c r="R4582" s="17" t="s">
        <v>3999</v>
      </c>
      <c r="S4582" s="17"/>
      <c r="T4582" s="17"/>
      <c r="U4582" s="17"/>
    </row>
    <row r="4583" spans="17:21" x14ac:dyDescent="0.25">
      <c r="Q4583" s="17" t="s">
        <v>5250</v>
      </c>
      <c r="R4583" s="17" t="s">
        <v>3999</v>
      </c>
      <c r="S4583" s="17"/>
      <c r="T4583" s="17"/>
      <c r="U4583" s="17"/>
    </row>
    <row r="4584" spans="17:21" x14ac:dyDescent="0.25">
      <c r="Q4584" s="17" t="s">
        <v>5251</v>
      </c>
      <c r="R4584" s="17" t="s">
        <v>3999</v>
      </c>
      <c r="S4584" s="17"/>
      <c r="T4584" s="17"/>
      <c r="U4584" s="17"/>
    </row>
    <row r="4585" spans="17:21" x14ac:dyDescent="0.25">
      <c r="Q4585" s="17" t="s">
        <v>5252</v>
      </c>
      <c r="R4585" s="17" t="s">
        <v>3999</v>
      </c>
      <c r="S4585" s="17"/>
      <c r="T4585" s="17"/>
      <c r="U4585" s="17"/>
    </row>
    <row r="4586" spans="17:21" x14ac:dyDescent="0.25">
      <c r="Q4586" s="17" t="s">
        <v>5253</v>
      </c>
      <c r="R4586" s="17" t="s">
        <v>3999</v>
      </c>
      <c r="S4586" s="17"/>
      <c r="T4586" s="17"/>
      <c r="U4586" s="17"/>
    </row>
    <row r="4587" spans="17:21" x14ac:dyDescent="0.25">
      <c r="Q4587" s="17" t="s">
        <v>5254</v>
      </c>
      <c r="R4587" s="17" t="s">
        <v>3999</v>
      </c>
      <c r="S4587" s="17"/>
      <c r="T4587" s="17"/>
      <c r="U4587" s="17"/>
    </row>
    <row r="4588" spans="17:21" x14ac:dyDescent="0.25">
      <c r="Q4588" s="17" t="s">
        <v>5255</v>
      </c>
      <c r="R4588" s="17" t="s">
        <v>3999</v>
      </c>
      <c r="S4588" s="17"/>
      <c r="T4588" s="17"/>
      <c r="U4588" s="17"/>
    </row>
    <row r="4589" spans="17:21" x14ac:dyDescent="0.25">
      <c r="Q4589" s="17" t="s">
        <v>5256</v>
      </c>
      <c r="R4589" s="17" t="s">
        <v>3999</v>
      </c>
      <c r="S4589" s="17"/>
      <c r="T4589" s="17"/>
      <c r="U4589" s="17"/>
    </row>
    <row r="4590" spans="17:21" x14ac:dyDescent="0.25">
      <c r="Q4590" s="17" t="s">
        <v>5257</v>
      </c>
      <c r="R4590" s="17" t="s">
        <v>3999</v>
      </c>
      <c r="S4590" s="17"/>
      <c r="T4590" s="17"/>
      <c r="U4590" s="17"/>
    </row>
    <row r="4591" spans="17:21" x14ac:dyDescent="0.25">
      <c r="Q4591" s="17" t="s">
        <v>5258</v>
      </c>
      <c r="R4591" s="17" t="s">
        <v>3999</v>
      </c>
      <c r="S4591" s="17"/>
      <c r="T4591" s="17"/>
      <c r="U4591" s="17"/>
    </row>
    <row r="4592" spans="17:21" x14ac:dyDescent="0.25">
      <c r="Q4592" s="17" t="s">
        <v>5259</v>
      </c>
      <c r="R4592" s="17" t="s">
        <v>3999</v>
      </c>
      <c r="S4592" s="17"/>
      <c r="T4592" s="17"/>
      <c r="U4592" s="17"/>
    </row>
    <row r="4593" spans="17:21" x14ac:dyDescent="0.25">
      <c r="Q4593" s="17" t="s">
        <v>5260</v>
      </c>
      <c r="R4593" s="17" t="s">
        <v>3999</v>
      </c>
      <c r="S4593" s="17"/>
      <c r="T4593" s="17"/>
      <c r="U4593" s="17"/>
    </row>
    <row r="4594" spans="17:21" x14ac:dyDescent="0.25">
      <c r="Q4594" s="17" t="s">
        <v>5261</v>
      </c>
      <c r="R4594" s="17" t="s">
        <v>3999</v>
      </c>
      <c r="S4594" s="17"/>
      <c r="T4594" s="17"/>
      <c r="U4594" s="17"/>
    </row>
    <row r="4595" spans="17:21" x14ac:dyDescent="0.25">
      <c r="Q4595" s="17" t="s">
        <v>5262</v>
      </c>
      <c r="R4595" s="17" t="s">
        <v>3999</v>
      </c>
      <c r="S4595" s="17"/>
      <c r="T4595" s="17"/>
      <c r="U4595" s="17"/>
    </row>
    <row r="4596" spans="17:21" x14ac:dyDescent="0.25">
      <c r="Q4596" s="17" t="s">
        <v>5263</v>
      </c>
      <c r="R4596" s="17" t="s">
        <v>3999</v>
      </c>
      <c r="S4596" s="17"/>
      <c r="T4596" s="17"/>
      <c r="U4596" s="17"/>
    </row>
    <row r="4597" spans="17:21" x14ac:dyDescent="0.25">
      <c r="Q4597" s="17" t="s">
        <v>5264</v>
      </c>
      <c r="R4597" s="17" t="s">
        <v>3999</v>
      </c>
      <c r="S4597" s="17"/>
      <c r="T4597" s="17"/>
      <c r="U4597" s="17"/>
    </row>
    <row r="4598" spans="17:21" x14ac:dyDescent="0.25">
      <c r="Q4598" s="17" t="s">
        <v>5265</v>
      </c>
      <c r="R4598" s="17" t="s">
        <v>3999</v>
      </c>
      <c r="S4598" s="17"/>
      <c r="T4598" s="17"/>
      <c r="U4598" s="17"/>
    </row>
    <row r="4599" spans="17:21" x14ac:dyDescent="0.25">
      <c r="Q4599" s="17" t="s">
        <v>5266</v>
      </c>
      <c r="R4599" s="17" t="s">
        <v>3999</v>
      </c>
      <c r="S4599" s="17"/>
      <c r="T4599" s="17"/>
      <c r="U4599" s="17"/>
    </row>
    <row r="4600" spans="17:21" x14ac:dyDescent="0.25">
      <c r="Q4600" s="17" t="s">
        <v>5267</v>
      </c>
      <c r="R4600" s="17" t="s">
        <v>3999</v>
      </c>
      <c r="S4600" s="17"/>
      <c r="T4600" s="17"/>
      <c r="U4600" s="17"/>
    </row>
    <row r="4601" spans="17:21" x14ac:dyDescent="0.25">
      <c r="Q4601" s="17" t="s">
        <v>5268</v>
      </c>
      <c r="R4601" s="17" t="s">
        <v>3999</v>
      </c>
      <c r="S4601" s="17"/>
      <c r="T4601" s="17"/>
      <c r="U4601" s="17"/>
    </row>
    <row r="4602" spans="17:21" x14ac:dyDescent="0.25">
      <c r="Q4602" s="17" t="s">
        <v>5269</v>
      </c>
      <c r="R4602" s="17" t="s">
        <v>3999</v>
      </c>
      <c r="S4602" s="17"/>
      <c r="T4602" s="17"/>
      <c r="U4602" s="17"/>
    </row>
    <row r="4603" spans="17:21" x14ac:dyDescent="0.25">
      <c r="Q4603" s="17" t="s">
        <v>5270</v>
      </c>
      <c r="R4603" s="17" t="s">
        <v>3999</v>
      </c>
      <c r="S4603" s="17"/>
      <c r="T4603" s="17"/>
      <c r="U4603" s="17"/>
    </row>
    <row r="4604" spans="17:21" x14ac:dyDescent="0.25">
      <c r="Q4604" s="17" t="s">
        <v>5271</v>
      </c>
      <c r="R4604" s="17" t="s">
        <v>3999</v>
      </c>
      <c r="S4604" s="17"/>
      <c r="T4604" s="17"/>
      <c r="U4604" s="17"/>
    </row>
    <row r="4605" spans="17:21" x14ac:dyDescent="0.25">
      <c r="Q4605" s="17" t="s">
        <v>5272</v>
      </c>
      <c r="R4605" s="17" t="s">
        <v>3999</v>
      </c>
      <c r="S4605" s="17"/>
      <c r="T4605" s="17"/>
      <c r="U4605" s="17"/>
    </row>
    <row r="4606" spans="17:21" x14ac:dyDescent="0.25">
      <c r="Q4606" s="17" t="s">
        <v>5273</v>
      </c>
      <c r="R4606" s="17" t="s">
        <v>3999</v>
      </c>
      <c r="S4606" s="17"/>
      <c r="T4606" s="17"/>
      <c r="U4606" s="17"/>
    </row>
    <row r="4607" spans="17:21" x14ac:dyDescent="0.25">
      <c r="Q4607" s="17" t="s">
        <v>5274</v>
      </c>
      <c r="R4607" s="17" t="s">
        <v>3999</v>
      </c>
      <c r="S4607" s="17"/>
      <c r="T4607" s="17"/>
      <c r="U4607" s="17"/>
    </row>
    <row r="4608" spans="17:21" x14ac:dyDescent="0.25">
      <c r="Q4608" s="17" t="s">
        <v>5275</v>
      </c>
      <c r="R4608" s="17" t="s">
        <v>3999</v>
      </c>
      <c r="S4608" s="17"/>
      <c r="T4608" s="17"/>
      <c r="U4608" s="17"/>
    </row>
    <row r="4609" spans="17:21" x14ac:dyDescent="0.25">
      <c r="Q4609" s="17" t="s">
        <v>5276</v>
      </c>
      <c r="R4609" s="17" t="s">
        <v>3999</v>
      </c>
      <c r="S4609" s="17"/>
      <c r="T4609" s="17"/>
      <c r="U4609" s="17"/>
    </row>
    <row r="4610" spans="17:21" x14ac:dyDescent="0.25">
      <c r="Q4610" s="17" t="s">
        <v>5277</v>
      </c>
      <c r="R4610" s="17" t="s">
        <v>3999</v>
      </c>
      <c r="S4610" s="17"/>
      <c r="T4610" s="17"/>
      <c r="U4610" s="17"/>
    </row>
    <row r="4611" spans="17:21" x14ac:dyDescent="0.25">
      <c r="Q4611" s="17" t="s">
        <v>5278</v>
      </c>
      <c r="R4611" s="17" t="s">
        <v>3999</v>
      </c>
      <c r="S4611" s="17"/>
      <c r="T4611" s="17"/>
      <c r="U4611" s="17"/>
    </row>
    <row r="4612" spans="17:21" x14ac:dyDescent="0.25">
      <c r="Q4612" s="17" t="s">
        <v>5279</v>
      </c>
      <c r="R4612" s="17" t="s">
        <v>3999</v>
      </c>
      <c r="S4612" s="17"/>
      <c r="T4612" s="17"/>
      <c r="U4612" s="17"/>
    </row>
    <row r="4613" spans="17:21" x14ac:dyDescent="0.25">
      <c r="Q4613" s="17" t="s">
        <v>5280</v>
      </c>
      <c r="R4613" s="17" t="s">
        <v>3999</v>
      </c>
      <c r="S4613" s="17"/>
      <c r="T4613" s="17"/>
      <c r="U4613" s="17"/>
    </row>
    <row r="4614" spans="17:21" x14ac:dyDescent="0.25">
      <c r="Q4614" s="17" t="s">
        <v>5281</v>
      </c>
      <c r="R4614" s="17" t="s">
        <v>3999</v>
      </c>
      <c r="S4614" s="17"/>
      <c r="T4614" s="17"/>
      <c r="U4614" s="17"/>
    </row>
    <row r="4615" spans="17:21" x14ac:dyDescent="0.25">
      <c r="Q4615" s="17" t="s">
        <v>5282</v>
      </c>
      <c r="R4615" s="17" t="s">
        <v>3999</v>
      </c>
      <c r="S4615" s="17"/>
      <c r="T4615" s="17"/>
      <c r="U4615" s="17"/>
    </row>
    <row r="4616" spans="17:21" x14ac:dyDescent="0.25">
      <c r="Q4616" s="17" t="s">
        <v>5283</v>
      </c>
      <c r="R4616" s="17" t="s">
        <v>3999</v>
      </c>
      <c r="S4616" s="17"/>
      <c r="T4616" s="17"/>
      <c r="U4616" s="17"/>
    </row>
    <row r="4617" spans="17:21" x14ac:dyDescent="0.25">
      <c r="Q4617" s="17" t="s">
        <v>5284</v>
      </c>
      <c r="R4617" s="17" t="s">
        <v>3999</v>
      </c>
      <c r="S4617" s="17"/>
      <c r="T4617" s="17"/>
      <c r="U4617" s="17"/>
    </row>
    <row r="4618" spans="17:21" x14ac:dyDescent="0.25">
      <c r="Q4618" s="17" t="s">
        <v>5285</v>
      </c>
      <c r="R4618" s="17" t="s">
        <v>3999</v>
      </c>
      <c r="S4618" s="17"/>
      <c r="T4618" s="17"/>
      <c r="U4618" s="17"/>
    </row>
    <row r="4619" spans="17:21" x14ac:dyDescent="0.25">
      <c r="Q4619" s="17" t="s">
        <v>5286</v>
      </c>
      <c r="R4619" s="17" t="s">
        <v>3999</v>
      </c>
      <c r="S4619" s="17"/>
      <c r="T4619" s="17"/>
      <c r="U4619" s="17"/>
    </row>
    <row r="4620" spans="17:21" x14ac:dyDescent="0.25">
      <c r="Q4620" s="17" t="s">
        <v>5287</v>
      </c>
      <c r="R4620" s="17" t="s">
        <v>3999</v>
      </c>
      <c r="S4620" s="17"/>
      <c r="T4620" s="17"/>
      <c r="U4620" s="17"/>
    </row>
    <row r="4621" spans="17:21" x14ac:dyDescent="0.25">
      <c r="Q4621" s="17" t="s">
        <v>5288</v>
      </c>
      <c r="R4621" s="17" t="s">
        <v>3999</v>
      </c>
      <c r="S4621" s="17"/>
      <c r="T4621" s="17"/>
      <c r="U4621" s="17"/>
    </row>
    <row r="4622" spans="17:21" x14ac:dyDescent="0.25">
      <c r="Q4622" s="17" t="s">
        <v>5289</v>
      </c>
      <c r="R4622" s="17" t="s">
        <v>3999</v>
      </c>
      <c r="S4622" s="17"/>
      <c r="T4622" s="17"/>
      <c r="U4622" s="17"/>
    </row>
    <row r="4623" spans="17:21" x14ac:dyDescent="0.25">
      <c r="Q4623" s="17" t="s">
        <v>5290</v>
      </c>
      <c r="R4623" s="17" t="s">
        <v>2239</v>
      </c>
      <c r="S4623" s="17"/>
      <c r="T4623" s="17"/>
      <c r="U4623" s="17"/>
    </row>
    <row r="4624" spans="17:21" x14ac:dyDescent="0.25">
      <c r="Q4624" s="17" t="s">
        <v>5291</v>
      </c>
      <c r="R4624" s="17" t="s">
        <v>2239</v>
      </c>
      <c r="S4624" s="17"/>
      <c r="T4624" s="17"/>
      <c r="U4624" s="17"/>
    </row>
    <row r="4625" spans="17:21" x14ac:dyDescent="0.25">
      <c r="Q4625" s="17" t="s">
        <v>5292</v>
      </c>
      <c r="R4625" s="17" t="s">
        <v>4956</v>
      </c>
      <c r="S4625" s="17"/>
      <c r="T4625" s="17"/>
      <c r="U4625" s="17"/>
    </row>
    <row r="4626" spans="17:21" x14ac:dyDescent="0.25">
      <c r="Q4626" s="17" t="s">
        <v>5293</v>
      </c>
      <c r="R4626" s="17" t="s">
        <v>2239</v>
      </c>
      <c r="S4626" s="17"/>
      <c r="T4626" s="17"/>
      <c r="U4626" s="17"/>
    </row>
    <row r="4627" spans="17:21" x14ac:dyDescent="0.25">
      <c r="Q4627" s="17" t="s">
        <v>5294</v>
      </c>
      <c r="R4627" s="17" t="s">
        <v>2239</v>
      </c>
      <c r="S4627" s="17"/>
      <c r="T4627" s="17"/>
      <c r="U4627" s="17"/>
    </row>
    <row r="4628" spans="17:21" x14ac:dyDescent="0.25">
      <c r="Q4628" s="17" t="s">
        <v>5295</v>
      </c>
      <c r="R4628" s="17" t="s">
        <v>3999</v>
      </c>
      <c r="S4628" s="17"/>
      <c r="T4628" s="17"/>
      <c r="U4628" s="17"/>
    </row>
    <row r="4629" spans="17:21" x14ac:dyDescent="0.25">
      <c r="Q4629" s="17" t="s">
        <v>5296</v>
      </c>
      <c r="R4629" s="17" t="s">
        <v>2239</v>
      </c>
      <c r="S4629" s="17"/>
      <c r="T4629" s="17"/>
      <c r="U4629" s="17"/>
    </row>
    <row r="4630" spans="17:21" x14ac:dyDescent="0.25">
      <c r="Q4630" s="17" t="s">
        <v>5297</v>
      </c>
      <c r="R4630" s="17" t="s">
        <v>2239</v>
      </c>
      <c r="S4630" s="17"/>
      <c r="T4630" s="17"/>
      <c r="U4630" s="17"/>
    </row>
    <row r="4631" spans="17:21" x14ac:dyDescent="0.25">
      <c r="Q4631" s="17" t="s">
        <v>5298</v>
      </c>
      <c r="R4631" s="17" t="s">
        <v>2239</v>
      </c>
      <c r="S4631" s="17"/>
      <c r="T4631" s="17"/>
      <c r="U4631" s="17"/>
    </row>
    <row r="4632" spans="17:21" x14ac:dyDescent="0.25">
      <c r="Q4632" s="17" t="s">
        <v>5299</v>
      </c>
      <c r="R4632" s="17" t="s">
        <v>4956</v>
      </c>
      <c r="S4632" s="17"/>
      <c r="T4632" s="17"/>
      <c r="U4632" s="17"/>
    </row>
    <row r="4633" spans="17:21" x14ac:dyDescent="0.25">
      <c r="Q4633" s="17" t="s">
        <v>5300</v>
      </c>
      <c r="R4633" s="17" t="s">
        <v>2239</v>
      </c>
      <c r="S4633" s="17"/>
      <c r="T4633" s="17"/>
      <c r="U4633" s="17"/>
    </row>
    <row r="4634" spans="17:21" x14ac:dyDescent="0.25">
      <c r="Q4634" s="17" t="s">
        <v>5301</v>
      </c>
      <c r="R4634" s="17" t="s">
        <v>2239</v>
      </c>
      <c r="S4634" s="17"/>
      <c r="T4634" s="17"/>
      <c r="U4634" s="17"/>
    </row>
    <row r="4635" spans="17:21" x14ac:dyDescent="0.25">
      <c r="Q4635" s="17" t="s">
        <v>5302</v>
      </c>
      <c r="R4635" s="17" t="s">
        <v>2239</v>
      </c>
      <c r="S4635" s="17"/>
      <c r="T4635" s="17"/>
      <c r="U4635" s="17"/>
    </row>
    <row r="4636" spans="17:21" x14ac:dyDescent="0.25">
      <c r="Q4636" s="17" t="s">
        <v>5303</v>
      </c>
      <c r="R4636" s="17" t="s">
        <v>2239</v>
      </c>
      <c r="S4636" s="17"/>
      <c r="T4636" s="17"/>
      <c r="U4636" s="17"/>
    </row>
    <row r="4637" spans="17:21" x14ac:dyDescent="0.25">
      <c r="Q4637" s="17" t="s">
        <v>5304</v>
      </c>
      <c r="R4637" s="17" t="s">
        <v>2239</v>
      </c>
      <c r="S4637" s="17"/>
      <c r="T4637" s="17"/>
      <c r="U4637" s="17"/>
    </row>
    <row r="4638" spans="17:21" x14ac:dyDescent="0.25">
      <c r="Q4638" s="17" t="s">
        <v>5305</v>
      </c>
      <c r="R4638" s="17" t="s">
        <v>2239</v>
      </c>
      <c r="S4638" s="17"/>
      <c r="T4638" s="17"/>
      <c r="U4638" s="17"/>
    </row>
    <row r="4639" spans="17:21" x14ac:dyDescent="0.25">
      <c r="Q4639" s="17" t="s">
        <v>5306</v>
      </c>
      <c r="R4639" s="17" t="s">
        <v>2239</v>
      </c>
      <c r="S4639" s="17"/>
      <c r="T4639" s="17"/>
      <c r="U4639" s="17"/>
    </row>
    <row r="4640" spans="17:21" x14ac:dyDescent="0.25">
      <c r="Q4640" s="17" t="s">
        <v>5307</v>
      </c>
      <c r="R4640" s="17" t="s">
        <v>2239</v>
      </c>
      <c r="S4640" s="17"/>
      <c r="T4640" s="17"/>
      <c r="U4640" s="17"/>
    </row>
    <row r="4641" spans="17:21" x14ac:dyDescent="0.25">
      <c r="Q4641" s="17" t="s">
        <v>5308</v>
      </c>
      <c r="R4641" s="17" t="s">
        <v>2239</v>
      </c>
      <c r="S4641" s="17"/>
      <c r="T4641" s="17"/>
      <c r="U4641" s="17"/>
    </row>
    <row r="4642" spans="17:21" x14ac:dyDescent="0.25">
      <c r="Q4642" s="17" t="s">
        <v>5309</v>
      </c>
      <c r="R4642" s="17" t="s">
        <v>2239</v>
      </c>
      <c r="S4642" s="17"/>
      <c r="T4642" s="17"/>
      <c r="U4642" s="17"/>
    </row>
    <row r="4643" spans="17:21" x14ac:dyDescent="0.25">
      <c r="Q4643" s="17" t="s">
        <v>5310</v>
      </c>
      <c r="R4643" s="17" t="s">
        <v>2239</v>
      </c>
      <c r="S4643" s="17"/>
      <c r="T4643" s="17"/>
      <c r="U4643" s="17"/>
    </row>
    <row r="4644" spans="17:21" x14ac:dyDescent="0.25">
      <c r="Q4644" s="17" t="s">
        <v>5311</v>
      </c>
      <c r="R4644" s="17" t="s">
        <v>3999</v>
      </c>
      <c r="S4644" s="17"/>
      <c r="T4644" s="17"/>
      <c r="U4644" s="17"/>
    </row>
    <row r="4645" spans="17:21" x14ac:dyDescent="0.25">
      <c r="Q4645" s="17" t="s">
        <v>5312</v>
      </c>
      <c r="R4645" s="17" t="s">
        <v>3999</v>
      </c>
      <c r="S4645" s="17"/>
      <c r="T4645" s="17"/>
      <c r="U4645" s="17"/>
    </row>
    <row r="4646" spans="17:21" x14ac:dyDescent="0.25">
      <c r="Q4646" s="17" t="s">
        <v>5313</v>
      </c>
      <c r="R4646" s="17" t="s">
        <v>3999</v>
      </c>
      <c r="S4646" s="17"/>
      <c r="T4646" s="17"/>
      <c r="U4646" s="17"/>
    </row>
    <row r="4647" spans="17:21" x14ac:dyDescent="0.25">
      <c r="Q4647" s="17" t="s">
        <v>5314</v>
      </c>
      <c r="R4647" s="17" t="s">
        <v>3999</v>
      </c>
      <c r="S4647" s="17"/>
      <c r="T4647" s="17"/>
      <c r="U4647" s="17"/>
    </row>
    <row r="4648" spans="17:21" x14ac:dyDescent="0.25">
      <c r="Q4648" s="17" t="s">
        <v>5315</v>
      </c>
      <c r="R4648" s="17" t="s">
        <v>3999</v>
      </c>
      <c r="S4648" s="17"/>
      <c r="T4648" s="17"/>
      <c r="U4648" s="17"/>
    </row>
    <row r="4649" spans="17:21" x14ac:dyDescent="0.25">
      <c r="Q4649" s="17" t="s">
        <v>5316</v>
      </c>
      <c r="R4649" s="17" t="s">
        <v>3999</v>
      </c>
      <c r="S4649" s="17"/>
      <c r="T4649" s="17"/>
      <c r="U4649" s="17"/>
    </row>
    <row r="4650" spans="17:21" x14ac:dyDescent="0.25">
      <c r="Q4650" s="17" t="s">
        <v>5317</v>
      </c>
      <c r="R4650" s="17" t="s">
        <v>3999</v>
      </c>
      <c r="S4650" s="17"/>
      <c r="T4650" s="17"/>
      <c r="U4650" s="17"/>
    </row>
    <row r="4651" spans="17:21" x14ac:dyDescent="0.25">
      <c r="Q4651" s="17" t="s">
        <v>5318</v>
      </c>
      <c r="R4651" s="17" t="s">
        <v>3999</v>
      </c>
      <c r="S4651" s="17"/>
      <c r="T4651" s="17"/>
      <c r="U4651" s="17"/>
    </row>
    <row r="4652" spans="17:21" x14ac:dyDescent="0.25">
      <c r="Q4652" s="17" t="s">
        <v>5319</v>
      </c>
      <c r="R4652" s="17" t="s">
        <v>3999</v>
      </c>
      <c r="S4652" s="17"/>
      <c r="T4652" s="17"/>
      <c r="U4652" s="17"/>
    </row>
    <row r="4653" spans="17:21" x14ac:dyDescent="0.25">
      <c r="Q4653" s="17" t="s">
        <v>5320</v>
      </c>
      <c r="R4653" s="17" t="s">
        <v>3999</v>
      </c>
      <c r="S4653" s="17"/>
      <c r="T4653" s="17"/>
      <c r="U4653" s="17"/>
    </row>
    <row r="4654" spans="17:21" x14ac:dyDescent="0.25">
      <c r="Q4654" s="17" t="s">
        <v>5321</v>
      </c>
      <c r="R4654" s="17" t="s">
        <v>3999</v>
      </c>
      <c r="S4654" s="17"/>
      <c r="T4654" s="17"/>
      <c r="U4654" s="17"/>
    </row>
    <row r="4655" spans="17:21" x14ac:dyDescent="0.25">
      <c r="Q4655" s="17" t="s">
        <v>5322</v>
      </c>
      <c r="R4655" s="17" t="s">
        <v>3999</v>
      </c>
      <c r="S4655" s="17"/>
      <c r="T4655" s="17"/>
      <c r="U4655" s="17"/>
    </row>
    <row r="4656" spans="17:21" x14ac:dyDescent="0.25">
      <c r="Q4656" s="17" t="s">
        <v>5323</v>
      </c>
      <c r="R4656" s="17" t="s">
        <v>3999</v>
      </c>
      <c r="S4656" s="17"/>
      <c r="T4656" s="17"/>
      <c r="U4656" s="17"/>
    </row>
    <row r="4657" spans="17:21" x14ac:dyDescent="0.25">
      <c r="Q4657" s="17" t="s">
        <v>5324</v>
      </c>
      <c r="R4657" s="17" t="s">
        <v>3999</v>
      </c>
      <c r="S4657" s="17"/>
      <c r="T4657" s="17"/>
      <c r="U4657" s="17"/>
    </row>
    <row r="4658" spans="17:21" x14ac:dyDescent="0.25">
      <c r="Q4658" s="17" t="s">
        <v>5325</v>
      </c>
      <c r="R4658" s="17" t="s">
        <v>3999</v>
      </c>
      <c r="S4658" s="17"/>
      <c r="T4658" s="17"/>
      <c r="U4658" s="17"/>
    </row>
    <row r="4659" spans="17:21" x14ac:dyDescent="0.25">
      <c r="Q4659" s="17" t="s">
        <v>5326</v>
      </c>
      <c r="R4659" s="17" t="s">
        <v>3999</v>
      </c>
      <c r="S4659" s="17"/>
      <c r="T4659" s="17"/>
      <c r="U4659" s="17"/>
    </row>
    <row r="4660" spans="17:21" x14ac:dyDescent="0.25">
      <c r="Q4660" s="17" t="s">
        <v>5327</v>
      </c>
      <c r="R4660" s="17" t="s">
        <v>3999</v>
      </c>
      <c r="S4660" s="17"/>
      <c r="T4660" s="17"/>
      <c r="U4660" s="17"/>
    </row>
    <row r="4661" spans="17:21" x14ac:dyDescent="0.25">
      <c r="Q4661" s="17" t="s">
        <v>5328</v>
      </c>
      <c r="R4661" s="17" t="s">
        <v>3999</v>
      </c>
      <c r="S4661" s="17"/>
      <c r="T4661" s="17"/>
      <c r="U4661" s="17"/>
    </row>
    <row r="4662" spans="17:21" x14ac:dyDescent="0.25">
      <c r="Q4662" s="17" t="s">
        <v>5329</v>
      </c>
      <c r="R4662" s="17" t="s">
        <v>3999</v>
      </c>
      <c r="S4662" s="17"/>
      <c r="T4662" s="17"/>
      <c r="U4662" s="17"/>
    </row>
    <row r="4663" spans="17:21" x14ac:dyDescent="0.25">
      <c r="Q4663" s="17" t="s">
        <v>5330</v>
      </c>
      <c r="R4663" s="17" t="s">
        <v>3999</v>
      </c>
      <c r="S4663" s="17"/>
      <c r="T4663" s="17"/>
      <c r="U4663" s="17"/>
    </row>
    <row r="4664" spans="17:21" x14ac:dyDescent="0.25">
      <c r="Q4664" s="17" t="s">
        <v>5331</v>
      </c>
      <c r="R4664" s="17" t="s">
        <v>3999</v>
      </c>
      <c r="S4664" s="17"/>
      <c r="T4664" s="17"/>
      <c r="U4664" s="17"/>
    </row>
    <row r="4665" spans="17:21" x14ac:dyDescent="0.25">
      <c r="Q4665" s="17" t="s">
        <v>5332</v>
      </c>
      <c r="R4665" s="17" t="s">
        <v>3999</v>
      </c>
      <c r="S4665" s="17"/>
      <c r="T4665" s="17"/>
      <c r="U4665" s="17"/>
    </row>
    <row r="4666" spans="17:21" x14ac:dyDescent="0.25">
      <c r="Q4666" s="17" t="s">
        <v>5333</v>
      </c>
      <c r="R4666" s="17" t="s">
        <v>3999</v>
      </c>
      <c r="S4666" s="17"/>
      <c r="T4666" s="17"/>
      <c r="U4666" s="17"/>
    </row>
    <row r="4667" spans="17:21" x14ac:dyDescent="0.25">
      <c r="Q4667" s="17" t="s">
        <v>5334</v>
      </c>
      <c r="R4667" s="17" t="s">
        <v>3999</v>
      </c>
      <c r="S4667" s="17"/>
      <c r="T4667" s="17"/>
      <c r="U4667" s="17"/>
    </row>
    <row r="4668" spans="17:21" x14ac:dyDescent="0.25">
      <c r="Q4668" s="17" t="s">
        <v>5335</v>
      </c>
      <c r="R4668" s="17" t="s">
        <v>3999</v>
      </c>
      <c r="S4668" s="17"/>
      <c r="T4668" s="17"/>
      <c r="U4668" s="17"/>
    </row>
    <row r="4669" spans="17:21" x14ac:dyDescent="0.25">
      <c r="Q4669" s="17" t="s">
        <v>5336</v>
      </c>
      <c r="R4669" s="17" t="s">
        <v>3999</v>
      </c>
      <c r="S4669" s="17"/>
      <c r="T4669" s="17"/>
      <c r="U4669" s="17"/>
    </row>
    <row r="4670" spans="17:21" x14ac:dyDescent="0.25">
      <c r="Q4670" s="17" t="s">
        <v>5337</v>
      </c>
      <c r="R4670" s="17" t="s">
        <v>3999</v>
      </c>
      <c r="S4670" s="17"/>
      <c r="T4670" s="17"/>
      <c r="U4670" s="17"/>
    </row>
    <row r="4671" spans="17:21" x14ac:dyDescent="0.25">
      <c r="Q4671" s="17" t="s">
        <v>5338</v>
      </c>
      <c r="R4671" s="17" t="s">
        <v>3999</v>
      </c>
      <c r="S4671" s="17"/>
      <c r="T4671" s="17"/>
      <c r="U4671" s="17"/>
    </row>
    <row r="4672" spans="17:21" x14ac:dyDescent="0.25">
      <c r="Q4672" s="17" t="s">
        <v>5339</v>
      </c>
      <c r="R4672" s="17" t="s">
        <v>3999</v>
      </c>
      <c r="S4672" s="17"/>
      <c r="T4672" s="17"/>
      <c r="U4672" s="17"/>
    </row>
    <row r="4673" spans="17:21" x14ac:dyDescent="0.25">
      <c r="Q4673" s="17" t="s">
        <v>5340</v>
      </c>
      <c r="R4673" s="17" t="s">
        <v>3999</v>
      </c>
      <c r="S4673" s="17"/>
      <c r="T4673" s="17"/>
      <c r="U4673" s="17"/>
    </row>
    <row r="4674" spans="17:21" x14ac:dyDescent="0.25">
      <c r="Q4674" s="17" t="s">
        <v>5341</v>
      </c>
      <c r="R4674" s="17" t="s">
        <v>3999</v>
      </c>
      <c r="S4674" s="17"/>
      <c r="T4674" s="17"/>
      <c r="U4674" s="17"/>
    </row>
    <row r="4675" spans="17:21" x14ac:dyDescent="0.25">
      <c r="Q4675" s="17" t="s">
        <v>5342</v>
      </c>
      <c r="R4675" s="17" t="s">
        <v>3999</v>
      </c>
      <c r="S4675" s="17"/>
      <c r="T4675" s="17"/>
      <c r="U4675" s="17"/>
    </row>
    <row r="4676" spans="17:21" x14ac:dyDescent="0.25">
      <c r="Q4676" s="17" t="s">
        <v>5343</v>
      </c>
      <c r="R4676" s="17" t="s">
        <v>3999</v>
      </c>
      <c r="S4676" s="17"/>
      <c r="T4676" s="17"/>
      <c r="U4676" s="17"/>
    </row>
    <row r="4677" spans="17:21" x14ac:dyDescent="0.25">
      <c r="Q4677" s="17" t="s">
        <v>5344</v>
      </c>
      <c r="R4677" s="17" t="s">
        <v>3999</v>
      </c>
      <c r="S4677" s="17"/>
      <c r="T4677" s="17"/>
      <c r="U4677" s="17"/>
    </row>
    <row r="4678" spans="17:21" x14ac:dyDescent="0.25">
      <c r="Q4678" s="17" t="s">
        <v>5345</v>
      </c>
      <c r="R4678" s="17" t="s">
        <v>289</v>
      </c>
      <c r="S4678" s="17"/>
      <c r="T4678" s="17"/>
      <c r="U4678" s="17"/>
    </row>
    <row r="4679" spans="17:21" x14ac:dyDescent="0.25">
      <c r="Q4679" s="17" t="s">
        <v>5346</v>
      </c>
      <c r="R4679" s="17" t="s">
        <v>2675</v>
      </c>
      <c r="S4679" s="17"/>
      <c r="T4679" s="17"/>
      <c r="U4679" s="17"/>
    </row>
    <row r="4680" spans="17:21" x14ac:dyDescent="0.25">
      <c r="Q4680" s="17" t="s">
        <v>5347</v>
      </c>
      <c r="R4680" s="17" t="s">
        <v>2675</v>
      </c>
      <c r="S4680" s="17"/>
      <c r="T4680" s="17"/>
      <c r="U4680" s="17"/>
    </row>
    <row r="4681" spans="17:21" x14ac:dyDescent="0.25">
      <c r="Q4681" s="17" t="s">
        <v>5348</v>
      </c>
      <c r="R4681" s="17" t="s">
        <v>2675</v>
      </c>
      <c r="S4681" s="17"/>
      <c r="T4681" s="17"/>
      <c r="U4681" s="17"/>
    </row>
    <row r="4682" spans="17:21" x14ac:dyDescent="0.25">
      <c r="Q4682" s="17" t="s">
        <v>5349</v>
      </c>
      <c r="R4682" s="17" t="s">
        <v>2675</v>
      </c>
      <c r="S4682" s="17"/>
      <c r="T4682" s="17"/>
      <c r="U4682" s="17"/>
    </row>
    <row r="4683" spans="17:21" x14ac:dyDescent="0.25">
      <c r="Q4683" s="17" t="s">
        <v>5350</v>
      </c>
      <c r="R4683" s="17" t="s">
        <v>2675</v>
      </c>
      <c r="S4683" s="17"/>
      <c r="T4683" s="17"/>
      <c r="U4683" s="17"/>
    </row>
    <row r="4684" spans="17:21" x14ac:dyDescent="0.25">
      <c r="Q4684" s="17" t="s">
        <v>5351</v>
      </c>
      <c r="R4684" s="17" t="s">
        <v>2675</v>
      </c>
      <c r="S4684" s="17"/>
      <c r="T4684" s="17"/>
      <c r="U4684" s="17"/>
    </row>
    <row r="4685" spans="17:21" x14ac:dyDescent="0.25">
      <c r="Q4685" s="17" t="s">
        <v>5352</v>
      </c>
      <c r="R4685" s="17" t="s">
        <v>2239</v>
      </c>
      <c r="S4685" s="17"/>
      <c r="T4685" s="17"/>
      <c r="U4685" s="17"/>
    </row>
    <row r="4686" spans="17:21" x14ac:dyDescent="0.25">
      <c r="Q4686" s="17" t="s">
        <v>5353</v>
      </c>
      <c r="R4686" s="17" t="s">
        <v>2675</v>
      </c>
      <c r="S4686" s="17"/>
      <c r="T4686" s="17"/>
      <c r="U4686" s="17"/>
    </row>
    <row r="4687" spans="17:21" x14ac:dyDescent="0.25">
      <c r="Q4687" s="17" t="s">
        <v>5354</v>
      </c>
      <c r="R4687" s="17" t="s">
        <v>2675</v>
      </c>
      <c r="S4687" s="17"/>
      <c r="T4687" s="17"/>
      <c r="U4687" s="17"/>
    </row>
    <row r="4688" spans="17:21" x14ac:dyDescent="0.25">
      <c r="Q4688" s="17" t="s">
        <v>5355</v>
      </c>
      <c r="R4688" s="17" t="s">
        <v>3999</v>
      </c>
      <c r="S4688" s="17"/>
      <c r="T4688" s="17"/>
      <c r="U4688" s="17"/>
    </row>
    <row r="4689" spans="17:21" x14ac:dyDescent="0.25">
      <c r="Q4689" s="17" t="s">
        <v>5356</v>
      </c>
      <c r="R4689" s="17" t="s">
        <v>3999</v>
      </c>
      <c r="S4689" s="17"/>
      <c r="T4689" s="17"/>
      <c r="U4689" s="17"/>
    </row>
    <row r="4690" spans="17:21" x14ac:dyDescent="0.25">
      <c r="Q4690" s="17" t="s">
        <v>5357</v>
      </c>
      <c r="R4690" s="17" t="s">
        <v>3999</v>
      </c>
      <c r="S4690" s="17"/>
      <c r="T4690" s="17"/>
      <c r="U4690" s="17"/>
    </row>
    <row r="4691" spans="17:21" x14ac:dyDescent="0.25">
      <c r="Q4691" s="17" t="s">
        <v>5358</v>
      </c>
      <c r="R4691" s="17" t="s">
        <v>3999</v>
      </c>
      <c r="S4691" s="17"/>
      <c r="T4691" s="17"/>
      <c r="U4691" s="17"/>
    </row>
    <row r="4692" spans="17:21" x14ac:dyDescent="0.25">
      <c r="Q4692" s="17" t="s">
        <v>5359</v>
      </c>
      <c r="R4692" s="17" t="s">
        <v>3999</v>
      </c>
      <c r="S4692" s="17"/>
      <c r="T4692" s="17"/>
      <c r="U4692" s="17"/>
    </row>
    <row r="4693" spans="17:21" x14ac:dyDescent="0.25">
      <c r="Q4693" s="17" t="s">
        <v>5360</v>
      </c>
      <c r="R4693" s="17" t="s">
        <v>3999</v>
      </c>
      <c r="S4693" s="17"/>
      <c r="T4693" s="17"/>
      <c r="U4693" s="17"/>
    </row>
    <row r="4694" spans="17:21" x14ac:dyDescent="0.25">
      <c r="Q4694" s="17" t="s">
        <v>5361</v>
      </c>
      <c r="R4694" s="17" t="s">
        <v>3999</v>
      </c>
      <c r="S4694" s="17"/>
      <c r="T4694" s="17"/>
      <c r="U4694" s="17"/>
    </row>
    <row r="4695" spans="17:21" x14ac:dyDescent="0.25">
      <c r="Q4695" s="17" t="s">
        <v>5362</v>
      </c>
      <c r="R4695" s="17" t="s">
        <v>3999</v>
      </c>
      <c r="S4695" s="17"/>
      <c r="T4695" s="17"/>
      <c r="U4695" s="17"/>
    </row>
    <row r="4696" spans="17:21" x14ac:dyDescent="0.25">
      <c r="Q4696" s="17" t="s">
        <v>5363</v>
      </c>
      <c r="R4696" s="17" t="s">
        <v>3999</v>
      </c>
      <c r="S4696" s="17"/>
      <c r="T4696" s="17"/>
      <c r="U4696" s="17"/>
    </row>
    <row r="4697" spans="17:21" x14ac:dyDescent="0.25">
      <c r="Q4697" s="17" t="s">
        <v>5364</v>
      </c>
      <c r="R4697" s="17" t="s">
        <v>3999</v>
      </c>
      <c r="S4697" s="17"/>
      <c r="T4697" s="17"/>
      <c r="U4697" s="17"/>
    </row>
    <row r="4698" spans="17:21" x14ac:dyDescent="0.25">
      <c r="Q4698" s="17" t="s">
        <v>5365</v>
      </c>
      <c r="R4698" s="17" t="s">
        <v>3999</v>
      </c>
      <c r="S4698" s="17"/>
      <c r="T4698" s="17"/>
      <c r="U4698" s="17"/>
    </row>
    <row r="4699" spans="17:21" x14ac:dyDescent="0.25">
      <c r="Q4699" s="17" t="s">
        <v>5366</v>
      </c>
      <c r="R4699" s="17" t="s">
        <v>3999</v>
      </c>
      <c r="S4699" s="17"/>
      <c r="T4699" s="17"/>
      <c r="U4699" s="17"/>
    </row>
    <row r="4700" spans="17:21" x14ac:dyDescent="0.25">
      <c r="Q4700" s="17" t="s">
        <v>5367</v>
      </c>
      <c r="R4700" s="17" t="s">
        <v>3999</v>
      </c>
      <c r="S4700" s="17"/>
      <c r="T4700" s="17"/>
      <c r="U4700" s="17"/>
    </row>
    <row r="4701" spans="17:21" x14ac:dyDescent="0.25">
      <c r="Q4701" s="17" t="s">
        <v>5368</v>
      </c>
      <c r="R4701" s="17" t="s">
        <v>3999</v>
      </c>
      <c r="S4701" s="17"/>
      <c r="T4701" s="17"/>
      <c r="U4701" s="17"/>
    </row>
    <row r="4702" spans="17:21" x14ac:dyDescent="0.25">
      <c r="Q4702" s="17" t="s">
        <v>5369</v>
      </c>
      <c r="R4702" s="17" t="s">
        <v>3999</v>
      </c>
      <c r="S4702" s="17"/>
      <c r="T4702" s="17"/>
      <c r="U4702" s="17"/>
    </row>
    <row r="4703" spans="17:21" x14ac:dyDescent="0.25">
      <c r="Q4703" s="17" t="s">
        <v>5370</v>
      </c>
      <c r="R4703" s="17" t="s">
        <v>3999</v>
      </c>
      <c r="S4703" s="17"/>
      <c r="T4703" s="17"/>
      <c r="U4703" s="17"/>
    </row>
    <row r="4704" spans="17:21" x14ac:dyDescent="0.25">
      <c r="Q4704" s="17" t="s">
        <v>5371</v>
      </c>
      <c r="R4704" s="17" t="s">
        <v>3999</v>
      </c>
      <c r="S4704" s="17"/>
      <c r="T4704" s="17"/>
      <c r="U4704" s="17"/>
    </row>
    <row r="4705" spans="17:21" x14ac:dyDescent="0.25">
      <c r="Q4705" s="17" t="s">
        <v>5372</v>
      </c>
      <c r="R4705" s="17" t="s">
        <v>3999</v>
      </c>
      <c r="S4705" s="17"/>
      <c r="T4705" s="17"/>
      <c r="U4705" s="17"/>
    </row>
    <row r="4706" spans="17:21" x14ac:dyDescent="0.25">
      <c r="Q4706" s="17" t="s">
        <v>5373</v>
      </c>
      <c r="R4706" s="17" t="s">
        <v>3999</v>
      </c>
      <c r="S4706" s="17"/>
      <c r="T4706" s="17"/>
      <c r="U4706" s="17"/>
    </row>
    <row r="4707" spans="17:21" x14ac:dyDescent="0.25">
      <c r="Q4707" s="17" t="s">
        <v>5374</v>
      </c>
      <c r="R4707" s="17" t="s">
        <v>3999</v>
      </c>
      <c r="S4707" s="17"/>
      <c r="T4707" s="17"/>
      <c r="U4707" s="17"/>
    </row>
    <row r="4708" spans="17:21" x14ac:dyDescent="0.25">
      <c r="Q4708" s="17" t="s">
        <v>5375</v>
      </c>
      <c r="R4708" s="17" t="s">
        <v>3999</v>
      </c>
      <c r="S4708" s="17"/>
      <c r="T4708" s="17"/>
      <c r="U4708" s="17"/>
    </row>
    <row r="4709" spans="17:21" x14ac:dyDescent="0.25">
      <c r="Q4709" s="17" t="s">
        <v>5376</v>
      </c>
      <c r="R4709" s="17" t="s">
        <v>3999</v>
      </c>
      <c r="S4709" s="17"/>
      <c r="T4709" s="17"/>
      <c r="U4709" s="17"/>
    </row>
    <row r="4710" spans="17:21" x14ac:dyDescent="0.25">
      <c r="Q4710" s="17" t="s">
        <v>5377</v>
      </c>
      <c r="R4710" s="17" t="s">
        <v>3999</v>
      </c>
      <c r="S4710" s="17"/>
      <c r="T4710" s="17"/>
      <c r="U4710" s="17"/>
    </row>
    <row r="4711" spans="17:21" x14ac:dyDescent="0.25">
      <c r="Q4711" s="17" t="s">
        <v>5378</v>
      </c>
      <c r="R4711" s="17" t="s">
        <v>3999</v>
      </c>
      <c r="S4711" s="17"/>
      <c r="T4711" s="17"/>
      <c r="U4711" s="17"/>
    </row>
    <row r="4712" spans="17:21" x14ac:dyDescent="0.25">
      <c r="Q4712" s="17" t="s">
        <v>5379</v>
      </c>
      <c r="R4712" s="17" t="s">
        <v>3999</v>
      </c>
      <c r="S4712" s="17"/>
      <c r="T4712" s="17"/>
      <c r="U4712" s="17"/>
    </row>
    <row r="4713" spans="17:21" x14ac:dyDescent="0.25">
      <c r="Q4713" s="17" t="s">
        <v>5380</v>
      </c>
      <c r="R4713" s="17" t="s">
        <v>3999</v>
      </c>
      <c r="S4713" s="17"/>
      <c r="T4713" s="17"/>
      <c r="U4713" s="17"/>
    </row>
    <row r="4714" spans="17:21" x14ac:dyDescent="0.25">
      <c r="Q4714" s="17" t="s">
        <v>5381</v>
      </c>
      <c r="R4714" s="17" t="s">
        <v>3999</v>
      </c>
      <c r="S4714" s="17"/>
      <c r="T4714" s="17"/>
      <c r="U4714" s="17"/>
    </row>
    <row r="4715" spans="17:21" x14ac:dyDescent="0.25">
      <c r="Q4715" s="17" t="s">
        <v>5382</v>
      </c>
      <c r="R4715" s="17" t="s">
        <v>3999</v>
      </c>
      <c r="S4715" s="17"/>
      <c r="T4715" s="17"/>
      <c r="U4715" s="17"/>
    </row>
    <row r="4716" spans="17:21" x14ac:dyDescent="0.25">
      <c r="Q4716" s="17" t="s">
        <v>5383</v>
      </c>
      <c r="R4716" s="17" t="s">
        <v>3999</v>
      </c>
      <c r="S4716" s="17"/>
      <c r="T4716" s="17"/>
      <c r="U4716" s="17"/>
    </row>
    <row r="4717" spans="17:21" x14ac:dyDescent="0.25">
      <c r="Q4717" s="17" t="s">
        <v>5384</v>
      </c>
      <c r="R4717" s="17" t="s">
        <v>3999</v>
      </c>
      <c r="S4717" s="17"/>
      <c r="T4717" s="17"/>
      <c r="U4717" s="17"/>
    </row>
    <row r="4718" spans="17:21" x14ac:dyDescent="0.25">
      <c r="Q4718" s="17" t="s">
        <v>5385</v>
      </c>
      <c r="R4718" s="17" t="s">
        <v>3999</v>
      </c>
      <c r="S4718" s="17"/>
      <c r="T4718" s="17"/>
      <c r="U4718" s="17"/>
    </row>
    <row r="4719" spans="17:21" x14ac:dyDescent="0.25">
      <c r="Q4719" s="17" t="s">
        <v>5386</v>
      </c>
      <c r="R4719" s="17" t="s">
        <v>3999</v>
      </c>
      <c r="S4719" s="17"/>
      <c r="T4719" s="17"/>
      <c r="U4719" s="17"/>
    </row>
    <row r="4720" spans="17:21" x14ac:dyDescent="0.25">
      <c r="Q4720" s="17" t="s">
        <v>5387</v>
      </c>
      <c r="R4720" s="17" t="s">
        <v>3999</v>
      </c>
      <c r="S4720" s="17"/>
      <c r="T4720" s="17"/>
      <c r="U4720" s="17"/>
    </row>
    <row r="4721" spans="17:21" x14ac:dyDescent="0.25">
      <c r="Q4721" s="17" t="s">
        <v>5388</v>
      </c>
      <c r="R4721" s="17" t="s">
        <v>3999</v>
      </c>
      <c r="S4721" s="17"/>
      <c r="T4721" s="17"/>
      <c r="U4721" s="17"/>
    </row>
    <row r="4722" spans="17:21" x14ac:dyDescent="0.25">
      <c r="Q4722" s="17" t="s">
        <v>5389</v>
      </c>
      <c r="R4722" s="17" t="s">
        <v>3999</v>
      </c>
      <c r="S4722" s="17"/>
      <c r="T4722" s="17"/>
      <c r="U4722" s="17"/>
    </row>
    <row r="4723" spans="17:21" x14ac:dyDescent="0.25">
      <c r="Q4723" s="17" t="s">
        <v>5390</v>
      </c>
      <c r="R4723" s="17" t="s">
        <v>3999</v>
      </c>
      <c r="S4723" s="17"/>
      <c r="T4723" s="17"/>
      <c r="U4723" s="17"/>
    </row>
    <row r="4724" spans="17:21" x14ac:dyDescent="0.25">
      <c r="Q4724" s="17" t="s">
        <v>5391</v>
      </c>
      <c r="R4724" s="17" t="s">
        <v>4956</v>
      </c>
      <c r="S4724" s="17"/>
      <c r="T4724" s="17"/>
      <c r="U4724" s="17"/>
    </row>
    <row r="4725" spans="17:21" x14ac:dyDescent="0.25">
      <c r="Q4725" s="17" t="s">
        <v>5392</v>
      </c>
      <c r="R4725" s="17" t="s">
        <v>2239</v>
      </c>
      <c r="S4725" s="17"/>
      <c r="T4725" s="17"/>
      <c r="U4725" s="17"/>
    </row>
    <row r="4726" spans="17:21" x14ac:dyDescent="0.25">
      <c r="Q4726" s="17" t="s">
        <v>5393</v>
      </c>
      <c r="R4726" s="17" t="s">
        <v>2239</v>
      </c>
      <c r="S4726" s="17"/>
      <c r="T4726" s="17"/>
      <c r="U4726" s="17"/>
    </row>
    <row r="4727" spans="17:21" x14ac:dyDescent="0.25">
      <c r="Q4727" s="17" t="s">
        <v>5394</v>
      </c>
      <c r="R4727" s="17" t="s">
        <v>2239</v>
      </c>
      <c r="S4727" s="17"/>
      <c r="T4727" s="17"/>
      <c r="U4727" s="17"/>
    </row>
    <row r="4728" spans="17:21" x14ac:dyDescent="0.25">
      <c r="Q4728" s="17" t="s">
        <v>5395</v>
      </c>
      <c r="R4728" s="17" t="s">
        <v>4956</v>
      </c>
      <c r="S4728" s="17"/>
      <c r="T4728" s="17"/>
      <c r="U4728" s="17"/>
    </row>
    <row r="4729" spans="17:21" x14ac:dyDescent="0.25">
      <c r="Q4729" s="17" t="s">
        <v>5396</v>
      </c>
      <c r="R4729" s="17" t="s">
        <v>2239</v>
      </c>
      <c r="S4729" s="17"/>
      <c r="T4729" s="17"/>
      <c r="U4729" s="17"/>
    </row>
    <row r="4730" spans="17:21" x14ac:dyDescent="0.25">
      <c r="Q4730" s="17" t="s">
        <v>5397</v>
      </c>
      <c r="R4730" s="17" t="s">
        <v>2239</v>
      </c>
      <c r="S4730" s="17"/>
      <c r="T4730" s="17"/>
      <c r="U4730" s="17"/>
    </row>
    <row r="4731" spans="17:21" x14ac:dyDescent="0.25">
      <c r="Q4731" s="17" t="s">
        <v>5398</v>
      </c>
      <c r="R4731" s="17" t="s">
        <v>2239</v>
      </c>
      <c r="S4731" s="17"/>
      <c r="T4731" s="17"/>
      <c r="U4731" s="17"/>
    </row>
    <row r="4732" spans="17:21" x14ac:dyDescent="0.25">
      <c r="Q4732" s="17" t="s">
        <v>5399</v>
      </c>
      <c r="R4732" s="17" t="s">
        <v>3999</v>
      </c>
      <c r="S4732" s="17"/>
      <c r="T4732" s="17"/>
      <c r="U4732" s="17"/>
    </row>
    <row r="4733" spans="17:21" x14ac:dyDescent="0.25">
      <c r="Q4733" s="17" t="s">
        <v>5400</v>
      </c>
      <c r="R4733" s="17" t="s">
        <v>3999</v>
      </c>
      <c r="S4733" s="17"/>
      <c r="T4733" s="17"/>
      <c r="U4733" s="17"/>
    </row>
    <row r="4734" spans="17:21" x14ac:dyDescent="0.25">
      <c r="Q4734" s="17" t="s">
        <v>5401</v>
      </c>
      <c r="R4734" s="17" t="s">
        <v>3999</v>
      </c>
      <c r="S4734" s="17"/>
      <c r="T4734" s="17"/>
      <c r="U4734" s="17"/>
    </row>
    <row r="4735" spans="17:21" x14ac:dyDescent="0.25">
      <c r="Q4735" s="17" t="s">
        <v>5402</v>
      </c>
      <c r="R4735" s="17" t="s">
        <v>3999</v>
      </c>
      <c r="S4735" s="17"/>
      <c r="T4735" s="17"/>
      <c r="U4735" s="17"/>
    </row>
    <row r="4736" spans="17:21" x14ac:dyDescent="0.25">
      <c r="Q4736" s="17" t="s">
        <v>5403</v>
      </c>
      <c r="R4736" s="17" t="s">
        <v>3999</v>
      </c>
      <c r="S4736" s="17"/>
      <c r="T4736" s="17"/>
      <c r="U4736" s="17"/>
    </row>
    <row r="4737" spans="17:21" x14ac:dyDescent="0.25">
      <c r="Q4737" s="17" t="s">
        <v>5404</v>
      </c>
      <c r="R4737" s="17" t="s">
        <v>3999</v>
      </c>
      <c r="S4737" s="17"/>
      <c r="T4737" s="17"/>
      <c r="U4737" s="17"/>
    </row>
    <row r="4738" spans="17:21" x14ac:dyDescent="0.25">
      <c r="Q4738" s="17" t="s">
        <v>5405</v>
      </c>
      <c r="R4738" s="17" t="s">
        <v>3999</v>
      </c>
      <c r="S4738" s="17"/>
      <c r="T4738" s="17"/>
      <c r="U4738" s="17"/>
    </row>
    <row r="4739" spans="17:21" x14ac:dyDescent="0.25">
      <c r="Q4739" s="17" t="s">
        <v>5406</v>
      </c>
      <c r="R4739" s="17" t="s">
        <v>3999</v>
      </c>
      <c r="S4739" s="17"/>
      <c r="T4739" s="17"/>
      <c r="U4739" s="17"/>
    </row>
    <row r="4740" spans="17:21" x14ac:dyDescent="0.25">
      <c r="Q4740" s="17" t="s">
        <v>5407</v>
      </c>
      <c r="R4740" s="17" t="s">
        <v>3999</v>
      </c>
      <c r="S4740" s="17"/>
      <c r="T4740" s="17"/>
      <c r="U4740" s="17"/>
    </row>
    <row r="4741" spans="17:21" x14ac:dyDescent="0.25">
      <c r="Q4741" s="17" t="s">
        <v>5408</v>
      </c>
      <c r="R4741" s="17" t="s">
        <v>3999</v>
      </c>
      <c r="S4741" s="17"/>
      <c r="T4741" s="17"/>
      <c r="U4741" s="17"/>
    </row>
    <row r="4742" spans="17:21" x14ac:dyDescent="0.25">
      <c r="Q4742" s="17" t="s">
        <v>5409</v>
      </c>
      <c r="R4742" s="17" t="s">
        <v>3999</v>
      </c>
      <c r="S4742" s="17"/>
      <c r="T4742" s="17"/>
      <c r="U4742" s="17"/>
    </row>
    <row r="4743" spans="17:21" x14ac:dyDescent="0.25">
      <c r="Q4743" s="17" t="s">
        <v>5410</v>
      </c>
      <c r="R4743" s="17" t="s">
        <v>3999</v>
      </c>
      <c r="S4743" s="17"/>
      <c r="T4743" s="17"/>
      <c r="U4743" s="17"/>
    </row>
    <row r="4744" spans="17:21" x14ac:dyDescent="0.25">
      <c r="Q4744" s="17" t="s">
        <v>5411</v>
      </c>
      <c r="R4744" s="17" t="s">
        <v>3999</v>
      </c>
      <c r="S4744" s="17"/>
      <c r="T4744" s="17"/>
      <c r="U4744" s="17"/>
    </row>
    <row r="4745" spans="17:21" x14ac:dyDescent="0.25">
      <c r="Q4745" s="17" t="s">
        <v>5412</v>
      </c>
      <c r="R4745" s="17" t="s">
        <v>3999</v>
      </c>
      <c r="S4745" s="17"/>
      <c r="T4745" s="17"/>
      <c r="U4745" s="17"/>
    </row>
    <row r="4746" spans="17:21" x14ac:dyDescent="0.25">
      <c r="Q4746" s="17" t="s">
        <v>5413</v>
      </c>
      <c r="R4746" s="17" t="s">
        <v>3999</v>
      </c>
      <c r="S4746" s="17"/>
      <c r="T4746" s="17"/>
      <c r="U4746" s="17"/>
    </row>
    <row r="4747" spans="17:21" x14ac:dyDescent="0.25">
      <c r="Q4747" s="17" t="s">
        <v>5414</v>
      </c>
      <c r="R4747" s="17" t="s">
        <v>3999</v>
      </c>
      <c r="S4747" s="17"/>
      <c r="T4747" s="17"/>
      <c r="U4747" s="17"/>
    </row>
    <row r="4748" spans="17:21" x14ac:dyDescent="0.25">
      <c r="Q4748" s="17" t="s">
        <v>5415</v>
      </c>
      <c r="R4748" s="17" t="s">
        <v>3999</v>
      </c>
      <c r="S4748" s="17"/>
      <c r="T4748" s="17"/>
      <c r="U4748" s="17"/>
    </row>
    <row r="4749" spans="17:21" x14ac:dyDescent="0.25">
      <c r="Q4749" s="17" t="s">
        <v>5416</v>
      </c>
      <c r="R4749" s="17" t="s">
        <v>3999</v>
      </c>
      <c r="S4749" s="17"/>
      <c r="T4749" s="17"/>
      <c r="U4749" s="17"/>
    </row>
    <row r="4750" spans="17:21" x14ac:dyDescent="0.25">
      <c r="Q4750" s="17" t="s">
        <v>5417</v>
      </c>
      <c r="R4750" s="17" t="s">
        <v>3999</v>
      </c>
      <c r="S4750" s="17"/>
      <c r="T4750" s="17"/>
      <c r="U4750" s="17"/>
    </row>
    <row r="4751" spans="17:21" x14ac:dyDescent="0.25">
      <c r="Q4751" s="17" t="s">
        <v>5418</v>
      </c>
      <c r="R4751" s="17" t="s">
        <v>3999</v>
      </c>
      <c r="S4751" s="17"/>
      <c r="T4751" s="17"/>
      <c r="U4751" s="17"/>
    </row>
    <row r="4752" spans="17:21" x14ac:dyDescent="0.25">
      <c r="Q4752" s="17" t="s">
        <v>5419</v>
      </c>
      <c r="R4752" s="17" t="s">
        <v>3999</v>
      </c>
      <c r="S4752" s="17"/>
      <c r="T4752" s="17"/>
      <c r="U4752" s="17"/>
    </row>
    <row r="4753" spans="17:21" x14ac:dyDescent="0.25">
      <c r="Q4753" s="17" t="s">
        <v>5420</v>
      </c>
      <c r="R4753" s="17" t="s">
        <v>3999</v>
      </c>
      <c r="S4753" s="17"/>
      <c r="T4753" s="17"/>
      <c r="U4753" s="17"/>
    </row>
    <row r="4754" spans="17:21" x14ac:dyDescent="0.25">
      <c r="Q4754" s="17" t="s">
        <v>5421</v>
      </c>
      <c r="R4754" s="17" t="s">
        <v>3999</v>
      </c>
      <c r="S4754" s="17"/>
      <c r="T4754" s="17"/>
      <c r="U4754" s="17"/>
    </row>
    <row r="4755" spans="17:21" x14ac:dyDescent="0.25">
      <c r="Q4755" s="17" t="s">
        <v>5422</v>
      </c>
      <c r="R4755" s="17" t="s">
        <v>3999</v>
      </c>
      <c r="S4755" s="17"/>
      <c r="T4755" s="17"/>
      <c r="U4755" s="17"/>
    </row>
    <row r="4756" spans="17:21" x14ac:dyDescent="0.25">
      <c r="Q4756" s="17" t="s">
        <v>5423</v>
      </c>
      <c r="R4756" s="17" t="s">
        <v>3999</v>
      </c>
      <c r="S4756" s="17"/>
      <c r="T4756" s="17"/>
      <c r="U4756" s="17"/>
    </row>
    <row r="4757" spans="17:21" x14ac:dyDescent="0.25">
      <c r="Q4757" s="17" t="s">
        <v>5424</v>
      </c>
      <c r="R4757" s="17" t="s">
        <v>3999</v>
      </c>
      <c r="S4757" s="17"/>
      <c r="T4757" s="17"/>
      <c r="U4757" s="17"/>
    </row>
    <row r="4758" spans="17:21" x14ac:dyDescent="0.25">
      <c r="Q4758" s="17" t="s">
        <v>5425</v>
      </c>
      <c r="R4758" s="17" t="s">
        <v>3999</v>
      </c>
      <c r="S4758" s="17"/>
      <c r="T4758" s="17"/>
      <c r="U4758" s="17"/>
    </row>
    <row r="4759" spans="17:21" x14ac:dyDescent="0.25">
      <c r="Q4759" s="17" t="s">
        <v>5426</v>
      </c>
      <c r="R4759" s="17" t="s">
        <v>3999</v>
      </c>
      <c r="S4759" s="17"/>
      <c r="T4759" s="17"/>
      <c r="U4759" s="17"/>
    </row>
    <row r="4760" spans="17:21" x14ac:dyDescent="0.25">
      <c r="Q4760" s="17" t="s">
        <v>5427</v>
      </c>
      <c r="R4760" s="17" t="s">
        <v>2239</v>
      </c>
      <c r="S4760" s="17"/>
      <c r="T4760" s="17"/>
      <c r="U4760" s="17"/>
    </row>
    <row r="4761" spans="17:21" x14ac:dyDescent="0.25">
      <c r="Q4761" s="17" t="s">
        <v>5428</v>
      </c>
      <c r="R4761" s="17" t="s">
        <v>2239</v>
      </c>
      <c r="S4761" s="17"/>
      <c r="T4761" s="17"/>
      <c r="U4761" s="17"/>
    </row>
    <row r="4762" spans="17:21" x14ac:dyDescent="0.25">
      <c r="Q4762" s="17" t="s">
        <v>5429</v>
      </c>
      <c r="R4762" s="17" t="s">
        <v>2239</v>
      </c>
      <c r="S4762" s="17"/>
      <c r="T4762" s="17"/>
      <c r="U4762" s="17"/>
    </row>
    <row r="4763" spans="17:21" x14ac:dyDescent="0.25">
      <c r="Q4763" s="17" t="s">
        <v>5430</v>
      </c>
      <c r="R4763" s="17" t="s">
        <v>2239</v>
      </c>
      <c r="S4763" s="17"/>
      <c r="T4763" s="17"/>
      <c r="U4763" s="17"/>
    </row>
    <row r="4764" spans="17:21" x14ac:dyDescent="0.25">
      <c r="Q4764" s="17" t="s">
        <v>5431</v>
      </c>
      <c r="R4764" s="17" t="s">
        <v>2239</v>
      </c>
      <c r="S4764" s="17"/>
      <c r="T4764" s="17"/>
      <c r="U4764" s="17"/>
    </row>
    <row r="4765" spans="17:21" x14ac:dyDescent="0.25">
      <c r="Q4765" s="17" t="s">
        <v>5432</v>
      </c>
      <c r="R4765" s="17" t="s">
        <v>2239</v>
      </c>
      <c r="S4765" s="17"/>
      <c r="T4765" s="17"/>
      <c r="U4765" s="17"/>
    </row>
    <row r="4766" spans="17:21" x14ac:dyDescent="0.25">
      <c r="Q4766" s="17" t="s">
        <v>5433</v>
      </c>
      <c r="R4766" s="17" t="s">
        <v>2239</v>
      </c>
      <c r="S4766" s="17"/>
      <c r="T4766" s="17"/>
      <c r="U4766" s="17"/>
    </row>
    <row r="4767" spans="17:21" x14ac:dyDescent="0.25">
      <c r="Q4767" s="17" t="s">
        <v>5434</v>
      </c>
      <c r="R4767" s="17" t="s">
        <v>2239</v>
      </c>
      <c r="S4767" s="17"/>
      <c r="T4767" s="17"/>
      <c r="U4767" s="17"/>
    </row>
    <row r="4768" spans="17:21" x14ac:dyDescent="0.25">
      <c r="Q4768" s="17" t="s">
        <v>5435</v>
      </c>
      <c r="R4768" s="17" t="s">
        <v>2239</v>
      </c>
      <c r="S4768" s="17"/>
      <c r="T4768" s="17"/>
      <c r="U4768" s="17"/>
    </row>
    <row r="4769" spans="17:21" x14ac:dyDescent="0.25">
      <c r="Q4769" s="17" t="s">
        <v>5436</v>
      </c>
      <c r="R4769" s="17" t="s">
        <v>2239</v>
      </c>
      <c r="S4769" s="17"/>
      <c r="T4769" s="17"/>
      <c r="U4769" s="17"/>
    </row>
    <row r="4770" spans="17:21" x14ac:dyDescent="0.25">
      <c r="Q4770" s="17" t="s">
        <v>5437</v>
      </c>
      <c r="R4770" s="17" t="s">
        <v>2239</v>
      </c>
      <c r="S4770" s="17"/>
      <c r="T4770" s="17"/>
      <c r="U4770" s="17"/>
    </row>
    <row r="4771" spans="17:21" x14ac:dyDescent="0.25">
      <c r="Q4771" s="17" t="s">
        <v>5438</v>
      </c>
      <c r="R4771" s="17" t="s">
        <v>2239</v>
      </c>
      <c r="S4771" s="17"/>
      <c r="T4771" s="17"/>
      <c r="U4771" s="17"/>
    </row>
    <row r="4772" spans="17:21" x14ac:dyDescent="0.25">
      <c r="Q4772" s="17" t="s">
        <v>5439</v>
      </c>
      <c r="R4772" s="17" t="s">
        <v>2239</v>
      </c>
      <c r="S4772" s="17"/>
      <c r="T4772" s="17"/>
      <c r="U4772" s="17"/>
    </row>
    <row r="4773" spans="17:21" x14ac:dyDescent="0.25">
      <c r="Q4773" s="17" t="s">
        <v>5440</v>
      </c>
      <c r="R4773" s="17" t="s">
        <v>2239</v>
      </c>
      <c r="S4773" s="17"/>
      <c r="T4773" s="17"/>
      <c r="U4773" s="17"/>
    </row>
    <row r="4774" spans="17:21" x14ac:dyDescent="0.25">
      <c r="Q4774" s="17" t="s">
        <v>5441</v>
      </c>
      <c r="R4774" s="17" t="s">
        <v>2239</v>
      </c>
      <c r="S4774" s="17"/>
      <c r="T4774" s="17"/>
      <c r="U4774" s="17"/>
    </row>
    <row r="4775" spans="17:21" x14ac:dyDescent="0.25">
      <c r="Q4775" s="17" t="s">
        <v>5442</v>
      </c>
      <c r="R4775" s="17" t="s">
        <v>2239</v>
      </c>
      <c r="S4775" s="17"/>
      <c r="T4775" s="17"/>
      <c r="U4775" s="17"/>
    </row>
    <row r="4776" spans="17:21" x14ac:dyDescent="0.25">
      <c r="Q4776" s="17" t="s">
        <v>5443</v>
      </c>
      <c r="R4776" s="17" t="s">
        <v>2239</v>
      </c>
      <c r="S4776" s="17"/>
      <c r="T4776" s="17"/>
      <c r="U4776" s="17"/>
    </row>
    <row r="4777" spans="17:21" x14ac:dyDescent="0.25">
      <c r="Q4777" s="17" t="s">
        <v>5444</v>
      </c>
      <c r="R4777" s="17" t="s">
        <v>2239</v>
      </c>
      <c r="S4777" s="17"/>
      <c r="T4777" s="17"/>
      <c r="U4777" s="17"/>
    </row>
    <row r="4778" spans="17:21" x14ac:dyDescent="0.25">
      <c r="Q4778" s="17" t="s">
        <v>5445</v>
      </c>
      <c r="R4778" s="17" t="s">
        <v>2239</v>
      </c>
      <c r="S4778" s="17"/>
      <c r="T4778" s="17"/>
      <c r="U4778" s="17"/>
    </row>
    <row r="4779" spans="17:21" x14ac:dyDescent="0.25">
      <c r="Q4779" s="17" t="s">
        <v>5446</v>
      </c>
      <c r="R4779" s="17" t="s">
        <v>2239</v>
      </c>
      <c r="S4779" s="17"/>
      <c r="T4779" s="17"/>
      <c r="U4779" s="17"/>
    </row>
    <row r="4780" spans="17:21" x14ac:dyDescent="0.25">
      <c r="Q4780" s="17" t="s">
        <v>5447</v>
      </c>
      <c r="R4780" s="17" t="s">
        <v>2239</v>
      </c>
      <c r="S4780" s="17"/>
      <c r="T4780" s="17"/>
      <c r="U4780" s="17"/>
    </row>
    <row r="4781" spans="17:21" x14ac:dyDescent="0.25">
      <c r="Q4781" s="17" t="s">
        <v>5448</v>
      </c>
      <c r="R4781" s="17" t="s">
        <v>2239</v>
      </c>
      <c r="S4781" s="17"/>
      <c r="T4781" s="17"/>
      <c r="U4781" s="17"/>
    </row>
    <row r="4782" spans="17:21" x14ac:dyDescent="0.25">
      <c r="Q4782" s="17" t="s">
        <v>5449</v>
      </c>
      <c r="R4782" s="17" t="s">
        <v>2239</v>
      </c>
      <c r="S4782" s="17"/>
      <c r="T4782" s="17"/>
      <c r="U4782" s="17"/>
    </row>
    <row r="4783" spans="17:21" x14ac:dyDescent="0.25">
      <c r="Q4783" s="17" t="s">
        <v>5450</v>
      </c>
      <c r="R4783" s="17" t="s">
        <v>2239</v>
      </c>
      <c r="S4783" s="17"/>
      <c r="T4783" s="17"/>
      <c r="U4783" s="17"/>
    </row>
    <row r="4784" spans="17:21" x14ac:dyDescent="0.25">
      <c r="Q4784" s="17" t="s">
        <v>5451</v>
      </c>
      <c r="R4784" s="17" t="s">
        <v>2239</v>
      </c>
      <c r="S4784" s="17"/>
      <c r="T4784" s="17"/>
      <c r="U4784" s="17"/>
    </row>
    <row r="4785" spans="17:21" x14ac:dyDescent="0.25">
      <c r="Q4785" s="17" t="s">
        <v>5452</v>
      </c>
      <c r="R4785" s="17" t="s">
        <v>2239</v>
      </c>
      <c r="S4785" s="17"/>
      <c r="T4785" s="17"/>
      <c r="U4785" s="17"/>
    </row>
    <row r="4786" spans="17:21" x14ac:dyDescent="0.25">
      <c r="Q4786" s="17" t="s">
        <v>5453</v>
      </c>
      <c r="R4786" s="17" t="s">
        <v>2239</v>
      </c>
      <c r="S4786" s="17"/>
      <c r="T4786" s="17"/>
      <c r="U4786" s="17"/>
    </row>
    <row r="4787" spans="17:21" x14ac:dyDescent="0.25">
      <c r="Q4787" s="17" t="s">
        <v>5454</v>
      </c>
      <c r="R4787" s="17" t="s">
        <v>2239</v>
      </c>
      <c r="S4787" s="17"/>
      <c r="T4787" s="17"/>
      <c r="U4787" s="17"/>
    </row>
    <row r="4788" spans="17:21" x14ac:dyDescent="0.25">
      <c r="Q4788" s="17" t="s">
        <v>5455</v>
      </c>
      <c r="R4788" s="17" t="s">
        <v>2239</v>
      </c>
      <c r="S4788" s="17"/>
      <c r="T4788" s="17"/>
      <c r="U4788" s="17"/>
    </row>
    <row r="4789" spans="17:21" x14ac:dyDescent="0.25">
      <c r="Q4789" s="17" t="s">
        <v>5456</v>
      </c>
      <c r="R4789" s="17" t="s">
        <v>2239</v>
      </c>
      <c r="S4789" s="17"/>
      <c r="T4789" s="17"/>
      <c r="U4789" s="17"/>
    </row>
    <row r="4790" spans="17:21" x14ac:dyDescent="0.25">
      <c r="Q4790" s="17" t="s">
        <v>5457</v>
      </c>
      <c r="R4790" s="17" t="s">
        <v>2239</v>
      </c>
      <c r="S4790" s="17"/>
      <c r="T4790" s="17"/>
      <c r="U4790" s="17"/>
    </row>
    <row r="4791" spans="17:21" x14ac:dyDescent="0.25">
      <c r="Q4791" s="17" t="s">
        <v>5458</v>
      </c>
      <c r="R4791" s="17" t="s">
        <v>2239</v>
      </c>
      <c r="S4791" s="17"/>
      <c r="T4791" s="17"/>
      <c r="U4791" s="17"/>
    </row>
    <row r="4792" spans="17:21" x14ac:dyDescent="0.25">
      <c r="Q4792" s="17" t="s">
        <v>5459</v>
      </c>
      <c r="R4792" s="17" t="s">
        <v>2239</v>
      </c>
      <c r="S4792" s="17"/>
      <c r="T4792" s="17"/>
      <c r="U4792" s="17"/>
    </row>
    <row r="4793" spans="17:21" x14ac:dyDescent="0.25">
      <c r="Q4793" s="17" t="s">
        <v>5460</v>
      </c>
      <c r="R4793" s="17" t="s">
        <v>2239</v>
      </c>
      <c r="S4793" s="17"/>
      <c r="T4793" s="17"/>
      <c r="U4793" s="17"/>
    </row>
    <row r="4794" spans="17:21" x14ac:dyDescent="0.25">
      <c r="Q4794" s="17" t="s">
        <v>5461</v>
      </c>
      <c r="R4794" s="17" t="s">
        <v>2239</v>
      </c>
      <c r="S4794" s="17"/>
      <c r="T4794" s="17"/>
      <c r="U4794" s="17"/>
    </row>
    <row r="4795" spans="17:21" x14ac:dyDescent="0.25">
      <c r="Q4795" s="17" t="s">
        <v>5462</v>
      </c>
      <c r="R4795" s="17" t="s">
        <v>2239</v>
      </c>
      <c r="S4795" s="17"/>
      <c r="T4795" s="17"/>
      <c r="U4795" s="17"/>
    </row>
    <row r="4796" spans="17:21" x14ac:dyDescent="0.25">
      <c r="Q4796" s="17" t="s">
        <v>5463</v>
      </c>
      <c r="R4796" s="17" t="s">
        <v>2239</v>
      </c>
      <c r="S4796" s="17"/>
      <c r="T4796" s="17"/>
      <c r="U4796" s="17"/>
    </row>
    <row r="4797" spans="17:21" x14ac:dyDescent="0.25">
      <c r="Q4797" s="17" t="s">
        <v>5464</v>
      </c>
      <c r="R4797" s="17" t="s">
        <v>2239</v>
      </c>
      <c r="S4797" s="17"/>
      <c r="T4797" s="17"/>
      <c r="U4797" s="17"/>
    </row>
    <row r="4798" spans="17:21" x14ac:dyDescent="0.25">
      <c r="Q4798" s="17" t="s">
        <v>5465</v>
      </c>
      <c r="R4798" s="17" t="s">
        <v>2239</v>
      </c>
      <c r="S4798" s="17"/>
      <c r="T4798" s="17"/>
      <c r="U4798" s="17"/>
    </row>
    <row r="4799" spans="17:21" x14ac:dyDescent="0.25">
      <c r="Q4799" s="17" t="s">
        <v>5466</v>
      </c>
      <c r="R4799" s="17" t="s">
        <v>2239</v>
      </c>
      <c r="S4799" s="17"/>
      <c r="T4799" s="17"/>
      <c r="U4799" s="17"/>
    </row>
    <row r="4800" spans="17:21" x14ac:dyDescent="0.25">
      <c r="Q4800" s="17" t="s">
        <v>5467</v>
      </c>
      <c r="R4800" s="17" t="s">
        <v>2239</v>
      </c>
      <c r="S4800" s="17"/>
      <c r="T4800" s="17"/>
      <c r="U4800" s="17"/>
    </row>
    <row r="4801" spans="17:21" x14ac:dyDescent="0.25">
      <c r="Q4801" s="17" t="s">
        <v>5468</v>
      </c>
      <c r="R4801" s="17" t="s">
        <v>2239</v>
      </c>
      <c r="S4801" s="17"/>
      <c r="T4801" s="17"/>
      <c r="U4801" s="17"/>
    </row>
    <row r="4802" spans="17:21" x14ac:dyDescent="0.25">
      <c r="Q4802" s="17" t="s">
        <v>5469</v>
      </c>
      <c r="R4802" s="17" t="s">
        <v>2239</v>
      </c>
      <c r="S4802" s="17"/>
      <c r="T4802" s="17"/>
      <c r="U4802" s="17"/>
    </row>
    <row r="4803" spans="17:21" x14ac:dyDescent="0.25">
      <c r="Q4803" s="17" t="s">
        <v>5470</v>
      </c>
      <c r="R4803" s="17" t="s">
        <v>2239</v>
      </c>
      <c r="S4803" s="17"/>
      <c r="T4803" s="17"/>
      <c r="U4803" s="17"/>
    </row>
    <row r="4804" spans="17:21" x14ac:dyDescent="0.25">
      <c r="Q4804" s="17" t="s">
        <v>5471</v>
      </c>
      <c r="R4804" s="17" t="s">
        <v>2239</v>
      </c>
      <c r="S4804" s="17"/>
      <c r="T4804" s="17"/>
      <c r="U4804" s="17"/>
    </row>
    <row r="4805" spans="17:21" x14ac:dyDescent="0.25">
      <c r="Q4805" s="17" t="s">
        <v>5472</v>
      </c>
      <c r="R4805" s="17" t="s">
        <v>2239</v>
      </c>
      <c r="S4805" s="17"/>
      <c r="T4805" s="17"/>
      <c r="U4805" s="17"/>
    </row>
    <row r="4806" spans="17:21" x14ac:dyDescent="0.25">
      <c r="Q4806" s="17" t="s">
        <v>5473</v>
      </c>
      <c r="R4806" s="17" t="s">
        <v>2239</v>
      </c>
      <c r="S4806" s="17"/>
      <c r="T4806" s="17"/>
      <c r="U4806" s="17"/>
    </row>
    <row r="4807" spans="17:21" x14ac:dyDescent="0.25">
      <c r="Q4807" s="17" t="s">
        <v>5474</v>
      </c>
      <c r="R4807" s="17" t="s">
        <v>2239</v>
      </c>
      <c r="S4807" s="17"/>
      <c r="T4807" s="17"/>
      <c r="U4807" s="17"/>
    </row>
    <row r="4808" spans="17:21" x14ac:dyDescent="0.25">
      <c r="Q4808" s="17" t="s">
        <v>5475</v>
      </c>
      <c r="R4808" s="17" t="s">
        <v>2239</v>
      </c>
      <c r="S4808" s="17"/>
      <c r="T4808" s="17"/>
      <c r="U4808" s="17"/>
    </row>
    <row r="4809" spans="17:21" x14ac:dyDescent="0.25">
      <c r="Q4809" s="17" t="s">
        <v>5476</v>
      </c>
      <c r="R4809" s="17" t="s">
        <v>2239</v>
      </c>
      <c r="S4809" s="17"/>
      <c r="T4809" s="17"/>
      <c r="U4809" s="17"/>
    </row>
    <row r="4810" spans="17:21" x14ac:dyDescent="0.25">
      <c r="Q4810" s="17" t="s">
        <v>5477</v>
      </c>
      <c r="R4810" s="17" t="s">
        <v>2239</v>
      </c>
      <c r="S4810" s="17"/>
      <c r="T4810" s="17"/>
      <c r="U4810" s="17"/>
    </row>
    <row r="4811" spans="17:21" x14ac:dyDescent="0.25">
      <c r="Q4811" s="17" t="s">
        <v>5478</v>
      </c>
      <c r="R4811" s="17" t="s">
        <v>2239</v>
      </c>
      <c r="S4811" s="17"/>
      <c r="T4811" s="17"/>
      <c r="U4811" s="17"/>
    </row>
    <row r="4812" spans="17:21" x14ac:dyDescent="0.25">
      <c r="Q4812" s="17" t="s">
        <v>5479</v>
      </c>
      <c r="R4812" s="17" t="s">
        <v>2239</v>
      </c>
      <c r="S4812" s="17"/>
      <c r="T4812" s="17"/>
      <c r="U4812" s="17"/>
    </row>
    <row r="4813" spans="17:21" x14ac:dyDescent="0.25">
      <c r="Q4813" s="17" t="s">
        <v>5480</v>
      </c>
      <c r="R4813" s="17" t="s">
        <v>2239</v>
      </c>
      <c r="S4813" s="17"/>
      <c r="T4813" s="17"/>
      <c r="U4813" s="17"/>
    </row>
    <row r="4814" spans="17:21" x14ac:dyDescent="0.25">
      <c r="Q4814" s="17" t="s">
        <v>5481</v>
      </c>
      <c r="R4814" s="17" t="s">
        <v>2239</v>
      </c>
      <c r="S4814" s="17"/>
      <c r="T4814" s="17"/>
      <c r="U4814" s="17"/>
    </row>
    <row r="4815" spans="17:21" x14ac:dyDescent="0.25">
      <c r="Q4815" s="17" t="s">
        <v>5482</v>
      </c>
      <c r="R4815" s="17" t="s">
        <v>2239</v>
      </c>
      <c r="S4815" s="17"/>
      <c r="T4815" s="17"/>
      <c r="U4815" s="17"/>
    </row>
    <row r="4816" spans="17:21" x14ac:dyDescent="0.25">
      <c r="Q4816" s="17" t="s">
        <v>5483</v>
      </c>
      <c r="R4816" s="17" t="s">
        <v>2239</v>
      </c>
      <c r="S4816" s="17"/>
      <c r="T4816" s="17"/>
      <c r="U4816" s="17"/>
    </row>
    <row r="4817" spans="17:21" x14ac:dyDescent="0.25">
      <c r="Q4817" s="17" t="s">
        <v>5484</v>
      </c>
      <c r="R4817" s="17" t="s">
        <v>2239</v>
      </c>
      <c r="S4817" s="17"/>
      <c r="T4817" s="17"/>
      <c r="U4817" s="17"/>
    </row>
    <row r="4818" spans="17:21" x14ac:dyDescent="0.25">
      <c r="Q4818" s="17" t="s">
        <v>5485</v>
      </c>
      <c r="R4818" s="17" t="s">
        <v>2239</v>
      </c>
      <c r="S4818" s="17"/>
      <c r="T4818" s="17"/>
      <c r="U4818" s="17"/>
    </row>
    <row r="4819" spans="17:21" x14ac:dyDescent="0.25">
      <c r="Q4819" s="17" t="s">
        <v>5486</v>
      </c>
      <c r="R4819" s="17" t="s">
        <v>2239</v>
      </c>
      <c r="S4819" s="17"/>
      <c r="T4819" s="17"/>
      <c r="U4819" s="17"/>
    </row>
    <row r="4820" spans="17:21" x14ac:dyDescent="0.25">
      <c r="Q4820" s="17" t="s">
        <v>5487</v>
      </c>
      <c r="R4820" s="17" t="s">
        <v>2239</v>
      </c>
      <c r="S4820" s="17"/>
      <c r="T4820" s="17"/>
      <c r="U4820" s="17"/>
    </row>
    <row r="4821" spans="17:21" x14ac:dyDescent="0.25">
      <c r="Q4821" s="17" t="s">
        <v>5488</v>
      </c>
      <c r="R4821" s="17" t="s">
        <v>2239</v>
      </c>
      <c r="S4821" s="17"/>
      <c r="T4821" s="17"/>
      <c r="U4821" s="17"/>
    </row>
    <row r="4822" spans="17:21" x14ac:dyDescent="0.25">
      <c r="Q4822" s="17" t="s">
        <v>5489</v>
      </c>
      <c r="R4822" s="17" t="s">
        <v>2239</v>
      </c>
      <c r="S4822" s="17"/>
      <c r="T4822" s="17"/>
      <c r="U4822" s="17"/>
    </row>
    <row r="4823" spans="17:21" x14ac:dyDescent="0.25">
      <c r="Q4823" s="17" t="s">
        <v>5490</v>
      </c>
      <c r="R4823" s="17" t="s">
        <v>2239</v>
      </c>
      <c r="S4823" s="17"/>
      <c r="T4823" s="17"/>
      <c r="U4823" s="17"/>
    </row>
    <row r="4824" spans="17:21" x14ac:dyDescent="0.25">
      <c r="Q4824" s="17" t="s">
        <v>5491</v>
      </c>
      <c r="R4824" s="17" t="s">
        <v>2239</v>
      </c>
      <c r="S4824" s="17"/>
      <c r="T4824" s="17"/>
      <c r="U4824" s="17"/>
    </row>
    <row r="4825" spans="17:21" x14ac:dyDescent="0.25">
      <c r="Q4825" s="17" t="s">
        <v>5492</v>
      </c>
      <c r="R4825" s="17" t="s">
        <v>2239</v>
      </c>
      <c r="S4825" s="17"/>
      <c r="T4825" s="17"/>
      <c r="U4825" s="17"/>
    </row>
    <row r="4826" spans="17:21" x14ac:dyDescent="0.25">
      <c r="Q4826" s="17" t="s">
        <v>5493</v>
      </c>
      <c r="R4826" s="17" t="s">
        <v>2239</v>
      </c>
      <c r="S4826" s="17"/>
      <c r="T4826" s="17"/>
      <c r="U4826" s="17"/>
    </row>
    <row r="4827" spans="17:21" x14ac:dyDescent="0.25">
      <c r="Q4827" s="17" t="s">
        <v>5494</v>
      </c>
      <c r="R4827" s="17" t="s">
        <v>2239</v>
      </c>
      <c r="S4827" s="17"/>
      <c r="T4827" s="17"/>
      <c r="U4827" s="17"/>
    </row>
    <row r="4828" spans="17:21" x14ac:dyDescent="0.25">
      <c r="Q4828" s="17" t="s">
        <v>5495</v>
      </c>
      <c r="R4828" s="17" t="s">
        <v>2239</v>
      </c>
      <c r="S4828" s="17"/>
      <c r="T4828" s="17"/>
      <c r="U4828" s="17"/>
    </row>
    <row r="4829" spans="17:21" x14ac:dyDescent="0.25">
      <c r="Q4829" s="17" t="s">
        <v>5496</v>
      </c>
      <c r="R4829" s="17" t="s">
        <v>2239</v>
      </c>
      <c r="S4829" s="17"/>
      <c r="T4829" s="17"/>
      <c r="U4829" s="17"/>
    </row>
    <row r="4830" spans="17:21" x14ac:dyDescent="0.25">
      <c r="Q4830" s="17" t="s">
        <v>5497</v>
      </c>
      <c r="R4830" s="17" t="s">
        <v>2239</v>
      </c>
      <c r="S4830" s="17"/>
      <c r="T4830" s="17"/>
      <c r="U4830" s="17"/>
    </row>
    <row r="4831" spans="17:21" x14ac:dyDescent="0.25">
      <c r="Q4831" s="17" t="s">
        <v>5498</v>
      </c>
      <c r="R4831" s="17" t="s">
        <v>2239</v>
      </c>
      <c r="S4831" s="17"/>
      <c r="T4831" s="17"/>
      <c r="U4831" s="17"/>
    </row>
    <row r="4832" spans="17:21" x14ac:dyDescent="0.25">
      <c r="Q4832" s="17" t="s">
        <v>5499</v>
      </c>
      <c r="R4832" s="17" t="s">
        <v>2239</v>
      </c>
      <c r="S4832" s="17"/>
      <c r="T4832" s="17"/>
      <c r="U4832" s="17"/>
    </row>
    <row r="4833" spans="17:21" x14ac:dyDescent="0.25">
      <c r="Q4833" s="17" t="s">
        <v>5500</v>
      </c>
      <c r="R4833" s="17" t="s">
        <v>2239</v>
      </c>
      <c r="S4833" s="17"/>
      <c r="T4833" s="17"/>
      <c r="U4833" s="17"/>
    </row>
    <row r="4834" spans="17:21" x14ac:dyDescent="0.25">
      <c r="Q4834" s="17" t="s">
        <v>5501</v>
      </c>
      <c r="R4834" s="17" t="s">
        <v>2239</v>
      </c>
      <c r="S4834" s="17"/>
      <c r="T4834" s="17"/>
      <c r="U4834" s="17"/>
    </row>
    <row r="4835" spans="17:21" x14ac:dyDescent="0.25">
      <c r="Q4835" s="17" t="s">
        <v>5502</v>
      </c>
      <c r="R4835" s="17" t="s">
        <v>2239</v>
      </c>
      <c r="S4835" s="17"/>
      <c r="T4835" s="17"/>
      <c r="U4835" s="17"/>
    </row>
    <row r="4836" spans="17:21" x14ac:dyDescent="0.25">
      <c r="Q4836" s="17" t="s">
        <v>5503</v>
      </c>
      <c r="R4836" s="17" t="s">
        <v>2239</v>
      </c>
      <c r="S4836" s="17"/>
      <c r="T4836" s="17"/>
      <c r="U4836" s="17"/>
    </row>
    <row r="4837" spans="17:21" x14ac:dyDescent="0.25">
      <c r="Q4837" s="17" t="s">
        <v>5504</v>
      </c>
      <c r="R4837" s="17" t="s">
        <v>2239</v>
      </c>
      <c r="S4837" s="17"/>
      <c r="T4837" s="17"/>
      <c r="U4837" s="17"/>
    </row>
    <row r="4838" spans="17:21" x14ac:dyDescent="0.25">
      <c r="Q4838" s="17" t="s">
        <v>5505</v>
      </c>
      <c r="R4838" s="17" t="s">
        <v>2239</v>
      </c>
      <c r="S4838" s="17"/>
      <c r="T4838" s="17"/>
      <c r="U4838" s="17"/>
    </row>
    <row r="4839" spans="17:21" x14ac:dyDescent="0.25">
      <c r="Q4839" s="17" t="s">
        <v>5506</v>
      </c>
      <c r="R4839" s="17" t="s">
        <v>2239</v>
      </c>
      <c r="S4839" s="17"/>
      <c r="T4839" s="17"/>
      <c r="U4839" s="17"/>
    </row>
    <row r="4840" spans="17:21" x14ac:dyDescent="0.25">
      <c r="Q4840" s="17" t="s">
        <v>5507</v>
      </c>
      <c r="R4840" s="17" t="s">
        <v>2239</v>
      </c>
      <c r="S4840" s="17"/>
      <c r="T4840" s="17"/>
      <c r="U4840" s="17"/>
    </row>
    <row r="4841" spans="17:21" x14ac:dyDescent="0.25">
      <c r="Q4841" s="17" t="s">
        <v>5508</v>
      </c>
      <c r="R4841" s="17" t="s">
        <v>2239</v>
      </c>
      <c r="S4841" s="17"/>
      <c r="T4841" s="17"/>
      <c r="U4841" s="17"/>
    </row>
    <row r="4842" spans="17:21" x14ac:dyDescent="0.25">
      <c r="Q4842" s="17" t="s">
        <v>5509</v>
      </c>
      <c r="R4842" s="17" t="s">
        <v>2239</v>
      </c>
      <c r="S4842" s="17"/>
      <c r="T4842" s="17"/>
      <c r="U4842" s="17"/>
    </row>
    <row r="4843" spans="17:21" x14ac:dyDescent="0.25">
      <c r="Q4843" s="17" t="s">
        <v>5510</v>
      </c>
      <c r="R4843" s="17" t="s">
        <v>2360</v>
      </c>
      <c r="S4843" s="17"/>
      <c r="T4843" s="17"/>
      <c r="U4843" s="17"/>
    </row>
    <row r="4844" spans="17:21" x14ac:dyDescent="0.25">
      <c r="Q4844" s="17" t="s">
        <v>5511</v>
      </c>
      <c r="R4844" s="17" t="s">
        <v>2360</v>
      </c>
      <c r="S4844" s="17"/>
      <c r="T4844" s="17"/>
      <c r="U4844" s="17"/>
    </row>
    <row r="4845" spans="17:21" x14ac:dyDescent="0.25">
      <c r="Q4845" s="17" t="s">
        <v>5512</v>
      </c>
      <c r="R4845" s="17" t="s">
        <v>2360</v>
      </c>
      <c r="S4845" s="17"/>
      <c r="T4845" s="17"/>
      <c r="U4845" s="17"/>
    </row>
    <row r="4846" spans="17:21" x14ac:dyDescent="0.25">
      <c r="Q4846" s="17" t="s">
        <v>5513</v>
      </c>
      <c r="R4846" s="17" t="s">
        <v>2360</v>
      </c>
      <c r="S4846" s="17"/>
      <c r="T4846" s="17"/>
      <c r="U4846" s="17"/>
    </row>
    <row r="4847" spans="17:21" x14ac:dyDescent="0.25">
      <c r="Q4847" s="17" t="s">
        <v>5514</v>
      </c>
      <c r="R4847" s="17" t="s">
        <v>2360</v>
      </c>
      <c r="S4847" s="17"/>
      <c r="T4847" s="17"/>
      <c r="U4847" s="17"/>
    </row>
    <row r="4848" spans="17:21" x14ac:dyDescent="0.25">
      <c r="Q4848" s="17" t="s">
        <v>5515</v>
      </c>
      <c r="R4848" s="17" t="s">
        <v>2239</v>
      </c>
      <c r="S4848" s="17"/>
      <c r="T4848" s="17"/>
      <c r="U4848" s="17"/>
    </row>
    <row r="4849" spans="17:21" x14ac:dyDescent="0.25">
      <c r="Q4849" s="17" t="s">
        <v>5516</v>
      </c>
      <c r="R4849" s="17" t="s">
        <v>2239</v>
      </c>
      <c r="S4849" s="17"/>
      <c r="T4849" s="17"/>
      <c r="U4849" s="17"/>
    </row>
    <row r="4850" spans="17:21" x14ac:dyDescent="0.25">
      <c r="Q4850" s="17" t="s">
        <v>5517</v>
      </c>
      <c r="R4850" s="17" t="s">
        <v>2239</v>
      </c>
      <c r="S4850" s="17"/>
      <c r="T4850" s="17"/>
      <c r="U4850" s="17"/>
    </row>
    <row r="4851" spans="17:21" x14ac:dyDescent="0.25">
      <c r="Q4851" s="17" t="s">
        <v>5518</v>
      </c>
      <c r="R4851" s="17" t="s">
        <v>2239</v>
      </c>
      <c r="S4851" s="17"/>
      <c r="T4851" s="17"/>
      <c r="U4851" s="17"/>
    </row>
    <row r="4852" spans="17:21" x14ac:dyDescent="0.25">
      <c r="Q4852" s="17" t="s">
        <v>5519</v>
      </c>
      <c r="R4852" s="17" t="s">
        <v>2239</v>
      </c>
      <c r="S4852" s="17"/>
      <c r="T4852" s="17"/>
      <c r="U4852" s="17"/>
    </row>
    <row r="4853" spans="17:21" x14ac:dyDescent="0.25">
      <c r="Q4853" s="17" t="s">
        <v>5520</v>
      </c>
      <c r="R4853" s="17" t="s">
        <v>2239</v>
      </c>
      <c r="S4853" s="17"/>
      <c r="T4853" s="17"/>
      <c r="U4853" s="17"/>
    </row>
    <row r="4854" spans="17:21" x14ac:dyDescent="0.25">
      <c r="Q4854" s="17" t="s">
        <v>5521</v>
      </c>
      <c r="R4854" s="17" t="s">
        <v>2239</v>
      </c>
      <c r="S4854" s="17"/>
      <c r="T4854" s="17"/>
      <c r="U4854" s="17"/>
    </row>
    <row r="4855" spans="17:21" x14ac:dyDescent="0.25">
      <c r="Q4855" s="17" t="s">
        <v>5522</v>
      </c>
      <c r="R4855" s="17" t="s">
        <v>2360</v>
      </c>
      <c r="S4855" s="17"/>
      <c r="T4855" s="17"/>
      <c r="U4855" s="17"/>
    </row>
    <row r="4856" spans="17:21" x14ac:dyDescent="0.25">
      <c r="Q4856" s="17" t="s">
        <v>5523</v>
      </c>
      <c r="R4856" s="17" t="s">
        <v>2360</v>
      </c>
      <c r="S4856" s="17"/>
      <c r="T4856" s="17"/>
      <c r="U4856" s="17"/>
    </row>
    <row r="4857" spans="17:21" x14ac:dyDescent="0.25">
      <c r="Q4857" s="17" t="s">
        <v>5524</v>
      </c>
      <c r="R4857" s="17" t="s">
        <v>2239</v>
      </c>
      <c r="S4857" s="17"/>
      <c r="T4857" s="17"/>
      <c r="U4857" s="17"/>
    </row>
    <row r="4858" spans="17:21" x14ac:dyDescent="0.25">
      <c r="Q4858" s="17" t="s">
        <v>5525</v>
      </c>
      <c r="R4858" s="17" t="s">
        <v>2239</v>
      </c>
      <c r="S4858" s="17"/>
      <c r="T4858" s="17"/>
      <c r="U4858" s="17"/>
    </row>
    <row r="4859" spans="17:21" x14ac:dyDescent="0.25">
      <c r="Q4859" s="17" t="s">
        <v>5526</v>
      </c>
      <c r="R4859" s="17" t="s">
        <v>2239</v>
      </c>
      <c r="S4859" s="17"/>
      <c r="T4859" s="17"/>
      <c r="U4859" s="17"/>
    </row>
    <row r="4860" spans="17:21" x14ac:dyDescent="0.25">
      <c r="Q4860" s="17" t="s">
        <v>5527</v>
      </c>
      <c r="R4860" s="17" t="s">
        <v>2239</v>
      </c>
      <c r="S4860" s="17"/>
      <c r="T4860" s="17"/>
      <c r="U4860" s="17"/>
    </row>
    <row r="4861" spans="17:21" x14ac:dyDescent="0.25">
      <c r="Q4861" s="17" t="s">
        <v>5528</v>
      </c>
      <c r="R4861" s="17" t="s">
        <v>2239</v>
      </c>
      <c r="S4861" s="17"/>
      <c r="T4861" s="17"/>
      <c r="U4861" s="17"/>
    </row>
    <row r="4862" spans="17:21" x14ac:dyDescent="0.25">
      <c r="Q4862" s="17" t="s">
        <v>5529</v>
      </c>
      <c r="R4862" s="17" t="s">
        <v>2239</v>
      </c>
      <c r="S4862" s="17"/>
      <c r="T4862" s="17"/>
      <c r="U4862" s="17"/>
    </row>
    <row r="4863" spans="17:21" x14ac:dyDescent="0.25">
      <c r="Q4863" s="17" t="s">
        <v>5530</v>
      </c>
      <c r="R4863" s="17" t="s">
        <v>2239</v>
      </c>
      <c r="S4863" s="17"/>
      <c r="T4863" s="17"/>
      <c r="U4863" s="17"/>
    </row>
    <row r="4864" spans="17:21" x14ac:dyDescent="0.25">
      <c r="Q4864" s="17" t="s">
        <v>5531</v>
      </c>
      <c r="R4864" s="17" t="s">
        <v>2239</v>
      </c>
      <c r="S4864" s="17"/>
      <c r="T4864" s="17"/>
      <c r="U4864" s="17"/>
    </row>
    <row r="4865" spans="17:21" x14ac:dyDescent="0.25">
      <c r="Q4865" s="17" t="s">
        <v>5532</v>
      </c>
      <c r="R4865" s="17" t="s">
        <v>2239</v>
      </c>
      <c r="S4865" s="17"/>
      <c r="T4865" s="17"/>
      <c r="U4865" s="17"/>
    </row>
    <row r="4866" spans="17:21" x14ac:dyDescent="0.25">
      <c r="Q4866" s="17" t="s">
        <v>5533</v>
      </c>
      <c r="R4866" s="17" t="s">
        <v>3999</v>
      </c>
      <c r="S4866" s="17"/>
      <c r="T4866" s="17"/>
      <c r="U4866" s="17"/>
    </row>
    <row r="4867" spans="17:21" x14ac:dyDescent="0.25">
      <c r="Q4867" s="17" t="s">
        <v>5534</v>
      </c>
      <c r="R4867" s="17" t="s">
        <v>2239</v>
      </c>
      <c r="S4867" s="17"/>
      <c r="T4867" s="17"/>
      <c r="U4867" s="17"/>
    </row>
    <row r="4868" spans="17:21" x14ac:dyDescent="0.25">
      <c r="Q4868" s="17" t="s">
        <v>5535</v>
      </c>
      <c r="R4868" s="17" t="s">
        <v>2239</v>
      </c>
      <c r="S4868" s="17"/>
      <c r="T4868" s="17"/>
      <c r="U4868" s="17"/>
    </row>
    <row r="4869" spans="17:21" x14ac:dyDescent="0.25">
      <c r="Q4869" s="17" t="s">
        <v>5536</v>
      </c>
      <c r="R4869" s="17" t="s">
        <v>3999</v>
      </c>
      <c r="S4869" s="17"/>
      <c r="T4869" s="17"/>
      <c r="U4869" s="17"/>
    </row>
    <row r="4870" spans="17:21" x14ac:dyDescent="0.25">
      <c r="Q4870" s="17" t="s">
        <v>5537</v>
      </c>
      <c r="R4870" s="17" t="s">
        <v>2239</v>
      </c>
      <c r="S4870" s="17"/>
      <c r="T4870" s="17"/>
      <c r="U4870" s="17"/>
    </row>
    <row r="4871" spans="17:21" x14ac:dyDescent="0.25">
      <c r="Q4871" s="17" t="s">
        <v>5538</v>
      </c>
      <c r="R4871" s="17" t="s">
        <v>2239</v>
      </c>
      <c r="S4871" s="17"/>
      <c r="T4871" s="17"/>
      <c r="U4871" s="17"/>
    </row>
    <row r="4872" spans="17:21" x14ac:dyDescent="0.25">
      <c r="Q4872" s="17" t="s">
        <v>5539</v>
      </c>
      <c r="R4872" s="17" t="s">
        <v>3999</v>
      </c>
      <c r="S4872" s="17"/>
      <c r="T4872" s="17"/>
      <c r="U4872" s="17"/>
    </row>
    <row r="4873" spans="17:21" x14ac:dyDescent="0.25">
      <c r="Q4873" s="17" t="s">
        <v>5540</v>
      </c>
      <c r="R4873" s="17" t="s">
        <v>2360</v>
      </c>
      <c r="S4873" s="17"/>
      <c r="T4873" s="17"/>
      <c r="U4873" s="17"/>
    </row>
    <row r="4874" spans="17:21" x14ac:dyDescent="0.25">
      <c r="Q4874" s="17" t="s">
        <v>5541</v>
      </c>
      <c r="R4874" s="17" t="s">
        <v>2360</v>
      </c>
      <c r="S4874" s="17"/>
      <c r="T4874" s="17"/>
      <c r="U4874" s="17"/>
    </row>
    <row r="4875" spans="17:21" x14ac:dyDescent="0.25">
      <c r="Q4875" s="17" t="s">
        <v>5542</v>
      </c>
      <c r="R4875" s="17" t="s">
        <v>2360</v>
      </c>
      <c r="S4875" s="17"/>
      <c r="T4875" s="17"/>
      <c r="U4875" s="17"/>
    </row>
    <row r="4876" spans="17:21" x14ac:dyDescent="0.25">
      <c r="Q4876" s="17" t="s">
        <v>5543</v>
      </c>
      <c r="R4876" s="17" t="s">
        <v>2360</v>
      </c>
      <c r="S4876" s="17"/>
      <c r="T4876" s="17"/>
      <c r="U4876" s="17"/>
    </row>
    <row r="4877" spans="17:21" x14ac:dyDescent="0.25">
      <c r="Q4877" s="17" t="s">
        <v>5544</v>
      </c>
      <c r="R4877" s="17" t="s">
        <v>2360</v>
      </c>
      <c r="S4877" s="17"/>
      <c r="T4877" s="17"/>
      <c r="U4877" s="17"/>
    </row>
    <row r="4878" spans="17:21" x14ac:dyDescent="0.25">
      <c r="Q4878" s="17" t="s">
        <v>5545</v>
      </c>
      <c r="R4878" s="17" t="s">
        <v>2360</v>
      </c>
      <c r="S4878" s="17"/>
      <c r="T4878" s="17"/>
      <c r="U4878" s="17"/>
    </row>
    <row r="4879" spans="17:21" x14ac:dyDescent="0.25">
      <c r="Q4879" s="17" t="s">
        <v>5546</v>
      </c>
      <c r="R4879" s="17" t="s">
        <v>2360</v>
      </c>
      <c r="S4879" s="17"/>
      <c r="T4879" s="17"/>
      <c r="U4879" s="17"/>
    </row>
    <row r="4880" spans="17:21" x14ac:dyDescent="0.25">
      <c r="Q4880" s="17" t="s">
        <v>5547</v>
      </c>
      <c r="R4880" s="17" t="s">
        <v>2360</v>
      </c>
      <c r="S4880" s="17"/>
      <c r="T4880" s="17"/>
      <c r="U4880" s="17"/>
    </row>
    <row r="4881" spans="17:21" x14ac:dyDescent="0.25">
      <c r="Q4881" s="17" t="s">
        <v>5548</v>
      </c>
      <c r="R4881" s="17" t="s">
        <v>2360</v>
      </c>
      <c r="S4881" s="17"/>
      <c r="T4881" s="17"/>
      <c r="U4881" s="17"/>
    </row>
    <row r="4882" spans="17:21" x14ac:dyDescent="0.25">
      <c r="Q4882" s="17" t="s">
        <v>5549</v>
      </c>
      <c r="R4882" s="17" t="s">
        <v>2360</v>
      </c>
      <c r="S4882" s="17"/>
      <c r="T4882" s="17"/>
      <c r="U4882" s="17"/>
    </row>
    <row r="4883" spans="17:21" x14ac:dyDescent="0.25">
      <c r="Q4883" s="17" t="s">
        <v>5550</v>
      </c>
      <c r="R4883" s="17" t="s">
        <v>2360</v>
      </c>
      <c r="S4883" s="17"/>
      <c r="T4883" s="17"/>
      <c r="U4883" s="17"/>
    </row>
    <row r="4884" spans="17:21" x14ac:dyDescent="0.25">
      <c r="Q4884" s="17" t="s">
        <v>5551</v>
      </c>
      <c r="R4884" s="17" t="s">
        <v>2360</v>
      </c>
      <c r="S4884" s="17"/>
      <c r="T4884" s="17"/>
      <c r="U4884" s="17"/>
    </row>
    <row r="4885" spans="17:21" x14ac:dyDescent="0.25">
      <c r="Q4885" s="17" t="s">
        <v>5552</v>
      </c>
      <c r="R4885" s="17" t="s">
        <v>2360</v>
      </c>
      <c r="S4885" s="17"/>
      <c r="T4885" s="17"/>
      <c r="U4885" s="17"/>
    </row>
    <row r="4886" spans="17:21" x14ac:dyDescent="0.25">
      <c r="Q4886" s="17" t="s">
        <v>5553</v>
      </c>
      <c r="R4886" s="17" t="s">
        <v>2239</v>
      </c>
      <c r="S4886" s="17"/>
      <c r="T4886" s="17"/>
      <c r="U4886" s="17"/>
    </row>
    <row r="4887" spans="17:21" x14ac:dyDescent="0.25">
      <c r="Q4887" s="17" t="s">
        <v>5554</v>
      </c>
      <c r="R4887" s="17" t="s">
        <v>2360</v>
      </c>
      <c r="S4887" s="17"/>
      <c r="T4887" s="17"/>
      <c r="U4887" s="17"/>
    </row>
    <row r="4888" spans="17:21" x14ac:dyDescent="0.25">
      <c r="Q4888" s="17" t="s">
        <v>5555</v>
      </c>
      <c r="R4888" s="17" t="s">
        <v>2360</v>
      </c>
      <c r="S4888" s="17"/>
      <c r="T4888" s="17"/>
      <c r="U4888" s="17"/>
    </row>
    <row r="4889" spans="17:21" x14ac:dyDescent="0.25">
      <c r="Q4889" s="17" t="s">
        <v>5556</v>
      </c>
      <c r="R4889" s="17" t="s">
        <v>2360</v>
      </c>
      <c r="S4889" s="17"/>
      <c r="T4889" s="17"/>
      <c r="U4889" s="17"/>
    </row>
    <row r="4890" spans="17:21" x14ac:dyDescent="0.25">
      <c r="Q4890" s="17" t="s">
        <v>5557</v>
      </c>
      <c r="R4890" s="17" t="s">
        <v>2360</v>
      </c>
      <c r="S4890" s="17"/>
      <c r="T4890" s="17"/>
      <c r="U4890" s="17"/>
    </row>
    <row r="4891" spans="17:21" x14ac:dyDescent="0.25">
      <c r="Q4891" s="17" t="s">
        <v>5558</v>
      </c>
      <c r="R4891" s="17" t="s">
        <v>2360</v>
      </c>
      <c r="S4891" s="17"/>
      <c r="T4891" s="17"/>
      <c r="U4891" s="17"/>
    </row>
    <row r="4892" spans="17:21" x14ac:dyDescent="0.25">
      <c r="Q4892" s="17" t="s">
        <v>5559</v>
      </c>
      <c r="R4892" s="17" t="s">
        <v>2360</v>
      </c>
      <c r="S4892" s="17"/>
      <c r="T4892" s="17"/>
      <c r="U4892" s="17"/>
    </row>
    <row r="4893" spans="17:21" x14ac:dyDescent="0.25">
      <c r="Q4893" s="17" t="s">
        <v>5560</v>
      </c>
      <c r="R4893" s="17" t="s">
        <v>2360</v>
      </c>
      <c r="S4893" s="17"/>
      <c r="T4893" s="17"/>
      <c r="U4893" s="17"/>
    </row>
    <row r="4894" spans="17:21" x14ac:dyDescent="0.25">
      <c r="Q4894" s="17" t="s">
        <v>5561</v>
      </c>
      <c r="R4894" s="17" t="s">
        <v>2360</v>
      </c>
      <c r="S4894" s="17"/>
      <c r="T4894" s="17"/>
      <c r="U4894" s="17"/>
    </row>
    <row r="4895" spans="17:21" x14ac:dyDescent="0.25">
      <c r="Q4895" s="17" t="s">
        <v>5562</v>
      </c>
      <c r="R4895" s="17" t="s">
        <v>2360</v>
      </c>
      <c r="S4895" s="17"/>
      <c r="T4895" s="17"/>
      <c r="U4895" s="17"/>
    </row>
    <row r="4896" spans="17:21" x14ac:dyDescent="0.25">
      <c r="Q4896" s="17" t="s">
        <v>5563</v>
      </c>
      <c r="R4896" s="17" t="s">
        <v>2360</v>
      </c>
      <c r="S4896" s="17"/>
      <c r="T4896" s="17"/>
      <c r="U4896" s="17"/>
    </row>
    <row r="4897" spans="17:21" x14ac:dyDescent="0.25">
      <c r="Q4897" s="17" t="s">
        <v>5564</v>
      </c>
      <c r="R4897" s="17" t="s">
        <v>2360</v>
      </c>
      <c r="S4897" s="17"/>
      <c r="T4897" s="17"/>
      <c r="U4897" s="17"/>
    </row>
    <row r="4898" spans="17:21" x14ac:dyDescent="0.25">
      <c r="Q4898" s="17" t="s">
        <v>5565</v>
      </c>
      <c r="R4898" s="17" t="s">
        <v>2360</v>
      </c>
      <c r="S4898" s="17"/>
      <c r="T4898" s="17"/>
      <c r="U4898" s="17"/>
    </row>
    <row r="4899" spans="17:21" x14ac:dyDescent="0.25">
      <c r="Q4899" s="17" t="s">
        <v>5566</v>
      </c>
      <c r="R4899" s="17" t="s">
        <v>2360</v>
      </c>
      <c r="S4899" s="17"/>
      <c r="T4899" s="17"/>
      <c r="U4899" s="17"/>
    </row>
    <row r="4900" spans="17:21" x14ac:dyDescent="0.25">
      <c r="Q4900" s="17" t="s">
        <v>5567</v>
      </c>
      <c r="R4900" s="17" t="s">
        <v>2360</v>
      </c>
      <c r="S4900" s="17"/>
      <c r="T4900" s="17"/>
      <c r="U4900" s="17"/>
    </row>
    <row r="4901" spans="17:21" x14ac:dyDescent="0.25">
      <c r="Q4901" s="17" t="s">
        <v>5568</v>
      </c>
      <c r="R4901" s="17" t="s">
        <v>2360</v>
      </c>
      <c r="S4901" s="17"/>
      <c r="T4901" s="17"/>
      <c r="U4901" s="17"/>
    </row>
    <row r="4902" spans="17:21" x14ac:dyDescent="0.25">
      <c r="Q4902" s="17" t="s">
        <v>5569</v>
      </c>
      <c r="R4902" s="17" t="s">
        <v>2360</v>
      </c>
      <c r="S4902" s="17"/>
      <c r="T4902" s="17"/>
      <c r="U4902" s="17"/>
    </row>
    <row r="4903" spans="17:21" x14ac:dyDescent="0.25">
      <c r="Q4903" s="17" t="s">
        <v>5570</v>
      </c>
      <c r="R4903" s="17" t="s">
        <v>2360</v>
      </c>
      <c r="S4903" s="17"/>
      <c r="T4903" s="17"/>
      <c r="U4903" s="17"/>
    </row>
    <row r="4904" spans="17:21" x14ac:dyDescent="0.25">
      <c r="Q4904" s="17" t="s">
        <v>5571</v>
      </c>
      <c r="R4904" s="17" t="s">
        <v>2239</v>
      </c>
      <c r="S4904" s="17"/>
      <c r="T4904" s="17"/>
      <c r="U4904" s="17"/>
    </row>
    <row r="4905" spans="17:21" x14ac:dyDescent="0.25">
      <c r="Q4905" s="17" t="s">
        <v>5572</v>
      </c>
      <c r="R4905" s="17" t="s">
        <v>2239</v>
      </c>
      <c r="S4905" s="17"/>
      <c r="T4905" s="17"/>
      <c r="U4905" s="17"/>
    </row>
    <row r="4906" spans="17:21" x14ac:dyDescent="0.25">
      <c r="Q4906" s="17" t="s">
        <v>5573</v>
      </c>
      <c r="R4906" s="17" t="s">
        <v>2239</v>
      </c>
      <c r="S4906" s="17"/>
      <c r="T4906" s="17"/>
      <c r="U4906" s="17"/>
    </row>
    <row r="4907" spans="17:21" x14ac:dyDescent="0.25">
      <c r="Q4907" s="17" t="s">
        <v>5574</v>
      </c>
      <c r="R4907" s="17" t="s">
        <v>2239</v>
      </c>
      <c r="S4907" s="17"/>
      <c r="T4907" s="17"/>
      <c r="U4907" s="17"/>
    </row>
    <row r="4908" spans="17:21" x14ac:dyDescent="0.25">
      <c r="Q4908" s="17" t="s">
        <v>5575</v>
      </c>
      <c r="R4908" s="17" t="s">
        <v>2239</v>
      </c>
      <c r="S4908" s="17"/>
      <c r="T4908" s="17"/>
      <c r="U4908" s="17"/>
    </row>
    <row r="4909" spans="17:21" x14ac:dyDescent="0.25">
      <c r="Q4909" s="17" t="s">
        <v>5576</v>
      </c>
      <c r="R4909" s="17" t="s">
        <v>2239</v>
      </c>
      <c r="S4909" s="17"/>
      <c r="T4909" s="17"/>
      <c r="U4909" s="17"/>
    </row>
    <row r="4910" spans="17:21" x14ac:dyDescent="0.25">
      <c r="Q4910" s="17" t="s">
        <v>5577</v>
      </c>
      <c r="R4910" s="17" t="s">
        <v>2239</v>
      </c>
      <c r="S4910" s="17"/>
      <c r="T4910" s="17"/>
      <c r="U4910" s="17"/>
    </row>
    <row r="4911" spans="17:21" x14ac:dyDescent="0.25">
      <c r="Q4911" s="17" t="s">
        <v>5578</v>
      </c>
      <c r="R4911" s="17" t="s">
        <v>2239</v>
      </c>
      <c r="S4911" s="17"/>
      <c r="T4911" s="17"/>
      <c r="U4911" s="17"/>
    </row>
    <row r="4912" spans="17:21" x14ac:dyDescent="0.25">
      <c r="Q4912" s="17" t="s">
        <v>5579</v>
      </c>
      <c r="R4912" s="17" t="s">
        <v>2239</v>
      </c>
      <c r="S4912" s="17"/>
      <c r="T4912" s="17"/>
      <c r="U4912" s="17"/>
    </row>
    <row r="4913" spans="17:21" x14ac:dyDescent="0.25">
      <c r="Q4913" s="17" t="s">
        <v>5580</v>
      </c>
      <c r="R4913" s="17" t="s">
        <v>2360</v>
      </c>
      <c r="S4913" s="17"/>
      <c r="T4913" s="17"/>
      <c r="U4913" s="17"/>
    </row>
    <row r="4914" spans="17:21" x14ac:dyDescent="0.25">
      <c r="Q4914" s="17" t="s">
        <v>5581</v>
      </c>
      <c r="R4914" s="17" t="s">
        <v>2360</v>
      </c>
      <c r="S4914" s="17"/>
      <c r="T4914" s="17"/>
      <c r="U4914" s="17"/>
    </row>
    <row r="4915" spans="17:21" x14ac:dyDescent="0.25">
      <c r="Q4915" s="17" t="s">
        <v>5582</v>
      </c>
      <c r="R4915" s="17" t="s">
        <v>2360</v>
      </c>
      <c r="S4915" s="17"/>
      <c r="T4915" s="17"/>
      <c r="U4915" s="17"/>
    </row>
    <row r="4916" spans="17:21" x14ac:dyDescent="0.25">
      <c r="Q4916" s="17" t="s">
        <v>5583</v>
      </c>
      <c r="R4916" s="17" t="s">
        <v>2360</v>
      </c>
      <c r="S4916" s="17"/>
      <c r="T4916" s="17"/>
      <c r="U4916" s="17"/>
    </row>
    <row r="4917" spans="17:21" x14ac:dyDescent="0.25">
      <c r="Q4917" s="17" t="s">
        <v>5584</v>
      </c>
      <c r="R4917" s="17" t="s">
        <v>2360</v>
      </c>
      <c r="S4917" s="17"/>
      <c r="T4917" s="17"/>
      <c r="U4917" s="17"/>
    </row>
    <row r="4918" spans="17:21" x14ac:dyDescent="0.25">
      <c r="Q4918" s="17" t="s">
        <v>5585</v>
      </c>
      <c r="R4918" s="17" t="s">
        <v>2360</v>
      </c>
      <c r="S4918" s="17"/>
      <c r="T4918" s="17"/>
      <c r="U4918" s="17"/>
    </row>
    <row r="4919" spans="17:21" x14ac:dyDescent="0.25">
      <c r="Q4919" s="17" t="s">
        <v>5586</v>
      </c>
      <c r="R4919" s="17" t="s">
        <v>2360</v>
      </c>
      <c r="S4919" s="17"/>
      <c r="T4919" s="17"/>
      <c r="U4919" s="17"/>
    </row>
    <row r="4920" spans="17:21" x14ac:dyDescent="0.25">
      <c r="Q4920" s="17" t="s">
        <v>5587</v>
      </c>
      <c r="R4920" s="17" t="s">
        <v>2360</v>
      </c>
      <c r="S4920" s="17"/>
      <c r="T4920" s="17"/>
      <c r="U4920" s="17"/>
    </row>
    <row r="4921" spans="17:21" x14ac:dyDescent="0.25">
      <c r="Q4921" s="17" t="s">
        <v>5588</v>
      </c>
      <c r="R4921" s="17" t="s">
        <v>2360</v>
      </c>
      <c r="S4921" s="17"/>
      <c r="T4921" s="17"/>
      <c r="U4921" s="17"/>
    </row>
    <row r="4922" spans="17:21" x14ac:dyDescent="0.25">
      <c r="Q4922" s="17" t="s">
        <v>5589</v>
      </c>
      <c r="R4922" s="17" t="s">
        <v>2360</v>
      </c>
      <c r="S4922" s="17"/>
      <c r="T4922" s="17"/>
      <c r="U4922" s="17"/>
    </row>
    <row r="4923" spans="17:21" x14ac:dyDescent="0.25">
      <c r="Q4923" s="17" t="s">
        <v>5590</v>
      </c>
      <c r="R4923" s="17" t="s">
        <v>2360</v>
      </c>
      <c r="S4923" s="17"/>
      <c r="T4923" s="17"/>
      <c r="U4923" s="17"/>
    </row>
    <row r="4924" spans="17:21" x14ac:dyDescent="0.25">
      <c r="Q4924" s="17" t="s">
        <v>5591</v>
      </c>
      <c r="R4924" s="17" t="s">
        <v>2360</v>
      </c>
      <c r="S4924" s="17"/>
      <c r="T4924" s="17"/>
      <c r="U4924" s="17"/>
    </row>
    <row r="4925" spans="17:21" x14ac:dyDescent="0.25">
      <c r="Q4925" s="17" t="s">
        <v>5592</v>
      </c>
      <c r="R4925" s="17" t="s">
        <v>2360</v>
      </c>
      <c r="S4925" s="17"/>
      <c r="T4925" s="17"/>
      <c r="U4925" s="17"/>
    </row>
    <row r="4926" spans="17:21" x14ac:dyDescent="0.25">
      <c r="Q4926" s="17" t="s">
        <v>5593</v>
      </c>
      <c r="R4926" s="17" t="s">
        <v>2360</v>
      </c>
      <c r="S4926" s="17"/>
      <c r="T4926" s="17"/>
      <c r="U4926" s="17"/>
    </row>
    <row r="4927" spans="17:21" x14ac:dyDescent="0.25">
      <c r="Q4927" s="17" t="s">
        <v>5594</v>
      </c>
      <c r="R4927" s="17" t="s">
        <v>2360</v>
      </c>
      <c r="S4927" s="17"/>
      <c r="T4927" s="17"/>
      <c r="U4927" s="17"/>
    </row>
    <row r="4928" spans="17:21" x14ac:dyDescent="0.25">
      <c r="Q4928" s="17" t="s">
        <v>5595</v>
      </c>
      <c r="R4928" s="17" t="s">
        <v>2360</v>
      </c>
      <c r="S4928" s="17"/>
      <c r="T4928" s="17"/>
      <c r="U4928" s="17"/>
    </row>
    <row r="4929" spans="17:21" x14ac:dyDescent="0.25">
      <c r="Q4929" s="17" t="s">
        <v>5596</v>
      </c>
      <c r="R4929" s="17" t="s">
        <v>2360</v>
      </c>
      <c r="S4929" s="17"/>
      <c r="T4929" s="17"/>
      <c r="U4929" s="17"/>
    </row>
    <row r="4930" spans="17:21" x14ac:dyDescent="0.25">
      <c r="Q4930" s="17" t="s">
        <v>5597</v>
      </c>
      <c r="R4930" s="17" t="s">
        <v>2360</v>
      </c>
      <c r="S4930" s="17"/>
      <c r="T4930" s="17"/>
      <c r="U4930" s="17"/>
    </row>
    <row r="4931" spans="17:21" x14ac:dyDescent="0.25">
      <c r="Q4931" s="17" t="s">
        <v>5598</v>
      </c>
      <c r="R4931" s="17" t="s">
        <v>2360</v>
      </c>
      <c r="S4931" s="17"/>
      <c r="T4931" s="17"/>
      <c r="U4931" s="17"/>
    </row>
    <row r="4932" spans="17:21" x14ac:dyDescent="0.25">
      <c r="Q4932" s="17" t="s">
        <v>5599</v>
      </c>
      <c r="R4932" s="17" t="s">
        <v>2360</v>
      </c>
      <c r="S4932" s="17"/>
      <c r="T4932" s="17"/>
      <c r="U4932" s="17"/>
    </row>
    <row r="4933" spans="17:21" x14ac:dyDescent="0.25">
      <c r="Q4933" s="17" t="s">
        <v>5600</v>
      </c>
      <c r="R4933" s="17" t="s">
        <v>2360</v>
      </c>
      <c r="S4933" s="17"/>
      <c r="T4933" s="17"/>
      <c r="U4933" s="17"/>
    </row>
    <row r="4934" spans="17:21" x14ac:dyDescent="0.25">
      <c r="Q4934" s="17" t="s">
        <v>5601</v>
      </c>
      <c r="R4934" s="17" t="s">
        <v>2360</v>
      </c>
      <c r="S4934" s="17"/>
      <c r="T4934" s="17"/>
      <c r="U4934" s="17"/>
    </row>
    <row r="4935" spans="17:21" x14ac:dyDescent="0.25">
      <c r="Q4935" s="17" t="s">
        <v>5602</v>
      </c>
      <c r="R4935" s="17" t="s">
        <v>2360</v>
      </c>
      <c r="S4935" s="17"/>
      <c r="T4935" s="17"/>
      <c r="U4935" s="17"/>
    </row>
    <row r="4936" spans="17:21" x14ac:dyDescent="0.25">
      <c r="Q4936" s="17" t="s">
        <v>5603</v>
      </c>
      <c r="R4936" s="17" t="s">
        <v>2360</v>
      </c>
      <c r="S4936" s="17"/>
      <c r="T4936" s="17"/>
      <c r="U4936" s="17"/>
    </row>
    <row r="4937" spans="17:21" x14ac:dyDescent="0.25">
      <c r="Q4937" s="17" t="s">
        <v>5604</v>
      </c>
      <c r="R4937" s="17" t="s">
        <v>2360</v>
      </c>
      <c r="S4937" s="17"/>
      <c r="T4937" s="17"/>
      <c r="U4937" s="17"/>
    </row>
    <row r="4938" spans="17:21" x14ac:dyDescent="0.25">
      <c r="Q4938" s="17" t="s">
        <v>5605</v>
      </c>
      <c r="R4938" s="17" t="s">
        <v>2360</v>
      </c>
      <c r="S4938" s="17"/>
      <c r="T4938" s="17"/>
      <c r="U4938" s="17"/>
    </row>
    <row r="4939" spans="17:21" x14ac:dyDescent="0.25">
      <c r="Q4939" s="17" t="s">
        <v>5606</v>
      </c>
      <c r="R4939" s="17" t="s">
        <v>2239</v>
      </c>
      <c r="S4939" s="17"/>
      <c r="T4939" s="17"/>
      <c r="U4939" s="17"/>
    </row>
    <row r="4940" spans="17:21" x14ac:dyDescent="0.25">
      <c r="Q4940" s="17" t="s">
        <v>5607</v>
      </c>
      <c r="R4940" s="17" t="s">
        <v>2239</v>
      </c>
      <c r="S4940" s="17"/>
      <c r="T4940" s="17"/>
      <c r="U4940" s="17"/>
    </row>
    <row r="4941" spans="17:21" x14ac:dyDescent="0.25">
      <c r="Q4941" s="17" t="s">
        <v>5608</v>
      </c>
      <c r="R4941" s="17" t="s">
        <v>2239</v>
      </c>
      <c r="S4941" s="17"/>
      <c r="T4941" s="17"/>
      <c r="U4941" s="17"/>
    </row>
    <row r="4942" spans="17:21" x14ac:dyDescent="0.25">
      <c r="Q4942" s="17" t="s">
        <v>5609</v>
      </c>
      <c r="R4942" s="17" t="s">
        <v>2239</v>
      </c>
      <c r="S4942" s="17"/>
      <c r="T4942" s="17"/>
      <c r="U4942" s="17"/>
    </row>
    <row r="4943" spans="17:21" x14ac:dyDescent="0.25">
      <c r="Q4943" s="17" t="s">
        <v>5610</v>
      </c>
      <c r="R4943" s="17" t="s">
        <v>2239</v>
      </c>
      <c r="S4943" s="17"/>
      <c r="T4943" s="17"/>
      <c r="U4943" s="17"/>
    </row>
    <row r="4944" spans="17:21" x14ac:dyDescent="0.25">
      <c r="Q4944" s="17" t="s">
        <v>5611</v>
      </c>
      <c r="R4944" s="17" t="s">
        <v>2239</v>
      </c>
      <c r="S4944" s="17"/>
      <c r="T4944" s="17"/>
      <c r="U4944" s="17"/>
    </row>
    <row r="4945" spans="17:21" x14ac:dyDescent="0.25">
      <c r="Q4945" s="17" t="s">
        <v>5612</v>
      </c>
      <c r="R4945" s="17" t="s">
        <v>2239</v>
      </c>
      <c r="S4945" s="17"/>
      <c r="T4945" s="17"/>
      <c r="U4945" s="17"/>
    </row>
    <row r="4946" spans="17:21" x14ac:dyDescent="0.25">
      <c r="Q4946" s="17" t="s">
        <v>5613</v>
      </c>
      <c r="R4946" s="17" t="s">
        <v>2239</v>
      </c>
      <c r="S4946" s="17"/>
      <c r="T4946" s="17"/>
      <c r="U4946" s="17"/>
    </row>
    <row r="4947" spans="17:21" x14ac:dyDescent="0.25">
      <c r="Q4947" s="17" t="s">
        <v>5614</v>
      </c>
      <c r="R4947" s="17" t="s">
        <v>2239</v>
      </c>
      <c r="S4947" s="17"/>
      <c r="T4947" s="17"/>
      <c r="U4947" s="17"/>
    </row>
    <row r="4948" spans="17:21" x14ac:dyDescent="0.25">
      <c r="Q4948" s="17" t="s">
        <v>5615</v>
      </c>
      <c r="R4948" s="17" t="s">
        <v>2360</v>
      </c>
      <c r="S4948" s="17"/>
      <c r="T4948" s="17"/>
      <c r="U4948" s="17"/>
    </row>
    <row r="4949" spans="17:21" x14ac:dyDescent="0.25">
      <c r="Q4949" s="17" t="s">
        <v>5616</v>
      </c>
      <c r="R4949" s="17" t="s">
        <v>2239</v>
      </c>
      <c r="S4949" s="17"/>
      <c r="T4949" s="17"/>
      <c r="U4949" s="17"/>
    </row>
    <row r="4950" spans="17:21" x14ac:dyDescent="0.25">
      <c r="Q4950" s="17" t="s">
        <v>5617</v>
      </c>
      <c r="R4950" s="17" t="s">
        <v>2239</v>
      </c>
      <c r="S4950" s="17"/>
      <c r="T4950" s="17"/>
      <c r="U4950" s="17"/>
    </row>
    <row r="4951" spans="17:21" x14ac:dyDescent="0.25">
      <c r="Q4951" s="17" t="s">
        <v>5618</v>
      </c>
      <c r="R4951" s="17" t="s">
        <v>2360</v>
      </c>
      <c r="S4951" s="17"/>
      <c r="T4951" s="17"/>
      <c r="U4951" s="17"/>
    </row>
    <row r="4952" spans="17:21" x14ac:dyDescent="0.25">
      <c r="Q4952" s="17" t="s">
        <v>5619</v>
      </c>
      <c r="R4952" s="17" t="s">
        <v>2360</v>
      </c>
      <c r="S4952" s="17"/>
      <c r="T4952" s="17"/>
      <c r="U4952" s="17"/>
    </row>
    <row r="4953" spans="17:21" x14ac:dyDescent="0.25">
      <c r="Q4953" s="17" t="s">
        <v>5620</v>
      </c>
      <c r="R4953" s="17" t="s">
        <v>2360</v>
      </c>
      <c r="S4953" s="17"/>
      <c r="T4953" s="17"/>
      <c r="U4953" s="17"/>
    </row>
    <row r="4954" spans="17:21" x14ac:dyDescent="0.25">
      <c r="Q4954" s="17" t="s">
        <v>5621</v>
      </c>
      <c r="R4954" s="17" t="s">
        <v>2360</v>
      </c>
      <c r="S4954" s="17"/>
      <c r="T4954" s="17"/>
      <c r="U4954" s="17"/>
    </row>
    <row r="4955" spans="17:21" x14ac:dyDescent="0.25">
      <c r="Q4955" s="17" t="s">
        <v>5622</v>
      </c>
      <c r="R4955" s="17" t="s">
        <v>2360</v>
      </c>
      <c r="S4955" s="17"/>
      <c r="T4955" s="17"/>
      <c r="U4955" s="17"/>
    </row>
    <row r="4956" spans="17:21" x14ac:dyDescent="0.25">
      <c r="Q4956" s="17" t="s">
        <v>5623</v>
      </c>
      <c r="R4956" s="17" t="s">
        <v>3999</v>
      </c>
      <c r="S4956" s="17"/>
      <c r="T4956" s="17"/>
      <c r="U4956" s="17"/>
    </row>
    <row r="4957" spans="17:21" x14ac:dyDescent="0.25">
      <c r="Q4957" s="17" t="s">
        <v>5624</v>
      </c>
      <c r="R4957" s="17" t="s">
        <v>3999</v>
      </c>
      <c r="S4957" s="17"/>
      <c r="T4957" s="17"/>
      <c r="U4957" s="17"/>
    </row>
    <row r="4958" spans="17:21" x14ac:dyDescent="0.25">
      <c r="Q4958" s="17" t="s">
        <v>5625</v>
      </c>
      <c r="R4958" s="17" t="s">
        <v>3999</v>
      </c>
      <c r="S4958" s="17"/>
      <c r="T4958" s="17"/>
      <c r="U4958" s="17"/>
    </row>
    <row r="4959" spans="17:21" x14ac:dyDescent="0.25">
      <c r="Q4959" s="17" t="s">
        <v>5626</v>
      </c>
      <c r="R4959" s="17" t="s">
        <v>3999</v>
      </c>
      <c r="S4959" s="17"/>
      <c r="T4959" s="17"/>
      <c r="U4959" s="17"/>
    </row>
    <row r="4960" spans="17:21" x14ac:dyDescent="0.25">
      <c r="Q4960" s="17" t="s">
        <v>5627</v>
      </c>
      <c r="R4960" s="17" t="s">
        <v>3999</v>
      </c>
      <c r="S4960" s="17"/>
      <c r="T4960" s="17"/>
      <c r="U4960" s="17"/>
    </row>
    <row r="4961" spans="17:21" x14ac:dyDescent="0.25">
      <c r="Q4961" s="17" t="s">
        <v>5628</v>
      </c>
      <c r="R4961" s="17" t="s">
        <v>3999</v>
      </c>
      <c r="S4961" s="17"/>
      <c r="T4961" s="17"/>
      <c r="U4961" s="17"/>
    </row>
    <row r="4962" spans="17:21" x14ac:dyDescent="0.25">
      <c r="Q4962" s="17" t="s">
        <v>5629</v>
      </c>
      <c r="R4962" s="17" t="s">
        <v>3999</v>
      </c>
      <c r="S4962" s="17"/>
      <c r="T4962" s="17"/>
      <c r="U4962" s="17"/>
    </row>
    <row r="4963" spans="17:21" x14ac:dyDescent="0.25">
      <c r="Q4963" s="17" t="s">
        <v>5630</v>
      </c>
      <c r="R4963" s="17" t="s">
        <v>3999</v>
      </c>
      <c r="S4963" s="17"/>
      <c r="T4963" s="17"/>
      <c r="U4963" s="17"/>
    </row>
    <row r="4964" spans="17:21" x14ac:dyDescent="0.25">
      <c r="Q4964" s="17" t="s">
        <v>5631</v>
      </c>
      <c r="R4964" s="17" t="s">
        <v>3999</v>
      </c>
      <c r="S4964" s="17"/>
      <c r="T4964" s="17"/>
      <c r="U4964" s="17"/>
    </row>
    <row r="4965" spans="17:21" x14ac:dyDescent="0.25">
      <c r="Q4965" s="17" t="s">
        <v>5632</v>
      </c>
      <c r="R4965" s="17" t="s">
        <v>3999</v>
      </c>
      <c r="S4965" s="17"/>
      <c r="T4965" s="17"/>
      <c r="U4965" s="17"/>
    </row>
    <row r="4966" spans="17:21" x14ac:dyDescent="0.25">
      <c r="Q4966" s="17" t="s">
        <v>5633</v>
      </c>
      <c r="R4966" s="17" t="s">
        <v>3999</v>
      </c>
      <c r="S4966" s="17"/>
      <c r="T4966" s="17"/>
      <c r="U4966" s="17"/>
    </row>
    <row r="4967" spans="17:21" x14ac:dyDescent="0.25">
      <c r="Q4967" s="17" t="s">
        <v>5634</v>
      </c>
      <c r="R4967" s="17" t="s">
        <v>3999</v>
      </c>
      <c r="S4967" s="17"/>
      <c r="T4967" s="17"/>
      <c r="U4967" s="17"/>
    </row>
    <row r="4968" spans="17:21" x14ac:dyDescent="0.25">
      <c r="Q4968" s="17" t="s">
        <v>5635</v>
      </c>
      <c r="R4968" s="17" t="s">
        <v>3999</v>
      </c>
      <c r="S4968" s="17"/>
      <c r="T4968" s="17"/>
      <c r="U4968" s="17"/>
    </row>
    <row r="4969" spans="17:21" x14ac:dyDescent="0.25">
      <c r="Q4969" s="17" t="s">
        <v>5636</v>
      </c>
      <c r="R4969" s="17" t="s">
        <v>3999</v>
      </c>
      <c r="S4969" s="17"/>
      <c r="T4969" s="17"/>
      <c r="U4969" s="17"/>
    </row>
    <row r="4970" spans="17:21" x14ac:dyDescent="0.25">
      <c r="Q4970" s="17" t="s">
        <v>5637</v>
      </c>
      <c r="R4970" s="17" t="s">
        <v>3999</v>
      </c>
      <c r="S4970" s="17"/>
      <c r="T4970" s="17"/>
      <c r="U4970" s="17"/>
    </row>
    <row r="4971" spans="17:21" x14ac:dyDescent="0.25">
      <c r="Q4971" s="17" t="s">
        <v>5638</v>
      </c>
      <c r="R4971" s="17" t="s">
        <v>3999</v>
      </c>
      <c r="S4971" s="17"/>
      <c r="T4971" s="17"/>
      <c r="U4971" s="17"/>
    </row>
    <row r="4972" spans="17:21" x14ac:dyDescent="0.25">
      <c r="Q4972" s="17" t="s">
        <v>5639</v>
      </c>
      <c r="R4972" s="17" t="s">
        <v>2239</v>
      </c>
      <c r="S4972" s="17"/>
      <c r="T4972" s="17"/>
      <c r="U4972" s="17"/>
    </row>
    <row r="4973" spans="17:21" x14ac:dyDescent="0.25">
      <c r="Q4973" s="17" t="s">
        <v>5640</v>
      </c>
      <c r="R4973" s="17" t="s">
        <v>3999</v>
      </c>
      <c r="S4973" s="17"/>
      <c r="T4973" s="17"/>
      <c r="U4973" s="17"/>
    </row>
    <row r="4974" spans="17:21" x14ac:dyDescent="0.25">
      <c r="Q4974" s="17" t="s">
        <v>5641</v>
      </c>
      <c r="R4974" s="17" t="s">
        <v>3999</v>
      </c>
      <c r="S4974" s="17"/>
      <c r="T4974" s="17"/>
      <c r="U4974" s="17"/>
    </row>
    <row r="4975" spans="17:21" x14ac:dyDescent="0.25">
      <c r="Q4975" s="17" t="s">
        <v>5642</v>
      </c>
      <c r="R4975" s="17" t="s">
        <v>3999</v>
      </c>
      <c r="S4975" s="17"/>
      <c r="T4975" s="17"/>
      <c r="U4975" s="17"/>
    </row>
    <row r="4976" spans="17:21" x14ac:dyDescent="0.25">
      <c r="Q4976" s="17" t="s">
        <v>5643</v>
      </c>
      <c r="R4976" s="17" t="s">
        <v>3999</v>
      </c>
      <c r="S4976" s="17"/>
      <c r="T4976" s="17"/>
      <c r="U4976" s="17"/>
    </row>
    <row r="4977" spans="17:21" x14ac:dyDescent="0.25">
      <c r="Q4977" s="17" t="s">
        <v>5644</v>
      </c>
      <c r="R4977" s="17" t="s">
        <v>3999</v>
      </c>
      <c r="S4977" s="17"/>
      <c r="T4977" s="17"/>
      <c r="U4977" s="17"/>
    </row>
    <row r="4978" spans="17:21" x14ac:dyDescent="0.25">
      <c r="Q4978" s="17" t="s">
        <v>5645</v>
      </c>
      <c r="R4978" s="17" t="s">
        <v>3999</v>
      </c>
      <c r="S4978" s="17"/>
      <c r="T4978" s="17"/>
      <c r="U4978" s="17"/>
    </row>
    <row r="4979" spans="17:21" x14ac:dyDescent="0.25">
      <c r="Q4979" s="17" t="s">
        <v>5646</v>
      </c>
      <c r="R4979" s="17" t="s">
        <v>3999</v>
      </c>
      <c r="S4979" s="17"/>
      <c r="T4979" s="17"/>
      <c r="U4979" s="17"/>
    </row>
    <row r="4980" spans="17:21" x14ac:dyDescent="0.25">
      <c r="Q4980" s="17" t="s">
        <v>5647</v>
      </c>
      <c r="R4980" s="17" t="s">
        <v>3999</v>
      </c>
      <c r="S4980" s="17"/>
      <c r="T4980" s="17"/>
      <c r="U4980" s="17"/>
    </row>
    <row r="4981" spans="17:21" x14ac:dyDescent="0.25">
      <c r="Q4981" s="17" t="s">
        <v>5648</v>
      </c>
      <c r="R4981" s="17" t="s">
        <v>3999</v>
      </c>
      <c r="S4981" s="17"/>
      <c r="T4981" s="17"/>
      <c r="U4981" s="17"/>
    </row>
    <row r="4982" spans="17:21" x14ac:dyDescent="0.25">
      <c r="Q4982" s="17" t="s">
        <v>5649</v>
      </c>
      <c r="R4982" s="17" t="s">
        <v>3999</v>
      </c>
      <c r="S4982" s="17"/>
      <c r="T4982" s="17"/>
      <c r="U4982" s="17"/>
    </row>
    <row r="4983" spans="17:21" x14ac:dyDescent="0.25">
      <c r="Q4983" s="17" t="s">
        <v>5650</v>
      </c>
      <c r="R4983" s="17" t="s">
        <v>3999</v>
      </c>
      <c r="S4983" s="17"/>
      <c r="T4983" s="17"/>
      <c r="U4983" s="17"/>
    </row>
    <row r="4984" spans="17:21" x14ac:dyDescent="0.25">
      <c r="Q4984" s="17" t="s">
        <v>5651</v>
      </c>
      <c r="R4984" s="17" t="s">
        <v>3999</v>
      </c>
      <c r="S4984" s="17"/>
      <c r="T4984" s="17"/>
      <c r="U4984" s="17"/>
    </row>
    <row r="4985" spans="17:21" x14ac:dyDescent="0.25">
      <c r="Q4985" s="17" t="s">
        <v>5652</v>
      </c>
      <c r="R4985" s="17" t="s">
        <v>3999</v>
      </c>
      <c r="S4985" s="17"/>
      <c r="T4985" s="17"/>
      <c r="U4985" s="17"/>
    </row>
    <row r="4986" spans="17:21" x14ac:dyDescent="0.25">
      <c r="Q4986" s="17" t="s">
        <v>5653</v>
      </c>
      <c r="R4986" s="17" t="s">
        <v>3999</v>
      </c>
      <c r="S4986" s="17"/>
      <c r="T4986" s="17"/>
      <c r="U4986" s="17"/>
    </row>
    <row r="4987" spans="17:21" x14ac:dyDescent="0.25">
      <c r="Q4987" s="17" t="s">
        <v>5654</v>
      </c>
      <c r="R4987" s="17" t="s">
        <v>3999</v>
      </c>
      <c r="S4987" s="17"/>
      <c r="T4987" s="17"/>
      <c r="U4987" s="17"/>
    </row>
    <row r="4988" spans="17:21" x14ac:dyDescent="0.25">
      <c r="Q4988" s="17" t="s">
        <v>5655</v>
      </c>
      <c r="R4988" s="17" t="s">
        <v>2239</v>
      </c>
      <c r="S4988" s="17"/>
      <c r="T4988" s="17"/>
      <c r="U4988" s="17"/>
    </row>
    <row r="4989" spans="17:21" x14ac:dyDescent="0.25">
      <c r="Q4989" s="17" t="s">
        <v>5656</v>
      </c>
      <c r="R4989" s="17" t="s">
        <v>3999</v>
      </c>
      <c r="S4989" s="17"/>
      <c r="T4989" s="17"/>
      <c r="U4989" s="17"/>
    </row>
    <row r="4990" spans="17:21" x14ac:dyDescent="0.25">
      <c r="Q4990" s="17" t="s">
        <v>5657</v>
      </c>
      <c r="R4990" s="17" t="s">
        <v>3999</v>
      </c>
      <c r="S4990" s="17"/>
      <c r="T4990" s="17"/>
      <c r="U4990" s="17"/>
    </row>
    <row r="4991" spans="17:21" x14ac:dyDescent="0.25">
      <c r="Q4991" s="17" t="s">
        <v>5658</v>
      </c>
      <c r="R4991" s="17" t="s">
        <v>2360</v>
      </c>
      <c r="S4991" s="17"/>
      <c r="T4991" s="17"/>
      <c r="U4991" s="17"/>
    </row>
    <row r="4992" spans="17:21" x14ac:dyDescent="0.25">
      <c r="Q4992" s="17" t="s">
        <v>5659</v>
      </c>
      <c r="R4992" s="17" t="s">
        <v>2360</v>
      </c>
      <c r="S4992" s="17"/>
      <c r="T4992" s="17"/>
      <c r="U4992" s="17"/>
    </row>
    <row r="4993" spans="17:21" x14ac:dyDescent="0.25">
      <c r="Q4993" s="17" t="s">
        <v>5660</v>
      </c>
      <c r="R4993" s="17" t="s">
        <v>2360</v>
      </c>
      <c r="S4993" s="17"/>
      <c r="T4993" s="17"/>
      <c r="U4993" s="17"/>
    </row>
    <row r="4994" spans="17:21" x14ac:dyDescent="0.25">
      <c r="Q4994" s="17" t="s">
        <v>5661</v>
      </c>
      <c r="R4994" s="17" t="s">
        <v>2360</v>
      </c>
      <c r="S4994" s="17"/>
      <c r="T4994" s="17"/>
      <c r="U4994" s="17"/>
    </row>
    <row r="4995" spans="17:21" x14ac:dyDescent="0.25">
      <c r="Q4995" s="17" t="s">
        <v>5662</v>
      </c>
      <c r="R4995" s="17" t="s">
        <v>3999</v>
      </c>
      <c r="S4995" s="17"/>
      <c r="T4995" s="17"/>
      <c r="U4995" s="17"/>
    </row>
    <row r="4996" spans="17:21" x14ac:dyDescent="0.25">
      <c r="Q4996" s="17" t="s">
        <v>5663</v>
      </c>
      <c r="R4996" s="17" t="s">
        <v>3999</v>
      </c>
      <c r="S4996" s="17"/>
      <c r="T4996" s="17"/>
      <c r="U4996" s="17"/>
    </row>
    <row r="4997" spans="17:21" x14ac:dyDescent="0.25">
      <c r="Q4997" s="17" t="s">
        <v>5664</v>
      </c>
      <c r="R4997" s="17" t="s">
        <v>3999</v>
      </c>
      <c r="S4997" s="17"/>
      <c r="T4997" s="17"/>
      <c r="U4997" s="17"/>
    </row>
    <row r="4998" spans="17:21" x14ac:dyDescent="0.25">
      <c r="Q4998" s="17" t="s">
        <v>5665</v>
      </c>
      <c r="R4998" s="17" t="s">
        <v>3999</v>
      </c>
      <c r="S4998" s="17"/>
      <c r="T4998" s="17"/>
      <c r="U4998" s="17"/>
    </row>
    <row r="4999" spans="17:21" x14ac:dyDescent="0.25">
      <c r="Q4999" s="17" t="s">
        <v>5666</v>
      </c>
      <c r="R4999" s="17" t="s">
        <v>3999</v>
      </c>
      <c r="S4999" s="17"/>
      <c r="T4999" s="17"/>
      <c r="U4999" s="17"/>
    </row>
    <row r="5000" spans="17:21" x14ac:dyDescent="0.25">
      <c r="Q5000" s="17" t="s">
        <v>5667</v>
      </c>
      <c r="R5000" s="17" t="s">
        <v>3999</v>
      </c>
      <c r="S5000" s="17"/>
      <c r="T5000" s="17"/>
      <c r="U5000" s="17"/>
    </row>
    <row r="5001" spans="17:21" x14ac:dyDescent="0.25">
      <c r="Q5001" s="17" t="s">
        <v>5668</v>
      </c>
      <c r="R5001" s="17" t="s">
        <v>3999</v>
      </c>
      <c r="S5001" s="17"/>
      <c r="T5001" s="17"/>
      <c r="U5001" s="17"/>
    </row>
    <row r="5002" spans="17:21" x14ac:dyDescent="0.25">
      <c r="Q5002" s="17" t="s">
        <v>5669</v>
      </c>
      <c r="R5002" s="17" t="s">
        <v>3999</v>
      </c>
      <c r="S5002" s="17"/>
      <c r="T5002" s="17"/>
      <c r="U5002" s="17"/>
    </row>
    <row r="5003" spans="17:21" x14ac:dyDescent="0.25">
      <c r="Q5003" s="17" t="s">
        <v>5670</v>
      </c>
      <c r="R5003" s="17" t="s">
        <v>3999</v>
      </c>
      <c r="S5003" s="17"/>
      <c r="T5003" s="17"/>
      <c r="U5003" s="17"/>
    </row>
    <row r="5004" spans="17:21" x14ac:dyDescent="0.25">
      <c r="Q5004" s="17" t="s">
        <v>5671</v>
      </c>
      <c r="R5004" s="17" t="s">
        <v>3999</v>
      </c>
      <c r="S5004" s="17"/>
      <c r="T5004" s="17"/>
      <c r="U5004" s="17"/>
    </row>
    <row r="5005" spans="17:21" x14ac:dyDescent="0.25">
      <c r="Q5005" s="17" t="s">
        <v>5672</v>
      </c>
      <c r="R5005" s="17" t="s">
        <v>3999</v>
      </c>
      <c r="S5005" s="17"/>
      <c r="T5005" s="17"/>
      <c r="U5005" s="17"/>
    </row>
    <row r="5006" spans="17:21" x14ac:dyDescent="0.25">
      <c r="Q5006" s="17" t="s">
        <v>5673</v>
      </c>
      <c r="R5006" s="17" t="s">
        <v>3999</v>
      </c>
      <c r="S5006" s="17"/>
      <c r="T5006" s="17"/>
      <c r="U5006" s="17"/>
    </row>
    <row r="5007" spans="17:21" x14ac:dyDescent="0.25">
      <c r="Q5007" s="17" t="s">
        <v>5674</v>
      </c>
      <c r="R5007" s="17" t="s">
        <v>3999</v>
      </c>
      <c r="S5007" s="17"/>
      <c r="T5007" s="17"/>
      <c r="U5007" s="17"/>
    </row>
    <row r="5008" spans="17:21" x14ac:dyDescent="0.25">
      <c r="Q5008" s="17" t="s">
        <v>5675</v>
      </c>
      <c r="R5008" s="17" t="s">
        <v>3999</v>
      </c>
      <c r="S5008" s="17"/>
      <c r="T5008" s="17"/>
      <c r="U5008" s="17"/>
    </row>
    <row r="5009" spans="17:21" x14ac:dyDescent="0.25">
      <c r="Q5009" s="17" t="s">
        <v>5676</v>
      </c>
      <c r="R5009" s="17" t="s">
        <v>3999</v>
      </c>
      <c r="S5009" s="17"/>
      <c r="T5009" s="17"/>
      <c r="U5009" s="17"/>
    </row>
    <row r="5010" spans="17:21" x14ac:dyDescent="0.25">
      <c r="Q5010" s="17" t="s">
        <v>5677</v>
      </c>
      <c r="R5010" s="17" t="s">
        <v>3999</v>
      </c>
      <c r="S5010" s="17"/>
      <c r="T5010" s="17"/>
      <c r="U5010" s="17"/>
    </row>
    <row r="5011" spans="17:21" x14ac:dyDescent="0.25">
      <c r="Q5011" s="17" t="s">
        <v>5678</v>
      </c>
      <c r="R5011" s="17" t="s">
        <v>3999</v>
      </c>
      <c r="S5011" s="17"/>
      <c r="T5011" s="17"/>
      <c r="U5011" s="17"/>
    </row>
    <row r="5012" spans="17:21" x14ac:dyDescent="0.25">
      <c r="Q5012" s="17" t="s">
        <v>5679</v>
      </c>
      <c r="R5012" s="17" t="s">
        <v>3999</v>
      </c>
      <c r="S5012" s="17"/>
      <c r="T5012" s="17"/>
      <c r="U5012" s="17"/>
    </row>
    <row r="5013" spans="17:21" x14ac:dyDescent="0.25">
      <c r="Q5013" s="17" t="s">
        <v>5680</v>
      </c>
      <c r="R5013" s="17" t="s">
        <v>3999</v>
      </c>
      <c r="S5013" s="17"/>
      <c r="T5013" s="17"/>
      <c r="U5013" s="17"/>
    </row>
    <row r="5014" spans="17:21" x14ac:dyDescent="0.25">
      <c r="Q5014" s="17" t="s">
        <v>5681</v>
      </c>
      <c r="R5014" s="17" t="s">
        <v>3999</v>
      </c>
      <c r="S5014" s="17"/>
      <c r="T5014" s="17"/>
      <c r="U5014" s="17"/>
    </row>
    <row r="5015" spans="17:21" x14ac:dyDescent="0.25">
      <c r="Q5015" s="17" t="s">
        <v>5682</v>
      </c>
      <c r="R5015" s="17" t="s">
        <v>3999</v>
      </c>
      <c r="S5015" s="17"/>
      <c r="T5015" s="17"/>
      <c r="U5015" s="17"/>
    </row>
    <row r="5016" spans="17:21" x14ac:dyDescent="0.25">
      <c r="Q5016" s="17" t="s">
        <v>5683</v>
      </c>
      <c r="R5016" s="17" t="s">
        <v>3999</v>
      </c>
      <c r="S5016" s="17"/>
      <c r="T5016" s="17"/>
      <c r="U5016" s="17"/>
    </row>
    <row r="5017" spans="17:21" x14ac:dyDescent="0.25">
      <c r="Q5017" s="17" t="s">
        <v>5684</v>
      </c>
      <c r="R5017" s="17" t="s">
        <v>3999</v>
      </c>
      <c r="S5017" s="17"/>
      <c r="T5017" s="17"/>
      <c r="U5017" s="17"/>
    </row>
    <row r="5018" spans="17:21" x14ac:dyDescent="0.25">
      <c r="Q5018" s="17" t="s">
        <v>5685</v>
      </c>
      <c r="R5018" s="17" t="s">
        <v>3999</v>
      </c>
      <c r="S5018" s="17"/>
      <c r="T5018" s="17"/>
      <c r="U5018" s="17"/>
    </row>
    <row r="5019" spans="17:21" x14ac:dyDescent="0.25">
      <c r="Q5019" s="17" t="s">
        <v>5686</v>
      </c>
      <c r="R5019" s="17" t="s">
        <v>3999</v>
      </c>
      <c r="S5019" s="17"/>
      <c r="T5019" s="17"/>
      <c r="U5019" s="17"/>
    </row>
    <row r="5020" spans="17:21" x14ac:dyDescent="0.25">
      <c r="Q5020" s="17" t="s">
        <v>5687</v>
      </c>
      <c r="R5020" s="17" t="s">
        <v>3999</v>
      </c>
      <c r="S5020" s="17"/>
      <c r="T5020" s="17"/>
      <c r="U5020" s="17"/>
    </row>
    <row r="5021" spans="17:21" x14ac:dyDescent="0.25">
      <c r="Q5021" s="17" t="s">
        <v>5688</v>
      </c>
      <c r="R5021" s="17" t="s">
        <v>3999</v>
      </c>
      <c r="S5021" s="17"/>
      <c r="T5021" s="17"/>
      <c r="U5021" s="17"/>
    </row>
    <row r="5022" spans="17:21" x14ac:dyDescent="0.25">
      <c r="Q5022" s="17" t="s">
        <v>5689</v>
      </c>
      <c r="R5022" s="17" t="s">
        <v>3999</v>
      </c>
      <c r="S5022" s="17"/>
      <c r="T5022" s="17"/>
      <c r="U5022" s="17"/>
    </row>
    <row r="5023" spans="17:21" x14ac:dyDescent="0.25">
      <c r="Q5023" s="17" t="s">
        <v>5690</v>
      </c>
      <c r="R5023" s="17" t="s">
        <v>3999</v>
      </c>
      <c r="S5023" s="17"/>
      <c r="T5023" s="17"/>
      <c r="U5023" s="17"/>
    </row>
    <row r="5024" spans="17:21" x14ac:dyDescent="0.25">
      <c r="Q5024" s="17" t="s">
        <v>5691</v>
      </c>
      <c r="R5024" s="17" t="s">
        <v>3999</v>
      </c>
      <c r="S5024" s="17"/>
      <c r="T5024" s="17"/>
      <c r="U5024" s="17"/>
    </row>
    <row r="5025" spans="17:21" x14ac:dyDescent="0.25">
      <c r="Q5025" s="17" t="s">
        <v>5692</v>
      </c>
      <c r="R5025" s="17" t="s">
        <v>3999</v>
      </c>
      <c r="S5025" s="17"/>
      <c r="T5025" s="17"/>
      <c r="U5025" s="17"/>
    </row>
    <row r="5026" spans="17:21" x14ac:dyDescent="0.25">
      <c r="Q5026" s="17" t="s">
        <v>5693</v>
      </c>
      <c r="R5026" s="17" t="s">
        <v>3999</v>
      </c>
      <c r="S5026" s="17"/>
      <c r="T5026" s="17"/>
      <c r="U5026" s="17"/>
    </row>
    <row r="5027" spans="17:21" x14ac:dyDescent="0.25">
      <c r="Q5027" s="17" t="s">
        <v>5694</v>
      </c>
      <c r="R5027" s="17" t="s">
        <v>3999</v>
      </c>
      <c r="S5027" s="17"/>
      <c r="T5027" s="17"/>
      <c r="U5027" s="17"/>
    </row>
    <row r="5028" spans="17:21" x14ac:dyDescent="0.25">
      <c r="Q5028" s="17" t="s">
        <v>5695</v>
      </c>
      <c r="R5028" s="17" t="s">
        <v>3999</v>
      </c>
      <c r="S5028" s="17"/>
      <c r="T5028" s="17"/>
      <c r="U5028" s="17"/>
    </row>
    <row r="5029" spans="17:21" x14ac:dyDescent="0.25">
      <c r="Q5029" s="17" t="s">
        <v>5696</v>
      </c>
      <c r="R5029" s="17" t="s">
        <v>3999</v>
      </c>
      <c r="S5029" s="17"/>
      <c r="T5029" s="17"/>
      <c r="U5029" s="17"/>
    </row>
    <row r="5030" spans="17:21" x14ac:dyDescent="0.25">
      <c r="Q5030" s="17" t="s">
        <v>5697</v>
      </c>
      <c r="R5030" s="17" t="s">
        <v>3999</v>
      </c>
      <c r="S5030" s="17"/>
      <c r="T5030" s="17"/>
      <c r="U5030" s="17"/>
    </row>
    <row r="5031" spans="17:21" x14ac:dyDescent="0.25">
      <c r="Q5031" s="17" t="s">
        <v>5698</v>
      </c>
      <c r="R5031" s="17" t="s">
        <v>3999</v>
      </c>
      <c r="S5031" s="17"/>
      <c r="T5031" s="17"/>
      <c r="U5031" s="17"/>
    </row>
    <row r="5032" spans="17:21" x14ac:dyDescent="0.25">
      <c r="Q5032" s="17" t="s">
        <v>5699</v>
      </c>
      <c r="R5032" s="17" t="s">
        <v>3999</v>
      </c>
      <c r="S5032" s="17"/>
      <c r="T5032" s="17"/>
      <c r="U5032" s="17"/>
    </row>
    <row r="5033" spans="17:21" x14ac:dyDescent="0.25">
      <c r="Q5033" s="17" t="s">
        <v>5700</v>
      </c>
      <c r="R5033" s="17" t="s">
        <v>3999</v>
      </c>
      <c r="S5033" s="17"/>
      <c r="T5033" s="17"/>
      <c r="U5033" s="17"/>
    </row>
    <row r="5034" spans="17:21" x14ac:dyDescent="0.25">
      <c r="Q5034" s="17" t="s">
        <v>5701</v>
      </c>
      <c r="R5034" s="17" t="s">
        <v>3999</v>
      </c>
      <c r="S5034" s="17"/>
      <c r="T5034" s="17"/>
      <c r="U5034" s="17"/>
    </row>
    <row r="5035" spans="17:21" x14ac:dyDescent="0.25">
      <c r="Q5035" s="17" t="s">
        <v>5702</v>
      </c>
      <c r="R5035" s="17" t="s">
        <v>3999</v>
      </c>
      <c r="S5035" s="17"/>
      <c r="T5035" s="17"/>
      <c r="U5035" s="17"/>
    </row>
    <row r="5036" spans="17:21" x14ac:dyDescent="0.25">
      <c r="Q5036" s="17" t="s">
        <v>5703</v>
      </c>
      <c r="R5036" s="17" t="s">
        <v>3999</v>
      </c>
      <c r="S5036" s="17"/>
      <c r="T5036" s="17"/>
      <c r="U5036" s="17"/>
    </row>
    <row r="5037" spans="17:21" x14ac:dyDescent="0.25">
      <c r="Q5037" s="17" t="s">
        <v>5704</v>
      </c>
      <c r="R5037" s="17" t="s">
        <v>3999</v>
      </c>
      <c r="S5037" s="17"/>
      <c r="T5037" s="17"/>
      <c r="U5037" s="17"/>
    </row>
    <row r="5038" spans="17:21" x14ac:dyDescent="0.25">
      <c r="Q5038" s="17" t="s">
        <v>5705</v>
      </c>
      <c r="R5038" s="17" t="s">
        <v>3999</v>
      </c>
      <c r="S5038" s="17"/>
      <c r="T5038" s="17"/>
      <c r="U5038" s="17"/>
    </row>
    <row r="5039" spans="17:21" x14ac:dyDescent="0.25">
      <c r="Q5039" s="17" t="s">
        <v>5706</v>
      </c>
      <c r="R5039" s="17" t="s">
        <v>3999</v>
      </c>
      <c r="S5039" s="17"/>
      <c r="T5039" s="17"/>
      <c r="U5039" s="17"/>
    </row>
    <row r="5040" spans="17:21" x14ac:dyDescent="0.25">
      <c r="Q5040" s="17" t="s">
        <v>5707</v>
      </c>
      <c r="R5040" s="17" t="s">
        <v>3999</v>
      </c>
      <c r="S5040" s="17"/>
      <c r="T5040" s="17"/>
      <c r="U5040" s="17"/>
    </row>
    <row r="5041" spans="17:21" x14ac:dyDescent="0.25">
      <c r="Q5041" s="17" t="s">
        <v>5708</v>
      </c>
      <c r="R5041" s="17" t="s">
        <v>3999</v>
      </c>
      <c r="S5041" s="17"/>
      <c r="T5041" s="17"/>
      <c r="U5041" s="17"/>
    </row>
    <row r="5042" spans="17:21" x14ac:dyDescent="0.25">
      <c r="Q5042" s="17" t="s">
        <v>5709</v>
      </c>
      <c r="R5042" s="17" t="s">
        <v>3999</v>
      </c>
      <c r="S5042" s="17"/>
      <c r="T5042" s="17"/>
      <c r="U5042" s="17"/>
    </row>
    <row r="5043" spans="17:21" x14ac:dyDescent="0.25">
      <c r="Q5043" s="17" t="s">
        <v>5710</v>
      </c>
      <c r="R5043" s="17" t="s">
        <v>3999</v>
      </c>
      <c r="S5043" s="17"/>
      <c r="T5043" s="17"/>
      <c r="U5043" s="17"/>
    </row>
    <row r="5044" spans="17:21" x14ac:dyDescent="0.25">
      <c r="Q5044" s="17" t="s">
        <v>5711</v>
      </c>
      <c r="R5044" s="17" t="s">
        <v>3999</v>
      </c>
      <c r="S5044" s="17"/>
      <c r="T5044" s="17"/>
      <c r="U5044" s="17"/>
    </row>
    <row r="5045" spans="17:21" x14ac:dyDescent="0.25">
      <c r="Q5045" s="17" t="s">
        <v>5712</v>
      </c>
      <c r="R5045" s="17" t="s">
        <v>3999</v>
      </c>
      <c r="S5045" s="17"/>
      <c r="T5045" s="17"/>
      <c r="U5045" s="17"/>
    </row>
    <row r="5046" spans="17:21" x14ac:dyDescent="0.25">
      <c r="Q5046" s="17" t="s">
        <v>5713</v>
      </c>
      <c r="R5046" s="17" t="s">
        <v>3999</v>
      </c>
      <c r="S5046" s="17"/>
      <c r="T5046" s="17"/>
      <c r="U5046" s="17"/>
    </row>
    <row r="5047" spans="17:21" x14ac:dyDescent="0.25">
      <c r="Q5047" s="17" t="s">
        <v>5714</v>
      </c>
      <c r="R5047" s="17" t="s">
        <v>3999</v>
      </c>
      <c r="S5047" s="17"/>
      <c r="T5047" s="17"/>
      <c r="U5047" s="17"/>
    </row>
    <row r="5048" spans="17:21" x14ac:dyDescent="0.25">
      <c r="Q5048" s="17" t="s">
        <v>5715</v>
      </c>
      <c r="R5048" s="17" t="s">
        <v>3999</v>
      </c>
      <c r="S5048" s="17"/>
      <c r="T5048" s="17"/>
      <c r="U5048" s="17"/>
    </row>
    <row r="5049" spans="17:21" x14ac:dyDescent="0.25">
      <c r="Q5049" s="17" t="s">
        <v>5716</v>
      </c>
      <c r="R5049" s="17" t="s">
        <v>3999</v>
      </c>
      <c r="S5049" s="17"/>
      <c r="T5049" s="17"/>
      <c r="U5049" s="17"/>
    </row>
    <row r="5050" spans="17:21" x14ac:dyDescent="0.25">
      <c r="Q5050" s="17" t="s">
        <v>5717</v>
      </c>
      <c r="R5050" s="17" t="s">
        <v>3999</v>
      </c>
      <c r="S5050" s="17"/>
      <c r="T5050" s="17"/>
      <c r="U5050" s="17"/>
    </row>
    <row r="5051" spans="17:21" x14ac:dyDescent="0.25">
      <c r="Q5051" s="17" t="s">
        <v>5718</v>
      </c>
      <c r="R5051" s="17" t="s">
        <v>3999</v>
      </c>
      <c r="S5051" s="17"/>
      <c r="T5051" s="17"/>
      <c r="U5051" s="17"/>
    </row>
    <row r="5052" spans="17:21" x14ac:dyDescent="0.25">
      <c r="Q5052" s="17" t="s">
        <v>5719</v>
      </c>
      <c r="R5052" s="17" t="s">
        <v>3999</v>
      </c>
      <c r="S5052" s="17"/>
      <c r="T5052" s="17"/>
      <c r="U5052" s="17"/>
    </row>
    <row r="5053" spans="17:21" x14ac:dyDescent="0.25">
      <c r="Q5053" s="17" t="s">
        <v>5720</v>
      </c>
      <c r="R5053" s="17" t="s">
        <v>3999</v>
      </c>
      <c r="S5053" s="17"/>
      <c r="T5053" s="17"/>
      <c r="U5053" s="17"/>
    </row>
    <row r="5054" spans="17:21" x14ac:dyDescent="0.25">
      <c r="Q5054" s="17" t="s">
        <v>5721</v>
      </c>
      <c r="R5054" s="17" t="s">
        <v>3999</v>
      </c>
      <c r="S5054" s="17"/>
      <c r="T5054" s="17"/>
      <c r="U5054" s="17"/>
    </row>
    <row r="5055" spans="17:21" x14ac:dyDescent="0.25">
      <c r="Q5055" s="17" t="s">
        <v>5722</v>
      </c>
      <c r="R5055" s="17" t="s">
        <v>3999</v>
      </c>
      <c r="S5055" s="17"/>
      <c r="T5055" s="17"/>
      <c r="U5055" s="17"/>
    </row>
    <row r="5056" spans="17:21" x14ac:dyDescent="0.25">
      <c r="Q5056" s="17" t="s">
        <v>5723</v>
      </c>
      <c r="R5056" s="17" t="s">
        <v>3999</v>
      </c>
      <c r="S5056" s="17"/>
      <c r="T5056" s="17"/>
      <c r="U5056" s="17"/>
    </row>
    <row r="5057" spans="17:21" x14ac:dyDescent="0.25">
      <c r="Q5057" s="17" t="s">
        <v>5724</v>
      </c>
      <c r="R5057" s="17" t="s">
        <v>2360</v>
      </c>
      <c r="S5057" s="17"/>
      <c r="T5057" s="17"/>
      <c r="U5057" s="17"/>
    </row>
    <row r="5058" spans="17:21" x14ac:dyDescent="0.25">
      <c r="Q5058" s="17" t="s">
        <v>5725</v>
      </c>
      <c r="R5058" s="17" t="s">
        <v>2360</v>
      </c>
      <c r="S5058" s="17"/>
      <c r="T5058" s="17"/>
      <c r="U5058" s="17"/>
    </row>
    <row r="5059" spans="17:21" x14ac:dyDescent="0.25">
      <c r="Q5059" s="17" t="s">
        <v>5726</v>
      </c>
      <c r="R5059" s="17" t="s">
        <v>2360</v>
      </c>
      <c r="S5059" s="17"/>
      <c r="T5059" s="17"/>
      <c r="U5059" s="17"/>
    </row>
    <row r="5060" spans="17:21" x14ac:dyDescent="0.25">
      <c r="Q5060" s="17" t="s">
        <v>5727</v>
      </c>
      <c r="R5060" s="17" t="s">
        <v>2360</v>
      </c>
      <c r="S5060" s="17"/>
      <c r="T5060" s="17"/>
      <c r="U5060" s="17"/>
    </row>
    <row r="5061" spans="17:21" x14ac:dyDescent="0.25">
      <c r="Q5061" s="17" t="s">
        <v>5728</v>
      </c>
      <c r="R5061" s="17" t="s">
        <v>2360</v>
      </c>
      <c r="S5061" s="17"/>
      <c r="T5061" s="17"/>
      <c r="U5061" s="17"/>
    </row>
    <row r="5062" spans="17:21" x14ac:dyDescent="0.25">
      <c r="Q5062" s="17" t="s">
        <v>5729</v>
      </c>
      <c r="R5062" s="17" t="s">
        <v>2360</v>
      </c>
      <c r="S5062" s="17"/>
      <c r="T5062" s="17"/>
      <c r="U5062" s="17"/>
    </row>
    <row r="5063" spans="17:21" x14ac:dyDescent="0.25">
      <c r="Q5063" s="17" t="s">
        <v>5730</v>
      </c>
      <c r="R5063" s="17" t="s">
        <v>2360</v>
      </c>
      <c r="S5063" s="17"/>
      <c r="T5063" s="17"/>
      <c r="U5063" s="17"/>
    </row>
    <row r="5064" spans="17:21" x14ac:dyDescent="0.25">
      <c r="Q5064" s="17" t="s">
        <v>5731</v>
      </c>
      <c r="R5064" s="17" t="s">
        <v>2360</v>
      </c>
      <c r="S5064" s="17"/>
      <c r="T5064" s="17"/>
      <c r="U5064" s="17"/>
    </row>
    <row r="5065" spans="17:21" x14ac:dyDescent="0.25">
      <c r="Q5065" s="17" t="s">
        <v>5732</v>
      </c>
      <c r="R5065" s="17" t="s">
        <v>5733</v>
      </c>
      <c r="S5065" s="17"/>
      <c r="T5065" s="17"/>
      <c r="U5065" s="17"/>
    </row>
    <row r="5066" spans="17:21" x14ac:dyDescent="0.25">
      <c r="Q5066" s="17" t="s">
        <v>5734</v>
      </c>
      <c r="R5066" s="17" t="s">
        <v>5733</v>
      </c>
      <c r="S5066" s="17"/>
      <c r="T5066" s="17"/>
      <c r="U5066" s="17"/>
    </row>
    <row r="5067" spans="17:21" x14ac:dyDescent="0.25">
      <c r="Q5067" s="17" t="s">
        <v>5735</v>
      </c>
      <c r="R5067" s="17" t="s">
        <v>5733</v>
      </c>
      <c r="S5067" s="17"/>
      <c r="T5067" s="17"/>
      <c r="U5067" s="17"/>
    </row>
    <row r="5068" spans="17:21" x14ac:dyDescent="0.25">
      <c r="Q5068" s="17" t="s">
        <v>5736</v>
      </c>
      <c r="R5068" s="17" t="s">
        <v>5733</v>
      </c>
      <c r="S5068" s="17"/>
      <c r="T5068" s="17"/>
      <c r="U5068" s="17"/>
    </row>
    <row r="5069" spans="17:21" x14ac:dyDescent="0.25">
      <c r="Q5069" s="17" t="s">
        <v>5737</v>
      </c>
      <c r="R5069" s="17" t="s">
        <v>3999</v>
      </c>
      <c r="S5069" s="17"/>
      <c r="T5069" s="17"/>
      <c r="U5069" s="17"/>
    </row>
    <row r="5070" spans="17:21" x14ac:dyDescent="0.25">
      <c r="Q5070" s="17" t="s">
        <v>5738</v>
      </c>
      <c r="R5070" s="17" t="s">
        <v>3999</v>
      </c>
      <c r="S5070" s="17"/>
      <c r="T5070" s="17"/>
      <c r="U5070" s="17"/>
    </row>
    <row r="5071" spans="17:21" x14ac:dyDescent="0.25">
      <c r="Q5071" s="17" t="s">
        <v>5739</v>
      </c>
      <c r="R5071" s="17" t="s">
        <v>3999</v>
      </c>
      <c r="S5071" s="17"/>
      <c r="T5071" s="17"/>
      <c r="U5071" s="17"/>
    </row>
    <row r="5072" spans="17:21" x14ac:dyDescent="0.25">
      <c r="Q5072" s="17" t="s">
        <v>5740</v>
      </c>
      <c r="R5072" s="17" t="s">
        <v>3999</v>
      </c>
      <c r="S5072" s="17"/>
      <c r="T5072" s="17"/>
      <c r="U5072" s="17"/>
    </row>
    <row r="5073" spans="17:21" x14ac:dyDescent="0.25">
      <c r="Q5073" s="17" t="s">
        <v>5741</v>
      </c>
      <c r="R5073" s="17" t="s">
        <v>3999</v>
      </c>
      <c r="S5073" s="17"/>
      <c r="T5073" s="17"/>
      <c r="U5073" s="17"/>
    </row>
    <row r="5074" spans="17:21" x14ac:dyDescent="0.25">
      <c r="Q5074" s="17" t="s">
        <v>5742</v>
      </c>
      <c r="R5074" s="17" t="s">
        <v>3999</v>
      </c>
      <c r="S5074" s="17"/>
      <c r="T5074" s="17"/>
      <c r="U5074" s="17"/>
    </row>
    <row r="5075" spans="17:21" x14ac:dyDescent="0.25">
      <c r="Q5075" s="17" t="s">
        <v>5743</v>
      </c>
      <c r="R5075" s="17" t="s">
        <v>3999</v>
      </c>
      <c r="S5075" s="17"/>
      <c r="T5075" s="17"/>
      <c r="U5075" s="17"/>
    </row>
    <row r="5076" spans="17:21" x14ac:dyDescent="0.25">
      <c r="Q5076" s="17" t="s">
        <v>5744</v>
      </c>
      <c r="R5076" s="17" t="s">
        <v>3999</v>
      </c>
      <c r="S5076" s="17"/>
      <c r="T5076" s="17"/>
      <c r="U5076" s="17"/>
    </row>
    <row r="5077" spans="17:21" x14ac:dyDescent="0.25">
      <c r="Q5077" s="17" t="s">
        <v>5745</v>
      </c>
      <c r="R5077" s="17" t="s">
        <v>3999</v>
      </c>
      <c r="S5077" s="17"/>
      <c r="T5077" s="17"/>
      <c r="U5077" s="17"/>
    </row>
    <row r="5078" spans="17:21" x14ac:dyDescent="0.25">
      <c r="Q5078" s="17" t="s">
        <v>5746</v>
      </c>
      <c r="R5078" s="17" t="s">
        <v>3999</v>
      </c>
      <c r="S5078" s="17"/>
      <c r="T5078" s="17"/>
      <c r="U5078" s="17"/>
    </row>
    <row r="5079" spans="17:21" x14ac:dyDescent="0.25">
      <c r="Q5079" s="17" t="s">
        <v>5747</v>
      </c>
      <c r="R5079" s="17" t="s">
        <v>3999</v>
      </c>
      <c r="S5079" s="17"/>
      <c r="T5079" s="17"/>
      <c r="U5079" s="17"/>
    </row>
    <row r="5080" spans="17:21" x14ac:dyDescent="0.25">
      <c r="Q5080" s="17" t="s">
        <v>5748</v>
      </c>
      <c r="R5080" s="17" t="s">
        <v>3999</v>
      </c>
      <c r="S5080" s="17"/>
      <c r="T5080" s="17"/>
      <c r="U5080" s="17"/>
    </row>
    <row r="5081" spans="17:21" x14ac:dyDescent="0.25">
      <c r="Q5081" s="17" t="s">
        <v>5749</v>
      </c>
      <c r="R5081" s="17" t="s">
        <v>3999</v>
      </c>
      <c r="S5081" s="17"/>
      <c r="T5081" s="17"/>
      <c r="U5081" s="17"/>
    </row>
    <row r="5082" spans="17:21" x14ac:dyDescent="0.25">
      <c r="Q5082" s="17" t="s">
        <v>5750</v>
      </c>
      <c r="R5082" s="17" t="s">
        <v>3999</v>
      </c>
      <c r="S5082" s="17"/>
      <c r="T5082" s="17"/>
      <c r="U5082" s="17"/>
    </row>
    <row r="5083" spans="17:21" x14ac:dyDescent="0.25">
      <c r="Q5083" s="17" t="s">
        <v>5751</v>
      </c>
      <c r="R5083" s="17" t="s">
        <v>3999</v>
      </c>
      <c r="S5083" s="17"/>
      <c r="T5083" s="17"/>
      <c r="U5083" s="17"/>
    </row>
    <row r="5084" spans="17:21" x14ac:dyDescent="0.25">
      <c r="Q5084" s="17" t="s">
        <v>5752</v>
      </c>
      <c r="R5084" s="17" t="s">
        <v>3999</v>
      </c>
      <c r="S5084" s="17"/>
      <c r="T5084" s="17"/>
      <c r="U5084" s="17"/>
    </row>
    <row r="5085" spans="17:21" x14ac:dyDescent="0.25">
      <c r="Q5085" s="17" t="s">
        <v>5753</v>
      </c>
      <c r="R5085" s="17" t="s">
        <v>3999</v>
      </c>
      <c r="S5085" s="17"/>
      <c r="T5085" s="17"/>
      <c r="U5085" s="17"/>
    </row>
    <row r="5086" spans="17:21" x14ac:dyDescent="0.25">
      <c r="Q5086" s="17" t="s">
        <v>5754</v>
      </c>
      <c r="R5086" s="17" t="s">
        <v>3999</v>
      </c>
      <c r="S5086" s="17"/>
      <c r="T5086" s="17"/>
      <c r="U5086" s="17"/>
    </row>
    <row r="5087" spans="17:21" x14ac:dyDescent="0.25">
      <c r="Q5087" s="17" t="s">
        <v>5755</v>
      </c>
      <c r="R5087" s="17" t="s">
        <v>3999</v>
      </c>
      <c r="S5087" s="17"/>
      <c r="T5087" s="17"/>
      <c r="U5087" s="17"/>
    </row>
    <row r="5088" spans="17:21" x14ac:dyDescent="0.25">
      <c r="Q5088" s="17" t="s">
        <v>5756</v>
      </c>
      <c r="R5088" s="17" t="s">
        <v>3999</v>
      </c>
      <c r="S5088" s="17"/>
      <c r="T5088" s="17"/>
      <c r="U5088" s="17"/>
    </row>
    <row r="5089" spans="17:21" x14ac:dyDescent="0.25">
      <c r="Q5089" s="17" t="s">
        <v>5757</v>
      </c>
      <c r="R5089" s="17" t="s">
        <v>3999</v>
      </c>
      <c r="S5089" s="17"/>
      <c r="T5089" s="17"/>
      <c r="U5089" s="17"/>
    </row>
    <row r="5090" spans="17:21" x14ac:dyDescent="0.25">
      <c r="Q5090" s="17" t="s">
        <v>5758</v>
      </c>
      <c r="R5090" s="17" t="s">
        <v>1369</v>
      </c>
      <c r="S5090" s="17"/>
      <c r="T5090" s="17"/>
      <c r="U5090" s="17"/>
    </row>
    <row r="5091" spans="17:21" x14ac:dyDescent="0.25">
      <c r="Q5091" s="17" t="s">
        <v>5759</v>
      </c>
      <c r="R5091" s="17" t="s">
        <v>1369</v>
      </c>
      <c r="S5091" s="17"/>
      <c r="T5091" s="17"/>
      <c r="U5091" s="17"/>
    </row>
    <row r="5092" spans="17:21" x14ac:dyDescent="0.25">
      <c r="Q5092" s="17" t="s">
        <v>5760</v>
      </c>
      <c r="R5092" s="17" t="s">
        <v>1369</v>
      </c>
      <c r="S5092" s="17"/>
      <c r="T5092" s="17"/>
      <c r="U5092" s="17"/>
    </row>
    <row r="5093" spans="17:21" x14ac:dyDescent="0.25">
      <c r="Q5093" s="17" t="s">
        <v>5761</v>
      </c>
      <c r="R5093" s="17" t="s">
        <v>253</v>
      </c>
      <c r="S5093" s="17"/>
      <c r="T5093" s="17"/>
      <c r="U5093" s="17"/>
    </row>
    <row r="5094" spans="17:21" x14ac:dyDescent="0.25">
      <c r="Q5094" s="17" t="s">
        <v>5762</v>
      </c>
      <c r="R5094" s="17" t="s">
        <v>1369</v>
      </c>
      <c r="S5094" s="17"/>
      <c r="T5094" s="17"/>
      <c r="U5094" s="17"/>
    </row>
    <row r="5095" spans="17:21" x14ac:dyDescent="0.25">
      <c r="Q5095" s="17" t="s">
        <v>5763</v>
      </c>
      <c r="R5095" s="17" t="s">
        <v>1369</v>
      </c>
      <c r="S5095" s="17"/>
      <c r="T5095" s="17"/>
      <c r="U5095" s="17"/>
    </row>
    <row r="5096" spans="17:21" x14ac:dyDescent="0.25">
      <c r="Q5096" s="17" t="s">
        <v>5764</v>
      </c>
      <c r="R5096" s="17" t="s">
        <v>1369</v>
      </c>
      <c r="S5096" s="17"/>
      <c r="T5096" s="17"/>
      <c r="U5096" s="17"/>
    </row>
    <row r="5097" spans="17:21" x14ac:dyDescent="0.25">
      <c r="Q5097" s="17" t="s">
        <v>5765</v>
      </c>
      <c r="R5097" s="17" t="s">
        <v>1369</v>
      </c>
      <c r="S5097" s="17"/>
      <c r="T5097" s="17"/>
      <c r="U5097" s="17"/>
    </row>
    <row r="5098" spans="17:21" x14ac:dyDescent="0.25">
      <c r="Q5098" s="17" t="s">
        <v>5766</v>
      </c>
      <c r="R5098" s="17" t="s">
        <v>1369</v>
      </c>
      <c r="S5098" s="17"/>
      <c r="T5098" s="17"/>
      <c r="U5098" s="17"/>
    </row>
    <row r="5099" spans="17:21" x14ac:dyDescent="0.25">
      <c r="Q5099" s="17" t="s">
        <v>5767</v>
      </c>
      <c r="R5099" s="17" t="s">
        <v>1369</v>
      </c>
      <c r="S5099" s="17"/>
      <c r="T5099" s="17"/>
      <c r="U5099" s="17"/>
    </row>
    <row r="5100" spans="17:21" x14ac:dyDescent="0.25">
      <c r="Q5100" s="17" t="s">
        <v>5768</v>
      </c>
      <c r="R5100" s="17" t="s">
        <v>1369</v>
      </c>
      <c r="S5100" s="17"/>
      <c r="T5100" s="17"/>
      <c r="U5100" s="17"/>
    </row>
    <row r="5101" spans="17:21" x14ac:dyDescent="0.25">
      <c r="Q5101" s="17" t="s">
        <v>5769</v>
      </c>
      <c r="R5101" s="17" t="s">
        <v>1369</v>
      </c>
      <c r="S5101" s="17"/>
      <c r="T5101" s="17"/>
      <c r="U5101" s="17"/>
    </row>
    <row r="5102" spans="17:21" x14ac:dyDescent="0.25">
      <c r="Q5102" s="17" t="s">
        <v>5770</v>
      </c>
      <c r="R5102" s="17" t="s">
        <v>1369</v>
      </c>
      <c r="S5102" s="17"/>
      <c r="T5102" s="17"/>
      <c r="U5102" s="17"/>
    </row>
    <row r="5103" spans="17:21" x14ac:dyDescent="0.25">
      <c r="Q5103" s="17" t="s">
        <v>5771</v>
      </c>
      <c r="R5103" s="17" t="s">
        <v>1369</v>
      </c>
      <c r="S5103" s="17"/>
      <c r="T5103" s="17"/>
      <c r="U5103" s="17"/>
    </row>
    <row r="5104" spans="17:21" x14ac:dyDescent="0.25">
      <c r="Q5104" s="17" t="s">
        <v>5772</v>
      </c>
      <c r="R5104" s="17" t="s">
        <v>1369</v>
      </c>
      <c r="S5104" s="17"/>
      <c r="T5104" s="17"/>
      <c r="U5104" s="17"/>
    </row>
    <row r="5105" spans="17:21" x14ac:dyDescent="0.25">
      <c r="Q5105" s="17" t="s">
        <v>5773</v>
      </c>
      <c r="R5105" s="17" t="s">
        <v>1369</v>
      </c>
      <c r="S5105" s="17"/>
      <c r="T5105" s="17"/>
      <c r="U5105" s="17"/>
    </row>
    <row r="5106" spans="17:21" x14ac:dyDescent="0.25">
      <c r="Q5106" s="17" t="s">
        <v>5774</v>
      </c>
      <c r="R5106" s="17" t="s">
        <v>1369</v>
      </c>
      <c r="S5106" s="17"/>
      <c r="T5106" s="17"/>
      <c r="U5106" s="17"/>
    </row>
    <row r="5107" spans="17:21" x14ac:dyDescent="0.25">
      <c r="Q5107" s="17" t="s">
        <v>5775</v>
      </c>
      <c r="R5107" s="17" t="s">
        <v>1369</v>
      </c>
      <c r="S5107" s="17"/>
      <c r="T5107" s="17"/>
      <c r="U5107" s="17"/>
    </row>
    <row r="5108" spans="17:21" x14ac:dyDescent="0.25">
      <c r="Q5108" s="17" t="s">
        <v>5776</v>
      </c>
      <c r="R5108" s="17" t="s">
        <v>1369</v>
      </c>
      <c r="S5108" s="17"/>
      <c r="T5108" s="17"/>
      <c r="U5108" s="17"/>
    </row>
    <row r="5109" spans="17:21" x14ac:dyDescent="0.25">
      <c r="Q5109" s="17" t="s">
        <v>5777</v>
      </c>
      <c r="R5109" s="17" t="s">
        <v>1369</v>
      </c>
      <c r="S5109" s="17"/>
      <c r="T5109" s="17"/>
      <c r="U5109" s="17"/>
    </row>
    <row r="5110" spans="17:21" x14ac:dyDescent="0.25">
      <c r="Q5110" s="17" t="s">
        <v>5778</v>
      </c>
      <c r="R5110" s="17" t="s">
        <v>1369</v>
      </c>
      <c r="S5110" s="17"/>
      <c r="T5110" s="17"/>
      <c r="U5110" s="17"/>
    </row>
    <row r="5111" spans="17:21" x14ac:dyDescent="0.25">
      <c r="Q5111" s="17" t="s">
        <v>5779</v>
      </c>
      <c r="R5111" s="17" t="s">
        <v>1369</v>
      </c>
      <c r="S5111" s="17"/>
      <c r="T5111" s="17"/>
      <c r="U5111" s="17"/>
    </row>
    <row r="5112" spans="17:21" x14ac:dyDescent="0.25">
      <c r="Q5112" s="17" t="s">
        <v>5780</v>
      </c>
      <c r="R5112" s="17" t="s">
        <v>1369</v>
      </c>
      <c r="S5112" s="17"/>
      <c r="T5112" s="17"/>
      <c r="U5112" s="17"/>
    </row>
    <row r="5113" spans="17:21" x14ac:dyDescent="0.25">
      <c r="Q5113" s="17" t="s">
        <v>5781</v>
      </c>
      <c r="R5113" s="17" t="s">
        <v>1369</v>
      </c>
      <c r="S5113" s="17"/>
      <c r="T5113" s="17"/>
      <c r="U5113" s="17"/>
    </row>
    <row r="5114" spans="17:21" x14ac:dyDescent="0.25">
      <c r="Q5114" s="17" t="s">
        <v>5782</v>
      </c>
      <c r="R5114" s="17" t="s">
        <v>1369</v>
      </c>
      <c r="S5114" s="17"/>
      <c r="T5114" s="17"/>
      <c r="U5114" s="17"/>
    </row>
    <row r="5115" spans="17:21" x14ac:dyDescent="0.25">
      <c r="Q5115" s="17" t="s">
        <v>5783</v>
      </c>
      <c r="R5115" s="17" t="s">
        <v>1369</v>
      </c>
      <c r="S5115" s="17"/>
      <c r="T5115" s="17"/>
      <c r="U5115" s="17"/>
    </row>
    <row r="5116" spans="17:21" x14ac:dyDescent="0.25">
      <c r="Q5116" s="17" t="s">
        <v>5784</v>
      </c>
      <c r="R5116" s="17" t="s">
        <v>1369</v>
      </c>
      <c r="S5116" s="17"/>
      <c r="T5116" s="17"/>
      <c r="U5116" s="17"/>
    </row>
    <row r="5117" spans="17:21" x14ac:dyDescent="0.25">
      <c r="Q5117" s="17" t="s">
        <v>5785</v>
      </c>
      <c r="R5117" s="17" t="s">
        <v>1369</v>
      </c>
      <c r="S5117" s="17"/>
      <c r="T5117" s="17"/>
      <c r="U5117" s="17"/>
    </row>
    <row r="5118" spans="17:21" x14ac:dyDescent="0.25">
      <c r="Q5118" s="17" t="s">
        <v>5786</v>
      </c>
      <c r="R5118" s="17" t="s">
        <v>1369</v>
      </c>
      <c r="S5118" s="17"/>
      <c r="T5118" s="17"/>
      <c r="U5118" s="17"/>
    </row>
    <row r="5119" spans="17:21" x14ac:dyDescent="0.25">
      <c r="Q5119" s="17" t="s">
        <v>5787</v>
      </c>
      <c r="R5119" s="17" t="s">
        <v>1369</v>
      </c>
      <c r="S5119" s="17"/>
      <c r="T5119" s="17"/>
      <c r="U5119" s="17"/>
    </row>
    <row r="5120" spans="17:21" x14ac:dyDescent="0.25">
      <c r="Q5120" s="17" t="s">
        <v>5788</v>
      </c>
      <c r="R5120" s="17" t="s">
        <v>1369</v>
      </c>
      <c r="S5120" s="17"/>
      <c r="T5120" s="17"/>
      <c r="U5120" s="17"/>
    </row>
    <row r="5121" spans="17:21" x14ac:dyDescent="0.25">
      <c r="Q5121" s="17" t="s">
        <v>5789</v>
      </c>
      <c r="R5121" s="17" t="s">
        <v>1369</v>
      </c>
      <c r="S5121" s="17"/>
      <c r="T5121" s="17"/>
      <c r="U5121" s="17"/>
    </row>
    <row r="5122" spans="17:21" x14ac:dyDescent="0.25">
      <c r="Q5122" s="17" t="s">
        <v>5790</v>
      </c>
      <c r="R5122" s="17" t="s">
        <v>1369</v>
      </c>
      <c r="S5122" s="17"/>
      <c r="T5122" s="17"/>
      <c r="U5122" s="17"/>
    </row>
    <row r="5123" spans="17:21" x14ac:dyDescent="0.25">
      <c r="Q5123" s="17" t="s">
        <v>5791</v>
      </c>
      <c r="R5123" s="17" t="s">
        <v>1369</v>
      </c>
      <c r="S5123" s="17"/>
      <c r="T5123" s="17"/>
      <c r="U5123" s="17"/>
    </row>
    <row r="5124" spans="17:21" x14ac:dyDescent="0.25">
      <c r="Q5124" s="17" t="s">
        <v>5792</v>
      </c>
      <c r="R5124" s="17" t="s">
        <v>1369</v>
      </c>
      <c r="S5124" s="17"/>
      <c r="T5124" s="17"/>
      <c r="U5124" s="17"/>
    </row>
    <row r="5125" spans="17:21" x14ac:dyDescent="0.25">
      <c r="Q5125" s="17" t="s">
        <v>5793</v>
      </c>
      <c r="R5125" s="17" t="s">
        <v>1369</v>
      </c>
      <c r="S5125" s="17"/>
      <c r="T5125" s="17"/>
      <c r="U5125" s="17"/>
    </row>
    <row r="5126" spans="17:21" x14ac:dyDescent="0.25">
      <c r="Q5126" s="17" t="s">
        <v>5794</v>
      </c>
      <c r="R5126" s="17" t="s">
        <v>1369</v>
      </c>
      <c r="S5126" s="17"/>
      <c r="T5126" s="17"/>
      <c r="U5126" s="17"/>
    </row>
    <row r="5127" spans="17:21" x14ac:dyDescent="0.25">
      <c r="Q5127" s="17" t="s">
        <v>5795</v>
      </c>
      <c r="R5127" s="17" t="s">
        <v>1369</v>
      </c>
      <c r="S5127" s="17"/>
      <c r="T5127" s="17"/>
      <c r="U5127" s="17"/>
    </row>
    <row r="5128" spans="17:21" x14ac:dyDescent="0.25">
      <c r="Q5128" s="17" t="s">
        <v>5796</v>
      </c>
      <c r="R5128" s="17" t="s">
        <v>1369</v>
      </c>
      <c r="S5128" s="17"/>
      <c r="T5128" s="17"/>
      <c r="U5128" s="17"/>
    </row>
    <row r="5129" spans="17:21" x14ac:dyDescent="0.25">
      <c r="Q5129" s="17" t="s">
        <v>5797</v>
      </c>
      <c r="R5129" s="17" t="s">
        <v>1369</v>
      </c>
      <c r="S5129" s="17"/>
      <c r="T5129" s="17"/>
      <c r="U5129" s="17"/>
    </row>
    <row r="5130" spans="17:21" x14ac:dyDescent="0.25">
      <c r="Q5130" s="17" t="s">
        <v>5798</v>
      </c>
      <c r="R5130" s="17" t="s">
        <v>1369</v>
      </c>
      <c r="S5130" s="17"/>
      <c r="T5130" s="17"/>
      <c r="U5130" s="17"/>
    </row>
    <row r="5131" spans="17:21" x14ac:dyDescent="0.25">
      <c r="Q5131" s="17" t="s">
        <v>5799</v>
      </c>
      <c r="R5131" s="17" t="s">
        <v>1369</v>
      </c>
      <c r="S5131" s="17"/>
      <c r="T5131" s="17"/>
      <c r="U5131" s="17"/>
    </row>
    <row r="5132" spans="17:21" x14ac:dyDescent="0.25">
      <c r="Q5132" s="17" t="s">
        <v>5800</v>
      </c>
      <c r="R5132" s="17" t="s">
        <v>1369</v>
      </c>
      <c r="S5132" s="17"/>
      <c r="T5132" s="17"/>
      <c r="U5132" s="17"/>
    </row>
    <row r="5133" spans="17:21" x14ac:dyDescent="0.25">
      <c r="Q5133" s="17" t="s">
        <v>5801</v>
      </c>
      <c r="R5133" s="17" t="s">
        <v>1369</v>
      </c>
      <c r="S5133" s="17"/>
      <c r="T5133" s="17"/>
      <c r="U5133" s="17"/>
    </row>
    <row r="5134" spans="17:21" x14ac:dyDescent="0.25">
      <c r="Q5134" s="17" t="s">
        <v>5802</v>
      </c>
      <c r="R5134" s="17" t="s">
        <v>1369</v>
      </c>
      <c r="S5134" s="17"/>
      <c r="T5134" s="17"/>
      <c r="U5134" s="17"/>
    </row>
    <row r="5135" spans="17:21" x14ac:dyDescent="0.25">
      <c r="Q5135" s="17" t="s">
        <v>5803</v>
      </c>
      <c r="R5135" s="17" t="s">
        <v>1369</v>
      </c>
      <c r="S5135" s="17"/>
      <c r="T5135" s="17"/>
      <c r="U5135" s="17"/>
    </row>
    <row r="5136" spans="17:21" x14ac:dyDescent="0.25">
      <c r="Q5136" s="17" t="s">
        <v>5804</v>
      </c>
      <c r="R5136" s="17" t="s">
        <v>1369</v>
      </c>
      <c r="S5136" s="17"/>
      <c r="T5136" s="17"/>
      <c r="U5136" s="17"/>
    </row>
    <row r="5137" spans="17:21" x14ac:dyDescent="0.25">
      <c r="Q5137" s="17" t="s">
        <v>5805</v>
      </c>
      <c r="R5137" s="17" t="s">
        <v>1369</v>
      </c>
      <c r="S5137" s="17"/>
      <c r="T5137" s="17"/>
      <c r="U5137" s="17"/>
    </row>
    <row r="5138" spans="17:21" x14ac:dyDescent="0.25">
      <c r="Q5138" s="17" t="s">
        <v>5806</v>
      </c>
      <c r="R5138" s="17" t="s">
        <v>1369</v>
      </c>
      <c r="S5138" s="17"/>
      <c r="T5138" s="17"/>
      <c r="U5138" s="17"/>
    </row>
    <row r="5139" spans="17:21" x14ac:dyDescent="0.25">
      <c r="Q5139" s="17" t="s">
        <v>5807</v>
      </c>
      <c r="R5139" s="17" t="s">
        <v>1369</v>
      </c>
      <c r="S5139" s="17"/>
      <c r="T5139" s="17"/>
      <c r="U5139" s="17"/>
    </row>
    <row r="5140" spans="17:21" x14ac:dyDescent="0.25">
      <c r="Q5140" s="17" t="s">
        <v>5808</v>
      </c>
      <c r="R5140" s="17" t="s">
        <v>1369</v>
      </c>
      <c r="S5140" s="17"/>
      <c r="T5140" s="17"/>
      <c r="U5140" s="17"/>
    </row>
    <row r="5141" spans="17:21" x14ac:dyDescent="0.25">
      <c r="Q5141" s="17" t="s">
        <v>5809</v>
      </c>
      <c r="R5141" s="17" t="s">
        <v>1369</v>
      </c>
      <c r="S5141" s="17"/>
      <c r="T5141" s="17"/>
      <c r="U5141" s="17"/>
    </row>
    <row r="5142" spans="17:21" x14ac:dyDescent="0.25">
      <c r="Q5142" s="17" t="s">
        <v>5810</v>
      </c>
      <c r="R5142" s="17" t="s">
        <v>1369</v>
      </c>
      <c r="S5142" s="17"/>
      <c r="T5142" s="17"/>
      <c r="U5142" s="17"/>
    </row>
    <row r="5143" spans="17:21" x14ac:dyDescent="0.25">
      <c r="Q5143" s="17" t="s">
        <v>5811</v>
      </c>
      <c r="R5143" s="17" t="s">
        <v>1369</v>
      </c>
      <c r="S5143" s="17"/>
      <c r="T5143" s="17"/>
      <c r="U5143" s="17"/>
    </row>
    <row r="5144" spans="17:21" x14ac:dyDescent="0.25">
      <c r="Q5144" s="17" t="s">
        <v>5812</v>
      </c>
      <c r="R5144" s="17" t="s">
        <v>1369</v>
      </c>
      <c r="S5144" s="17"/>
      <c r="T5144" s="17"/>
      <c r="U5144" s="17"/>
    </row>
    <row r="5145" spans="17:21" x14ac:dyDescent="0.25">
      <c r="Q5145" s="17" t="s">
        <v>5813</v>
      </c>
      <c r="R5145" s="17" t="s">
        <v>1369</v>
      </c>
      <c r="S5145" s="17"/>
      <c r="T5145" s="17"/>
      <c r="U5145" s="17"/>
    </row>
    <row r="5146" spans="17:21" x14ac:dyDescent="0.25">
      <c r="Q5146" s="17" t="s">
        <v>5814</v>
      </c>
      <c r="R5146" s="17" t="s">
        <v>1369</v>
      </c>
      <c r="S5146" s="17"/>
      <c r="T5146" s="17"/>
      <c r="U5146" s="17"/>
    </row>
    <row r="5147" spans="17:21" x14ac:dyDescent="0.25">
      <c r="Q5147" s="17" t="s">
        <v>5815</v>
      </c>
      <c r="R5147" s="17" t="s">
        <v>1369</v>
      </c>
      <c r="S5147" s="17"/>
      <c r="T5147" s="17"/>
      <c r="U5147" s="17"/>
    </row>
    <row r="5148" spans="17:21" x14ac:dyDescent="0.25">
      <c r="Q5148" s="17" t="s">
        <v>5816</v>
      </c>
      <c r="R5148" s="17" t="s">
        <v>1369</v>
      </c>
      <c r="S5148" s="17"/>
      <c r="T5148" s="17"/>
      <c r="U5148" s="17"/>
    </row>
    <row r="5149" spans="17:21" x14ac:dyDescent="0.25">
      <c r="Q5149" s="17" t="s">
        <v>5817</v>
      </c>
      <c r="R5149" s="17" t="s">
        <v>1369</v>
      </c>
      <c r="S5149" s="17"/>
      <c r="T5149" s="17"/>
      <c r="U5149" s="17"/>
    </row>
    <row r="5150" spans="17:21" x14ac:dyDescent="0.25">
      <c r="Q5150" s="17" t="s">
        <v>5818</v>
      </c>
      <c r="R5150" s="17" t="s">
        <v>1369</v>
      </c>
      <c r="S5150" s="17"/>
      <c r="T5150" s="17"/>
      <c r="U5150" s="17"/>
    </row>
    <row r="5151" spans="17:21" x14ac:dyDescent="0.25">
      <c r="Q5151" s="17" t="s">
        <v>5819</v>
      </c>
      <c r="R5151" s="17" t="s">
        <v>1369</v>
      </c>
      <c r="S5151" s="17"/>
      <c r="T5151" s="17"/>
      <c r="U5151" s="17"/>
    </row>
    <row r="5152" spans="17:21" x14ac:dyDescent="0.25">
      <c r="Q5152" s="17" t="s">
        <v>5820</v>
      </c>
      <c r="R5152" s="17" t="s">
        <v>1369</v>
      </c>
      <c r="S5152" s="17"/>
      <c r="T5152" s="17"/>
      <c r="U5152" s="17"/>
    </row>
    <row r="5153" spans="17:21" x14ac:dyDescent="0.25">
      <c r="Q5153" s="17" t="s">
        <v>5821</v>
      </c>
      <c r="R5153" s="17" t="s">
        <v>1369</v>
      </c>
      <c r="S5153" s="17"/>
      <c r="T5153" s="17"/>
      <c r="U5153" s="17"/>
    </row>
    <row r="5154" spans="17:21" x14ac:dyDescent="0.25">
      <c r="Q5154" s="17" t="s">
        <v>5822</v>
      </c>
      <c r="R5154" s="17" t="s">
        <v>1369</v>
      </c>
      <c r="S5154" s="17"/>
      <c r="T5154" s="17"/>
      <c r="U5154" s="17"/>
    </row>
    <row r="5155" spans="17:21" x14ac:dyDescent="0.25">
      <c r="Q5155" s="17" t="s">
        <v>5823</v>
      </c>
      <c r="R5155" s="17" t="s">
        <v>1369</v>
      </c>
      <c r="S5155" s="17"/>
      <c r="T5155" s="17"/>
      <c r="U5155" s="17"/>
    </row>
    <row r="5156" spans="17:21" x14ac:dyDescent="0.25">
      <c r="Q5156" s="17" t="s">
        <v>5824</v>
      </c>
      <c r="R5156" s="17" t="s">
        <v>1369</v>
      </c>
      <c r="S5156" s="17"/>
      <c r="T5156" s="17"/>
      <c r="U5156" s="17"/>
    </row>
    <row r="5157" spans="17:21" x14ac:dyDescent="0.25">
      <c r="Q5157" s="17" t="s">
        <v>5825</v>
      </c>
      <c r="R5157" s="17" t="s">
        <v>1369</v>
      </c>
      <c r="S5157" s="17"/>
      <c r="T5157" s="17"/>
      <c r="U5157" s="17"/>
    </row>
    <row r="5158" spans="17:21" x14ac:dyDescent="0.25">
      <c r="Q5158" s="17" t="s">
        <v>5826</v>
      </c>
      <c r="R5158" s="17" t="s">
        <v>1369</v>
      </c>
      <c r="S5158" s="17"/>
      <c r="T5158" s="17"/>
      <c r="U5158" s="17"/>
    </row>
    <row r="5159" spans="17:21" x14ac:dyDescent="0.25">
      <c r="Q5159" s="17" t="s">
        <v>5827</v>
      </c>
      <c r="R5159" s="17" t="s">
        <v>1369</v>
      </c>
      <c r="S5159" s="17"/>
      <c r="T5159" s="17"/>
      <c r="U5159" s="17"/>
    </row>
    <row r="5160" spans="17:21" x14ac:dyDescent="0.25">
      <c r="Q5160" s="17" t="s">
        <v>5828</v>
      </c>
      <c r="R5160" s="17" t="s">
        <v>1369</v>
      </c>
      <c r="S5160" s="17"/>
      <c r="T5160" s="17"/>
      <c r="U5160" s="17"/>
    </row>
    <row r="5161" spans="17:21" x14ac:dyDescent="0.25">
      <c r="Q5161" s="17" t="s">
        <v>5829</v>
      </c>
      <c r="R5161" s="17" t="s">
        <v>1369</v>
      </c>
      <c r="S5161" s="17"/>
      <c r="T5161" s="17"/>
      <c r="U5161" s="17"/>
    </row>
    <row r="5162" spans="17:21" x14ac:dyDescent="0.25">
      <c r="Q5162" s="17" t="s">
        <v>5830</v>
      </c>
      <c r="R5162" s="17" t="s">
        <v>1369</v>
      </c>
      <c r="S5162" s="17"/>
      <c r="T5162" s="17"/>
      <c r="U5162" s="17"/>
    </row>
    <row r="5163" spans="17:21" x14ac:dyDescent="0.25">
      <c r="Q5163" s="17" t="s">
        <v>5831</v>
      </c>
      <c r="R5163" s="17" t="s">
        <v>1369</v>
      </c>
      <c r="S5163" s="17"/>
      <c r="T5163" s="17"/>
      <c r="U5163" s="17"/>
    </row>
    <row r="5164" spans="17:21" x14ac:dyDescent="0.25">
      <c r="Q5164" s="17" t="s">
        <v>5832</v>
      </c>
      <c r="R5164" s="17" t="s">
        <v>1369</v>
      </c>
      <c r="S5164" s="17"/>
      <c r="T5164" s="17"/>
      <c r="U5164" s="17"/>
    </row>
    <row r="5165" spans="17:21" x14ac:dyDescent="0.25">
      <c r="Q5165" s="17" t="s">
        <v>5833</v>
      </c>
      <c r="R5165" s="17" t="s">
        <v>1369</v>
      </c>
      <c r="S5165" s="17"/>
      <c r="T5165" s="17"/>
      <c r="U5165" s="17"/>
    </row>
    <row r="5166" spans="17:21" x14ac:dyDescent="0.25">
      <c r="Q5166" s="17" t="s">
        <v>5834</v>
      </c>
      <c r="R5166" s="17" t="s">
        <v>1369</v>
      </c>
      <c r="S5166" s="17"/>
      <c r="T5166" s="17"/>
      <c r="U5166" s="17"/>
    </row>
    <row r="5167" spans="17:21" x14ac:dyDescent="0.25">
      <c r="Q5167" s="17" t="s">
        <v>5835</v>
      </c>
      <c r="R5167" s="17" t="s">
        <v>1369</v>
      </c>
      <c r="S5167" s="17"/>
      <c r="T5167" s="17"/>
      <c r="U5167" s="17"/>
    </row>
    <row r="5168" spans="17:21" x14ac:dyDescent="0.25">
      <c r="Q5168" s="17" t="s">
        <v>5836</v>
      </c>
      <c r="R5168" s="17" t="s">
        <v>1369</v>
      </c>
      <c r="S5168" s="17"/>
      <c r="T5168" s="17"/>
      <c r="U5168" s="17"/>
    </row>
    <row r="5169" spans="17:21" x14ac:dyDescent="0.25">
      <c r="Q5169" s="17" t="s">
        <v>5837</v>
      </c>
      <c r="R5169" s="17" t="s">
        <v>1369</v>
      </c>
      <c r="S5169" s="17"/>
      <c r="T5169" s="17"/>
      <c r="U5169" s="17"/>
    </row>
    <row r="5170" spans="17:21" x14ac:dyDescent="0.25">
      <c r="Q5170" s="17" t="s">
        <v>5838</v>
      </c>
      <c r="R5170" s="17" t="s">
        <v>1369</v>
      </c>
      <c r="S5170" s="17"/>
      <c r="T5170" s="17"/>
      <c r="U5170" s="17"/>
    </row>
    <row r="5171" spans="17:21" x14ac:dyDescent="0.25">
      <c r="Q5171" s="17" t="s">
        <v>5839</v>
      </c>
      <c r="R5171" s="17" t="s">
        <v>1369</v>
      </c>
      <c r="S5171" s="17"/>
      <c r="T5171" s="17"/>
      <c r="U5171" s="17"/>
    </row>
    <row r="5172" spans="17:21" x14ac:dyDescent="0.25">
      <c r="Q5172" s="17" t="s">
        <v>5840</v>
      </c>
      <c r="R5172" s="17" t="s">
        <v>1369</v>
      </c>
      <c r="S5172" s="17"/>
      <c r="T5172" s="17"/>
      <c r="U5172" s="17"/>
    </row>
    <row r="5173" spans="17:21" x14ac:dyDescent="0.25">
      <c r="Q5173" s="17" t="s">
        <v>5841</v>
      </c>
      <c r="R5173" s="17" t="s">
        <v>1369</v>
      </c>
      <c r="S5173" s="17"/>
      <c r="T5173" s="17"/>
      <c r="U5173" s="17"/>
    </row>
    <row r="5174" spans="17:21" x14ac:dyDescent="0.25">
      <c r="Q5174" s="17" t="s">
        <v>5842</v>
      </c>
      <c r="R5174" s="17" t="s">
        <v>1369</v>
      </c>
      <c r="S5174" s="17"/>
      <c r="T5174" s="17"/>
      <c r="U5174" s="17"/>
    </row>
    <row r="5175" spans="17:21" x14ac:dyDescent="0.25">
      <c r="Q5175" s="17" t="s">
        <v>5843</v>
      </c>
      <c r="R5175" s="17" t="s">
        <v>1369</v>
      </c>
      <c r="S5175" s="17"/>
      <c r="T5175" s="17"/>
      <c r="U5175" s="17"/>
    </row>
    <row r="5176" spans="17:21" x14ac:dyDescent="0.25">
      <c r="Q5176" s="17" t="s">
        <v>5844</v>
      </c>
      <c r="R5176" s="17" t="s">
        <v>1369</v>
      </c>
      <c r="S5176" s="17"/>
      <c r="T5176" s="17"/>
      <c r="U5176" s="17"/>
    </row>
    <row r="5177" spans="17:21" x14ac:dyDescent="0.25">
      <c r="Q5177" s="17" t="s">
        <v>5845</v>
      </c>
      <c r="R5177" s="17" t="s">
        <v>1369</v>
      </c>
      <c r="S5177" s="17"/>
      <c r="T5177" s="17"/>
      <c r="U5177" s="17"/>
    </row>
    <row r="5178" spans="17:21" x14ac:dyDescent="0.25">
      <c r="Q5178" s="17" t="s">
        <v>5846</v>
      </c>
      <c r="R5178" s="17" t="s">
        <v>1369</v>
      </c>
      <c r="S5178" s="17"/>
      <c r="T5178" s="17"/>
      <c r="U5178" s="17"/>
    </row>
    <row r="5179" spans="17:21" x14ac:dyDescent="0.25">
      <c r="Q5179" s="17" t="s">
        <v>5847</v>
      </c>
      <c r="R5179" s="17" t="s">
        <v>1369</v>
      </c>
      <c r="S5179" s="17"/>
      <c r="T5179" s="17"/>
      <c r="U5179" s="17"/>
    </row>
    <row r="5180" spans="17:21" x14ac:dyDescent="0.25">
      <c r="Q5180" s="17" t="s">
        <v>5848</v>
      </c>
      <c r="R5180" s="17" t="s">
        <v>1369</v>
      </c>
      <c r="S5180" s="17"/>
      <c r="T5180" s="17"/>
      <c r="U5180" s="17"/>
    </row>
    <row r="5181" spans="17:21" x14ac:dyDescent="0.25">
      <c r="Q5181" s="17" t="s">
        <v>5849</v>
      </c>
      <c r="R5181" s="17" t="s">
        <v>1369</v>
      </c>
      <c r="S5181" s="17"/>
      <c r="T5181" s="17"/>
      <c r="U5181" s="17"/>
    </row>
    <row r="5182" spans="17:21" x14ac:dyDescent="0.25">
      <c r="Q5182" s="17" t="s">
        <v>5850</v>
      </c>
      <c r="R5182" s="17" t="s">
        <v>1369</v>
      </c>
      <c r="S5182" s="17"/>
      <c r="T5182" s="17"/>
      <c r="U5182" s="17"/>
    </row>
    <row r="5183" spans="17:21" x14ac:dyDescent="0.25">
      <c r="Q5183" s="17" t="s">
        <v>5851</v>
      </c>
      <c r="R5183" s="17" t="s">
        <v>1369</v>
      </c>
      <c r="S5183" s="17"/>
      <c r="T5183" s="17"/>
      <c r="U5183" s="17"/>
    </row>
    <row r="5184" spans="17:21" x14ac:dyDescent="0.25">
      <c r="Q5184" s="17" t="s">
        <v>5852</v>
      </c>
      <c r="R5184" s="17" t="s">
        <v>1369</v>
      </c>
      <c r="S5184" s="17"/>
      <c r="T5184" s="17"/>
      <c r="U5184" s="17"/>
    </row>
    <row r="5185" spans="17:21" x14ac:dyDescent="0.25">
      <c r="Q5185" s="17" t="s">
        <v>5853</v>
      </c>
      <c r="R5185" s="17" t="s">
        <v>1369</v>
      </c>
      <c r="S5185" s="17"/>
      <c r="T5185" s="17"/>
      <c r="U5185" s="17"/>
    </row>
    <row r="5186" spans="17:21" x14ac:dyDescent="0.25">
      <c r="Q5186" s="17" t="s">
        <v>5854</v>
      </c>
      <c r="R5186" s="17" t="s">
        <v>1369</v>
      </c>
      <c r="S5186" s="17"/>
      <c r="T5186" s="17"/>
      <c r="U5186" s="17"/>
    </row>
    <row r="5187" spans="17:21" x14ac:dyDescent="0.25">
      <c r="Q5187" s="17" t="s">
        <v>5855</v>
      </c>
      <c r="R5187" s="17" t="s">
        <v>1369</v>
      </c>
      <c r="S5187" s="17"/>
      <c r="T5187" s="17"/>
      <c r="U5187" s="17"/>
    </row>
    <row r="5188" spans="17:21" x14ac:dyDescent="0.25">
      <c r="Q5188" s="17" t="s">
        <v>5856</v>
      </c>
      <c r="R5188" s="17" t="s">
        <v>1369</v>
      </c>
      <c r="S5188" s="17"/>
      <c r="T5188" s="17"/>
      <c r="U5188" s="17"/>
    </row>
    <row r="5189" spans="17:21" x14ac:dyDescent="0.25">
      <c r="Q5189" s="17" t="s">
        <v>5857</v>
      </c>
      <c r="R5189" s="17" t="s">
        <v>1369</v>
      </c>
      <c r="S5189" s="17"/>
      <c r="T5189" s="17"/>
      <c r="U5189" s="17"/>
    </row>
    <row r="5190" spans="17:21" x14ac:dyDescent="0.25">
      <c r="Q5190" s="17" t="s">
        <v>5858</v>
      </c>
      <c r="R5190" s="17" t="s">
        <v>1369</v>
      </c>
      <c r="S5190" s="17"/>
      <c r="T5190" s="17"/>
      <c r="U5190" s="17"/>
    </row>
    <row r="5191" spans="17:21" x14ac:dyDescent="0.25">
      <c r="Q5191" s="17" t="s">
        <v>5859</v>
      </c>
      <c r="R5191" s="17" t="s">
        <v>1369</v>
      </c>
      <c r="S5191" s="17"/>
      <c r="T5191" s="17"/>
      <c r="U5191" s="17"/>
    </row>
    <row r="5192" spans="17:21" x14ac:dyDescent="0.25">
      <c r="Q5192" s="17" t="s">
        <v>5860</v>
      </c>
      <c r="R5192" s="17" t="s">
        <v>1369</v>
      </c>
      <c r="S5192" s="17"/>
      <c r="T5192" s="17"/>
      <c r="U5192" s="17"/>
    </row>
    <row r="5193" spans="17:21" x14ac:dyDescent="0.25">
      <c r="Q5193" s="17" t="s">
        <v>5861</v>
      </c>
      <c r="R5193" s="17" t="s">
        <v>1369</v>
      </c>
      <c r="S5193" s="17"/>
      <c r="T5193" s="17"/>
      <c r="U5193" s="17"/>
    </row>
    <row r="5194" spans="17:21" x14ac:dyDescent="0.25">
      <c r="Q5194" s="17" t="s">
        <v>5862</v>
      </c>
      <c r="R5194" s="17" t="s">
        <v>1369</v>
      </c>
      <c r="S5194" s="17"/>
      <c r="T5194" s="17"/>
      <c r="U5194" s="17"/>
    </row>
    <row r="5195" spans="17:21" x14ac:dyDescent="0.25">
      <c r="Q5195" s="17" t="s">
        <v>5863</v>
      </c>
      <c r="R5195" s="17" t="s">
        <v>1369</v>
      </c>
      <c r="S5195" s="17"/>
      <c r="T5195" s="17"/>
      <c r="U5195" s="17"/>
    </row>
    <row r="5196" spans="17:21" x14ac:dyDescent="0.25">
      <c r="Q5196" s="17" t="s">
        <v>5864</v>
      </c>
      <c r="R5196" s="17" t="s">
        <v>1369</v>
      </c>
      <c r="S5196" s="17"/>
      <c r="T5196" s="17"/>
      <c r="U5196" s="17"/>
    </row>
    <row r="5197" spans="17:21" x14ac:dyDescent="0.25">
      <c r="Q5197" s="17" t="s">
        <v>5865</v>
      </c>
      <c r="R5197" s="17" t="s">
        <v>1369</v>
      </c>
      <c r="S5197" s="17"/>
      <c r="T5197" s="17"/>
      <c r="U5197" s="17"/>
    </row>
    <row r="5198" spans="17:21" x14ac:dyDescent="0.25">
      <c r="Q5198" s="17" t="s">
        <v>5866</v>
      </c>
      <c r="R5198" s="17" t="s">
        <v>1369</v>
      </c>
      <c r="S5198" s="17"/>
      <c r="T5198" s="17"/>
      <c r="U5198" s="17"/>
    </row>
    <row r="5199" spans="17:21" x14ac:dyDescent="0.25">
      <c r="Q5199" s="17" t="s">
        <v>5867</v>
      </c>
      <c r="R5199" s="17" t="s">
        <v>1369</v>
      </c>
      <c r="S5199" s="17"/>
      <c r="T5199" s="17"/>
      <c r="U5199" s="17"/>
    </row>
    <row r="5200" spans="17:21" x14ac:dyDescent="0.25">
      <c r="Q5200" s="17" t="s">
        <v>5868</v>
      </c>
      <c r="R5200" s="17" t="s">
        <v>1369</v>
      </c>
      <c r="S5200" s="17"/>
      <c r="T5200" s="17"/>
      <c r="U5200" s="17"/>
    </row>
    <row r="5201" spans="17:21" x14ac:dyDescent="0.25">
      <c r="Q5201" s="17" t="s">
        <v>5869</v>
      </c>
      <c r="R5201" s="17" t="s">
        <v>1369</v>
      </c>
      <c r="S5201" s="17"/>
      <c r="T5201" s="17"/>
      <c r="U5201" s="17"/>
    </row>
    <row r="5202" spans="17:21" x14ac:dyDescent="0.25">
      <c r="Q5202" s="17" t="s">
        <v>5870</v>
      </c>
      <c r="R5202" s="17" t="s">
        <v>1369</v>
      </c>
      <c r="S5202" s="17"/>
      <c r="T5202" s="17"/>
      <c r="U5202" s="17"/>
    </row>
    <row r="5203" spans="17:21" x14ac:dyDescent="0.25">
      <c r="Q5203" s="17" t="s">
        <v>5871</v>
      </c>
      <c r="R5203" s="17" t="s">
        <v>1369</v>
      </c>
      <c r="S5203" s="17"/>
      <c r="T5203" s="17"/>
      <c r="U5203" s="17"/>
    </row>
    <row r="5204" spans="17:21" x14ac:dyDescent="0.25">
      <c r="Q5204" s="17" t="s">
        <v>5872</v>
      </c>
      <c r="R5204" s="17" t="s">
        <v>1369</v>
      </c>
      <c r="S5204" s="17"/>
      <c r="T5204" s="17"/>
      <c r="U5204" s="17"/>
    </row>
    <row r="5205" spans="17:21" x14ac:dyDescent="0.25">
      <c r="Q5205" s="17" t="s">
        <v>5873</v>
      </c>
      <c r="R5205" s="17" t="s">
        <v>1369</v>
      </c>
      <c r="S5205" s="17"/>
      <c r="T5205" s="17"/>
      <c r="U5205" s="17"/>
    </row>
    <row r="5206" spans="17:21" x14ac:dyDescent="0.25">
      <c r="Q5206" s="17" t="s">
        <v>5874</v>
      </c>
      <c r="R5206" s="17" t="s">
        <v>1369</v>
      </c>
      <c r="S5206" s="17"/>
      <c r="T5206" s="17"/>
      <c r="U5206" s="17"/>
    </row>
    <row r="5207" spans="17:21" x14ac:dyDescent="0.25">
      <c r="Q5207" s="17" t="s">
        <v>5875</v>
      </c>
      <c r="R5207" s="17" t="s">
        <v>1369</v>
      </c>
      <c r="S5207" s="17"/>
      <c r="T5207" s="17"/>
      <c r="U5207" s="17"/>
    </row>
    <row r="5208" spans="17:21" x14ac:dyDescent="0.25">
      <c r="Q5208" s="17" t="s">
        <v>5876</v>
      </c>
      <c r="R5208" s="17" t="s">
        <v>1369</v>
      </c>
      <c r="S5208" s="17"/>
      <c r="T5208" s="17"/>
      <c r="U5208" s="17"/>
    </row>
    <row r="5209" spans="17:21" x14ac:dyDescent="0.25">
      <c r="Q5209" s="17" t="s">
        <v>5877</v>
      </c>
      <c r="R5209" s="17" t="s">
        <v>1369</v>
      </c>
      <c r="S5209" s="17"/>
      <c r="T5209" s="17"/>
      <c r="U5209" s="17"/>
    </row>
    <row r="5210" spans="17:21" x14ac:dyDescent="0.25">
      <c r="Q5210" s="17" t="s">
        <v>5878</v>
      </c>
      <c r="R5210" s="17" t="s">
        <v>1369</v>
      </c>
      <c r="S5210" s="17"/>
      <c r="T5210" s="17"/>
      <c r="U5210" s="17"/>
    </row>
    <row r="5211" spans="17:21" x14ac:dyDescent="0.25">
      <c r="Q5211" s="17" t="s">
        <v>5879</v>
      </c>
      <c r="R5211" s="17" t="s">
        <v>1369</v>
      </c>
      <c r="S5211" s="17"/>
      <c r="T5211" s="17"/>
      <c r="U5211" s="17"/>
    </row>
    <row r="5212" spans="17:21" x14ac:dyDescent="0.25">
      <c r="Q5212" s="17" t="s">
        <v>5880</v>
      </c>
      <c r="R5212" s="17" t="s">
        <v>1369</v>
      </c>
      <c r="S5212" s="17"/>
      <c r="T5212" s="17"/>
      <c r="U5212" s="17"/>
    </row>
    <row r="5213" spans="17:21" x14ac:dyDescent="0.25">
      <c r="Q5213" s="17" t="s">
        <v>5881</v>
      </c>
      <c r="R5213" s="17" t="s">
        <v>1369</v>
      </c>
      <c r="S5213" s="17"/>
      <c r="T5213" s="17"/>
      <c r="U5213" s="17"/>
    </row>
    <row r="5214" spans="17:21" x14ac:dyDescent="0.25">
      <c r="Q5214" s="17" t="s">
        <v>5882</v>
      </c>
      <c r="R5214" s="17" t="s">
        <v>1369</v>
      </c>
      <c r="S5214" s="17"/>
      <c r="T5214" s="17"/>
      <c r="U5214" s="17"/>
    </row>
    <row r="5215" spans="17:21" x14ac:dyDescent="0.25">
      <c r="Q5215" s="17" t="s">
        <v>5883</v>
      </c>
      <c r="R5215" s="17" t="s">
        <v>1369</v>
      </c>
      <c r="S5215" s="17"/>
      <c r="T5215" s="17"/>
      <c r="U5215" s="17"/>
    </row>
    <row r="5216" spans="17:21" x14ac:dyDescent="0.25">
      <c r="Q5216" s="17" t="s">
        <v>5884</v>
      </c>
      <c r="R5216" s="17" t="s">
        <v>1369</v>
      </c>
      <c r="S5216" s="17"/>
      <c r="T5216" s="17"/>
      <c r="U5216" s="17"/>
    </row>
    <row r="5217" spans="17:21" x14ac:dyDescent="0.25">
      <c r="Q5217" s="17" t="s">
        <v>5885</v>
      </c>
      <c r="R5217" s="17" t="s">
        <v>1369</v>
      </c>
      <c r="S5217" s="17"/>
      <c r="T5217" s="17"/>
      <c r="U5217" s="17"/>
    </row>
    <row r="5218" spans="17:21" x14ac:dyDescent="0.25">
      <c r="Q5218" s="17" t="s">
        <v>5886</v>
      </c>
      <c r="R5218" s="17" t="s">
        <v>1369</v>
      </c>
      <c r="S5218" s="17"/>
      <c r="T5218" s="17"/>
      <c r="U5218" s="17"/>
    </row>
    <row r="5219" spans="17:21" x14ac:dyDescent="0.25">
      <c r="Q5219" s="17" t="s">
        <v>5887</v>
      </c>
      <c r="R5219" s="17" t="s">
        <v>1369</v>
      </c>
      <c r="S5219" s="17"/>
      <c r="T5219" s="17"/>
      <c r="U5219" s="17"/>
    </row>
    <row r="5220" spans="17:21" x14ac:dyDescent="0.25">
      <c r="Q5220" s="17" t="s">
        <v>5888</v>
      </c>
      <c r="R5220" s="17" t="s">
        <v>1369</v>
      </c>
      <c r="S5220" s="17"/>
      <c r="T5220" s="17"/>
      <c r="U5220" s="17"/>
    </row>
    <row r="5221" spans="17:21" x14ac:dyDescent="0.25">
      <c r="Q5221" s="17" t="s">
        <v>5889</v>
      </c>
      <c r="R5221" s="17" t="s">
        <v>1369</v>
      </c>
      <c r="S5221" s="17"/>
      <c r="T5221" s="17"/>
      <c r="U5221" s="17"/>
    </row>
    <row r="5222" spans="17:21" x14ac:dyDescent="0.25">
      <c r="Q5222" s="17" t="s">
        <v>5890</v>
      </c>
      <c r="R5222" s="17" t="s">
        <v>1369</v>
      </c>
      <c r="S5222" s="17"/>
      <c r="T5222" s="17"/>
      <c r="U5222" s="17"/>
    </row>
    <row r="5223" spans="17:21" x14ac:dyDescent="0.25">
      <c r="Q5223" s="17" t="s">
        <v>5891</v>
      </c>
      <c r="R5223" s="17" t="s">
        <v>1369</v>
      </c>
      <c r="S5223" s="17"/>
      <c r="T5223" s="17"/>
      <c r="U5223" s="17"/>
    </row>
    <row r="5224" spans="17:21" x14ac:dyDescent="0.25">
      <c r="Q5224" s="17" t="s">
        <v>5892</v>
      </c>
      <c r="R5224" s="17" t="s">
        <v>1369</v>
      </c>
      <c r="S5224" s="17"/>
      <c r="T5224" s="17"/>
      <c r="U5224" s="17"/>
    </row>
    <row r="5225" spans="17:21" x14ac:dyDescent="0.25">
      <c r="Q5225" s="17" t="s">
        <v>5893</v>
      </c>
      <c r="R5225" s="17" t="s">
        <v>1369</v>
      </c>
      <c r="S5225" s="17"/>
      <c r="T5225" s="17"/>
      <c r="U5225" s="17"/>
    </row>
    <row r="5226" spans="17:21" x14ac:dyDescent="0.25">
      <c r="Q5226" s="17" t="s">
        <v>5894</v>
      </c>
      <c r="R5226" s="17" t="s">
        <v>1369</v>
      </c>
      <c r="S5226" s="17"/>
      <c r="T5226" s="17"/>
      <c r="U5226" s="17"/>
    </row>
    <row r="5227" spans="17:21" x14ac:dyDescent="0.25">
      <c r="Q5227" s="17" t="s">
        <v>5895</v>
      </c>
      <c r="R5227" s="17" t="s">
        <v>1369</v>
      </c>
      <c r="S5227" s="17"/>
      <c r="T5227" s="17"/>
      <c r="U5227" s="17"/>
    </row>
    <row r="5228" spans="17:21" x14ac:dyDescent="0.25">
      <c r="Q5228" s="17" t="s">
        <v>5896</v>
      </c>
      <c r="R5228" s="17" t="s">
        <v>1369</v>
      </c>
      <c r="S5228" s="17"/>
      <c r="T5228" s="17"/>
      <c r="U5228" s="17"/>
    </row>
    <row r="5229" spans="17:21" x14ac:dyDescent="0.25">
      <c r="Q5229" s="17" t="s">
        <v>5897</v>
      </c>
      <c r="R5229" s="17" t="s">
        <v>1369</v>
      </c>
      <c r="S5229" s="17"/>
      <c r="T5229" s="17"/>
      <c r="U5229" s="17"/>
    </row>
    <row r="5230" spans="17:21" x14ac:dyDescent="0.25">
      <c r="Q5230" s="17" t="s">
        <v>5898</v>
      </c>
      <c r="R5230" s="17" t="s">
        <v>1369</v>
      </c>
      <c r="S5230" s="17"/>
      <c r="T5230" s="17"/>
      <c r="U5230" s="17"/>
    </row>
    <row r="5231" spans="17:21" x14ac:dyDescent="0.25">
      <c r="Q5231" s="17" t="s">
        <v>5899</v>
      </c>
      <c r="R5231" s="17" t="s">
        <v>1369</v>
      </c>
      <c r="S5231" s="17"/>
      <c r="T5231" s="17"/>
      <c r="U5231" s="17"/>
    </row>
    <row r="5232" spans="17:21" x14ac:dyDescent="0.25">
      <c r="Q5232" s="17" t="s">
        <v>5900</v>
      </c>
      <c r="R5232" s="17" t="s">
        <v>1369</v>
      </c>
      <c r="S5232" s="17"/>
      <c r="T5232" s="17"/>
      <c r="U5232" s="17"/>
    </row>
    <row r="5233" spans="17:21" x14ac:dyDescent="0.25">
      <c r="Q5233" s="17" t="s">
        <v>5901</v>
      </c>
      <c r="R5233" s="17" t="s">
        <v>1369</v>
      </c>
      <c r="S5233" s="17"/>
      <c r="T5233" s="17"/>
      <c r="U5233" s="17"/>
    </row>
    <row r="5234" spans="17:21" x14ac:dyDescent="0.25">
      <c r="Q5234" s="17" t="s">
        <v>5902</v>
      </c>
      <c r="R5234" s="17" t="s">
        <v>1369</v>
      </c>
      <c r="S5234" s="17"/>
      <c r="T5234" s="17"/>
      <c r="U5234" s="17"/>
    </row>
    <row r="5235" spans="17:21" x14ac:dyDescent="0.25">
      <c r="Q5235" s="17" t="s">
        <v>5903</v>
      </c>
      <c r="R5235" s="17" t="s">
        <v>1369</v>
      </c>
      <c r="S5235" s="17"/>
      <c r="T5235" s="17"/>
      <c r="U5235" s="17"/>
    </row>
    <row r="5236" spans="17:21" x14ac:dyDescent="0.25">
      <c r="Q5236" s="17" t="s">
        <v>5904</v>
      </c>
      <c r="R5236" s="17" t="s">
        <v>1369</v>
      </c>
      <c r="S5236" s="17"/>
      <c r="T5236" s="17"/>
      <c r="U5236" s="17"/>
    </row>
    <row r="5237" spans="17:21" x14ac:dyDescent="0.25">
      <c r="Q5237" s="17" t="s">
        <v>5905</v>
      </c>
      <c r="R5237" s="17" t="s">
        <v>1369</v>
      </c>
      <c r="S5237" s="17"/>
      <c r="T5237" s="17"/>
      <c r="U5237" s="17"/>
    </row>
    <row r="5238" spans="17:21" x14ac:dyDescent="0.25">
      <c r="Q5238" s="17" t="s">
        <v>5906</v>
      </c>
      <c r="R5238" s="17" t="s">
        <v>1369</v>
      </c>
      <c r="S5238" s="17"/>
      <c r="T5238" s="17"/>
      <c r="U5238" s="17"/>
    </row>
    <row r="5239" spans="17:21" x14ac:dyDescent="0.25">
      <c r="Q5239" s="17" t="s">
        <v>5907</v>
      </c>
      <c r="R5239" s="17" t="s">
        <v>1369</v>
      </c>
      <c r="S5239" s="17"/>
      <c r="T5239" s="17"/>
      <c r="U5239" s="17"/>
    </row>
    <row r="5240" spans="17:21" x14ac:dyDescent="0.25">
      <c r="Q5240" s="17" t="s">
        <v>5908</v>
      </c>
      <c r="R5240" s="17" t="s">
        <v>1369</v>
      </c>
      <c r="S5240" s="17"/>
      <c r="T5240" s="17"/>
      <c r="U5240" s="17"/>
    </row>
    <row r="5241" spans="17:21" x14ac:dyDescent="0.25">
      <c r="Q5241" s="17" t="s">
        <v>5909</v>
      </c>
      <c r="R5241" s="17" t="s">
        <v>1369</v>
      </c>
      <c r="S5241" s="17"/>
      <c r="T5241" s="17"/>
      <c r="U5241" s="17"/>
    </row>
    <row r="5242" spans="17:21" x14ac:dyDescent="0.25">
      <c r="Q5242" s="17" t="s">
        <v>5910</v>
      </c>
      <c r="R5242" s="17" t="s">
        <v>1369</v>
      </c>
      <c r="S5242" s="17"/>
      <c r="T5242" s="17"/>
      <c r="U5242" s="17"/>
    </row>
    <row r="5243" spans="17:21" x14ac:dyDescent="0.25">
      <c r="Q5243" s="17" t="s">
        <v>5911</v>
      </c>
      <c r="R5243" s="17" t="s">
        <v>1369</v>
      </c>
      <c r="S5243" s="17"/>
      <c r="T5243" s="17"/>
      <c r="U5243" s="17"/>
    </row>
    <row r="5244" spans="17:21" x14ac:dyDescent="0.25">
      <c r="Q5244" s="17" t="s">
        <v>5912</v>
      </c>
      <c r="R5244" s="17" t="s">
        <v>1369</v>
      </c>
      <c r="S5244" s="17"/>
      <c r="T5244" s="17"/>
      <c r="U5244" s="17"/>
    </row>
    <row r="5245" spans="17:21" x14ac:dyDescent="0.25">
      <c r="Q5245" s="17" t="s">
        <v>5913</v>
      </c>
      <c r="R5245" s="17" t="s">
        <v>1369</v>
      </c>
      <c r="S5245" s="17"/>
      <c r="T5245" s="17"/>
      <c r="U5245" s="17"/>
    </row>
    <row r="5246" spans="17:21" x14ac:dyDescent="0.25">
      <c r="Q5246" s="17" t="s">
        <v>5914</v>
      </c>
      <c r="R5246" s="17" t="s">
        <v>1369</v>
      </c>
      <c r="S5246" s="17"/>
      <c r="T5246" s="17"/>
      <c r="U5246" s="17"/>
    </row>
    <row r="5247" spans="17:21" x14ac:dyDescent="0.25">
      <c r="Q5247" s="17" t="s">
        <v>5915</v>
      </c>
      <c r="R5247" s="17" t="s">
        <v>1369</v>
      </c>
      <c r="S5247" s="17"/>
      <c r="T5247" s="17"/>
      <c r="U5247" s="17"/>
    </row>
    <row r="5248" spans="17:21" x14ac:dyDescent="0.25">
      <c r="Q5248" s="17" t="s">
        <v>5916</v>
      </c>
      <c r="R5248" s="17" t="s">
        <v>1369</v>
      </c>
      <c r="S5248" s="17"/>
      <c r="T5248" s="17"/>
      <c r="U5248" s="17"/>
    </row>
    <row r="5249" spans="17:21" x14ac:dyDescent="0.25">
      <c r="Q5249" s="17" t="s">
        <v>5917</v>
      </c>
      <c r="R5249" s="17" t="s">
        <v>1369</v>
      </c>
      <c r="S5249" s="17"/>
      <c r="T5249" s="17"/>
      <c r="U5249" s="17"/>
    </row>
    <row r="5250" spans="17:21" x14ac:dyDescent="0.25">
      <c r="Q5250" s="17" t="s">
        <v>5918</v>
      </c>
      <c r="R5250" s="17" t="s">
        <v>1369</v>
      </c>
      <c r="S5250" s="17"/>
      <c r="T5250" s="17"/>
      <c r="U5250" s="17"/>
    </row>
    <row r="5251" spans="17:21" x14ac:dyDescent="0.25">
      <c r="Q5251" s="17" t="s">
        <v>5919</v>
      </c>
      <c r="R5251" s="17" t="s">
        <v>1369</v>
      </c>
      <c r="S5251" s="17"/>
      <c r="T5251" s="17"/>
      <c r="U5251" s="17"/>
    </row>
    <row r="5252" spans="17:21" x14ac:dyDescent="0.25">
      <c r="Q5252" s="17" t="s">
        <v>5920</v>
      </c>
      <c r="R5252" s="17" t="s">
        <v>1369</v>
      </c>
      <c r="S5252" s="17"/>
      <c r="T5252" s="17"/>
      <c r="U5252" s="17"/>
    </row>
    <row r="5253" spans="17:21" x14ac:dyDescent="0.25">
      <c r="Q5253" s="17" t="s">
        <v>5921</v>
      </c>
      <c r="R5253" s="17" t="s">
        <v>1369</v>
      </c>
      <c r="S5253" s="17"/>
      <c r="T5253" s="17"/>
      <c r="U5253" s="17"/>
    </row>
    <row r="5254" spans="17:21" x14ac:dyDescent="0.25">
      <c r="Q5254" s="17" t="s">
        <v>5922</v>
      </c>
      <c r="R5254" s="17" t="s">
        <v>1369</v>
      </c>
      <c r="S5254" s="17"/>
      <c r="T5254" s="17"/>
      <c r="U5254" s="17"/>
    </row>
    <row r="5255" spans="17:21" x14ac:dyDescent="0.25">
      <c r="Q5255" s="17" t="s">
        <v>5923</v>
      </c>
      <c r="R5255" s="17" t="s">
        <v>1369</v>
      </c>
      <c r="S5255" s="17"/>
      <c r="T5255" s="17"/>
      <c r="U5255" s="17"/>
    </row>
    <row r="5256" spans="17:21" x14ac:dyDescent="0.25">
      <c r="Q5256" s="17" t="s">
        <v>5924</v>
      </c>
      <c r="R5256" s="17" t="s">
        <v>1369</v>
      </c>
      <c r="S5256" s="17"/>
      <c r="T5256" s="17"/>
      <c r="U5256" s="17"/>
    </row>
    <row r="5257" spans="17:21" x14ac:dyDescent="0.25">
      <c r="Q5257" s="17" t="s">
        <v>5925</v>
      </c>
      <c r="R5257" s="17" t="s">
        <v>1369</v>
      </c>
      <c r="S5257" s="17"/>
      <c r="T5257" s="17"/>
      <c r="U5257" s="17"/>
    </row>
    <row r="5258" spans="17:21" x14ac:dyDescent="0.25">
      <c r="Q5258" s="17" t="s">
        <v>5926</v>
      </c>
      <c r="R5258" s="17" t="s">
        <v>1369</v>
      </c>
      <c r="S5258" s="17"/>
      <c r="T5258" s="17"/>
      <c r="U5258" s="17"/>
    </row>
    <row r="5259" spans="17:21" x14ac:dyDescent="0.25">
      <c r="Q5259" s="17" t="s">
        <v>5927</v>
      </c>
      <c r="R5259" s="17" t="s">
        <v>1369</v>
      </c>
      <c r="S5259" s="17"/>
      <c r="T5259" s="17"/>
      <c r="U5259" s="17"/>
    </row>
    <row r="5260" spans="17:21" x14ac:dyDescent="0.25">
      <c r="Q5260" s="17" t="s">
        <v>5928</v>
      </c>
      <c r="R5260" s="17" t="s">
        <v>1369</v>
      </c>
      <c r="S5260" s="17"/>
      <c r="T5260" s="17"/>
      <c r="U5260" s="17"/>
    </row>
    <row r="5261" spans="17:21" x14ac:dyDescent="0.25">
      <c r="Q5261" s="17" t="s">
        <v>5929</v>
      </c>
      <c r="R5261" s="17" t="s">
        <v>1369</v>
      </c>
      <c r="S5261" s="17"/>
      <c r="T5261" s="17"/>
      <c r="U5261" s="17"/>
    </row>
    <row r="5262" spans="17:21" x14ac:dyDescent="0.25">
      <c r="Q5262" s="17" t="s">
        <v>5930</v>
      </c>
      <c r="R5262" s="17" t="s">
        <v>1369</v>
      </c>
      <c r="S5262" s="17"/>
      <c r="T5262" s="17"/>
      <c r="U5262" s="17"/>
    </row>
    <row r="5263" spans="17:21" x14ac:dyDescent="0.25">
      <c r="Q5263" s="17" t="s">
        <v>5931</v>
      </c>
      <c r="R5263" s="17" t="s">
        <v>1369</v>
      </c>
      <c r="S5263" s="17"/>
      <c r="T5263" s="17"/>
      <c r="U5263" s="17"/>
    </row>
    <row r="5264" spans="17:21" x14ac:dyDescent="0.25">
      <c r="Q5264" s="17" t="s">
        <v>5932</v>
      </c>
      <c r="R5264" s="17" t="s">
        <v>1369</v>
      </c>
      <c r="S5264" s="17"/>
      <c r="T5264" s="17"/>
      <c r="U5264" s="17"/>
    </row>
    <row r="5265" spans="17:21" x14ac:dyDescent="0.25">
      <c r="Q5265" s="17" t="s">
        <v>5933</v>
      </c>
      <c r="R5265" s="17" t="s">
        <v>1369</v>
      </c>
      <c r="S5265" s="17"/>
      <c r="T5265" s="17"/>
      <c r="U5265" s="17"/>
    </row>
    <row r="5266" spans="17:21" x14ac:dyDescent="0.25">
      <c r="Q5266" s="17" t="s">
        <v>5934</v>
      </c>
      <c r="R5266" s="17" t="s">
        <v>1369</v>
      </c>
      <c r="S5266" s="17"/>
      <c r="T5266" s="17"/>
      <c r="U5266" s="17"/>
    </row>
    <row r="5267" spans="17:21" x14ac:dyDescent="0.25">
      <c r="Q5267" s="17" t="s">
        <v>5935</v>
      </c>
      <c r="R5267" s="17" t="s">
        <v>1369</v>
      </c>
      <c r="S5267" s="17"/>
      <c r="T5267" s="17"/>
      <c r="U5267" s="17"/>
    </row>
    <row r="5268" spans="17:21" x14ac:dyDescent="0.25">
      <c r="Q5268" s="17" t="s">
        <v>5936</v>
      </c>
      <c r="R5268" s="17" t="s">
        <v>1369</v>
      </c>
      <c r="S5268" s="17"/>
      <c r="T5268" s="17"/>
      <c r="U5268" s="17"/>
    </row>
    <row r="5269" spans="17:21" x14ac:dyDescent="0.25">
      <c r="Q5269" s="17" t="s">
        <v>5937</v>
      </c>
      <c r="R5269" s="17" t="s">
        <v>1369</v>
      </c>
      <c r="S5269" s="17"/>
      <c r="T5269" s="17"/>
      <c r="U5269" s="17"/>
    </row>
    <row r="5270" spans="17:21" x14ac:dyDescent="0.25">
      <c r="Q5270" s="17" t="s">
        <v>5938</v>
      </c>
      <c r="R5270" s="17" t="s">
        <v>1369</v>
      </c>
      <c r="S5270" s="17"/>
      <c r="T5270" s="17"/>
      <c r="U5270" s="17"/>
    </row>
    <row r="5271" spans="17:21" x14ac:dyDescent="0.25">
      <c r="Q5271" s="17" t="s">
        <v>5939</v>
      </c>
      <c r="R5271" s="17" t="s">
        <v>1369</v>
      </c>
      <c r="S5271" s="17"/>
      <c r="T5271" s="17"/>
      <c r="U5271" s="17"/>
    </row>
    <row r="5272" spans="17:21" x14ac:dyDescent="0.25">
      <c r="Q5272" s="17" t="s">
        <v>5940</v>
      </c>
      <c r="R5272" s="17" t="s">
        <v>1369</v>
      </c>
      <c r="S5272" s="17"/>
      <c r="T5272" s="17"/>
      <c r="U5272" s="17"/>
    </row>
    <row r="5273" spans="17:21" x14ac:dyDescent="0.25">
      <c r="Q5273" s="17" t="s">
        <v>5941</v>
      </c>
      <c r="R5273" s="17" t="s">
        <v>1369</v>
      </c>
      <c r="S5273" s="17"/>
      <c r="T5273" s="17"/>
      <c r="U5273" s="17"/>
    </row>
    <row r="5274" spans="17:21" x14ac:dyDescent="0.25">
      <c r="Q5274" s="17" t="s">
        <v>5942</v>
      </c>
      <c r="R5274" s="17" t="s">
        <v>1369</v>
      </c>
      <c r="S5274" s="17"/>
      <c r="T5274" s="17"/>
      <c r="U5274" s="17"/>
    </row>
    <row r="5275" spans="17:21" x14ac:dyDescent="0.25">
      <c r="Q5275" s="17" t="s">
        <v>5943</v>
      </c>
      <c r="R5275" s="17" t="s">
        <v>1369</v>
      </c>
      <c r="S5275" s="17"/>
      <c r="T5275" s="17"/>
      <c r="U5275" s="17"/>
    </row>
    <row r="5276" spans="17:21" x14ac:dyDescent="0.25">
      <c r="Q5276" s="17" t="s">
        <v>5944</v>
      </c>
      <c r="R5276" s="17" t="s">
        <v>1369</v>
      </c>
      <c r="S5276" s="17"/>
      <c r="T5276" s="17"/>
      <c r="U5276" s="17"/>
    </row>
    <row r="5277" spans="17:21" x14ac:dyDescent="0.25">
      <c r="Q5277" s="17" t="s">
        <v>5945</v>
      </c>
      <c r="R5277" s="17" t="s">
        <v>1369</v>
      </c>
      <c r="S5277" s="17"/>
      <c r="T5277" s="17"/>
      <c r="U5277" s="17"/>
    </row>
    <row r="5278" spans="17:21" x14ac:dyDescent="0.25">
      <c r="Q5278" s="17" t="s">
        <v>5946</v>
      </c>
      <c r="R5278" s="17" t="s">
        <v>1369</v>
      </c>
      <c r="S5278" s="17"/>
      <c r="T5278" s="17"/>
      <c r="U5278" s="17"/>
    </row>
    <row r="5279" spans="17:21" x14ac:dyDescent="0.25">
      <c r="Q5279" s="17" t="s">
        <v>5947</v>
      </c>
      <c r="R5279" s="17" t="s">
        <v>1369</v>
      </c>
      <c r="S5279" s="17"/>
      <c r="T5279" s="17"/>
      <c r="U5279" s="17"/>
    </row>
    <row r="5280" spans="17:21" x14ac:dyDescent="0.25">
      <c r="Q5280" s="17" t="s">
        <v>5948</v>
      </c>
      <c r="R5280" s="17" t="s">
        <v>1369</v>
      </c>
      <c r="S5280" s="17"/>
      <c r="T5280" s="17"/>
      <c r="U5280" s="17"/>
    </row>
    <row r="5281" spans="17:21" x14ac:dyDescent="0.25">
      <c r="Q5281" s="17" t="s">
        <v>5949</v>
      </c>
      <c r="R5281" s="17" t="s">
        <v>1369</v>
      </c>
      <c r="S5281" s="17"/>
      <c r="T5281" s="17"/>
      <c r="U5281" s="17"/>
    </row>
    <row r="5282" spans="17:21" x14ac:dyDescent="0.25">
      <c r="Q5282" s="17" t="s">
        <v>5950</v>
      </c>
      <c r="R5282" s="17" t="s">
        <v>1369</v>
      </c>
      <c r="S5282" s="17"/>
      <c r="T5282" s="17"/>
      <c r="U5282" s="17"/>
    </row>
    <row r="5283" spans="17:21" x14ac:dyDescent="0.25">
      <c r="Q5283" s="17" t="s">
        <v>5951</v>
      </c>
      <c r="R5283" s="17" t="s">
        <v>1369</v>
      </c>
      <c r="S5283" s="17"/>
      <c r="T5283" s="17"/>
      <c r="U5283" s="17"/>
    </row>
    <row r="5284" spans="17:21" x14ac:dyDescent="0.25">
      <c r="Q5284" s="17" t="s">
        <v>5952</v>
      </c>
      <c r="R5284" s="17" t="s">
        <v>1369</v>
      </c>
      <c r="S5284" s="17"/>
      <c r="T5284" s="17"/>
      <c r="U5284" s="17"/>
    </row>
    <row r="5285" spans="17:21" x14ac:dyDescent="0.25">
      <c r="Q5285" s="17" t="s">
        <v>5953</v>
      </c>
      <c r="R5285" s="17" t="s">
        <v>1369</v>
      </c>
      <c r="S5285" s="17"/>
      <c r="T5285" s="17"/>
      <c r="U5285" s="17"/>
    </row>
    <row r="5286" spans="17:21" x14ac:dyDescent="0.25">
      <c r="Q5286" s="17" t="s">
        <v>5954</v>
      </c>
      <c r="R5286" s="17" t="s">
        <v>1369</v>
      </c>
      <c r="S5286" s="17"/>
      <c r="T5286" s="17"/>
      <c r="U5286" s="17"/>
    </row>
    <row r="5287" spans="17:21" x14ac:dyDescent="0.25">
      <c r="Q5287" s="17" t="s">
        <v>5955</v>
      </c>
      <c r="R5287" s="17" t="s">
        <v>1369</v>
      </c>
      <c r="S5287" s="17"/>
      <c r="T5287" s="17"/>
      <c r="U5287" s="17"/>
    </row>
    <row r="5288" spans="17:21" x14ac:dyDescent="0.25">
      <c r="Q5288" s="17" t="s">
        <v>5956</v>
      </c>
      <c r="R5288" s="17" t="s">
        <v>1369</v>
      </c>
      <c r="S5288" s="17"/>
      <c r="T5288" s="17"/>
      <c r="U5288" s="17"/>
    </row>
    <row r="5289" spans="17:21" x14ac:dyDescent="0.25">
      <c r="Q5289" s="17" t="s">
        <v>5957</v>
      </c>
      <c r="R5289" s="17" t="s">
        <v>1369</v>
      </c>
      <c r="S5289" s="17"/>
      <c r="T5289" s="17"/>
      <c r="U5289" s="17"/>
    </row>
    <row r="5290" spans="17:21" x14ac:dyDescent="0.25">
      <c r="Q5290" s="17" t="s">
        <v>5958</v>
      </c>
      <c r="R5290" s="17" t="s">
        <v>1369</v>
      </c>
      <c r="S5290" s="17"/>
      <c r="T5290" s="17"/>
      <c r="U5290" s="17"/>
    </row>
    <row r="5291" spans="17:21" x14ac:dyDescent="0.25">
      <c r="Q5291" s="17" t="s">
        <v>5959</v>
      </c>
      <c r="R5291" s="17" t="s">
        <v>1369</v>
      </c>
      <c r="S5291" s="17"/>
      <c r="T5291" s="17"/>
      <c r="U5291" s="17"/>
    </row>
    <row r="5292" spans="17:21" x14ac:dyDescent="0.25">
      <c r="Q5292" s="17" t="s">
        <v>5960</v>
      </c>
      <c r="R5292" s="17" t="s">
        <v>1369</v>
      </c>
      <c r="S5292" s="17"/>
      <c r="T5292" s="17"/>
      <c r="U5292" s="17"/>
    </row>
    <row r="5293" spans="17:21" x14ac:dyDescent="0.25">
      <c r="Q5293" s="17" t="s">
        <v>5961</v>
      </c>
      <c r="R5293" s="17" t="s">
        <v>1369</v>
      </c>
      <c r="S5293" s="17"/>
      <c r="T5293" s="17"/>
      <c r="U5293" s="17"/>
    </row>
    <row r="5294" spans="17:21" x14ac:dyDescent="0.25">
      <c r="Q5294" s="17" t="s">
        <v>5962</v>
      </c>
      <c r="R5294" s="17" t="s">
        <v>1369</v>
      </c>
      <c r="S5294" s="17"/>
      <c r="T5294" s="17"/>
      <c r="U5294" s="17"/>
    </row>
    <row r="5295" spans="17:21" x14ac:dyDescent="0.25">
      <c r="Q5295" s="17" t="s">
        <v>5963</v>
      </c>
      <c r="R5295" s="17" t="s">
        <v>1369</v>
      </c>
      <c r="S5295" s="17"/>
      <c r="T5295" s="17"/>
      <c r="U5295" s="17"/>
    </row>
    <row r="5296" spans="17:21" x14ac:dyDescent="0.25">
      <c r="Q5296" s="17" t="s">
        <v>5964</v>
      </c>
      <c r="R5296" s="17" t="s">
        <v>1369</v>
      </c>
      <c r="S5296" s="17"/>
      <c r="T5296" s="17"/>
      <c r="U5296" s="17"/>
    </row>
    <row r="5297" spans="17:21" x14ac:dyDescent="0.25">
      <c r="Q5297" s="17" t="s">
        <v>5965</v>
      </c>
      <c r="R5297" s="17" t="s">
        <v>1369</v>
      </c>
      <c r="S5297" s="17"/>
      <c r="T5297" s="17"/>
      <c r="U5297" s="17"/>
    </row>
    <row r="5298" spans="17:21" x14ac:dyDescent="0.25">
      <c r="Q5298" s="17" t="s">
        <v>5966</v>
      </c>
      <c r="R5298" s="17" t="s">
        <v>1369</v>
      </c>
      <c r="S5298" s="17"/>
      <c r="T5298" s="17"/>
      <c r="U5298" s="17"/>
    </row>
    <row r="5299" spans="17:21" x14ac:dyDescent="0.25">
      <c r="Q5299" s="17" t="s">
        <v>5967</v>
      </c>
      <c r="R5299" s="17" t="s">
        <v>1369</v>
      </c>
      <c r="S5299" s="17"/>
      <c r="T5299" s="17"/>
      <c r="U5299" s="17"/>
    </row>
    <row r="5300" spans="17:21" x14ac:dyDescent="0.25">
      <c r="Q5300" s="17" t="s">
        <v>5968</v>
      </c>
      <c r="R5300" s="17" t="s">
        <v>1369</v>
      </c>
      <c r="S5300" s="17"/>
      <c r="T5300" s="17"/>
      <c r="U5300" s="17"/>
    </row>
    <row r="5301" spans="17:21" x14ac:dyDescent="0.25">
      <c r="Q5301" s="17" t="s">
        <v>5969</v>
      </c>
      <c r="R5301" s="17" t="s">
        <v>1369</v>
      </c>
      <c r="S5301" s="17"/>
      <c r="T5301" s="17"/>
      <c r="U5301" s="17"/>
    </row>
    <row r="5302" spans="17:21" x14ac:dyDescent="0.25">
      <c r="Q5302" s="17" t="s">
        <v>5970</v>
      </c>
      <c r="R5302" s="17" t="s">
        <v>1369</v>
      </c>
      <c r="S5302" s="17"/>
      <c r="T5302" s="17"/>
      <c r="U5302" s="17"/>
    </row>
    <row r="5303" spans="17:21" x14ac:dyDescent="0.25">
      <c r="Q5303" s="17" t="s">
        <v>5971</v>
      </c>
      <c r="R5303" s="17" t="s">
        <v>1369</v>
      </c>
      <c r="S5303" s="17"/>
      <c r="T5303" s="17"/>
      <c r="U5303" s="17"/>
    </row>
    <row r="5304" spans="17:21" x14ac:dyDescent="0.25">
      <c r="Q5304" s="17" t="s">
        <v>5972</v>
      </c>
      <c r="R5304" s="17" t="s">
        <v>1369</v>
      </c>
      <c r="S5304" s="17"/>
      <c r="T5304" s="17"/>
      <c r="U5304" s="17"/>
    </row>
    <row r="5305" spans="17:21" x14ac:dyDescent="0.25">
      <c r="Q5305" s="17" t="s">
        <v>5973</v>
      </c>
      <c r="R5305" s="17" t="s">
        <v>1369</v>
      </c>
      <c r="S5305" s="17"/>
      <c r="T5305" s="17"/>
      <c r="U5305" s="17"/>
    </row>
    <row r="5306" spans="17:21" x14ac:dyDescent="0.25">
      <c r="Q5306" s="17" t="s">
        <v>5974</v>
      </c>
      <c r="R5306" s="17" t="s">
        <v>1369</v>
      </c>
      <c r="S5306" s="17"/>
      <c r="T5306" s="17"/>
      <c r="U5306" s="17"/>
    </row>
    <row r="5307" spans="17:21" x14ac:dyDescent="0.25">
      <c r="Q5307" s="17" t="s">
        <v>5975</v>
      </c>
      <c r="R5307" s="17" t="s">
        <v>1369</v>
      </c>
      <c r="S5307" s="17"/>
      <c r="T5307" s="17"/>
      <c r="U5307" s="17"/>
    </row>
    <row r="5308" spans="17:21" x14ac:dyDescent="0.25">
      <c r="Q5308" s="17" t="s">
        <v>5976</v>
      </c>
      <c r="R5308" s="17" t="s">
        <v>1369</v>
      </c>
      <c r="S5308" s="17"/>
      <c r="T5308" s="17"/>
      <c r="U5308" s="17"/>
    </row>
    <row r="5309" spans="17:21" x14ac:dyDescent="0.25">
      <c r="Q5309" s="17" t="s">
        <v>5977</v>
      </c>
      <c r="R5309" s="17" t="s">
        <v>1369</v>
      </c>
      <c r="S5309" s="17"/>
      <c r="T5309" s="17"/>
      <c r="U5309" s="17"/>
    </row>
    <row r="5310" spans="17:21" x14ac:dyDescent="0.25">
      <c r="Q5310" s="17" t="s">
        <v>5978</v>
      </c>
      <c r="R5310" s="17" t="s">
        <v>1369</v>
      </c>
      <c r="S5310" s="17"/>
      <c r="T5310" s="17"/>
      <c r="U5310" s="17"/>
    </row>
    <row r="5311" spans="17:21" x14ac:dyDescent="0.25">
      <c r="Q5311" s="17" t="s">
        <v>5979</v>
      </c>
      <c r="R5311" s="17" t="s">
        <v>1369</v>
      </c>
      <c r="S5311" s="17"/>
      <c r="T5311" s="17"/>
      <c r="U5311" s="17"/>
    </row>
    <row r="5312" spans="17:21" x14ac:dyDescent="0.25">
      <c r="Q5312" s="17" t="s">
        <v>5980</v>
      </c>
      <c r="R5312" s="17" t="s">
        <v>1369</v>
      </c>
      <c r="S5312" s="17"/>
      <c r="T5312" s="17"/>
      <c r="U5312" s="17"/>
    </row>
    <row r="5313" spans="17:21" x14ac:dyDescent="0.25">
      <c r="Q5313" s="17" t="s">
        <v>5981</v>
      </c>
      <c r="R5313" s="17" t="s">
        <v>1369</v>
      </c>
      <c r="S5313" s="17"/>
      <c r="T5313" s="17"/>
      <c r="U5313" s="17"/>
    </row>
    <row r="5314" spans="17:21" x14ac:dyDescent="0.25">
      <c r="Q5314" s="17" t="s">
        <v>5982</v>
      </c>
      <c r="R5314" s="17" t="s">
        <v>1369</v>
      </c>
      <c r="S5314" s="17"/>
      <c r="T5314" s="17"/>
      <c r="U5314" s="17"/>
    </row>
    <row r="5315" spans="17:21" x14ac:dyDescent="0.25">
      <c r="Q5315" s="17" t="s">
        <v>5983</v>
      </c>
      <c r="R5315" s="17" t="s">
        <v>1369</v>
      </c>
      <c r="S5315" s="17"/>
      <c r="T5315" s="17"/>
      <c r="U5315" s="17"/>
    </row>
    <row r="5316" spans="17:21" x14ac:dyDescent="0.25">
      <c r="Q5316" s="17" t="s">
        <v>5984</v>
      </c>
      <c r="R5316" s="17" t="s">
        <v>1369</v>
      </c>
      <c r="S5316" s="17"/>
      <c r="T5316" s="17"/>
      <c r="U5316" s="17"/>
    </row>
    <row r="5317" spans="17:21" x14ac:dyDescent="0.25">
      <c r="Q5317" s="17" t="s">
        <v>5985</v>
      </c>
      <c r="R5317" s="17" t="s">
        <v>1369</v>
      </c>
      <c r="S5317" s="17"/>
      <c r="T5317" s="17"/>
      <c r="U5317" s="17"/>
    </row>
    <row r="5318" spans="17:21" x14ac:dyDescent="0.25">
      <c r="Q5318" s="17" t="s">
        <v>5986</v>
      </c>
      <c r="R5318" s="17" t="s">
        <v>1369</v>
      </c>
      <c r="S5318" s="17"/>
      <c r="T5318" s="17"/>
      <c r="U5318" s="17"/>
    </row>
    <row r="5319" spans="17:21" x14ac:dyDescent="0.25">
      <c r="Q5319" s="17" t="s">
        <v>5987</v>
      </c>
      <c r="R5319" s="17" t="s">
        <v>1369</v>
      </c>
      <c r="S5319" s="17"/>
      <c r="T5319" s="17"/>
      <c r="U5319" s="17"/>
    </row>
    <row r="5320" spans="17:21" x14ac:dyDescent="0.25">
      <c r="Q5320" s="17" t="s">
        <v>5988</v>
      </c>
      <c r="R5320" s="17" t="s">
        <v>1369</v>
      </c>
      <c r="S5320" s="17"/>
      <c r="T5320" s="17"/>
      <c r="U5320" s="17"/>
    </row>
    <row r="5321" spans="17:21" x14ac:dyDescent="0.25">
      <c r="Q5321" s="17" t="s">
        <v>5989</v>
      </c>
      <c r="R5321" s="17" t="s">
        <v>1369</v>
      </c>
      <c r="S5321" s="17"/>
      <c r="T5321" s="17"/>
      <c r="U5321" s="17"/>
    </row>
    <row r="5322" spans="17:21" x14ac:dyDescent="0.25">
      <c r="Q5322" s="17" t="s">
        <v>5990</v>
      </c>
      <c r="R5322" s="17" t="s">
        <v>1369</v>
      </c>
      <c r="S5322" s="17"/>
      <c r="T5322" s="17"/>
      <c r="U5322" s="17"/>
    </row>
    <row r="5323" spans="17:21" x14ac:dyDescent="0.25">
      <c r="Q5323" s="17" t="s">
        <v>5991</v>
      </c>
      <c r="R5323" s="17" t="s">
        <v>1369</v>
      </c>
      <c r="S5323" s="17"/>
      <c r="T5323" s="17"/>
      <c r="U5323" s="17"/>
    </row>
    <row r="5324" spans="17:21" x14ac:dyDescent="0.25">
      <c r="Q5324" s="17" t="s">
        <v>5992</v>
      </c>
      <c r="R5324" s="17" t="s">
        <v>1369</v>
      </c>
      <c r="S5324" s="17"/>
      <c r="T5324" s="17"/>
      <c r="U5324" s="17"/>
    </row>
    <row r="5325" spans="17:21" x14ac:dyDescent="0.25">
      <c r="Q5325" s="17" t="s">
        <v>5993</v>
      </c>
      <c r="R5325" s="17" t="s">
        <v>1369</v>
      </c>
      <c r="S5325" s="17"/>
      <c r="T5325" s="17"/>
      <c r="U5325" s="17"/>
    </row>
    <row r="5326" spans="17:21" x14ac:dyDescent="0.25">
      <c r="Q5326" s="17" t="s">
        <v>5994</v>
      </c>
      <c r="R5326" s="17" t="s">
        <v>1369</v>
      </c>
      <c r="S5326" s="17"/>
      <c r="T5326" s="17"/>
      <c r="U5326" s="17"/>
    </row>
    <row r="5327" spans="17:21" x14ac:dyDescent="0.25">
      <c r="Q5327" s="17" t="s">
        <v>5995</v>
      </c>
      <c r="R5327" s="17" t="s">
        <v>1369</v>
      </c>
      <c r="S5327" s="17"/>
      <c r="T5327" s="17"/>
      <c r="U5327" s="17"/>
    </row>
    <row r="5328" spans="17:21" x14ac:dyDescent="0.25">
      <c r="Q5328" s="17" t="s">
        <v>5996</v>
      </c>
      <c r="R5328" s="17" t="s">
        <v>1369</v>
      </c>
      <c r="S5328" s="17"/>
      <c r="T5328" s="17"/>
      <c r="U5328" s="17"/>
    </row>
    <row r="5329" spans="17:21" x14ac:dyDescent="0.25">
      <c r="Q5329" s="17" t="s">
        <v>5997</v>
      </c>
      <c r="R5329" s="17" t="s">
        <v>1369</v>
      </c>
      <c r="S5329" s="17"/>
      <c r="T5329" s="17"/>
      <c r="U5329" s="17"/>
    </row>
    <row r="5330" spans="17:21" x14ac:dyDescent="0.25">
      <c r="Q5330" s="17" t="s">
        <v>5998</v>
      </c>
      <c r="R5330" s="17" t="s">
        <v>1369</v>
      </c>
      <c r="S5330" s="17"/>
      <c r="T5330" s="17"/>
      <c r="U5330" s="17"/>
    </row>
    <row r="5331" spans="17:21" x14ac:dyDescent="0.25">
      <c r="Q5331" s="17" t="s">
        <v>5999</v>
      </c>
      <c r="R5331" s="17" t="s">
        <v>1369</v>
      </c>
      <c r="S5331" s="17"/>
      <c r="T5331" s="17"/>
      <c r="U5331" s="17"/>
    </row>
    <row r="5332" spans="17:21" x14ac:dyDescent="0.25">
      <c r="Q5332" s="17" t="s">
        <v>6000</v>
      </c>
      <c r="R5332" s="17" t="s">
        <v>1369</v>
      </c>
      <c r="S5332" s="17"/>
      <c r="T5332" s="17"/>
      <c r="U5332" s="17"/>
    </row>
    <row r="5333" spans="17:21" x14ac:dyDescent="0.25">
      <c r="Q5333" s="17" t="s">
        <v>6001</v>
      </c>
      <c r="R5333" s="17" t="s">
        <v>1369</v>
      </c>
      <c r="S5333" s="17"/>
      <c r="T5333" s="17"/>
      <c r="U5333" s="17"/>
    </row>
    <row r="5334" spans="17:21" x14ac:dyDescent="0.25">
      <c r="Q5334" s="17" t="s">
        <v>6002</v>
      </c>
      <c r="R5334" s="17" t="s">
        <v>1369</v>
      </c>
      <c r="S5334" s="17"/>
      <c r="T5334" s="17"/>
      <c r="U5334" s="17"/>
    </row>
    <row r="5335" spans="17:21" x14ac:dyDescent="0.25">
      <c r="Q5335" s="17" t="s">
        <v>6003</v>
      </c>
      <c r="R5335" s="17" t="s">
        <v>1369</v>
      </c>
      <c r="S5335" s="17"/>
      <c r="T5335" s="17"/>
      <c r="U5335" s="17"/>
    </row>
    <row r="5336" spans="17:21" x14ac:dyDescent="0.25">
      <c r="Q5336" s="17" t="s">
        <v>6004</v>
      </c>
      <c r="R5336" s="17" t="s">
        <v>1369</v>
      </c>
      <c r="S5336" s="17"/>
      <c r="T5336" s="17"/>
      <c r="U5336" s="17"/>
    </row>
    <row r="5337" spans="17:21" x14ac:dyDescent="0.25">
      <c r="Q5337" s="17" t="s">
        <v>6005</v>
      </c>
      <c r="R5337" s="17" t="s">
        <v>1369</v>
      </c>
      <c r="S5337" s="17"/>
      <c r="T5337" s="17"/>
      <c r="U5337" s="17"/>
    </row>
    <row r="5338" spans="17:21" x14ac:dyDescent="0.25">
      <c r="Q5338" s="17" t="s">
        <v>6006</v>
      </c>
      <c r="R5338" s="17" t="s">
        <v>1369</v>
      </c>
      <c r="S5338" s="17"/>
      <c r="T5338" s="17"/>
      <c r="U5338" s="17"/>
    </row>
    <row r="5339" spans="17:21" x14ac:dyDescent="0.25">
      <c r="Q5339" s="17" t="s">
        <v>6007</v>
      </c>
      <c r="R5339" s="17" t="s">
        <v>1369</v>
      </c>
      <c r="S5339" s="17"/>
      <c r="T5339" s="17"/>
      <c r="U5339" s="17"/>
    </row>
    <row r="5340" spans="17:21" x14ac:dyDescent="0.25">
      <c r="Q5340" s="17" t="s">
        <v>6008</v>
      </c>
      <c r="R5340" s="17" t="s">
        <v>1369</v>
      </c>
      <c r="S5340" s="17"/>
      <c r="T5340" s="17"/>
      <c r="U5340" s="17"/>
    </row>
    <row r="5341" spans="17:21" x14ac:dyDescent="0.25">
      <c r="Q5341" s="17" t="s">
        <v>6009</v>
      </c>
      <c r="R5341" s="17" t="s">
        <v>1369</v>
      </c>
      <c r="S5341" s="17"/>
      <c r="T5341" s="17"/>
      <c r="U5341" s="17"/>
    </row>
    <row r="5342" spans="17:21" x14ac:dyDescent="0.25">
      <c r="Q5342" s="17" t="s">
        <v>6010</v>
      </c>
      <c r="R5342" s="17" t="s">
        <v>1369</v>
      </c>
      <c r="S5342" s="17"/>
      <c r="T5342" s="17"/>
      <c r="U5342" s="17"/>
    </row>
    <row r="5343" spans="17:21" x14ac:dyDescent="0.25">
      <c r="Q5343" s="17" t="s">
        <v>6011</v>
      </c>
      <c r="R5343" s="17" t="s">
        <v>1369</v>
      </c>
      <c r="S5343" s="17"/>
      <c r="T5343" s="17"/>
      <c r="U5343" s="17"/>
    </row>
    <row r="5344" spans="17:21" x14ac:dyDescent="0.25">
      <c r="Q5344" s="17" t="s">
        <v>6012</v>
      </c>
      <c r="R5344" s="17" t="s">
        <v>1369</v>
      </c>
      <c r="S5344" s="17"/>
      <c r="T5344" s="17"/>
      <c r="U5344" s="17"/>
    </row>
    <row r="5345" spans="17:21" x14ac:dyDescent="0.25">
      <c r="Q5345" s="17" t="s">
        <v>6013</v>
      </c>
      <c r="R5345" s="17" t="s">
        <v>1369</v>
      </c>
      <c r="S5345" s="17"/>
      <c r="T5345" s="17"/>
      <c r="U5345" s="17"/>
    </row>
    <row r="5346" spans="17:21" x14ac:dyDescent="0.25">
      <c r="Q5346" s="17" t="s">
        <v>6014</v>
      </c>
      <c r="R5346" s="17" t="s">
        <v>1369</v>
      </c>
      <c r="S5346" s="17"/>
      <c r="T5346" s="17"/>
      <c r="U5346" s="17"/>
    </row>
    <row r="5347" spans="17:21" x14ac:dyDescent="0.25">
      <c r="Q5347" s="17" t="s">
        <v>6015</v>
      </c>
      <c r="R5347" s="17" t="s">
        <v>1369</v>
      </c>
      <c r="S5347" s="17"/>
      <c r="T5347" s="17"/>
      <c r="U5347" s="17"/>
    </row>
    <row r="5348" spans="17:21" x14ac:dyDescent="0.25">
      <c r="Q5348" s="17" t="s">
        <v>6016</v>
      </c>
      <c r="R5348" s="17" t="s">
        <v>1369</v>
      </c>
      <c r="S5348" s="17"/>
      <c r="T5348" s="17"/>
      <c r="U5348" s="17"/>
    </row>
    <row r="5349" spans="17:21" x14ac:dyDescent="0.25">
      <c r="Q5349" s="17" t="s">
        <v>6017</v>
      </c>
      <c r="R5349" s="17" t="s">
        <v>1369</v>
      </c>
      <c r="S5349" s="17"/>
      <c r="T5349" s="17"/>
      <c r="U5349" s="17"/>
    </row>
    <row r="5350" spans="17:21" x14ac:dyDescent="0.25">
      <c r="Q5350" s="17" t="s">
        <v>6018</v>
      </c>
      <c r="R5350" s="17" t="s">
        <v>1369</v>
      </c>
      <c r="S5350" s="17"/>
      <c r="T5350" s="17"/>
      <c r="U5350" s="17"/>
    </row>
    <row r="5351" spans="17:21" x14ac:dyDescent="0.25">
      <c r="Q5351" s="17" t="s">
        <v>6019</v>
      </c>
      <c r="R5351" s="17" t="s">
        <v>1369</v>
      </c>
      <c r="S5351" s="17"/>
      <c r="T5351" s="17"/>
      <c r="U5351" s="17"/>
    </row>
    <row r="5352" spans="17:21" x14ac:dyDescent="0.25">
      <c r="Q5352" s="17" t="s">
        <v>6020</v>
      </c>
      <c r="R5352" s="17" t="s">
        <v>1369</v>
      </c>
      <c r="S5352" s="17"/>
      <c r="T5352" s="17"/>
      <c r="U5352" s="17"/>
    </row>
    <row r="5353" spans="17:21" x14ac:dyDescent="0.25">
      <c r="Q5353" s="17" t="s">
        <v>6021</v>
      </c>
      <c r="R5353" s="17" t="s">
        <v>1369</v>
      </c>
      <c r="S5353" s="17"/>
      <c r="T5353" s="17"/>
      <c r="U5353" s="17"/>
    </row>
    <row r="5354" spans="17:21" x14ac:dyDescent="0.25">
      <c r="Q5354" s="17" t="s">
        <v>6022</v>
      </c>
      <c r="R5354" s="17" t="s">
        <v>1369</v>
      </c>
      <c r="S5354" s="17"/>
      <c r="T5354" s="17"/>
      <c r="U5354" s="17"/>
    </row>
    <row r="5355" spans="17:21" x14ac:dyDescent="0.25">
      <c r="Q5355" s="17" t="s">
        <v>6023</v>
      </c>
      <c r="R5355" s="17" t="s">
        <v>1369</v>
      </c>
      <c r="S5355" s="17"/>
      <c r="T5355" s="17"/>
      <c r="U5355" s="17"/>
    </row>
    <row r="5356" spans="17:21" x14ac:dyDescent="0.25">
      <c r="Q5356" s="17" t="s">
        <v>6024</v>
      </c>
      <c r="R5356" s="17" t="s">
        <v>1369</v>
      </c>
      <c r="S5356" s="17"/>
      <c r="T5356" s="17"/>
      <c r="U5356" s="17"/>
    </row>
    <row r="5357" spans="17:21" x14ac:dyDescent="0.25">
      <c r="Q5357" s="17" t="s">
        <v>6025</v>
      </c>
      <c r="R5357" s="17" t="s">
        <v>1369</v>
      </c>
      <c r="S5357" s="17"/>
      <c r="T5357" s="17"/>
      <c r="U5357" s="17"/>
    </row>
    <row r="5358" spans="17:21" x14ac:dyDescent="0.25">
      <c r="Q5358" s="17" t="s">
        <v>6026</v>
      </c>
      <c r="R5358" s="17" t="s">
        <v>1369</v>
      </c>
      <c r="S5358" s="17"/>
      <c r="T5358" s="17"/>
      <c r="U5358" s="17"/>
    </row>
    <row r="5359" spans="17:21" x14ac:dyDescent="0.25">
      <c r="Q5359" s="17" t="s">
        <v>6027</v>
      </c>
      <c r="R5359" s="17" t="s">
        <v>1369</v>
      </c>
      <c r="S5359" s="17"/>
      <c r="T5359" s="17"/>
      <c r="U5359" s="17"/>
    </row>
    <row r="5360" spans="17:21" x14ac:dyDescent="0.25">
      <c r="Q5360" s="17" t="s">
        <v>6028</v>
      </c>
      <c r="R5360" s="17" t="s">
        <v>1369</v>
      </c>
      <c r="S5360" s="17"/>
      <c r="T5360" s="17"/>
      <c r="U5360" s="17"/>
    </row>
    <row r="5361" spans="17:21" x14ac:dyDescent="0.25">
      <c r="Q5361" s="17" t="s">
        <v>6029</v>
      </c>
      <c r="R5361" s="17" t="s">
        <v>4956</v>
      </c>
      <c r="S5361" s="17"/>
      <c r="T5361" s="17"/>
      <c r="U5361" s="17"/>
    </row>
    <row r="5362" spans="17:21" x14ac:dyDescent="0.25">
      <c r="Q5362" s="17" t="s">
        <v>6030</v>
      </c>
      <c r="R5362" s="17" t="s">
        <v>4956</v>
      </c>
      <c r="S5362" s="17"/>
      <c r="T5362" s="17"/>
      <c r="U5362" s="17"/>
    </row>
    <row r="5363" spans="17:21" x14ac:dyDescent="0.25">
      <c r="Q5363" s="17" t="s">
        <v>6031</v>
      </c>
      <c r="R5363" s="17" t="s">
        <v>4956</v>
      </c>
      <c r="S5363" s="17"/>
      <c r="T5363" s="17"/>
      <c r="U5363" s="17"/>
    </row>
    <row r="5364" spans="17:21" x14ac:dyDescent="0.25">
      <c r="Q5364" s="17" t="s">
        <v>6032</v>
      </c>
      <c r="R5364" s="17" t="s">
        <v>4956</v>
      </c>
      <c r="S5364" s="17"/>
      <c r="T5364" s="17"/>
      <c r="U5364" s="17"/>
    </row>
    <row r="5365" spans="17:21" x14ac:dyDescent="0.25">
      <c r="Q5365" s="17" t="s">
        <v>6033</v>
      </c>
      <c r="R5365" s="17" t="s">
        <v>4956</v>
      </c>
      <c r="S5365" s="17"/>
      <c r="T5365" s="17"/>
      <c r="U5365" s="17"/>
    </row>
    <row r="5366" spans="17:21" x14ac:dyDescent="0.25">
      <c r="Q5366" s="17" t="s">
        <v>6034</v>
      </c>
      <c r="R5366" s="17" t="s">
        <v>4956</v>
      </c>
      <c r="S5366" s="17"/>
      <c r="T5366" s="17"/>
      <c r="U5366" s="17"/>
    </row>
    <row r="5367" spans="17:21" x14ac:dyDescent="0.25">
      <c r="Q5367" s="17" t="s">
        <v>6035</v>
      </c>
      <c r="R5367" s="17" t="s">
        <v>4956</v>
      </c>
      <c r="S5367" s="17"/>
      <c r="T5367" s="17"/>
      <c r="U5367" s="17"/>
    </row>
    <row r="5368" spans="17:21" x14ac:dyDescent="0.25">
      <c r="Q5368" s="17" t="s">
        <v>6036</v>
      </c>
      <c r="R5368" s="17" t="s">
        <v>4956</v>
      </c>
      <c r="S5368" s="17"/>
      <c r="T5368" s="17"/>
      <c r="U5368" s="17"/>
    </row>
    <row r="5369" spans="17:21" x14ac:dyDescent="0.25">
      <c r="Q5369" s="17" t="s">
        <v>6037</v>
      </c>
      <c r="R5369" s="17" t="s">
        <v>4956</v>
      </c>
      <c r="S5369" s="17"/>
      <c r="T5369" s="17"/>
      <c r="U5369" s="17"/>
    </row>
    <row r="5370" spans="17:21" x14ac:dyDescent="0.25">
      <c r="Q5370" s="17" t="s">
        <v>6038</v>
      </c>
      <c r="R5370" s="17" t="s">
        <v>4956</v>
      </c>
      <c r="S5370" s="17"/>
      <c r="T5370" s="17"/>
      <c r="U5370" s="17"/>
    </row>
    <row r="5371" spans="17:21" x14ac:dyDescent="0.25">
      <c r="Q5371" s="17" t="s">
        <v>6039</v>
      </c>
      <c r="R5371" s="17" t="s">
        <v>4956</v>
      </c>
      <c r="S5371" s="17"/>
      <c r="T5371" s="17"/>
      <c r="U5371" s="17"/>
    </row>
    <row r="5372" spans="17:21" x14ac:dyDescent="0.25">
      <c r="Q5372" s="17" t="s">
        <v>6040</v>
      </c>
      <c r="R5372" s="17" t="s">
        <v>4956</v>
      </c>
      <c r="S5372" s="17"/>
      <c r="T5372" s="17"/>
      <c r="U5372" s="17"/>
    </row>
    <row r="5373" spans="17:21" x14ac:dyDescent="0.25">
      <c r="Q5373" s="17" t="s">
        <v>6041</v>
      </c>
      <c r="R5373" s="17" t="s">
        <v>4956</v>
      </c>
      <c r="S5373" s="17"/>
      <c r="T5373" s="17"/>
      <c r="U5373" s="17"/>
    </row>
    <row r="5374" spans="17:21" x14ac:dyDescent="0.25">
      <c r="Q5374" s="17" t="s">
        <v>6042</v>
      </c>
      <c r="R5374" s="17" t="s">
        <v>4956</v>
      </c>
      <c r="S5374" s="17"/>
      <c r="T5374" s="17"/>
      <c r="U5374" s="17"/>
    </row>
    <row r="5375" spans="17:21" x14ac:dyDescent="0.25">
      <c r="Q5375" s="17" t="s">
        <v>6043</v>
      </c>
      <c r="R5375" s="17" t="s">
        <v>4956</v>
      </c>
      <c r="S5375" s="17"/>
      <c r="T5375" s="17"/>
      <c r="U5375" s="17"/>
    </row>
    <row r="5376" spans="17:21" x14ac:dyDescent="0.25">
      <c r="Q5376" s="17" t="s">
        <v>6044</v>
      </c>
      <c r="R5376" s="17" t="s">
        <v>4956</v>
      </c>
      <c r="S5376" s="17"/>
      <c r="T5376" s="17"/>
      <c r="U5376" s="17"/>
    </row>
    <row r="5377" spans="17:21" x14ac:dyDescent="0.25">
      <c r="Q5377" s="17" t="s">
        <v>6045</v>
      </c>
      <c r="R5377" s="17" t="s">
        <v>4956</v>
      </c>
      <c r="S5377" s="17"/>
      <c r="T5377" s="17"/>
      <c r="U5377" s="17"/>
    </row>
    <row r="5378" spans="17:21" x14ac:dyDescent="0.25">
      <c r="Q5378" s="17" t="s">
        <v>6046</v>
      </c>
      <c r="R5378" s="17" t="s">
        <v>4956</v>
      </c>
      <c r="S5378" s="17"/>
      <c r="T5378" s="17"/>
      <c r="U5378" s="17"/>
    </row>
    <row r="5379" spans="17:21" x14ac:dyDescent="0.25">
      <c r="Q5379" s="17" t="s">
        <v>6047</v>
      </c>
      <c r="R5379" s="17" t="s">
        <v>4956</v>
      </c>
      <c r="S5379" s="17"/>
      <c r="T5379" s="17"/>
      <c r="U5379" s="17"/>
    </row>
    <row r="5380" spans="17:21" x14ac:dyDescent="0.25">
      <c r="Q5380" s="17" t="s">
        <v>6048</v>
      </c>
      <c r="R5380" s="17" t="s">
        <v>4956</v>
      </c>
      <c r="S5380" s="17"/>
      <c r="T5380" s="17"/>
      <c r="U5380" s="17"/>
    </row>
    <row r="5381" spans="17:21" x14ac:dyDescent="0.25">
      <c r="Q5381" s="17" t="s">
        <v>6049</v>
      </c>
      <c r="R5381" s="17" t="s">
        <v>4956</v>
      </c>
      <c r="S5381" s="17"/>
      <c r="T5381" s="17"/>
      <c r="U5381" s="17"/>
    </row>
    <row r="5382" spans="17:21" x14ac:dyDescent="0.25">
      <c r="Q5382" s="17" t="s">
        <v>6050</v>
      </c>
      <c r="R5382" s="17" t="s">
        <v>4956</v>
      </c>
      <c r="S5382" s="17"/>
      <c r="T5382" s="17"/>
      <c r="U5382" s="17"/>
    </row>
    <row r="5383" spans="17:21" x14ac:dyDescent="0.25">
      <c r="Q5383" s="17" t="s">
        <v>6051</v>
      </c>
      <c r="R5383" s="17" t="s">
        <v>4956</v>
      </c>
      <c r="S5383" s="17"/>
      <c r="T5383" s="17"/>
      <c r="U5383" s="17"/>
    </row>
    <row r="5384" spans="17:21" x14ac:dyDescent="0.25">
      <c r="Q5384" s="17" t="s">
        <v>6052</v>
      </c>
      <c r="R5384" s="17" t="s">
        <v>4956</v>
      </c>
      <c r="S5384" s="17"/>
      <c r="T5384" s="17"/>
      <c r="U5384" s="17"/>
    </row>
    <row r="5385" spans="17:21" x14ac:dyDescent="0.25">
      <c r="Q5385" s="17" t="s">
        <v>6053</v>
      </c>
      <c r="R5385" s="17" t="s">
        <v>4956</v>
      </c>
      <c r="S5385" s="17"/>
      <c r="T5385" s="17"/>
      <c r="U5385" s="17"/>
    </row>
    <row r="5386" spans="17:21" x14ac:dyDescent="0.25">
      <c r="Q5386" s="17" t="s">
        <v>6054</v>
      </c>
      <c r="R5386" s="17" t="s">
        <v>4956</v>
      </c>
      <c r="S5386" s="17"/>
      <c r="T5386" s="17"/>
      <c r="U5386" s="17"/>
    </row>
    <row r="5387" spans="17:21" x14ac:dyDescent="0.25">
      <c r="Q5387" s="17" t="s">
        <v>6055</v>
      </c>
      <c r="R5387" s="17" t="s">
        <v>4956</v>
      </c>
      <c r="S5387" s="17"/>
      <c r="T5387" s="17"/>
      <c r="U5387" s="17"/>
    </row>
    <row r="5388" spans="17:21" x14ac:dyDescent="0.25">
      <c r="Q5388" s="17" t="s">
        <v>6056</v>
      </c>
      <c r="R5388" s="17" t="s">
        <v>4956</v>
      </c>
      <c r="S5388" s="17"/>
      <c r="T5388" s="17"/>
      <c r="U5388" s="17"/>
    </row>
    <row r="5389" spans="17:21" x14ac:dyDescent="0.25">
      <c r="Q5389" s="17" t="s">
        <v>6057</v>
      </c>
      <c r="R5389" s="17" t="s">
        <v>4956</v>
      </c>
      <c r="S5389" s="17"/>
      <c r="T5389" s="17"/>
      <c r="U5389" s="17"/>
    </row>
    <row r="5390" spans="17:21" x14ac:dyDescent="0.25">
      <c r="Q5390" s="17" t="s">
        <v>6058</v>
      </c>
      <c r="R5390" s="17" t="s">
        <v>4956</v>
      </c>
      <c r="S5390" s="17"/>
      <c r="T5390" s="17"/>
      <c r="U5390" s="17"/>
    </row>
    <row r="5391" spans="17:21" x14ac:dyDescent="0.25">
      <c r="Q5391" s="17" t="s">
        <v>6059</v>
      </c>
      <c r="R5391" s="17" t="s">
        <v>4956</v>
      </c>
      <c r="S5391" s="17"/>
      <c r="T5391" s="17"/>
      <c r="U5391" s="17"/>
    </row>
    <row r="5392" spans="17:21" x14ac:dyDescent="0.25">
      <c r="Q5392" s="17" t="s">
        <v>6060</v>
      </c>
      <c r="R5392" s="17" t="s">
        <v>4956</v>
      </c>
      <c r="S5392" s="17"/>
      <c r="T5392" s="17"/>
      <c r="U5392" s="17"/>
    </row>
    <row r="5393" spans="17:21" x14ac:dyDescent="0.25">
      <c r="Q5393" s="17" t="s">
        <v>6061</v>
      </c>
      <c r="R5393" s="17" t="s">
        <v>4956</v>
      </c>
      <c r="S5393" s="17"/>
      <c r="T5393" s="17"/>
      <c r="U5393" s="17"/>
    </row>
    <row r="5394" spans="17:21" x14ac:dyDescent="0.25">
      <c r="Q5394" s="17" t="s">
        <v>6062</v>
      </c>
      <c r="R5394" s="17" t="s">
        <v>4956</v>
      </c>
      <c r="S5394" s="17"/>
      <c r="T5394" s="17"/>
      <c r="U5394" s="17"/>
    </row>
    <row r="5395" spans="17:21" x14ac:dyDescent="0.25">
      <c r="Q5395" s="17" t="s">
        <v>6063</v>
      </c>
      <c r="R5395" s="17" t="s">
        <v>4956</v>
      </c>
      <c r="S5395" s="17"/>
      <c r="T5395" s="17"/>
      <c r="U5395" s="17"/>
    </row>
    <row r="5396" spans="17:21" x14ac:dyDescent="0.25">
      <c r="Q5396" s="17" t="s">
        <v>6064</v>
      </c>
      <c r="R5396" s="17" t="s">
        <v>4956</v>
      </c>
      <c r="S5396" s="17"/>
      <c r="T5396" s="17"/>
      <c r="U5396" s="17"/>
    </row>
    <row r="5397" spans="17:21" x14ac:dyDescent="0.25">
      <c r="Q5397" s="17" t="s">
        <v>6065</v>
      </c>
      <c r="R5397" s="17" t="s">
        <v>4956</v>
      </c>
      <c r="S5397" s="17"/>
      <c r="T5397" s="17"/>
      <c r="U5397" s="17"/>
    </row>
    <row r="5398" spans="17:21" x14ac:dyDescent="0.25">
      <c r="Q5398" s="17" t="s">
        <v>6066</v>
      </c>
      <c r="R5398" s="17" t="s">
        <v>4956</v>
      </c>
      <c r="S5398" s="17"/>
      <c r="T5398" s="17"/>
      <c r="U5398" s="17"/>
    </row>
    <row r="5399" spans="17:21" x14ac:dyDescent="0.25">
      <c r="Q5399" s="17" t="s">
        <v>6067</v>
      </c>
      <c r="R5399" s="17" t="s">
        <v>4956</v>
      </c>
      <c r="S5399" s="17"/>
      <c r="T5399" s="17"/>
      <c r="U5399" s="17"/>
    </row>
    <row r="5400" spans="17:21" x14ac:dyDescent="0.25">
      <c r="Q5400" s="17" t="s">
        <v>6068</v>
      </c>
      <c r="R5400" s="17" t="s">
        <v>4956</v>
      </c>
      <c r="S5400" s="17"/>
      <c r="T5400" s="17"/>
      <c r="U5400" s="17"/>
    </row>
    <row r="5401" spans="17:21" x14ac:dyDescent="0.25">
      <c r="Q5401" s="17" t="s">
        <v>6069</v>
      </c>
      <c r="R5401" s="17" t="s">
        <v>4956</v>
      </c>
      <c r="S5401" s="17"/>
      <c r="T5401" s="17"/>
      <c r="U5401" s="17"/>
    </row>
    <row r="5402" spans="17:21" x14ac:dyDescent="0.25">
      <c r="Q5402" s="17" t="s">
        <v>6070</v>
      </c>
      <c r="R5402" s="17" t="s">
        <v>4956</v>
      </c>
      <c r="S5402" s="17"/>
      <c r="T5402" s="17"/>
      <c r="U5402" s="17"/>
    </row>
    <row r="5403" spans="17:21" x14ac:dyDescent="0.25">
      <c r="Q5403" s="17" t="s">
        <v>6071</v>
      </c>
      <c r="R5403" s="17" t="s">
        <v>4956</v>
      </c>
      <c r="S5403" s="17"/>
      <c r="T5403" s="17"/>
      <c r="U5403" s="17"/>
    </row>
    <row r="5404" spans="17:21" x14ac:dyDescent="0.25">
      <c r="Q5404" s="17" t="s">
        <v>6072</v>
      </c>
      <c r="R5404" s="17" t="s">
        <v>4956</v>
      </c>
      <c r="S5404" s="17"/>
      <c r="T5404" s="17"/>
      <c r="U5404" s="17"/>
    </row>
    <row r="5405" spans="17:21" x14ac:dyDescent="0.25">
      <c r="Q5405" s="17" t="s">
        <v>6073</v>
      </c>
      <c r="R5405" s="17" t="s">
        <v>4956</v>
      </c>
      <c r="S5405" s="17"/>
      <c r="T5405" s="17"/>
      <c r="U5405" s="17"/>
    </row>
    <row r="5406" spans="17:21" x14ac:dyDescent="0.25">
      <c r="Q5406" s="17" t="s">
        <v>6074</v>
      </c>
      <c r="R5406" s="17" t="s">
        <v>4956</v>
      </c>
      <c r="S5406" s="17"/>
      <c r="T5406" s="17"/>
      <c r="U5406" s="17"/>
    </row>
    <row r="5407" spans="17:21" x14ac:dyDescent="0.25">
      <c r="Q5407" s="17" t="s">
        <v>6075</v>
      </c>
      <c r="R5407" s="17" t="s">
        <v>4956</v>
      </c>
      <c r="S5407" s="17"/>
      <c r="T5407" s="17"/>
      <c r="U5407" s="17"/>
    </row>
    <row r="5408" spans="17:21" x14ac:dyDescent="0.25">
      <c r="Q5408" s="17" t="s">
        <v>6076</v>
      </c>
      <c r="R5408" s="17" t="s">
        <v>3999</v>
      </c>
      <c r="S5408" s="17"/>
      <c r="T5408" s="17"/>
      <c r="U5408" s="17"/>
    </row>
    <row r="5409" spans="17:21" x14ac:dyDescent="0.25">
      <c r="Q5409" s="17" t="s">
        <v>6077</v>
      </c>
      <c r="R5409" s="17" t="s">
        <v>3999</v>
      </c>
      <c r="S5409" s="17"/>
      <c r="T5409" s="17"/>
      <c r="U5409" s="17"/>
    </row>
    <row r="5410" spans="17:21" x14ac:dyDescent="0.25">
      <c r="Q5410" s="17" t="s">
        <v>6078</v>
      </c>
      <c r="R5410" s="17" t="s">
        <v>3999</v>
      </c>
      <c r="S5410" s="17"/>
      <c r="T5410" s="17"/>
      <c r="U5410" s="17"/>
    </row>
    <row r="5411" spans="17:21" x14ac:dyDescent="0.25">
      <c r="Q5411" s="17" t="s">
        <v>6079</v>
      </c>
      <c r="R5411" s="17" t="s">
        <v>3999</v>
      </c>
      <c r="S5411" s="17"/>
      <c r="T5411" s="17"/>
      <c r="U5411" s="17"/>
    </row>
    <row r="5412" spans="17:21" x14ac:dyDescent="0.25">
      <c r="Q5412" s="17" t="s">
        <v>6080</v>
      </c>
      <c r="R5412" s="17" t="s">
        <v>3999</v>
      </c>
      <c r="S5412" s="17"/>
      <c r="T5412" s="17"/>
      <c r="U5412" s="17"/>
    </row>
    <row r="5413" spans="17:21" x14ac:dyDescent="0.25">
      <c r="Q5413" s="17" t="s">
        <v>6081</v>
      </c>
      <c r="R5413" s="17" t="s">
        <v>3999</v>
      </c>
      <c r="S5413" s="17"/>
      <c r="T5413" s="17"/>
      <c r="U5413" s="17"/>
    </row>
    <row r="5414" spans="17:21" x14ac:dyDescent="0.25">
      <c r="Q5414" s="17" t="s">
        <v>6082</v>
      </c>
      <c r="R5414" s="17" t="s">
        <v>3999</v>
      </c>
      <c r="S5414" s="17"/>
      <c r="T5414" s="17"/>
      <c r="U5414" s="17"/>
    </row>
    <row r="5415" spans="17:21" x14ac:dyDescent="0.25">
      <c r="Q5415" s="17" t="s">
        <v>6083</v>
      </c>
      <c r="R5415" s="17" t="s">
        <v>3999</v>
      </c>
      <c r="S5415" s="17"/>
      <c r="T5415" s="17"/>
      <c r="U5415" s="17"/>
    </row>
    <row r="5416" spans="17:21" x14ac:dyDescent="0.25">
      <c r="Q5416" s="17" t="s">
        <v>6084</v>
      </c>
      <c r="R5416" s="17" t="s">
        <v>3999</v>
      </c>
      <c r="S5416" s="17"/>
      <c r="T5416" s="17"/>
      <c r="U5416" s="17"/>
    </row>
    <row r="5417" spans="17:21" x14ac:dyDescent="0.25">
      <c r="Q5417" s="17" t="s">
        <v>6085</v>
      </c>
      <c r="R5417" s="17" t="s">
        <v>3999</v>
      </c>
      <c r="S5417" s="17"/>
      <c r="T5417" s="17"/>
      <c r="U5417" s="17"/>
    </row>
    <row r="5418" spans="17:21" x14ac:dyDescent="0.25">
      <c r="Q5418" s="17" t="s">
        <v>6086</v>
      </c>
      <c r="R5418" s="17" t="s">
        <v>3999</v>
      </c>
      <c r="S5418" s="17"/>
      <c r="T5418" s="17"/>
      <c r="U5418" s="17"/>
    </row>
    <row r="5419" spans="17:21" x14ac:dyDescent="0.25">
      <c r="Q5419" s="17" t="s">
        <v>6087</v>
      </c>
      <c r="R5419" s="17" t="s">
        <v>3999</v>
      </c>
      <c r="S5419" s="17"/>
      <c r="T5419" s="17"/>
      <c r="U5419" s="17"/>
    </row>
    <row r="5420" spans="17:21" x14ac:dyDescent="0.25">
      <c r="Q5420" s="17" t="s">
        <v>6088</v>
      </c>
      <c r="R5420" s="17" t="s">
        <v>3999</v>
      </c>
      <c r="S5420" s="17"/>
      <c r="T5420" s="17"/>
      <c r="U5420" s="17"/>
    </row>
    <row r="5421" spans="17:21" x14ac:dyDescent="0.25">
      <c r="Q5421" s="17" t="s">
        <v>6089</v>
      </c>
      <c r="R5421" s="17" t="s">
        <v>3999</v>
      </c>
      <c r="S5421" s="17"/>
      <c r="T5421" s="17"/>
      <c r="U5421" s="17"/>
    </row>
    <row r="5422" spans="17:21" x14ac:dyDescent="0.25">
      <c r="Q5422" s="17" t="s">
        <v>6090</v>
      </c>
      <c r="R5422" s="17" t="s">
        <v>4956</v>
      </c>
      <c r="S5422" s="17"/>
      <c r="T5422" s="17"/>
      <c r="U5422" s="17"/>
    </row>
    <row r="5423" spans="17:21" x14ac:dyDescent="0.25">
      <c r="Q5423" s="17" t="s">
        <v>6091</v>
      </c>
      <c r="R5423" s="17" t="s">
        <v>4956</v>
      </c>
      <c r="S5423" s="17"/>
      <c r="T5423" s="17"/>
      <c r="U5423" s="17"/>
    </row>
    <row r="5424" spans="17:21" x14ac:dyDescent="0.25">
      <c r="Q5424" s="17" t="s">
        <v>6092</v>
      </c>
      <c r="R5424" s="17" t="s">
        <v>4956</v>
      </c>
      <c r="S5424" s="17"/>
      <c r="T5424" s="17"/>
      <c r="U5424" s="17"/>
    </row>
    <row r="5425" spans="17:21" x14ac:dyDescent="0.25">
      <c r="Q5425" s="17" t="s">
        <v>6093</v>
      </c>
      <c r="R5425" s="17" t="s">
        <v>4956</v>
      </c>
      <c r="S5425" s="17"/>
      <c r="T5425" s="17"/>
      <c r="U5425" s="17"/>
    </row>
    <row r="5426" spans="17:21" x14ac:dyDescent="0.25">
      <c r="Q5426" s="17" t="s">
        <v>6094</v>
      </c>
      <c r="R5426" s="17" t="s">
        <v>4956</v>
      </c>
      <c r="S5426" s="17"/>
      <c r="T5426" s="17"/>
      <c r="U5426" s="17"/>
    </row>
    <row r="5427" spans="17:21" x14ac:dyDescent="0.25">
      <c r="Q5427" s="17" t="s">
        <v>6095</v>
      </c>
      <c r="R5427" s="17" t="s">
        <v>4956</v>
      </c>
      <c r="S5427" s="17"/>
      <c r="T5427" s="17"/>
      <c r="U5427" s="17"/>
    </row>
    <row r="5428" spans="17:21" x14ac:dyDescent="0.25">
      <c r="Q5428" s="17" t="s">
        <v>6096</v>
      </c>
      <c r="R5428" s="17" t="s">
        <v>4956</v>
      </c>
      <c r="S5428" s="17"/>
      <c r="T5428" s="17"/>
      <c r="U5428" s="17"/>
    </row>
    <row r="5429" spans="17:21" x14ac:dyDescent="0.25">
      <c r="Q5429" s="17" t="s">
        <v>6097</v>
      </c>
      <c r="R5429" s="17" t="s">
        <v>4956</v>
      </c>
      <c r="S5429" s="17"/>
      <c r="T5429" s="17"/>
      <c r="U5429" s="17"/>
    </row>
    <row r="5430" spans="17:21" x14ac:dyDescent="0.25">
      <c r="Q5430" s="17" t="s">
        <v>6098</v>
      </c>
      <c r="R5430" s="17" t="s">
        <v>4956</v>
      </c>
      <c r="S5430" s="17"/>
      <c r="T5430" s="17"/>
      <c r="U5430" s="17"/>
    </row>
    <row r="5431" spans="17:21" x14ac:dyDescent="0.25">
      <c r="Q5431" s="17" t="s">
        <v>6099</v>
      </c>
      <c r="R5431" s="17" t="s">
        <v>4956</v>
      </c>
      <c r="S5431" s="17"/>
      <c r="T5431" s="17"/>
      <c r="U5431" s="17"/>
    </row>
    <row r="5432" spans="17:21" x14ac:dyDescent="0.25">
      <c r="Q5432" s="17" t="s">
        <v>6100</v>
      </c>
      <c r="R5432" s="17" t="s">
        <v>4956</v>
      </c>
      <c r="S5432" s="17"/>
      <c r="T5432" s="17"/>
      <c r="U5432" s="17"/>
    </row>
    <row r="5433" spans="17:21" x14ac:dyDescent="0.25">
      <c r="Q5433" s="17" t="s">
        <v>6101</v>
      </c>
      <c r="R5433" s="17" t="s">
        <v>4956</v>
      </c>
      <c r="S5433" s="17"/>
      <c r="T5433" s="17"/>
      <c r="U5433" s="17"/>
    </row>
    <row r="5434" spans="17:21" x14ac:dyDescent="0.25">
      <c r="Q5434" s="17" t="s">
        <v>6102</v>
      </c>
      <c r="R5434" s="17" t="s">
        <v>4956</v>
      </c>
      <c r="S5434" s="17"/>
      <c r="T5434" s="17"/>
      <c r="U5434" s="17"/>
    </row>
    <row r="5435" spans="17:21" x14ac:dyDescent="0.25">
      <c r="Q5435" s="17" t="s">
        <v>6103</v>
      </c>
      <c r="R5435" s="17" t="s">
        <v>4956</v>
      </c>
      <c r="S5435" s="17"/>
      <c r="T5435" s="17"/>
      <c r="U5435" s="17"/>
    </row>
    <row r="5436" spans="17:21" x14ac:dyDescent="0.25">
      <c r="Q5436" s="17" t="s">
        <v>6104</v>
      </c>
      <c r="R5436" s="17" t="s">
        <v>4956</v>
      </c>
      <c r="S5436" s="17"/>
      <c r="T5436" s="17"/>
      <c r="U5436" s="17"/>
    </row>
    <row r="5437" spans="17:21" x14ac:dyDescent="0.25">
      <c r="Q5437" s="17" t="s">
        <v>6105</v>
      </c>
      <c r="R5437" s="17" t="s">
        <v>4956</v>
      </c>
      <c r="S5437" s="17"/>
      <c r="T5437" s="17"/>
      <c r="U5437" s="17"/>
    </row>
    <row r="5438" spans="17:21" x14ac:dyDescent="0.25">
      <c r="Q5438" s="17" t="s">
        <v>6106</v>
      </c>
      <c r="R5438" s="17" t="s">
        <v>4956</v>
      </c>
      <c r="S5438" s="17"/>
      <c r="T5438" s="17"/>
      <c r="U5438" s="17"/>
    </row>
    <row r="5439" spans="17:21" x14ac:dyDescent="0.25">
      <c r="Q5439" s="17" t="s">
        <v>6107</v>
      </c>
      <c r="R5439" s="17" t="s">
        <v>4956</v>
      </c>
      <c r="S5439" s="17"/>
      <c r="T5439" s="17"/>
      <c r="U5439" s="17"/>
    </row>
    <row r="5440" spans="17:21" x14ac:dyDescent="0.25">
      <c r="Q5440" s="17" t="s">
        <v>6108</v>
      </c>
      <c r="R5440" s="17" t="s">
        <v>4956</v>
      </c>
      <c r="S5440" s="17"/>
      <c r="T5440" s="17"/>
      <c r="U5440" s="17"/>
    </row>
    <row r="5441" spans="17:21" x14ac:dyDescent="0.25">
      <c r="Q5441" s="17" t="s">
        <v>6109</v>
      </c>
      <c r="R5441" s="17" t="s">
        <v>4956</v>
      </c>
      <c r="S5441" s="17"/>
      <c r="T5441" s="17"/>
      <c r="U5441" s="17"/>
    </row>
    <row r="5442" spans="17:21" x14ac:dyDescent="0.25">
      <c r="Q5442" s="17" t="s">
        <v>6110</v>
      </c>
      <c r="R5442" s="17" t="s">
        <v>4956</v>
      </c>
      <c r="S5442" s="17"/>
      <c r="T5442" s="17"/>
      <c r="U5442" s="17"/>
    </row>
    <row r="5443" spans="17:21" x14ac:dyDescent="0.25">
      <c r="Q5443" s="17" t="s">
        <v>6111</v>
      </c>
      <c r="R5443" s="17" t="s">
        <v>4956</v>
      </c>
      <c r="S5443" s="17"/>
      <c r="T5443" s="17"/>
      <c r="U5443" s="17"/>
    </row>
    <row r="5444" spans="17:21" x14ac:dyDescent="0.25">
      <c r="Q5444" s="17" t="s">
        <v>6112</v>
      </c>
      <c r="R5444" s="17" t="s">
        <v>4956</v>
      </c>
      <c r="S5444" s="17"/>
      <c r="T5444" s="17"/>
      <c r="U5444" s="17"/>
    </row>
    <row r="5445" spans="17:21" x14ac:dyDescent="0.25">
      <c r="Q5445" s="17" t="s">
        <v>6113</v>
      </c>
      <c r="R5445" s="17" t="s">
        <v>4956</v>
      </c>
      <c r="S5445" s="17"/>
      <c r="T5445" s="17"/>
      <c r="U5445" s="17"/>
    </row>
    <row r="5446" spans="17:21" x14ac:dyDescent="0.25">
      <c r="Q5446" s="17" t="s">
        <v>6114</v>
      </c>
      <c r="R5446" s="17" t="s">
        <v>4956</v>
      </c>
      <c r="S5446" s="17"/>
      <c r="T5446" s="17"/>
      <c r="U5446" s="17"/>
    </row>
    <row r="5447" spans="17:21" x14ac:dyDescent="0.25">
      <c r="Q5447" s="17" t="s">
        <v>6115</v>
      </c>
      <c r="R5447" s="17" t="s">
        <v>4956</v>
      </c>
      <c r="S5447" s="17"/>
      <c r="T5447" s="17"/>
      <c r="U5447" s="17"/>
    </row>
    <row r="5448" spans="17:21" x14ac:dyDescent="0.25">
      <c r="Q5448" s="17" t="s">
        <v>6116</v>
      </c>
      <c r="R5448" s="17" t="s">
        <v>4956</v>
      </c>
      <c r="S5448" s="17"/>
      <c r="T5448" s="17"/>
      <c r="U5448" s="17"/>
    </row>
    <row r="5449" spans="17:21" x14ac:dyDescent="0.25">
      <c r="Q5449" s="17" t="s">
        <v>6117</v>
      </c>
      <c r="R5449" s="17" t="s">
        <v>4956</v>
      </c>
      <c r="S5449" s="17"/>
      <c r="T5449" s="17"/>
      <c r="U5449" s="17"/>
    </row>
    <row r="5450" spans="17:21" x14ac:dyDescent="0.25">
      <c r="Q5450" s="17" t="s">
        <v>6118</v>
      </c>
      <c r="R5450" s="17" t="s">
        <v>4956</v>
      </c>
      <c r="S5450" s="17"/>
      <c r="T5450" s="17"/>
      <c r="U5450" s="17"/>
    </row>
    <row r="5451" spans="17:21" x14ac:dyDescent="0.25">
      <c r="Q5451" s="17" t="s">
        <v>6119</v>
      </c>
      <c r="R5451" s="17" t="s">
        <v>4956</v>
      </c>
      <c r="S5451" s="17"/>
      <c r="T5451" s="17"/>
      <c r="U5451" s="17"/>
    </row>
    <row r="5452" spans="17:21" x14ac:dyDescent="0.25">
      <c r="Q5452" s="17" t="s">
        <v>6120</v>
      </c>
      <c r="R5452" s="17" t="s">
        <v>4956</v>
      </c>
      <c r="S5452" s="17"/>
      <c r="T5452" s="17"/>
      <c r="U5452" s="17"/>
    </row>
    <row r="5453" spans="17:21" x14ac:dyDescent="0.25">
      <c r="Q5453" s="17" t="s">
        <v>6121</v>
      </c>
      <c r="R5453" s="17" t="s">
        <v>4956</v>
      </c>
      <c r="S5453" s="17"/>
      <c r="T5453" s="17"/>
      <c r="U5453" s="17"/>
    </row>
    <row r="5454" spans="17:21" x14ac:dyDescent="0.25">
      <c r="Q5454" s="17" t="s">
        <v>6122</v>
      </c>
      <c r="R5454" s="17" t="s">
        <v>4956</v>
      </c>
      <c r="S5454" s="17"/>
      <c r="T5454" s="17"/>
      <c r="U5454" s="17"/>
    </row>
    <row r="5455" spans="17:21" x14ac:dyDescent="0.25">
      <c r="Q5455" s="17" t="s">
        <v>6123</v>
      </c>
      <c r="R5455" s="17" t="s">
        <v>4956</v>
      </c>
      <c r="S5455" s="17"/>
      <c r="T5455" s="17"/>
      <c r="U5455" s="17"/>
    </row>
    <row r="5456" spans="17:21" x14ac:dyDescent="0.25">
      <c r="Q5456" s="17" t="s">
        <v>6124</v>
      </c>
      <c r="R5456" s="17" t="s">
        <v>4956</v>
      </c>
      <c r="S5456" s="17"/>
      <c r="T5456" s="17"/>
      <c r="U5456" s="17"/>
    </row>
    <row r="5457" spans="17:21" x14ac:dyDescent="0.25">
      <c r="Q5457" s="17" t="s">
        <v>6125</v>
      </c>
      <c r="R5457" s="17" t="s">
        <v>4956</v>
      </c>
      <c r="S5457" s="17"/>
      <c r="T5457" s="17"/>
      <c r="U5457" s="17"/>
    </row>
    <row r="5458" spans="17:21" x14ac:dyDescent="0.25">
      <c r="Q5458" s="17" t="s">
        <v>6126</v>
      </c>
      <c r="R5458" s="17" t="s">
        <v>4956</v>
      </c>
      <c r="S5458" s="17"/>
      <c r="T5458" s="17"/>
      <c r="U5458" s="17"/>
    </row>
    <row r="5459" spans="17:21" x14ac:dyDescent="0.25">
      <c r="Q5459" s="17" t="s">
        <v>6127</v>
      </c>
      <c r="R5459" s="17" t="s">
        <v>3999</v>
      </c>
      <c r="S5459" s="17"/>
      <c r="T5459" s="17"/>
      <c r="U5459" s="17"/>
    </row>
    <row r="5460" spans="17:21" x14ac:dyDescent="0.25">
      <c r="Q5460" s="17" t="s">
        <v>6128</v>
      </c>
      <c r="R5460" s="17" t="s">
        <v>3999</v>
      </c>
      <c r="S5460" s="17"/>
      <c r="T5460" s="17"/>
      <c r="U5460" s="17"/>
    </row>
    <row r="5461" spans="17:21" x14ac:dyDescent="0.25">
      <c r="Q5461" s="17" t="s">
        <v>6129</v>
      </c>
      <c r="R5461" s="17" t="s">
        <v>3999</v>
      </c>
      <c r="S5461" s="17"/>
      <c r="T5461" s="17"/>
      <c r="U5461" s="17"/>
    </row>
    <row r="5462" spans="17:21" x14ac:dyDescent="0.25">
      <c r="Q5462" s="17" t="s">
        <v>6130</v>
      </c>
      <c r="R5462" s="17" t="s">
        <v>3999</v>
      </c>
      <c r="S5462" s="17"/>
      <c r="T5462" s="17"/>
      <c r="U5462" s="17"/>
    </row>
    <row r="5463" spans="17:21" x14ac:dyDescent="0.25">
      <c r="Q5463" s="17" t="s">
        <v>6131</v>
      </c>
      <c r="R5463" s="17" t="s">
        <v>3999</v>
      </c>
      <c r="S5463" s="17"/>
      <c r="T5463" s="17"/>
      <c r="U5463" s="17"/>
    </row>
    <row r="5464" spans="17:21" x14ac:dyDescent="0.25">
      <c r="Q5464" s="17" t="s">
        <v>6132</v>
      </c>
      <c r="R5464" s="17" t="s">
        <v>3999</v>
      </c>
      <c r="S5464" s="17"/>
      <c r="T5464" s="17"/>
      <c r="U5464" s="17"/>
    </row>
    <row r="5465" spans="17:21" x14ac:dyDescent="0.25">
      <c r="Q5465" s="17" t="s">
        <v>6133</v>
      </c>
      <c r="R5465" s="17" t="s">
        <v>3999</v>
      </c>
      <c r="S5465" s="17"/>
      <c r="T5465" s="17"/>
      <c r="U5465" s="17"/>
    </row>
    <row r="5466" spans="17:21" x14ac:dyDescent="0.25">
      <c r="Q5466" s="17" t="s">
        <v>6134</v>
      </c>
      <c r="R5466" s="17" t="s">
        <v>3999</v>
      </c>
      <c r="S5466" s="17"/>
      <c r="T5466" s="17"/>
      <c r="U5466" s="17"/>
    </row>
    <row r="5467" spans="17:21" x14ac:dyDescent="0.25">
      <c r="Q5467" s="17" t="s">
        <v>6135</v>
      </c>
      <c r="R5467" s="17" t="s">
        <v>3999</v>
      </c>
      <c r="S5467" s="17"/>
      <c r="T5467" s="17"/>
      <c r="U5467" s="17"/>
    </row>
    <row r="5468" spans="17:21" x14ac:dyDescent="0.25">
      <c r="Q5468" s="17" t="s">
        <v>6136</v>
      </c>
      <c r="R5468" s="17" t="s">
        <v>3999</v>
      </c>
      <c r="S5468" s="17"/>
      <c r="T5468" s="17"/>
      <c r="U5468" s="17"/>
    </row>
    <row r="5469" spans="17:21" x14ac:dyDescent="0.25">
      <c r="Q5469" s="17" t="s">
        <v>6137</v>
      </c>
      <c r="R5469" s="17" t="s">
        <v>3999</v>
      </c>
      <c r="S5469" s="17"/>
      <c r="T5469" s="17"/>
      <c r="U5469" s="17"/>
    </row>
    <row r="5470" spans="17:21" x14ac:dyDescent="0.25">
      <c r="Q5470" s="17" t="s">
        <v>6138</v>
      </c>
      <c r="R5470" s="17" t="s">
        <v>3999</v>
      </c>
      <c r="S5470" s="17"/>
      <c r="T5470" s="17"/>
      <c r="U5470" s="17"/>
    </row>
    <row r="5471" spans="17:21" x14ac:dyDescent="0.25">
      <c r="Q5471" s="17" t="s">
        <v>6139</v>
      </c>
      <c r="R5471" s="17" t="s">
        <v>3999</v>
      </c>
      <c r="S5471" s="17"/>
      <c r="T5471" s="17"/>
      <c r="U5471" s="17"/>
    </row>
    <row r="5472" spans="17:21" x14ac:dyDescent="0.25">
      <c r="Q5472" s="17" t="s">
        <v>6140</v>
      </c>
      <c r="R5472" s="17" t="s">
        <v>3999</v>
      </c>
      <c r="S5472" s="17"/>
      <c r="T5472" s="17"/>
      <c r="U5472" s="17"/>
    </row>
    <row r="5473" spans="17:21" x14ac:dyDescent="0.25">
      <c r="Q5473" s="17" t="s">
        <v>6141</v>
      </c>
      <c r="R5473" s="17" t="s">
        <v>3999</v>
      </c>
      <c r="S5473" s="17"/>
      <c r="T5473" s="17"/>
      <c r="U5473" s="17"/>
    </row>
    <row r="5474" spans="17:21" x14ac:dyDescent="0.25">
      <c r="Q5474" s="17" t="s">
        <v>6142</v>
      </c>
      <c r="R5474" s="17" t="s">
        <v>4956</v>
      </c>
      <c r="S5474" s="17"/>
      <c r="T5474" s="17"/>
      <c r="U5474" s="17"/>
    </row>
    <row r="5475" spans="17:21" x14ac:dyDescent="0.25">
      <c r="Q5475" s="17" t="s">
        <v>6143</v>
      </c>
      <c r="R5475" s="17" t="s">
        <v>4956</v>
      </c>
      <c r="S5475" s="17"/>
      <c r="T5475" s="17"/>
      <c r="U5475" s="17"/>
    </row>
    <row r="5476" spans="17:21" x14ac:dyDescent="0.25">
      <c r="Q5476" s="17" t="s">
        <v>6144</v>
      </c>
      <c r="R5476" s="17" t="s">
        <v>4956</v>
      </c>
      <c r="S5476" s="17"/>
      <c r="T5476" s="17"/>
      <c r="U5476" s="17"/>
    </row>
    <row r="5477" spans="17:21" x14ac:dyDescent="0.25">
      <c r="Q5477" s="17" t="s">
        <v>6145</v>
      </c>
      <c r="R5477" s="17" t="s">
        <v>3999</v>
      </c>
      <c r="S5477" s="17"/>
      <c r="T5477" s="17"/>
      <c r="U5477" s="17"/>
    </row>
    <row r="5478" spans="17:21" x14ac:dyDescent="0.25">
      <c r="Q5478" s="17" t="s">
        <v>6146</v>
      </c>
      <c r="R5478" s="17" t="s">
        <v>3999</v>
      </c>
      <c r="S5478" s="17"/>
      <c r="T5478" s="17"/>
      <c r="U5478" s="17"/>
    </row>
    <row r="5479" spans="17:21" x14ac:dyDescent="0.25">
      <c r="Q5479" s="17" t="s">
        <v>6147</v>
      </c>
      <c r="R5479" s="17" t="s">
        <v>3999</v>
      </c>
      <c r="S5479" s="17"/>
      <c r="T5479" s="17"/>
      <c r="U5479" s="17"/>
    </row>
    <row r="5480" spans="17:21" x14ac:dyDescent="0.25">
      <c r="Q5480" s="17" t="s">
        <v>6148</v>
      </c>
      <c r="R5480" s="17" t="s">
        <v>3999</v>
      </c>
      <c r="S5480" s="17"/>
      <c r="T5480" s="17"/>
      <c r="U5480" s="17"/>
    </row>
    <row r="5481" spans="17:21" x14ac:dyDescent="0.25">
      <c r="Q5481" s="17" t="s">
        <v>6149</v>
      </c>
      <c r="R5481" s="17" t="s">
        <v>3999</v>
      </c>
      <c r="S5481" s="17"/>
      <c r="T5481" s="17"/>
      <c r="U5481" s="17"/>
    </row>
    <row r="5482" spans="17:21" x14ac:dyDescent="0.25">
      <c r="Q5482" s="17" t="s">
        <v>6150</v>
      </c>
      <c r="R5482" s="17" t="s">
        <v>3999</v>
      </c>
      <c r="S5482" s="17"/>
      <c r="T5482" s="17"/>
      <c r="U5482" s="17"/>
    </row>
    <row r="5483" spans="17:21" x14ac:dyDescent="0.25">
      <c r="Q5483" s="17" t="s">
        <v>6151</v>
      </c>
      <c r="R5483" s="17" t="s">
        <v>4956</v>
      </c>
      <c r="S5483" s="17"/>
      <c r="T5483" s="17"/>
      <c r="U5483" s="17"/>
    </row>
    <row r="5484" spans="17:21" x14ac:dyDescent="0.25">
      <c r="Q5484" s="17" t="s">
        <v>6152</v>
      </c>
      <c r="R5484" s="17" t="s">
        <v>6153</v>
      </c>
      <c r="S5484" s="17"/>
      <c r="T5484" s="17"/>
      <c r="U5484" s="17"/>
    </row>
    <row r="5485" spans="17:21" x14ac:dyDescent="0.25">
      <c r="Q5485" s="17" t="s">
        <v>6154</v>
      </c>
      <c r="R5485" s="17" t="s">
        <v>4956</v>
      </c>
      <c r="S5485" s="17"/>
      <c r="T5485" s="17"/>
      <c r="U5485" s="17"/>
    </row>
    <row r="5486" spans="17:21" x14ac:dyDescent="0.25">
      <c r="Q5486" s="17" t="s">
        <v>6155</v>
      </c>
      <c r="R5486" s="17" t="s">
        <v>4956</v>
      </c>
      <c r="S5486" s="17"/>
      <c r="T5486" s="17"/>
      <c r="U5486" s="17"/>
    </row>
    <row r="5487" spans="17:21" x14ac:dyDescent="0.25">
      <c r="Q5487" s="17" t="s">
        <v>6156</v>
      </c>
      <c r="R5487" s="17" t="s">
        <v>6153</v>
      </c>
      <c r="S5487" s="17"/>
      <c r="T5487" s="17"/>
      <c r="U5487" s="17"/>
    </row>
    <row r="5488" spans="17:21" x14ac:dyDescent="0.25">
      <c r="Q5488" s="17" t="s">
        <v>6157</v>
      </c>
      <c r="R5488" s="17" t="s">
        <v>4956</v>
      </c>
      <c r="S5488" s="17"/>
      <c r="T5488" s="17"/>
      <c r="U5488" s="17"/>
    </row>
    <row r="5489" spans="17:21" x14ac:dyDescent="0.25">
      <c r="Q5489" s="17" t="s">
        <v>6158</v>
      </c>
      <c r="R5489" s="17" t="s">
        <v>4956</v>
      </c>
      <c r="S5489" s="17"/>
      <c r="T5489" s="17"/>
      <c r="U5489" s="17"/>
    </row>
    <row r="5490" spans="17:21" x14ac:dyDescent="0.25">
      <c r="Q5490" s="17" t="s">
        <v>6159</v>
      </c>
      <c r="R5490" s="17" t="s">
        <v>4956</v>
      </c>
      <c r="S5490" s="17"/>
      <c r="T5490" s="17"/>
      <c r="U5490" s="17"/>
    </row>
    <row r="5491" spans="17:21" x14ac:dyDescent="0.25">
      <c r="Q5491" s="17" t="s">
        <v>6160</v>
      </c>
      <c r="R5491" s="17" t="s">
        <v>4956</v>
      </c>
      <c r="S5491" s="17"/>
      <c r="T5491" s="17"/>
      <c r="U5491" s="17"/>
    </row>
    <row r="5492" spans="17:21" x14ac:dyDescent="0.25">
      <c r="Q5492" s="17" t="s">
        <v>6161</v>
      </c>
      <c r="R5492" s="17" t="s">
        <v>4956</v>
      </c>
      <c r="S5492" s="17"/>
      <c r="T5492" s="17"/>
      <c r="U5492" s="17"/>
    </row>
    <row r="5493" spans="17:21" x14ac:dyDescent="0.25">
      <c r="Q5493" s="17" t="s">
        <v>6162</v>
      </c>
      <c r="R5493" s="17" t="s">
        <v>4956</v>
      </c>
      <c r="S5493" s="17"/>
      <c r="T5493" s="17"/>
      <c r="U5493" s="17"/>
    </row>
    <row r="5494" spans="17:21" x14ac:dyDescent="0.25">
      <c r="Q5494" s="17" t="s">
        <v>6163</v>
      </c>
      <c r="R5494" s="17" t="s">
        <v>4956</v>
      </c>
      <c r="S5494" s="17"/>
      <c r="T5494" s="17"/>
      <c r="U5494" s="17"/>
    </row>
    <row r="5495" spans="17:21" x14ac:dyDescent="0.25">
      <c r="Q5495" s="17" t="s">
        <v>6164</v>
      </c>
      <c r="R5495" s="17" t="s">
        <v>4956</v>
      </c>
      <c r="S5495" s="17"/>
      <c r="T5495" s="17"/>
      <c r="U5495" s="17"/>
    </row>
    <row r="5496" spans="17:21" x14ac:dyDescent="0.25">
      <c r="Q5496" s="17" t="s">
        <v>6165</v>
      </c>
      <c r="R5496" s="17" t="s">
        <v>4956</v>
      </c>
      <c r="S5496" s="17"/>
      <c r="T5496" s="17"/>
      <c r="U5496" s="17"/>
    </row>
    <row r="5497" spans="17:21" x14ac:dyDescent="0.25">
      <c r="Q5497" s="17" t="s">
        <v>6166</v>
      </c>
      <c r="R5497" s="17" t="s">
        <v>4956</v>
      </c>
      <c r="S5497" s="17"/>
      <c r="T5497" s="17"/>
      <c r="U5497" s="17"/>
    </row>
    <row r="5498" spans="17:21" x14ac:dyDescent="0.25">
      <c r="Q5498" s="17" t="s">
        <v>6167</v>
      </c>
      <c r="R5498" s="17" t="s">
        <v>4956</v>
      </c>
      <c r="S5498" s="17"/>
      <c r="T5498" s="17"/>
      <c r="U5498" s="17"/>
    </row>
    <row r="5499" spans="17:21" x14ac:dyDescent="0.25">
      <c r="Q5499" s="17" t="s">
        <v>6168</v>
      </c>
      <c r="R5499" s="17" t="s">
        <v>4956</v>
      </c>
      <c r="S5499" s="17"/>
      <c r="T5499" s="17"/>
      <c r="U5499" s="17"/>
    </row>
    <row r="5500" spans="17:21" x14ac:dyDescent="0.25">
      <c r="Q5500" s="17" t="s">
        <v>6169</v>
      </c>
      <c r="R5500" s="17" t="s">
        <v>4956</v>
      </c>
      <c r="S5500" s="17"/>
      <c r="T5500" s="17"/>
      <c r="U5500" s="17"/>
    </row>
    <row r="5501" spans="17:21" x14ac:dyDescent="0.25">
      <c r="Q5501" s="17" t="s">
        <v>6170</v>
      </c>
      <c r="R5501" s="17" t="s">
        <v>4956</v>
      </c>
      <c r="S5501" s="17"/>
      <c r="T5501" s="17"/>
      <c r="U5501" s="17"/>
    </row>
    <row r="5502" spans="17:21" x14ac:dyDescent="0.25">
      <c r="Q5502" s="17" t="s">
        <v>6171</v>
      </c>
      <c r="R5502" s="17" t="s">
        <v>4956</v>
      </c>
      <c r="S5502" s="17"/>
      <c r="T5502" s="17"/>
      <c r="U5502" s="17"/>
    </row>
    <row r="5503" spans="17:21" x14ac:dyDescent="0.25">
      <c r="Q5503" s="17" t="s">
        <v>6172</v>
      </c>
      <c r="R5503" s="17" t="s">
        <v>4956</v>
      </c>
      <c r="S5503" s="17"/>
      <c r="T5503" s="17"/>
      <c r="U5503" s="17"/>
    </row>
    <row r="5504" spans="17:21" x14ac:dyDescent="0.25">
      <c r="Q5504" s="17" t="s">
        <v>6173</v>
      </c>
      <c r="R5504" s="17" t="s">
        <v>4956</v>
      </c>
      <c r="S5504" s="17"/>
      <c r="T5504" s="17"/>
      <c r="U5504" s="17"/>
    </row>
    <row r="5505" spans="17:21" x14ac:dyDescent="0.25">
      <c r="Q5505" s="17" t="s">
        <v>6174</v>
      </c>
      <c r="R5505" s="17" t="s">
        <v>4956</v>
      </c>
      <c r="S5505" s="17"/>
      <c r="T5505" s="17"/>
      <c r="U5505" s="17"/>
    </row>
    <row r="5506" spans="17:21" x14ac:dyDescent="0.25">
      <c r="Q5506" s="17" t="s">
        <v>6175</v>
      </c>
      <c r="R5506" s="17" t="s">
        <v>6153</v>
      </c>
      <c r="S5506" s="17"/>
      <c r="T5506" s="17"/>
      <c r="U5506" s="17"/>
    </row>
    <row r="5507" spans="17:21" x14ac:dyDescent="0.25">
      <c r="Q5507" s="17" t="s">
        <v>6176</v>
      </c>
      <c r="R5507" s="17" t="s">
        <v>6153</v>
      </c>
      <c r="S5507" s="17"/>
      <c r="T5507" s="17"/>
      <c r="U5507" s="17"/>
    </row>
    <row r="5508" spans="17:21" x14ac:dyDescent="0.25">
      <c r="Q5508" s="17" t="s">
        <v>6177</v>
      </c>
      <c r="R5508" s="17" t="s">
        <v>6153</v>
      </c>
      <c r="S5508" s="17"/>
      <c r="T5508" s="17"/>
      <c r="U5508" s="17"/>
    </row>
    <row r="5509" spans="17:21" x14ac:dyDescent="0.25">
      <c r="Q5509" s="17" t="s">
        <v>6178</v>
      </c>
      <c r="R5509" s="17" t="s">
        <v>3999</v>
      </c>
      <c r="S5509" s="17"/>
      <c r="T5509" s="17"/>
      <c r="U5509" s="17"/>
    </row>
    <row r="5510" spans="17:21" x14ac:dyDescent="0.25">
      <c r="Q5510" s="17" t="s">
        <v>6179</v>
      </c>
      <c r="R5510" s="17" t="s">
        <v>3999</v>
      </c>
      <c r="S5510" s="17"/>
      <c r="T5510" s="17"/>
      <c r="U5510" s="17"/>
    </row>
    <row r="5511" spans="17:21" x14ac:dyDescent="0.25">
      <c r="Q5511" s="17" t="s">
        <v>6180</v>
      </c>
      <c r="R5511" s="17" t="s">
        <v>3999</v>
      </c>
      <c r="S5511" s="17"/>
      <c r="T5511" s="17"/>
      <c r="U5511" s="17"/>
    </row>
    <row r="5512" spans="17:21" x14ac:dyDescent="0.25">
      <c r="Q5512" s="17" t="s">
        <v>6181</v>
      </c>
      <c r="R5512" s="17" t="s">
        <v>3999</v>
      </c>
      <c r="S5512" s="17"/>
      <c r="T5512" s="17"/>
      <c r="U5512" s="17"/>
    </row>
    <row r="5513" spans="17:21" x14ac:dyDescent="0.25">
      <c r="Q5513" s="17" t="s">
        <v>6182</v>
      </c>
      <c r="R5513" s="17" t="s">
        <v>3999</v>
      </c>
      <c r="S5513" s="17"/>
      <c r="T5513" s="17"/>
      <c r="U5513" s="17"/>
    </row>
    <row r="5514" spans="17:21" x14ac:dyDescent="0.25">
      <c r="Q5514" s="17" t="s">
        <v>6183</v>
      </c>
      <c r="R5514" s="17" t="s">
        <v>3999</v>
      </c>
      <c r="S5514" s="17"/>
      <c r="T5514" s="17"/>
      <c r="U5514" s="17"/>
    </row>
    <row r="5515" spans="17:21" x14ac:dyDescent="0.25">
      <c r="Q5515" s="17" t="s">
        <v>6184</v>
      </c>
      <c r="R5515" s="17" t="s">
        <v>3999</v>
      </c>
      <c r="S5515" s="17"/>
      <c r="T5515" s="17"/>
      <c r="U5515" s="17"/>
    </row>
    <row r="5516" spans="17:21" x14ac:dyDescent="0.25">
      <c r="Q5516" s="17" t="s">
        <v>6185</v>
      </c>
      <c r="R5516" s="17" t="s">
        <v>3999</v>
      </c>
      <c r="S5516" s="17"/>
      <c r="T5516" s="17"/>
      <c r="U5516" s="17"/>
    </row>
    <row r="5517" spans="17:21" x14ac:dyDescent="0.25">
      <c r="Q5517" s="17" t="s">
        <v>6186</v>
      </c>
      <c r="R5517" s="17" t="s">
        <v>3999</v>
      </c>
      <c r="S5517" s="17"/>
      <c r="T5517" s="17"/>
      <c r="U5517" s="17"/>
    </row>
    <row r="5518" spans="17:21" x14ac:dyDescent="0.25">
      <c r="Q5518" s="17" t="s">
        <v>6187</v>
      </c>
      <c r="R5518" s="17" t="s">
        <v>3999</v>
      </c>
      <c r="S5518" s="17"/>
      <c r="T5518" s="17"/>
      <c r="U5518" s="17"/>
    </row>
    <row r="5519" spans="17:21" x14ac:dyDescent="0.25">
      <c r="Q5519" s="17" t="s">
        <v>6188</v>
      </c>
      <c r="R5519" s="17" t="s">
        <v>3999</v>
      </c>
      <c r="S5519" s="17"/>
      <c r="T5519" s="17"/>
      <c r="U5519" s="17"/>
    </row>
    <row r="5520" spans="17:21" x14ac:dyDescent="0.25">
      <c r="Q5520" s="17" t="s">
        <v>6189</v>
      </c>
      <c r="R5520" s="17" t="s">
        <v>3999</v>
      </c>
      <c r="S5520" s="17"/>
      <c r="T5520" s="17"/>
      <c r="U5520" s="17"/>
    </row>
    <row r="5521" spans="17:21" x14ac:dyDescent="0.25">
      <c r="Q5521" s="17" t="s">
        <v>6190</v>
      </c>
      <c r="R5521" s="17" t="s">
        <v>3999</v>
      </c>
      <c r="S5521" s="17"/>
      <c r="T5521" s="17"/>
      <c r="U5521" s="17"/>
    </row>
    <row r="5522" spans="17:21" x14ac:dyDescent="0.25">
      <c r="Q5522" s="17" t="s">
        <v>6191</v>
      </c>
      <c r="R5522" s="17" t="s">
        <v>3999</v>
      </c>
      <c r="S5522" s="17"/>
      <c r="T5522" s="17"/>
      <c r="U5522" s="17"/>
    </row>
    <row r="5523" spans="17:21" x14ac:dyDescent="0.25">
      <c r="Q5523" s="17" t="s">
        <v>6192</v>
      </c>
      <c r="R5523" s="17" t="s">
        <v>3999</v>
      </c>
      <c r="S5523" s="17"/>
      <c r="T5523" s="17"/>
      <c r="U5523" s="17"/>
    </row>
    <row r="5524" spans="17:21" x14ac:dyDescent="0.25">
      <c r="Q5524" s="17" t="s">
        <v>6193</v>
      </c>
      <c r="R5524" s="17" t="s">
        <v>3999</v>
      </c>
      <c r="S5524" s="17"/>
      <c r="T5524" s="17"/>
      <c r="U5524" s="17"/>
    </row>
    <row r="5525" spans="17:21" x14ac:dyDescent="0.25">
      <c r="Q5525" s="17" t="s">
        <v>6194</v>
      </c>
      <c r="R5525" s="17" t="s">
        <v>3999</v>
      </c>
      <c r="S5525" s="17"/>
      <c r="T5525" s="17"/>
      <c r="U5525" s="17"/>
    </row>
    <row r="5526" spans="17:21" x14ac:dyDescent="0.25">
      <c r="Q5526" s="17" t="s">
        <v>6195</v>
      </c>
      <c r="R5526" s="17" t="s">
        <v>3999</v>
      </c>
      <c r="S5526" s="17"/>
      <c r="T5526" s="17"/>
      <c r="U5526" s="17"/>
    </row>
    <row r="5527" spans="17:21" x14ac:dyDescent="0.25">
      <c r="Q5527" s="17" t="s">
        <v>6196</v>
      </c>
      <c r="R5527" s="17" t="s">
        <v>4956</v>
      </c>
      <c r="S5527" s="17"/>
      <c r="T5527" s="17"/>
      <c r="U5527" s="17"/>
    </row>
    <row r="5528" spans="17:21" x14ac:dyDescent="0.25">
      <c r="Q5528" s="17" t="s">
        <v>6197</v>
      </c>
      <c r="R5528" s="17" t="s">
        <v>4956</v>
      </c>
      <c r="S5528" s="17"/>
      <c r="T5528" s="17"/>
      <c r="U5528" s="17"/>
    </row>
    <row r="5529" spans="17:21" x14ac:dyDescent="0.25">
      <c r="Q5529" s="17" t="s">
        <v>6198</v>
      </c>
      <c r="R5529" s="17" t="s">
        <v>4956</v>
      </c>
      <c r="S5529" s="17"/>
      <c r="T5529" s="17"/>
      <c r="U5529" s="17"/>
    </row>
    <row r="5530" spans="17:21" x14ac:dyDescent="0.25">
      <c r="Q5530" s="17" t="s">
        <v>6199</v>
      </c>
      <c r="R5530" s="17" t="s">
        <v>4956</v>
      </c>
      <c r="S5530" s="17"/>
      <c r="T5530" s="17"/>
      <c r="U5530" s="17"/>
    </row>
    <row r="5531" spans="17:21" x14ac:dyDescent="0.25">
      <c r="Q5531" s="17" t="s">
        <v>6200</v>
      </c>
      <c r="R5531" s="17" t="s">
        <v>4956</v>
      </c>
      <c r="S5531" s="17"/>
      <c r="T5531" s="17"/>
      <c r="U5531" s="17"/>
    </row>
    <row r="5532" spans="17:21" x14ac:dyDescent="0.25">
      <c r="Q5532" s="17" t="s">
        <v>6201</v>
      </c>
      <c r="R5532" s="17" t="s">
        <v>4956</v>
      </c>
      <c r="S5532" s="17"/>
      <c r="T5532" s="17"/>
      <c r="U5532" s="17"/>
    </row>
    <row r="5533" spans="17:21" x14ac:dyDescent="0.25">
      <c r="Q5533" s="17" t="s">
        <v>6202</v>
      </c>
      <c r="R5533" s="17" t="s">
        <v>4956</v>
      </c>
      <c r="S5533" s="17"/>
      <c r="T5533" s="17"/>
      <c r="U5533" s="17"/>
    </row>
    <row r="5534" spans="17:21" x14ac:dyDescent="0.25">
      <c r="Q5534" s="17" t="s">
        <v>6203</v>
      </c>
      <c r="R5534" s="17" t="s">
        <v>4956</v>
      </c>
      <c r="S5534" s="17"/>
      <c r="T5534" s="17"/>
      <c r="U5534" s="17"/>
    </row>
    <row r="5535" spans="17:21" x14ac:dyDescent="0.25">
      <c r="Q5535" s="17" t="s">
        <v>6204</v>
      </c>
      <c r="R5535" s="17" t="s">
        <v>4956</v>
      </c>
      <c r="S5535" s="17"/>
      <c r="T5535" s="17"/>
      <c r="U5535" s="17"/>
    </row>
    <row r="5536" spans="17:21" x14ac:dyDescent="0.25">
      <c r="Q5536" s="17" t="s">
        <v>6205</v>
      </c>
      <c r="R5536" s="17" t="s">
        <v>4956</v>
      </c>
      <c r="S5536" s="17"/>
      <c r="T5536" s="17"/>
      <c r="U5536" s="17"/>
    </row>
    <row r="5537" spans="17:21" x14ac:dyDescent="0.25">
      <c r="Q5537" s="17" t="s">
        <v>6206</v>
      </c>
      <c r="R5537" s="17" t="s">
        <v>4956</v>
      </c>
      <c r="S5537" s="17"/>
      <c r="T5537" s="17"/>
      <c r="U5537" s="17"/>
    </row>
    <row r="5538" spans="17:21" x14ac:dyDescent="0.25">
      <c r="Q5538" s="17" t="s">
        <v>6207</v>
      </c>
      <c r="R5538" s="17" t="s">
        <v>4956</v>
      </c>
      <c r="S5538" s="17"/>
      <c r="T5538" s="17"/>
      <c r="U5538" s="17"/>
    </row>
    <row r="5539" spans="17:21" x14ac:dyDescent="0.25">
      <c r="Q5539" s="17" t="s">
        <v>6208</v>
      </c>
      <c r="R5539" s="17" t="s">
        <v>4956</v>
      </c>
      <c r="S5539" s="17"/>
      <c r="T5539" s="17"/>
      <c r="U5539" s="17"/>
    </row>
    <row r="5540" spans="17:21" x14ac:dyDescent="0.25">
      <c r="Q5540" s="17" t="s">
        <v>6209</v>
      </c>
      <c r="R5540" s="17" t="s">
        <v>4956</v>
      </c>
      <c r="S5540" s="17"/>
      <c r="T5540" s="17"/>
      <c r="U5540" s="17"/>
    </row>
    <row r="5541" spans="17:21" x14ac:dyDescent="0.25">
      <c r="Q5541" s="17" t="s">
        <v>6210</v>
      </c>
      <c r="R5541" s="17" t="s">
        <v>4956</v>
      </c>
      <c r="S5541" s="17"/>
      <c r="T5541" s="17"/>
      <c r="U5541" s="17"/>
    </row>
    <row r="5542" spans="17:21" x14ac:dyDescent="0.25">
      <c r="Q5542" s="17" t="s">
        <v>6211</v>
      </c>
      <c r="R5542" s="17" t="s">
        <v>4956</v>
      </c>
      <c r="S5542" s="17"/>
      <c r="T5542" s="17"/>
      <c r="U5542" s="17"/>
    </row>
    <row r="5543" spans="17:21" x14ac:dyDescent="0.25">
      <c r="Q5543" s="17" t="s">
        <v>6212</v>
      </c>
      <c r="R5543" s="17" t="s">
        <v>4956</v>
      </c>
      <c r="S5543" s="17"/>
      <c r="T5543" s="17"/>
      <c r="U5543" s="17"/>
    </row>
    <row r="5544" spans="17:21" x14ac:dyDescent="0.25">
      <c r="Q5544" s="17" t="s">
        <v>6213</v>
      </c>
      <c r="R5544" s="17" t="s">
        <v>4956</v>
      </c>
      <c r="S5544" s="17"/>
      <c r="T5544" s="17"/>
      <c r="U5544" s="17"/>
    </row>
    <row r="5545" spans="17:21" x14ac:dyDescent="0.25">
      <c r="Q5545" s="17" t="s">
        <v>6214</v>
      </c>
      <c r="R5545" s="17" t="s">
        <v>4956</v>
      </c>
      <c r="S5545" s="17"/>
      <c r="T5545" s="17"/>
      <c r="U5545" s="17"/>
    </row>
    <row r="5546" spans="17:21" x14ac:dyDescent="0.25">
      <c r="Q5546" s="17" t="s">
        <v>6215</v>
      </c>
      <c r="R5546" s="17" t="s">
        <v>4956</v>
      </c>
      <c r="S5546" s="17"/>
      <c r="T5546" s="17"/>
      <c r="U5546" s="17"/>
    </row>
    <row r="5547" spans="17:21" x14ac:dyDescent="0.25">
      <c r="Q5547" s="17" t="s">
        <v>6216</v>
      </c>
      <c r="R5547" s="17" t="s">
        <v>4956</v>
      </c>
      <c r="S5547" s="17"/>
      <c r="T5547" s="17"/>
      <c r="U5547" s="17"/>
    </row>
    <row r="5548" spans="17:21" x14ac:dyDescent="0.25">
      <c r="Q5548" s="17" t="s">
        <v>6217</v>
      </c>
      <c r="R5548" s="17" t="s">
        <v>4956</v>
      </c>
      <c r="S5548" s="17"/>
      <c r="T5548" s="17"/>
      <c r="U5548" s="17"/>
    </row>
    <row r="5549" spans="17:21" x14ac:dyDescent="0.25">
      <c r="Q5549" s="17" t="s">
        <v>6218</v>
      </c>
      <c r="R5549" s="17" t="s">
        <v>4956</v>
      </c>
      <c r="S5549" s="17"/>
      <c r="T5549" s="17"/>
      <c r="U5549" s="17"/>
    </row>
    <row r="5550" spans="17:21" x14ac:dyDescent="0.25">
      <c r="Q5550" s="17" t="s">
        <v>6219</v>
      </c>
      <c r="R5550" s="17" t="s">
        <v>4956</v>
      </c>
      <c r="S5550" s="17"/>
      <c r="T5550" s="17"/>
      <c r="U5550" s="17"/>
    </row>
    <row r="5551" spans="17:21" x14ac:dyDescent="0.25">
      <c r="Q5551" s="17" t="s">
        <v>6220</v>
      </c>
      <c r="R5551" s="17" t="s">
        <v>4956</v>
      </c>
      <c r="S5551" s="17"/>
      <c r="T5551" s="17"/>
      <c r="U5551" s="17"/>
    </row>
    <row r="5552" spans="17:21" x14ac:dyDescent="0.25">
      <c r="Q5552" s="17" t="s">
        <v>6221</v>
      </c>
      <c r="R5552" s="17" t="s">
        <v>4956</v>
      </c>
      <c r="S5552" s="17"/>
      <c r="T5552" s="17"/>
      <c r="U5552" s="17"/>
    </row>
    <row r="5553" spans="17:21" x14ac:dyDescent="0.25">
      <c r="Q5553" s="17" t="s">
        <v>6222</v>
      </c>
      <c r="R5553" s="17" t="s">
        <v>6153</v>
      </c>
      <c r="S5553" s="17"/>
      <c r="T5553" s="17"/>
      <c r="U5553" s="17"/>
    </row>
    <row r="5554" spans="17:21" x14ac:dyDescent="0.25">
      <c r="Q5554" s="17" t="s">
        <v>6223</v>
      </c>
      <c r="R5554" s="17" t="s">
        <v>6153</v>
      </c>
      <c r="S5554" s="17"/>
      <c r="T5554" s="17"/>
      <c r="U5554" s="17"/>
    </row>
    <row r="5555" spans="17:21" x14ac:dyDescent="0.25">
      <c r="Q5555" s="17" t="s">
        <v>6224</v>
      </c>
      <c r="R5555" s="17" t="s">
        <v>6153</v>
      </c>
      <c r="S5555" s="17"/>
      <c r="T5555" s="17"/>
      <c r="U5555" s="17"/>
    </row>
    <row r="5556" spans="17:21" x14ac:dyDescent="0.25">
      <c r="Q5556" s="17" t="s">
        <v>6225</v>
      </c>
      <c r="R5556" s="17" t="s">
        <v>6153</v>
      </c>
      <c r="S5556" s="17"/>
      <c r="T5556" s="17"/>
      <c r="U5556" s="17"/>
    </row>
    <row r="5557" spans="17:21" x14ac:dyDescent="0.25">
      <c r="Q5557" s="17" t="s">
        <v>6226</v>
      </c>
      <c r="R5557" s="17" t="s">
        <v>6153</v>
      </c>
      <c r="S5557" s="17"/>
      <c r="T5557" s="17"/>
      <c r="U5557" s="17"/>
    </row>
    <row r="5558" spans="17:21" x14ac:dyDescent="0.25">
      <c r="Q5558" s="17" t="s">
        <v>6227</v>
      </c>
      <c r="R5558" s="17" t="s">
        <v>6153</v>
      </c>
      <c r="S5558" s="17"/>
      <c r="T5558" s="17"/>
      <c r="U5558" s="17"/>
    </row>
    <row r="5559" spans="17:21" x14ac:dyDescent="0.25">
      <c r="Q5559" s="17" t="s">
        <v>6228</v>
      </c>
      <c r="R5559" s="17" t="s">
        <v>6153</v>
      </c>
      <c r="S5559" s="17"/>
      <c r="T5559" s="17"/>
      <c r="U5559" s="17"/>
    </row>
    <row r="5560" spans="17:21" x14ac:dyDescent="0.25">
      <c r="Q5560" s="17" t="s">
        <v>6229</v>
      </c>
      <c r="R5560" s="17" t="s">
        <v>6153</v>
      </c>
      <c r="S5560" s="17"/>
      <c r="T5560" s="17"/>
      <c r="U5560" s="17"/>
    </row>
    <row r="5561" spans="17:21" x14ac:dyDescent="0.25">
      <c r="Q5561" s="17" t="s">
        <v>6230</v>
      </c>
      <c r="R5561" s="17" t="s">
        <v>6153</v>
      </c>
      <c r="S5561" s="17"/>
      <c r="T5561" s="17"/>
      <c r="U5561" s="17"/>
    </row>
    <row r="5562" spans="17:21" x14ac:dyDescent="0.25">
      <c r="Q5562" s="17" t="s">
        <v>6231</v>
      </c>
      <c r="R5562" s="17" t="s">
        <v>4956</v>
      </c>
      <c r="S5562" s="17"/>
      <c r="T5562" s="17"/>
      <c r="U5562" s="17"/>
    </row>
    <row r="5563" spans="17:21" x14ac:dyDescent="0.25">
      <c r="Q5563" s="17" t="s">
        <v>6232</v>
      </c>
      <c r="R5563" s="17" t="s">
        <v>4956</v>
      </c>
      <c r="S5563" s="17"/>
      <c r="T5563" s="17"/>
      <c r="U5563" s="17"/>
    </row>
    <row r="5564" spans="17:21" x14ac:dyDescent="0.25">
      <c r="Q5564" s="17" t="s">
        <v>6233</v>
      </c>
      <c r="R5564" s="17" t="s">
        <v>6153</v>
      </c>
      <c r="S5564" s="17"/>
      <c r="T5564" s="17"/>
      <c r="U5564" s="17"/>
    </row>
    <row r="5565" spans="17:21" x14ac:dyDescent="0.25">
      <c r="Q5565" s="17" t="s">
        <v>6234</v>
      </c>
      <c r="R5565" s="17" t="s">
        <v>6153</v>
      </c>
      <c r="S5565" s="17"/>
      <c r="T5565" s="17"/>
      <c r="U5565" s="17"/>
    </row>
    <row r="5566" spans="17:21" x14ac:dyDescent="0.25">
      <c r="Q5566" s="17" t="s">
        <v>6235</v>
      </c>
      <c r="R5566" s="17" t="s">
        <v>6153</v>
      </c>
      <c r="S5566" s="17"/>
      <c r="T5566" s="17"/>
      <c r="U5566" s="17"/>
    </row>
    <row r="5567" spans="17:21" x14ac:dyDescent="0.25">
      <c r="Q5567" s="17" t="s">
        <v>6236</v>
      </c>
      <c r="R5567" s="17" t="s">
        <v>3999</v>
      </c>
      <c r="S5567" s="17"/>
      <c r="T5567" s="17"/>
      <c r="U5567" s="17"/>
    </row>
    <row r="5568" spans="17:21" x14ac:dyDescent="0.25">
      <c r="Q5568" s="17" t="s">
        <v>6237</v>
      </c>
      <c r="R5568" s="17" t="s">
        <v>3999</v>
      </c>
      <c r="S5568" s="17"/>
      <c r="T5568" s="17"/>
      <c r="U5568" s="17"/>
    </row>
    <row r="5569" spans="17:21" x14ac:dyDescent="0.25">
      <c r="Q5569" s="17" t="s">
        <v>6238</v>
      </c>
      <c r="R5569" s="17" t="s">
        <v>3999</v>
      </c>
      <c r="S5569" s="17"/>
      <c r="T5569" s="17"/>
      <c r="U5569" s="17"/>
    </row>
    <row r="5570" spans="17:21" x14ac:dyDescent="0.25">
      <c r="Q5570" s="17" t="s">
        <v>6239</v>
      </c>
      <c r="R5570" s="17" t="s">
        <v>3999</v>
      </c>
      <c r="S5570" s="17"/>
      <c r="T5570" s="17"/>
      <c r="U5570" s="17"/>
    </row>
    <row r="5571" spans="17:21" x14ac:dyDescent="0.25">
      <c r="Q5571" s="17" t="s">
        <v>6240</v>
      </c>
      <c r="R5571" s="17" t="s">
        <v>6153</v>
      </c>
      <c r="S5571" s="17"/>
      <c r="T5571" s="17"/>
      <c r="U5571" s="17"/>
    </row>
    <row r="5572" spans="17:21" x14ac:dyDescent="0.25">
      <c r="Q5572" s="17" t="s">
        <v>6241</v>
      </c>
      <c r="R5572" s="17" t="s">
        <v>6153</v>
      </c>
      <c r="S5572" s="17"/>
      <c r="T5572" s="17"/>
      <c r="U5572" s="17"/>
    </row>
    <row r="5573" spans="17:21" x14ac:dyDescent="0.25">
      <c r="Q5573" s="17" t="s">
        <v>6242</v>
      </c>
      <c r="R5573" s="17" t="s">
        <v>6153</v>
      </c>
      <c r="S5573" s="17"/>
      <c r="T5573" s="17"/>
      <c r="U5573" s="17"/>
    </row>
    <row r="5574" spans="17:21" x14ac:dyDescent="0.25">
      <c r="Q5574" s="17" t="s">
        <v>6243</v>
      </c>
      <c r="R5574" s="17" t="s">
        <v>6153</v>
      </c>
      <c r="S5574" s="17"/>
      <c r="T5574" s="17"/>
      <c r="U5574" s="17"/>
    </row>
    <row r="5575" spans="17:21" x14ac:dyDescent="0.25">
      <c r="Q5575" s="17" t="s">
        <v>6244</v>
      </c>
      <c r="R5575" s="17" t="s">
        <v>6153</v>
      </c>
      <c r="S5575" s="17"/>
      <c r="T5575" s="17"/>
      <c r="U5575" s="17"/>
    </row>
    <row r="5576" spans="17:21" x14ac:dyDescent="0.25">
      <c r="Q5576" s="17" t="s">
        <v>6245</v>
      </c>
      <c r="R5576" s="17" t="s">
        <v>6153</v>
      </c>
      <c r="S5576" s="17"/>
      <c r="T5576" s="17"/>
      <c r="U5576" s="17"/>
    </row>
    <row r="5577" spans="17:21" x14ac:dyDescent="0.25">
      <c r="Q5577" s="17" t="s">
        <v>6246</v>
      </c>
      <c r="R5577" s="17" t="s">
        <v>6153</v>
      </c>
      <c r="S5577" s="17"/>
      <c r="T5577" s="17"/>
      <c r="U5577" s="17"/>
    </row>
    <row r="5578" spans="17:21" x14ac:dyDescent="0.25">
      <c r="Q5578" s="17" t="s">
        <v>6247</v>
      </c>
      <c r="R5578" s="17" t="s">
        <v>6153</v>
      </c>
      <c r="S5578" s="17"/>
      <c r="T5578" s="17"/>
      <c r="U5578" s="17"/>
    </row>
    <row r="5579" spans="17:21" x14ac:dyDescent="0.25">
      <c r="Q5579" s="17" t="s">
        <v>6248</v>
      </c>
      <c r="R5579" s="17" t="s">
        <v>6153</v>
      </c>
      <c r="S5579" s="17"/>
      <c r="T5579" s="17"/>
      <c r="U5579" s="17"/>
    </row>
    <row r="5580" spans="17:21" x14ac:dyDescent="0.25">
      <c r="Q5580" s="17" t="s">
        <v>6249</v>
      </c>
      <c r="R5580" s="17" t="s">
        <v>6153</v>
      </c>
      <c r="S5580" s="17"/>
      <c r="T5580" s="17"/>
      <c r="U5580" s="17"/>
    </row>
    <row r="5581" spans="17:21" x14ac:dyDescent="0.25">
      <c r="Q5581" s="17" t="s">
        <v>6250</v>
      </c>
      <c r="R5581" s="17" t="s">
        <v>6153</v>
      </c>
      <c r="S5581" s="17"/>
      <c r="T5581" s="17"/>
      <c r="U5581" s="17"/>
    </row>
    <row r="5582" spans="17:21" x14ac:dyDescent="0.25">
      <c r="Q5582" s="17" t="s">
        <v>6251</v>
      </c>
      <c r="R5582" s="17" t="s">
        <v>6153</v>
      </c>
      <c r="S5582" s="17"/>
      <c r="T5582" s="17"/>
      <c r="U5582" s="17"/>
    </row>
    <row r="5583" spans="17:21" x14ac:dyDescent="0.25">
      <c r="Q5583" s="17" t="s">
        <v>6252</v>
      </c>
      <c r="R5583" s="17" t="s">
        <v>6153</v>
      </c>
      <c r="S5583" s="17"/>
      <c r="T5583" s="17"/>
      <c r="U5583" s="17"/>
    </row>
    <row r="5584" spans="17:21" x14ac:dyDescent="0.25">
      <c r="Q5584" s="17" t="s">
        <v>6253</v>
      </c>
      <c r="R5584" s="17" t="s">
        <v>6153</v>
      </c>
      <c r="S5584" s="17"/>
      <c r="T5584" s="17"/>
      <c r="U5584" s="17"/>
    </row>
    <row r="5585" spans="17:21" x14ac:dyDescent="0.25">
      <c r="Q5585" s="17" t="s">
        <v>6254</v>
      </c>
      <c r="R5585" s="17" t="s">
        <v>6153</v>
      </c>
      <c r="S5585" s="17"/>
      <c r="T5585" s="17"/>
      <c r="U5585" s="17"/>
    </row>
    <row r="5586" spans="17:21" x14ac:dyDescent="0.25">
      <c r="Q5586" s="17" t="s">
        <v>6255</v>
      </c>
      <c r="R5586" s="17" t="s">
        <v>6153</v>
      </c>
      <c r="S5586" s="17"/>
      <c r="T5586" s="17"/>
      <c r="U5586" s="17"/>
    </row>
    <row r="5587" spans="17:21" x14ac:dyDescent="0.25">
      <c r="Q5587" s="17" t="s">
        <v>6256</v>
      </c>
      <c r="R5587" s="17" t="s">
        <v>6153</v>
      </c>
      <c r="S5587" s="17"/>
      <c r="T5587" s="17"/>
      <c r="U5587" s="17"/>
    </row>
    <row r="5588" spans="17:21" x14ac:dyDescent="0.25">
      <c r="Q5588" s="17" t="s">
        <v>6257</v>
      </c>
      <c r="R5588" s="17" t="s">
        <v>6153</v>
      </c>
      <c r="S5588" s="17"/>
      <c r="T5588" s="17"/>
      <c r="U5588" s="17"/>
    </row>
    <row r="5589" spans="17:21" x14ac:dyDescent="0.25">
      <c r="Q5589" s="17" t="s">
        <v>6258</v>
      </c>
      <c r="R5589" s="17" t="s">
        <v>6153</v>
      </c>
      <c r="S5589" s="17"/>
      <c r="T5589" s="17"/>
      <c r="U5589" s="17"/>
    </row>
    <row r="5590" spans="17:21" x14ac:dyDescent="0.25">
      <c r="Q5590" s="17" t="s">
        <v>6259</v>
      </c>
      <c r="R5590" s="17" t="s">
        <v>6153</v>
      </c>
      <c r="S5590" s="17"/>
      <c r="T5590" s="17"/>
      <c r="U5590" s="17"/>
    </row>
    <row r="5591" spans="17:21" x14ac:dyDescent="0.25">
      <c r="Q5591" s="17" t="s">
        <v>6260</v>
      </c>
      <c r="R5591" s="17" t="s">
        <v>6153</v>
      </c>
      <c r="S5591" s="17"/>
      <c r="T5591" s="17"/>
      <c r="U5591" s="17"/>
    </row>
    <row r="5592" spans="17:21" x14ac:dyDescent="0.25">
      <c r="Q5592" s="17" t="s">
        <v>6261</v>
      </c>
      <c r="R5592" s="17" t="s">
        <v>6153</v>
      </c>
      <c r="S5592" s="17"/>
      <c r="T5592" s="17"/>
      <c r="U5592" s="17"/>
    </row>
    <row r="5593" spans="17:21" x14ac:dyDescent="0.25">
      <c r="Q5593" s="17" t="s">
        <v>6262</v>
      </c>
      <c r="R5593" s="17" t="s">
        <v>6153</v>
      </c>
      <c r="S5593" s="17"/>
      <c r="T5593" s="17"/>
      <c r="U5593" s="17"/>
    </row>
    <row r="5594" spans="17:21" x14ac:dyDescent="0.25">
      <c r="Q5594" s="17" t="s">
        <v>6263</v>
      </c>
      <c r="R5594" s="17" t="s">
        <v>6153</v>
      </c>
      <c r="S5594" s="17"/>
      <c r="T5594" s="17"/>
      <c r="U5594" s="17"/>
    </row>
    <row r="5595" spans="17:21" x14ac:dyDescent="0.25">
      <c r="Q5595" s="17" t="s">
        <v>6264</v>
      </c>
      <c r="R5595" s="17" t="s">
        <v>6153</v>
      </c>
      <c r="S5595" s="17"/>
      <c r="T5595" s="17"/>
      <c r="U5595" s="17"/>
    </row>
    <row r="5596" spans="17:21" x14ac:dyDescent="0.25">
      <c r="Q5596" s="17" t="s">
        <v>6265</v>
      </c>
      <c r="R5596" s="17" t="s">
        <v>6153</v>
      </c>
      <c r="S5596" s="17"/>
      <c r="T5596" s="17"/>
      <c r="U5596" s="17"/>
    </row>
    <row r="5597" spans="17:21" x14ac:dyDescent="0.25">
      <c r="Q5597" s="17" t="s">
        <v>6266</v>
      </c>
      <c r="R5597" s="17" t="s">
        <v>6153</v>
      </c>
      <c r="S5597" s="17"/>
      <c r="T5597" s="17"/>
      <c r="U5597" s="17"/>
    </row>
    <row r="5598" spans="17:21" x14ac:dyDescent="0.25">
      <c r="Q5598" s="17" t="s">
        <v>6267</v>
      </c>
      <c r="R5598" s="17" t="s">
        <v>6153</v>
      </c>
      <c r="S5598" s="17"/>
      <c r="T5598" s="17"/>
      <c r="U5598" s="17"/>
    </row>
    <row r="5599" spans="17:21" x14ac:dyDescent="0.25">
      <c r="Q5599" s="17" t="s">
        <v>6268</v>
      </c>
      <c r="R5599" s="17" t="s">
        <v>6153</v>
      </c>
      <c r="S5599" s="17"/>
      <c r="T5599" s="17"/>
      <c r="U5599" s="17"/>
    </row>
    <row r="5600" spans="17:21" x14ac:dyDescent="0.25">
      <c r="Q5600" s="17" t="s">
        <v>6269</v>
      </c>
      <c r="R5600" s="17" t="s">
        <v>6153</v>
      </c>
      <c r="S5600" s="17"/>
      <c r="T5600" s="17"/>
      <c r="U5600" s="17"/>
    </row>
    <row r="5601" spans="17:21" x14ac:dyDescent="0.25">
      <c r="Q5601" s="17" t="s">
        <v>6270</v>
      </c>
      <c r="R5601" s="17" t="s">
        <v>6153</v>
      </c>
      <c r="S5601" s="17"/>
      <c r="T5601" s="17"/>
      <c r="U5601" s="17"/>
    </row>
    <row r="5602" spans="17:21" x14ac:dyDescent="0.25">
      <c r="Q5602" s="17" t="s">
        <v>6271</v>
      </c>
      <c r="R5602" s="17" t="s">
        <v>6153</v>
      </c>
      <c r="S5602" s="17"/>
      <c r="T5602" s="17"/>
      <c r="U5602" s="17"/>
    </row>
    <row r="5603" spans="17:21" x14ac:dyDescent="0.25">
      <c r="Q5603" s="17" t="s">
        <v>6272</v>
      </c>
      <c r="R5603" s="17" t="s">
        <v>6153</v>
      </c>
      <c r="S5603" s="17"/>
      <c r="T5603" s="17"/>
      <c r="U5603" s="17"/>
    </row>
    <row r="5604" spans="17:21" x14ac:dyDescent="0.25">
      <c r="Q5604" s="17" t="s">
        <v>6273</v>
      </c>
      <c r="R5604" s="17" t="s">
        <v>6153</v>
      </c>
      <c r="S5604" s="17"/>
      <c r="T5604" s="17"/>
      <c r="U5604" s="17"/>
    </row>
    <row r="5605" spans="17:21" x14ac:dyDescent="0.25">
      <c r="Q5605" s="17" t="s">
        <v>6274</v>
      </c>
      <c r="R5605" s="17" t="s">
        <v>6153</v>
      </c>
      <c r="S5605" s="17"/>
      <c r="T5605" s="17"/>
      <c r="U5605" s="17"/>
    </row>
    <row r="5606" spans="17:21" x14ac:dyDescent="0.25">
      <c r="Q5606" s="17" t="s">
        <v>6275</v>
      </c>
      <c r="R5606" s="17" t="s">
        <v>6153</v>
      </c>
      <c r="S5606" s="17"/>
      <c r="T5606" s="17"/>
      <c r="U5606" s="17"/>
    </row>
    <row r="5607" spans="17:21" x14ac:dyDescent="0.25">
      <c r="Q5607" s="17" t="s">
        <v>6276</v>
      </c>
      <c r="R5607" s="17" t="s">
        <v>6153</v>
      </c>
      <c r="S5607" s="17"/>
      <c r="T5607" s="17"/>
      <c r="U5607" s="17"/>
    </row>
    <row r="5608" spans="17:21" x14ac:dyDescent="0.25">
      <c r="Q5608" s="17" t="s">
        <v>6277</v>
      </c>
      <c r="R5608" s="17" t="s">
        <v>6153</v>
      </c>
      <c r="S5608" s="17"/>
      <c r="T5608" s="17"/>
      <c r="U5608" s="17"/>
    </row>
    <row r="5609" spans="17:21" x14ac:dyDescent="0.25">
      <c r="Q5609" s="17" t="s">
        <v>6278</v>
      </c>
      <c r="R5609" s="17" t="s">
        <v>6153</v>
      </c>
      <c r="S5609" s="17"/>
      <c r="T5609" s="17"/>
      <c r="U5609" s="17"/>
    </row>
    <row r="5610" spans="17:21" x14ac:dyDescent="0.25">
      <c r="Q5610" s="17" t="s">
        <v>6279</v>
      </c>
      <c r="R5610" s="17" t="s">
        <v>6153</v>
      </c>
      <c r="S5610" s="17"/>
      <c r="T5610" s="17"/>
      <c r="U5610" s="17"/>
    </row>
    <row r="5611" spans="17:21" x14ac:dyDescent="0.25">
      <c r="Q5611" s="17" t="s">
        <v>6280</v>
      </c>
      <c r="R5611" s="17" t="s">
        <v>6153</v>
      </c>
      <c r="S5611" s="17"/>
      <c r="T5611" s="17"/>
      <c r="U5611" s="17"/>
    </row>
    <row r="5612" spans="17:21" x14ac:dyDescent="0.25">
      <c r="Q5612" s="17" t="s">
        <v>6281</v>
      </c>
      <c r="R5612" s="17" t="s">
        <v>6153</v>
      </c>
      <c r="S5612" s="17"/>
      <c r="T5612" s="17"/>
      <c r="U5612" s="17"/>
    </row>
    <row r="5613" spans="17:21" x14ac:dyDescent="0.25">
      <c r="Q5613" s="17" t="s">
        <v>6282</v>
      </c>
      <c r="R5613" s="17" t="s">
        <v>6153</v>
      </c>
      <c r="S5613" s="17"/>
      <c r="T5613" s="17"/>
      <c r="U5613" s="17"/>
    </row>
    <row r="5614" spans="17:21" x14ac:dyDescent="0.25">
      <c r="Q5614" s="17" t="s">
        <v>6283</v>
      </c>
      <c r="R5614" s="17" t="s">
        <v>6153</v>
      </c>
      <c r="S5614" s="17"/>
      <c r="T5614" s="17"/>
      <c r="U5614" s="17"/>
    </row>
    <row r="5615" spans="17:21" x14ac:dyDescent="0.25">
      <c r="Q5615" s="17" t="s">
        <v>6284</v>
      </c>
      <c r="R5615" s="17" t="s">
        <v>6153</v>
      </c>
      <c r="S5615" s="17"/>
      <c r="T5615" s="17"/>
      <c r="U5615" s="17"/>
    </row>
    <row r="5616" spans="17:21" x14ac:dyDescent="0.25">
      <c r="Q5616" s="17" t="s">
        <v>6285</v>
      </c>
      <c r="R5616" s="17" t="s">
        <v>6153</v>
      </c>
      <c r="S5616" s="17"/>
      <c r="T5616" s="17"/>
      <c r="U5616" s="17"/>
    </row>
    <row r="5617" spans="17:21" x14ac:dyDescent="0.25">
      <c r="Q5617" s="17" t="s">
        <v>6286</v>
      </c>
      <c r="R5617" s="17" t="s">
        <v>6153</v>
      </c>
      <c r="S5617" s="17"/>
      <c r="T5617" s="17"/>
      <c r="U5617" s="17"/>
    </row>
    <row r="5618" spans="17:21" x14ac:dyDescent="0.25">
      <c r="Q5618" s="17" t="s">
        <v>6287</v>
      </c>
      <c r="R5618" s="17" t="s">
        <v>6153</v>
      </c>
      <c r="S5618" s="17"/>
      <c r="T5618" s="17"/>
      <c r="U5618" s="17"/>
    </row>
    <row r="5619" spans="17:21" x14ac:dyDescent="0.25">
      <c r="Q5619" s="17" t="s">
        <v>6288</v>
      </c>
      <c r="R5619" s="17" t="s">
        <v>6153</v>
      </c>
      <c r="S5619" s="17"/>
      <c r="T5619" s="17"/>
      <c r="U5619" s="17"/>
    </row>
    <row r="5620" spans="17:21" x14ac:dyDescent="0.25">
      <c r="Q5620" s="17" t="s">
        <v>6289</v>
      </c>
      <c r="R5620" s="17" t="s">
        <v>6153</v>
      </c>
      <c r="S5620" s="17"/>
      <c r="T5620" s="17"/>
      <c r="U5620" s="17"/>
    </row>
    <row r="5621" spans="17:21" x14ac:dyDescent="0.25">
      <c r="Q5621" s="17" t="s">
        <v>6290</v>
      </c>
      <c r="R5621" s="17" t="s">
        <v>6153</v>
      </c>
      <c r="S5621" s="17"/>
      <c r="T5621" s="17"/>
      <c r="U5621" s="17"/>
    </row>
    <row r="5622" spans="17:21" x14ac:dyDescent="0.25">
      <c r="Q5622" s="17" t="s">
        <v>6291</v>
      </c>
      <c r="R5622" s="17" t="s">
        <v>6153</v>
      </c>
      <c r="S5622" s="17"/>
      <c r="T5622" s="17"/>
      <c r="U5622" s="17"/>
    </row>
    <row r="5623" spans="17:21" x14ac:dyDescent="0.25">
      <c r="Q5623" s="17" t="s">
        <v>6292</v>
      </c>
      <c r="R5623" s="17" t="s">
        <v>6153</v>
      </c>
      <c r="S5623" s="17"/>
      <c r="T5623" s="17"/>
      <c r="U5623" s="17"/>
    </row>
    <row r="5624" spans="17:21" x14ac:dyDescent="0.25">
      <c r="Q5624" s="17" t="s">
        <v>6293</v>
      </c>
      <c r="R5624" s="17" t="s">
        <v>6153</v>
      </c>
      <c r="S5624" s="17"/>
      <c r="T5624" s="17"/>
      <c r="U5624" s="17"/>
    </row>
    <row r="5625" spans="17:21" x14ac:dyDescent="0.25">
      <c r="Q5625" s="17" t="s">
        <v>6294</v>
      </c>
      <c r="R5625" s="17" t="s">
        <v>6153</v>
      </c>
      <c r="S5625" s="17"/>
      <c r="T5625" s="17"/>
      <c r="U5625" s="17"/>
    </row>
    <row r="5626" spans="17:21" x14ac:dyDescent="0.25">
      <c r="Q5626" s="17" t="s">
        <v>6295</v>
      </c>
      <c r="R5626" s="17" t="s">
        <v>6153</v>
      </c>
      <c r="S5626" s="17"/>
      <c r="T5626" s="17"/>
      <c r="U5626" s="17"/>
    </row>
    <row r="5627" spans="17:21" x14ac:dyDescent="0.25">
      <c r="Q5627" s="17" t="s">
        <v>6296</v>
      </c>
      <c r="R5627" s="17" t="s">
        <v>6153</v>
      </c>
      <c r="S5627" s="17"/>
      <c r="T5627" s="17"/>
      <c r="U5627" s="17"/>
    </row>
    <row r="5628" spans="17:21" x14ac:dyDescent="0.25">
      <c r="Q5628" s="17" t="s">
        <v>6297</v>
      </c>
      <c r="R5628" s="17" t="s">
        <v>6153</v>
      </c>
      <c r="S5628" s="17"/>
      <c r="T5628" s="17"/>
      <c r="U5628" s="17"/>
    </row>
    <row r="5629" spans="17:21" x14ac:dyDescent="0.25">
      <c r="Q5629" s="17" t="s">
        <v>6298</v>
      </c>
      <c r="R5629" s="17" t="s">
        <v>6153</v>
      </c>
      <c r="S5629" s="17"/>
      <c r="T5629" s="17"/>
      <c r="U5629" s="17"/>
    </row>
    <row r="5630" spans="17:21" x14ac:dyDescent="0.25">
      <c r="Q5630" s="17" t="s">
        <v>6299</v>
      </c>
      <c r="R5630" s="17" t="s">
        <v>6153</v>
      </c>
      <c r="S5630" s="17"/>
      <c r="T5630" s="17"/>
      <c r="U5630" s="17"/>
    </row>
    <row r="5631" spans="17:21" x14ac:dyDescent="0.25">
      <c r="Q5631" s="17" t="s">
        <v>6300</v>
      </c>
      <c r="R5631" s="17" t="s">
        <v>6153</v>
      </c>
      <c r="S5631" s="17"/>
      <c r="T5631" s="17"/>
      <c r="U5631" s="17"/>
    </row>
    <row r="5632" spans="17:21" x14ac:dyDescent="0.25">
      <c r="Q5632" s="17" t="s">
        <v>6301</v>
      </c>
      <c r="R5632" s="17" t="s">
        <v>6153</v>
      </c>
      <c r="S5632" s="17"/>
      <c r="T5632" s="17"/>
      <c r="U5632" s="17"/>
    </row>
    <row r="5633" spans="17:21" x14ac:dyDescent="0.25">
      <c r="Q5633" s="17" t="s">
        <v>6302</v>
      </c>
      <c r="R5633" s="17" t="s">
        <v>6153</v>
      </c>
      <c r="S5633" s="17"/>
      <c r="T5633" s="17"/>
      <c r="U5633" s="17"/>
    </row>
    <row r="5634" spans="17:21" x14ac:dyDescent="0.25">
      <c r="Q5634" s="17" t="s">
        <v>6303</v>
      </c>
      <c r="R5634" s="17" t="s">
        <v>6153</v>
      </c>
      <c r="S5634" s="17"/>
      <c r="T5634" s="17"/>
      <c r="U5634" s="17"/>
    </row>
    <row r="5635" spans="17:21" x14ac:dyDescent="0.25">
      <c r="Q5635" s="17" t="s">
        <v>6304</v>
      </c>
      <c r="R5635" s="17" t="s">
        <v>6153</v>
      </c>
      <c r="S5635" s="17"/>
      <c r="T5635" s="17"/>
      <c r="U5635" s="17"/>
    </row>
    <row r="5636" spans="17:21" x14ac:dyDescent="0.25">
      <c r="Q5636" s="17" t="s">
        <v>6305</v>
      </c>
      <c r="R5636" s="17" t="s">
        <v>6153</v>
      </c>
      <c r="S5636" s="17"/>
      <c r="T5636" s="17"/>
      <c r="U5636" s="17"/>
    </row>
    <row r="5637" spans="17:21" x14ac:dyDescent="0.25">
      <c r="Q5637" s="17" t="s">
        <v>6306</v>
      </c>
      <c r="R5637" s="17" t="s">
        <v>6153</v>
      </c>
      <c r="S5637" s="17"/>
      <c r="T5637" s="17"/>
      <c r="U5637" s="17"/>
    </row>
    <row r="5638" spans="17:21" x14ac:dyDescent="0.25">
      <c r="Q5638" s="17" t="s">
        <v>6307</v>
      </c>
      <c r="R5638" s="17" t="s">
        <v>6153</v>
      </c>
      <c r="S5638" s="17"/>
      <c r="T5638" s="17"/>
      <c r="U5638" s="17"/>
    </row>
    <row r="5639" spans="17:21" x14ac:dyDescent="0.25">
      <c r="Q5639" s="17" t="s">
        <v>6308</v>
      </c>
      <c r="R5639" s="17" t="s">
        <v>4956</v>
      </c>
      <c r="S5639" s="17"/>
      <c r="T5639" s="17"/>
      <c r="U5639" s="17"/>
    </row>
    <row r="5640" spans="17:21" x14ac:dyDescent="0.25">
      <c r="Q5640" s="17" t="s">
        <v>6309</v>
      </c>
      <c r="R5640" s="17" t="s">
        <v>6153</v>
      </c>
      <c r="S5640" s="17"/>
      <c r="T5640" s="17"/>
      <c r="U5640" s="17"/>
    </row>
    <row r="5641" spans="17:21" x14ac:dyDescent="0.25">
      <c r="Q5641" s="17" t="s">
        <v>6310</v>
      </c>
      <c r="R5641" s="17" t="s">
        <v>4956</v>
      </c>
      <c r="S5641" s="17"/>
      <c r="T5641" s="17"/>
      <c r="U5641" s="17"/>
    </row>
    <row r="5642" spans="17:21" x14ac:dyDescent="0.25">
      <c r="Q5642" s="17" t="s">
        <v>6311</v>
      </c>
      <c r="R5642" s="17" t="s">
        <v>6153</v>
      </c>
      <c r="S5642" s="17"/>
      <c r="T5642" s="17"/>
      <c r="U5642" s="17"/>
    </row>
    <row r="5643" spans="17:21" x14ac:dyDescent="0.25">
      <c r="Q5643" s="17" t="s">
        <v>6312</v>
      </c>
      <c r="R5643" s="17" t="s">
        <v>6153</v>
      </c>
      <c r="S5643" s="17"/>
      <c r="T5643" s="17"/>
      <c r="U5643" s="17"/>
    </row>
    <row r="5644" spans="17:21" x14ac:dyDescent="0.25">
      <c r="Q5644" s="17" t="s">
        <v>6313</v>
      </c>
      <c r="R5644" s="17" t="s">
        <v>6153</v>
      </c>
      <c r="S5644" s="17"/>
      <c r="T5644" s="17"/>
      <c r="U5644" s="17"/>
    </row>
    <row r="5645" spans="17:21" x14ac:dyDescent="0.25">
      <c r="Q5645" s="17" t="s">
        <v>6314</v>
      </c>
      <c r="R5645" s="17" t="s">
        <v>6153</v>
      </c>
      <c r="S5645" s="17"/>
      <c r="T5645" s="17"/>
      <c r="U5645" s="17"/>
    </row>
    <row r="5646" spans="17:21" x14ac:dyDescent="0.25">
      <c r="Q5646" s="17" t="s">
        <v>6315</v>
      </c>
      <c r="R5646" s="17" t="s">
        <v>6153</v>
      </c>
      <c r="S5646" s="17"/>
      <c r="T5646" s="17"/>
      <c r="U5646" s="17"/>
    </row>
    <row r="5647" spans="17:21" x14ac:dyDescent="0.25">
      <c r="Q5647" s="17" t="s">
        <v>6316</v>
      </c>
      <c r="R5647" s="17" t="s">
        <v>6153</v>
      </c>
      <c r="S5647" s="17"/>
      <c r="T5647" s="17"/>
      <c r="U5647" s="17"/>
    </row>
    <row r="5648" spans="17:21" x14ac:dyDescent="0.25">
      <c r="Q5648" s="17" t="s">
        <v>6317</v>
      </c>
      <c r="R5648" s="17" t="s">
        <v>6153</v>
      </c>
      <c r="S5648" s="17"/>
      <c r="T5648" s="17"/>
      <c r="U5648" s="17"/>
    </row>
    <row r="5649" spans="17:21" x14ac:dyDescent="0.25">
      <c r="Q5649" s="17" t="s">
        <v>6318</v>
      </c>
      <c r="R5649" s="17" t="s">
        <v>6153</v>
      </c>
      <c r="S5649" s="17"/>
      <c r="T5649" s="17"/>
      <c r="U5649" s="17"/>
    </row>
    <row r="5650" spans="17:21" x14ac:dyDescent="0.25">
      <c r="Q5650" s="17" t="s">
        <v>6319</v>
      </c>
      <c r="R5650" s="17" t="s">
        <v>6153</v>
      </c>
      <c r="S5650" s="17"/>
      <c r="T5650" s="17"/>
      <c r="U5650" s="17"/>
    </row>
    <row r="5651" spans="17:21" x14ac:dyDescent="0.25">
      <c r="Q5651" s="17" t="s">
        <v>6320</v>
      </c>
      <c r="R5651" s="17" t="s">
        <v>6153</v>
      </c>
      <c r="S5651" s="17"/>
      <c r="T5651" s="17"/>
      <c r="U5651" s="17"/>
    </row>
    <row r="5652" spans="17:21" x14ac:dyDescent="0.25">
      <c r="Q5652" s="17" t="s">
        <v>6321</v>
      </c>
      <c r="R5652" s="17" t="s">
        <v>6153</v>
      </c>
      <c r="S5652" s="17"/>
      <c r="T5652" s="17"/>
      <c r="U5652" s="17"/>
    </row>
    <row r="5653" spans="17:21" x14ac:dyDescent="0.25">
      <c r="Q5653" s="17" t="s">
        <v>6322</v>
      </c>
      <c r="R5653" s="17" t="s">
        <v>6153</v>
      </c>
      <c r="S5653" s="17"/>
      <c r="T5653" s="17"/>
      <c r="U5653" s="17"/>
    </row>
    <row r="5654" spans="17:21" x14ac:dyDescent="0.25">
      <c r="Q5654" s="17" t="s">
        <v>6323</v>
      </c>
      <c r="R5654" s="17" t="s">
        <v>6153</v>
      </c>
      <c r="S5654" s="17"/>
      <c r="T5654" s="17"/>
      <c r="U5654" s="17"/>
    </row>
    <row r="5655" spans="17:21" x14ac:dyDescent="0.25">
      <c r="Q5655" s="17" t="s">
        <v>6324</v>
      </c>
      <c r="R5655" s="17" t="s">
        <v>6153</v>
      </c>
      <c r="S5655" s="17"/>
      <c r="T5655" s="17"/>
      <c r="U5655" s="17"/>
    </row>
    <row r="5656" spans="17:21" x14ac:dyDescent="0.25">
      <c r="Q5656" s="17" t="s">
        <v>6325</v>
      </c>
      <c r="R5656" s="17" t="s">
        <v>6153</v>
      </c>
      <c r="S5656" s="17"/>
      <c r="T5656" s="17"/>
      <c r="U5656" s="17"/>
    </row>
    <row r="5657" spans="17:21" x14ac:dyDescent="0.25">
      <c r="Q5657" s="17" t="s">
        <v>6326</v>
      </c>
      <c r="R5657" s="17" t="s">
        <v>1369</v>
      </c>
      <c r="S5657" s="17"/>
      <c r="T5657" s="17"/>
      <c r="U5657" s="17"/>
    </row>
    <row r="5658" spans="17:21" x14ac:dyDescent="0.25">
      <c r="Q5658" s="17" t="s">
        <v>6327</v>
      </c>
      <c r="R5658" s="17" t="s">
        <v>1369</v>
      </c>
      <c r="S5658" s="17"/>
      <c r="T5658" s="17"/>
      <c r="U5658" s="17"/>
    </row>
    <row r="5659" spans="17:21" x14ac:dyDescent="0.25">
      <c r="Q5659" s="17" t="s">
        <v>6328</v>
      </c>
      <c r="R5659" s="17" t="s">
        <v>1369</v>
      </c>
      <c r="S5659" s="17"/>
      <c r="T5659" s="17"/>
      <c r="U5659" s="17"/>
    </row>
    <row r="5660" spans="17:21" x14ac:dyDescent="0.25">
      <c r="Q5660" s="17" t="s">
        <v>6329</v>
      </c>
      <c r="R5660" s="17" t="s">
        <v>1369</v>
      </c>
      <c r="S5660" s="17"/>
      <c r="T5660" s="17"/>
      <c r="U5660" s="17"/>
    </row>
    <row r="5661" spans="17:21" x14ac:dyDescent="0.25">
      <c r="Q5661" s="17" t="s">
        <v>6330</v>
      </c>
      <c r="R5661" s="17" t="s">
        <v>5733</v>
      </c>
      <c r="S5661" s="17"/>
      <c r="T5661" s="17"/>
      <c r="U5661" s="17"/>
    </row>
    <row r="5662" spans="17:21" x14ac:dyDescent="0.25">
      <c r="Q5662" s="17" t="s">
        <v>6331</v>
      </c>
      <c r="R5662" s="17" t="s">
        <v>5733</v>
      </c>
      <c r="S5662" s="17"/>
      <c r="T5662" s="17"/>
      <c r="U5662" s="17"/>
    </row>
    <row r="5663" spans="17:21" x14ac:dyDescent="0.25">
      <c r="Q5663" s="17" t="s">
        <v>6332</v>
      </c>
      <c r="R5663" s="17" t="s">
        <v>5733</v>
      </c>
      <c r="S5663" s="17"/>
      <c r="T5663" s="17"/>
      <c r="U5663" s="17"/>
    </row>
    <row r="5664" spans="17:21" x14ac:dyDescent="0.25">
      <c r="Q5664" s="17" t="s">
        <v>6333</v>
      </c>
      <c r="R5664" s="17" t="s">
        <v>5733</v>
      </c>
      <c r="S5664" s="17"/>
      <c r="T5664" s="17"/>
      <c r="U5664" s="17"/>
    </row>
    <row r="5665" spans="17:21" x14ac:dyDescent="0.25">
      <c r="Q5665" s="17" t="s">
        <v>6334</v>
      </c>
      <c r="R5665" s="17" t="s">
        <v>1369</v>
      </c>
      <c r="S5665" s="17"/>
      <c r="T5665" s="17"/>
      <c r="U5665" s="17"/>
    </row>
    <row r="5666" spans="17:21" x14ac:dyDescent="0.25">
      <c r="Q5666" s="17" t="s">
        <v>6335</v>
      </c>
      <c r="R5666" s="17" t="s">
        <v>1369</v>
      </c>
      <c r="S5666" s="17"/>
      <c r="T5666" s="17"/>
      <c r="U5666" s="17"/>
    </row>
    <row r="5667" spans="17:21" x14ac:dyDescent="0.25">
      <c r="Q5667" s="17" t="s">
        <v>6336</v>
      </c>
      <c r="R5667" s="17" t="s">
        <v>1369</v>
      </c>
      <c r="S5667" s="17"/>
      <c r="T5667" s="17"/>
      <c r="U5667" s="17"/>
    </row>
    <row r="5668" spans="17:21" x14ac:dyDescent="0.25">
      <c r="Q5668" s="17" t="s">
        <v>6337</v>
      </c>
      <c r="R5668" s="17" t="s">
        <v>1369</v>
      </c>
      <c r="S5668" s="17"/>
      <c r="T5668" s="17"/>
      <c r="U5668" s="17"/>
    </row>
    <row r="5669" spans="17:21" x14ac:dyDescent="0.25">
      <c r="Q5669" s="17" t="s">
        <v>6338</v>
      </c>
      <c r="R5669" s="17" t="s">
        <v>1369</v>
      </c>
      <c r="S5669" s="17"/>
      <c r="T5669" s="17"/>
      <c r="U5669" s="17"/>
    </row>
    <row r="5670" spans="17:21" x14ac:dyDescent="0.25">
      <c r="Q5670" s="17" t="s">
        <v>6339</v>
      </c>
      <c r="R5670" s="17" t="s">
        <v>1369</v>
      </c>
      <c r="S5670" s="17"/>
      <c r="T5670" s="17"/>
      <c r="U5670" s="17"/>
    </row>
    <row r="5671" spans="17:21" x14ac:dyDescent="0.25">
      <c r="Q5671" s="17" t="s">
        <v>6340</v>
      </c>
      <c r="R5671" s="17" t="s">
        <v>1369</v>
      </c>
      <c r="S5671" s="17"/>
      <c r="T5671" s="17"/>
      <c r="U5671" s="17"/>
    </row>
    <row r="5672" spans="17:21" x14ac:dyDescent="0.25">
      <c r="Q5672" s="17" t="s">
        <v>6341</v>
      </c>
      <c r="R5672" s="17" t="s">
        <v>1369</v>
      </c>
      <c r="S5672" s="17"/>
      <c r="T5672" s="17"/>
      <c r="U5672" s="17"/>
    </row>
    <row r="5673" spans="17:21" x14ac:dyDescent="0.25">
      <c r="Q5673" s="17" t="s">
        <v>6342</v>
      </c>
      <c r="R5673" s="17" t="s">
        <v>1369</v>
      </c>
      <c r="S5673" s="17"/>
      <c r="T5673" s="17"/>
      <c r="U5673" s="17"/>
    </row>
    <row r="5674" spans="17:21" x14ac:dyDescent="0.25">
      <c r="Q5674" s="17" t="s">
        <v>6343</v>
      </c>
      <c r="R5674" s="17" t="s">
        <v>3999</v>
      </c>
      <c r="S5674" s="17"/>
      <c r="T5674" s="17"/>
      <c r="U5674" s="17"/>
    </row>
    <row r="5675" spans="17:21" x14ac:dyDescent="0.25">
      <c r="Q5675" s="17" t="s">
        <v>6344</v>
      </c>
      <c r="R5675" s="17" t="s">
        <v>3999</v>
      </c>
      <c r="S5675" s="17"/>
      <c r="T5675" s="17"/>
      <c r="U5675" s="17"/>
    </row>
    <row r="5676" spans="17:21" x14ac:dyDescent="0.25">
      <c r="Q5676" s="17" t="s">
        <v>6345</v>
      </c>
      <c r="R5676" s="17" t="s">
        <v>3999</v>
      </c>
      <c r="S5676" s="17"/>
      <c r="T5676" s="17"/>
      <c r="U5676" s="17"/>
    </row>
    <row r="5677" spans="17:21" x14ac:dyDescent="0.25">
      <c r="Q5677" s="17" t="s">
        <v>6346</v>
      </c>
      <c r="R5677" s="17" t="s">
        <v>3999</v>
      </c>
      <c r="S5677" s="17"/>
      <c r="T5677" s="17"/>
      <c r="U5677" s="17"/>
    </row>
    <row r="5678" spans="17:21" x14ac:dyDescent="0.25">
      <c r="Q5678" s="17" t="s">
        <v>6347</v>
      </c>
      <c r="R5678" s="17" t="s">
        <v>3999</v>
      </c>
      <c r="S5678" s="17"/>
      <c r="T5678" s="17"/>
      <c r="U5678" s="17"/>
    </row>
    <row r="5679" spans="17:21" x14ac:dyDescent="0.25">
      <c r="Q5679" s="17" t="s">
        <v>6348</v>
      </c>
      <c r="R5679" s="17" t="s">
        <v>3999</v>
      </c>
      <c r="S5679" s="17"/>
      <c r="T5679" s="17"/>
      <c r="U5679" s="17"/>
    </row>
    <row r="5680" spans="17:21" x14ac:dyDescent="0.25">
      <c r="Q5680" s="17" t="s">
        <v>6349</v>
      </c>
      <c r="R5680" s="17" t="s">
        <v>3999</v>
      </c>
      <c r="S5680" s="17"/>
      <c r="T5680" s="17"/>
      <c r="U5680" s="17"/>
    </row>
    <row r="5681" spans="17:21" x14ac:dyDescent="0.25">
      <c r="Q5681" s="17" t="s">
        <v>6350</v>
      </c>
      <c r="R5681" s="17" t="s">
        <v>3999</v>
      </c>
      <c r="S5681" s="17"/>
      <c r="T5681" s="17"/>
      <c r="U5681" s="17"/>
    </row>
    <row r="5682" spans="17:21" x14ac:dyDescent="0.25">
      <c r="Q5682" s="17" t="s">
        <v>6351</v>
      </c>
      <c r="R5682" s="17" t="s">
        <v>3999</v>
      </c>
      <c r="S5682" s="17"/>
      <c r="T5682" s="17"/>
      <c r="U5682" s="17"/>
    </row>
    <row r="5683" spans="17:21" x14ac:dyDescent="0.25">
      <c r="Q5683" s="17" t="s">
        <v>6352</v>
      </c>
      <c r="R5683" s="17" t="s">
        <v>3999</v>
      </c>
      <c r="S5683" s="17"/>
      <c r="T5683" s="17"/>
      <c r="U5683" s="17"/>
    </row>
    <row r="5684" spans="17:21" x14ac:dyDescent="0.25">
      <c r="Q5684" s="17" t="s">
        <v>6353</v>
      </c>
      <c r="R5684" s="17" t="s">
        <v>3999</v>
      </c>
      <c r="S5684" s="17"/>
      <c r="T5684" s="17"/>
      <c r="U5684" s="17"/>
    </row>
    <row r="5685" spans="17:21" x14ac:dyDescent="0.25">
      <c r="Q5685" s="17" t="s">
        <v>6354</v>
      </c>
      <c r="R5685" s="17" t="s">
        <v>3999</v>
      </c>
      <c r="S5685" s="17"/>
      <c r="T5685" s="17"/>
      <c r="U5685" s="17"/>
    </row>
    <row r="5686" spans="17:21" x14ac:dyDescent="0.25">
      <c r="Q5686" s="17" t="s">
        <v>6355</v>
      </c>
      <c r="R5686" s="17" t="s">
        <v>3999</v>
      </c>
      <c r="S5686" s="17"/>
      <c r="T5686" s="17"/>
      <c r="U5686" s="17"/>
    </row>
    <row r="5687" spans="17:21" x14ac:dyDescent="0.25">
      <c r="Q5687" s="17" t="s">
        <v>6356</v>
      </c>
      <c r="R5687" s="17" t="s">
        <v>2360</v>
      </c>
      <c r="S5687" s="17"/>
      <c r="T5687" s="17"/>
      <c r="U5687" s="17"/>
    </row>
    <row r="5688" spans="17:21" x14ac:dyDescent="0.25">
      <c r="Q5688" s="17" t="s">
        <v>6357</v>
      </c>
      <c r="R5688" s="17" t="s">
        <v>2360</v>
      </c>
      <c r="S5688" s="17"/>
      <c r="T5688" s="17"/>
      <c r="U5688" s="17"/>
    </row>
    <row r="5689" spans="17:21" x14ac:dyDescent="0.25">
      <c r="Q5689" s="17" t="s">
        <v>6358</v>
      </c>
      <c r="R5689" s="17" t="s">
        <v>2360</v>
      </c>
      <c r="S5689" s="17"/>
      <c r="T5689" s="17"/>
      <c r="U5689" s="17"/>
    </row>
    <row r="5690" spans="17:21" x14ac:dyDescent="0.25">
      <c r="Q5690" s="17" t="s">
        <v>6359</v>
      </c>
      <c r="R5690" s="17" t="s">
        <v>2360</v>
      </c>
      <c r="S5690" s="17"/>
      <c r="T5690" s="17"/>
      <c r="U5690" s="17"/>
    </row>
    <row r="5691" spans="17:21" x14ac:dyDescent="0.25">
      <c r="Q5691" s="17" t="s">
        <v>6360</v>
      </c>
      <c r="R5691" s="17" t="s">
        <v>5733</v>
      </c>
      <c r="S5691" s="17"/>
      <c r="T5691" s="17"/>
      <c r="U5691" s="17"/>
    </row>
    <row r="5692" spans="17:21" x14ac:dyDescent="0.25">
      <c r="Q5692" s="17" t="s">
        <v>6361</v>
      </c>
      <c r="R5692" s="17" t="s">
        <v>3999</v>
      </c>
      <c r="S5692" s="17"/>
      <c r="T5692" s="17"/>
      <c r="U5692" s="17"/>
    </row>
    <row r="5693" spans="17:21" x14ac:dyDescent="0.25">
      <c r="Q5693" s="17" t="s">
        <v>6362</v>
      </c>
      <c r="R5693" s="17" t="s">
        <v>3999</v>
      </c>
      <c r="S5693" s="17"/>
      <c r="T5693" s="17"/>
      <c r="U5693" s="17"/>
    </row>
    <row r="5694" spans="17:21" x14ac:dyDescent="0.25">
      <c r="Q5694" s="17" t="s">
        <v>6363</v>
      </c>
      <c r="R5694" s="17" t="s">
        <v>3999</v>
      </c>
      <c r="S5694" s="17"/>
      <c r="T5694" s="17"/>
      <c r="U5694" s="17"/>
    </row>
    <row r="5695" spans="17:21" x14ac:dyDescent="0.25">
      <c r="Q5695" s="17" t="s">
        <v>6364</v>
      </c>
      <c r="R5695" s="17" t="s">
        <v>3999</v>
      </c>
      <c r="S5695" s="17"/>
      <c r="T5695" s="17"/>
      <c r="U5695" s="17"/>
    </row>
    <row r="5696" spans="17:21" x14ac:dyDescent="0.25">
      <c r="Q5696" s="17" t="s">
        <v>6365</v>
      </c>
      <c r="R5696" s="17" t="s">
        <v>3999</v>
      </c>
      <c r="S5696" s="17"/>
      <c r="T5696" s="17"/>
      <c r="U5696" s="17"/>
    </row>
    <row r="5697" spans="17:21" x14ac:dyDescent="0.25">
      <c r="Q5697" s="17" t="s">
        <v>6366</v>
      </c>
      <c r="R5697" s="17" t="s">
        <v>3999</v>
      </c>
      <c r="S5697" s="17"/>
      <c r="T5697" s="17"/>
      <c r="U5697" s="17"/>
    </row>
    <row r="5698" spans="17:21" x14ac:dyDescent="0.25">
      <c r="Q5698" s="17" t="s">
        <v>6367</v>
      </c>
      <c r="R5698" s="17" t="s">
        <v>3999</v>
      </c>
      <c r="S5698" s="17"/>
      <c r="T5698" s="17"/>
      <c r="U5698" s="17"/>
    </row>
    <row r="5699" spans="17:21" x14ac:dyDescent="0.25">
      <c r="Q5699" s="17" t="s">
        <v>6368</v>
      </c>
      <c r="R5699" s="17" t="s">
        <v>3999</v>
      </c>
      <c r="S5699" s="17"/>
      <c r="T5699" s="17"/>
      <c r="U5699" s="17"/>
    </row>
    <row r="5700" spans="17:21" x14ac:dyDescent="0.25">
      <c r="Q5700" s="17" t="s">
        <v>6369</v>
      </c>
      <c r="R5700" s="17" t="s">
        <v>3999</v>
      </c>
      <c r="S5700" s="17"/>
      <c r="T5700" s="17"/>
      <c r="U5700" s="17"/>
    </row>
    <row r="5701" spans="17:21" x14ac:dyDescent="0.25">
      <c r="Q5701" s="17" t="s">
        <v>6370</v>
      </c>
      <c r="R5701" s="17" t="s">
        <v>3999</v>
      </c>
      <c r="S5701" s="17"/>
      <c r="T5701" s="17"/>
      <c r="U5701" s="17"/>
    </row>
    <row r="5702" spans="17:21" x14ac:dyDescent="0.25">
      <c r="Q5702" s="17" t="s">
        <v>6371</v>
      </c>
      <c r="R5702" s="17" t="s">
        <v>3999</v>
      </c>
      <c r="S5702" s="17"/>
      <c r="T5702" s="17"/>
      <c r="U5702" s="17"/>
    </row>
    <row r="5703" spans="17:21" x14ac:dyDescent="0.25">
      <c r="Q5703" s="17" t="s">
        <v>6372</v>
      </c>
      <c r="R5703" s="17" t="s">
        <v>3999</v>
      </c>
      <c r="S5703" s="17"/>
      <c r="T5703" s="17"/>
      <c r="U5703" s="17"/>
    </row>
    <row r="5704" spans="17:21" x14ac:dyDescent="0.25">
      <c r="Q5704" s="17" t="s">
        <v>6373</v>
      </c>
      <c r="R5704" s="17" t="s">
        <v>3999</v>
      </c>
      <c r="S5704" s="17"/>
      <c r="T5704" s="17"/>
      <c r="U5704" s="17"/>
    </row>
    <row r="5705" spans="17:21" x14ac:dyDescent="0.25">
      <c r="Q5705" s="17" t="s">
        <v>6374</v>
      </c>
      <c r="R5705" s="17" t="s">
        <v>3999</v>
      </c>
      <c r="S5705" s="17"/>
      <c r="T5705" s="17"/>
      <c r="U5705" s="17"/>
    </row>
    <row r="5706" spans="17:21" x14ac:dyDescent="0.25">
      <c r="Q5706" s="17" t="s">
        <v>6375</v>
      </c>
      <c r="R5706" s="17" t="s">
        <v>3999</v>
      </c>
      <c r="S5706" s="17"/>
      <c r="T5706" s="17"/>
      <c r="U5706" s="17"/>
    </row>
    <row r="5707" spans="17:21" x14ac:dyDescent="0.25">
      <c r="Q5707" s="17" t="s">
        <v>6376</v>
      </c>
      <c r="R5707" s="17" t="s">
        <v>3999</v>
      </c>
      <c r="S5707" s="17"/>
      <c r="T5707" s="17"/>
      <c r="U5707" s="17"/>
    </row>
    <row r="5708" spans="17:21" x14ac:dyDescent="0.25">
      <c r="Q5708" s="17" t="s">
        <v>6377</v>
      </c>
      <c r="R5708" s="17" t="s">
        <v>3999</v>
      </c>
      <c r="S5708" s="17"/>
      <c r="T5708" s="17"/>
      <c r="U5708" s="17"/>
    </row>
    <row r="5709" spans="17:21" x14ac:dyDescent="0.25">
      <c r="Q5709" s="17" t="s">
        <v>6378</v>
      </c>
      <c r="R5709" s="17" t="s">
        <v>3999</v>
      </c>
      <c r="S5709" s="17"/>
      <c r="T5709" s="17"/>
      <c r="U5709" s="17"/>
    </row>
    <row r="5710" spans="17:21" x14ac:dyDescent="0.25">
      <c r="Q5710" s="17" t="s">
        <v>6379</v>
      </c>
      <c r="R5710" s="17" t="s">
        <v>3999</v>
      </c>
      <c r="S5710" s="17"/>
      <c r="T5710" s="17"/>
      <c r="U5710" s="17"/>
    </row>
    <row r="5711" spans="17:21" x14ac:dyDescent="0.25">
      <c r="Q5711" s="17" t="s">
        <v>6380</v>
      </c>
      <c r="R5711" s="17" t="s">
        <v>3999</v>
      </c>
      <c r="S5711" s="17"/>
      <c r="T5711" s="17"/>
      <c r="U5711" s="17"/>
    </row>
    <row r="5712" spans="17:21" x14ac:dyDescent="0.25">
      <c r="Q5712" s="17" t="s">
        <v>6381</v>
      </c>
      <c r="R5712" s="17" t="s">
        <v>3999</v>
      </c>
      <c r="S5712" s="17"/>
      <c r="T5712" s="17"/>
      <c r="U5712" s="17"/>
    </row>
    <row r="5713" spans="17:21" x14ac:dyDescent="0.25">
      <c r="Q5713" s="17" t="s">
        <v>6382</v>
      </c>
      <c r="R5713" s="17" t="s">
        <v>3999</v>
      </c>
      <c r="S5713" s="17"/>
      <c r="T5713" s="17"/>
      <c r="U5713" s="17"/>
    </row>
    <row r="5714" spans="17:21" x14ac:dyDescent="0.25">
      <c r="Q5714" s="17" t="s">
        <v>6383</v>
      </c>
      <c r="R5714" s="17" t="s">
        <v>3999</v>
      </c>
      <c r="S5714" s="17"/>
      <c r="T5714" s="17"/>
      <c r="U5714" s="17"/>
    </row>
    <row r="5715" spans="17:21" x14ac:dyDescent="0.25">
      <c r="Q5715" s="17" t="s">
        <v>6384</v>
      </c>
      <c r="R5715" s="17" t="s">
        <v>3999</v>
      </c>
      <c r="S5715" s="17"/>
      <c r="T5715" s="17"/>
      <c r="U5715" s="17"/>
    </row>
    <row r="5716" spans="17:21" x14ac:dyDescent="0.25">
      <c r="Q5716" s="17" t="s">
        <v>6385</v>
      </c>
      <c r="R5716" s="17" t="s">
        <v>3999</v>
      </c>
      <c r="S5716" s="17"/>
      <c r="T5716" s="17"/>
      <c r="U5716" s="17"/>
    </row>
    <row r="5717" spans="17:21" x14ac:dyDescent="0.25">
      <c r="Q5717" s="17" t="s">
        <v>6386</v>
      </c>
      <c r="R5717" s="17" t="s">
        <v>3999</v>
      </c>
      <c r="S5717" s="17"/>
      <c r="T5717" s="17"/>
      <c r="U5717" s="17"/>
    </row>
    <row r="5718" spans="17:21" x14ac:dyDescent="0.25">
      <c r="Q5718" s="17" t="s">
        <v>6387</v>
      </c>
      <c r="R5718" s="17" t="s">
        <v>3999</v>
      </c>
      <c r="S5718" s="17"/>
      <c r="T5718" s="17"/>
      <c r="U5718" s="17"/>
    </row>
    <row r="5719" spans="17:21" x14ac:dyDescent="0.25">
      <c r="Q5719" s="17" t="s">
        <v>6388</v>
      </c>
      <c r="R5719" s="17" t="s">
        <v>3999</v>
      </c>
      <c r="S5719" s="17"/>
      <c r="T5719" s="17"/>
      <c r="U5719" s="17"/>
    </row>
    <row r="5720" spans="17:21" x14ac:dyDescent="0.25">
      <c r="Q5720" s="17" t="s">
        <v>6389</v>
      </c>
      <c r="R5720" s="17" t="s">
        <v>3999</v>
      </c>
      <c r="S5720" s="17"/>
      <c r="T5720" s="17"/>
      <c r="U5720" s="17"/>
    </row>
    <row r="5721" spans="17:21" x14ac:dyDescent="0.25">
      <c r="Q5721" s="17" t="s">
        <v>6390</v>
      </c>
      <c r="R5721" s="17" t="s">
        <v>3999</v>
      </c>
      <c r="S5721" s="17"/>
      <c r="T5721" s="17"/>
      <c r="U5721" s="17"/>
    </row>
    <row r="5722" spans="17:21" x14ac:dyDescent="0.25">
      <c r="Q5722" s="17" t="s">
        <v>6391</v>
      </c>
      <c r="R5722" s="17" t="s">
        <v>3999</v>
      </c>
      <c r="S5722" s="17"/>
      <c r="T5722" s="17"/>
      <c r="U5722" s="17"/>
    </row>
    <row r="5723" spans="17:21" x14ac:dyDescent="0.25">
      <c r="Q5723" s="17" t="s">
        <v>6392</v>
      </c>
      <c r="R5723" s="17" t="s">
        <v>3999</v>
      </c>
      <c r="S5723" s="17"/>
      <c r="T5723" s="17"/>
      <c r="U5723" s="17"/>
    </row>
    <row r="5724" spans="17:21" x14ac:dyDescent="0.25">
      <c r="Q5724" s="17" t="s">
        <v>6393</v>
      </c>
      <c r="R5724" s="17" t="s">
        <v>3999</v>
      </c>
      <c r="S5724" s="17"/>
      <c r="T5724" s="17"/>
      <c r="U5724" s="17"/>
    </row>
    <row r="5725" spans="17:21" x14ac:dyDescent="0.25">
      <c r="Q5725" s="17" t="s">
        <v>6394</v>
      </c>
      <c r="R5725" s="17" t="s">
        <v>3999</v>
      </c>
      <c r="S5725" s="17"/>
      <c r="T5725" s="17"/>
      <c r="U5725" s="17"/>
    </row>
    <row r="5726" spans="17:21" x14ac:dyDescent="0.25">
      <c r="Q5726" s="17" t="s">
        <v>6395</v>
      </c>
      <c r="R5726" s="17" t="s">
        <v>3999</v>
      </c>
      <c r="S5726" s="17"/>
      <c r="T5726" s="17"/>
      <c r="U5726" s="17"/>
    </row>
    <row r="5727" spans="17:21" x14ac:dyDescent="0.25">
      <c r="Q5727" s="17" t="s">
        <v>6396</v>
      </c>
      <c r="R5727" s="17" t="s">
        <v>3999</v>
      </c>
      <c r="S5727" s="17"/>
      <c r="T5727" s="17"/>
      <c r="U5727" s="17"/>
    </row>
    <row r="5728" spans="17:21" x14ac:dyDescent="0.25">
      <c r="Q5728" s="17" t="s">
        <v>6397</v>
      </c>
      <c r="R5728" s="17" t="s">
        <v>3999</v>
      </c>
      <c r="S5728" s="17"/>
      <c r="T5728" s="17"/>
      <c r="U5728" s="17"/>
    </row>
    <row r="5729" spans="17:21" x14ac:dyDescent="0.25">
      <c r="Q5729" s="17" t="s">
        <v>6398</v>
      </c>
      <c r="R5729" s="17" t="s">
        <v>3999</v>
      </c>
      <c r="S5729" s="17"/>
      <c r="T5729" s="17"/>
      <c r="U5729" s="17"/>
    </row>
    <row r="5730" spans="17:21" x14ac:dyDescent="0.25">
      <c r="Q5730" s="17" t="s">
        <v>6399</v>
      </c>
      <c r="R5730" s="17" t="s">
        <v>3999</v>
      </c>
      <c r="S5730" s="17"/>
      <c r="T5730" s="17"/>
      <c r="U5730" s="17"/>
    </row>
    <row r="5731" spans="17:21" x14ac:dyDescent="0.25">
      <c r="Q5731" s="17" t="s">
        <v>6400</v>
      </c>
      <c r="R5731" s="17" t="s">
        <v>3999</v>
      </c>
      <c r="S5731" s="17"/>
      <c r="T5731" s="17"/>
      <c r="U5731" s="17"/>
    </row>
    <row r="5732" spans="17:21" x14ac:dyDescent="0.25">
      <c r="Q5732" s="17" t="s">
        <v>6401</v>
      </c>
      <c r="R5732" s="17" t="s">
        <v>3999</v>
      </c>
      <c r="S5732" s="17"/>
      <c r="T5732" s="17"/>
      <c r="U5732" s="17"/>
    </row>
    <row r="5733" spans="17:21" x14ac:dyDescent="0.25">
      <c r="Q5733" s="17" t="s">
        <v>6402</v>
      </c>
      <c r="R5733" s="17" t="s">
        <v>3999</v>
      </c>
      <c r="S5733" s="17"/>
      <c r="T5733" s="17"/>
      <c r="U5733" s="17"/>
    </row>
    <row r="5734" spans="17:21" x14ac:dyDescent="0.25">
      <c r="Q5734" s="17" t="s">
        <v>6403</v>
      </c>
      <c r="R5734" s="17" t="s">
        <v>3999</v>
      </c>
      <c r="S5734" s="17"/>
      <c r="T5734" s="17"/>
      <c r="U5734" s="17"/>
    </row>
    <row r="5735" spans="17:21" x14ac:dyDescent="0.25">
      <c r="Q5735" s="17" t="s">
        <v>6404</v>
      </c>
      <c r="R5735" s="17" t="s">
        <v>3999</v>
      </c>
      <c r="S5735" s="17"/>
      <c r="T5735" s="17"/>
      <c r="U5735" s="17"/>
    </row>
    <row r="5736" spans="17:21" x14ac:dyDescent="0.25">
      <c r="Q5736" s="17" t="s">
        <v>6405</v>
      </c>
      <c r="R5736" s="17" t="s">
        <v>3999</v>
      </c>
      <c r="S5736" s="17"/>
      <c r="T5736" s="17"/>
      <c r="U5736" s="17"/>
    </row>
    <row r="5737" spans="17:21" x14ac:dyDescent="0.25">
      <c r="Q5737" s="17" t="s">
        <v>6406</v>
      </c>
      <c r="R5737" s="17" t="s">
        <v>3999</v>
      </c>
      <c r="S5737" s="17"/>
      <c r="T5737" s="17"/>
      <c r="U5737" s="17"/>
    </row>
    <row r="5738" spans="17:21" x14ac:dyDescent="0.25">
      <c r="Q5738" s="17" t="s">
        <v>6407</v>
      </c>
      <c r="R5738" s="17" t="s">
        <v>3999</v>
      </c>
      <c r="S5738" s="17"/>
      <c r="T5738" s="17"/>
      <c r="U5738" s="17"/>
    </row>
    <row r="5739" spans="17:21" x14ac:dyDescent="0.25">
      <c r="Q5739" s="17" t="s">
        <v>6408</v>
      </c>
      <c r="R5739" s="17" t="s">
        <v>3999</v>
      </c>
      <c r="S5739" s="17"/>
      <c r="T5739" s="17"/>
      <c r="U5739" s="17"/>
    </row>
    <row r="5740" spans="17:21" x14ac:dyDescent="0.25">
      <c r="Q5740" s="17" t="s">
        <v>6409</v>
      </c>
      <c r="R5740" s="17" t="s">
        <v>3999</v>
      </c>
      <c r="S5740" s="17"/>
      <c r="T5740" s="17"/>
      <c r="U5740" s="17"/>
    </row>
    <row r="5741" spans="17:21" x14ac:dyDescent="0.25">
      <c r="Q5741" s="17" t="s">
        <v>6410</v>
      </c>
      <c r="R5741" s="17" t="s">
        <v>3999</v>
      </c>
      <c r="S5741" s="17"/>
      <c r="T5741" s="17"/>
      <c r="U5741" s="17"/>
    </row>
    <row r="5742" spans="17:21" x14ac:dyDescent="0.25">
      <c r="Q5742" s="17" t="s">
        <v>6411</v>
      </c>
      <c r="R5742" s="17" t="s">
        <v>3999</v>
      </c>
      <c r="S5742" s="17"/>
      <c r="T5742" s="17"/>
      <c r="U5742" s="17"/>
    </row>
    <row r="5743" spans="17:21" x14ac:dyDescent="0.25">
      <c r="Q5743" s="17" t="s">
        <v>6412</v>
      </c>
      <c r="R5743" s="17" t="s">
        <v>3999</v>
      </c>
      <c r="S5743" s="17"/>
      <c r="T5743" s="17"/>
      <c r="U5743" s="17"/>
    </row>
    <row r="5744" spans="17:21" x14ac:dyDescent="0.25">
      <c r="Q5744" s="17" t="s">
        <v>6413</v>
      </c>
      <c r="R5744" s="17" t="s">
        <v>3999</v>
      </c>
      <c r="S5744" s="17"/>
      <c r="T5744" s="17"/>
      <c r="U5744" s="17"/>
    </row>
    <row r="5745" spans="17:21" x14ac:dyDescent="0.25">
      <c r="Q5745" s="17" t="s">
        <v>6414</v>
      </c>
      <c r="R5745" s="17" t="s">
        <v>3999</v>
      </c>
      <c r="S5745" s="17"/>
      <c r="T5745" s="17"/>
      <c r="U5745" s="17"/>
    </row>
    <row r="5746" spans="17:21" x14ac:dyDescent="0.25">
      <c r="Q5746" s="17" t="s">
        <v>6415</v>
      </c>
      <c r="R5746" s="17" t="s">
        <v>3999</v>
      </c>
      <c r="S5746" s="17"/>
      <c r="T5746" s="17"/>
      <c r="U5746" s="17"/>
    </row>
    <row r="5747" spans="17:21" x14ac:dyDescent="0.25">
      <c r="Q5747" s="17" t="s">
        <v>6416</v>
      </c>
      <c r="R5747" s="17" t="s">
        <v>6417</v>
      </c>
      <c r="S5747" s="17"/>
      <c r="T5747" s="17"/>
      <c r="U5747" s="17"/>
    </row>
    <row r="5748" spans="17:21" x14ac:dyDescent="0.25">
      <c r="Q5748" s="17" t="s">
        <v>6418</v>
      </c>
      <c r="R5748" s="17" t="s">
        <v>6417</v>
      </c>
      <c r="S5748" s="17"/>
      <c r="T5748" s="17"/>
      <c r="U5748" s="17"/>
    </row>
    <row r="5749" spans="17:21" x14ac:dyDescent="0.25">
      <c r="Q5749" s="17" t="s">
        <v>6419</v>
      </c>
      <c r="R5749" s="17" t="s">
        <v>3999</v>
      </c>
      <c r="S5749" s="17"/>
      <c r="T5749" s="17"/>
      <c r="U5749" s="17"/>
    </row>
    <row r="5750" spans="17:21" x14ac:dyDescent="0.25">
      <c r="Q5750" s="17" t="s">
        <v>6420</v>
      </c>
      <c r="R5750" s="17" t="s">
        <v>3999</v>
      </c>
      <c r="S5750" s="17"/>
      <c r="T5750" s="17"/>
      <c r="U5750" s="17"/>
    </row>
    <row r="5751" spans="17:21" x14ac:dyDescent="0.25">
      <c r="Q5751" s="17" t="s">
        <v>6421</v>
      </c>
      <c r="R5751" s="17" t="s">
        <v>6417</v>
      </c>
      <c r="S5751" s="17"/>
      <c r="T5751" s="17"/>
      <c r="U5751" s="17"/>
    </row>
    <row r="5752" spans="17:21" x14ac:dyDescent="0.25">
      <c r="Q5752" s="17" t="s">
        <v>6422</v>
      </c>
      <c r="R5752" s="17" t="s">
        <v>6417</v>
      </c>
      <c r="S5752" s="17"/>
      <c r="T5752" s="17"/>
      <c r="U5752" s="17"/>
    </row>
    <row r="5753" spans="17:21" x14ac:dyDescent="0.25">
      <c r="Q5753" s="17" t="s">
        <v>6423</v>
      </c>
      <c r="R5753" s="17" t="s">
        <v>6417</v>
      </c>
      <c r="S5753" s="17"/>
      <c r="T5753" s="17"/>
      <c r="U5753" s="17"/>
    </row>
    <row r="5754" spans="17:21" x14ac:dyDescent="0.25">
      <c r="Q5754" s="17" t="s">
        <v>6424</v>
      </c>
      <c r="R5754" s="17" t="s">
        <v>6417</v>
      </c>
      <c r="S5754" s="17"/>
      <c r="T5754" s="17"/>
      <c r="U5754" s="17"/>
    </row>
    <row r="5755" spans="17:21" x14ac:dyDescent="0.25">
      <c r="Q5755" s="17" t="s">
        <v>6425</v>
      </c>
      <c r="R5755" s="17" t="s">
        <v>6417</v>
      </c>
      <c r="S5755" s="17"/>
      <c r="T5755" s="17"/>
      <c r="U5755" s="17"/>
    </row>
    <row r="5756" spans="17:21" x14ac:dyDescent="0.25">
      <c r="Q5756" s="17" t="s">
        <v>6426</v>
      </c>
      <c r="R5756" s="17" t="s">
        <v>6417</v>
      </c>
      <c r="S5756" s="17"/>
      <c r="T5756" s="17"/>
      <c r="U5756" s="17"/>
    </row>
    <row r="5757" spans="17:21" x14ac:dyDescent="0.25">
      <c r="Q5757" s="17" t="s">
        <v>6427</v>
      </c>
      <c r="R5757" s="17" t="s">
        <v>6417</v>
      </c>
      <c r="S5757" s="17"/>
      <c r="T5757" s="17"/>
      <c r="U5757" s="17"/>
    </row>
    <row r="5758" spans="17:21" x14ac:dyDescent="0.25">
      <c r="Q5758" s="17" t="s">
        <v>6428</v>
      </c>
      <c r="R5758" s="17" t="s">
        <v>6417</v>
      </c>
      <c r="S5758" s="17"/>
      <c r="T5758" s="17"/>
      <c r="U5758" s="17"/>
    </row>
    <row r="5759" spans="17:21" x14ac:dyDescent="0.25">
      <c r="Q5759" s="17" t="s">
        <v>6429</v>
      </c>
      <c r="R5759" s="17" t="s">
        <v>6417</v>
      </c>
      <c r="S5759" s="17"/>
      <c r="T5759" s="17"/>
      <c r="U5759" s="17"/>
    </row>
    <row r="5760" spans="17:21" x14ac:dyDescent="0.25">
      <c r="Q5760" s="17" t="s">
        <v>6430</v>
      </c>
      <c r="R5760" s="17" t="s">
        <v>3999</v>
      </c>
      <c r="S5760" s="17"/>
      <c r="T5760" s="17"/>
      <c r="U5760" s="17"/>
    </row>
    <row r="5761" spans="17:21" x14ac:dyDescent="0.25">
      <c r="Q5761" s="17" t="s">
        <v>6431</v>
      </c>
      <c r="R5761" s="17" t="s">
        <v>6417</v>
      </c>
      <c r="S5761" s="17"/>
      <c r="T5761" s="17"/>
      <c r="U5761" s="17"/>
    </row>
    <row r="5762" spans="17:21" x14ac:dyDescent="0.25">
      <c r="Q5762" s="17" t="s">
        <v>6432</v>
      </c>
      <c r="R5762" s="17" t="s">
        <v>6417</v>
      </c>
      <c r="S5762" s="17"/>
      <c r="T5762" s="17"/>
      <c r="U5762" s="17"/>
    </row>
    <row r="5763" spans="17:21" x14ac:dyDescent="0.25">
      <c r="Q5763" s="17" t="s">
        <v>6433</v>
      </c>
      <c r="R5763" s="17" t="s">
        <v>6417</v>
      </c>
      <c r="S5763" s="17"/>
      <c r="T5763" s="17"/>
      <c r="U5763" s="17"/>
    </row>
    <row r="5764" spans="17:21" x14ac:dyDescent="0.25">
      <c r="Q5764" s="17" t="s">
        <v>6434</v>
      </c>
      <c r="R5764" s="17" t="s">
        <v>6417</v>
      </c>
      <c r="S5764" s="17"/>
      <c r="T5764" s="17"/>
      <c r="U5764" s="17"/>
    </row>
    <row r="5765" spans="17:21" x14ac:dyDescent="0.25">
      <c r="Q5765" s="17" t="s">
        <v>6435</v>
      </c>
      <c r="R5765" s="17" t="s">
        <v>1369</v>
      </c>
      <c r="S5765" s="17"/>
      <c r="T5765" s="17"/>
      <c r="U5765" s="17"/>
    </row>
    <row r="5766" spans="17:21" x14ac:dyDescent="0.25">
      <c r="Q5766" s="17" t="s">
        <v>6436</v>
      </c>
      <c r="R5766" s="17" t="s">
        <v>6417</v>
      </c>
      <c r="S5766" s="17"/>
      <c r="T5766" s="17"/>
      <c r="U5766" s="17"/>
    </row>
    <row r="5767" spans="17:21" x14ac:dyDescent="0.25">
      <c r="Q5767" s="17" t="s">
        <v>6437</v>
      </c>
      <c r="R5767" s="17" t="s">
        <v>6417</v>
      </c>
      <c r="S5767" s="17"/>
      <c r="T5767" s="17"/>
      <c r="U5767" s="17"/>
    </row>
    <row r="5768" spans="17:21" x14ac:dyDescent="0.25">
      <c r="Q5768" s="17" t="s">
        <v>6438</v>
      </c>
      <c r="R5768" s="17" t="s">
        <v>6417</v>
      </c>
      <c r="S5768" s="17"/>
      <c r="T5768" s="17"/>
      <c r="U5768" s="17"/>
    </row>
    <row r="5769" spans="17:21" x14ac:dyDescent="0.25">
      <c r="Q5769" s="17" t="s">
        <v>6439</v>
      </c>
      <c r="R5769" s="17" t="s">
        <v>6417</v>
      </c>
      <c r="S5769" s="17"/>
      <c r="T5769" s="17"/>
      <c r="U5769" s="17"/>
    </row>
    <row r="5770" spans="17:21" x14ac:dyDescent="0.25">
      <c r="Q5770" s="17" t="s">
        <v>6440</v>
      </c>
      <c r="R5770" s="17" t="s">
        <v>5733</v>
      </c>
      <c r="S5770" s="17"/>
      <c r="T5770" s="17"/>
      <c r="U5770" s="17"/>
    </row>
    <row r="5771" spans="17:21" x14ac:dyDescent="0.25">
      <c r="Q5771" s="17" t="s">
        <v>6441</v>
      </c>
      <c r="R5771" s="17" t="s">
        <v>5733</v>
      </c>
      <c r="S5771" s="17"/>
      <c r="T5771" s="17"/>
      <c r="U5771" s="17"/>
    </row>
    <row r="5772" spans="17:21" x14ac:dyDescent="0.25">
      <c r="Q5772" s="17" t="s">
        <v>6442</v>
      </c>
      <c r="R5772" s="17" t="s">
        <v>3999</v>
      </c>
      <c r="S5772" s="17"/>
      <c r="T5772" s="17"/>
      <c r="U5772" s="17"/>
    </row>
    <row r="5773" spans="17:21" x14ac:dyDescent="0.25">
      <c r="Q5773" s="17" t="s">
        <v>6443</v>
      </c>
      <c r="R5773" s="17" t="s">
        <v>3999</v>
      </c>
      <c r="S5773" s="17"/>
      <c r="T5773" s="17"/>
      <c r="U5773" s="17"/>
    </row>
    <row r="5774" spans="17:21" x14ac:dyDescent="0.25">
      <c r="Q5774" s="17" t="s">
        <v>6444</v>
      </c>
      <c r="R5774" s="17" t="s">
        <v>3999</v>
      </c>
      <c r="S5774" s="17"/>
      <c r="T5774" s="17"/>
      <c r="U5774" s="17"/>
    </row>
    <row r="5775" spans="17:21" x14ac:dyDescent="0.25">
      <c r="Q5775" s="17" t="s">
        <v>6445</v>
      </c>
      <c r="R5775" s="17" t="s">
        <v>3999</v>
      </c>
      <c r="S5775" s="17"/>
      <c r="T5775" s="17"/>
      <c r="U5775" s="17"/>
    </row>
    <row r="5776" spans="17:21" x14ac:dyDescent="0.25">
      <c r="Q5776" s="17" t="s">
        <v>6446</v>
      </c>
      <c r="R5776" s="17" t="s">
        <v>3999</v>
      </c>
      <c r="S5776" s="17"/>
      <c r="T5776" s="17"/>
      <c r="U5776" s="17"/>
    </row>
    <row r="5777" spans="17:21" x14ac:dyDescent="0.25">
      <c r="Q5777" s="17" t="s">
        <v>6447</v>
      </c>
      <c r="R5777" s="17" t="s">
        <v>3999</v>
      </c>
      <c r="S5777" s="17"/>
      <c r="T5777" s="17"/>
      <c r="U5777" s="17"/>
    </row>
    <row r="5778" spans="17:21" x14ac:dyDescent="0.25">
      <c r="Q5778" s="17" t="s">
        <v>6448</v>
      </c>
      <c r="R5778" s="17" t="s">
        <v>3999</v>
      </c>
      <c r="S5778" s="17"/>
      <c r="T5778" s="17"/>
      <c r="U5778" s="17"/>
    </row>
    <row r="5779" spans="17:21" x14ac:dyDescent="0.25">
      <c r="Q5779" s="17" t="s">
        <v>6449</v>
      </c>
      <c r="R5779" s="17" t="s">
        <v>3999</v>
      </c>
      <c r="S5779" s="17"/>
      <c r="T5779" s="17"/>
      <c r="U5779" s="17"/>
    </row>
    <row r="5780" spans="17:21" x14ac:dyDescent="0.25">
      <c r="Q5780" s="17" t="s">
        <v>6450</v>
      </c>
      <c r="R5780" s="17" t="s">
        <v>3999</v>
      </c>
      <c r="S5780" s="17"/>
      <c r="T5780" s="17"/>
      <c r="U5780" s="17"/>
    </row>
    <row r="5781" spans="17:21" x14ac:dyDescent="0.25">
      <c r="Q5781" s="17" t="s">
        <v>6451</v>
      </c>
      <c r="R5781" s="17" t="s">
        <v>6417</v>
      </c>
      <c r="S5781" s="17"/>
      <c r="T5781" s="17"/>
      <c r="U5781" s="17"/>
    </row>
    <row r="5782" spans="17:21" x14ac:dyDescent="0.25">
      <c r="Q5782" s="17" t="s">
        <v>6452</v>
      </c>
      <c r="R5782" s="17" t="s">
        <v>3999</v>
      </c>
      <c r="S5782" s="17"/>
      <c r="T5782" s="17"/>
      <c r="U5782" s="17"/>
    </row>
    <row r="5783" spans="17:21" x14ac:dyDescent="0.25">
      <c r="Q5783" s="17" t="s">
        <v>6453</v>
      </c>
      <c r="R5783" s="17" t="s">
        <v>3999</v>
      </c>
      <c r="S5783" s="17"/>
      <c r="T5783" s="17"/>
      <c r="U5783" s="17"/>
    </row>
    <row r="5784" spans="17:21" x14ac:dyDescent="0.25">
      <c r="Q5784" s="17" t="s">
        <v>6454</v>
      </c>
      <c r="R5784" s="17" t="s">
        <v>6417</v>
      </c>
      <c r="S5784" s="17"/>
      <c r="T5784" s="17"/>
      <c r="U5784" s="17"/>
    </row>
    <row r="5785" spans="17:21" x14ac:dyDescent="0.25">
      <c r="Q5785" s="17" t="s">
        <v>6455</v>
      </c>
      <c r="R5785" s="17" t="s">
        <v>3999</v>
      </c>
      <c r="S5785" s="17"/>
      <c r="T5785" s="17"/>
      <c r="U5785" s="17"/>
    </row>
    <row r="5786" spans="17:21" x14ac:dyDescent="0.25">
      <c r="Q5786" s="17" t="s">
        <v>6456</v>
      </c>
      <c r="R5786" s="17" t="s">
        <v>3999</v>
      </c>
      <c r="S5786" s="17"/>
      <c r="T5786" s="17"/>
      <c r="U5786" s="17"/>
    </row>
    <row r="5787" spans="17:21" x14ac:dyDescent="0.25">
      <c r="Q5787" s="17" t="s">
        <v>6457</v>
      </c>
      <c r="R5787" s="17" t="s">
        <v>6417</v>
      </c>
      <c r="S5787" s="17"/>
      <c r="T5787" s="17"/>
      <c r="U5787" s="17"/>
    </row>
    <row r="5788" spans="17:21" x14ac:dyDescent="0.25">
      <c r="Q5788" s="17" t="s">
        <v>6458</v>
      </c>
      <c r="R5788" s="17" t="s">
        <v>6417</v>
      </c>
      <c r="S5788" s="17"/>
      <c r="T5788" s="17"/>
      <c r="U5788" s="17"/>
    </row>
    <row r="5789" spans="17:21" x14ac:dyDescent="0.25">
      <c r="Q5789" s="17" t="s">
        <v>6459</v>
      </c>
      <c r="R5789" s="17" t="s">
        <v>6417</v>
      </c>
      <c r="S5789" s="17"/>
      <c r="T5789" s="17"/>
      <c r="U5789" s="17"/>
    </row>
    <row r="5790" spans="17:21" x14ac:dyDescent="0.25">
      <c r="Q5790" s="17" t="s">
        <v>6460</v>
      </c>
      <c r="R5790" s="17" t="s">
        <v>6417</v>
      </c>
      <c r="S5790" s="17"/>
      <c r="T5790" s="17"/>
      <c r="U5790" s="17"/>
    </row>
    <row r="5791" spans="17:21" x14ac:dyDescent="0.25">
      <c r="Q5791" s="17" t="s">
        <v>6461</v>
      </c>
      <c r="R5791" s="17" t="s">
        <v>6417</v>
      </c>
      <c r="S5791" s="17"/>
      <c r="T5791" s="17"/>
      <c r="U5791" s="17"/>
    </row>
    <row r="5792" spans="17:21" x14ac:dyDescent="0.25">
      <c r="Q5792" s="17" t="s">
        <v>6462</v>
      </c>
      <c r="R5792" s="17" t="s">
        <v>6417</v>
      </c>
      <c r="S5792" s="17"/>
      <c r="T5792" s="17"/>
      <c r="U5792" s="17"/>
    </row>
    <row r="5793" spans="17:21" x14ac:dyDescent="0.25">
      <c r="Q5793" s="17" t="s">
        <v>6463</v>
      </c>
      <c r="R5793" s="17" t="s">
        <v>6417</v>
      </c>
      <c r="S5793" s="17"/>
      <c r="T5793" s="17"/>
      <c r="U5793" s="17"/>
    </row>
    <row r="5794" spans="17:21" x14ac:dyDescent="0.25">
      <c r="Q5794" s="17" t="s">
        <v>6464</v>
      </c>
      <c r="R5794" s="17" t="s">
        <v>6417</v>
      </c>
      <c r="S5794" s="17"/>
      <c r="T5794" s="17"/>
      <c r="U5794" s="17"/>
    </row>
    <row r="5795" spans="17:21" x14ac:dyDescent="0.25">
      <c r="Q5795" s="17" t="s">
        <v>6465</v>
      </c>
      <c r="R5795" s="17" t="s">
        <v>6417</v>
      </c>
      <c r="S5795" s="17"/>
      <c r="T5795" s="17"/>
      <c r="U5795" s="17"/>
    </row>
    <row r="5796" spans="17:21" x14ac:dyDescent="0.25">
      <c r="Q5796" s="17" t="s">
        <v>6466</v>
      </c>
      <c r="R5796" s="17" t="s">
        <v>6417</v>
      </c>
      <c r="S5796" s="17"/>
      <c r="T5796" s="17"/>
      <c r="U5796" s="17"/>
    </row>
    <row r="5797" spans="17:21" x14ac:dyDescent="0.25">
      <c r="Q5797" s="17" t="s">
        <v>6467</v>
      </c>
      <c r="R5797" s="17" t="s">
        <v>6417</v>
      </c>
      <c r="S5797" s="17"/>
      <c r="T5797" s="17"/>
      <c r="U5797" s="17"/>
    </row>
    <row r="5798" spans="17:21" x14ac:dyDescent="0.25">
      <c r="Q5798" s="17" t="s">
        <v>6468</v>
      </c>
      <c r="R5798" s="17" t="s">
        <v>1369</v>
      </c>
      <c r="S5798" s="17"/>
      <c r="T5798" s="17"/>
      <c r="U5798" s="17"/>
    </row>
    <row r="5799" spans="17:21" x14ac:dyDescent="0.25">
      <c r="Q5799" s="17" t="s">
        <v>6469</v>
      </c>
      <c r="R5799" s="17" t="s">
        <v>1369</v>
      </c>
      <c r="S5799" s="17"/>
      <c r="T5799" s="17"/>
      <c r="U5799" s="17"/>
    </row>
    <row r="5800" spans="17:21" x14ac:dyDescent="0.25">
      <c r="Q5800" s="17" t="s">
        <v>6470</v>
      </c>
      <c r="R5800" s="17" t="s">
        <v>6417</v>
      </c>
      <c r="S5800" s="17"/>
      <c r="T5800" s="17"/>
      <c r="U5800" s="17"/>
    </row>
    <row r="5801" spans="17:21" x14ac:dyDescent="0.25">
      <c r="Q5801" s="17" t="s">
        <v>6471</v>
      </c>
      <c r="R5801" s="17" t="s">
        <v>6417</v>
      </c>
      <c r="S5801" s="17"/>
      <c r="T5801" s="17"/>
      <c r="U5801" s="17"/>
    </row>
    <row r="5802" spans="17:21" x14ac:dyDescent="0.25">
      <c r="Q5802" s="17" t="s">
        <v>6472</v>
      </c>
      <c r="R5802" s="17" t="s">
        <v>1369</v>
      </c>
      <c r="S5802" s="17"/>
      <c r="T5802" s="17"/>
      <c r="U5802" s="17"/>
    </row>
    <row r="5803" spans="17:21" x14ac:dyDescent="0.25">
      <c r="Q5803" s="17" t="s">
        <v>6473</v>
      </c>
      <c r="R5803" s="17" t="s">
        <v>1369</v>
      </c>
      <c r="S5803" s="17"/>
      <c r="T5803" s="17"/>
      <c r="U5803" s="17"/>
    </row>
    <row r="5804" spans="17:21" x14ac:dyDescent="0.25">
      <c r="Q5804" s="17" t="s">
        <v>6474</v>
      </c>
      <c r="R5804" s="17" t="s">
        <v>1369</v>
      </c>
      <c r="S5804" s="17"/>
      <c r="T5804" s="17"/>
      <c r="U5804" s="17"/>
    </row>
    <row r="5805" spans="17:21" x14ac:dyDescent="0.25">
      <c r="Q5805" s="17" t="s">
        <v>6475</v>
      </c>
      <c r="R5805" s="17" t="s">
        <v>1369</v>
      </c>
      <c r="S5805" s="17"/>
      <c r="T5805" s="17"/>
      <c r="U5805" s="17"/>
    </row>
    <row r="5806" spans="17:21" x14ac:dyDescent="0.25">
      <c r="Q5806" s="17" t="s">
        <v>6476</v>
      </c>
      <c r="R5806" s="17" t="s">
        <v>1369</v>
      </c>
      <c r="S5806" s="17"/>
      <c r="T5806" s="17"/>
      <c r="U5806" s="17"/>
    </row>
    <row r="5807" spans="17:21" x14ac:dyDescent="0.25">
      <c r="Q5807" s="17" t="s">
        <v>6477</v>
      </c>
      <c r="R5807" s="17" t="s">
        <v>6417</v>
      </c>
      <c r="S5807" s="17"/>
      <c r="T5807" s="17"/>
      <c r="U5807" s="17"/>
    </row>
    <row r="5808" spans="17:21" x14ac:dyDescent="0.25">
      <c r="Q5808" s="17" t="s">
        <v>6478</v>
      </c>
      <c r="R5808" s="17" t="s">
        <v>6417</v>
      </c>
      <c r="S5808" s="17"/>
      <c r="T5808" s="17"/>
      <c r="U5808" s="17"/>
    </row>
    <row r="5809" spans="17:21" x14ac:dyDescent="0.25">
      <c r="Q5809" s="17" t="s">
        <v>6479</v>
      </c>
      <c r="R5809" s="17" t="s">
        <v>6417</v>
      </c>
      <c r="S5809" s="17"/>
      <c r="T5809" s="17"/>
      <c r="U5809" s="17"/>
    </row>
    <row r="5810" spans="17:21" x14ac:dyDescent="0.25">
      <c r="Q5810" s="17" t="s">
        <v>6480</v>
      </c>
      <c r="R5810" s="17" t="s">
        <v>6417</v>
      </c>
      <c r="S5810" s="17"/>
      <c r="T5810" s="17"/>
      <c r="U5810" s="17"/>
    </row>
    <row r="5811" spans="17:21" x14ac:dyDescent="0.25">
      <c r="Q5811" s="17" t="s">
        <v>6481</v>
      </c>
      <c r="R5811" s="17" t="s">
        <v>6417</v>
      </c>
      <c r="S5811" s="17"/>
      <c r="T5811" s="17"/>
      <c r="U5811" s="17"/>
    </row>
    <row r="5812" spans="17:21" x14ac:dyDescent="0.25">
      <c r="Q5812" s="17" t="s">
        <v>6482</v>
      </c>
      <c r="R5812" s="17" t="s">
        <v>6417</v>
      </c>
      <c r="S5812" s="17"/>
      <c r="T5812" s="17"/>
      <c r="U5812" s="17"/>
    </row>
    <row r="5813" spans="17:21" x14ac:dyDescent="0.25">
      <c r="Q5813" s="17" t="s">
        <v>6483</v>
      </c>
      <c r="R5813" s="17" t="s">
        <v>6417</v>
      </c>
      <c r="S5813" s="17"/>
      <c r="T5813" s="17"/>
      <c r="U5813" s="17"/>
    </row>
    <row r="5814" spans="17:21" x14ac:dyDescent="0.25">
      <c r="Q5814" s="17" t="s">
        <v>6484</v>
      </c>
      <c r="R5814" s="17" t="s">
        <v>6417</v>
      </c>
      <c r="S5814" s="17"/>
      <c r="T5814" s="17"/>
      <c r="U5814" s="17"/>
    </row>
    <row r="5815" spans="17:21" x14ac:dyDescent="0.25">
      <c r="Q5815" s="17" t="s">
        <v>6485</v>
      </c>
      <c r="R5815" s="17" t="s">
        <v>6417</v>
      </c>
      <c r="S5815" s="17"/>
      <c r="T5815" s="17"/>
      <c r="U5815" s="17"/>
    </row>
    <row r="5816" spans="17:21" x14ac:dyDescent="0.25">
      <c r="Q5816" s="17" t="s">
        <v>6486</v>
      </c>
      <c r="R5816" s="17" t="s">
        <v>6417</v>
      </c>
      <c r="S5816" s="17"/>
      <c r="T5816" s="17"/>
      <c r="U5816" s="17"/>
    </row>
    <row r="5817" spans="17:21" x14ac:dyDescent="0.25">
      <c r="Q5817" s="17" t="s">
        <v>6487</v>
      </c>
      <c r="R5817" s="17" t="s">
        <v>6417</v>
      </c>
      <c r="S5817" s="17"/>
      <c r="T5817" s="17"/>
      <c r="U5817" s="17"/>
    </row>
    <row r="5818" spans="17:21" x14ac:dyDescent="0.25">
      <c r="Q5818" s="17" t="s">
        <v>6488</v>
      </c>
      <c r="R5818" s="17" t="s">
        <v>6417</v>
      </c>
      <c r="S5818" s="17"/>
      <c r="T5818" s="17"/>
      <c r="U5818" s="17"/>
    </row>
    <row r="5819" spans="17:21" x14ac:dyDescent="0.25">
      <c r="Q5819" s="17" t="s">
        <v>6489</v>
      </c>
      <c r="R5819" s="17" t="s">
        <v>6417</v>
      </c>
      <c r="S5819" s="17"/>
      <c r="T5819" s="17"/>
      <c r="U5819" s="17"/>
    </row>
    <row r="5820" spans="17:21" x14ac:dyDescent="0.25">
      <c r="Q5820" s="17" t="s">
        <v>6490</v>
      </c>
      <c r="R5820" s="17" t="s">
        <v>6417</v>
      </c>
      <c r="S5820" s="17"/>
      <c r="T5820" s="17"/>
      <c r="U5820" s="17"/>
    </row>
    <row r="5821" spans="17:21" x14ac:dyDescent="0.25">
      <c r="Q5821" s="17" t="s">
        <v>6491</v>
      </c>
      <c r="R5821" s="17" t="s">
        <v>1369</v>
      </c>
      <c r="S5821" s="17"/>
      <c r="T5821" s="17"/>
      <c r="U5821" s="17"/>
    </row>
    <row r="5822" spans="17:21" x14ac:dyDescent="0.25">
      <c r="Q5822" s="17" t="s">
        <v>6492</v>
      </c>
      <c r="R5822" s="17" t="s">
        <v>6417</v>
      </c>
      <c r="S5822" s="17"/>
      <c r="T5822" s="17"/>
      <c r="U5822" s="17"/>
    </row>
    <row r="5823" spans="17:21" x14ac:dyDescent="0.25">
      <c r="Q5823" s="17" t="s">
        <v>6493</v>
      </c>
      <c r="R5823" s="17" t="s">
        <v>6153</v>
      </c>
      <c r="S5823" s="17"/>
      <c r="T5823" s="17"/>
      <c r="U5823" s="17"/>
    </row>
    <row r="5824" spans="17:21" x14ac:dyDescent="0.25">
      <c r="Q5824" s="17" t="s">
        <v>6494</v>
      </c>
      <c r="R5824" s="17" t="s">
        <v>6153</v>
      </c>
      <c r="S5824" s="17"/>
      <c r="T5824" s="17"/>
      <c r="U5824" s="17"/>
    </row>
    <row r="5825" spans="17:21" x14ac:dyDescent="0.25">
      <c r="Q5825" s="17" t="s">
        <v>6495</v>
      </c>
      <c r="R5825" s="17" t="s">
        <v>6153</v>
      </c>
      <c r="S5825" s="17"/>
      <c r="T5825" s="17"/>
      <c r="U5825" s="17"/>
    </row>
    <row r="5826" spans="17:21" x14ac:dyDescent="0.25">
      <c r="Q5826" s="17" t="s">
        <v>6496</v>
      </c>
      <c r="R5826" s="17" t="s">
        <v>6153</v>
      </c>
      <c r="S5826" s="17"/>
      <c r="T5826" s="17"/>
      <c r="U5826" s="17"/>
    </row>
    <row r="5827" spans="17:21" x14ac:dyDescent="0.25">
      <c r="Q5827" s="17" t="s">
        <v>6497</v>
      </c>
      <c r="R5827" s="17" t="s">
        <v>6153</v>
      </c>
      <c r="S5827" s="17"/>
      <c r="T5827" s="17"/>
      <c r="U5827" s="17"/>
    </row>
    <row r="5828" spans="17:21" x14ac:dyDescent="0.25">
      <c r="Q5828" s="17" t="s">
        <v>6498</v>
      </c>
      <c r="R5828" s="17" t="s">
        <v>6153</v>
      </c>
      <c r="S5828" s="17"/>
      <c r="T5828" s="17"/>
      <c r="U5828" s="17"/>
    </row>
    <row r="5829" spans="17:21" x14ac:dyDescent="0.25">
      <c r="Q5829" s="17" t="s">
        <v>6499</v>
      </c>
      <c r="R5829" s="17" t="s">
        <v>6153</v>
      </c>
      <c r="S5829" s="17"/>
      <c r="T5829" s="17"/>
      <c r="U5829" s="17"/>
    </row>
    <row r="5830" spans="17:21" x14ac:dyDescent="0.25">
      <c r="Q5830" s="17" t="s">
        <v>6500</v>
      </c>
      <c r="R5830" s="17" t="s">
        <v>3999</v>
      </c>
      <c r="S5830" s="17"/>
      <c r="T5830" s="17"/>
      <c r="U5830" s="17"/>
    </row>
    <row r="5831" spans="17:21" x14ac:dyDescent="0.25">
      <c r="Q5831" s="17" t="s">
        <v>6501</v>
      </c>
      <c r="R5831" s="17" t="s">
        <v>6153</v>
      </c>
      <c r="S5831" s="17"/>
      <c r="T5831" s="17"/>
      <c r="U5831" s="17"/>
    </row>
    <row r="5832" spans="17:21" x14ac:dyDescent="0.25">
      <c r="Q5832" s="17" t="s">
        <v>6502</v>
      </c>
      <c r="R5832" s="17" t="s">
        <v>6153</v>
      </c>
      <c r="S5832" s="17"/>
      <c r="T5832" s="17"/>
      <c r="U5832" s="17"/>
    </row>
    <row r="5833" spans="17:21" x14ac:dyDescent="0.25">
      <c r="Q5833" s="17" t="s">
        <v>6503</v>
      </c>
      <c r="R5833" s="17" t="s">
        <v>6417</v>
      </c>
      <c r="S5833" s="17"/>
      <c r="T5833" s="17"/>
      <c r="U5833" s="17"/>
    </row>
    <row r="5834" spans="17:21" x14ac:dyDescent="0.25">
      <c r="Q5834" s="17" t="s">
        <v>6504</v>
      </c>
      <c r="R5834" s="17" t="s">
        <v>6417</v>
      </c>
      <c r="S5834" s="17"/>
      <c r="T5834" s="17"/>
      <c r="U5834" s="17"/>
    </row>
    <row r="5835" spans="17:21" x14ac:dyDescent="0.25">
      <c r="Q5835" s="17" t="s">
        <v>6505</v>
      </c>
      <c r="R5835" s="17" t="s">
        <v>6417</v>
      </c>
      <c r="S5835" s="17"/>
      <c r="T5835" s="17"/>
      <c r="U5835" s="17"/>
    </row>
    <row r="5836" spans="17:21" x14ac:dyDescent="0.25">
      <c r="Q5836" s="17" t="s">
        <v>6506</v>
      </c>
      <c r="R5836" s="17" t="s">
        <v>6417</v>
      </c>
      <c r="S5836" s="17"/>
      <c r="T5836" s="17"/>
      <c r="U5836" s="17"/>
    </row>
    <row r="5837" spans="17:21" x14ac:dyDescent="0.25">
      <c r="Q5837" s="17" t="s">
        <v>6507</v>
      </c>
      <c r="R5837" s="17" t="s">
        <v>6417</v>
      </c>
      <c r="S5837" s="17"/>
      <c r="T5837" s="17"/>
      <c r="U5837" s="17"/>
    </row>
    <row r="5838" spans="17:21" x14ac:dyDescent="0.25">
      <c r="Q5838" s="17" t="s">
        <v>6508</v>
      </c>
      <c r="R5838" s="17" t="s">
        <v>6417</v>
      </c>
      <c r="S5838" s="17"/>
      <c r="T5838" s="17"/>
      <c r="U5838" s="17"/>
    </row>
    <row r="5839" spans="17:21" x14ac:dyDescent="0.25">
      <c r="Q5839" s="17" t="s">
        <v>6509</v>
      </c>
      <c r="R5839" s="17" t="s">
        <v>6417</v>
      </c>
      <c r="S5839" s="17"/>
      <c r="T5839" s="17"/>
      <c r="U5839" s="17"/>
    </row>
    <row r="5840" spans="17:21" x14ac:dyDescent="0.25">
      <c r="Q5840" s="17" t="s">
        <v>6510</v>
      </c>
      <c r="R5840" s="17" t="s">
        <v>6417</v>
      </c>
      <c r="S5840" s="17"/>
      <c r="T5840" s="17"/>
      <c r="U5840" s="17"/>
    </row>
    <row r="5841" spans="17:21" x14ac:dyDescent="0.25">
      <c r="Q5841" s="17" t="s">
        <v>6511</v>
      </c>
      <c r="R5841" s="17" t="s">
        <v>6417</v>
      </c>
      <c r="S5841" s="17"/>
      <c r="T5841" s="17"/>
      <c r="U5841" s="17"/>
    </row>
    <row r="5842" spans="17:21" x14ac:dyDescent="0.25">
      <c r="Q5842" s="17" t="s">
        <v>6512</v>
      </c>
      <c r="R5842" s="17" t="s">
        <v>6417</v>
      </c>
      <c r="S5842" s="17"/>
      <c r="T5842" s="17"/>
      <c r="U5842" s="17"/>
    </row>
    <row r="5843" spans="17:21" x14ac:dyDescent="0.25">
      <c r="Q5843" s="17" t="s">
        <v>6513</v>
      </c>
      <c r="R5843" s="17" t="s">
        <v>6417</v>
      </c>
      <c r="S5843" s="17"/>
      <c r="T5843" s="17"/>
      <c r="U5843" s="17"/>
    </row>
    <row r="5844" spans="17:21" x14ac:dyDescent="0.25">
      <c r="Q5844" s="17" t="s">
        <v>6514</v>
      </c>
      <c r="R5844" s="17" t="s">
        <v>6417</v>
      </c>
      <c r="S5844" s="17"/>
      <c r="T5844" s="17"/>
      <c r="U5844" s="17"/>
    </row>
    <row r="5845" spans="17:21" x14ac:dyDescent="0.25">
      <c r="Q5845" s="17" t="s">
        <v>6515</v>
      </c>
      <c r="R5845" s="17" t="s">
        <v>6417</v>
      </c>
      <c r="S5845" s="17"/>
      <c r="T5845" s="17"/>
      <c r="U5845" s="17"/>
    </row>
    <row r="5846" spans="17:21" x14ac:dyDescent="0.25">
      <c r="Q5846" s="17" t="s">
        <v>6516</v>
      </c>
      <c r="R5846" s="17" t="s">
        <v>6417</v>
      </c>
      <c r="S5846" s="17"/>
      <c r="T5846" s="17"/>
      <c r="U5846" s="17"/>
    </row>
    <row r="5847" spans="17:21" x14ac:dyDescent="0.25">
      <c r="Q5847" s="17" t="s">
        <v>6517</v>
      </c>
      <c r="R5847" s="17" t="s">
        <v>6417</v>
      </c>
      <c r="S5847" s="17"/>
      <c r="T5847" s="17"/>
      <c r="U5847" s="17"/>
    </row>
    <row r="5848" spans="17:21" x14ac:dyDescent="0.25">
      <c r="Q5848" s="17" t="s">
        <v>6518</v>
      </c>
      <c r="R5848" s="17" t="s">
        <v>6417</v>
      </c>
      <c r="S5848" s="17"/>
      <c r="T5848" s="17"/>
      <c r="U5848" s="17"/>
    </row>
    <row r="5849" spans="17:21" x14ac:dyDescent="0.25">
      <c r="Q5849" s="17" t="s">
        <v>6519</v>
      </c>
      <c r="R5849" s="17" t="s">
        <v>6417</v>
      </c>
      <c r="S5849" s="17"/>
      <c r="T5849" s="17"/>
      <c r="U5849" s="17"/>
    </row>
    <row r="5850" spans="17:21" x14ac:dyDescent="0.25">
      <c r="Q5850" s="17" t="s">
        <v>6520</v>
      </c>
      <c r="R5850" s="17" t="s">
        <v>6417</v>
      </c>
      <c r="S5850" s="17"/>
      <c r="T5850" s="17"/>
      <c r="U5850" s="17"/>
    </row>
    <row r="5851" spans="17:21" x14ac:dyDescent="0.25">
      <c r="Q5851" s="17" t="s">
        <v>6521</v>
      </c>
      <c r="R5851" s="17" t="s">
        <v>6417</v>
      </c>
      <c r="S5851" s="17"/>
      <c r="T5851" s="17"/>
      <c r="U5851" s="17"/>
    </row>
    <row r="5852" spans="17:21" x14ac:dyDescent="0.25">
      <c r="Q5852" s="17" t="s">
        <v>6522</v>
      </c>
      <c r="R5852" s="17" t="s">
        <v>6417</v>
      </c>
      <c r="S5852" s="17"/>
      <c r="T5852" s="17"/>
      <c r="U5852" s="17"/>
    </row>
    <row r="5853" spans="17:21" x14ac:dyDescent="0.25">
      <c r="Q5853" s="17" t="s">
        <v>6523</v>
      </c>
      <c r="R5853" s="17" t="s">
        <v>6417</v>
      </c>
      <c r="S5853" s="17"/>
      <c r="T5853" s="17"/>
      <c r="U5853" s="17"/>
    </row>
    <row r="5854" spans="17:21" x14ac:dyDescent="0.25">
      <c r="Q5854" s="17" t="s">
        <v>6524</v>
      </c>
      <c r="R5854" s="17" t="s">
        <v>6417</v>
      </c>
      <c r="S5854" s="17"/>
      <c r="T5854" s="17"/>
      <c r="U5854" s="17"/>
    </row>
    <row r="5855" spans="17:21" x14ac:dyDescent="0.25">
      <c r="Q5855" s="17" t="s">
        <v>6525</v>
      </c>
      <c r="R5855" s="17" t="s">
        <v>6417</v>
      </c>
      <c r="S5855" s="17"/>
      <c r="T5855" s="17"/>
      <c r="U5855" s="17"/>
    </row>
    <row r="5856" spans="17:21" x14ac:dyDescent="0.25">
      <c r="Q5856" s="17" t="s">
        <v>6526</v>
      </c>
      <c r="R5856" s="17" t="s">
        <v>6417</v>
      </c>
      <c r="S5856" s="17"/>
      <c r="T5856" s="17"/>
      <c r="U5856" s="17"/>
    </row>
    <row r="5857" spans="17:21" x14ac:dyDescent="0.25">
      <c r="Q5857" s="17" t="s">
        <v>6527</v>
      </c>
      <c r="R5857" s="17" t="s">
        <v>6417</v>
      </c>
      <c r="S5857" s="17"/>
      <c r="T5857" s="17"/>
      <c r="U5857" s="17"/>
    </row>
    <row r="5858" spans="17:21" x14ac:dyDescent="0.25">
      <c r="Q5858" s="17" t="s">
        <v>6528</v>
      </c>
      <c r="R5858" s="17" t="s">
        <v>6417</v>
      </c>
      <c r="S5858" s="17"/>
      <c r="T5858" s="17"/>
      <c r="U5858" s="17"/>
    </row>
    <row r="5859" spans="17:21" x14ac:dyDescent="0.25">
      <c r="Q5859" s="17" t="s">
        <v>6529</v>
      </c>
      <c r="R5859" s="17" t="s">
        <v>6417</v>
      </c>
      <c r="S5859" s="17"/>
      <c r="T5859" s="17"/>
      <c r="U5859" s="17"/>
    </row>
    <row r="5860" spans="17:21" x14ac:dyDescent="0.25">
      <c r="Q5860" s="17" t="s">
        <v>6530</v>
      </c>
      <c r="R5860" s="17" t="s">
        <v>1369</v>
      </c>
      <c r="S5860" s="17"/>
      <c r="T5860" s="17"/>
      <c r="U5860" s="17"/>
    </row>
    <row r="5861" spans="17:21" x14ac:dyDescent="0.25">
      <c r="Q5861" s="17" t="s">
        <v>6531</v>
      </c>
      <c r="R5861" s="17" t="s">
        <v>6417</v>
      </c>
      <c r="S5861" s="17"/>
      <c r="T5861" s="17"/>
      <c r="U5861" s="17"/>
    </row>
    <row r="5862" spans="17:21" x14ac:dyDescent="0.25">
      <c r="Q5862" s="17" t="s">
        <v>6532</v>
      </c>
      <c r="R5862" s="17" t="s">
        <v>6533</v>
      </c>
      <c r="S5862" s="17"/>
      <c r="T5862" s="17"/>
      <c r="U5862" s="17"/>
    </row>
    <row r="5863" spans="17:21" x14ac:dyDescent="0.25">
      <c r="Q5863" s="17" t="s">
        <v>6534</v>
      </c>
      <c r="R5863" s="17" t="s">
        <v>6533</v>
      </c>
      <c r="S5863" s="17"/>
      <c r="T5863" s="17"/>
      <c r="U5863" s="17"/>
    </row>
    <row r="5864" spans="17:21" x14ac:dyDescent="0.25">
      <c r="Q5864" s="17" t="s">
        <v>6535</v>
      </c>
      <c r="R5864" s="17" t="s">
        <v>6533</v>
      </c>
      <c r="S5864" s="17"/>
      <c r="T5864" s="17"/>
      <c r="U5864" s="17"/>
    </row>
    <row r="5865" spans="17:21" x14ac:dyDescent="0.25">
      <c r="Q5865" s="17" t="s">
        <v>6536</v>
      </c>
      <c r="R5865" s="17" t="s">
        <v>6533</v>
      </c>
      <c r="S5865" s="17"/>
      <c r="T5865" s="17"/>
      <c r="U5865" s="17"/>
    </row>
    <row r="5866" spans="17:21" x14ac:dyDescent="0.25">
      <c r="Q5866" s="17" t="s">
        <v>6537</v>
      </c>
      <c r="R5866" s="17" t="s">
        <v>6533</v>
      </c>
      <c r="S5866" s="17"/>
      <c r="T5866" s="17"/>
      <c r="U5866" s="17"/>
    </row>
    <row r="5867" spans="17:21" x14ac:dyDescent="0.25">
      <c r="Q5867" s="17" t="s">
        <v>6538</v>
      </c>
      <c r="R5867" s="17" t="s">
        <v>6533</v>
      </c>
      <c r="S5867" s="17"/>
      <c r="T5867" s="17"/>
      <c r="U5867" s="17"/>
    </row>
    <row r="5868" spans="17:21" x14ac:dyDescent="0.25">
      <c r="Q5868" s="17" t="s">
        <v>6539</v>
      </c>
      <c r="R5868" s="17" t="s">
        <v>6533</v>
      </c>
      <c r="S5868" s="17"/>
      <c r="T5868" s="17"/>
      <c r="U5868" s="17"/>
    </row>
    <row r="5869" spans="17:21" x14ac:dyDescent="0.25">
      <c r="Q5869" s="17" t="s">
        <v>6540</v>
      </c>
      <c r="R5869" s="17" t="s">
        <v>6533</v>
      </c>
      <c r="S5869" s="17"/>
      <c r="T5869" s="17"/>
      <c r="U5869" s="17"/>
    </row>
    <row r="5870" spans="17:21" x14ac:dyDescent="0.25">
      <c r="Q5870" s="17" t="s">
        <v>6541</v>
      </c>
      <c r="R5870" s="17" t="s">
        <v>6533</v>
      </c>
      <c r="S5870" s="17"/>
      <c r="T5870" s="17"/>
      <c r="U5870" s="17"/>
    </row>
    <row r="5871" spans="17:21" x14ac:dyDescent="0.25">
      <c r="Q5871" s="17" t="s">
        <v>6542</v>
      </c>
      <c r="R5871" s="17" t="s">
        <v>6533</v>
      </c>
      <c r="S5871" s="17"/>
      <c r="T5871" s="17"/>
      <c r="U5871" s="17"/>
    </row>
    <row r="5872" spans="17:21" x14ac:dyDescent="0.25">
      <c r="Q5872" s="17" t="s">
        <v>6543</v>
      </c>
      <c r="R5872" s="17" t="s">
        <v>6533</v>
      </c>
      <c r="S5872" s="17"/>
      <c r="T5872" s="17"/>
      <c r="U5872" s="17"/>
    </row>
    <row r="5873" spans="17:21" x14ac:dyDescent="0.25">
      <c r="Q5873" s="17" t="s">
        <v>6544</v>
      </c>
      <c r="R5873" s="17" t="s">
        <v>6533</v>
      </c>
      <c r="S5873" s="17"/>
      <c r="T5873" s="17"/>
      <c r="U5873" s="17"/>
    </row>
    <row r="5874" spans="17:21" x14ac:dyDescent="0.25">
      <c r="Q5874" s="17" t="s">
        <v>6545</v>
      </c>
      <c r="R5874" s="17" t="s">
        <v>6533</v>
      </c>
      <c r="S5874" s="17"/>
      <c r="T5874" s="17"/>
      <c r="U5874" s="17"/>
    </row>
    <row r="5875" spans="17:21" x14ac:dyDescent="0.25">
      <c r="Q5875" s="17" t="s">
        <v>6546</v>
      </c>
      <c r="R5875" s="17" t="s">
        <v>6533</v>
      </c>
      <c r="S5875" s="17"/>
      <c r="T5875" s="17"/>
      <c r="U5875" s="17"/>
    </row>
    <row r="5876" spans="17:21" x14ac:dyDescent="0.25">
      <c r="Q5876" s="17" t="s">
        <v>6547</v>
      </c>
      <c r="R5876" s="17" t="s">
        <v>6533</v>
      </c>
      <c r="S5876" s="17"/>
      <c r="T5876" s="17"/>
      <c r="U5876" s="17"/>
    </row>
    <row r="5877" spans="17:21" x14ac:dyDescent="0.25">
      <c r="Q5877" s="17" t="s">
        <v>6548</v>
      </c>
      <c r="R5877" s="17" t="s">
        <v>6533</v>
      </c>
      <c r="S5877" s="17"/>
      <c r="T5877" s="17"/>
      <c r="U5877" s="17"/>
    </row>
    <row r="5878" spans="17:21" x14ac:dyDescent="0.25">
      <c r="Q5878" s="17" t="s">
        <v>6549</v>
      </c>
      <c r="R5878" s="17" t="s">
        <v>6533</v>
      </c>
      <c r="S5878" s="17"/>
      <c r="T5878" s="17"/>
      <c r="U5878" s="17"/>
    </row>
    <row r="5879" spans="17:21" x14ac:dyDescent="0.25">
      <c r="Q5879" s="17" t="s">
        <v>6550</v>
      </c>
      <c r="R5879" s="17" t="s">
        <v>6533</v>
      </c>
      <c r="S5879" s="17"/>
      <c r="T5879" s="17"/>
      <c r="U5879" s="17"/>
    </row>
    <row r="5880" spans="17:21" x14ac:dyDescent="0.25">
      <c r="Q5880" s="17" t="s">
        <v>6551</v>
      </c>
      <c r="R5880" s="17" t="s">
        <v>6533</v>
      </c>
      <c r="S5880" s="17"/>
      <c r="T5880" s="17"/>
      <c r="U5880" s="17"/>
    </row>
    <row r="5881" spans="17:21" x14ac:dyDescent="0.25">
      <c r="Q5881" s="17" t="s">
        <v>6552</v>
      </c>
      <c r="R5881" s="17" t="s">
        <v>6533</v>
      </c>
      <c r="S5881" s="17"/>
      <c r="T5881" s="17"/>
      <c r="U5881" s="17"/>
    </row>
    <row r="5882" spans="17:21" x14ac:dyDescent="0.25">
      <c r="Q5882" s="17" t="s">
        <v>6553</v>
      </c>
      <c r="R5882" s="17" t="s">
        <v>6533</v>
      </c>
      <c r="S5882" s="17"/>
      <c r="T5882" s="17"/>
      <c r="U5882" s="17"/>
    </row>
    <row r="5883" spans="17:21" x14ac:dyDescent="0.25">
      <c r="Q5883" s="17" t="s">
        <v>6554</v>
      </c>
      <c r="R5883" s="17" t="s">
        <v>6533</v>
      </c>
      <c r="S5883" s="17"/>
      <c r="T5883" s="17"/>
      <c r="U5883" s="17"/>
    </row>
    <row r="5884" spans="17:21" x14ac:dyDescent="0.25">
      <c r="Q5884" s="17" t="s">
        <v>6555</v>
      </c>
      <c r="R5884" s="17" t="s">
        <v>6533</v>
      </c>
      <c r="S5884" s="17"/>
      <c r="T5884" s="17"/>
      <c r="U5884" s="17"/>
    </row>
    <row r="5885" spans="17:21" x14ac:dyDescent="0.25">
      <c r="Q5885" s="17" t="s">
        <v>6556</v>
      </c>
      <c r="R5885" s="17" t="s">
        <v>6533</v>
      </c>
      <c r="S5885" s="17"/>
      <c r="T5885" s="17"/>
      <c r="U5885" s="17"/>
    </row>
    <row r="5886" spans="17:21" x14ac:dyDescent="0.25">
      <c r="Q5886" s="17" t="s">
        <v>6557</v>
      </c>
      <c r="R5886" s="17" t="s">
        <v>6533</v>
      </c>
      <c r="S5886" s="17"/>
      <c r="T5886" s="17"/>
      <c r="U5886" s="17"/>
    </row>
    <row r="5887" spans="17:21" x14ac:dyDescent="0.25">
      <c r="Q5887" s="17" t="s">
        <v>6558</v>
      </c>
      <c r="R5887" s="17" t="s">
        <v>6533</v>
      </c>
      <c r="S5887" s="17"/>
      <c r="T5887" s="17"/>
      <c r="U5887" s="17"/>
    </row>
    <row r="5888" spans="17:21" x14ac:dyDescent="0.25">
      <c r="Q5888" s="17" t="s">
        <v>6559</v>
      </c>
      <c r="R5888" s="17" t="s">
        <v>6533</v>
      </c>
      <c r="S5888" s="17"/>
      <c r="T5888" s="17"/>
      <c r="U5888" s="17"/>
    </row>
    <row r="5889" spans="17:21" x14ac:dyDescent="0.25">
      <c r="Q5889" s="17" t="s">
        <v>6560</v>
      </c>
      <c r="R5889" s="17" t="s">
        <v>6533</v>
      </c>
      <c r="S5889" s="17"/>
      <c r="T5889" s="17"/>
      <c r="U5889" s="17"/>
    </row>
    <row r="5890" spans="17:21" x14ac:dyDescent="0.25">
      <c r="Q5890" s="17" t="s">
        <v>6561</v>
      </c>
      <c r="R5890" s="17" t="s">
        <v>6533</v>
      </c>
      <c r="S5890" s="17"/>
      <c r="T5890" s="17"/>
      <c r="U5890" s="17"/>
    </row>
    <row r="5891" spans="17:21" x14ac:dyDescent="0.25">
      <c r="Q5891" s="17" t="s">
        <v>6562</v>
      </c>
      <c r="R5891" s="17" t="s">
        <v>6533</v>
      </c>
      <c r="S5891" s="17"/>
      <c r="T5891" s="17"/>
      <c r="U5891" s="17"/>
    </row>
    <row r="5892" spans="17:21" x14ac:dyDescent="0.25">
      <c r="Q5892" s="17" t="s">
        <v>6563</v>
      </c>
      <c r="R5892" s="17" t="s">
        <v>6533</v>
      </c>
      <c r="S5892" s="17"/>
      <c r="T5892" s="17"/>
      <c r="U5892" s="17"/>
    </row>
    <row r="5893" spans="17:21" x14ac:dyDescent="0.25">
      <c r="Q5893" s="17" t="s">
        <v>6564</v>
      </c>
      <c r="R5893" s="17" t="s">
        <v>6533</v>
      </c>
      <c r="S5893" s="17"/>
      <c r="T5893" s="17"/>
      <c r="U5893" s="17"/>
    </row>
    <row r="5894" spans="17:21" x14ac:dyDescent="0.25">
      <c r="Q5894" s="17" t="s">
        <v>6565</v>
      </c>
      <c r="R5894" s="17" t="s">
        <v>6533</v>
      </c>
      <c r="S5894" s="17"/>
      <c r="T5894" s="17"/>
      <c r="U5894" s="17"/>
    </row>
    <row r="5895" spans="17:21" x14ac:dyDescent="0.25">
      <c r="Q5895" s="17" t="s">
        <v>6566</v>
      </c>
      <c r="R5895" s="17" t="s">
        <v>6533</v>
      </c>
      <c r="S5895" s="17"/>
      <c r="T5895" s="17"/>
      <c r="U5895" s="17"/>
    </row>
    <row r="5896" spans="17:21" x14ac:dyDescent="0.25">
      <c r="Q5896" s="17" t="s">
        <v>6567</v>
      </c>
      <c r="R5896" s="17" t="s">
        <v>6533</v>
      </c>
      <c r="S5896" s="17"/>
      <c r="T5896" s="17"/>
      <c r="U5896" s="17"/>
    </row>
    <row r="5897" spans="17:21" x14ac:dyDescent="0.25">
      <c r="Q5897" s="17" t="s">
        <v>6568</v>
      </c>
      <c r="R5897" s="17" t="s">
        <v>6533</v>
      </c>
      <c r="S5897" s="17"/>
      <c r="T5897" s="17"/>
      <c r="U5897" s="17"/>
    </row>
    <row r="5898" spans="17:21" x14ac:dyDescent="0.25">
      <c r="Q5898" s="17" t="s">
        <v>6569</v>
      </c>
      <c r="R5898" s="17" t="s">
        <v>6533</v>
      </c>
      <c r="S5898" s="17"/>
      <c r="T5898" s="17"/>
      <c r="U5898" s="17"/>
    </row>
    <row r="5899" spans="17:21" x14ac:dyDescent="0.25">
      <c r="Q5899" s="17" t="s">
        <v>6570</v>
      </c>
      <c r="R5899" s="17" t="s">
        <v>6533</v>
      </c>
      <c r="S5899" s="17"/>
      <c r="T5899" s="17"/>
      <c r="U5899" s="17"/>
    </row>
    <row r="5900" spans="17:21" x14ac:dyDescent="0.25">
      <c r="Q5900" s="17" t="s">
        <v>1086</v>
      </c>
      <c r="R5900" s="17" t="s">
        <v>229</v>
      </c>
      <c r="S5900" s="17"/>
      <c r="T5900" s="17"/>
      <c r="U5900" s="17"/>
    </row>
    <row r="5901" spans="17:21" x14ac:dyDescent="0.25">
      <c r="Q5901" s="17" t="s">
        <v>6571</v>
      </c>
      <c r="R5901" s="17" t="s">
        <v>229</v>
      </c>
      <c r="S5901" s="17"/>
      <c r="T5901" s="17"/>
      <c r="U5901" s="17"/>
    </row>
    <row r="5902" spans="17:21" x14ac:dyDescent="0.25">
      <c r="Q5902" s="17" t="s">
        <v>540</v>
      </c>
      <c r="R5902" s="17" t="s">
        <v>229</v>
      </c>
      <c r="S5902" s="17"/>
      <c r="T5902" s="17"/>
      <c r="U5902" s="17"/>
    </row>
    <row r="5903" spans="17:21" x14ac:dyDescent="0.25">
      <c r="Q5903" s="17" t="s">
        <v>6572</v>
      </c>
      <c r="R5903" s="17" t="s">
        <v>229</v>
      </c>
      <c r="S5903" s="17"/>
      <c r="T5903" s="17"/>
      <c r="U5903" s="17"/>
    </row>
    <row r="5904" spans="17:21" x14ac:dyDescent="0.25">
      <c r="Q5904" s="17" t="s">
        <v>6573</v>
      </c>
      <c r="R5904" s="17" t="s">
        <v>229</v>
      </c>
      <c r="S5904" s="17"/>
      <c r="T5904" s="17"/>
      <c r="U5904" s="17"/>
    </row>
    <row r="5905" spans="17:21" x14ac:dyDescent="0.25">
      <c r="Q5905" s="17" t="s">
        <v>6574</v>
      </c>
      <c r="R5905" s="17" t="s">
        <v>231</v>
      </c>
      <c r="S5905" s="17"/>
      <c r="T5905" s="17"/>
      <c r="U5905" s="17"/>
    </row>
    <row r="5906" spans="17:21" x14ac:dyDescent="0.25">
      <c r="Q5906" s="17" t="s">
        <v>1101</v>
      </c>
      <c r="R5906" s="17" t="s">
        <v>229</v>
      </c>
      <c r="S5906" s="17"/>
      <c r="T5906" s="17"/>
      <c r="U5906" s="17"/>
    </row>
    <row r="5907" spans="17:21" x14ac:dyDescent="0.25">
      <c r="Q5907" s="17" t="s">
        <v>6575</v>
      </c>
      <c r="R5907" s="17" t="s">
        <v>2675</v>
      </c>
      <c r="S5907" s="17"/>
      <c r="T5907" s="17"/>
      <c r="U5907" s="17"/>
    </row>
    <row r="5908" spans="17:21" x14ac:dyDescent="0.25">
      <c r="Q5908" s="17" t="s">
        <v>1133</v>
      </c>
      <c r="R5908" s="17" t="s">
        <v>229</v>
      </c>
      <c r="S5908" s="17"/>
      <c r="T5908" s="17"/>
      <c r="U5908" s="17"/>
    </row>
    <row r="5909" spans="17:21" x14ac:dyDescent="0.25">
      <c r="Q5909" s="17" t="s">
        <v>6576</v>
      </c>
      <c r="R5909" s="17" t="s">
        <v>229</v>
      </c>
      <c r="S5909" s="17"/>
      <c r="T5909" s="17"/>
      <c r="U5909" s="17"/>
    </row>
    <row r="5910" spans="17:21" x14ac:dyDescent="0.25">
      <c r="Q5910" s="17" t="s">
        <v>6577</v>
      </c>
      <c r="R5910" s="17" t="s">
        <v>229</v>
      </c>
      <c r="S5910" s="17"/>
      <c r="T5910" s="17"/>
      <c r="U5910" s="17"/>
    </row>
    <row r="5911" spans="17:21" x14ac:dyDescent="0.25">
      <c r="Q5911" s="17" t="s">
        <v>577</v>
      </c>
      <c r="R5911" s="17" t="s">
        <v>229</v>
      </c>
      <c r="S5911" s="17"/>
      <c r="T5911" s="17"/>
      <c r="U5911" s="17"/>
    </row>
    <row r="5912" spans="17:21" x14ac:dyDescent="0.25">
      <c r="Q5912" s="17" t="s">
        <v>6578</v>
      </c>
      <c r="R5912" s="17" t="s">
        <v>229</v>
      </c>
      <c r="S5912" s="17"/>
      <c r="T5912" s="17"/>
      <c r="U5912" s="17"/>
    </row>
    <row r="5913" spans="17:21" x14ac:dyDescent="0.25">
      <c r="Q5913" s="17" t="s">
        <v>6579</v>
      </c>
      <c r="R5913" s="17" t="s">
        <v>293</v>
      </c>
      <c r="S5913" s="17"/>
      <c r="T5913" s="17"/>
      <c r="U5913" s="17"/>
    </row>
    <row r="5914" spans="17:21" x14ac:dyDescent="0.25">
      <c r="Q5914" s="17" t="s">
        <v>1300</v>
      </c>
      <c r="R5914" s="17" t="s">
        <v>291</v>
      </c>
      <c r="S5914" s="17"/>
      <c r="T5914" s="17"/>
      <c r="U5914" s="17"/>
    </row>
    <row r="5915" spans="17:21" x14ac:dyDescent="0.25">
      <c r="Q5915" s="17" t="s">
        <v>6580</v>
      </c>
      <c r="R5915" s="17" t="s">
        <v>293</v>
      </c>
      <c r="S5915" s="17"/>
      <c r="T5915" s="17"/>
      <c r="U5915" s="17"/>
    </row>
    <row r="5916" spans="17:21" x14ac:dyDescent="0.25">
      <c r="Q5916" s="17" t="s">
        <v>6581</v>
      </c>
      <c r="R5916" s="17" t="s">
        <v>293</v>
      </c>
      <c r="S5916" s="17"/>
      <c r="T5916" s="17"/>
      <c r="U5916" s="17"/>
    </row>
    <row r="5917" spans="17:21" x14ac:dyDescent="0.25">
      <c r="Q5917" s="17" t="s">
        <v>6582</v>
      </c>
      <c r="R5917" s="17" t="s">
        <v>229</v>
      </c>
      <c r="S5917" s="17"/>
      <c r="T5917" s="17"/>
      <c r="U5917" s="17"/>
    </row>
    <row r="5918" spans="17:21" x14ac:dyDescent="0.25">
      <c r="Q5918" s="17" t="s">
        <v>6583</v>
      </c>
      <c r="R5918" s="17" t="s">
        <v>229</v>
      </c>
      <c r="S5918" s="17"/>
      <c r="T5918" s="17"/>
      <c r="U5918" s="17"/>
    </row>
    <row r="5919" spans="17:21" x14ac:dyDescent="0.25">
      <c r="Q5919" s="17" t="s">
        <v>6584</v>
      </c>
      <c r="R5919" s="17" t="s">
        <v>229</v>
      </c>
      <c r="S5919" s="17"/>
      <c r="T5919" s="17"/>
      <c r="U5919" s="17"/>
    </row>
    <row r="5920" spans="17:21" x14ac:dyDescent="0.25">
      <c r="Q5920" s="17" t="s">
        <v>1132</v>
      </c>
      <c r="R5920" s="17" t="s">
        <v>229</v>
      </c>
      <c r="S5920" s="17"/>
      <c r="T5920" s="17"/>
      <c r="U5920" s="17"/>
    </row>
    <row r="5921" spans="17:21" x14ac:dyDescent="0.25">
      <c r="Q5921" s="17" t="s">
        <v>6585</v>
      </c>
      <c r="R5921" s="17" t="s">
        <v>229</v>
      </c>
      <c r="S5921" s="17"/>
      <c r="T5921" s="17"/>
      <c r="U5921" s="17"/>
    </row>
    <row r="5922" spans="17:21" x14ac:dyDescent="0.25">
      <c r="Q5922" s="17" t="s">
        <v>6586</v>
      </c>
      <c r="R5922" s="17" t="s">
        <v>229</v>
      </c>
      <c r="S5922" s="17"/>
      <c r="T5922" s="17"/>
      <c r="U5922" s="17"/>
    </row>
    <row r="5923" spans="17:21" x14ac:dyDescent="0.25">
      <c r="Q5923" s="17" t="s">
        <v>6587</v>
      </c>
      <c r="R5923" s="17" t="s">
        <v>229</v>
      </c>
      <c r="S5923" s="17"/>
      <c r="T5923" s="17"/>
      <c r="U5923" s="17"/>
    </row>
    <row r="5924" spans="17:21" x14ac:dyDescent="0.25">
      <c r="Q5924" s="17" t="s">
        <v>6588</v>
      </c>
      <c r="R5924" s="17" t="s">
        <v>229</v>
      </c>
      <c r="S5924" s="17"/>
      <c r="T5924" s="17"/>
      <c r="U5924" s="17"/>
    </row>
    <row r="5925" spans="17:21" x14ac:dyDescent="0.25">
      <c r="Q5925" s="17" t="s">
        <v>6589</v>
      </c>
      <c r="R5925" s="17" t="s">
        <v>229</v>
      </c>
      <c r="S5925" s="17"/>
      <c r="T5925" s="17"/>
      <c r="U5925" s="17"/>
    </row>
    <row r="5926" spans="17:21" x14ac:dyDescent="0.25">
      <c r="Q5926" s="17" t="s">
        <v>6590</v>
      </c>
      <c r="R5926" s="17" t="s">
        <v>229</v>
      </c>
      <c r="S5926" s="17"/>
      <c r="T5926" s="17"/>
      <c r="U5926" s="17"/>
    </row>
    <row r="5927" spans="17:21" x14ac:dyDescent="0.25">
      <c r="Q5927" s="17" t="s">
        <v>6591</v>
      </c>
      <c r="R5927" s="17" t="s">
        <v>229</v>
      </c>
      <c r="S5927" s="17"/>
      <c r="T5927" s="17"/>
      <c r="U5927" s="17"/>
    </row>
    <row r="5928" spans="17:21" x14ac:dyDescent="0.25">
      <c r="Q5928" s="17" t="s">
        <v>566</v>
      </c>
      <c r="R5928" s="17" t="s">
        <v>229</v>
      </c>
      <c r="S5928" s="17"/>
      <c r="T5928" s="17"/>
      <c r="U5928" s="17"/>
    </row>
    <row r="5929" spans="17:21" x14ac:dyDescent="0.25">
      <c r="Q5929" s="17" t="s">
        <v>532</v>
      </c>
      <c r="R5929" s="17" t="s">
        <v>229</v>
      </c>
      <c r="S5929" s="17"/>
      <c r="T5929" s="17"/>
      <c r="U5929" s="17"/>
    </row>
    <row r="5930" spans="17:21" x14ac:dyDescent="0.25">
      <c r="Q5930" s="17" t="s">
        <v>6592</v>
      </c>
      <c r="R5930" s="17" t="s">
        <v>293</v>
      </c>
      <c r="S5930" s="17"/>
      <c r="T5930" s="17"/>
      <c r="U5930" s="17"/>
    </row>
    <row r="5931" spans="17:21" x14ac:dyDescent="0.25">
      <c r="Q5931" s="17" t="s">
        <v>6593</v>
      </c>
      <c r="R5931" s="17" t="s">
        <v>293</v>
      </c>
      <c r="S5931" s="17"/>
      <c r="T5931" s="17"/>
      <c r="U5931" s="17"/>
    </row>
    <row r="5932" spans="17:21" x14ac:dyDescent="0.25">
      <c r="Q5932" s="17" t="s">
        <v>6594</v>
      </c>
      <c r="R5932" s="17" t="s">
        <v>293</v>
      </c>
      <c r="S5932" s="17"/>
      <c r="T5932" s="17"/>
      <c r="U5932" s="17"/>
    </row>
    <row r="5933" spans="17:21" x14ac:dyDescent="0.25">
      <c r="Q5933" s="17" t="s">
        <v>888</v>
      </c>
      <c r="R5933" s="17" t="s">
        <v>231</v>
      </c>
      <c r="S5933" s="17"/>
      <c r="T5933" s="17"/>
      <c r="U5933" s="17"/>
    </row>
    <row r="5934" spans="17:21" x14ac:dyDescent="0.25">
      <c r="Q5934" s="17" t="s">
        <v>889</v>
      </c>
      <c r="R5934" s="17" t="s">
        <v>231</v>
      </c>
      <c r="S5934" s="17"/>
      <c r="T5934" s="17"/>
      <c r="U5934" s="17"/>
    </row>
    <row r="5935" spans="17:21" x14ac:dyDescent="0.25">
      <c r="Q5935" s="17" t="s">
        <v>1134</v>
      </c>
      <c r="R5935" s="17" t="s">
        <v>231</v>
      </c>
      <c r="S5935" s="17"/>
      <c r="T5935" s="17"/>
      <c r="U5935" s="17"/>
    </row>
    <row r="5936" spans="17:21" x14ac:dyDescent="0.25">
      <c r="Q5936" s="17" t="s">
        <v>1053</v>
      </c>
      <c r="R5936" s="17" t="s">
        <v>231</v>
      </c>
      <c r="S5936" s="17"/>
      <c r="T5936" s="17"/>
      <c r="U5936" s="17"/>
    </row>
    <row r="5937" spans="17:21" x14ac:dyDescent="0.25">
      <c r="Q5937" s="17" t="s">
        <v>890</v>
      </c>
      <c r="R5937" s="17" t="s">
        <v>231</v>
      </c>
      <c r="S5937" s="17"/>
      <c r="T5937" s="17"/>
      <c r="U5937" s="17"/>
    </row>
    <row r="5938" spans="17:21" x14ac:dyDescent="0.25">
      <c r="Q5938" s="17" t="s">
        <v>6595</v>
      </c>
      <c r="R5938" s="17" t="s">
        <v>231</v>
      </c>
      <c r="S5938" s="17"/>
      <c r="T5938" s="17"/>
      <c r="U5938" s="17"/>
    </row>
    <row r="5939" spans="17:21" x14ac:dyDescent="0.25">
      <c r="Q5939" s="17" t="s">
        <v>6596</v>
      </c>
      <c r="R5939" s="17" t="s">
        <v>231</v>
      </c>
      <c r="S5939" s="17"/>
      <c r="T5939" s="17"/>
      <c r="U5939" s="17"/>
    </row>
    <row r="5940" spans="17:21" x14ac:dyDescent="0.25">
      <c r="Q5940" s="17" t="s">
        <v>6597</v>
      </c>
      <c r="R5940" s="17" t="s">
        <v>231</v>
      </c>
      <c r="S5940" s="17"/>
      <c r="T5940" s="17"/>
      <c r="U5940" s="17"/>
    </row>
    <row r="5941" spans="17:21" x14ac:dyDescent="0.25">
      <c r="Q5941" s="17" t="s">
        <v>6598</v>
      </c>
      <c r="R5941" s="17" t="s">
        <v>231</v>
      </c>
      <c r="S5941" s="17"/>
      <c r="T5941" s="17"/>
      <c r="U5941" s="17"/>
    </row>
    <row r="5942" spans="17:21" x14ac:dyDescent="0.25">
      <c r="Q5942" s="17" t="s">
        <v>6599</v>
      </c>
      <c r="R5942" s="17" t="s">
        <v>293</v>
      </c>
      <c r="S5942" s="17"/>
      <c r="T5942" s="17"/>
      <c r="U5942" s="17"/>
    </row>
    <row r="5943" spans="17:21" x14ac:dyDescent="0.25">
      <c r="Q5943" s="17" t="s">
        <v>6600</v>
      </c>
      <c r="R5943" s="17" t="s">
        <v>293</v>
      </c>
      <c r="S5943" s="17"/>
      <c r="T5943" s="17"/>
      <c r="U5943" s="17"/>
    </row>
    <row r="5944" spans="17:21" x14ac:dyDescent="0.25">
      <c r="Q5944" s="17" t="s">
        <v>6601</v>
      </c>
      <c r="R5944" s="17" t="s">
        <v>293</v>
      </c>
      <c r="S5944" s="17"/>
      <c r="T5944" s="17"/>
      <c r="U5944" s="17"/>
    </row>
    <row r="5945" spans="17:21" x14ac:dyDescent="0.25">
      <c r="Q5945" s="17" t="s">
        <v>6602</v>
      </c>
      <c r="R5945" s="17" t="s">
        <v>293</v>
      </c>
      <c r="S5945" s="17"/>
      <c r="T5945" s="17"/>
      <c r="U5945" s="17"/>
    </row>
    <row r="5946" spans="17:21" x14ac:dyDescent="0.25">
      <c r="Q5946" s="17" t="s">
        <v>6603</v>
      </c>
      <c r="R5946" s="17" t="s">
        <v>293</v>
      </c>
      <c r="S5946" s="17"/>
      <c r="T5946" s="17"/>
      <c r="U5946" s="17"/>
    </row>
    <row r="5947" spans="17:21" x14ac:dyDescent="0.25">
      <c r="Q5947" s="17" t="s">
        <v>6604</v>
      </c>
      <c r="R5947" s="17" t="s">
        <v>293</v>
      </c>
      <c r="S5947" s="17"/>
      <c r="T5947" s="17"/>
      <c r="U5947" s="17"/>
    </row>
    <row r="5948" spans="17:21" x14ac:dyDescent="0.25">
      <c r="Q5948" s="17" t="s">
        <v>6605</v>
      </c>
      <c r="R5948" s="17" t="s">
        <v>293</v>
      </c>
      <c r="S5948" s="17"/>
      <c r="T5948" s="17"/>
      <c r="U5948" s="17"/>
    </row>
    <row r="5949" spans="17:21" x14ac:dyDescent="0.25">
      <c r="Q5949" s="17" t="s">
        <v>6606</v>
      </c>
      <c r="R5949" s="17" t="s">
        <v>293</v>
      </c>
      <c r="S5949" s="17"/>
      <c r="T5949" s="17"/>
      <c r="U5949" s="17"/>
    </row>
    <row r="5950" spans="17:21" x14ac:dyDescent="0.25">
      <c r="Q5950" s="17" t="s">
        <v>6607</v>
      </c>
      <c r="R5950" s="17" t="s">
        <v>293</v>
      </c>
      <c r="S5950" s="17"/>
      <c r="T5950" s="17"/>
      <c r="U5950" s="17"/>
    </row>
    <row r="5951" spans="17:21" x14ac:dyDescent="0.25">
      <c r="Q5951" s="17" t="s">
        <v>1030</v>
      </c>
      <c r="R5951" s="17" t="s">
        <v>293</v>
      </c>
      <c r="S5951" s="17"/>
      <c r="T5951" s="17"/>
      <c r="U5951" s="17"/>
    </row>
    <row r="5952" spans="17:21" x14ac:dyDescent="0.25">
      <c r="Q5952" s="17" t="s">
        <v>6608</v>
      </c>
      <c r="R5952" s="17" t="s">
        <v>293</v>
      </c>
      <c r="S5952" s="17"/>
      <c r="T5952" s="17"/>
      <c r="U5952" s="17"/>
    </row>
    <row r="5953" spans="17:21" x14ac:dyDescent="0.25">
      <c r="Q5953" s="17" t="s">
        <v>606</v>
      </c>
      <c r="R5953" s="17" t="s">
        <v>293</v>
      </c>
      <c r="S5953" s="17"/>
      <c r="T5953" s="17"/>
      <c r="U5953" s="17"/>
    </row>
    <row r="5954" spans="17:21" x14ac:dyDescent="0.25">
      <c r="Q5954" s="17" t="s">
        <v>6609</v>
      </c>
      <c r="R5954" s="17" t="s">
        <v>293</v>
      </c>
      <c r="S5954" s="17"/>
      <c r="T5954" s="17"/>
      <c r="U5954" s="17"/>
    </row>
    <row r="5955" spans="17:21" x14ac:dyDescent="0.25">
      <c r="Q5955" s="17" t="s">
        <v>6610</v>
      </c>
      <c r="R5955" s="17" t="s">
        <v>293</v>
      </c>
      <c r="S5955" s="17"/>
      <c r="T5955" s="17"/>
      <c r="U5955" s="17"/>
    </row>
    <row r="5956" spans="17:21" x14ac:dyDescent="0.25">
      <c r="Q5956" s="17" t="s">
        <v>6611</v>
      </c>
      <c r="R5956" s="17" t="s">
        <v>293</v>
      </c>
      <c r="S5956" s="17"/>
      <c r="T5956" s="17"/>
      <c r="U5956" s="17"/>
    </row>
    <row r="5957" spans="17:21" x14ac:dyDescent="0.25">
      <c r="Q5957" s="17" t="s">
        <v>6612</v>
      </c>
      <c r="R5957" s="17" t="s">
        <v>293</v>
      </c>
      <c r="S5957" s="17"/>
      <c r="T5957" s="17"/>
      <c r="U5957" s="17"/>
    </row>
    <row r="5958" spans="17:21" x14ac:dyDescent="0.25">
      <c r="Q5958" s="17" t="s">
        <v>6613</v>
      </c>
      <c r="R5958" s="17" t="s">
        <v>293</v>
      </c>
      <c r="S5958" s="17"/>
      <c r="T5958" s="17"/>
      <c r="U5958" s="17"/>
    </row>
    <row r="5959" spans="17:21" x14ac:dyDescent="0.25">
      <c r="Q5959" s="17" t="s">
        <v>6614</v>
      </c>
      <c r="R5959" s="17" t="s">
        <v>293</v>
      </c>
      <c r="S5959" s="17"/>
      <c r="T5959" s="17"/>
      <c r="U5959" s="17"/>
    </row>
    <row r="5960" spans="17:21" x14ac:dyDescent="0.25">
      <c r="Q5960" s="17" t="s">
        <v>1235</v>
      </c>
      <c r="R5960" s="17" t="s">
        <v>293</v>
      </c>
      <c r="S5960" s="17"/>
      <c r="T5960" s="17"/>
      <c r="U5960" s="17"/>
    </row>
    <row r="5961" spans="17:21" x14ac:dyDescent="0.25">
      <c r="Q5961" s="17" t="s">
        <v>1099</v>
      </c>
      <c r="R5961" s="17" t="s">
        <v>293</v>
      </c>
      <c r="S5961" s="17"/>
      <c r="T5961" s="17"/>
      <c r="U5961" s="17"/>
    </row>
    <row r="5962" spans="17:21" x14ac:dyDescent="0.25">
      <c r="Q5962" s="17" t="s">
        <v>376</v>
      </c>
      <c r="R5962" s="17" t="s">
        <v>293</v>
      </c>
      <c r="S5962" s="17"/>
      <c r="T5962" s="17"/>
      <c r="U5962" s="17"/>
    </row>
    <row r="5963" spans="17:21" x14ac:dyDescent="0.25">
      <c r="Q5963" s="17" t="s">
        <v>6615</v>
      </c>
      <c r="R5963" s="17" t="s">
        <v>293</v>
      </c>
      <c r="S5963" s="17"/>
      <c r="T5963" s="17"/>
      <c r="U5963" s="17"/>
    </row>
    <row r="5964" spans="17:21" x14ac:dyDescent="0.25">
      <c r="Q5964" s="17" t="s">
        <v>6616</v>
      </c>
      <c r="R5964" s="17" t="s">
        <v>293</v>
      </c>
      <c r="S5964" s="17"/>
      <c r="T5964" s="17"/>
      <c r="U5964" s="17"/>
    </row>
    <row r="5965" spans="17:21" x14ac:dyDescent="0.25">
      <c r="Q5965" s="17" t="s">
        <v>683</v>
      </c>
      <c r="R5965" s="17" t="s">
        <v>293</v>
      </c>
      <c r="S5965" s="17"/>
      <c r="T5965" s="17"/>
      <c r="U5965" s="17"/>
    </row>
    <row r="5966" spans="17:21" x14ac:dyDescent="0.25">
      <c r="Q5966" s="17" t="s">
        <v>6617</v>
      </c>
      <c r="R5966" s="17" t="s">
        <v>293</v>
      </c>
      <c r="S5966" s="17"/>
      <c r="T5966" s="17"/>
      <c r="U5966" s="17"/>
    </row>
    <row r="5967" spans="17:21" x14ac:dyDescent="0.25">
      <c r="Q5967" s="17" t="s">
        <v>6618</v>
      </c>
      <c r="R5967" s="17" t="s">
        <v>293</v>
      </c>
      <c r="S5967" s="17"/>
      <c r="T5967" s="17"/>
      <c r="U5967" s="17"/>
    </row>
    <row r="5968" spans="17:21" x14ac:dyDescent="0.25">
      <c r="Q5968" s="17" t="s">
        <v>6619</v>
      </c>
      <c r="R5968" s="17" t="s">
        <v>293</v>
      </c>
      <c r="S5968" s="17"/>
      <c r="T5968" s="17"/>
      <c r="U5968" s="17"/>
    </row>
    <row r="5969" spans="17:21" x14ac:dyDescent="0.25">
      <c r="Q5969" s="17" t="s">
        <v>6620</v>
      </c>
      <c r="R5969" s="17" t="s">
        <v>293</v>
      </c>
      <c r="S5969" s="17"/>
      <c r="T5969" s="17"/>
      <c r="U5969" s="17"/>
    </row>
    <row r="5970" spans="17:21" x14ac:dyDescent="0.25">
      <c r="Q5970" s="17" t="s">
        <v>6621</v>
      </c>
      <c r="R5970" s="17" t="s">
        <v>293</v>
      </c>
      <c r="S5970" s="17"/>
      <c r="T5970" s="17"/>
      <c r="U5970" s="17"/>
    </row>
    <row r="5971" spans="17:21" x14ac:dyDescent="0.25">
      <c r="Q5971" s="17" t="s">
        <v>6622</v>
      </c>
      <c r="R5971" s="17" t="s">
        <v>293</v>
      </c>
      <c r="S5971" s="17"/>
      <c r="T5971" s="17"/>
      <c r="U5971" s="17"/>
    </row>
    <row r="5972" spans="17:21" x14ac:dyDescent="0.25">
      <c r="Q5972" s="17" t="s">
        <v>1112</v>
      </c>
      <c r="R5972" s="17" t="s">
        <v>293</v>
      </c>
      <c r="S5972" s="17"/>
      <c r="T5972" s="17"/>
      <c r="U5972" s="17"/>
    </row>
    <row r="5973" spans="17:21" x14ac:dyDescent="0.25">
      <c r="Q5973" s="17" t="s">
        <v>6623</v>
      </c>
      <c r="R5973" s="17" t="s">
        <v>293</v>
      </c>
      <c r="S5973" s="17"/>
      <c r="T5973" s="17"/>
      <c r="U5973" s="17"/>
    </row>
    <row r="5974" spans="17:21" x14ac:dyDescent="0.25">
      <c r="Q5974" s="17" t="s">
        <v>6624</v>
      </c>
      <c r="R5974" s="17" t="s">
        <v>293</v>
      </c>
      <c r="S5974" s="17"/>
      <c r="T5974" s="17"/>
      <c r="U5974" s="17"/>
    </row>
    <row r="5975" spans="17:21" x14ac:dyDescent="0.25">
      <c r="Q5975" s="17" t="s">
        <v>6625</v>
      </c>
      <c r="R5975" s="17" t="s">
        <v>293</v>
      </c>
      <c r="S5975" s="17"/>
      <c r="T5975" s="17"/>
      <c r="U5975" s="17"/>
    </row>
    <row r="5976" spans="17:21" x14ac:dyDescent="0.25">
      <c r="Q5976" s="17" t="s">
        <v>6626</v>
      </c>
      <c r="R5976" s="17" t="s">
        <v>6153</v>
      </c>
      <c r="S5976" s="17"/>
      <c r="T5976" s="17"/>
      <c r="U5976" s="17"/>
    </row>
    <row r="5977" spans="17:21" x14ac:dyDescent="0.25">
      <c r="Q5977" s="17" t="s">
        <v>6627</v>
      </c>
      <c r="R5977" s="17" t="s">
        <v>6153</v>
      </c>
      <c r="S5977" s="17"/>
      <c r="T5977" s="17"/>
      <c r="U5977" s="17"/>
    </row>
    <row r="5978" spans="17:21" x14ac:dyDescent="0.25">
      <c r="Q5978" s="17" t="s">
        <v>6628</v>
      </c>
      <c r="R5978" s="17" t="s">
        <v>6153</v>
      </c>
      <c r="S5978" s="17"/>
      <c r="T5978" s="17"/>
      <c r="U5978" s="17"/>
    </row>
    <row r="5979" spans="17:21" x14ac:dyDescent="0.25">
      <c r="Q5979" s="17" t="s">
        <v>6629</v>
      </c>
      <c r="R5979" s="17" t="s">
        <v>6153</v>
      </c>
      <c r="S5979" s="17"/>
      <c r="T5979" s="17"/>
      <c r="U5979" s="17"/>
    </row>
    <row r="5980" spans="17:21" x14ac:dyDescent="0.25">
      <c r="Q5980" s="17" t="s">
        <v>6630</v>
      </c>
      <c r="R5980" s="17" t="s">
        <v>6153</v>
      </c>
      <c r="S5980" s="17"/>
      <c r="T5980" s="17"/>
      <c r="U5980" s="17"/>
    </row>
    <row r="5981" spans="17:21" x14ac:dyDescent="0.25">
      <c r="Q5981" s="17" t="s">
        <v>6631</v>
      </c>
      <c r="R5981" s="17" t="s">
        <v>6153</v>
      </c>
      <c r="S5981" s="17"/>
      <c r="T5981" s="17"/>
      <c r="U5981" s="17"/>
    </row>
    <row r="5982" spans="17:21" x14ac:dyDescent="0.25">
      <c r="Q5982" s="17" t="s">
        <v>6632</v>
      </c>
      <c r="R5982" s="17" t="s">
        <v>6153</v>
      </c>
      <c r="S5982" s="17"/>
      <c r="T5982" s="17"/>
      <c r="U5982" s="17"/>
    </row>
    <row r="5983" spans="17:21" x14ac:dyDescent="0.25">
      <c r="Q5983" s="17" t="s">
        <v>6633</v>
      </c>
      <c r="R5983" s="17" t="s">
        <v>6153</v>
      </c>
      <c r="S5983" s="17"/>
      <c r="T5983" s="17"/>
      <c r="U5983" s="17"/>
    </row>
    <row r="5984" spans="17:21" x14ac:dyDescent="0.25">
      <c r="Q5984" s="17" t="s">
        <v>6634</v>
      </c>
      <c r="R5984" s="17" t="s">
        <v>6153</v>
      </c>
      <c r="S5984" s="17"/>
      <c r="T5984" s="17"/>
      <c r="U5984" s="17"/>
    </row>
    <row r="5985" spans="17:21" x14ac:dyDescent="0.25">
      <c r="Q5985" s="17" t="s">
        <v>6635</v>
      </c>
      <c r="R5985" s="17" t="s">
        <v>6153</v>
      </c>
      <c r="S5985" s="17"/>
      <c r="T5985" s="17"/>
      <c r="U5985" s="17"/>
    </row>
    <row r="5986" spans="17:21" x14ac:dyDescent="0.25">
      <c r="Q5986" s="17" t="s">
        <v>6636</v>
      </c>
      <c r="R5986" s="17" t="s">
        <v>6153</v>
      </c>
      <c r="S5986" s="17"/>
      <c r="T5986" s="17"/>
      <c r="U5986" s="17"/>
    </row>
    <row r="5987" spans="17:21" x14ac:dyDescent="0.25">
      <c r="Q5987" s="17" t="s">
        <v>6637</v>
      </c>
      <c r="R5987" s="17" t="s">
        <v>6153</v>
      </c>
      <c r="S5987" s="17"/>
      <c r="T5987" s="17"/>
      <c r="U5987" s="17"/>
    </row>
    <row r="5988" spans="17:21" x14ac:dyDescent="0.25">
      <c r="Q5988" s="17" t="s">
        <v>6638</v>
      </c>
      <c r="R5988" s="17" t="s">
        <v>293</v>
      </c>
      <c r="S5988" s="17"/>
      <c r="T5988" s="17"/>
      <c r="U5988" s="17"/>
    </row>
    <row r="5989" spans="17:21" x14ac:dyDescent="0.25">
      <c r="Q5989" s="17" t="s">
        <v>1233</v>
      </c>
      <c r="R5989" s="17" t="s">
        <v>293</v>
      </c>
      <c r="S5989" s="17"/>
      <c r="T5989" s="17"/>
      <c r="U5989" s="17"/>
    </row>
    <row r="5990" spans="17:21" x14ac:dyDescent="0.25">
      <c r="Q5990" s="17" t="s">
        <v>6639</v>
      </c>
      <c r="R5990" s="17" t="s">
        <v>293</v>
      </c>
      <c r="S5990" s="17"/>
      <c r="T5990" s="17"/>
      <c r="U5990" s="17"/>
    </row>
    <row r="5991" spans="17:21" x14ac:dyDescent="0.25">
      <c r="Q5991" s="17" t="s">
        <v>6640</v>
      </c>
      <c r="R5991" s="17" t="s">
        <v>293</v>
      </c>
      <c r="S5991" s="17"/>
      <c r="T5991" s="17"/>
      <c r="U5991" s="17"/>
    </row>
    <row r="5992" spans="17:21" x14ac:dyDescent="0.25">
      <c r="Q5992" s="17" t="s">
        <v>6641</v>
      </c>
      <c r="R5992" s="17" t="s">
        <v>293</v>
      </c>
      <c r="S5992" s="17"/>
      <c r="T5992" s="17"/>
      <c r="U5992" s="17"/>
    </row>
    <row r="5993" spans="17:21" x14ac:dyDescent="0.25">
      <c r="Q5993" s="17" t="s">
        <v>1113</v>
      </c>
      <c r="R5993" s="17" t="s">
        <v>293</v>
      </c>
      <c r="S5993" s="17"/>
      <c r="T5993" s="17"/>
      <c r="U5993" s="17"/>
    </row>
    <row r="5994" spans="17:21" x14ac:dyDescent="0.25">
      <c r="Q5994" s="17" t="s">
        <v>6642</v>
      </c>
      <c r="R5994" s="17" t="s">
        <v>293</v>
      </c>
      <c r="S5994" s="17"/>
      <c r="T5994" s="17"/>
      <c r="U5994" s="17"/>
    </row>
    <row r="5995" spans="17:21" x14ac:dyDescent="0.25">
      <c r="Q5995" s="17" t="s">
        <v>6643</v>
      </c>
      <c r="R5995" s="17" t="s">
        <v>293</v>
      </c>
      <c r="S5995" s="17"/>
      <c r="T5995" s="17"/>
      <c r="U5995" s="17"/>
    </row>
    <row r="5996" spans="17:21" x14ac:dyDescent="0.25">
      <c r="Q5996" s="17" t="s">
        <v>6644</v>
      </c>
      <c r="R5996" s="17" t="s">
        <v>6153</v>
      </c>
      <c r="S5996" s="17"/>
      <c r="T5996" s="17"/>
      <c r="U5996" s="17"/>
    </row>
    <row r="5997" spans="17:21" x14ac:dyDescent="0.25">
      <c r="Q5997" s="17" t="s">
        <v>6645</v>
      </c>
      <c r="R5997" s="17" t="s">
        <v>6153</v>
      </c>
      <c r="S5997" s="17"/>
      <c r="T5997" s="17"/>
      <c r="U5997" s="17"/>
    </row>
    <row r="5998" spans="17:21" x14ac:dyDescent="0.25">
      <c r="Q5998" s="17" t="s">
        <v>6646</v>
      </c>
      <c r="R5998" s="17" t="s">
        <v>6153</v>
      </c>
      <c r="S5998" s="17"/>
      <c r="T5998" s="17"/>
      <c r="U5998" s="17"/>
    </row>
    <row r="5999" spans="17:21" x14ac:dyDescent="0.25">
      <c r="Q5999" s="17" t="s">
        <v>6647</v>
      </c>
      <c r="R5999" s="17" t="s">
        <v>6153</v>
      </c>
      <c r="S5999" s="17"/>
      <c r="T5999" s="17"/>
      <c r="U5999" s="17"/>
    </row>
    <row r="6000" spans="17:21" x14ac:dyDescent="0.25">
      <c r="Q6000" s="17" t="s">
        <v>6648</v>
      </c>
      <c r="R6000" s="17" t="s">
        <v>6153</v>
      </c>
      <c r="S6000" s="17"/>
      <c r="T6000" s="17"/>
      <c r="U6000" s="17"/>
    </row>
    <row r="6001" spans="17:21" x14ac:dyDescent="0.25">
      <c r="Q6001" s="17" t="s">
        <v>6649</v>
      </c>
      <c r="R6001" s="17" t="s">
        <v>6153</v>
      </c>
      <c r="S6001" s="17"/>
      <c r="T6001" s="17"/>
      <c r="U6001" s="17"/>
    </row>
    <row r="6002" spans="17:21" x14ac:dyDescent="0.25">
      <c r="Q6002" s="17" t="s">
        <v>6650</v>
      </c>
      <c r="R6002" s="17" t="s">
        <v>6153</v>
      </c>
      <c r="S6002" s="17"/>
      <c r="T6002" s="17"/>
      <c r="U6002" s="17"/>
    </row>
    <row r="6003" spans="17:21" x14ac:dyDescent="0.25">
      <c r="Q6003" s="17" t="s">
        <v>6651</v>
      </c>
      <c r="R6003" s="17" t="s">
        <v>6153</v>
      </c>
      <c r="S6003" s="17"/>
      <c r="T6003" s="17"/>
      <c r="U6003" s="17"/>
    </row>
    <row r="6004" spans="17:21" x14ac:dyDescent="0.25">
      <c r="Q6004" s="17" t="s">
        <v>6652</v>
      </c>
      <c r="R6004" s="17" t="s">
        <v>6153</v>
      </c>
      <c r="S6004" s="17"/>
      <c r="T6004" s="17"/>
      <c r="U6004" s="17"/>
    </row>
    <row r="6005" spans="17:21" x14ac:dyDescent="0.25">
      <c r="Q6005" s="17" t="s">
        <v>6653</v>
      </c>
      <c r="R6005" s="17" t="s">
        <v>6153</v>
      </c>
      <c r="S6005" s="17"/>
      <c r="T6005" s="17"/>
      <c r="U6005" s="17"/>
    </row>
    <row r="6006" spans="17:21" x14ac:dyDescent="0.25">
      <c r="Q6006" s="17" t="s">
        <v>6654</v>
      </c>
      <c r="R6006" s="17" t="s">
        <v>6153</v>
      </c>
      <c r="S6006" s="17"/>
      <c r="T6006" s="17"/>
      <c r="U6006" s="17"/>
    </row>
    <row r="6007" spans="17:21" x14ac:dyDescent="0.25">
      <c r="Q6007" s="17" t="s">
        <v>6655</v>
      </c>
      <c r="R6007" s="17" t="s">
        <v>6153</v>
      </c>
      <c r="S6007" s="17"/>
      <c r="T6007" s="17"/>
      <c r="U6007" s="17"/>
    </row>
    <row r="6008" spans="17:21" x14ac:dyDescent="0.25">
      <c r="Q6008" s="17" t="s">
        <v>6656</v>
      </c>
      <c r="R6008" s="17" t="s">
        <v>6153</v>
      </c>
      <c r="S6008" s="17"/>
      <c r="T6008" s="17"/>
      <c r="U6008" s="17"/>
    </row>
    <row r="6009" spans="17:21" x14ac:dyDescent="0.25">
      <c r="Q6009" s="17" t="s">
        <v>6657</v>
      </c>
      <c r="R6009" s="17" t="s">
        <v>6153</v>
      </c>
      <c r="S6009" s="17"/>
      <c r="T6009" s="17"/>
      <c r="U6009" s="17"/>
    </row>
    <row r="6010" spans="17:21" x14ac:dyDescent="0.25">
      <c r="Q6010" s="17" t="s">
        <v>6658</v>
      </c>
      <c r="R6010" s="17" t="s">
        <v>6153</v>
      </c>
      <c r="S6010" s="17"/>
      <c r="T6010" s="17"/>
      <c r="U6010" s="17"/>
    </row>
    <row r="6011" spans="17:21" x14ac:dyDescent="0.25">
      <c r="Q6011" s="17" t="s">
        <v>6659</v>
      </c>
      <c r="R6011" s="17" t="s">
        <v>6153</v>
      </c>
      <c r="S6011" s="17"/>
      <c r="T6011" s="17"/>
      <c r="U6011" s="17"/>
    </row>
    <row r="6012" spans="17:21" x14ac:dyDescent="0.25">
      <c r="Q6012" s="17" t="s">
        <v>6660</v>
      </c>
      <c r="R6012" s="17" t="s">
        <v>6153</v>
      </c>
      <c r="S6012" s="17"/>
      <c r="T6012" s="17"/>
      <c r="U6012" s="17"/>
    </row>
    <row r="6013" spans="17:21" x14ac:dyDescent="0.25">
      <c r="Q6013" s="17" t="s">
        <v>6661</v>
      </c>
      <c r="R6013" s="17" t="s">
        <v>6153</v>
      </c>
      <c r="S6013" s="17"/>
      <c r="T6013" s="17"/>
      <c r="U6013" s="17"/>
    </row>
    <row r="6014" spans="17:21" x14ac:dyDescent="0.25">
      <c r="Q6014" s="17" t="s">
        <v>6662</v>
      </c>
      <c r="R6014" s="17" t="s">
        <v>6153</v>
      </c>
      <c r="S6014" s="17"/>
      <c r="T6014" s="17"/>
      <c r="U6014" s="17"/>
    </row>
    <row r="6015" spans="17:21" x14ac:dyDescent="0.25">
      <c r="Q6015" s="17" t="s">
        <v>6663</v>
      </c>
      <c r="R6015" s="17" t="s">
        <v>6153</v>
      </c>
      <c r="S6015" s="17"/>
      <c r="T6015" s="17"/>
      <c r="U6015" s="17"/>
    </row>
    <row r="6016" spans="17:21" x14ac:dyDescent="0.25">
      <c r="Q6016" s="17" t="s">
        <v>6664</v>
      </c>
      <c r="R6016" s="17" t="s">
        <v>6153</v>
      </c>
      <c r="S6016" s="17"/>
      <c r="T6016" s="17"/>
      <c r="U6016" s="17"/>
    </row>
    <row r="6017" spans="17:21" x14ac:dyDescent="0.25">
      <c r="Q6017" s="17" t="s">
        <v>6665</v>
      </c>
      <c r="R6017" s="17" t="s">
        <v>6153</v>
      </c>
      <c r="S6017" s="17"/>
      <c r="T6017" s="17"/>
      <c r="U6017" s="17"/>
    </row>
    <row r="6018" spans="17:21" x14ac:dyDescent="0.25">
      <c r="Q6018" s="17" t="s">
        <v>6666</v>
      </c>
      <c r="R6018" s="17" t="s">
        <v>6153</v>
      </c>
      <c r="S6018" s="17"/>
      <c r="T6018" s="17"/>
      <c r="U6018" s="17"/>
    </row>
    <row r="6019" spans="17:21" x14ac:dyDescent="0.25">
      <c r="Q6019" s="17" t="s">
        <v>6667</v>
      </c>
      <c r="R6019" s="17" t="s">
        <v>6153</v>
      </c>
      <c r="S6019" s="17"/>
      <c r="T6019" s="17"/>
      <c r="U6019" s="17"/>
    </row>
    <row r="6020" spans="17:21" x14ac:dyDescent="0.25">
      <c r="Q6020" s="17" t="s">
        <v>6668</v>
      </c>
      <c r="R6020" s="17" t="s">
        <v>6153</v>
      </c>
      <c r="S6020" s="17"/>
      <c r="T6020" s="17"/>
      <c r="U6020" s="17"/>
    </row>
    <row r="6021" spans="17:21" x14ac:dyDescent="0.25">
      <c r="Q6021" s="17" t="s">
        <v>6669</v>
      </c>
      <c r="R6021" s="17" t="s">
        <v>6153</v>
      </c>
      <c r="S6021" s="17"/>
      <c r="T6021" s="17"/>
      <c r="U6021" s="17"/>
    </row>
    <row r="6022" spans="17:21" x14ac:dyDescent="0.25">
      <c r="Q6022" s="17" t="s">
        <v>6670</v>
      </c>
      <c r="R6022" s="17" t="s">
        <v>6153</v>
      </c>
      <c r="S6022" s="17"/>
      <c r="T6022" s="17"/>
      <c r="U6022" s="17"/>
    </row>
    <row r="6023" spans="17:21" x14ac:dyDescent="0.25">
      <c r="Q6023" s="17" t="s">
        <v>6671</v>
      </c>
      <c r="R6023" s="17" t="s">
        <v>6153</v>
      </c>
      <c r="S6023" s="17"/>
      <c r="T6023" s="17"/>
      <c r="U6023" s="17"/>
    </row>
    <row r="6024" spans="17:21" x14ac:dyDescent="0.25">
      <c r="Q6024" s="17" t="s">
        <v>6672</v>
      </c>
      <c r="R6024" s="17" t="s">
        <v>6153</v>
      </c>
      <c r="S6024" s="17"/>
      <c r="T6024" s="17"/>
      <c r="U6024" s="17"/>
    </row>
    <row r="6025" spans="17:21" x14ac:dyDescent="0.25">
      <c r="Q6025" s="17" t="s">
        <v>6673</v>
      </c>
      <c r="R6025" s="17" t="s">
        <v>213</v>
      </c>
      <c r="S6025" s="17"/>
      <c r="T6025" s="17"/>
      <c r="U6025" s="17"/>
    </row>
    <row r="6026" spans="17:21" x14ac:dyDescent="0.25">
      <c r="Q6026" s="17" t="s">
        <v>452</v>
      </c>
      <c r="R6026" s="17" t="s">
        <v>213</v>
      </c>
      <c r="S6026" s="17"/>
      <c r="T6026" s="17"/>
      <c r="U6026" s="17"/>
    </row>
    <row r="6027" spans="17:21" x14ac:dyDescent="0.25">
      <c r="Q6027" s="17" t="s">
        <v>593</v>
      </c>
      <c r="R6027" s="17" t="s">
        <v>213</v>
      </c>
      <c r="S6027" s="17"/>
      <c r="T6027" s="17"/>
      <c r="U6027" s="17"/>
    </row>
    <row r="6028" spans="17:21" x14ac:dyDescent="0.25">
      <c r="Q6028" s="17" t="s">
        <v>6674</v>
      </c>
      <c r="R6028" s="17" t="s">
        <v>213</v>
      </c>
      <c r="S6028" s="17"/>
      <c r="T6028" s="17"/>
      <c r="U6028" s="17"/>
    </row>
    <row r="6029" spans="17:21" x14ac:dyDescent="0.25">
      <c r="Q6029" s="17" t="s">
        <v>383</v>
      </c>
      <c r="R6029" s="17" t="s">
        <v>213</v>
      </c>
      <c r="S6029" s="17"/>
      <c r="T6029" s="17"/>
      <c r="U6029" s="17"/>
    </row>
    <row r="6030" spans="17:21" x14ac:dyDescent="0.25">
      <c r="Q6030" s="17" t="s">
        <v>6675</v>
      </c>
      <c r="R6030" s="17" t="s">
        <v>213</v>
      </c>
      <c r="S6030" s="17"/>
      <c r="T6030" s="17"/>
      <c r="U6030" s="17"/>
    </row>
    <row r="6031" spans="17:21" x14ac:dyDescent="0.25">
      <c r="Q6031" s="17" t="s">
        <v>6676</v>
      </c>
      <c r="R6031" s="17" t="s">
        <v>1369</v>
      </c>
      <c r="S6031" s="17"/>
      <c r="T6031" s="17"/>
      <c r="U6031" s="17"/>
    </row>
    <row r="6032" spans="17:21" x14ac:dyDescent="0.25">
      <c r="Q6032" s="17" t="s">
        <v>6677</v>
      </c>
      <c r="R6032" s="17" t="s">
        <v>1369</v>
      </c>
      <c r="S6032" s="17"/>
      <c r="T6032" s="17"/>
      <c r="U6032" s="17"/>
    </row>
    <row r="6033" spans="17:21" x14ac:dyDescent="0.25">
      <c r="Q6033" s="17" t="s">
        <v>6678</v>
      </c>
      <c r="R6033" s="17" t="s">
        <v>1369</v>
      </c>
      <c r="S6033" s="17"/>
      <c r="T6033" s="17"/>
      <c r="U6033" s="17"/>
    </row>
    <row r="6034" spans="17:21" x14ac:dyDescent="0.25">
      <c r="Q6034" s="17" t="s">
        <v>6679</v>
      </c>
      <c r="R6034" s="17" t="s">
        <v>1369</v>
      </c>
      <c r="S6034" s="17"/>
      <c r="T6034" s="17"/>
      <c r="U6034" s="17"/>
    </row>
    <row r="6035" spans="17:21" x14ac:dyDescent="0.25">
      <c r="Q6035" s="17" t="s">
        <v>6680</v>
      </c>
      <c r="R6035" s="17" t="s">
        <v>1369</v>
      </c>
      <c r="S6035" s="17"/>
      <c r="T6035" s="17"/>
      <c r="U6035" s="17"/>
    </row>
    <row r="6036" spans="17:21" x14ac:dyDescent="0.25">
      <c r="Q6036" s="17" t="s">
        <v>6681</v>
      </c>
      <c r="R6036" s="17" t="s">
        <v>1369</v>
      </c>
      <c r="S6036" s="17"/>
      <c r="T6036" s="17"/>
      <c r="U6036" s="17"/>
    </row>
    <row r="6037" spans="17:21" x14ac:dyDescent="0.25">
      <c r="Q6037" s="17" t="s">
        <v>6682</v>
      </c>
      <c r="R6037" s="17" t="s">
        <v>1369</v>
      </c>
      <c r="S6037" s="17"/>
      <c r="T6037" s="17"/>
      <c r="U6037" s="17"/>
    </row>
    <row r="6038" spans="17:21" x14ac:dyDescent="0.25">
      <c r="Q6038" s="17" t="s">
        <v>6683</v>
      </c>
      <c r="R6038" s="17" t="s">
        <v>1369</v>
      </c>
      <c r="S6038" s="17"/>
      <c r="T6038" s="17"/>
      <c r="U6038" s="17"/>
    </row>
    <row r="6039" spans="17:21" x14ac:dyDescent="0.25">
      <c r="Q6039" s="17" t="s">
        <v>6684</v>
      </c>
      <c r="R6039" s="17" t="s">
        <v>1369</v>
      </c>
      <c r="S6039" s="17"/>
      <c r="T6039" s="17"/>
      <c r="U6039" s="17"/>
    </row>
    <row r="6040" spans="17:21" x14ac:dyDescent="0.25">
      <c r="Q6040" s="17" t="s">
        <v>6685</v>
      </c>
      <c r="R6040" s="17" t="s">
        <v>1369</v>
      </c>
      <c r="S6040" s="17"/>
      <c r="T6040" s="17"/>
      <c r="U6040" s="17"/>
    </row>
    <row r="6041" spans="17:21" x14ac:dyDescent="0.25">
      <c r="Q6041" s="17" t="s">
        <v>6686</v>
      </c>
      <c r="R6041" s="17" t="s">
        <v>1369</v>
      </c>
      <c r="S6041" s="17"/>
      <c r="T6041" s="17"/>
      <c r="U6041" s="17"/>
    </row>
    <row r="6042" spans="17:21" x14ac:dyDescent="0.25">
      <c r="Q6042" s="17" t="s">
        <v>6687</v>
      </c>
      <c r="R6042" s="17" t="s">
        <v>203</v>
      </c>
      <c r="S6042" s="17"/>
      <c r="T6042" s="17"/>
      <c r="U6042" s="17"/>
    </row>
    <row r="6043" spans="17:21" x14ac:dyDescent="0.25">
      <c r="Q6043" s="17" t="s">
        <v>1331</v>
      </c>
      <c r="R6043" s="17" t="s">
        <v>203</v>
      </c>
      <c r="S6043" s="17"/>
      <c r="T6043" s="17"/>
      <c r="U6043" s="17"/>
    </row>
    <row r="6044" spans="17:21" x14ac:dyDescent="0.25">
      <c r="Q6044" s="17" t="s">
        <v>6688</v>
      </c>
      <c r="R6044" s="17" t="s">
        <v>6417</v>
      </c>
      <c r="S6044" s="17"/>
      <c r="T6044" s="17"/>
      <c r="U6044" s="17"/>
    </row>
    <row r="6045" spans="17:21" x14ac:dyDescent="0.25">
      <c r="Q6045" s="17" t="s">
        <v>6689</v>
      </c>
      <c r="R6045" s="17" t="s">
        <v>6417</v>
      </c>
      <c r="S6045" s="17"/>
      <c r="T6045" s="17"/>
      <c r="U6045" s="17"/>
    </row>
    <row r="6046" spans="17:21" x14ac:dyDescent="0.25">
      <c r="Q6046" s="17" t="s">
        <v>6690</v>
      </c>
      <c r="R6046" s="17" t="s">
        <v>1369</v>
      </c>
      <c r="S6046" s="17"/>
      <c r="T6046" s="17"/>
      <c r="U6046" s="17"/>
    </row>
    <row r="6047" spans="17:21" x14ac:dyDescent="0.25">
      <c r="Q6047" s="17" t="s">
        <v>6691</v>
      </c>
      <c r="R6047" s="17" t="s">
        <v>6417</v>
      </c>
      <c r="S6047" s="17"/>
      <c r="T6047" s="17"/>
      <c r="U6047" s="17"/>
    </row>
    <row r="6048" spans="17:21" x14ac:dyDescent="0.25">
      <c r="Q6048" s="17" t="s">
        <v>6692</v>
      </c>
      <c r="R6048" s="17" t="s">
        <v>1369</v>
      </c>
      <c r="S6048" s="17"/>
      <c r="T6048" s="17"/>
      <c r="U6048" s="17"/>
    </row>
    <row r="6049" spans="17:21" x14ac:dyDescent="0.25">
      <c r="Q6049" s="17" t="s">
        <v>6693</v>
      </c>
      <c r="R6049" s="17" t="s">
        <v>1369</v>
      </c>
      <c r="S6049" s="17"/>
      <c r="T6049" s="17"/>
      <c r="U6049" s="17"/>
    </row>
    <row r="6050" spans="17:21" x14ac:dyDescent="0.25">
      <c r="Q6050" s="17" t="s">
        <v>6694</v>
      </c>
      <c r="R6050" s="17" t="s">
        <v>1369</v>
      </c>
      <c r="S6050" s="17"/>
      <c r="T6050" s="17"/>
      <c r="U6050" s="17"/>
    </row>
    <row r="6051" spans="17:21" x14ac:dyDescent="0.25">
      <c r="Q6051" s="17" t="s">
        <v>6695</v>
      </c>
      <c r="R6051" s="17" t="s">
        <v>1369</v>
      </c>
      <c r="S6051" s="17"/>
      <c r="T6051" s="17"/>
      <c r="U6051" s="17"/>
    </row>
    <row r="6052" spans="17:21" x14ac:dyDescent="0.25">
      <c r="Q6052" s="17" t="s">
        <v>6696</v>
      </c>
      <c r="R6052" s="17" t="s">
        <v>1369</v>
      </c>
      <c r="S6052" s="17"/>
      <c r="T6052" s="17"/>
      <c r="U6052" s="17"/>
    </row>
    <row r="6053" spans="17:21" x14ac:dyDescent="0.25">
      <c r="Q6053" s="17" t="s">
        <v>6697</v>
      </c>
      <c r="R6053" s="17" t="s">
        <v>1369</v>
      </c>
      <c r="S6053" s="17"/>
      <c r="T6053" s="17"/>
      <c r="U6053" s="17"/>
    </row>
    <row r="6054" spans="17:21" x14ac:dyDescent="0.25">
      <c r="Q6054" s="17" t="s">
        <v>6698</v>
      </c>
      <c r="R6054" s="17" t="s">
        <v>1369</v>
      </c>
      <c r="S6054" s="17"/>
      <c r="T6054" s="17"/>
      <c r="U6054" s="17"/>
    </row>
    <row r="6055" spans="17:21" x14ac:dyDescent="0.25">
      <c r="Q6055" s="17" t="s">
        <v>6699</v>
      </c>
      <c r="R6055" s="17" t="s">
        <v>1369</v>
      </c>
      <c r="S6055" s="17"/>
      <c r="T6055" s="17"/>
      <c r="U6055" s="17"/>
    </row>
    <row r="6056" spans="17:21" x14ac:dyDescent="0.25">
      <c r="Q6056" s="17" t="s">
        <v>6700</v>
      </c>
      <c r="R6056" s="17" t="s">
        <v>6417</v>
      </c>
      <c r="S6056" s="17"/>
      <c r="T6056" s="17"/>
      <c r="U6056" s="17"/>
    </row>
    <row r="6057" spans="17:21" x14ac:dyDescent="0.25">
      <c r="Q6057" s="17" t="s">
        <v>6701</v>
      </c>
      <c r="R6057" s="17" t="s">
        <v>6417</v>
      </c>
      <c r="S6057" s="17"/>
      <c r="T6057" s="17"/>
      <c r="U6057" s="17"/>
    </row>
    <row r="6058" spans="17:21" x14ac:dyDescent="0.25">
      <c r="Q6058" s="17" t="s">
        <v>6702</v>
      </c>
      <c r="R6058" s="17" t="s">
        <v>6417</v>
      </c>
      <c r="S6058" s="17"/>
      <c r="T6058" s="17"/>
      <c r="U6058" s="17"/>
    </row>
    <row r="6059" spans="17:21" x14ac:dyDescent="0.25">
      <c r="Q6059" s="17" t="s">
        <v>6703</v>
      </c>
      <c r="R6059" s="17" t="s">
        <v>6417</v>
      </c>
      <c r="S6059" s="17"/>
      <c r="T6059" s="17"/>
      <c r="U6059" s="17"/>
    </row>
    <row r="6060" spans="17:21" x14ac:dyDescent="0.25">
      <c r="Q6060" s="17" t="s">
        <v>6704</v>
      </c>
      <c r="R6060" s="17" t="s">
        <v>6417</v>
      </c>
      <c r="S6060" s="17"/>
      <c r="T6060" s="17"/>
      <c r="U6060" s="17"/>
    </row>
    <row r="6061" spans="17:21" x14ac:dyDescent="0.25">
      <c r="Q6061" s="17" t="s">
        <v>6705</v>
      </c>
      <c r="R6061" s="17" t="s">
        <v>6417</v>
      </c>
      <c r="S6061" s="17"/>
      <c r="T6061" s="17"/>
      <c r="U6061" s="17"/>
    </row>
    <row r="6062" spans="17:21" x14ac:dyDescent="0.25">
      <c r="Q6062" s="17" t="s">
        <v>6706</v>
      </c>
      <c r="R6062" s="17" t="s">
        <v>6417</v>
      </c>
      <c r="S6062" s="17"/>
      <c r="T6062" s="17"/>
      <c r="U6062" s="17"/>
    </row>
    <row r="6063" spans="17:21" x14ac:dyDescent="0.25">
      <c r="Q6063" s="17" t="s">
        <v>6707</v>
      </c>
      <c r="R6063" s="17" t="s">
        <v>6417</v>
      </c>
      <c r="S6063" s="17"/>
      <c r="T6063" s="17"/>
      <c r="U6063" s="17"/>
    </row>
    <row r="6064" spans="17:21" x14ac:dyDescent="0.25">
      <c r="Q6064" s="17" t="s">
        <v>6708</v>
      </c>
      <c r="R6064" s="17" t="s">
        <v>6417</v>
      </c>
      <c r="S6064" s="17"/>
      <c r="T6064" s="17"/>
      <c r="U6064" s="17"/>
    </row>
    <row r="6065" spans="17:21" x14ac:dyDescent="0.25">
      <c r="Q6065" s="17" t="s">
        <v>6709</v>
      </c>
      <c r="R6065" s="17" t="s">
        <v>6417</v>
      </c>
      <c r="S6065" s="17"/>
      <c r="T6065" s="17"/>
      <c r="U6065" s="17"/>
    </row>
    <row r="6066" spans="17:21" x14ac:dyDescent="0.25">
      <c r="Q6066" s="17" t="s">
        <v>6710</v>
      </c>
      <c r="R6066" s="17" t="s">
        <v>6417</v>
      </c>
      <c r="S6066" s="17"/>
      <c r="T6066" s="17"/>
      <c r="U6066" s="17"/>
    </row>
    <row r="6067" spans="17:21" x14ac:dyDescent="0.25">
      <c r="Q6067" s="17" t="s">
        <v>6711</v>
      </c>
      <c r="R6067" s="17" t="s">
        <v>6417</v>
      </c>
      <c r="S6067" s="17"/>
      <c r="T6067" s="17"/>
      <c r="U6067" s="17"/>
    </row>
    <row r="6068" spans="17:21" x14ac:dyDescent="0.25">
      <c r="Q6068" s="17" t="s">
        <v>6712</v>
      </c>
      <c r="R6068" s="17" t="s">
        <v>6417</v>
      </c>
      <c r="S6068" s="17"/>
      <c r="T6068" s="17"/>
      <c r="U6068" s="17"/>
    </row>
    <row r="6069" spans="17:21" x14ac:dyDescent="0.25">
      <c r="Q6069" s="17" t="s">
        <v>6713</v>
      </c>
      <c r="R6069" s="17" t="s">
        <v>6417</v>
      </c>
      <c r="S6069" s="17"/>
      <c r="T6069" s="17"/>
      <c r="U6069" s="17"/>
    </row>
    <row r="6070" spans="17:21" x14ac:dyDescent="0.25">
      <c r="Q6070" s="17" t="s">
        <v>6714</v>
      </c>
      <c r="R6070" s="17" t="s">
        <v>6417</v>
      </c>
      <c r="S6070" s="17"/>
      <c r="T6070" s="17"/>
      <c r="U6070" s="17"/>
    </row>
    <row r="6071" spans="17:21" x14ac:dyDescent="0.25">
      <c r="Q6071" s="17" t="s">
        <v>6715</v>
      </c>
      <c r="R6071" s="17" t="s">
        <v>6417</v>
      </c>
      <c r="S6071" s="17"/>
      <c r="T6071" s="17"/>
      <c r="U6071" s="17"/>
    </row>
    <row r="6072" spans="17:21" x14ac:dyDescent="0.25">
      <c r="Q6072" s="17" t="s">
        <v>6716</v>
      </c>
      <c r="R6072" s="17" t="s">
        <v>6417</v>
      </c>
      <c r="S6072" s="17"/>
      <c r="T6072" s="17"/>
      <c r="U6072" s="17"/>
    </row>
    <row r="6073" spans="17:21" x14ac:dyDescent="0.25">
      <c r="Q6073" s="17" t="s">
        <v>6717</v>
      </c>
      <c r="R6073" s="17" t="s">
        <v>6153</v>
      </c>
      <c r="S6073" s="17"/>
      <c r="T6073" s="17"/>
      <c r="U6073" s="17"/>
    </row>
    <row r="6074" spans="17:21" x14ac:dyDescent="0.25">
      <c r="Q6074" s="17" t="s">
        <v>6718</v>
      </c>
      <c r="R6074" s="17" t="s">
        <v>6153</v>
      </c>
      <c r="S6074" s="17"/>
      <c r="T6074" s="17"/>
      <c r="U6074" s="17"/>
    </row>
    <row r="6075" spans="17:21" x14ac:dyDescent="0.25">
      <c r="Q6075" s="17" t="s">
        <v>6719</v>
      </c>
      <c r="R6075" s="17" t="s">
        <v>6153</v>
      </c>
      <c r="S6075" s="17"/>
      <c r="T6075" s="17"/>
      <c r="U6075" s="17"/>
    </row>
    <row r="6076" spans="17:21" x14ac:dyDescent="0.25">
      <c r="Q6076" s="17" t="s">
        <v>6720</v>
      </c>
      <c r="R6076" s="17" t="s">
        <v>6153</v>
      </c>
      <c r="S6076" s="17"/>
      <c r="T6076" s="17"/>
      <c r="U6076" s="17"/>
    </row>
    <row r="6077" spans="17:21" x14ac:dyDescent="0.25">
      <c r="Q6077" s="17" t="s">
        <v>6721</v>
      </c>
      <c r="R6077" s="17" t="s">
        <v>6417</v>
      </c>
      <c r="S6077" s="17"/>
      <c r="T6077" s="17"/>
      <c r="U6077" s="17"/>
    </row>
    <row r="6078" spans="17:21" x14ac:dyDescent="0.25">
      <c r="Q6078" s="17" t="s">
        <v>6722</v>
      </c>
      <c r="R6078" s="17" t="s">
        <v>6417</v>
      </c>
      <c r="S6078" s="17"/>
      <c r="T6078" s="17"/>
      <c r="U6078" s="17"/>
    </row>
    <row r="6079" spans="17:21" x14ac:dyDescent="0.25">
      <c r="Q6079" s="17" t="s">
        <v>6723</v>
      </c>
      <c r="R6079" s="17" t="s">
        <v>6417</v>
      </c>
      <c r="S6079" s="17"/>
      <c r="T6079" s="17"/>
      <c r="U6079" s="17"/>
    </row>
    <row r="6080" spans="17:21" x14ac:dyDescent="0.25">
      <c r="Q6080" s="17" t="s">
        <v>6724</v>
      </c>
      <c r="R6080" s="17" t="s">
        <v>6417</v>
      </c>
      <c r="S6080" s="17"/>
      <c r="T6080" s="17"/>
      <c r="U6080" s="17"/>
    </row>
    <row r="6081" spans="17:21" x14ac:dyDescent="0.25">
      <c r="Q6081" s="17" t="s">
        <v>6725</v>
      </c>
      <c r="R6081" s="17" t="s">
        <v>6417</v>
      </c>
      <c r="S6081" s="17"/>
      <c r="T6081" s="17"/>
      <c r="U6081" s="17"/>
    </row>
    <row r="6082" spans="17:21" x14ac:dyDescent="0.25">
      <c r="Q6082" s="17" t="s">
        <v>6726</v>
      </c>
      <c r="R6082" s="17" t="s">
        <v>6417</v>
      </c>
      <c r="S6082" s="17"/>
      <c r="T6082" s="17"/>
      <c r="U6082" s="17"/>
    </row>
    <row r="6083" spans="17:21" x14ac:dyDescent="0.25">
      <c r="Q6083" s="17" t="s">
        <v>6727</v>
      </c>
      <c r="R6083" s="17" t="s">
        <v>6417</v>
      </c>
      <c r="S6083" s="17"/>
      <c r="T6083" s="17"/>
      <c r="U6083" s="17"/>
    </row>
    <row r="6084" spans="17:21" x14ac:dyDescent="0.25">
      <c r="Q6084" s="17" t="s">
        <v>6728</v>
      </c>
      <c r="R6084" s="17" t="s">
        <v>6417</v>
      </c>
      <c r="S6084" s="17"/>
      <c r="T6084" s="17"/>
      <c r="U6084" s="17"/>
    </row>
    <row r="6085" spans="17:21" x14ac:dyDescent="0.25">
      <c r="Q6085" s="17" t="s">
        <v>6729</v>
      </c>
      <c r="R6085" s="17" t="s">
        <v>6417</v>
      </c>
      <c r="S6085" s="17"/>
      <c r="T6085" s="17"/>
      <c r="U6085" s="17"/>
    </row>
    <row r="6086" spans="17:21" x14ac:dyDescent="0.25">
      <c r="Q6086" s="17" t="s">
        <v>6730</v>
      </c>
      <c r="R6086" s="17" t="s">
        <v>6417</v>
      </c>
      <c r="S6086" s="17"/>
      <c r="T6086" s="17"/>
      <c r="U6086" s="17"/>
    </row>
    <row r="6087" spans="17:21" x14ac:dyDescent="0.25">
      <c r="Q6087" s="17" t="s">
        <v>6731</v>
      </c>
      <c r="R6087" s="17" t="s">
        <v>6417</v>
      </c>
      <c r="S6087" s="17"/>
      <c r="T6087" s="17"/>
      <c r="U6087" s="17"/>
    </row>
    <row r="6088" spans="17:21" x14ac:dyDescent="0.25">
      <c r="Q6088" s="17" t="s">
        <v>6732</v>
      </c>
      <c r="R6088" s="17" t="s">
        <v>6417</v>
      </c>
      <c r="S6088" s="17"/>
      <c r="T6088" s="17"/>
      <c r="U6088" s="17"/>
    </row>
    <row r="6089" spans="17:21" x14ac:dyDescent="0.25">
      <c r="Q6089" s="17" t="s">
        <v>6733</v>
      </c>
      <c r="R6089" s="17" t="s">
        <v>6417</v>
      </c>
      <c r="S6089" s="17"/>
      <c r="T6089" s="17"/>
      <c r="U6089" s="17"/>
    </row>
    <row r="6090" spans="17:21" x14ac:dyDescent="0.25">
      <c r="Q6090" s="17" t="s">
        <v>6734</v>
      </c>
      <c r="R6090" s="17" t="s">
        <v>6417</v>
      </c>
      <c r="S6090" s="17"/>
      <c r="T6090" s="17"/>
      <c r="U6090" s="17"/>
    </row>
    <row r="6091" spans="17:21" x14ac:dyDescent="0.25">
      <c r="Q6091" s="17" t="s">
        <v>6735</v>
      </c>
      <c r="R6091" s="17" t="s">
        <v>6417</v>
      </c>
      <c r="S6091" s="17"/>
      <c r="T6091" s="17"/>
      <c r="U6091" s="17"/>
    </row>
    <row r="6092" spans="17:21" x14ac:dyDescent="0.25">
      <c r="Q6092" s="17" t="s">
        <v>6736</v>
      </c>
      <c r="R6092" s="17" t="s">
        <v>6417</v>
      </c>
      <c r="S6092" s="17"/>
      <c r="T6092" s="17"/>
      <c r="U6092" s="17"/>
    </row>
    <row r="6093" spans="17:21" x14ac:dyDescent="0.25">
      <c r="Q6093" s="17" t="s">
        <v>6737</v>
      </c>
      <c r="R6093" s="17" t="s">
        <v>6417</v>
      </c>
      <c r="S6093" s="17"/>
      <c r="T6093" s="17"/>
      <c r="U6093" s="17"/>
    </row>
    <row r="6094" spans="17:21" x14ac:dyDescent="0.25">
      <c r="Q6094" s="17" t="s">
        <v>6738</v>
      </c>
      <c r="R6094" s="17" t="s">
        <v>6417</v>
      </c>
      <c r="S6094" s="17"/>
      <c r="T6094" s="17"/>
      <c r="U6094" s="17"/>
    </row>
    <row r="6095" spans="17:21" x14ac:dyDescent="0.25">
      <c r="Q6095" s="17" t="s">
        <v>6739</v>
      </c>
      <c r="R6095" s="17" t="s">
        <v>6417</v>
      </c>
      <c r="S6095" s="17"/>
      <c r="T6095" s="17"/>
      <c r="U6095" s="17"/>
    </row>
    <row r="6096" spans="17:21" x14ac:dyDescent="0.25">
      <c r="Q6096" s="17" t="s">
        <v>6740</v>
      </c>
      <c r="R6096" s="17" t="s">
        <v>6417</v>
      </c>
      <c r="S6096" s="17"/>
      <c r="T6096" s="17"/>
      <c r="U6096" s="17"/>
    </row>
    <row r="6097" spans="17:21" x14ac:dyDescent="0.25">
      <c r="Q6097" s="17" t="s">
        <v>6741</v>
      </c>
      <c r="R6097" s="17" t="s">
        <v>6417</v>
      </c>
      <c r="S6097" s="17"/>
      <c r="T6097" s="17"/>
      <c r="U6097" s="17"/>
    </row>
    <row r="6098" spans="17:21" x14ac:dyDescent="0.25">
      <c r="Q6098" s="17" t="s">
        <v>6742</v>
      </c>
      <c r="R6098" s="17" t="s">
        <v>6417</v>
      </c>
      <c r="S6098" s="17"/>
      <c r="T6098" s="17"/>
      <c r="U6098" s="17"/>
    </row>
    <row r="6099" spans="17:21" x14ac:dyDescent="0.25">
      <c r="Q6099" s="17" t="s">
        <v>6743</v>
      </c>
      <c r="R6099" s="17" t="s">
        <v>6417</v>
      </c>
      <c r="S6099" s="17"/>
      <c r="T6099" s="17"/>
      <c r="U6099" s="17"/>
    </row>
    <row r="6100" spans="17:21" x14ac:dyDescent="0.25">
      <c r="Q6100" s="17" t="s">
        <v>6744</v>
      </c>
      <c r="R6100" s="17" t="s">
        <v>6417</v>
      </c>
      <c r="S6100" s="17"/>
      <c r="T6100" s="17"/>
      <c r="U6100" s="17"/>
    </row>
    <row r="6101" spans="17:21" x14ac:dyDescent="0.25">
      <c r="Q6101" s="17" t="s">
        <v>6745</v>
      </c>
      <c r="R6101" s="17" t="s">
        <v>6417</v>
      </c>
      <c r="S6101" s="17"/>
      <c r="T6101" s="17"/>
      <c r="U6101" s="17"/>
    </row>
    <row r="6102" spans="17:21" x14ac:dyDescent="0.25">
      <c r="Q6102" s="17" t="s">
        <v>6746</v>
      </c>
      <c r="R6102" s="17" t="s">
        <v>6417</v>
      </c>
      <c r="S6102" s="17"/>
      <c r="T6102" s="17"/>
      <c r="U6102" s="17"/>
    </row>
    <row r="6103" spans="17:21" x14ac:dyDescent="0.25">
      <c r="Q6103" s="17" t="s">
        <v>6747</v>
      </c>
      <c r="R6103" s="17" t="s">
        <v>6417</v>
      </c>
      <c r="S6103" s="17"/>
      <c r="T6103" s="17"/>
      <c r="U6103" s="17"/>
    </row>
    <row r="6104" spans="17:21" x14ac:dyDescent="0.25">
      <c r="Q6104" s="17" t="s">
        <v>6748</v>
      </c>
      <c r="R6104" s="17" t="s">
        <v>6417</v>
      </c>
      <c r="S6104" s="17"/>
      <c r="T6104" s="17"/>
      <c r="U6104" s="17"/>
    </row>
    <row r="6105" spans="17:21" x14ac:dyDescent="0.25">
      <c r="Q6105" s="17" t="s">
        <v>6749</v>
      </c>
      <c r="R6105" s="17" t="s">
        <v>6417</v>
      </c>
      <c r="S6105" s="17"/>
      <c r="T6105" s="17"/>
      <c r="U6105" s="17"/>
    </row>
    <row r="6106" spans="17:21" x14ac:dyDescent="0.25">
      <c r="Q6106" s="17" t="s">
        <v>6750</v>
      </c>
      <c r="R6106" s="17" t="s">
        <v>6417</v>
      </c>
      <c r="S6106" s="17"/>
      <c r="T6106" s="17"/>
      <c r="U6106" s="17"/>
    </row>
    <row r="6107" spans="17:21" x14ac:dyDescent="0.25">
      <c r="Q6107" s="17" t="s">
        <v>6751</v>
      </c>
      <c r="R6107" s="17" t="s">
        <v>6417</v>
      </c>
      <c r="S6107" s="17"/>
      <c r="T6107" s="17"/>
      <c r="U6107" s="17"/>
    </row>
    <row r="6108" spans="17:21" x14ac:dyDescent="0.25">
      <c r="Q6108" s="17" t="s">
        <v>6752</v>
      </c>
      <c r="R6108" s="17" t="s">
        <v>1369</v>
      </c>
      <c r="S6108" s="17"/>
      <c r="T6108" s="17"/>
      <c r="U6108" s="17"/>
    </row>
    <row r="6109" spans="17:21" x14ac:dyDescent="0.25">
      <c r="Q6109" s="17" t="s">
        <v>6753</v>
      </c>
      <c r="R6109" s="17" t="s">
        <v>1369</v>
      </c>
      <c r="S6109" s="17"/>
      <c r="T6109" s="17"/>
      <c r="U6109" s="17"/>
    </row>
    <row r="6110" spans="17:21" x14ac:dyDescent="0.25">
      <c r="Q6110" s="17" t="s">
        <v>6754</v>
      </c>
      <c r="R6110" s="17" t="s">
        <v>1369</v>
      </c>
      <c r="S6110" s="17"/>
      <c r="T6110" s="17"/>
      <c r="U6110" s="17"/>
    </row>
    <row r="6111" spans="17:21" x14ac:dyDescent="0.25">
      <c r="Q6111" s="17" t="s">
        <v>6755</v>
      </c>
      <c r="R6111" s="17" t="s">
        <v>1369</v>
      </c>
      <c r="S6111" s="17"/>
      <c r="T6111" s="17"/>
      <c r="U6111" s="17"/>
    </row>
    <row r="6112" spans="17:21" x14ac:dyDescent="0.25">
      <c r="Q6112" s="17" t="s">
        <v>6756</v>
      </c>
      <c r="R6112" s="17" t="s">
        <v>1369</v>
      </c>
      <c r="S6112" s="17"/>
      <c r="T6112" s="17"/>
      <c r="U6112" s="17"/>
    </row>
    <row r="6113" spans="17:21" x14ac:dyDescent="0.25">
      <c r="Q6113" s="17" t="s">
        <v>6757</v>
      </c>
      <c r="R6113" s="17" t="s">
        <v>1369</v>
      </c>
      <c r="S6113" s="17"/>
      <c r="T6113" s="17"/>
      <c r="U6113" s="17"/>
    </row>
    <row r="6114" spans="17:21" x14ac:dyDescent="0.25">
      <c r="Q6114" s="17" t="s">
        <v>6758</v>
      </c>
      <c r="R6114" s="17" t="s">
        <v>1369</v>
      </c>
      <c r="S6114" s="17"/>
      <c r="T6114" s="17"/>
      <c r="U6114" s="17"/>
    </row>
    <row r="6115" spans="17:21" x14ac:dyDescent="0.25">
      <c r="Q6115" s="17" t="s">
        <v>6759</v>
      </c>
      <c r="R6115" s="17" t="s">
        <v>1369</v>
      </c>
      <c r="S6115" s="17"/>
      <c r="T6115" s="17"/>
      <c r="U6115" s="17"/>
    </row>
    <row r="6116" spans="17:21" x14ac:dyDescent="0.25">
      <c r="Q6116" s="17" t="s">
        <v>6760</v>
      </c>
      <c r="R6116" s="17" t="s">
        <v>6153</v>
      </c>
      <c r="S6116" s="17"/>
      <c r="T6116" s="17"/>
      <c r="U6116" s="17"/>
    </row>
    <row r="6117" spans="17:21" x14ac:dyDescent="0.25">
      <c r="Q6117" s="17" t="s">
        <v>6761</v>
      </c>
      <c r="R6117" s="17" t="s">
        <v>213</v>
      </c>
      <c r="S6117" s="17"/>
      <c r="T6117" s="17"/>
      <c r="U6117" s="17"/>
    </row>
    <row r="6118" spans="17:21" x14ac:dyDescent="0.25">
      <c r="Q6118" s="17" t="s">
        <v>6762</v>
      </c>
      <c r="R6118" s="17" t="s">
        <v>6153</v>
      </c>
      <c r="S6118" s="17"/>
      <c r="T6118" s="17"/>
      <c r="U6118" s="17"/>
    </row>
    <row r="6119" spans="17:21" x14ac:dyDescent="0.25">
      <c r="Q6119" s="17" t="s">
        <v>6763</v>
      </c>
      <c r="R6119" s="17" t="s">
        <v>6153</v>
      </c>
      <c r="S6119" s="17"/>
      <c r="T6119" s="17"/>
      <c r="U6119" s="17"/>
    </row>
    <row r="6120" spans="17:21" x14ac:dyDescent="0.25">
      <c r="Q6120" s="17" t="s">
        <v>6764</v>
      </c>
      <c r="R6120" s="17" t="s">
        <v>6153</v>
      </c>
      <c r="S6120" s="17"/>
      <c r="T6120" s="17"/>
      <c r="U6120" s="17"/>
    </row>
    <row r="6121" spans="17:21" x14ac:dyDescent="0.25">
      <c r="Q6121" s="17" t="s">
        <v>6765</v>
      </c>
      <c r="R6121" s="17" t="s">
        <v>6153</v>
      </c>
      <c r="S6121" s="17"/>
      <c r="T6121" s="17"/>
      <c r="U6121" s="17"/>
    </row>
    <row r="6122" spans="17:21" x14ac:dyDescent="0.25">
      <c r="Q6122" s="17" t="s">
        <v>6766</v>
      </c>
      <c r="R6122" s="17" t="s">
        <v>6153</v>
      </c>
      <c r="S6122" s="17"/>
      <c r="T6122" s="17"/>
      <c r="U6122" s="17"/>
    </row>
    <row r="6123" spans="17:21" x14ac:dyDescent="0.25">
      <c r="Q6123" s="17" t="s">
        <v>6767</v>
      </c>
      <c r="R6123" s="17" t="s">
        <v>6153</v>
      </c>
      <c r="S6123" s="17"/>
      <c r="T6123" s="17"/>
      <c r="U6123" s="17"/>
    </row>
    <row r="6124" spans="17:21" x14ac:dyDescent="0.25">
      <c r="Q6124" s="17" t="s">
        <v>6768</v>
      </c>
      <c r="R6124" s="17" t="s">
        <v>6153</v>
      </c>
      <c r="S6124" s="17"/>
      <c r="T6124" s="17"/>
      <c r="U6124" s="17"/>
    </row>
    <row r="6125" spans="17:21" x14ac:dyDescent="0.25">
      <c r="Q6125" s="17" t="s">
        <v>6769</v>
      </c>
      <c r="R6125" s="17" t="s">
        <v>6153</v>
      </c>
      <c r="S6125" s="17"/>
      <c r="T6125" s="17"/>
      <c r="U6125" s="17"/>
    </row>
    <row r="6126" spans="17:21" x14ac:dyDescent="0.25">
      <c r="Q6126" s="17" t="s">
        <v>6770</v>
      </c>
      <c r="R6126" s="17" t="s">
        <v>6153</v>
      </c>
      <c r="S6126" s="17"/>
      <c r="T6126" s="17"/>
      <c r="U6126" s="17"/>
    </row>
    <row r="6127" spans="17:21" x14ac:dyDescent="0.25">
      <c r="Q6127" s="17" t="s">
        <v>6771</v>
      </c>
      <c r="R6127" s="17" t="s">
        <v>6153</v>
      </c>
      <c r="S6127" s="17"/>
      <c r="T6127" s="17"/>
      <c r="U6127" s="17"/>
    </row>
    <row r="6128" spans="17:21" x14ac:dyDescent="0.25">
      <c r="Q6128" s="17" t="s">
        <v>6772</v>
      </c>
      <c r="R6128" s="17" t="s">
        <v>6417</v>
      </c>
      <c r="S6128" s="17"/>
      <c r="T6128" s="17"/>
      <c r="U6128" s="17"/>
    </row>
    <row r="6129" spans="17:21" x14ac:dyDescent="0.25">
      <c r="Q6129" s="17" t="s">
        <v>6773</v>
      </c>
      <c r="R6129" s="17" t="s">
        <v>6417</v>
      </c>
      <c r="S6129" s="17"/>
      <c r="T6129" s="17"/>
      <c r="U6129" s="17"/>
    </row>
    <row r="6130" spans="17:21" x14ac:dyDescent="0.25">
      <c r="Q6130" s="17" t="s">
        <v>6774</v>
      </c>
      <c r="R6130" s="17" t="s">
        <v>6417</v>
      </c>
      <c r="S6130" s="17"/>
      <c r="T6130" s="17"/>
      <c r="U6130" s="17"/>
    </row>
    <row r="6131" spans="17:21" x14ac:dyDescent="0.25">
      <c r="Q6131" s="17" t="s">
        <v>6775</v>
      </c>
      <c r="R6131" s="17" t="s">
        <v>6417</v>
      </c>
      <c r="S6131" s="17"/>
      <c r="T6131" s="17"/>
      <c r="U6131" s="17"/>
    </row>
    <row r="6132" spans="17:21" x14ac:dyDescent="0.25">
      <c r="Q6132" s="17" t="s">
        <v>6776</v>
      </c>
      <c r="R6132" s="17" t="s">
        <v>6417</v>
      </c>
      <c r="S6132" s="17"/>
      <c r="T6132" s="17"/>
      <c r="U6132" s="17"/>
    </row>
    <row r="6133" spans="17:21" x14ac:dyDescent="0.25">
      <c r="Q6133" s="17" t="s">
        <v>6777</v>
      </c>
      <c r="R6133" s="17" t="s">
        <v>6417</v>
      </c>
      <c r="S6133" s="17"/>
      <c r="T6133" s="17"/>
      <c r="U6133" s="17"/>
    </row>
    <row r="6134" spans="17:21" x14ac:dyDescent="0.25">
      <c r="Q6134" s="17" t="s">
        <v>6778</v>
      </c>
      <c r="R6134" s="17" t="s">
        <v>6417</v>
      </c>
      <c r="S6134" s="17"/>
      <c r="T6134" s="17"/>
      <c r="U6134" s="17"/>
    </row>
    <row r="6135" spans="17:21" x14ac:dyDescent="0.25">
      <c r="Q6135" s="17" t="s">
        <v>6779</v>
      </c>
      <c r="R6135" s="17" t="s">
        <v>6417</v>
      </c>
      <c r="S6135" s="17"/>
      <c r="T6135" s="17"/>
      <c r="U6135" s="17"/>
    </row>
    <row r="6136" spans="17:21" x14ac:dyDescent="0.25">
      <c r="Q6136" s="17" t="s">
        <v>6780</v>
      </c>
      <c r="R6136" s="17" t="s">
        <v>6417</v>
      </c>
      <c r="S6136" s="17"/>
      <c r="T6136" s="17"/>
      <c r="U6136" s="17"/>
    </row>
    <row r="6137" spans="17:21" x14ac:dyDescent="0.25">
      <c r="Q6137" s="17" t="s">
        <v>6781</v>
      </c>
      <c r="R6137" s="17" t="s">
        <v>6417</v>
      </c>
      <c r="S6137" s="17"/>
      <c r="T6137" s="17"/>
      <c r="U6137" s="17"/>
    </row>
    <row r="6138" spans="17:21" x14ac:dyDescent="0.25">
      <c r="Q6138" s="17" t="s">
        <v>6782</v>
      </c>
      <c r="R6138" s="17" t="s">
        <v>6417</v>
      </c>
      <c r="S6138" s="17"/>
      <c r="T6138" s="17"/>
      <c r="U6138" s="17"/>
    </row>
    <row r="6139" spans="17:21" x14ac:dyDescent="0.25">
      <c r="Q6139" s="17" t="s">
        <v>6783</v>
      </c>
      <c r="R6139" s="17" t="s">
        <v>6417</v>
      </c>
      <c r="S6139" s="17"/>
      <c r="T6139" s="17"/>
      <c r="U6139" s="17"/>
    </row>
    <row r="6140" spans="17:21" x14ac:dyDescent="0.25">
      <c r="Q6140" s="17" t="s">
        <v>6784</v>
      </c>
      <c r="R6140" s="17" t="s">
        <v>6417</v>
      </c>
      <c r="S6140" s="17"/>
      <c r="T6140" s="17"/>
      <c r="U6140" s="17"/>
    </row>
    <row r="6141" spans="17:21" x14ac:dyDescent="0.25">
      <c r="Q6141" s="17" t="s">
        <v>6785</v>
      </c>
      <c r="R6141" s="17" t="s">
        <v>6417</v>
      </c>
      <c r="S6141" s="17"/>
      <c r="T6141" s="17"/>
      <c r="U6141" s="17"/>
    </row>
    <row r="6142" spans="17:21" x14ac:dyDescent="0.25">
      <c r="Q6142" s="17" t="s">
        <v>6786</v>
      </c>
      <c r="R6142" s="17" t="s">
        <v>6417</v>
      </c>
      <c r="S6142" s="17"/>
      <c r="T6142" s="17"/>
      <c r="U6142" s="17"/>
    </row>
    <row r="6143" spans="17:21" x14ac:dyDescent="0.25">
      <c r="Q6143" s="17" t="s">
        <v>6787</v>
      </c>
      <c r="R6143" s="17" t="s">
        <v>6417</v>
      </c>
      <c r="S6143" s="17"/>
      <c r="T6143" s="17"/>
      <c r="U6143" s="17"/>
    </row>
    <row r="6144" spans="17:21" x14ac:dyDescent="0.25">
      <c r="Q6144" s="17" t="s">
        <v>6788</v>
      </c>
      <c r="R6144" s="17" t="s">
        <v>6417</v>
      </c>
      <c r="S6144" s="17"/>
      <c r="T6144" s="17"/>
      <c r="U6144" s="17"/>
    </row>
    <row r="6145" spans="17:21" x14ac:dyDescent="0.25">
      <c r="Q6145" s="17" t="s">
        <v>6789</v>
      </c>
      <c r="R6145" s="17" t="s">
        <v>1369</v>
      </c>
      <c r="S6145" s="17"/>
      <c r="T6145" s="17"/>
      <c r="U6145" s="17"/>
    </row>
    <row r="6146" spans="17:21" x14ac:dyDescent="0.25">
      <c r="Q6146" s="17" t="s">
        <v>6790</v>
      </c>
      <c r="R6146" s="17" t="s">
        <v>1369</v>
      </c>
      <c r="S6146" s="17"/>
      <c r="T6146" s="17"/>
      <c r="U6146" s="17"/>
    </row>
    <row r="6147" spans="17:21" x14ac:dyDescent="0.25">
      <c r="Q6147" s="17" t="s">
        <v>6791</v>
      </c>
      <c r="R6147" s="17" t="s">
        <v>1369</v>
      </c>
      <c r="S6147" s="17"/>
      <c r="T6147" s="17"/>
      <c r="U6147" s="17"/>
    </row>
    <row r="6148" spans="17:21" x14ac:dyDescent="0.25">
      <c r="Q6148" s="17" t="s">
        <v>6792</v>
      </c>
      <c r="R6148" s="17" t="s">
        <v>1369</v>
      </c>
      <c r="S6148" s="17"/>
      <c r="T6148" s="17"/>
      <c r="U6148" s="17"/>
    </row>
    <row r="6149" spans="17:21" x14ac:dyDescent="0.25">
      <c r="Q6149" s="17" t="s">
        <v>6793</v>
      </c>
      <c r="R6149" s="17" t="s">
        <v>1369</v>
      </c>
      <c r="S6149" s="17"/>
      <c r="T6149" s="17"/>
      <c r="U6149" s="17"/>
    </row>
    <row r="6150" spans="17:21" x14ac:dyDescent="0.25">
      <c r="Q6150" s="17" t="s">
        <v>6794</v>
      </c>
      <c r="R6150" s="17" t="s">
        <v>1369</v>
      </c>
      <c r="S6150" s="17"/>
      <c r="T6150" s="17"/>
      <c r="U6150" s="17"/>
    </row>
    <row r="6151" spans="17:21" x14ac:dyDescent="0.25">
      <c r="Q6151" s="17" t="s">
        <v>6795</v>
      </c>
      <c r="R6151" s="17" t="s">
        <v>1369</v>
      </c>
      <c r="S6151" s="17"/>
      <c r="T6151" s="17"/>
      <c r="U6151" s="17"/>
    </row>
    <row r="6152" spans="17:21" x14ac:dyDescent="0.25">
      <c r="Q6152" s="17" t="s">
        <v>6796</v>
      </c>
      <c r="R6152" s="17" t="s">
        <v>1369</v>
      </c>
      <c r="S6152" s="17"/>
      <c r="T6152" s="17"/>
      <c r="U6152" s="17"/>
    </row>
    <row r="6153" spans="17:21" x14ac:dyDescent="0.25">
      <c r="Q6153" s="17" t="s">
        <v>6797</v>
      </c>
      <c r="R6153" s="17" t="s">
        <v>1369</v>
      </c>
      <c r="S6153" s="17"/>
      <c r="T6153" s="17"/>
      <c r="U6153" s="17"/>
    </row>
    <row r="6154" spans="17:21" x14ac:dyDescent="0.25">
      <c r="Q6154" s="17" t="s">
        <v>6798</v>
      </c>
      <c r="R6154" s="17" t="s">
        <v>1369</v>
      </c>
      <c r="S6154" s="17"/>
      <c r="T6154" s="17"/>
      <c r="U6154" s="17"/>
    </row>
    <row r="6155" spans="17:21" x14ac:dyDescent="0.25">
      <c r="Q6155" s="17" t="s">
        <v>6799</v>
      </c>
      <c r="R6155" s="17" t="s">
        <v>1369</v>
      </c>
      <c r="S6155" s="17"/>
      <c r="T6155" s="17"/>
      <c r="U6155" s="17"/>
    </row>
    <row r="6156" spans="17:21" x14ac:dyDescent="0.25">
      <c r="Q6156" s="17" t="s">
        <v>6800</v>
      </c>
      <c r="R6156" s="17" t="s">
        <v>1369</v>
      </c>
      <c r="S6156" s="17"/>
      <c r="T6156" s="17"/>
      <c r="U6156" s="17"/>
    </row>
    <row r="6157" spans="17:21" x14ac:dyDescent="0.25">
      <c r="Q6157" s="17" t="s">
        <v>6801</v>
      </c>
      <c r="R6157" s="17" t="s">
        <v>1369</v>
      </c>
      <c r="S6157" s="17"/>
      <c r="T6157" s="17"/>
      <c r="U6157" s="17"/>
    </row>
    <row r="6158" spans="17:21" x14ac:dyDescent="0.25">
      <c r="Q6158" s="17" t="s">
        <v>6802</v>
      </c>
      <c r="R6158" s="17" t="s">
        <v>1369</v>
      </c>
      <c r="S6158" s="17"/>
      <c r="T6158" s="17"/>
      <c r="U6158" s="17"/>
    </row>
    <row r="6159" spans="17:21" x14ac:dyDescent="0.25">
      <c r="Q6159" s="17" t="s">
        <v>6803</v>
      </c>
      <c r="R6159" s="17" t="s">
        <v>1369</v>
      </c>
      <c r="S6159" s="17"/>
      <c r="T6159" s="17"/>
      <c r="U6159" s="17"/>
    </row>
    <row r="6160" spans="17:21" x14ac:dyDescent="0.25">
      <c r="Q6160" s="17" t="s">
        <v>6804</v>
      </c>
      <c r="R6160" s="17" t="s">
        <v>1369</v>
      </c>
      <c r="S6160" s="17"/>
      <c r="T6160" s="17"/>
      <c r="U6160" s="17"/>
    </row>
    <row r="6161" spans="17:21" x14ac:dyDescent="0.25">
      <c r="Q6161" s="17" t="s">
        <v>6805</v>
      </c>
      <c r="R6161" s="17" t="s">
        <v>1369</v>
      </c>
      <c r="S6161" s="17"/>
      <c r="T6161" s="17"/>
      <c r="U6161" s="17"/>
    </row>
    <row r="6162" spans="17:21" x14ac:dyDescent="0.25">
      <c r="Q6162" s="17" t="s">
        <v>6806</v>
      </c>
      <c r="R6162" s="17" t="s">
        <v>1369</v>
      </c>
      <c r="S6162" s="17"/>
      <c r="T6162" s="17"/>
      <c r="U6162" s="17"/>
    </row>
    <row r="6163" spans="17:21" x14ac:dyDescent="0.25">
      <c r="Q6163" s="17" t="s">
        <v>6807</v>
      </c>
      <c r="R6163" s="17" t="s">
        <v>1369</v>
      </c>
      <c r="S6163" s="17"/>
      <c r="T6163" s="17"/>
      <c r="U6163" s="17"/>
    </row>
    <row r="6164" spans="17:21" x14ac:dyDescent="0.25">
      <c r="Q6164" s="17" t="s">
        <v>6808</v>
      </c>
      <c r="R6164" s="17" t="s">
        <v>1369</v>
      </c>
      <c r="S6164" s="17"/>
      <c r="T6164" s="17"/>
      <c r="U6164" s="17"/>
    </row>
    <row r="6165" spans="17:21" x14ac:dyDescent="0.25">
      <c r="Q6165" s="17" t="s">
        <v>6809</v>
      </c>
      <c r="R6165" s="17" t="s">
        <v>1369</v>
      </c>
      <c r="S6165" s="17"/>
      <c r="T6165" s="17"/>
      <c r="U6165" s="17"/>
    </row>
    <row r="6166" spans="17:21" x14ac:dyDescent="0.25">
      <c r="Q6166" s="17" t="s">
        <v>6810</v>
      </c>
      <c r="R6166" s="17" t="s">
        <v>1369</v>
      </c>
      <c r="S6166" s="17"/>
      <c r="T6166" s="17"/>
      <c r="U6166" s="17"/>
    </row>
    <row r="6167" spans="17:21" x14ac:dyDescent="0.25">
      <c r="Q6167" s="17" t="s">
        <v>6811</v>
      </c>
      <c r="R6167" s="17" t="s">
        <v>1369</v>
      </c>
      <c r="S6167" s="17"/>
      <c r="T6167" s="17"/>
      <c r="U6167" s="17"/>
    </row>
    <row r="6168" spans="17:21" x14ac:dyDescent="0.25">
      <c r="Q6168" s="17" t="s">
        <v>6812</v>
      </c>
      <c r="R6168" s="17" t="s">
        <v>1369</v>
      </c>
      <c r="S6168" s="17"/>
      <c r="T6168" s="17"/>
      <c r="U6168" s="17"/>
    </row>
    <row r="6169" spans="17:21" x14ac:dyDescent="0.25">
      <c r="Q6169" s="17" t="s">
        <v>6813</v>
      </c>
      <c r="R6169" s="17" t="s">
        <v>1369</v>
      </c>
      <c r="S6169" s="17"/>
      <c r="T6169" s="17"/>
      <c r="U6169" s="17"/>
    </row>
    <row r="6170" spans="17:21" x14ac:dyDescent="0.25">
      <c r="Q6170" s="17" t="s">
        <v>6814</v>
      </c>
      <c r="R6170" s="17" t="s">
        <v>6417</v>
      </c>
      <c r="S6170" s="17"/>
      <c r="T6170" s="17"/>
      <c r="U6170" s="17"/>
    </row>
    <row r="6171" spans="17:21" x14ac:dyDescent="0.25">
      <c r="Q6171" s="17" t="s">
        <v>6815</v>
      </c>
      <c r="R6171" s="17" t="s">
        <v>6417</v>
      </c>
      <c r="S6171" s="17"/>
      <c r="T6171" s="17"/>
      <c r="U6171" s="17"/>
    </row>
    <row r="6172" spans="17:21" x14ac:dyDescent="0.25">
      <c r="Q6172" s="17" t="s">
        <v>6816</v>
      </c>
      <c r="R6172" s="17" t="s">
        <v>6417</v>
      </c>
      <c r="S6172" s="17"/>
      <c r="T6172" s="17"/>
      <c r="U6172" s="17"/>
    </row>
    <row r="6173" spans="17:21" x14ac:dyDescent="0.25">
      <c r="Q6173" s="17" t="s">
        <v>6817</v>
      </c>
      <c r="R6173" s="17" t="s">
        <v>6417</v>
      </c>
      <c r="S6173" s="17"/>
      <c r="T6173" s="17"/>
      <c r="U6173" s="17"/>
    </row>
    <row r="6174" spans="17:21" x14ac:dyDescent="0.25">
      <c r="Q6174" s="17" t="s">
        <v>6818</v>
      </c>
      <c r="R6174" s="17" t="s">
        <v>6417</v>
      </c>
      <c r="S6174" s="17"/>
      <c r="T6174" s="17"/>
      <c r="U6174" s="17"/>
    </row>
    <row r="6175" spans="17:21" x14ac:dyDescent="0.25">
      <c r="Q6175" s="17" t="s">
        <v>6819</v>
      </c>
      <c r="R6175" s="17" t="s">
        <v>6417</v>
      </c>
      <c r="S6175" s="17"/>
      <c r="T6175" s="17"/>
      <c r="U6175" s="17"/>
    </row>
    <row r="6176" spans="17:21" x14ac:dyDescent="0.25">
      <c r="Q6176" s="17" t="s">
        <v>6820</v>
      </c>
      <c r="R6176" s="17" t="s">
        <v>6417</v>
      </c>
      <c r="S6176" s="17"/>
      <c r="T6176" s="17"/>
      <c r="U6176" s="17"/>
    </row>
    <row r="6177" spans="17:21" x14ac:dyDescent="0.25">
      <c r="Q6177" s="17" t="s">
        <v>6821</v>
      </c>
      <c r="R6177" s="17" t="s">
        <v>6417</v>
      </c>
      <c r="S6177" s="17"/>
      <c r="T6177" s="17"/>
      <c r="U6177" s="17"/>
    </row>
    <row r="6178" spans="17:21" x14ac:dyDescent="0.25">
      <c r="Q6178" s="17" t="s">
        <v>6822</v>
      </c>
      <c r="R6178" s="17" t="s">
        <v>6417</v>
      </c>
      <c r="S6178" s="17"/>
      <c r="T6178" s="17"/>
      <c r="U6178" s="17"/>
    </row>
    <row r="6179" spans="17:21" x14ac:dyDescent="0.25">
      <c r="Q6179" s="17" t="s">
        <v>6823</v>
      </c>
      <c r="R6179" s="17" t="s">
        <v>6417</v>
      </c>
      <c r="S6179" s="17"/>
      <c r="T6179" s="17"/>
      <c r="U6179" s="17"/>
    </row>
    <row r="6180" spans="17:21" x14ac:dyDescent="0.25">
      <c r="Q6180" s="17" t="s">
        <v>6824</v>
      </c>
      <c r="R6180" s="17" t="s">
        <v>6417</v>
      </c>
      <c r="S6180" s="17"/>
      <c r="T6180" s="17"/>
      <c r="U6180" s="17"/>
    </row>
    <row r="6181" spans="17:21" x14ac:dyDescent="0.25">
      <c r="Q6181" s="17" t="s">
        <v>6825</v>
      </c>
      <c r="R6181" s="17" t="s">
        <v>6417</v>
      </c>
      <c r="S6181" s="17"/>
      <c r="T6181" s="17"/>
      <c r="U6181" s="17"/>
    </row>
    <row r="6182" spans="17:21" x14ac:dyDescent="0.25">
      <c r="Q6182" s="17" t="s">
        <v>6826</v>
      </c>
      <c r="R6182" s="17" t="s">
        <v>6417</v>
      </c>
      <c r="S6182" s="17"/>
      <c r="T6182" s="17"/>
      <c r="U6182" s="17"/>
    </row>
    <row r="6183" spans="17:21" x14ac:dyDescent="0.25">
      <c r="Q6183" s="17" t="s">
        <v>6827</v>
      </c>
      <c r="R6183" s="17" t="s">
        <v>6417</v>
      </c>
      <c r="S6183" s="17"/>
      <c r="T6183" s="17"/>
      <c r="U6183" s="17"/>
    </row>
    <row r="6184" spans="17:21" x14ac:dyDescent="0.25">
      <c r="Q6184" s="17" t="s">
        <v>6828</v>
      </c>
      <c r="R6184" s="17" t="s">
        <v>213</v>
      </c>
      <c r="S6184" s="17"/>
      <c r="T6184" s="17"/>
      <c r="U6184" s="17"/>
    </row>
    <row r="6185" spans="17:21" x14ac:dyDescent="0.25">
      <c r="Q6185" s="17" t="s">
        <v>608</v>
      </c>
      <c r="R6185" s="17" t="s">
        <v>213</v>
      </c>
      <c r="S6185" s="17"/>
      <c r="T6185" s="17"/>
      <c r="U6185" s="17"/>
    </row>
    <row r="6186" spans="17:21" x14ac:dyDescent="0.25">
      <c r="Q6186" s="17" t="s">
        <v>712</v>
      </c>
      <c r="R6186" s="17" t="s">
        <v>213</v>
      </c>
      <c r="S6186" s="17"/>
      <c r="T6186" s="17"/>
      <c r="U6186" s="17"/>
    </row>
    <row r="6187" spans="17:21" x14ac:dyDescent="0.25">
      <c r="Q6187" s="17" t="s">
        <v>6829</v>
      </c>
      <c r="R6187" s="17" t="s">
        <v>213</v>
      </c>
      <c r="S6187" s="17"/>
      <c r="T6187" s="17"/>
      <c r="U6187" s="17"/>
    </row>
    <row r="6188" spans="17:21" x14ac:dyDescent="0.25">
      <c r="Q6188" s="17" t="s">
        <v>1130</v>
      </c>
      <c r="R6188" s="17" t="s">
        <v>213</v>
      </c>
      <c r="S6188" s="17"/>
      <c r="T6188" s="17"/>
      <c r="U6188" s="17"/>
    </row>
    <row r="6189" spans="17:21" x14ac:dyDescent="0.25">
      <c r="Q6189" s="17" t="s">
        <v>875</v>
      </c>
      <c r="R6189" s="17" t="s">
        <v>213</v>
      </c>
      <c r="S6189" s="17"/>
      <c r="T6189" s="17"/>
      <c r="U6189" s="17"/>
    </row>
    <row r="6190" spans="17:21" x14ac:dyDescent="0.25">
      <c r="Q6190" s="17" t="s">
        <v>6830</v>
      </c>
      <c r="R6190" s="17" t="s">
        <v>213</v>
      </c>
      <c r="S6190" s="17"/>
      <c r="T6190" s="17"/>
      <c r="U6190" s="17"/>
    </row>
    <row r="6191" spans="17:21" x14ac:dyDescent="0.25">
      <c r="Q6191" s="17" t="s">
        <v>6831</v>
      </c>
      <c r="R6191" s="17" t="s">
        <v>213</v>
      </c>
      <c r="S6191" s="17"/>
      <c r="T6191" s="17"/>
      <c r="U6191" s="17"/>
    </row>
    <row r="6192" spans="17:21" x14ac:dyDescent="0.25">
      <c r="Q6192" s="17" t="s">
        <v>6832</v>
      </c>
      <c r="R6192" s="17" t="s">
        <v>213</v>
      </c>
      <c r="S6192" s="17"/>
      <c r="T6192" s="17"/>
      <c r="U6192" s="17"/>
    </row>
    <row r="6193" spans="17:21" x14ac:dyDescent="0.25">
      <c r="Q6193" s="17" t="s">
        <v>6833</v>
      </c>
      <c r="R6193" s="17" t="s">
        <v>213</v>
      </c>
      <c r="S6193" s="17"/>
      <c r="T6193" s="17"/>
      <c r="U6193" s="17"/>
    </row>
    <row r="6194" spans="17:21" x14ac:dyDescent="0.25">
      <c r="Q6194" s="17" t="s">
        <v>6834</v>
      </c>
      <c r="R6194" s="17" t="s">
        <v>213</v>
      </c>
      <c r="S6194" s="17"/>
      <c r="T6194" s="17"/>
      <c r="U6194" s="17"/>
    </row>
    <row r="6195" spans="17:21" x14ac:dyDescent="0.25">
      <c r="Q6195" s="17" t="s">
        <v>6835</v>
      </c>
      <c r="R6195" s="17" t="s">
        <v>213</v>
      </c>
      <c r="S6195" s="17"/>
      <c r="T6195" s="17"/>
      <c r="U6195" s="17"/>
    </row>
    <row r="6196" spans="17:21" x14ac:dyDescent="0.25">
      <c r="Q6196" s="17" t="s">
        <v>6836</v>
      </c>
      <c r="R6196" s="17" t="s">
        <v>213</v>
      </c>
      <c r="S6196" s="17"/>
      <c r="T6196" s="17"/>
      <c r="U6196" s="17"/>
    </row>
    <row r="6197" spans="17:21" x14ac:dyDescent="0.25">
      <c r="Q6197" s="17" t="s">
        <v>6837</v>
      </c>
      <c r="R6197" s="17" t="s">
        <v>213</v>
      </c>
      <c r="S6197" s="17"/>
      <c r="T6197" s="17"/>
      <c r="U6197" s="17"/>
    </row>
    <row r="6198" spans="17:21" x14ac:dyDescent="0.25">
      <c r="Q6198" s="17" t="s">
        <v>6838</v>
      </c>
      <c r="R6198" s="17" t="s">
        <v>213</v>
      </c>
      <c r="S6198" s="17"/>
      <c r="T6198" s="17"/>
      <c r="U6198" s="17"/>
    </row>
    <row r="6199" spans="17:21" x14ac:dyDescent="0.25">
      <c r="Q6199" s="17" t="s">
        <v>6839</v>
      </c>
      <c r="R6199" s="17" t="s">
        <v>213</v>
      </c>
      <c r="S6199" s="17"/>
      <c r="T6199" s="17"/>
      <c r="U6199" s="17"/>
    </row>
    <row r="6200" spans="17:21" x14ac:dyDescent="0.25">
      <c r="Q6200" s="17" t="s">
        <v>6840</v>
      </c>
      <c r="R6200" s="17" t="s">
        <v>213</v>
      </c>
      <c r="S6200" s="17"/>
      <c r="T6200" s="17"/>
      <c r="U6200" s="17"/>
    </row>
    <row r="6201" spans="17:21" x14ac:dyDescent="0.25">
      <c r="Q6201" s="17" t="s">
        <v>6841</v>
      </c>
      <c r="R6201" s="17" t="s">
        <v>213</v>
      </c>
      <c r="S6201" s="17"/>
      <c r="T6201" s="17"/>
      <c r="U6201" s="17"/>
    </row>
    <row r="6202" spans="17:21" x14ac:dyDescent="0.25">
      <c r="Q6202" s="17" t="s">
        <v>6842</v>
      </c>
      <c r="R6202" s="17" t="s">
        <v>213</v>
      </c>
      <c r="S6202" s="17"/>
      <c r="T6202" s="17"/>
      <c r="U6202" s="17"/>
    </row>
    <row r="6203" spans="17:21" x14ac:dyDescent="0.25">
      <c r="Q6203" s="17" t="s">
        <v>6843</v>
      </c>
      <c r="R6203" s="17" t="s">
        <v>213</v>
      </c>
      <c r="S6203" s="17"/>
      <c r="T6203" s="17"/>
      <c r="U6203" s="17"/>
    </row>
    <row r="6204" spans="17:21" x14ac:dyDescent="0.25">
      <c r="Q6204" s="17" t="s">
        <v>6844</v>
      </c>
      <c r="R6204" s="17" t="s">
        <v>213</v>
      </c>
      <c r="S6204" s="17"/>
      <c r="T6204" s="17"/>
      <c r="U6204" s="17"/>
    </row>
    <row r="6205" spans="17:21" x14ac:dyDescent="0.25">
      <c r="Q6205" s="17" t="s">
        <v>6845</v>
      </c>
      <c r="R6205" s="17" t="s">
        <v>213</v>
      </c>
      <c r="S6205" s="17"/>
      <c r="T6205" s="17"/>
      <c r="U6205" s="17"/>
    </row>
    <row r="6206" spans="17:21" x14ac:dyDescent="0.25">
      <c r="Q6206" s="17" t="s">
        <v>1263</v>
      </c>
      <c r="R6206" s="17" t="s">
        <v>213</v>
      </c>
      <c r="S6206" s="17"/>
      <c r="T6206" s="17"/>
      <c r="U6206" s="17"/>
    </row>
    <row r="6207" spans="17:21" x14ac:dyDescent="0.25">
      <c r="Q6207" s="17" t="s">
        <v>6846</v>
      </c>
      <c r="R6207" s="17" t="s">
        <v>213</v>
      </c>
      <c r="S6207" s="17"/>
      <c r="T6207" s="17"/>
      <c r="U6207" s="17"/>
    </row>
    <row r="6208" spans="17:21" x14ac:dyDescent="0.25">
      <c r="Q6208" s="17" t="s">
        <v>6847</v>
      </c>
      <c r="R6208" s="17" t="s">
        <v>213</v>
      </c>
      <c r="S6208" s="17"/>
      <c r="T6208" s="17"/>
      <c r="U6208" s="17"/>
    </row>
    <row r="6209" spans="17:21" x14ac:dyDescent="0.25">
      <c r="Q6209" s="17" t="s">
        <v>1278</v>
      </c>
      <c r="R6209" s="17" t="s">
        <v>213</v>
      </c>
      <c r="S6209" s="17"/>
      <c r="T6209" s="17"/>
      <c r="U6209" s="17"/>
    </row>
    <row r="6210" spans="17:21" x14ac:dyDescent="0.25">
      <c r="Q6210" s="17" t="s">
        <v>6848</v>
      </c>
      <c r="R6210" s="17" t="s">
        <v>213</v>
      </c>
      <c r="S6210" s="17"/>
      <c r="T6210" s="17"/>
      <c r="U6210" s="17"/>
    </row>
    <row r="6211" spans="17:21" x14ac:dyDescent="0.25">
      <c r="Q6211" s="17" t="s">
        <v>6849</v>
      </c>
      <c r="R6211" s="17" t="s">
        <v>213</v>
      </c>
      <c r="S6211" s="17"/>
      <c r="T6211" s="17"/>
      <c r="U6211" s="17"/>
    </row>
    <row r="6212" spans="17:21" x14ac:dyDescent="0.25">
      <c r="Q6212" s="17" t="s">
        <v>1057</v>
      </c>
      <c r="R6212" s="17" t="s">
        <v>213</v>
      </c>
      <c r="S6212" s="17"/>
      <c r="T6212" s="17"/>
      <c r="U6212" s="17"/>
    </row>
    <row r="6213" spans="17:21" x14ac:dyDescent="0.25">
      <c r="Q6213" s="17" t="s">
        <v>6850</v>
      </c>
      <c r="R6213" s="17" t="s">
        <v>213</v>
      </c>
      <c r="S6213" s="17"/>
      <c r="T6213" s="17"/>
      <c r="U6213" s="17"/>
    </row>
    <row r="6214" spans="17:21" x14ac:dyDescent="0.25">
      <c r="Q6214" s="17" t="s">
        <v>6851</v>
      </c>
      <c r="R6214" s="17" t="s">
        <v>213</v>
      </c>
      <c r="S6214" s="17"/>
      <c r="T6214" s="17"/>
      <c r="U6214" s="17"/>
    </row>
    <row r="6215" spans="17:21" x14ac:dyDescent="0.25">
      <c r="Q6215" s="17" t="s">
        <v>6852</v>
      </c>
      <c r="R6215" s="17" t="s">
        <v>213</v>
      </c>
      <c r="S6215" s="17"/>
      <c r="T6215" s="17"/>
      <c r="U6215" s="17"/>
    </row>
    <row r="6216" spans="17:21" x14ac:dyDescent="0.25">
      <c r="Q6216" s="17" t="s">
        <v>6853</v>
      </c>
      <c r="R6216" s="17" t="s">
        <v>6417</v>
      </c>
      <c r="S6216" s="17"/>
      <c r="T6216" s="17"/>
      <c r="U6216" s="17"/>
    </row>
    <row r="6217" spans="17:21" x14ac:dyDescent="0.25">
      <c r="Q6217" s="17" t="s">
        <v>6854</v>
      </c>
      <c r="R6217" s="17" t="s">
        <v>6417</v>
      </c>
      <c r="S6217" s="17"/>
      <c r="T6217" s="17"/>
      <c r="U6217" s="17"/>
    </row>
    <row r="6218" spans="17:21" x14ac:dyDescent="0.25">
      <c r="Q6218" s="17" t="s">
        <v>6855</v>
      </c>
      <c r="R6218" s="17" t="s">
        <v>6417</v>
      </c>
      <c r="S6218" s="17"/>
      <c r="T6218" s="17"/>
      <c r="U6218" s="17"/>
    </row>
    <row r="6219" spans="17:21" x14ac:dyDescent="0.25">
      <c r="Q6219" s="17" t="s">
        <v>6856</v>
      </c>
      <c r="R6219" s="17" t="s">
        <v>6417</v>
      </c>
      <c r="S6219" s="17"/>
      <c r="T6219" s="17"/>
      <c r="U6219" s="17"/>
    </row>
    <row r="6220" spans="17:21" x14ac:dyDescent="0.25">
      <c r="Q6220" s="17" t="s">
        <v>6857</v>
      </c>
      <c r="R6220" s="17" t="s">
        <v>6417</v>
      </c>
      <c r="S6220" s="17"/>
      <c r="T6220" s="17"/>
      <c r="U6220" s="17"/>
    </row>
    <row r="6221" spans="17:21" x14ac:dyDescent="0.25">
      <c r="Q6221" s="17" t="s">
        <v>6858</v>
      </c>
      <c r="R6221" s="17" t="s">
        <v>6417</v>
      </c>
      <c r="S6221" s="17"/>
      <c r="T6221" s="17"/>
      <c r="U6221" s="17"/>
    </row>
    <row r="6222" spans="17:21" x14ac:dyDescent="0.25">
      <c r="Q6222" s="17" t="s">
        <v>6859</v>
      </c>
      <c r="R6222" s="17" t="s">
        <v>6417</v>
      </c>
      <c r="S6222" s="17"/>
      <c r="T6222" s="17"/>
      <c r="U6222" s="17"/>
    </row>
    <row r="6223" spans="17:21" x14ac:dyDescent="0.25">
      <c r="Q6223" s="17" t="s">
        <v>6860</v>
      </c>
      <c r="R6223" s="17" t="s">
        <v>6417</v>
      </c>
      <c r="S6223" s="17"/>
      <c r="T6223" s="17"/>
      <c r="U6223" s="17"/>
    </row>
    <row r="6224" spans="17:21" x14ac:dyDescent="0.25">
      <c r="Q6224" s="17" t="s">
        <v>6861</v>
      </c>
      <c r="R6224" s="17" t="s">
        <v>1369</v>
      </c>
      <c r="S6224" s="17"/>
      <c r="T6224" s="17"/>
      <c r="U6224" s="17"/>
    </row>
    <row r="6225" spans="17:21" x14ac:dyDescent="0.25">
      <c r="Q6225" s="17" t="s">
        <v>490</v>
      </c>
      <c r="R6225" s="17" t="s">
        <v>203</v>
      </c>
      <c r="S6225" s="17"/>
      <c r="T6225" s="17"/>
      <c r="U6225" s="17"/>
    </row>
    <row r="6226" spans="17:21" x14ac:dyDescent="0.25">
      <c r="Q6226" s="17" t="s">
        <v>6862</v>
      </c>
      <c r="R6226" s="17" t="s">
        <v>203</v>
      </c>
      <c r="S6226" s="17"/>
      <c r="T6226" s="17"/>
      <c r="U6226" s="17"/>
    </row>
    <row r="6227" spans="17:21" x14ac:dyDescent="0.25">
      <c r="Q6227" s="17" t="s">
        <v>1318</v>
      </c>
      <c r="R6227" s="17" t="s">
        <v>203</v>
      </c>
      <c r="S6227" s="17"/>
      <c r="T6227" s="17"/>
      <c r="U6227" s="17"/>
    </row>
    <row r="6228" spans="17:21" x14ac:dyDescent="0.25">
      <c r="Q6228" s="17" t="s">
        <v>1023</v>
      </c>
      <c r="R6228" s="17" t="s">
        <v>203</v>
      </c>
      <c r="S6228" s="17"/>
      <c r="T6228" s="17"/>
      <c r="U6228" s="17"/>
    </row>
    <row r="6229" spans="17:21" x14ac:dyDescent="0.25">
      <c r="Q6229" s="17" t="s">
        <v>672</v>
      </c>
      <c r="R6229" s="17" t="s">
        <v>203</v>
      </c>
      <c r="S6229" s="17"/>
      <c r="T6229" s="17"/>
      <c r="U6229" s="17"/>
    </row>
    <row r="6230" spans="17:21" x14ac:dyDescent="0.25">
      <c r="Q6230" s="17" t="s">
        <v>1122</v>
      </c>
      <c r="R6230" s="17" t="s">
        <v>203</v>
      </c>
      <c r="S6230" s="17"/>
      <c r="T6230" s="17"/>
      <c r="U6230" s="17"/>
    </row>
    <row r="6231" spans="17:21" x14ac:dyDescent="0.25">
      <c r="Q6231" s="17" t="s">
        <v>628</v>
      </c>
      <c r="R6231" s="17" t="s">
        <v>203</v>
      </c>
      <c r="S6231" s="17"/>
      <c r="T6231" s="17"/>
      <c r="U6231" s="17"/>
    </row>
    <row r="6232" spans="17:21" x14ac:dyDescent="0.25">
      <c r="Q6232" s="17" t="s">
        <v>505</v>
      </c>
      <c r="R6232" s="17" t="s">
        <v>203</v>
      </c>
      <c r="S6232" s="17"/>
      <c r="T6232" s="17"/>
      <c r="U6232" s="17"/>
    </row>
    <row r="6233" spans="17:21" x14ac:dyDescent="0.25">
      <c r="Q6233" s="17" t="s">
        <v>489</v>
      </c>
      <c r="R6233" s="17" t="s">
        <v>203</v>
      </c>
      <c r="S6233" s="17"/>
      <c r="T6233" s="17"/>
      <c r="U6233" s="17"/>
    </row>
    <row r="6234" spans="17:21" x14ac:dyDescent="0.25">
      <c r="Q6234" s="17" t="s">
        <v>854</v>
      </c>
      <c r="R6234" s="17" t="s">
        <v>203</v>
      </c>
      <c r="S6234" s="17"/>
      <c r="T6234" s="17"/>
      <c r="U6234" s="17"/>
    </row>
    <row r="6235" spans="17:21" x14ac:dyDescent="0.25">
      <c r="Q6235" s="17" t="s">
        <v>1107</v>
      </c>
      <c r="R6235" s="17" t="s">
        <v>203</v>
      </c>
      <c r="S6235" s="17"/>
      <c r="T6235" s="17"/>
      <c r="U6235" s="17"/>
    </row>
    <row r="6236" spans="17:21" x14ac:dyDescent="0.25">
      <c r="Q6236" s="17" t="s">
        <v>1024</v>
      </c>
      <c r="R6236" s="17" t="s">
        <v>203</v>
      </c>
      <c r="S6236" s="17"/>
      <c r="T6236" s="17"/>
      <c r="U6236" s="17"/>
    </row>
    <row r="6237" spans="17:21" x14ac:dyDescent="0.25">
      <c r="Q6237" s="17" t="s">
        <v>463</v>
      </c>
      <c r="R6237" s="17" t="s">
        <v>203</v>
      </c>
      <c r="S6237" s="17"/>
      <c r="T6237" s="17"/>
      <c r="U6237" s="17"/>
    </row>
    <row r="6238" spans="17:21" x14ac:dyDescent="0.25">
      <c r="Q6238" s="17" t="s">
        <v>797</v>
      </c>
      <c r="R6238" s="17" t="s">
        <v>225</v>
      </c>
      <c r="S6238" s="17"/>
      <c r="T6238" s="17"/>
      <c r="U6238" s="17"/>
    </row>
    <row r="6239" spans="17:21" x14ac:dyDescent="0.25">
      <c r="Q6239" s="17" t="s">
        <v>471</v>
      </c>
      <c r="R6239" s="17" t="s">
        <v>203</v>
      </c>
      <c r="S6239" s="17"/>
      <c r="T6239" s="17"/>
      <c r="U6239" s="17"/>
    </row>
    <row r="6240" spans="17:21" x14ac:dyDescent="0.25">
      <c r="Q6240" s="17" t="s">
        <v>6863</v>
      </c>
      <c r="R6240" s="17" t="s">
        <v>203</v>
      </c>
      <c r="S6240" s="17"/>
      <c r="T6240" s="17"/>
      <c r="U6240" s="17"/>
    </row>
    <row r="6241" spans="17:21" x14ac:dyDescent="0.25">
      <c r="Q6241" s="17" t="s">
        <v>1021</v>
      </c>
      <c r="R6241" s="17" t="s">
        <v>203</v>
      </c>
      <c r="S6241" s="17"/>
      <c r="T6241" s="17"/>
      <c r="U6241" s="17"/>
    </row>
    <row r="6242" spans="17:21" x14ac:dyDescent="0.25">
      <c r="Q6242" s="17" t="s">
        <v>504</v>
      </c>
      <c r="R6242" s="17" t="s">
        <v>203</v>
      </c>
      <c r="S6242" s="17"/>
      <c r="T6242" s="17"/>
      <c r="U6242" s="17"/>
    </row>
    <row r="6243" spans="17:21" x14ac:dyDescent="0.25">
      <c r="Q6243" s="17" t="s">
        <v>721</v>
      </c>
      <c r="R6243" s="17" t="s">
        <v>203</v>
      </c>
      <c r="S6243" s="17"/>
      <c r="T6243" s="17"/>
      <c r="U6243" s="17"/>
    </row>
    <row r="6244" spans="17:21" x14ac:dyDescent="0.25">
      <c r="Q6244" s="17" t="s">
        <v>853</v>
      </c>
      <c r="R6244" s="17" t="s">
        <v>203</v>
      </c>
      <c r="S6244" s="17"/>
      <c r="T6244" s="17"/>
      <c r="U6244" s="17"/>
    </row>
    <row r="6245" spans="17:21" x14ac:dyDescent="0.25">
      <c r="Q6245" s="17" t="s">
        <v>652</v>
      </c>
      <c r="R6245" s="17" t="s">
        <v>203</v>
      </c>
      <c r="S6245" s="17"/>
      <c r="T6245" s="17"/>
      <c r="U6245" s="17"/>
    </row>
    <row r="6246" spans="17:21" x14ac:dyDescent="0.25">
      <c r="Q6246" s="17" t="s">
        <v>6864</v>
      </c>
      <c r="R6246" s="17" t="s">
        <v>203</v>
      </c>
      <c r="S6246" s="17"/>
      <c r="T6246" s="17"/>
      <c r="U6246" s="17"/>
    </row>
    <row r="6247" spans="17:21" x14ac:dyDescent="0.25">
      <c r="Q6247" s="17" t="s">
        <v>855</v>
      </c>
      <c r="R6247" s="17" t="s">
        <v>203</v>
      </c>
      <c r="S6247" s="17"/>
      <c r="T6247" s="17"/>
      <c r="U6247" s="17"/>
    </row>
    <row r="6248" spans="17:21" x14ac:dyDescent="0.25">
      <c r="Q6248" s="17" t="s">
        <v>432</v>
      </c>
      <c r="R6248" s="17" t="s">
        <v>203</v>
      </c>
      <c r="S6248" s="17"/>
      <c r="T6248" s="17"/>
      <c r="U6248" s="17"/>
    </row>
    <row r="6249" spans="17:21" x14ac:dyDescent="0.25">
      <c r="Q6249" s="17" t="s">
        <v>856</v>
      </c>
      <c r="R6249" s="17" t="s">
        <v>203</v>
      </c>
      <c r="S6249" s="17"/>
      <c r="T6249" s="17"/>
      <c r="U6249" s="17"/>
    </row>
    <row r="6250" spans="17:21" x14ac:dyDescent="0.25">
      <c r="Q6250" s="17" t="s">
        <v>912</v>
      </c>
      <c r="R6250" s="17" t="s">
        <v>203</v>
      </c>
      <c r="S6250" s="17"/>
      <c r="T6250" s="17"/>
      <c r="U6250" s="17"/>
    </row>
    <row r="6251" spans="17:21" x14ac:dyDescent="0.25">
      <c r="Q6251" s="17" t="s">
        <v>548</v>
      </c>
      <c r="R6251" s="17" t="s">
        <v>203</v>
      </c>
      <c r="S6251" s="17"/>
      <c r="T6251" s="17"/>
      <c r="U6251" s="17"/>
    </row>
    <row r="6252" spans="17:21" x14ac:dyDescent="0.25">
      <c r="Q6252" s="17" t="s">
        <v>1020</v>
      </c>
      <c r="R6252" s="17" t="s">
        <v>203</v>
      </c>
      <c r="S6252" s="17"/>
      <c r="T6252" s="17"/>
      <c r="U6252" s="17"/>
    </row>
    <row r="6253" spans="17:21" x14ac:dyDescent="0.25">
      <c r="Q6253" s="17" t="s">
        <v>1265</v>
      </c>
      <c r="R6253" s="17" t="s">
        <v>203</v>
      </c>
      <c r="S6253" s="17"/>
      <c r="T6253" s="17"/>
      <c r="U6253" s="17"/>
    </row>
    <row r="6254" spans="17:21" x14ac:dyDescent="0.25">
      <c r="Q6254" s="17" t="s">
        <v>474</v>
      </c>
      <c r="R6254" s="17" t="s">
        <v>203</v>
      </c>
      <c r="S6254" s="17"/>
      <c r="T6254" s="17"/>
      <c r="U6254" s="17"/>
    </row>
    <row r="6255" spans="17:21" x14ac:dyDescent="0.25">
      <c r="Q6255" s="17" t="s">
        <v>6865</v>
      </c>
      <c r="R6255" s="17" t="s">
        <v>203</v>
      </c>
      <c r="S6255" s="17"/>
      <c r="T6255" s="17"/>
      <c r="U6255" s="17"/>
    </row>
    <row r="6256" spans="17:21" x14ac:dyDescent="0.25">
      <c r="Q6256" s="17" t="s">
        <v>1276</v>
      </c>
      <c r="R6256" s="17" t="s">
        <v>203</v>
      </c>
      <c r="S6256" s="17"/>
      <c r="T6256" s="17"/>
      <c r="U6256" s="17"/>
    </row>
    <row r="6257" spans="17:21" x14ac:dyDescent="0.25">
      <c r="Q6257" s="17" t="s">
        <v>475</v>
      </c>
      <c r="R6257" s="17" t="s">
        <v>203</v>
      </c>
      <c r="S6257" s="17"/>
      <c r="T6257" s="17"/>
      <c r="U6257" s="17"/>
    </row>
    <row r="6258" spans="17:21" x14ac:dyDescent="0.25">
      <c r="Q6258" s="17" t="s">
        <v>6866</v>
      </c>
      <c r="R6258" s="17" t="s">
        <v>203</v>
      </c>
      <c r="S6258" s="17"/>
      <c r="T6258" s="17"/>
      <c r="U6258" s="17"/>
    </row>
    <row r="6259" spans="17:21" x14ac:dyDescent="0.25">
      <c r="Q6259" s="17" t="s">
        <v>6867</v>
      </c>
      <c r="R6259" s="17" t="s">
        <v>203</v>
      </c>
      <c r="S6259" s="17"/>
      <c r="T6259" s="17"/>
      <c r="U6259" s="17"/>
    </row>
    <row r="6260" spans="17:21" x14ac:dyDescent="0.25">
      <c r="Q6260" s="17" t="s">
        <v>6868</v>
      </c>
      <c r="R6260" s="17" t="s">
        <v>203</v>
      </c>
      <c r="S6260" s="17"/>
      <c r="T6260" s="17"/>
      <c r="U6260" s="17"/>
    </row>
    <row r="6261" spans="17:21" x14ac:dyDescent="0.25">
      <c r="Q6261" s="17" t="s">
        <v>528</v>
      </c>
      <c r="R6261" s="17" t="s">
        <v>203</v>
      </c>
      <c r="S6261" s="17"/>
      <c r="T6261" s="17"/>
      <c r="U6261" s="17"/>
    </row>
    <row r="6262" spans="17:21" x14ac:dyDescent="0.25">
      <c r="Q6262" s="17" t="s">
        <v>6869</v>
      </c>
      <c r="R6262" s="17" t="s">
        <v>203</v>
      </c>
      <c r="S6262" s="17"/>
      <c r="T6262" s="17"/>
      <c r="U6262" s="17"/>
    </row>
    <row r="6263" spans="17:21" x14ac:dyDescent="0.25">
      <c r="Q6263" s="17" t="s">
        <v>1022</v>
      </c>
      <c r="R6263" s="17" t="s">
        <v>203</v>
      </c>
      <c r="S6263" s="17"/>
      <c r="T6263" s="17"/>
      <c r="U6263" s="17"/>
    </row>
    <row r="6264" spans="17:21" x14ac:dyDescent="0.25">
      <c r="Q6264" s="17" t="s">
        <v>1277</v>
      </c>
      <c r="R6264" s="17" t="s">
        <v>203</v>
      </c>
      <c r="S6264" s="17"/>
      <c r="T6264" s="17"/>
      <c r="U6264" s="17"/>
    </row>
    <row r="6265" spans="17:21" x14ac:dyDescent="0.25">
      <c r="Q6265" s="17" t="s">
        <v>6870</v>
      </c>
      <c r="R6265" s="17" t="s">
        <v>203</v>
      </c>
      <c r="S6265" s="17"/>
      <c r="T6265" s="17"/>
      <c r="U6265" s="17"/>
    </row>
    <row r="6266" spans="17:21" x14ac:dyDescent="0.25">
      <c r="Q6266" s="17" t="s">
        <v>6871</v>
      </c>
      <c r="R6266" s="17" t="s">
        <v>203</v>
      </c>
      <c r="S6266" s="17"/>
      <c r="T6266" s="17"/>
      <c r="U6266" s="17"/>
    </row>
    <row r="6267" spans="17:21" x14ac:dyDescent="0.25">
      <c r="Q6267" s="17" t="s">
        <v>852</v>
      </c>
      <c r="R6267" s="17" t="s">
        <v>203</v>
      </c>
      <c r="S6267" s="17"/>
      <c r="T6267" s="17"/>
      <c r="U6267" s="17"/>
    </row>
    <row r="6268" spans="17:21" x14ac:dyDescent="0.25">
      <c r="Q6268" s="17" t="s">
        <v>367</v>
      </c>
      <c r="R6268" s="17" t="s">
        <v>203</v>
      </c>
      <c r="S6268" s="17"/>
      <c r="T6268" s="17"/>
      <c r="U6268" s="17"/>
    </row>
    <row r="6269" spans="17:21" x14ac:dyDescent="0.25">
      <c r="Q6269" s="17" t="s">
        <v>6872</v>
      </c>
      <c r="R6269" s="17" t="s">
        <v>227</v>
      </c>
      <c r="S6269" s="17"/>
      <c r="T6269" s="17"/>
      <c r="U6269" s="17"/>
    </row>
    <row r="6270" spans="17:21" x14ac:dyDescent="0.25">
      <c r="Q6270" s="17" t="s">
        <v>795</v>
      </c>
      <c r="R6270" s="17" t="s">
        <v>203</v>
      </c>
      <c r="S6270" s="17"/>
      <c r="T6270" s="17"/>
      <c r="U6270" s="17"/>
    </row>
    <row r="6271" spans="17:21" x14ac:dyDescent="0.25">
      <c r="Q6271" s="17" t="s">
        <v>615</v>
      </c>
      <c r="R6271" s="17" t="s">
        <v>293</v>
      </c>
      <c r="S6271" s="17"/>
      <c r="T6271" s="17"/>
      <c r="U6271" s="17"/>
    </row>
    <row r="6272" spans="17:21" x14ac:dyDescent="0.25">
      <c r="Q6272" s="17" t="s">
        <v>6873</v>
      </c>
      <c r="R6272" s="17" t="s">
        <v>293</v>
      </c>
      <c r="S6272" s="17"/>
      <c r="T6272" s="17"/>
      <c r="U6272" s="17"/>
    </row>
    <row r="6273" spans="17:21" x14ac:dyDescent="0.25">
      <c r="Q6273" s="17" t="s">
        <v>6874</v>
      </c>
      <c r="R6273" s="17" t="s">
        <v>293</v>
      </c>
      <c r="S6273" s="17"/>
      <c r="T6273" s="17"/>
      <c r="U6273" s="17"/>
    </row>
    <row r="6274" spans="17:21" x14ac:dyDescent="0.25">
      <c r="Q6274" s="17" t="s">
        <v>1240</v>
      </c>
      <c r="R6274" s="17" t="s">
        <v>293</v>
      </c>
      <c r="S6274" s="17"/>
      <c r="T6274" s="17"/>
      <c r="U6274" s="17"/>
    </row>
    <row r="6275" spans="17:21" x14ac:dyDescent="0.25">
      <c r="Q6275" s="17" t="s">
        <v>6875</v>
      </c>
      <c r="R6275" s="17" t="s">
        <v>293</v>
      </c>
      <c r="S6275" s="17"/>
      <c r="T6275" s="17"/>
      <c r="U6275" s="17"/>
    </row>
    <row r="6276" spans="17:21" x14ac:dyDescent="0.25">
      <c r="Q6276" s="17" t="s">
        <v>6876</v>
      </c>
      <c r="R6276" s="17" t="s">
        <v>293</v>
      </c>
      <c r="S6276" s="17"/>
      <c r="T6276" s="17"/>
      <c r="U6276" s="17"/>
    </row>
    <row r="6277" spans="17:21" x14ac:dyDescent="0.25">
      <c r="Q6277" s="17" t="s">
        <v>6877</v>
      </c>
      <c r="R6277" s="17" t="s">
        <v>293</v>
      </c>
      <c r="S6277" s="17"/>
      <c r="T6277" s="17"/>
      <c r="U6277" s="17"/>
    </row>
    <row r="6278" spans="17:21" x14ac:dyDescent="0.25">
      <c r="Q6278" s="17" t="s">
        <v>6878</v>
      </c>
      <c r="R6278" s="17" t="s">
        <v>293</v>
      </c>
      <c r="S6278" s="17"/>
      <c r="T6278" s="17"/>
      <c r="U6278" s="17"/>
    </row>
    <row r="6279" spans="17:21" x14ac:dyDescent="0.25">
      <c r="Q6279" s="17" t="s">
        <v>6879</v>
      </c>
      <c r="R6279" s="17" t="s">
        <v>293</v>
      </c>
      <c r="S6279" s="17"/>
      <c r="T6279" s="17"/>
      <c r="U6279" s="17"/>
    </row>
    <row r="6280" spans="17:21" x14ac:dyDescent="0.25">
      <c r="Q6280" s="17" t="s">
        <v>6880</v>
      </c>
      <c r="R6280" s="17" t="s">
        <v>293</v>
      </c>
      <c r="S6280" s="17"/>
      <c r="T6280" s="17"/>
      <c r="U6280" s="17"/>
    </row>
    <row r="6281" spans="17:21" x14ac:dyDescent="0.25">
      <c r="Q6281" s="17" t="s">
        <v>6881</v>
      </c>
      <c r="R6281" s="17" t="s">
        <v>293</v>
      </c>
      <c r="S6281" s="17"/>
      <c r="T6281" s="17"/>
      <c r="U6281" s="17"/>
    </row>
    <row r="6282" spans="17:21" x14ac:dyDescent="0.25">
      <c r="Q6282" s="17" t="s">
        <v>6882</v>
      </c>
      <c r="R6282" s="17" t="s">
        <v>293</v>
      </c>
      <c r="S6282" s="17"/>
      <c r="T6282" s="17"/>
      <c r="U6282" s="17"/>
    </row>
    <row r="6283" spans="17:21" x14ac:dyDescent="0.25">
      <c r="Q6283" s="17" t="s">
        <v>1322</v>
      </c>
      <c r="R6283" s="17" t="s">
        <v>293</v>
      </c>
      <c r="S6283" s="17"/>
      <c r="T6283" s="17"/>
      <c r="U6283" s="17"/>
    </row>
    <row r="6284" spans="17:21" x14ac:dyDescent="0.25">
      <c r="Q6284" s="17" t="s">
        <v>6883</v>
      </c>
      <c r="R6284" s="17" t="s">
        <v>293</v>
      </c>
      <c r="S6284" s="17"/>
      <c r="T6284" s="17"/>
      <c r="U6284" s="17"/>
    </row>
    <row r="6285" spans="17:21" x14ac:dyDescent="0.25">
      <c r="Q6285" s="17" t="s">
        <v>6884</v>
      </c>
      <c r="R6285" s="17" t="s">
        <v>293</v>
      </c>
      <c r="S6285" s="17"/>
      <c r="T6285" s="17"/>
      <c r="U6285" s="17"/>
    </row>
    <row r="6286" spans="17:21" x14ac:dyDescent="0.25">
      <c r="Q6286" s="17" t="s">
        <v>6885</v>
      </c>
      <c r="R6286" s="17" t="s">
        <v>293</v>
      </c>
      <c r="S6286" s="17"/>
      <c r="T6286" s="17"/>
      <c r="U6286" s="17"/>
    </row>
    <row r="6287" spans="17:21" x14ac:dyDescent="0.25">
      <c r="Q6287" s="17" t="s">
        <v>6886</v>
      </c>
      <c r="R6287" s="17" t="s">
        <v>293</v>
      </c>
      <c r="S6287" s="17"/>
      <c r="T6287" s="17"/>
      <c r="U6287" s="17"/>
    </row>
    <row r="6288" spans="17:21" x14ac:dyDescent="0.25">
      <c r="Q6288" s="17" t="s">
        <v>6887</v>
      </c>
      <c r="R6288" s="17" t="s">
        <v>293</v>
      </c>
      <c r="S6288" s="17"/>
      <c r="T6288" s="17"/>
      <c r="U6288" s="17"/>
    </row>
    <row r="6289" spans="17:21" x14ac:dyDescent="0.25">
      <c r="Q6289" s="17" t="s">
        <v>6888</v>
      </c>
      <c r="R6289" s="17" t="s">
        <v>293</v>
      </c>
      <c r="S6289" s="17"/>
      <c r="T6289" s="17"/>
      <c r="U6289" s="17"/>
    </row>
    <row r="6290" spans="17:21" x14ac:dyDescent="0.25">
      <c r="Q6290" s="17" t="s">
        <v>6889</v>
      </c>
      <c r="R6290" s="17" t="s">
        <v>293</v>
      </c>
      <c r="S6290" s="17"/>
      <c r="T6290" s="17"/>
      <c r="U6290" s="17"/>
    </row>
    <row r="6291" spans="17:21" x14ac:dyDescent="0.25">
      <c r="Q6291" s="17" t="s">
        <v>6890</v>
      </c>
      <c r="R6291" s="17" t="s">
        <v>293</v>
      </c>
      <c r="S6291" s="17"/>
      <c r="T6291" s="17"/>
      <c r="U6291" s="17"/>
    </row>
    <row r="6292" spans="17:21" x14ac:dyDescent="0.25">
      <c r="Q6292" s="17" t="s">
        <v>6891</v>
      </c>
      <c r="R6292" s="17" t="s">
        <v>221</v>
      </c>
      <c r="S6292" s="17"/>
      <c r="T6292" s="17"/>
      <c r="U6292" s="17"/>
    </row>
    <row r="6293" spans="17:21" x14ac:dyDescent="0.25">
      <c r="Q6293" s="17" t="s">
        <v>6892</v>
      </c>
      <c r="R6293" s="17" t="s">
        <v>221</v>
      </c>
      <c r="S6293" s="17"/>
      <c r="T6293" s="17"/>
      <c r="U6293" s="17"/>
    </row>
    <row r="6294" spans="17:21" x14ac:dyDescent="0.25">
      <c r="Q6294" s="17" t="s">
        <v>6893</v>
      </c>
      <c r="R6294" s="17" t="s">
        <v>221</v>
      </c>
      <c r="S6294" s="17"/>
      <c r="T6294" s="17"/>
      <c r="U6294" s="17"/>
    </row>
    <row r="6295" spans="17:21" x14ac:dyDescent="0.25">
      <c r="Q6295" s="17" t="s">
        <v>1127</v>
      </c>
      <c r="R6295" s="17" t="s">
        <v>221</v>
      </c>
      <c r="S6295" s="17"/>
      <c r="T6295" s="17"/>
      <c r="U6295" s="17"/>
    </row>
    <row r="6296" spans="17:21" x14ac:dyDescent="0.25">
      <c r="Q6296" s="17" t="s">
        <v>1044</v>
      </c>
      <c r="R6296" s="17" t="s">
        <v>211</v>
      </c>
      <c r="S6296" s="17"/>
      <c r="T6296" s="17"/>
      <c r="U6296" s="17"/>
    </row>
    <row r="6297" spans="17:21" x14ac:dyDescent="0.25">
      <c r="Q6297" s="17" t="s">
        <v>1288</v>
      </c>
      <c r="R6297" s="17" t="s">
        <v>211</v>
      </c>
      <c r="S6297" s="17"/>
      <c r="T6297" s="17"/>
      <c r="U6297" s="17"/>
    </row>
    <row r="6298" spans="17:21" x14ac:dyDescent="0.25">
      <c r="Q6298" s="17" t="s">
        <v>1332</v>
      </c>
      <c r="R6298" s="17" t="s">
        <v>211</v>
      </c>
      <c r="S6298" s="17"/>
      <c r="T6298" s="17"/>
      <c r="U6298" s="17"/>
    </row>
    <row r="6299" spans="17:21" x14ac:dyDescent="0.25">
      <c r="Q6299" s="17" t="s">
        <v>1209</v>
      </c>
      <c r="R6299" s="17" t="s">
        <v>211</v>
      </c>
      <c r="S6299" s="17"/>
      <c r="T6299" s="17"/>
      <c r="U6299" s="17"/>
    </row>
    <row r="6300" spans="17:21" x14ac:dyDescent="0.25">
      <c r="Q6300" s="17" t="s">
        <v>6894</v>
      </c>
      <c r="R6300" s="17" t="s">
        <v>6153</v>
      </c>
      <c r="S6300" s="17"/>
      <c r="T6300" s="17"/>
      <c r="U6300" s="17"/>
    </row>
    <row r="6301" spans="17:21" x14ac:dyDescent="0.25">
      <c r="Q6301" s="17" t="s">
        <v>6895</v>
      </c>
      <c r="R6301" s="17" t="s">
        <v>6153</v>
      </c>
      <c r="S6301" s="17"/>
      <c r="T6301" s="17"/>
      <c r="U6301" s="17"/>
    </row>
    <row r="6302" spans="17:21" x14ac:dyDescent="0.25">
      <c r="Q6302" s="17" t="s">
        <v>6896</v>
      </c>
      <c r="R6302" s="17" t="s">
        <v>6153</v>
      </c>
      <c r="S6302" s="17"/>
      <c r="T6302" s="17"/>
      <c r="U6302" s="17"/>
    </row>
    <row r="6303" spans="17:21" x14ac:dyDescent="0.25">
      <c r="Q6303" s="17" t="s">
        <v>6897</v>
      </c>
      <c r="R6303" s="17" t="s">
        <v>6153</v>
      </c>
      <c r="S6303" s="17"/>
      <c r="T6303" s="17"/>
      <c r="U6303" s="17"/>
    </row>
    <row r="6304" spans="17:21" x14ac:dyDescent="0.25">
      <c r="Q6304" s="17" t="s">
        <v>6898</v>
      </c>
      <c r="R6304" s="17" t="s">
        <v>6153</v>
      </c>
      <c r="S6304" s="17"/>
      <c r="T6304" s="17"/>
      <c r="U6304" s="17"/>
    </row>
    <row r="6305" spans="17:21" x14ac:dyDescent="0.25">
      <c r="Q6305" s="17" t="s">
        <v>6899</v>
      </c>
      <c r="R6305" s="17" t="s">
        <v>6153</v>
      </c>
      <c r="S6305" s="17"/>
      <c r="T6305" s="17"/>
      <c r="U6305" s="17"/>
    </row>
    <row r="6306" spans="17:21" x14ac:dyDescent="0.25">
      <c r="Q6306" s="17" t="s">
        <v>6900</v>
      </c>
      <c r="R6306" s="17" t="s">
        <v>6153</v>
      </c>
      <c r="S6306" s="17"/>
      <c r="T6306" s="17"/>
      <c r="U6306" s="17"/>
    </row>
    <row r="6307" spans="17:21" x14ac:dyDescent="0.25">
      <c r="Q6307" s="17" t="s">
        <v>6901</v>
      </c>
      <c r="R6307" s="17" t="s">
        <v>6153</v>
      </c>
      <c r="S6307" s="17"/>
      <c r="T6307" s="17"/>
      <c r="U6307" s="17"/>
    </row>
    <row r="6308" spans="17:21" x14ac:dyDescent="0.25">
      <c r="Q6308" s="17" t="s">
        <v>6902</v>
      </c>
      <c r="R6308" s="17" t="s">
        <v>6153</v>
      </c>
      <c r="S6308" s="17"/>
      <c r="T6308" s="17"/>
      <c r="U6308" s="17"/>
    </row>
    <row r="6309" spans="17:21" x14ac:dyDescent="0.25">
      <c r="Q6309" s="17" t="s">
        <v>6903</v>
      </c>
      <c r="R6309" s="17" t="s">
        <v>6417</v>
      </c>
      <c r="S6309" s="17"/>
      <c r="T6309" s="17"/>
      <c r="U6309" s="17"/>
    </row>
    <row r="6310" spans="17:21" x14ac:dyDescent="0.25">
      <c r="Q6310" s="17" t="s">
        <v>6904</v>
      </c>
      <c r="R6310" s="17" t="s">
        <v>6153</v>
      </c>
      <c r="S6310" s="17"/>
      <c r="T6310" s="17"/>
      <c r="U6310" s="17"/>
    </row>
    <row r="6311" spans="17:21" x14ac:dyDescent="0.25">
      <c r="Q6311" s="17" t="s">
        <v>6905</v>
      </c>
      <c r="R6311" s="17" t="s">
        <v>6153</v>
      </c>
      <c r="S6311" s="17"/>
      <c r="T6311" s="17"/>
      <c r="U6311" s="17"/>
    </row>
    <row r="6312" spans="17:21" x14ac:dyDescent="0.25">
      <c r="Q6312" s="17" t="s">
        <v>6906</v>
      </c>
      <c r="R6312" s="17" t="s">
        <v>6153</v>
      </c>
      <c r="S6312" s="17"/>
      <c r="T6312" s="17"/>
      <c r="U6312" s="17"/>
    </row>
    <row r="6313" spans="17:21" x14ac:dyDescent="0.25">
      <c r="Q6313" s="17" t="s">
        <v>6907</v>
      </c>
      <c r="R6313" s="17" t="s">
        <v>6153</v>
      </c>
      <c r="S6313" s="17"/>
      <c r="T6313" s="17"/>
      <c r="U6313" s="17"/>
    </row>
    <row r="6314" spans="17:21" x14ac:dyDescent="0.25">
      <c r="Q6314" s="17" t="s">
        <v>6908</v>
      </c>
      <c r="R6314" s="17" t="s">
        <v>6153</v>
      </c>
      <c r="S6314" s="17"/>
      <c r="T6314" s="17"/>
      <c r="U6314" s="17"/>
    </row>
    <row r="6315" spans="17:21" x14ac:dyDescent="0.25">
      <c r="Q6315" s="17" t="s">
        <v>6909</v>
      </c>
      <c r="R6315" s="17" t="s">
        <v>6153</v>
      </c>
      <c r="S6315" s="17"/>
      <c r="T6315" s="17"/>
      <c r="U6315" s="17"/>
    </row>
    <row r="6316" spans="17:21" x14ac:dyDescent="0.25">
      <c r="Q6316" s="17" t="s">
        <v>6910</v>
      </c>
      <c r="R6316" s="17" t="s">
        <v>6153</v>
      </c>
      <c r="S6316" s="17"/>
      <c r="T6316" s="17"/>
      <c r="U6316" s="17"/>
    </row>
    <row r="6317" spans="17:21" x14ac:dyDescent="0.25">
      <c r="Q6317" s="17" t="s">
        <v>6911</v>
      </c>
      <c r="R6317" s="17" t="s">
        <v>6153</v>
      </c>
      <c r="S6317" s="17"/>
      <c r="T6317" s="17"/>
      <c r="U6317" s="17"/>
    </row>
    <row r="6318" spans="17:21" x14ac:dyDescent="0.25">
      <c r="Q6318" s="17" t="s">
        <v>6912</v>
      </c>
      <c r="R6318" s="17" t="s">
        <v>6153</v>
      </c>
      <c r="S6318" s="17"/>
      <c r="T6318" s="17"/>
      <c r="U6318" s="17"/>
    </row>
    <row r="6319" spans="17:21" x14ac:dyDescent="0.25">
      <c r="Q6319" s="17" t="s">
        <v>6913</v>
      </c>
      <c r="R6319" s="17" t="s">
        <v>6153</v>
      </c>
      <c r="S6319" s="17"/>
      <c r="T6319" s="17"/>
      <c r="U6319" s="17"/>
    </row>
    <row r="6320" spans="17:21" x14ac:dyDescent="0.25">
      <c r="Q6320" s="17" t="s">
        <v>6914</v>
      </c>
      <c r="R6320" s="17" t="s">
        <v>6153</v>
      </c>
      <c r="S6320" s="17"/>
      <c r="T6320" s="17"/>
      <c r="U6320" s="17"/>
    </row>
    <row r="6321" spans="17:21" x14ac:dyDescent="0.25">
      <c r="Q6321" s="17" t="s">
        <v>6915</v>
      </c>
      <c r="R6321" s="17" t="s">
        <v>6153</v>
      </c>
      <c r="S6321" s="17"/>
      <c r="T6321" s="17"/>
      <c r="U6321" s="17"/>
    </row>
    <row r="6322" spans="17:21" x14ac:dyDescent="0.25">
      <c r="Q6322" s="17" t="s">
        <v>6916</v>
      </c>
      <c r="R6322" s="17" t="s">
        <v>6153</v>
      </c>
      <c r="S6322" s="17"/>
      <c r="T6322" s="17"/>
      <c r="U6322" s="17"/>
    </row>
    <row r="6323" spans="17:21" x14ac:dyDescent="0.25">
      <c r="Q6323" s="17" t="s">
        <v>6917</v>
      </c>
      <c r="R6323" s="17" t="s">
        <v>6153</v>
      </c>
      <c r="S6323" s="17"/>
      <c r="T6323" s="17"/>
      <c r="U6323" s="17"/>
    </row>
    <row r="6324" spans="17:21" x14ac:dyDescent="0.25">
      <c r="Q6324" s="17" t="s">
        <v>6918</v>
      </c>
      <c r="R6324" s="17" t="s">
        <v>6153</v>
      </c>
      <c r="S6324" s="17"/>
      <c r="T6324" s="17"/>
      <c r="U6324" s="17"/>
    </row>
    <row r="6325" spans="17:21" x14ac:dyDescent="0.25">
      <c r="Q6325" s="17" t="s">
        <v>6919</v>
      </c>
      <c r="R6325" s="17" t="s">
        <v>6153</v>
      </c>
      <c r="S6325" s="17"/>
      <c r="T6325" s="17"/>
      <c r="U6325" s="17"/>
    </row>
    <row r="6326" spans="17:21" x14ac:dyDescent="0.25">
      <c r="Q6326" s="17" t="s">
        <v>6920</v>
      </c>
      <c r="R6326" s="17" t="s">
        <v>6153</v>
      </c>
      <c r="S6326" s="17"/>
      <c r="T6326" s="17"/>
      <c r="U6326" s="17"/>
    </row>
    <row r="6327" spans="17:21" x14ac:dyDescent="0.25">
      <c r="Q6327" s="17" t="s">
        <v>6921</v>
      </c>
      <c r="R6327" s="17" t="s">
        <v>6153</v>
      </c>
      <c r="S6327" s="17"/>
      <c r="T6327" s="17"/>
      <c r="U6327" s="17"/>
    </row>
    <row r="6328" spans="17:21" x14ac:dyDescent="0.25">
      <c r="Q6328" s="17" t="s">
        <v>6922</v>
      </c>
      <c r="R6328" s="17" t="s">
        <v>6153</v>
      </c>
      <c r="S6328" s="17"/>
      <c r="T6328" s="17"/>
      <c r="U6328" s="17"/>
    </row>
    <row r="6329" spans="17:21" x14ac:dyDescent="0.25">
      <c r="Q6329" s="17" t="s">
        <v>6923</v>
      </c>
      <c r="R6329" s="17" t="s">
        <v>6153</v>
      </c>
      <c r="S6329" s="17"/>
      <c r="T6329" s="17"/>
      <c r="U6329" s="17"/>
    </row>
    <row r="6330" spans="17:21" x14ac:dyDescent="0.25">
      <c r="Q6330" s="17" t="s">
        <v>6924</v>
      </c>
      <c r="R6330" s="17" t="s">
        <v>6153</v>
      </c>
      <c r="S6330" s="17"/>
      <c r="T6330" s="17"/>
      <c r="U6330" s="17"/>
    </row>
    <row r="6331" spans="17:21" x14ac:dyDescent="0.25">
      <c r="Q6331" s="17" t="s">
        <v>6925</v>
      </c>
      <c r="R6331" s="17" t="s">
        <v>6153</v>
      </c>
      <c r="S6331" s="17"/>
      <c r="T6331" s="17"/>
      <c r="U6331" s="17"/>
    </row>
    <row r="6332" spans="17:21" x14ac:dyDescent="0.25">
      <c r="Q6332" s="17" t="s">
        <v>6926</v>
      </c>
      <c r="R6332" s="17" t="s">
        <v>6153</v>
      </c>
      <c r="S6332" s="17"/>
      <c r="T6332" s="17"/>
      <c r="U6332" s="17"/>
    </row>
    <row r="6333" spans="17:21" x14ac:dyDescent="0.25">
      <c r="Q6333" s="17" t="s">
        <v>6927</v>
      </c>
      <c r="R6333" s="17" t="s">
        <v>6153</v>
      </c>
      <c r="S6333" s="17"/>
      <c r="T6333" s="17"/>
      <c r="U6333" s="17"/>
    </row>
    <row r="6334" spans="17:21" x14ac:dyDescent="0.25">
      <c r="Q6334" s="17" t="s">
        <v>6928</v>
      </c>
      <c r="R6334" s="17" t="s">
        <v>6153</v>
      </c>
      <c r="S6334" s="17"/>
      <c r="T6334" s="17"/>
      <c r="U6334" s="17"/>
    </row>
    <row r="6335" spans="17:21" x14ac:dyDescent="0.25">
      <c r="Q6335" s="17" t="s">
        <v>6929</v>
      </c>
      <c r="R6335" s="17" t="s">
        <v>6153</v>
      </c>
      <c r="S6335" s="17"/>
      <c r="T6335" s="17"/>
      <c r="U6335" s="17"/>
    </row>
    <row r="6336" spans="17:21" x14ac:dyDescent="0.25">
      <c r="Q6336" s="17" t="s">
        <v>6930</v>
      </c>
      <c r="R6336" s="17" t="s">
        <v>6153</v>
      </c>
      <c r="S6336" s="17"/>
      <c r="T6336" s="17"/>
      <c r="U6336" s="17"/>
    </row>
    <row r="6337" spans="17:21" x14ac:dyDescent="0.25">
      <c r="Q6337" s="17" t="s">
        <v>6931</v>
      </c>
      <c r="R6337" s="17" t="s">
        <v>6153</v>
      </c>
      <c r="S6337" s="17"/>
      <c r="T6337" s="17"/>
      <c r="U6337" s="17"/>
    </row>
    <row r="6338" spans="17:21" x14ac:dyDescent="0.25">
      <c r="Q6338" s="17" t="s">
        <v>6932</v>
      </c>
      <c r="R6338" s="17" t="s">
        <v>6153</v>
      </c>
      <c r="S6338" s="17"/>
      <c r="T6338" s="17"/>
      <c r="U6338" s="17"/>
    </row>
    <row r="6339" spans="17:21" x14ac:dyDescent="0.25">
      <c r="Q6339" s="17" t="s">
        <v>6933</v>
      </c>
      <c r="R6339" s="17" t="s">
        <v>6153</v>
      </c>
      <c r="S6339" s="17"/>
      <c r="T6339" s="17"/>
      <c r="U6339" s="17"/>
    </row>
    <row r="6340" spans="17:21" x14ac:dyDescent="0.25">
      <c r="Q6340" s="17" t="s">
        <v>6934</v>
      </c>
      <c r="R6340" s="17" t="s">
        <v>6153</v>
      </c>
      <c r="S6340" s="17"/>
      <c r="T6340" s="17"/>
      <c r="U6340" s="17"/>
    </row>
    <row r="6341" spans="17:21" x14ac:dyDescent="0.25">
      <c r="Q6341" s="17" t="s">
        <v>6935</v>
      </c>
      <c r="R6341" s="17" t="s">
        <v>6153</v>
      </c>
      <c r="S6341" s="17"/>
      <c r="T6341" s="17"/>
      <c r="U6341" s="17"/>
    </row>
    <row r="6342" spans="17:21" x14ac:dyDescent="0.25">
      <c r="Q6342" s="17" t="s">
        <v>6936</v>
      </c>
      <c r="R6342" s="17" t="s">
        <v>6153</v>
      </c>
      <c r="S6342" s="17"/>
      <c r="T6342" s="17"/>
      <c r="U6342" s="17"/>
    </row>
    <row r="6343" spans="17:21" x14ac:dyDescent="0.25">
      <c r="Q6343" s="17" t="s">
        <v>6937</v>
      </c>
      <c r="R6343" s="17" t="s">
        <v>6153</v>
      </c>
      <c r="S6343" s="17"/>
      <c r="T6343" s="17"/>
      <c r="U6343" s="17"/>
    </row>
    <row r="6344" spans="17:21" x14ac:dyDescent="0.25">
      <c r="Q6344" s="17" t="s">
        <v>6938</v>
      </c>
      <c r="R6344" s="17" t="s">
        <v>6153</v>
      </c>
      <c r="S6344" s="17"/>
      <c r="T6344" s="17"/>
      <c r="U6344" s="17"/>
    </row>
    <row r="6345" spans="17:21" x14ac:dyDescent="0.25">
      <c r="Q6345" s="17" t="s">
        <v>6939</v>
      </c>
      <c r="R6345" s="17" t="s">
        <v>6153</v>
      </c>
      <c r="S6345" s="17"/>
      <c r="T6345" s="17"/>
      <c r="U6345" s="17"/>
    </row>
    <row r="6346" spans="17:21" x14ac:dyDescent="0.25">
      <c r="Q6346" s="17" t="s">
        <v>6940</v>
      </c>
      <c r="R6346" s="17" t="s">
        <v>6153</v>
      </c>
      <c r="S6346" s="17"/>
      <c r="T6346" s="17"/>
      <c r="U6346" s="17"/>
    </row>
    <row r="6347" spans="17:21" x14ac:dyDescent="0.25">
      <c r="Q6347" s="17" t="s">
        <v>6941</v>
      </c>
      <c r="R6347" s="17" t="s">
        <v>6153</v>
      </c>
      <c r="S6347" s="17"/>
      <c r="T6347" s="17"/>
      <c r="U6347" s="17"/>
    </row>
    <row r="6348" spans="17:21" x14ac:dyDescent="0.25">
      <c r="Q6348" s="17" t="s">
        <v>6942</v>
      </c>
      <c r="R6348" s="17" t="s">
        <v>6153</v>
      </c>
      <c r="S6348" s="17"/>
      <c r="T6348" s="17"/>
      <c r="U6348" s="17"/>
    </row>
    <row r="6349" spans="17:21" x14ac:dyDescent="0.25">
      <c r="Q6349" s="17" t="s">
        <v>6943</v>
      </c>
      <c r="R6349" s="17" t="s">
        <v>6153</v>
      </c>
      <c r="S6349" s="17"/>
      <c r="T6349" s="17"/>
      <c r="U6349" s="17"/>
    </row>
    <row r="6350" spans="17:21" x14ac:dyDescent="0.25">
      <c r="Q6350" s="17" t="s">
        <v>6944</v>
      </c>
      <c r="R6350" s="17" t="s">
        <v>6153</v>
      </c>
      <c r="S6350" s="17"/>
      <c r="T6350" s="17"/>
      <c r="U6350" s="17"/>
    </row>
    <row r="6351" spans="17:21" x14ac:dyDescent="0.25">
      <c r="Q6351" s="17" t="s">
        <v>6945</v>
      </c>
      <c r="R6351" s="17" t="s">
        <v>6153</v>
      </c>
      <c r="S6351" s="17"/>
      <c r="T6351" s="17"/>
      <c r="U6351" s="17"/>
    </row>
    <row r="6352" spans="17:21" x14ac:dyDescent="0.25">
      <c r="Q6352" s="17" t="s">
        <v>6946</v>
      </c>
      <c r="R6352" s="17" t="s">
        <v>6153</v>
      </c>
      <c r="S6352" s="17"/>
      <c r="T6352" s="17"/>
      <c r="U6352" s="17"/>
    </row>
    <row r="6353" spans="17:21" x14ac:dyDescent="0.25">
      <c r="Q6353" s="17" t="s">
        <v>6947</v>
      </c>
      <c r="R6353" s="17" t="s">
        <v>6153</v>
      </c>
      <c r="S6353" s="17"/>
      <c r="T6353" s="17"/>
      <c r="U6353" s="17"/>
    </row>
    <row r="6354" spans="17:21" x14ac:dyDescent="0.25">
      <c r="Q6354" s="17" t="s">
        <v>6948</v>
      </c>
      <c r="R6354" s="17" t="s">
        <v>6153</v>
      </c>
      <c r="S6354" s="17"/>
      <c r="T6354" s="17"/>
      <c r="U6354" s="17"/>
    </row>
    <row r="6355" spans="17:21" x14ac:dyDescent="0.25">
      <c r="Q6355" s="17" t="s">
        <v>6949</v>
      </c>
      <c r="R6355" s="17" t="s">
        <v>6153</v>
      </c>
      <c r="S6355" s="17"/>
      <c r="T6355" s="17"/>
      <c r="U6355" s="17"/>
    </row>
    <row r="6356" spans="17:21" x14ac:dyDescent="0.25">
      <c r="Q6356" s="17" t="s">
        <v>6950</v>
      </c>
      <c r="R6356" s="17" t="s">
        <v>6153</v>
      </c>
      <c r="S6356" s="17"/>
      <c r="T6356" s="17"/>
      <c r="U6356" s="17"/>
    </row>
    <row r="6357" spans="17:21" x14ac:dyDescent="0.25">
      <c r="Q6357" s="17" t="s">
        <v>6951</v>
      </c>
      <c r="R6357" s="17" t="s">
        <v>6153</v>
      </c>
      <c r="S6357" s="17"/>
      <c r="T6357" s="17"/>
      <c r="U6357" s="17"/>
    </row>
    <row r="6358" spans="17:21" x14ac:dyDescent="0.25">
      <c r="Q6358" s="17" t="s">
        <v>6952</v>
      </c>
      <c r="R6358" s="17" t="s">
        <v>6153</v>
      </c>
      <c r="S6358" s="17"/>
      <c r="T6358" s="17"/>
      <c r="U6358" s="17"/>
    </row>
    <row r="6359" spans="17:21" x14ac:dyDescent="0.25">
      <c r="Q6359" s="17" t="s">
        <v>6953</v>
      </c>
      <c r="R6359" s="17" t="s">
        <v>6153</v>
      </c>
      <c r="S6359" s="17"/>
      <c r="T6359" s="17"/>
      <c r="U6359" s="17"/>
    </row>
    <row r="6360" spans="17:21" x14ac:dyDescent="0.25">
      <c r="Q6360" s="17" t="s">
        <v>6954</v>
      </c>
      <c r="R6360" s="17" t="s">
        <v>6153</v>
      </c>
      <c r="S6360" s="17"/>
      <c r="T6360" s="17"/>
      <c r="U6360" s="17"/>
    </row>
    <row r="6361" spans="17:21" x14ac:dyDescent="0.25">
      <c r="Q6361" s="17" t="s">
        <v>6955</v>
      </c>
      <c r="R6361" s="17" t="s">
        <v>6153</v>
      </c>
      <c r="S6361" s="17"/>
      <c r="T6361" s="17"/>
      <c r="U6361" s="17"/>
    </row>
    <row r="6362" spans="17:21" x14ac:dyDescent="0.25">
      <c r="Q6362" s="17" t="s">
        <v>6956</v>
      </c>
      <c r="R6362" s="17" t="s">
        <v>6153</v>
      </c>
      <c r="S6362" s="17"/>
      <c r="T6362" s="17"/>
      <c r="U6362" s="17"/>
    </row>
    <row r="6363" spans="17:21" x14ac:dyDescent="0.25">
      <c r="Q6363" s="17" t="s">
        <v>6957</v>
      </c>
      <c r="R6363" s="17" t="s">
        <v>6153</v>
      </c>
      <c r="S6363" s="17"/>
      <c r="T6363" s="17"/>
      <c r="U6363" s="17"/>
    </row>
    <row r="6364" spans="17:21" x14ac:dyDescent="0.25">
      <c r="Q6364" s="17" t="s">
        <v>6958</v>
      </c>
      <c r="R6364" s="17" t="s">
        <v>6153</v>
      </c>
      <c r="S6364" s="17"/>
      <c r="T6364" s="17"/>
      <c r="U6364" s="17"/>
    </row>
    <row r="6365" spans="17:21" x14ac:dyDescent="0.25">
      <c r="Q6365" s="17" t="s">
        <v>6959</v>
      </c>
      <c r="R6365" s="17" t="s">
        <v>6153</v>
      </c>
      <c r="S6365" s="17"/>
      <c r="T6365" s="17"/>
      <c r="U6365" s="17"/>
    </row>
    <row r="6366" spans="17:21" x14ac:dyDescent="0.25">
      <c r="Q6366" s="17" t="s">
        <v>6960</v>
      </c>
      <c r="R6366" s="17" t="s">
        <v>6153</v>
      </c>
      <c r="S6366" s="17"/>
      <c r="T6366" s="17"/>
      <c r="U6366" s="17"/>
    </row>
    <row r="6367" spans="17:21" x14ac:dyDescent="0.25">
      <c r="Q6367" s="17" t="s">
        <v>6961</v>
      </c>
      <c r="R6367" s="17" t="s">
        <v>6153</v>
      </c>
      <c r="S6367" s="17"/>
      <c r="T6367" s="17"/>
      <c r="U6367" s="17"/>
    </row>
    <row r="6368" spans="17:21" x14ac:dyDescent="0.25">
      <c r="Q6368" s="17" t="s">
        <v>6962</v>
      </c>
      <c r="R6368" s="17" t="s">
        <v>6153</v>
      </c>
      <c r="S6368" s="17"/>
      <c r="T6368" s="17"/>
      <c r="U6368" s="17"/>
    </row>
    <row r="6369" spans="17:21" x14ac:dyDescent="0.25">
      <c r="Q6369" s="17" t="s">
        <v>6963</v>
      </c>
      <c r="R6369" s="17" t="s">
        <v>6153</v>
      </c>
      <c r="S6369" s="17"/>
      <c r="T6369" s="17"/>
      <c r="U6369" s="17"/>
    </row>
    <row r="6370" spans="17:21" x14ac:dyDescent="0.25">
      <c r="Q6370" s="17" t="s">
        <v>6964</v>
      </c>
      <c r="R6370" s="17" t="s">
        <v>6153</v>
      </c>
      <c r="S6370" s="17"/>
      <c r="T6370" s="17"/>
      <c r="U6370" s="17"/>
    </row>
    <row r="6371" spans="17:21" x14ac:dyDescent="0.25">
      <c r="Q6371" s="17" t="s">
        <v>6965</v>
      </c>
      <c r="R6371" s="17" t="s">
        <v>6153</v>
      </c>
      <c r="S6371" s="17"/>
      <c r="T6371" s="17"/>
      <c r="U6371" s="17"/>
    </row>
    <row r="6372" spans="17:21" x14ac:dyDescent="0.25">
      <c r="Q6372" s="17" t="s">
        <v>6966</v>
      </c>
      <c r="R6372" s="17" t="s">
        <v>6153</v>
      </c>
      <c r="S6372" s="17"/>
      <c r="T6372" s="17"/>
      <c r="U6372" s="17"/>
    </row>
    <row r="6373" spans="17:21" x14ac:dyDescent="0.25">
      <c r="Q6373" s="17" t="s">
        <v>6967</v>
      </c>
      <c r="R6373" s="17" t="s">
        <v>6153</v>
      </c>
      <c r="S6373" s="17"/>
      <c r="T6373" s="17"/>
      <c r="U6373" s="17"/>
    </row>
    <row r="6374" spans="17:21" x14ac:dyDescent="0.25">
      <c r="Q6374" s="17" t="s">
        <v>6968</v>
      </c>
      <c r="R6374" s="17" t="s">
        <v>6153</v>
      </c>
      <c r="S6374" s="17"/>
      <c r="T6374" s="17"/>
      <c r="U6374" s="17"/>
    </row>
    <row r="6375" spans="17:21" x14ac:dyDescent="0.25">
      <c r="Q6375" s="17" t="s">
        <v>6969</v>
      </c>
      <c r="R6375" s="17" t="s">
        <v>6153</v>
      </c>
      <c r="S6375" s="17"/>
      <c r="T6375" s="17"/>
      <c r="U6375" s="17"/>
    </row>
    <row r="6376" spans="17:21" x14ac:dyDescent="0.25">
      <c r="Q6376" s="17" t="s">
        <v>6970</v>
      </c>
      <c r="R6376" s="17" t="s">
        <v>6153</v>
      </c>
      <c r="S6376" s="17"/>
      <c r="T6376" s="17"/>
      <c r="U6376" s="17"/>
    </row>
    <row r="6377" spans="17:21" x14ac:dyDescent="0.25">
      <c r="Q6377" s="17" t="s">
        <v>6971</v>
      </c>
      <c r="R6377" s="17" t="s">
        <v>6153</v>
      </c>
      <c r="S6377" s="17"/>
      <c r="T6377" s="17"/>
      <c r="U6377" s="17"/>
    </row>
    <row r="6378" spans="17:21" x14ac:dyDescent="0.25">
      <c r="Q6378" s="17" t="s">
        <v>6972</v>
      </c>
      <c r="R6378" s="17" t="s">
        <v>6153</v>
      </c>
      <c r="S6378" s="17"/>
      <c r="T6378" s="17"/>
      <c r="U6378" s="17"/>
    </row>
    <row r="6379" spans="17:21" x14ac:dyDescent="0.25">
      <c r="Q6379" s="17" t="s">
        <v>6973</v>
      </c>
      <c r="R6379" s="17" t="s">
        <v>6153</v>
      </c>
      <c r="S6379" s="17"/>
      <c r="T6379" s="17"/>
      <c r="U6379" s="17"/>
    </row>
    <row r="6380" spans="17:21" x14ac:dyDescent="0.25">
      <c r="Q6380" s="17" t="s">
        <v>6974</v>
      </c>
      <c r="R6380" s="17" t="s">
        <v>6153</v>
      </c>
      <c r="S6380" s="17"/>
      <c r="T6380" s="17"/>
      <c r="U6380" s="17"/>
    </row>
    <row r="6381" spans="17:21" x14ac:dyDescent="0.25">
      <c r="Q6381" s="17" t="s">
        <v>6975</v>
      </c>
      <c r="R6381" s="17" t="s">
        <v>6153</v>
      </c>
      <c r="S6381" s="17"/>
      <c r="T6381" s="17"/>
      <c r="U6381" s="17"/>
    </row>
    <row r="6382" spans="17:21" x14ac:dyDescent="0.25">
      <c r="Q6382" s="17" t="s">
        <v>6976</v>
      </c>
      <c r="R6382" s="17" t="s">
        <v>6153</v>
      </c>
      <c r="S6382" s="17"/>
      <c r="T6382" s="17"/>
      <c r="U6382" s="17"/>
    </row>
    <row r="6383" spans="17:21" x14ac:dyDescent="0.25">
      <c r="Q6383" s="17" t="s">
        <v>6977</v>
      </c>
      <c r="R6383" s="17" t="s">
        <v>6153</v>
      </c>
      <c r="S6383" s="17"/>
      <c r="T6383" s="17"/>
      <c r="U6383" s="17"/>
    </row>
    <row r="6384" spans="17:21" x14ac:dyDescent="0.25">
      <c r="Q6384" s="17" t="s">
        <v>6978</v>
      </c>
      <c r="R6384" s="17" t="s">
        <v>6153</v>
      </c>
      <c r="S6384" s="17"/>
      <c r="T6384" s="17"/>
      <c r="U6384" s="17"/>
    </row>
    <row r="6385" spans="17:21" x14ac:dyDescent="0.25">
      <c r="Q6385" s="17" t="s">
        <v>6979</v>
      </c>
      <c r="R6385" s="17" t="s">
        <v>6153</v>
      </c>
      <c r="S6385" s="17"/>
      <c r="T6385" s="17"/>
      <c r="U6385" s="17"/>
    </row>
    <row r="6386" spans="17:21" x14ac:dyDescent="0.25">
      <c r="Q6386" s="17" t="s">
        <v>6980</v>
      </c>
      <c r="R6386" s="17" t="s">
        <v>6153</v>
      </c>
      <c r="S6386" s="17"/>
      <c r="T6386" s="17"/>
      <c r="U6386" s="17"/>
    </row>
    <row r="6387" spans="17:21" x14ac:dyDescent="0.25">
      <c r="Q6387" s="17" t="s">
        <v>6981</v>
      </c>
      <c r="R6387" s="17" t="s">
        <v>6153</v>
      </c>
      <c r="S6387" s="17"/>
      <c r="T6387" s="17"/>
      <c r="U6387" s="17"/>
    </row>
    <row r="6388" spans="17:21" x14ac:dyDescent="0.25">
      <c r="Q6388" s="17" t="s">
        <v>6982</v>
      </c>
      <c r="R6388" s="17" t="s">
        <v>6153</v>
      </c>
      <c r="S6388" s="17"/>
      <c r="T6388" s="17"/>
      <c r="U6388" s="17"/>
    </row>
    <row r="6389" spans="17:21" x14ac:dyDescent="0.25">
      <c r="Q6389" s="17" t="s">
        <v>6983</v>
      </c>
      <c r="R6389" s="17" t="s">
        <v>6153</v>
      </c>
      <c r="S6389" s="17"/>
      <c r="T6389" s="17"/>
      <c r="U6389" s="17"/>
    </row>
    <row r="6390" spans="17:21" x14ac:dyDescent="0.25">
      <c r="Q6390" s="17" t="s">
        <v>6984</v>
      </c>
      <c r="R6390" s="17" t="s">
        <v>6153</v>
      </c>
      <c r="S6390" s="17"/>
      <c r="T6390" s="17"/>
      <c r="U6390" s="17"/>
    </row>
    <row r="6391" spans="17:21" x14ac:dyDescent="0.25">
      <c r="Q6391" s="17" t="s">
        <v>6985</v>
      </c>
      <c r="R6391" s="17" t="s">
        <v>6153</v>
      </c>
      <c r="S6391" s="17"/>
      <c r="T6391" s="17"/>
      <c r="U6391" s="17"/>
    </row>
    <row r="6392" spans="17:21" x14ac:dyDescent="0.25">
      <c r="Q6392" s="17" t="s">
        <v>6986</v>
      </c>
      <c r="R6392" s="17" t="s">
        <v>6153</v>
      </c>
      <c r="S6392" s="17"/>
      <c r="T6392" s="17"/>
      <c r="U6392" s="17"/>
    </row>
    <row r="6393" spans="17:21" x14ac:dyDescent="0.25">
      <c r="Q6393" s="17" t="s">
        <v>6987</v>
      </c>
      <c r="R6393" s="17" t="s">
        <v>6153</v>
      </c>
      <c r="S6393" s="17"/>
      <c r="T6393" s="17"/>
      <c r="U6393" s="17"/>
    </row>
    <row r="6394" spans="17:21" x14ac:dyDescent="0.25">
      <c r="Q6394" s="17" t="s">
        <v>6988</v>
      </c>
      <c r="R6394" s="17" t="s">
        <v>6153</v>
      </c>
      <c r="S6394" s="17"/>
      <c r="T6394" s="17"/>
      <c r="U6394" s="17"/>
    </row>
    <row r="6395" spans="17:21" x14ac:dyDescent="0.25">
      <c r="Q6395" s="17" t="s">
        <v>6989</v>
      </c>
      <c r="R6395" s="17" t="s">
        <v>6153</v>
      </c>
      <c r="S6395" s="17"/>
      <c r="T6395" s="17"/>
      <c r="U6395" s="17"/>
    </row>
    <row r="6396" spans="17:21" x14ac:dyDescent="0.25">
      <c r="Q6396" s="17" t="s">
        <v>6990</v>
      </c>
      <c r="R6396" s="17" t="s">
        <v>6153</v>
      </c>
      <c r="S6396" s="17"/>
      <c r="T6396" s="17"/>
      <c r="U6396" s="17"/>
    </row>
    <row r="6397" spans="17:21" x14ac:dyDescent="0.25">
      <c r="Q6397" s="17" t="s">
        <v>6991</v>
      </c>
      <c r="R6397" s="17" t="s">
        <v>6153</v>
      </c>
      <c r="S6397" s="17"/>
      <c r="T6397" s="17"/>
      <c r="U6397" s="17"/>
    </row>
    <row r="6398" spans="17:21" x14ac:dyDescent="0.25">
      <c r="Q6398" s="17" t="s">
        <v>6992</v>
      </c>
      <c r="R6398" s="17" t="s">
        <v>6153</v>
      </c>
      <c r="S6398" s="17"/>
      <c r="T6398" s="17"/>
      <c r="U6398" s="17"/>
    </row>
    <row r="6399" spans="17:21" x14ac:dyDescent="0.25">
      <c r="Q6399" s="17" t="s">
        <v>6993</v>
      </c>
      <c r="R6399" s="17" t="s">
        <v>6153</v>
      </c>
      <c r="S6399" s="17"/>
      <c r="T6399" s="17"/>
      <c r="U6399" s="17"/>
    </row>
    <row r="6400" spans="17:21" x14ac:dyDescent="0.25">
      <c r="Q6400" s="17" t="s">
        <v>6994</v>
      </c>
      <c r="R6400" s="17" t="s">
        <v>6153</v>
      </c>
      <c r="S6400" s="17"/>
      <c r="T6400" s="17"/>
      <c r="U6400" s="17"/>
    </row>
    <row r="6401" spans="17:21" x14ac:dyDescent="0.25">
      <c r="Q6401" s="17" t="s">
        <v>6995</v>
      </c>
      <c r="R6401" s="17" t="s">
        <v>6153</v>
      </c>
      <c r="S6401" s="17"/>
      <c r="T6401" s="17"/>
      <c r="U6401" s="17"/>
    </row>
    <row r="6402" spans="17:21" x14ac:dyDescent="0.25">
      <c r="Q6402" s="17" t="s">
        <v>6996</v>
      </c>
      <c r="R6402" s="17" t="s">
        <v>6153</v>
      </c>
      <c r="S6402" s="17"/>
      <c r="T6402" s="17"/>
      <c r="U6402" s="17"/>
    </row>
    <row r="6403" spans="17:21" x14ac:dyDescent="0.25">
      <c r="Q6403" s="17" t="s">
        <v>6997</v>
      </c>
      <c r="R6403" s="17" t="s">
        <v>6153</v>
      </c>
      <c r="S6403" s="17"/>
      <c r="T6403" s="17"/>
      <c r="U6403" s="17"/>
    </row>
    <row r="6404" spans="17:21" x14ac:dyDescent="0.25">
      <c r="Q6404" s="17" t="s">
        <v>6998</v>
      </c>
      <c r="R6404" s="17" t="s">
        <v>6153</v>
      </c>
      <c r="S6404" s="17"/>
      <c r="T6404" s="17"/>
      <c r="U6404" s="17"/>
    </row>
    <row r="6405" spans="17:21" x14ac:dyDescent="0.25">
      <c r="Q6405" s="17" t="s">
        <v>6999</v>
      </c>
      <c r="R6405" s="17" t="s">
        <v>6153</v>
      </c>
      <c r="S6405" s="17"/>
      <c r="T6405" s="17"/>
      <c r="U6405" s="17"/>
    </row>
    <row r="6406" spans="17:21" x14ac:dyDescent="0.25">
      <c r="Q6406" s="17" t="s">
        <v>7000</v>
      </c>
      <c r="R6406" s="17" t="s">
        <v>6153</v>
      </c>
      <c r="S6406" s="17"/>
      <c r="T6406" s="17"/>
      <c r="U6406" s="17"/>
    </row>
    <row r="6407" spans="17:21" x14ac:dyDescent="0.25">
      <c r="Q6407" s="17" t="s">
        <v>7001</v>
      </c>
      <c r="R6407" s="17" t="s">
        <v>6153</v>
      </c>
      <c r="S6407" s="17"/>
      <c r="T6407" s="17"/>
      <c r="U6407" s="17"/>
    </row>
    <row r="6408" spans="17:21" x14ac:dyDescent="0.25">
      <c r="Q6408" s="17" t="s">
        <v>7002</v>
      </c>
      <c r="R6408" s="17" t="s">
        <v>6153</v>
      </c>
      <c r="S6408" s="17"/>
      <c r="T6408" s="17"/>
      <c r="U6408" s="17"/>
    </row>
    <row r="6409" spans="17:21" x14ac:dyDescent="0.25">
      <c r="Q6409" s="17" t="s">
        <v>7003</v>
      </c>
      <c r="R6409" s="17" t="s">
        <v>6153</v>
      </c>
      <c r="S6409" s="17"/>
      <c r="T6409" s="17"/>
      <c r="U6409" s="17"/>
    </row>
    <row r="6410" spans="17:21" x14ac:dyDescent="0.25">
      <c r="Q6410" s="17" t="s">
        <v>7004</v>
      </c>
      <c r="R6410" s="17" t="s">
        <v>6153</v>
      </c>
      <c r="S6410" s="17"/>
      <c r="T6410" s="17"/>
      <c r="U6410" s="17"/>
    </row>
    <row r="6411" spans="17:21" x14ac:dyDescent="0.25">
      <c r="Q6411" s="17" t="s">
        <v>7005</v>
      </c>
      <c r="R6411" s="17" t="s">
        <v>6153</v>
      </c>
      <c r="S6411" s="17"/>
      <c r="T6411" s="17"/>
      <c r="U6411" s="17"/>
    </row>
    <row r="6412" spans="17:21" x14ac:dyDescent="0.25">
      <c r="Q6412" s="17" t="s">
        <v>7006</v>
      </c>
      <c r="R6412" s="17" t="s">
        <v>6153</v>
      </c>
      <c r="S6412" s="17"/>
      <c r="T6412" s="17"/>
      <c r="U6412" s="17"/>
    </row>
    <row r="6413" spans="17:21" x14ac:dyDescent="0.25">
      <c r="Q6413" s="17" t="s">
        <v>7007</v>
      </c>
      <c r="R6413" s="17" t="s">
        <v>6153</v>
      </c>
      <c r="S6413" s="17"/>
      <c r="T6413" s="17"/>
      <c r="U6413" s="17"/>
    </row>
    <row r="6414" spans="17:21" x14ac:dyDescent="0.25">
      <c r="Q6414" s="17" t="s">
        <v>7008</v>
      </c>
      <c r="R6414" s="17" t="s">
        <v>6153</v>
      </c>
      <c r="S6414" s="17"/>
      <c r="T6414" s="17"/>
      <c r="U6414" s="17"/>
    </row>
    <row r="6415" spans="17:21" x14ac:dyDescent="0.25">
      <c r="Q6415" s="17" t="s">
        <v>7009</v>
      </c>
      <c r="R6415" s="17" t="s">
        <v>213</v>
      </c>
      <c r="S6415" s="17"/>
      <c r="T6415" s="17"/>
      <c r="U6415" s="17"/>
    </row>
    <row r="6416" spans="17:21" x14ac:dyDescent="0.25">
      <c r="Q6416" s="17" t="s">
        <v>7010</v>
      </c>
      <c r="R6416" s="17" t="s">
        <v>213</v>
      </c>
      <c r="S6416" s="17"/>
      <c r="T6416" s="17"/>
      <c r="U6416" s="17"/>
    </row>
    <row r="6417" spans="17:21" x14ac:dyDescent="0.25">
      <c r="Q6417" s="17" t="s">
        <v>7011</v>
      </c>
      <c r="R6417" s="17" t="s">
        <v>213</v>
      </c>
      <c r="S6417" s="17"/>
      <c r="T6417" s="17"/>
      <c r="U6417" s="17"/>
    </row>
    <row r="6418" spans="17:21" x14ac:dyDescent="0.25">
      <c r="Q6418" s="17" t="s">
        <v>7012</v>
      </c>
      <c r="R6418" s="17" t="s">
        <v>213</v>
      </c>
      <c r="S6418" s="17"/>
      <c r="T6418" s="17"/>
      <c r="U6418" s="17"/>
    </row>
    <row r="6419" spans="17:21" x14ac:dyDescent="0.25">
      <c r="Q6419" s="17" t="s">
        <v>7013</v>
      </c>
      <c r="R6419" s="17" t="s">
        <v>213</v>
      </c>
      <c r="S6419" s="17"/>
      <c r="T6419" s="17"/>
      <c r="U6419" s="17"/>
    </row>
    <row r="6420" spans="17:21" x14ac:dyDescent="0.25">
      <c r="Q6420" s="17" t="s">
        <v>617</v>
      </c>
      <c r="R6420" s="17" t="s">
        <v>213</v>
      </c>
      <c r="S6420" s="17"/>
      <c r="T6420" s="17"/>
      <c r="U6420" s="17"/>
    </row>
    <row r="6421" spans="17:21" x14ac:dyDescent="0.25">
      <c r="Q6421" s="17" t="s">
        <v>7014</v>
      </c>
      <c r="R6421" s="17" t="s">
        <v>213</v>
      </c>
      <c r="S6421" s="17"/>
      <c r="T6421" s="17"/>
      <c r="U6421" s="17"/>
    </row>
    <row r="6422" spans="17:21" x14ac:dyDescent="0.25">
      <c r="Q6422" s="17" t="s">
        <v>7015</v>
      </c>
      <c r="R6422" s="17" t="s">
        <v>213</v>
      </c>
      <c r="S6422" s="17"/>
      <c r="T6422" s="17"/>
      <c r="U6422" s="17"/>
    </row>
    <row r="6423" spans="17:21" x14ac:dyDescent="0.25">
      <c r="Q6423" s="17" t="s">
        <v>7016</v>
      </c>
      <c r="R6423" s="17" t="s">
        <v>213</v>
      </c>
      <c r="S6423" s="17"/>
      <c r="T6423" s="17"/>
      <c r="U6423" s="17"/>
    </row>
    <row r="6424" spans="17:21" x14ac:dyDescent="0.25">
      <c r="Q6424" s="17" t="s">
        <v>7017</v>
      </c>
      <c r="R6424" s="17" t="s">
        <v>213</v>
      </c>
      <c r="S6424" s="17"/>
      <c r="T6424" s="17"/>
      <c r="U6424" s="17"/>
    </row>
    <row r="6425" spans="17:21" x14ac:dyDescent="0.25">
      <c r="Q6425" s="17" t="s">
        <v>7018</v>
      </c>
      <c r="R6425" s="17" t="s">
        <v>213</v>
      </c>
      <c r="S6425" s="17"/>
      <c r="T6425" s="17"/>
      <c r="U6425" s="17"/>
    </row>
    <row r="6426" spans="17:21" x14ac:dyDescent="0.25">
      <c r="Q6426" s="17" t="s">
        <v>7019</v>
      </c>
      <c r="R6426" s="17" t="s">
        <v>6417</v>
      </c>
      <c r="S6426" s="17"/>
      <c r="T6426" s="17"/>
      <c r="U6426" s="17"/>
    </row>
    <row r="6427" spans="17:21" x14ac:dyDescent="0.25">
      <c r="Q6427" s="17" t="s">
        <v>7020</v>
      </c>
      <c r="R6427" s="17" t="s">
        <v>6417</v>
      </c>
      <c r="S6427" s="17"/>
      <c r="T6427" s="17"/>
      <c r="U6427" s="17"/>
    </row>
    <row r="6428" spans="17:21" x14ac:dyDescent="0.25">
      <c r="Q6428" s="17" t="s">
        <v>7021</v>
      </c>
      <c r="R6428" s="17" t="s">
        <v>6417</v>
      </c>
      <c r="S6428" s="17"/>
      <c r="T6428" s="17"/>
      <c r="U6428" s="17"/>
    </row>
    <row r="6429" spans="17:21" x14ac:dyDescent="0.25">
      <c r="Q6429" s="17" t="s">
        <v>7022</v>
      </c>
      <c r="R6429" s="17" t="s">
        <v>6417</v>
      </c>
      <c r="S6429" s="17"/>
      <c r="T6429" s="17"/>
      <c r="U6429" s="17"/>
    </row>
    <row r="6430" spans="17:21" x14ac:dyDescent="0.25">
      <c r="Q6430" s="17" t="s">
        <v>7023</v>
      </c>
      <c r="R6430" s="17" t="s">
        <v>6417</v>
      </c>
      <c r="S6430" s="17"/>
      <c r="T6430" s="17"/>
      <c r="U6430" s="17"/>
    </row>
    <row r="6431" spans="17:21" x14ac:dyDescent="0.25">
      <c r="Q6431" s="17" t="s">
        <v>7024</v>
      </c>
      <c r="R6431" s="17" t="s">
        <v>6417</v>
      </c>
      <c r="S6431" s="17"/>
      <c r="T6431" s="17"/>
      <c r="U6431" s="17"/>
    </row>
    <row r="6432" spans="17:21" x14ac:dyDescent="0.25">
      <c r="Q6432" s="17" t="s">
        <v>7025</v>
      </c>
      <c r="R6432" s="17" t="s">
        <v>6417</v>
      </c>
      <c r="S6432" s="17"/>
      <c r="T6432" s="17"/>
      <c r="U6432" s="17"/>
    </row>
    <row r="6433" spans="17:21" x14ac:dyDescent="0.25">
      <c r="Q6433" s="17" t="s">
        <v>691</v>
      </c>
      <c r="R6433" s="17" t="s">
        <v>213</v>
      </c>
      <c r="S6433" s="17"/>
      <c r="T6433" s="17"/>
      <c r="U6433" s="17"/>
    </row>
    <row r="6434" spans="17:21" x14ac:dyDescent="0.25">
      <c r="Q6434" s="17" t="s">
        <v>1311</v>
      </c>
      <c r="R6434" s="17" t="s">
        <v>213</v>
      </c>
      <c r="S6434" s="17"/>
      <c r="T6434" s="17"/>
      <c r="U6434" s="17"/>
    </row>
    <row r="6435" spans="17:21" x14ac:dyDescent="0.25">
      <c r="Q6435" s="17" t="s">
        <v>873</v>
      </c>
      <c r="R6435" s="17" t="s">
        <v>213</v>
      </c>
      <c r="S6435" s="17"/>
      <c r="T6435" s="17"/>
      <c r="U6435" s="17"/>
    </row>
    <row r="6436" spans="17:21" x14ac:dyDescent="0.25">
      <c r="Q6436" s="17" t="s">
        <v>874</v>
      </c>
      <c r="R6436" s="17" t="s">
        <v>213</v>
      </c>
      <c r="S6436" s="17"/>
      <c r="T6436" s="17"/>
      <c r="U6436" s="17"/>
    </row>
    <row r="6437" spans="17:21" x14ac:dyDescent="0.25">
      <c r="Q6437" s="17" t="s">
        <v>1052</v>
      </c>
      <c r="R6437" s="17" t="s">
        <v>213</v>
      </c>
      <c r="S6437" s="17"/>
      <c r="T6437" s="17"/>
      <c r="U6437" s="17"/>
    </row>
    <row r="6438" spans="17:21" x14ac:dyDescent="0.25">
      <c r="Q6438" s="17" t="s">
        <v>7026</v>
      </c>
      <c r="R6438" s="17" t="s">
        <v>213</v>
      </c>
      <c r="S6438" s="17"/>
      <c r="T6438" s="17"/>
      <c r="U6438" s="17"/>
    </row>
    <row r="6439" spans="17:21" x14ac:dyDescent="0.25">
      <c r="Q6439" s="17" t="s">
        <v>7027</v>
      </c>
      <c r="R6439" s="17" t="s">
        <v>213</v>
      </c>
      <c r="S6439" s="17"/>
      <c r="T6439" s="17"/>
      <c r="U6439" s="17"/>
    </row>
    <row r="6440" spans="17:21" x14ac:dyDescent="0.25">
      <c r="Q6440" s="17" t="s">
        <v>7028</v>
      </c>
      <c r="R6440" s="17" t="s">
        <v>213</v>
      </c>
      <c r="S6440" s="17"/>
      <c r="T6440" s="17"/>
      <c r="U6440" s="17"/>
    </row>
    <row r="6441" spans="17:21" x14ac:dyDescent="0.25">
      <c r="Q6441" s="17" t="s">
        <v>7029</v>
      </c>
      <c r="R6441" s="17" t="s">
        <v>213</v>
      </c>
      <c r="S6441" s="17"/>
      <c r="T6441" s="17"/>
      <c r="U6441" s="17"/>
    </row>
    <row r="6442" spans="17:21" x14ac:dyDescent="0.25">
      <c r="Q6442" s="17" t="s">
        <v>7030</v>
      </c>
      <c r="R6442" s="17" t="s">
        <v>203</v>
      </c>
      <c r="S6442" s="17"/>
      <c r="T6442" s="17"/>
      <c r="U6442" s="17"/>
    </row>
    <row r="6443" spans="17:21" x14ac:dyDescent="0.25">
      <c r="Q6443" s="17" t="s">
        <v>1083</v>
      </c>
      <c r="R6443" s="17" t="s">
        <v>213</v>
      </c>
      <c r="S6443" s="17"/>
      <c r="T6443" s="17"/>
      <c r="U6443" s="17"/>
    </row>
    <row r="6444" spans="17:21" x14ac:dyDescent="0.25">
      <c r="Q6444" s="17" t="s">
        <v>7031</v>
      </c>
      <c r="R6444" s="17" t="s">
        <v>213</v>
      </c>
      <c r="S6444" s="17"/>
      <c r="T6444" s="17"/>
      <c r="U6444" s="17"/>
    </row>
    <row r="6445" spans="17:21" x14ac:dyDescent="0.25">
      <c r="Q6445" s="17" t="s">
        <v>1149</v>
      </c>
      <c r="R6445" s="17" t="s">
        <v>213</v>
      </c>
      <c r="S6445" s="17"/>
      <c r="T6445" s="17"/>
      <c r="U6445" s="17"/>
    </row>
    <row r="6446" spans="17:21" x14ac:dyDescent="0.25">
      <c r="Q6446" s="17" t="s">
        <v>1049</v>
      </c>
      <c r="R6446" s="17" t="s">
        <v>213</v>
      </c>
      <c r="S6446" s="17"/>
      <c r="T6446" s="17"/>
      <c r="U6446" s="17"/>
    </row>
    <row r="6447" spans="17:21" x14ac:dyDescent="0.25">
      <c r="Q6447" s="17" t="s">
        <v>7032</v>
      </c>
      <c r="R6447" s="17" t="s">
        <v>213</v>
      </c>
      <c r="S6447" s="17"/>
      <c r="T6447" s="17"/>
      <c r="U6447" s="17"/>
    </row>
    <row r="6448" spans="17:21" x14ac:dyDescent="0.25">
      <c r="Q6448" s="17" t="s">
        <v>7033</v>
      </c>
      <c r="R6448" s="17" t="s">
        <v>213</v>
      </c>
      <c r="S6448" s="17"/>
      <c r="T6448" s="17"/>
      <c r="U6448" s="17"/>
    </row>
    <row r="6449" spans="17:21" x14ac:dyDescent="0.25">
      <c r="Q6449" s="17" t="s">
        <v>7034</v>
      </c>
      <c r="R6449" s="17" t="s">
        <v>223</v>
      </c>
      <c r="S6449" s="17"/>
      <c r="T6449" s="17"/>
      <c r="U6449" s="17"/>
    </row>
    <row r="6450" spans="17:21" x14ac:dyDescent="0.25">
      <c r="Q6450" s="17" t="s">
        <v>7035</v>
      </c>
      <c r="R6450" s="17" t="s">
        <v>223</v>
      </c>
      <c r="S6450" s="17"/>
      <c r="T6450" s="17"/>
      <c r="U6450" s="17"/>
    </row>
    <row r="6451" spans="17:21" x14ac:dyDescent="0.25">
      <c r="Q6451" s="17" t="s">
        <v>594</v>
      </c>
      <c r="R6451" s="17" t="s">
        <v>223</v>
      </c>
      <c r="S6451" s="17"/>
      <c r="T6451" s="17"/>
      <c r="U6451" s="17"/>
    </row>
    <row r="6452" spans="17:21" x14ac:dyDescent="0.25">
      <c r="Q6452" s="17" t="s">
        <v>977</v>
      </c>
      <c r="R6452" s="17" t="s">
        <v>223</v>
      </c>
      <c r="S6452" s="17"/>
      <c r="T6452" s="17"/>
      <c r="U6452" s="17"/>
    </row>
    <row r="6453" spans="17:21" x14ac:dyDescent="0.25">
      <c r="Q6453" s="17" t="s">
        <v>660</v>
      </c>
      <c r="R6453" s="17" t="s">
        <v>223</v>
      </c>
      <c r="S6453" s="17"/>
      <c r="T6453" s="17"/>
      <c r="U6453" s="17"/>
    </row>
    <row r="6454" spans="17:21" x14ac:dyDescent="0.25">
      <c r="Q6454" s="17" t="s">
        <v>553</v>
      </c>
      <c r="R6454" s="17" t="s">
        <v>223</v>
      </c>
      <c r="S6454" s="17"/>
      <c r="T6454" s="17"/>
      <c r="U6454" s="17"/>
    </row>
    <row r="6455" spans="17:21" x14ac:dyDescent="0.25">
      <c r="Q6455" s="17" t="s">
        <v>1192</v>
      </c>
      <c r="R6455" s="17" t="s">
        <v>223</v>
      </c>
      <c r="S6455" s="17"/>
      <c r="T6455" s="17"/>
      <c r="U6455" s="17"/>
    </row>
    <row r="6456" spans="17:21" x14ac:dyDescent="0.25">
      <c r="Q6456" s="17" t="s">
        <v>437</v>
      </c>
      <c r="R6456" s="17" t="s">
        <v>223</v>
      </c>
      <c r="S6456" s="17"/>
      <c r="T6456" s="17"/>
      <c r="U6456" s="17"/>
    </row>
    <row r="6457" spans="17:21" x14ac:dyDescent="0.25">
      <c r="Q6457" s="17" t="s">
        <v>7036</v>
      </c>
      <c r="R6457" s="17" t="s">
        <v>223</v>
      </c>
      <c r="S6457" s="17"/>
      <c r="T6457" s="17"/>
      <c r="U6457" s="17"/>
    </row>
    <row r="6458" spans="17:21" x14ac:dyDescent="0.25">
      <c r="Q6458" s="17" t="s">
        <v>7037</v>
      </c>
      <c r="R6458" s="17" t="s">
        <v>223</v>
      </c>
      <c r="S6458" s="17"/>
      <c r="T6458" s="17"/>
      <c r="U6458" s="17"/>
    </row>
    <row r="6459" spans="17:21" x14ac:dyDescent="0.25">
      <c r="Q6459" s="17" t="s">
        <v>7038</v>
      </c>
      <c r="R6459" s="17" t="s">
        <v>227</v>
      </c>
      <c r="S6459" s="17"/>
      <c r="T6459" s="17"/>
      <c r="U6459" s="17"/>
    </row>
    <row r="6460" spans="17:21" x14ac:dyDescent="0.25">
      <c r="Q6460" s="17" t="s">
        <v>7039</v>
      </c>
      <c r="R6460" s="17" t="s">
        <v>223</v>
      </c>
      <c r="S6460" s="17"/>
      <c r="T6460" s="17"/>
      <c r="U6460" s="17"/>
    </row>
    <row r="6461" spans="17:21" x14ac:dyDescent="0.25">
      <c r="Q6461" s="17" t="s">
        <v>7040</v>
      </c>
      <c r="R6461" s="17" t="s">
        <v>223</v>
      </c>
      <c r="S6461" s="17"/>
      <c r="T6461" s="17"/>
      <c r="U6461" s="17"/>
    </row>
    <row r="6462" spans="17:21" x14ac:dyDescent="0.25">
      <c r="Q6462" s="17" t="s">
        <v>7041</v>
      </c>
      <c r="R6462" s="17" t="s">
        <v>223</v>
      </c>
      <c r="S6462" s="17"/>
      <c r="T6462" s="17"/>
      <c r="U6462" s="17"/>
    </row>
    <row r="6463" spans="17:21" x14ac:dyDescent="0.25">
      <c r="Q6463" s="17" t="s">
        <v>384</v>
      </c>
      <c r="R6463" s="17" t="s">
        <v>213</v>
      </c>
      <c r="S6463" s="17"/>
      <c r="T6463" s="17"/>
      <c r="U6463" s="17"/>
    </row>
    <row r="6464" spans="17:21" x14ac:dyDescent="0.25">
      <c r="Q6464" s="17" t="s">
        <v>7042</v>
      </c>
      <c r="R6464" s="17" t="s">
        <v>213</v>
      </c>
      <c r="S6464" s="17"/>
      <c r="T6464" s="17"/>
      <c r="U6464" s="17"/>
    </row>
    <row r="6465" spans="17:21" x14ac:dyDescent="0.25">
      <c r="Q6465" s="17" t="s">
        <v>7043</v>
      </c>
      <c r="R6465" s="17" t="s">
        <v>213</v>
      </c>
      <c r="S6465" s="17"/>
      <c r="T6465" s="17"/>
      <c r="U6465" s="17"/>
    </row>
    <row r="6466" spans="17:21" x14ac:dyDescent="0.25">
      <c r="Q6466" s="17" t="s">
        <v>7044</v>
      </c>
      <c r="R6466" s="17" t="s">
        <v>223</v>
      </c>
      <c r="S6466" s="17"/>
      <c r="T6466" s="17"/>
      <c r="U6466" s="17"/>
    </row>
    <row r="6467" spans="17:21" x14ac:dyDescent="0.25">
      <c r="Q6467" s="17" t="s">
        <v>7045</v>
      </c>
      <c r="R6467" s="17" t="s">
        <v>223</v>
      </c>
      <c r="S6467" s="17"/>
      <c r="T6467" s="17"/>
      <c r="U6467" s="17"/>
    </row>
    <row r="6468" spans="17:21" x14ac:dyDescent="0.25">
      <c r="Q6468" s="17" t="s">
        <v>7046</v>
      </c>
      <c r="R6468" s="17" t="s">
        <v>223</v>
      </c>
      <c r="S6468" s="17"/>
      <c r="T6468" s="17"/>
      <c r="U6468" s="17"/>
    </row>
    <row r="6469" spans="17:21" x14ac:dyDescent="0.25">
      <c r="Q6469" s="17" t="s">
        <v>494</v>
      </c>
      <c r="R6469" s="17" t="s">
        <v>223</v>
      </c>
      <c r="S6469" s="17"/>
      <c r="T6469" s="17"/>
      <c r="U6469" s="17"/>
    </row>
    <row r="6470" spans="17:21" x14ac:dyDescent="0.25">
      <c r="Q6470" s="17" t="s">
        <v>921</v>
      </c>
      <c r="R6470" s="17" t="s">
        <v>223</v>
      </c>
      <c r="S6470" s="17"/>
      <c r="T6470" s="17"/>
      <c r="U6470" s="17"/>
    </row>
    <row r="6471" spans="17:21" x14ac:dyDescent="0.25">
      <c r="Q6471" s="17" t="s">
        <v>7047</v>
      </c>
      <c r="R6471" s="17" t="s">
        <v>223</v>
      </c>
      <c r="S6471" s="17"/>
      <c r="T6471" s="17"/>
      <c r="U6471" s="17"/>
    </row>
    <row r="6472" spans="17:21" x14ac:dyDescent="0.25">
      <c r="Q6472" s="17" t="s">
        <v>7048</v>
      </c>
      <c r="R6472" s="17" t="s">
        <v>223</v>
      </c>
      <c r="S6472" s="17"/>
      <c r="T6472" s="17"/>
      <c r="U6472" s="17"/>
    </row>
    <row r="6473" spans="17:21" x14ac:dyDescent="0.25">
      <c r="Q6473" s="17" t="s">
        <v>7049</v>
      </c>
      <c r="R6473" s="17" t="s">
        <v>223</v>
      </c>
      <c r="S6473" s="17"/>
      <c r="T6473" s="17"/>
      <c r="U6473" s="17"/>
    </row>
    <row r="6474" spans="17:21" x14ac:dyDescent="0.25">
      <c r="Q6474" s="17" t="s">
        <v>979</v>
      </c>
      <c r="R6474" s="17" t="s">
        <v>223</v>
      </c>
      <c r="S6474" s="17"/>
      <c r="T6474" s="17"/>
      <c r="U6474" s="17"/>
    </row>
    <row r="6475" spans="17:21" x14ac:dyDescent="0.25">
      <c r="Q6475" s="17" t="s">
        <v>510</v>
      </c>
      <c r="R6475" s="17" t="s">
        <v>223</v>
      </c>
      <c r="S6475" s="17"/>
      <c r="T6475" s="17"/>
      <c r="U6475" s="17"/>
    </row>
    <row r="6476" spans="17:21" x14ac:dyDescent="0.25">
      <c r="Q6476" s="17" t="s">
        <v>7050</v>
      </c>
      <c r="R6476" s="17" t="s">
        <v>223</v>
      </c>
      <c r="S6476" s="17"/>
      <c r="T6476" s="17"/>
      <c r="U6476" s="17"/>
    </row>
    <row r="6477" spans="17:21" x14ac:dyDescent="0.25">
      <c r="Q6477" s="17" t="s">
        <v>7051</v>
      </c>
      <c r="R6477" s="17" t="s">
        <v>223</v>
      </c>
      <c r="S6477" s="17"/>
      <c r="T6477" s="17"/>
      <c r="U6477" s="17"/>
    </row>
    <row r="6478" spans="17:21" x14ac:dyDescent="0.25">
      <c r="Q6478" s="17" t="s">
        <v>7052</v>
      </c>
      <c r="R6478" s="17" t="s">
        <v>223</v>
      </c>
      <c r="S6478" s="17"/>
      <c r="T6478" s="17"/>
      <c r="U6478" s="17"/>
    </row>
    <row r="6479" spans="17:21" x14ac:dyDescent="0.25">
      <c r="Q6479" s="17" t="s">
        <v>792</v>
      </c>
      <c r="R6479" s="17" t="s">
        <v>223</v>
      </c>
      <c r="S6479" s="17"/>
      <c r="T6479" s="17"/>
      <c r="U6479" s="17"/>
    </row>
    <row r="6480" spans="17:21" x14ac:dyDescent="0.25">
      <c r="Q6480" s="17" t="s">
        <v>1340</v>
      </c>
      <c r="R6480" s="17" t="s">
        <v>223</v>
      </c>
      <c r="S6480" s="17"/>
      <c r="T6480" s="17"/>
      <c r="U6480" s="17"/>
    </row>
    <row r="6481" spans="17:21" x14ac:dyDescent="0.25">
      <c r="Q6481" s="17" t="s">
        <v>974</v>
      </c>
      <c r="R6481" s="17" t="s">
        <v>223</v>
      </c>
      <c r="S6481" s="17"/>
      <c r="T6481" s="17"/>
      <c r="U6481" s="17"/>
    </row>
    <row r="6482" spans="17:21" x14ac:dyDescent="0.25">
      <c r="Q6482" s="17" t="s">
        <v>789</v>
      </c>
      <c r="R6482" s="17" t="s">
        <v>223</v>
      </c>
      <c r="S6482" s="17"/>
      <c r="T6482" s="17"/>
      <c r="U6482" s="17"/>
    </row>
    <row r="6483" spans="17:21" x14ac:dyDescent="0.25">
      <c r="Q6483" s="17" t="s">
        <v>648</v>
      </c>
      <c r="R6483" s="17" t="s">
        <v>223</v>
      </c>
      <c r="S6483" s="17"/>
      <c r="T6483" s="17"/>
      <c r="U6483" s="17"/>
    </row>
    <row r="6484" spans="17:21" x14ac:dyDescent="0.25">
      <c r="Q6484" s="17" t="s">
        <v>976</v>
      </c>
      <c r="R6484" s="17" t="s">
        <v>223</v>
      </c>
      <c r="S6484" s="17"/>
      <c r="T6484" s="17"/>
      <c r="U6484" s="17"/>
    </row>
    <row r="6485" spans="17:21" x14ac:dyDescent="0.25">
      <c r="Q6485" s="17" t="s">
        <v>727</v>
      </c>
      <c r="R6485" s="17" t="s">
        <v>223</v>
      </c>
      <c r="S6485" s="17"/>
      <c r="T6485" s="17"/>
      <c r="U6485" s="17"/>
    </row>
    <row r="6486" spans="17:21" x14ac:dyDescent="0.25">
      <c r="Q6486" s="17" t="s">
        <v>707</v>
      </c>
      <c r="R6486" s="17" t="s">
        <v>223</v>
      </c>
      <c r="S6486" s="17"/>
      <c r="T6486" s="17"/>
      <c r="U6486" s="17"/>
    </row>
    <row r="6487" spans="17:21" x14ac:dyDescent="0.25">
      <c r="Q6487" s="17" t="s">
        <v>7053</v>
      </c>
      <c r="R6487" s="17" t="s">
        <v>223</v>
      </c>
      <c r="S6487" s="17"/>
      <c r="T6487" s="17"/>
      <c r="U6487" s="17"/>
    </row>
    <row r="6488" spans="17:21" x14ac:dyDescent="0.25">
      <c r="Q6488" s="17" t="s">
        <v>362</v>
      </c>
      <c r="R6488" s="17" t="s">
        <v>223</v>
      </c>
      <c r="S6488" s="17"/>
      <c r="T6488" s="17"/>
      <c r="U6488" s="17"/>
    </row>
    <row r="6489" spans="17:21" x14ac:dyDescent="0.25">
      <c r="Q6489" s="17" t="s">
        <v>568</v>
      </c>
      <c r="R6489" s="17" t="s">
        <v>223</v>
      </c>
      <c r="S6489" s="17"/>
      <c r="T6489" s="17"/>
      <c r="U6489" s="17"/>
    </row>
    <row r="6490" spans="17:21" x14ac:dyDescent="0.25">
      <c r="Q6490" s="17" t="s">
        <v>552</v>
      </c>
      <c r="R6490" s="17" t="s">
        <v>223</v>
      </c>
      <c r="S6490" s="17"/>
      <c r="T6490" s="17"/>
      <c r="U6490" s="17"/>
    </row>
    <row r="6491" spans="17:21" x14ac:dyDescent="0.25">
      <c r="Q6491" s="17" t="s">
        <v>793</v>
      </c>
      <c r="R6491" s="17" t="s">
        <v>223</v>
      </c>
      <c r="S6491" s="17"/>
      <c r="T6491" s="17"/>
      <c r="U6491" s="17"/>
    </row>
    <row r="6492" spans="17:21" x14ac:dyDescent="0.25">
      <c r="Q6492" s="17" t="s">
        <v>978</v>
      </c>
      <c r="R6492" s="17" t="s">
        <v>223</v>
      </c>
      <c r="S6492" s="17"/>
      <c r="T6492" s="17"/>
      <c r="U6492" s="17"/>
    </row>
    <row r="6493" spans="17:21" x14ac:dyDescent="0.25">
      <c r="Q6493" s="17" t="s">
        <v>7054</v>
      </c>
      <c r="R6493" s="17" t="s">
        <v>223</v>
      </c>
      <c r="S6493" s="17"/>
      <c r="T6493" s="17"/>
      <c r="U6493" s="17"/>
    </row>
    <row r="6494" spans="17:21" x14ac:dyDescent="0.25">
      <c r="Q6494" s="17" t="s">
        <v>980</v>
      </c>
      <c r="R6494" s="17" t="s">
        <v>223</v>
      </c>
      <c r="S6494" s="17"/>
      <c r="T6494" s="17"/>
      <c r="U6494" s="17"/>
    </row>
    <row r="6495" spans="17:21" x14ac:dyDescent="0.25">
      <c r="Q6495" s="17" t="s">
        <v>7055</v>
      </c>
      <c r="R6495" s="17" t="s">
        <v>223</v>
      </c>
      <c r="S6495" s="17"/>
      <c r="T6495" s="17"/>
      <c r="U6495" s="17"/>
    </row>
    <row r="6496" spans="17:21" x14ac:dyDescent="0.25">
      <c r="Q6496" s="17" t="s">
        <v>7056</v>
      </c>
      <c r="R6496" s="17" t="s">
        <v>223</v>
      </c>
      <c r="S6496" s="17"/>
      <c r="T6496" s="17"/>
      <c r="U6496" s="17"/>
    </row>
    <row r="6497" spans="17:21" x14ac:dyDescent="0.25">
      <c r="Q6497" s="17" t="s">
        <v>1297</v>
      </c>
      <c r="R6497" s="17" t="s">
        <v>223</v>
      </c>
      <c r="S6497" s="17"/>
      <c r="T6497" s="17"/>
      <c r="U6497" s="17"/>
    </row>
    <row r="6498" spans="17:21" x14ac:dyDescent="0.25">
      <c r="Q6498" s="17" t="s">
        <v>7057</v>
      </c>
      <c r="R6498" s="17" t="s">
        <v>223</v>
      </c>
      <c r="S6498" s="17"/>
      <c r="T6498" s="17"/>
      <c r="U6498" s="17"/>
    </row>
    <row r="6499" spans="17:21" x14ac:dyDescent="0.25">
      <c r="Q6499" s="17" t="s">
        <v>7058</v>
      </c>
      <c r="R6499" s="17" t="s">
        <v>223</v>
      </c>
      <c r="S6499" s="17"/>
      <c r="T6499" s="17"/>
      <c r="U6499" s="17"/>
    </row>
    <row r="6500" spans="17:21" x14ac:dyDescent="0.25">
      <c r="Q6500" s="17" t="s">
        <v>7059</v>
      </c>
      <c r="R6500" s="17" t="s">
        <v>223</v>
      </c>
      <c r="S6500" s="17"/>
      <c r="T6500" s="17"/>
      <c r="U6500" s="17"/>
    </row>
    <row r="6501" spans="17:21" x14ac:dyDescent="0.25">
      <c r="Q6501" s="17" t="s">
        <v>973</v>
      </c>
      <c r="R6501" s="17" t="s">
        <v>223</v>
      </c>
      <c r="S6501" s="17"/>
      <c r="T6501" s="17"/>
      <c r="U6501" s="17"/>
    </row>
    <row r="6502" spans="17:21" x14ac:dyDescent="0.25">
      <c r="Q6502" s="17" t="s">
        <v>378</v>
      </c>
      <c r="R6502" s="17" t="s">
        <v>223</v>
      </c>
      <c r="S6502" s="17"/>
      <c r="T6502" s="17"/>
      <c r="U6502" s="17"/>
    </row>
    <row r="6503" spans="17:21" x14ac:dyDescent="0.25">
      <c r="Q6503" s="17" t="s">
        <v>7060</v>
      </c>
      <c r="R6503" s="17" t="s">
        <v>223</v>
      </c>
      <c r="S6503" s="17"/>
      <c r="T6503" s="17"/>
      <c r="U6503" s="17"/>
    </row>
    <row r="6504" spans="17:21" x14ac:dyDescent="0.25">
      <c r="Q6504" s="17" t="s">
        <v>791</v>
      </c>
      <c r="R6504" s="17" t="s">
        <v>223</v>
      </c>
      <c r="S6504" s="17"/>
      <c r="T6504" s="17"/>
      <c r="U6504" s="17"/>
    </row>
    <row r="6505" spans="17:21" x14ac:dyDescent="0.25">
      <c r="Q6505" s="17" t="s">
        <v>975</v>
      </c>
      <c r="R6505" s="17" t="s">
        <v>223</v>
      </c>
      <c r="S6505" s="17"/>
      <c r="T6505" s="17"/>
      <c r="U6505" s="17"/>
    </row>
    <row r="6506" spans="17:21" x14ac:dyDescent="0.25">
      <c r="Q6506" s="17" t="s">
        <v>7061</v>
      </c>
      <c r="R6506" s="17" t="s">
        <v>223</v>
      </c>
      <c r="S6506" s="17"/>
      <c r="T6506" s="17"/>
      <c r="U6506" s="17"/>
    </row>
    <row r="6507" spans="17:21" x14ac:dyDescent="0.25">
      <c r="Q6507" s="17" t="s">
        <v>1185</v>
      </c>
      <c r="R6507" s="17" t="s">
        <v>223</v>
      </c>
      <c r="S6507" s="17"/>
      <c r="T6507" s="17"/>
      <c r="U6507" s="17"/>
    </row>
    <row r="6508" spans="17:21" x14ac:dyDescent="0.25">
      <c r="Q6508" s="17" t="s">
        <v>7062</v>
      </c>
      <c r="R6508" s="17" t="s">
        <v>223</v>
      </c>
      <c r="S6508" s="17"/>
      <c r="T6508" s="17"/>
      <c r="U6508" s="17"/>
    </row>
    <row r="6509" spans="17:21" x14ac:dyDescent="0.25">
      <c r="Q6509" s="17" t="s">
        <v>7063</v>
      </c>
      <c r="R6509" s="17" t="s">
        <v>223</v>
      </c>
      <c r="S6509" s="17"/>
      <c r="T6509" s="17"/>
      <c r="U6509" s="17"/>
    </row>
    <row r="6510" spans="17:21" x14ac:dyDescent="0.25">
      <c r="Q6510" s="17" t="s">
        <v>7064</v>
      </c>
      <c r="R6510" s="17" t="s">
        <v>223</v>
      </c>
      <c r="S6510" s="17"/>
      <c r="T6510" s="17"/>
      <c r="U6510" s="17"/>
    </row>
    <row r="6511" spans="17:21" x14ac:dyDescent="0.25">
      <c r="Q6511" s="17" t="s">
        <v>7065</v>
      </c>
      <c r="R6511" s="17" t="s">
        <v>223</v>
      </c>
      <c r="S6511" s="17"/>
      <c r="T6511" s="17"/>
      <c r="U6511" s="17"/>
    </row>
    <row r="6512" spans="17:21" x14ac:dyDescent="0.25">
      <c r="Q6512" s="17" t="s">
        <v>7066</v>
      </c>
      <c r="R6512" s="17" t="s">
        <v>223</v>
      </c>
      <c r="S6512" s="17"/>
      <c r="T6512" s="17"/>
      <c r="U6512" s="17"/>
    </row>
    <row r="6513" spans="17:21" x14ac:dyDescent="0.25">
      <c r="Q6513" s="17" t="s">
        <v>7067</v>
      </c>
      <c r="R6513" s="17" t="s">
        <v>223</v>
      </c>
      <c r="S6513" s="17"/>
      <c r="T6513" s="17"/>
      <c r="U6513" s="17"/>
    </row>
    <row r="6514" spans="17:21" x14ac:dyDescent="0.25">
      <c r="Q6514" s="17" t="s">
        <v>7068</v>
      </c>
      <c r="R6514" s="17" t="s">
        <v>223</v>
      </c>
      <c r="S6514" s="17"/>
      <c r="T6514" s="17"/>
      <c r="U6514" s="17"/>
    </row>
    <row r="6515" spans="17:21" x14ac:dyDescent="0.25">
      <c r="Q6515" s="17" t="s">
        <v>7069</v>
      </c>
      <c r="R6515" s="17" t="s">
        <v>223</v>
      </c>
      <c r="S6515" s="17"/>
      <c r="T6515" s="17"/>
      <c r="U6515" s="17"/>
    </row>
    <row r="6516" spans="17:21" x14ac:dyDescent="0.25">
      <c r="Q6516" s="17" t="s">
        <v>7070</v>
      </c>
      <c r="R6516" s="17" t="s">
        <v>223</v>
      </c>
      <c r="S6516" s="17"/>
      <c r="T6516" s="17"/>
      <c r="U6516" s="17"/>
    </row>
    <row r="6517" spans="17:21" x14ac:dyDescent="0.25">
      <c r="Q6517" s="17" t="s">
        <v>7071</v>
      </c>
      <c r="R6517" s="17" t="s">
        <v>223</v>
      </c>
      <c r="S6517" s="17"/>
      <c r="T6517" s="17"/>
      <c r="U6517" s="17"/>
    </row>
    <row r="6518" spans="17:21" x14ac:dyDescent="0.25">
      <c r="Q6518" s="17" t="s">
        <v>7072</v>
      </c>
      <c r="R6518" s="17" t="s">
        <v>223</v>
      </c>
      <c r="S6518" s="17"/>
      <c r="T6518" s="17"/>
      <c r="U6518" s="17"/>
    </row>
    <row r="6519" spans="17:21" x14ac:dyDescent="0.25">
      <c r="Q6519" s="17" t="s">
        <v>7073</v>
      </c>
      <c r="R6519" s="17" t="s">
        <v>223</v>
      </c>
      <c r="S6519" s="17"/>
      <c r="T6519" s="17"/>
      <c r="U6519" s="17"/>
    </row>
    <row r="6520" spans="17:21" x14ac:dyDescent="0.25">
      <c r="Q6520" s="17" t="s">
        <v>372</v>
      </c>
      <c r="R6520" s="17" t="s">
        <v>223</v>
      </c>
      <c r="S6520" s="17"/>
      <c r="T6520" s="17"/>
      <c r="U6520" s="17"/>
    </row>
    <row r="6521" spans="17:21" x14ac:dyDescent="0.25">
      <c r="Q6521" s="17" t="s">
        <v>922</v>
      </c>
      <c r="R6521" s="17" t="s">
        <v>223</v>
      </c>
      <c r="S6521" s="17"/>
      <c r="T6521" s="17"/>
      <c r="U6521" s="17"/>
    </row>
    <row r="6522" spans="17:21" x14ac:dyDescent="0.25">
      <c r="Q6522" s="17" t="s">
        <v>794</v>
      </c>
      <c r="R6522" s="17" t="s">
        <v>223</v>
      </c>
      <c r="S6522" s="17"/>
      <c r="T6522" s="17"/>
      <c r="U6522" s="17"/>
    </row>
    <row r="6523" spans="17:21" x14ac:dyDescent="0.25">
      <c r="Q6523" s="17" t="s">
        <v>7074</v>
      </c>
      <c r="R6523" s="17" t="s">
        <v>223</v>
      </c>
      <c r="S6523" s="17"/>
      <c r="T6523" s="17"/>
      <c r="U6523" s="17"/>
    </row>
    <row r="6524" spans="17:21" x14ac:dyDescent="0.25">
      <c r="Q6524" s="17" t="s">
        <v>373</v>
      </c>
      <c r="R6524" s="17" t="s">
        <v>223</v>
      </c>
      <c r="S6524" s="17"/>
      <c r="T6524" s="17"/>
      <c r="U6524" s="17"/>
    </row>
    <row r="6525" spans="17:21" x14ac:dyDescent="0.25">
      <c r="Q6525" s="17" t="s">
        <v>7075</v>
      </c>
      <c r="R6525" s="17" t="s">
        <v>223</v>
      </c>
      <c r="S6525" s="17"/>
      <c r="T6525" s="17"/>
      <c r="U6525" s="17"/>
    </row>
    <row r="6526" spans="17:21" x14ac:dyDescent="0.25">
      <c r="Q6526" s="17" t="s">
        <v>564</v>
      </c>
      <c r="R6526" s="17" t="s">
        <v>207</v>
      </c>
      <c r="S6526" s="17"/>
      <c r="T6526" s="17"/>
      <c r="U6526" s="17"/>
    </row>
    <row r="6527" spans="17:21" x14ac:dyDescent="0.25">
      <c r="Q6527" s="17" t="s">
        <v>713</v>
      </c>
      <c r="R6527" s="17" t="s">
        <v>207</v>
      </c>
      <c r="S6527" s="17"/>
      <c r="T6527" s="17"/>
      <c r="U6527" s="17"/>
    </row>
    <row r="6528" spans="17:21" x14ac:dyDescent="0.25">
      <c r="Q6528" s="17" t="s">
        <v>755</v>
      </c>
      <c r="R6528" s="17" t="s">
        <v>207</v>
      </c>
      <c r="S6528" s="17"/>
      <c r="T6528" s="17"/>
      <c r="U6528" s="17"/>
    </row>
    <row r="6529" spans="17:21" x14ac:dyDescent="0.25">
      <c r="Q6529" s="17" t="s">
        <v>7076</v>
      </c>
      <c r="R6529" s="17" t="s">
        <v>207</v>
      </c>
      <c r="S6529" s="17"/>
      <c r="T6529" s="17"/>
      <c r="U6529" s="17"/>
    </row>
    <row r="6530" spans="17:21" x14ac:dyDescent="0.25">
      <c r="Q6530" s="17" t="s">
        <v>724</v>
      </c>
      <c r="R6530" s="17" t="s">
        <v>207</v>
      </c>
      <c r="S6530" s="17"/>
      <c r="T6530" s="17"/>
      <c r="U6530" s="17"/>
    </row>
    <row r="6531" spans="17:21" x14ac:dyDescent="0.25">
      <c r="Q6531" s="17" t="s">
        <v>7077</v>
      </c>
      <c r="R6531" s="17" t="s">
        <v>205</v>
      </c>
      <c r="S6531" s="17"/>
      <c r="T6531" s="17"/>
      <c r="U6531" s="17"/>
    </row>
    <row r="6532" spans="17:21" x14ac:dyDescent="0.25">
      <c r="Q6532" s="17" t="s">
        <v>655</v>
      </c>
      <c r="R6532" s="17" t="s">
        <v>205</v>
      </c>
      <c r="S6532" s="17"/>
      <c r="T6532" s="17"/>
      <c r="U6532" s="17"/>
    </row>
    <row r="6533" spans="17:21" x14ac:dyDescent="0.25">
      <c r="Q6533" s="17" t="s">
        <v>881</v>
      </c>
      <c r="R6533" s="17" t="s">
        <v>205</v>
      </c>
      <c r="S6533" s="17"/>
      <c r="T6533" s="17"/>
      <c r="U6533" s="17"/>
    </row>
    <row r="6534" spans="17:21" x14ac:dyDescent="0.25">
      <c r="Q6534" s="17" t="s">
        <v>425</v>
      </c>
      <c r="R6534" s="17" t="s">
        <v>207</v>
      </c>
      <c r="S6534" s="17"/>
      <c r="T6534" s="17"/>
      <c r="U6534" s="17"/>
    </row>
    <row r="6535" spans="17:21" x14ac:dyDescent="0.25">
      <c r="Q6535" s="17" t="s">
        <v>7078</v>
      </c>
      <c r="R6535" s="17" t="s">
        <v>205</v>
      </c>
      <c r="S6535" s="17"/>
      <c r="T6535" s="17"/>
      <c r="U6535" s="17"/>
    </row>
    <row r="6536" spans="17:21" x14ac:dyDescent="0.25">
      <c r="Q6536" s="17" t="s">
        <v>424</v>
      </c>
      <c r="R6536" s="17" t="s">
        <v>207</v>
      </c>
      <c r="S6536" s="17"/>
      <c r="T6536" s="17"/>
      <c r="U6536" s="17"/>
    </row>
    <row r="6537" spans="17:21" x14ac:dyDescent="0.25">
      <c r="Q6537" s="17" t="s">
        <v>7079</v>
      </c>
      <c r="R6537" s="17" t="s">
        <v>207</v>
      </c>
      <c r="S6537" s="17"/>
      <c r="T6537" s="17"/>
      <c r="U6537" s="17"/>
    </row>
    <row r="6538" spans="17:21" x14ac:dyDescent="0.25">
      <c r="Q6538" s="17" t="s">
        <v>1198</v>
      </c>
      <c r="R6538" s="17" t="s">
        <v>205</v>
      </c>
      <c r="S6538" s="17"/>
      <c r="T6538" s="17"/>
      <c r="U6538" s="17"/>
    </row>
    <row r="6539" spans="17:21" x14ac:dyDescent="0.25">
      <c r="Q6539" s="17" t="s">
        <v>7080</v>
      </c>
      <c r="R6539" s="17" t="s">
        <v>205</v>
      </c>
      <c r="S6539" s="17"/>
      <c r="T6539" s="17"/>
      <c r="U6539" s="17"/>
    </row>
    <row r="6540" spans="17:21" x14ac:dyDescent="0.25">
      <c r="Q6540" s="17" t="s">
        <v>1226</v>
      </c>
      <c r="R6540" s="17" t="s">
        <v>205</v>
      </c>
      <c r="S6540" s="17"/>
      <c r="T6540" s="17"/>
      <c r="U6540" s="17"/>
    </row>
    <row r="6541" spans="17:21" x14ac:dyDescent="0.25">
      <c r="Q6541" s="17" t="s">
        <v>7081</v>
      </c>
      <c r="R6541" s="17" t="s">
        <v>207</v>
      </c>
      <c r="S6541" s="17"/>
      <c r="T6541" s="17"/>
      <c r="U6541" s="17"/>
    </row>
    <row r="6542" spans="17:21" x14ac:dyDescent="0.25">
      <c r="Q6542" s="17" t="s">
        <v>1231</v>
      </c>
      <c r="R6542" s="17" t="s">
        <v>207</v>
      </c>
      <c r="S6542" s="17"/>
      <c r="T6542" s="17"/>
      <c r="U6542" s="17"/>
    </row>
    <row r="6543" spans="17:21" x14ac:dyDescent="0.25">
      <c r="Q6543" s="17" t="s">
        <v>7082</v>
      </c>
      <c r="R6543" s="17" t="s">
        <v>205</v>
      </c>
      <c r="S6543" s="17"/>
      <c r="T6543" s="17"/>
      <c r="U6543" s="17"/>
    </row>
    <row r="6544" spans="17:21" x14ac:dyDescent="0.25">
      <c r="Q6544" s="17" t="s">
        <v>7083</v>
      </c>
      <c r="R6544" s="17" t="s">
        <v>205</v>
      </c>
      <c r="S6544" s="17"/>
      <c r="T6544" s="17"/>
      <c r="U6544" s="17"/>
    </row>
    <row r="6545" spans="17:21" x14ac:dyDescent="0.25">
      <c r="Q6545" s="17" t="s">
        <v>7084</v>
      </c>
      <c r="R6545" s="17" t="s">
        <v>225</v>
      </c>
      <c r="S6545" s="17"/>
      <c r="T6545" s="17"/>
      <c r="U6545" s="17"/>
    </row>
    <row r="6546" spans="17:21" x14ac:dyDescent="0.25">
      <c r="Q6546" s="17" t="s">
        <v>7085</v>
      </c>
      <c r="R6546" s="17" t="s">
        <v>225</v>
      </c>
      <c r="S6546" s="17"/>
      <c r="T6546" s="17"/>
      <c r="U6546" s="17"/>
    </row>
    <row r="6547" spans="17:21" x14ac:dyDescent="0.25">
      <c r="Q6547" s="17" t="s">
        <v>369</v>
      </c>
      <c r="R6547" s="17" t="s">
        <v>205</v>
      </c>
      <c r="S6547" s="17"/>
      <c r="T6547" s="17"/>
      <c r="U6547" s="17"/>
    </row>
    <row r="6548" spans="17:21" x14ac:dyDescent="0.25">
      <c r="Q6548" s="17" t="s">
        <v>435</v>
      </c>
      <c r="R6548" s="17" t="s">
        <v>205</v>
      </c>
      <c r="S6548" s="17"/>
      <c r="T6548" s="17"/>
      <c r="U6548" s="17"/>
    </row>
    <row r="6549" spans="17:21" x14ac:dyDescent="0.25">
      <c r="Q6549" s="17" t="s">
        <v>1041</v>
      </c>
      <c r="R6549" s="17" t="s">
        <v>205</v>
      </c>
      <c r="S6549" s="17"/>
      <c r="T6549" s="17"/>
      <c r="U6549" s="17"/>
    </row>
    <row r="6550" spans="17:21" x14ac:dyDescent="0.25">
      <c r="Q6550" s="17" t="s">
        <v>738</v>
      </c>
      <c r="R6550" s="17" t="s">
        <v>205</v>
      </c>
      <c r="S6550" s="17"/>
      <c r="T6550" s="17"/>
      <c r="U6550" s="17"/>
    </row>
    <row r="6551" spans="17:21" x14ac:dyDescent="0.25">
      <c r="Q6551" s="17" t="s">
        <v>7086</v>
      </c>
      <c r="R6551" s="17" t="s">
        <v>205</v>
      </c>
      <c r="S6551" s="17"/>
      <c r="T6551" s="17"/>
      <c r="U6551" s="17"/>
    </row>
    <row r="6552" spans="17:21" x14ac:dyDescent="0.25">
      <c r="Q6552" s="17" t="s">
        <v>7087</v>
      </c>
      <c r="R6552" s="17" t="s">
        <v>205</v>
      </c>
      <c r="S6552" s="17"/>
      <c r="T6552" s="17"/>
      <c r="U6552" s="17"/>
    </row>
    <row r="6553" spans="17:21" x14ac:dyDescent="0.25">
      <c r="Q6553" s="17" t="s">
        <v>631</v>
      </c>
      <c r="R6553" s="17" t="s">
        <v>205</v>
      </c>
      <c r="S6553" s="17"/>
      <c r="T6553" s="17"/>
      <c r="U6553" s="17"/>
    </row>
    <row r="6554" spans="17:21" x14ac:dyDescent="0.25">
      <c r="Q6554" s="17" t="s">
        <v>7088</v>
      </c>
      <c r="R6554" s="17" t="s">
        <v>205</v>
      </c>
      <c r="S6554" s="17"/>
      <c r="T6554" s="17"/>
      <c r="U6554" s="17"/>
    </row>
    <row r="6555" spans="17:21" x14ac:dyDescent="0.25">
      <c r="Q6555" s="17" t="s">
        <v>7089</v>
      </c>
      <c r="R6555" s="17" t="s">
        <v>205</v>
      </c>
      <c r="S6555" s="17"/>
      <c r="T6555" s="17"/>
      <c r="U6555" s="17"/>
    </row>
    <row r="6556" spans="17:21" x14ac:dyDescent="0.25">
      <c r="Q6556" s="17" t="s">
        <v>880</v>
      </c>
      <c r="R6556" s="17" t="s">
        <v>205</v>
      </c>
      <c r="S6556" s="17"/>
      <c r="T6556" s="17"/>
      <c r="U6556" s="17"/>
    </row>
    <row r="6557" spans="17:21" x14ac:dyDescent="0.25">
      <c r="Q6557" s="17" t="s">
        <v>565</v>
      </c>
      <c r="R6557" s="17" t="s">
        <v>205</v>
      </c>
      <c r="S6557" s="17"/>
      <c r="T6557" s="17"/>
      <c r="U6557" s="17"/>
    </row>
    <row r="6558" spans="17:21" x14ac:dyDescent="0.25">
      <c r="Q6558" s="17" t="s">
        <v>509</v>
      </c>
      <c r="R6558" s="17" t="s">
        <v>205</v>
      </c>
      <c r="S6558" s="17"/>
      <c r="T6558" s="17"/>
      <c r="U6558" s="17"/>
    </row>
    <row r="6559" spans="17:21" x14ac:dyDescent="0.25">
      <c r="Q6559" s="17" t="s">
        <v>1058</v>
      </c>
      <c r="R6559" s="17" t="s">
        <v>205</v>
      </c>
      <c r="S6559" s="17"/>
      <c r="T6559" s="17"/>
      <c r="U6559" s="17"/>
    </row>
    <row r="6560" spans="17:21" x14ac:dyDescent="0.25">
      <c r="Q6560" s="17" t="s">
        <v>7090</v>
      </c>
      <c r="R6560" s="17" t="s">
        <v>205</v>
      </c>
      <c r="S6560" s="17"/>
      <c r="T6560" s="17"/>
      <c r="U6560" s="17"/>
    </row>
    <row r="6561" spans="17:21" x14ac:dyDescent="0.25">
      <c r="Q6561" s="17" t="s">
        <v>1105</v>
      </c>
      <c r="R6561" s="17" t="s">
        <v>205</v>
      </c>
      <c r="S6561" s="17"/>
      <c r="T6561" s="17"/>
      <c r="U6561" s="17"/>
    </row>
    <row r="6562" spans="17:21" x14ac:dyDescent="0.25">
      <c r="Q6562" s="17" t="s">
        <v>371</v>
      </c>
      <c r="R6562" s="17" t="s">
        <v>205</v>
      </c>
      <c r="S6562" s="17"/>
      <c r="T6562" s="17"/>
      <c r="U6562" s="17"/>
    </row>
    <row r="6563" spans="17:21" x14ac:dyDescent="0.25">
      <c r="Q6563" s="17" t="s">
        <v>7091</v>
      </c>
      <c r="R6563" s="17" t="s">
        <v>205</v>
      </c>
      <c r="S6563" s="17"/>
      <c r="T6563" s="17"/>
      <c r="U6563" s="17"/>
    </row>
    <row r="6564" spans="17:21" x14ac:dyDescent="0.25">
      <c r="Q6564" s="17" t="s">
        <v>7092</v>
      </c>
      <c r="R6564" s="17" t="s">
        <v>205</v>
      </c>
      <c r="S6564" s="17"/>
      <c r="T6564" s="17"/>
      <c r="U6564" s="17"/>
    </row>
    <row r="6565" spans="17:21" x14ac:dyDescent="0.25">
      <c r="Q6565" s="17" t="s">
        <v>7093</v>
      </c>
      <c r="R6565" s="17" t="s">
        <v>205</v>
      </c>
      <c r="S6565" s="17"/>
      <c r="T6565" s="17"/>
      <c r="U6565" s="17"/>
    </row>
    <row r="6566" spans="17:21" x14ac:dyDescent="0.25">
      <c r="Q6566" s="17" t="s">
        <v>7094</v>
      </c>
      <c r="R6566" s="17" t="s">
        <v>205</v>
      </c>
      <c r="S6566" s="17"/>
      <c r="T6566" s="17"/>
      <c r="U6566" s="17"/>
    </row>
    <row r="6567" spans="17:21" x14ac:dyDescent="0.25">
      <c r="Q6567" s="17" t="s">
        <v>7095</v>
      </c>
      <c r="R6567" s="17" t="s">
        <v>205</v>
      </c>
      <c r="S6567" s="17"/>
      <c r="T6567" s="17"/>
      <c r="U6567" s="17"/>
    </row>
    <row r="6568" spans="17:21" x14ac:dyDescent="0.25">
      <c r="Q6568" s="17" t="s">
        <v>7096</v>
      </c>
      <c r="R6568" s="17" t="s">
        <v>205</v>
      </c>
      <c r="S6568" s="17"/>
      <c r="T6568" s="17"/>
      <c r="U6568" s="17"/>
    </row>
    <row r="6569" spans="17:21" x14ac:dyDescent="0.25">
      <c r="Q6569" s="17" t="s">
        <v>7097</v>
      </c>
      <c r="R6569" s="17" t="s">
        <v>205</v>
      </c>
      <c r="S6569" s="17"/>
      <c r="T6569" s="17"/>
      <c r="U6569" s="17"/>
    </row>
    <row r="6570" spans="17:21" x14ac:dyDescent="0.25">
      <c r="Q6570" s="17" t="s">
        <v>1050</v>
      </c>
      <c r="R6570" s="17" t="s">
        <v>205</v>
      </c>
      <c r="S6570" s="17"/>
      <c r="T6570" s="17"/>
      <c r="U6570" s="17"/>
    </row>
    <row r="6571" spans="17:21" x14ac:dyDescent="0.25">
      <c r="Q6571" s="17" t="s">
        <v>7098</v>
      </c>
      <c r="R6571" s="17" t="s">
        <v>205</v>
      </c>
      <c r="S6571" s="17"/>
      <c r="T6571" s="17"/>
      <c r="U6571" s="17"/>
    </row>
    <row r="6572" spans="17:21" x14ac:dyDescent="0.25">
      <c r="Q6572" s="17" t="s">
        <v>597</v>
      </c>
      <c r="R6572" s="17" t="s">
        <v>205</v>
      </c>
      <c r="S6572" s="17"/>
      <c r="T6572" s="17"/>
      <c r="U6572" s="17"/>
    </row>
    <row r="6573" spans="17:21" x14ac:dyDescent="0.25">
      <c r="Q6573" s="17" t="s">
        <v>7099</v>
      </c>
      <c r="R6573" s="17" t="s">
        <v>205</v>
      </c>
      <c r="S6573" s="17"/>
      <c r="T6573" s="17"/>
      <c r="U6573" s="17"/>
    </row>
    <row r="6574" spans="17:21" x14ac:dyDescent="0.25">
      <c r="Q6574" s="17" t="s">
        <v>7100</v>
      </c>
      <c r="R6574" s="17" t="s">
        <v>205</v>
      </c>
      <c r="S6574" s="17"/>
      <c r="T6574" s="17"/>
      <c r="U6574" s="17"/>
    </row>
    <row r="6575" spans="17:21" x14ac:dyDescent="0.25">
      <c r="Q6575" s="17" t="s">
        <v>7101</v>
      </c>
      <c r="R6575" s="17" t="s">
        <v>225</v>
      </c>
      <c r="S6575" s="17"/>
      <c r="T6575" s="17"/>
      <c r="U6575" s="17"/>
    </row>
    <row r="6576" spans="17:21" x14ac:dyDescent="0.25">
      <c r="Q6576" s="17" t="s">
        <v>7102</v>
      </c>
      <c r="R6576" s="17" t="s">
        <v>205</v>
      </c>
      <c r="S6576" s="17"/>
      <c r="T6576" s="17"/>
      <c r="U6576" s="17"/>
    </row>
    <row r="6577" spans="17:21" x14ac:dyDescent="0.25">
      <c r="Q6577" s="17" t="s">
        <v>7103</v>
      </c>
      <c r="R6577" s="17" t="s">
        <v>207</v>
      </c>
      <c r="S6577" s="17"/>
      <c r="T6577" s="17"/>
      <c r="U6577" s="17"/>
    </row>
    <row r="6578" spans="17:21" x14ac:dyDescent="0.25">
      <c r="Q6578" s="17" t="s">
        <v>7104</v>
      </c>
      <c r="R6578" s="17" t="s">
        <v>225</v>
      </c>
      <c r="S6578" s="17"/>
      <c r="T6578" s="17"/>
      <c r="U6578" s="17"/>
    </row>
    <row r="6579" spans="17:21" x14ac:dyDescent="0.25">
      <c r="Q6579" s="17" t="s">
        <v>7105</v>
      </c>
      <c r="R6579" s="17" t="s">
        <v>225</v>
      </c>
      <c r="S6579" s="17"/>
      <c r="T6579" s="17"/>
      <c r="U6579" s="17"/>
    </row>
    <row r="6580" spans="17:21" x14ac:dyDescent="0.25">
      <c r="Q6580" s="17" t="s">
        <v>7106</v>
      </c>
      <c r="R6580" s="17" t="s">
        <v>225</v>
      </c>
      <c r="S6580" s="17"/>
      <c r="T6580" s="17"/>
      <c r="U6580" s="17"/>
    </row>
    <row r="6581" spans="17:21" x14ac:dyDescent="0.25">
      <c r="Q6581" s="17" t="s">
        <v>7107</v>
      </c>
      <c r="R6581" s="17" t="s">
        <v>225</v>
      </c>
      <c r="S6581" s="17"/>
      <c r="T6581" s="17"/>
      <c r="U6581" s="17"/>
    </row>
    <row r="6582" spans="17:21" x14ac:dyDescent="0.25">
      <c r="Q6582" s="17" t="s">
        <v>7108</v>
      </c>
      <c r="R6582" s="17" t="s">
        <v>225</v>
      </c>
      <c r="S6582" s="17"/>
      <c r="T6582" s="17"/>
      <c r="U6582" s="17"/>
    </row>
    <row r="6583" spans="17:21" x14ac:dyDescent="0.25">
      <c r="Q6583" s="17" t="s">
        <v>7109</v>
      </c>
      <c r="R6583" s="17" t="s">
        <v>225</v>
      </c>
      <c r="S6583" s="17"/>
      <c r="T6583" s="17"/>
      <c r="U6583" s="17"/>
    </row>
    <row r="6584" spans="17:21" x14ac:dyDescent="0.25">
      <c r="Q6584" s="17" t="s">
        <v>7110</v>
      </c>
      <c r="R6584" s="17" t="s">
        <v>225</v>
      </c>
      <c r="S6584" s="17"/>
      <c r="T6584" s="17"/>
      <c r="U6584" s="17"/>
    </row>
    <row r="6585" spans="17:21" x14ac:dyDescent="0.25">
      <c r="Q6585" s="17" t="s">
        <v>7111</v>
      </c>
      <c r="R6585" s="17" t="s">
        <v>225</v>
      </c>
      <c r="S6585" s="17"/>
      <c r="T6585" s="17"/>
      <c r="U6585" s="17"/>
    </row>
    <row r="6586" spans="17:21" x14ac:dyDescent="0.25">
      <c r="Q6586" s="17" t="s">
        <v>981</v>
      </c>
      <c r="R6586" s="17" t="s">
        <v>225</v>
      </c>
      <c r="S6586" s="17"/>
      <c r="T6586" s="17"/>
      <c r="U6586" s="17"/>
    </row>
    <row r="6587" spans="17:21" x14ac:dyDescent="0.25">
      <c r="Q6587" s="17" t="s">
        <v>379</v>
      </c>
      <c r="R6587" s="17" t="s">
        <v>225</v>
      </c>
      <c r="S6587" s="17"/>
      <c r="T6587" s="17"/>
      <c r="U6587" s="17"/>
    </row>
    <row r="6588" spans="17:21" x14ac:dyDescent="0.25">
      <c r="Q6588" s="17" t="s">
        <v>7112</v>
      </c>
      <c r="R6588" s="17" t="s">
        <v>205</v>
      </c>
      <c r="S6588" s="17"/>
      <c r="T6588" s="17"/>
      <c r="U6588" s="17"/>
    </row>
    <row r="6589" spans="17:21" x14ac:dyDescent="0.25">
      <c r="Q6589" s="17" t="s">
        <v>588</v>
      </c>
      <c r="R6589" s="17" t="s">
        <v>205</v>
      </c>
      <c r="S6589" s="17"/>
      <c r="T6589" s="17"/>
      <c r="U6589" s="17"/>
    </row>
    <row r="6590" spans="17:21" x14ac:dyDescent="0.25">
      <c r="Q6590" s="17" t="s">
        <v>1085</v>
      </c>
      <c r="R6590" s="17" t="s">
        <v>205</v>
      </c>
      <c r="S6590" s="17"/>
      <c r="T6590" s="17"/>
      <c r="U6590" s="17"/>
    </row>
    <row r="6591" spans="17:21" x14ac:dyDescent="0.25">
      <c r="Q6591" s="17" t="s">
        <v>878</v>
      </c>
      <c r="R6591" s="17" t="s">
        <v>205</v>
      </c>
      <c r="S6591" s="17"/>
      <c r="T6591" s="17"/>
      <c r="U6591" s="17"/>
    </row>
    <row r="6592" spans="17:21" x14ac:dyDescent="0.25">
      <c r="Q6592" s="17" t="s">
        <v>879</v>
      </c>
      <c r="R6592" s="17" t="s">
        <v>205</v>
      </c>
      <c r="S6592" s="17"/>
      <c r="T6592" s="17"/>
      <c r="U6592" s="17"/>
    </row>
    <row r="6593" spans="17:21" x14ac:dyDescent="0.25">
      <c r="Q6593" s="17" t="s">
        <v>1131</v>
      </c>
      <c r="R6593" s="17" t="s">
        <v>205</v>
      </c>
      <c r="S6593" s="17"/>
      <c r="T6593" s="17"/>
      <c r="U6593" s="17"/>
    </row>
    <row r="6594" spans="17:21" x14ac:dyDescent="0.25">
      <c r="Q6594" s="17" t="s">
        <v>7113</v>
      </c>
      <c r="R6594" s="17" t="s">
        <v>205</v>
      </c>
      <c r="S6594" s="17"/>
      <c r="T6594" s="17"/>
      <c r="U6594" s="17"/>
    </row>
    <row r="6595" spans="17:21" x14ac:dyDescent="0.25">
      <c r="Q6595" s="17" t="s">
        <v>7114</v>
      </c>
      <c r="R6595" s="17" t="s">
        <v>205</v>
      </c>
      <c r="S6595" s="17"/>
      <c r="T6595" s="17"/>
      <c r="U6595" s="17"/>
    </row>
    <row r="6596" spans="17:21" x14ac:dyDescent="0.25">
      <c r="Q6596" s="17" t="s">
        <v>618</v>
      </c>
      <c r="R6596" s="17" t="s">
        <v>205</v>
      </c>
      <c r="S6596" s="17"/>
      <c r="T6596" s="17"/>
      <c r="U6596" s="17"/>
    </row>
    <row r="6597" spans="17:21" x14ac:dyDescent="0.25">
      <c r="Q6597" s="17" t="s">
        <v>7115</v>
      </c>
      <c r="R6597" s="17" t="s">
        <v>205</v>
      </c>
      <c r="S6597" s="17"/>
      <c r="T6597" s="17"/>
      <c r="U6597" s="17"/>
    </row>
    <row r="6598" spans="17:21" x14ac:dyDescent="0.25">
      <c r="Q6598" s="17" t="s">
        <v>7116</v>
      </c>
      <c r="R6598" s="17" t="s">
        <v>205</v>
      </c>
      <c r="S6598" s="17"/>
      <c r="T6598" s="17"/>
      <c r="U6598" s="17"/>
    </row>
    <row r="6599" spans="17:21" x14ac:dyDescent="0.25">
      <c r="Q6599" s="17" t="s">
        <v>1182</v>
      </c>
      <c r="R6599" s="17" t="s">
        <v>205</v>
      </c>
      <c r="S6599" s="17"/>
      <c r="T6599" s="17"/>
      <c r="U6599" s="17"/>
    </row>
    <row r="6600" spans="17:21" x14ac:dyDescent="0.25">
      <c r="Q6600" s="17" t="s">
        <v>7117</v>
      </c>
      <c r="R6600" s="17" t="s">
        <v>205</v>
      </c>
      <c r="S6600" s="17"/>
      <c r="T6600" s="17"/>
      <c r="U6600" s="17"/>
    </row>
    <row r="6601" spans="17:21" x14ac:dyDescent="0.25">
      <c r="Q6601" s="17" t="s">
        <v>492</v>
      </c>
      <c r="R6601" s="17" t="s">
        <v>205</v>
      </c>
      <c r="S6601" s="17"/>
      <c r="T6601" s="17"/>
      <c r="U6601" s="17"/>
    </row>
    <row r="6602" spans="17:21" x14ac:dyDescent="0.25">
      <c r="Q6602" s="17" t="s">
        <v>508</v>
      </c>
      <c r="R6602" s="17" t="s">
        <v>205</v>
      </c>
      <c r="S6602" s="17"/>
      <c r="T6602" s="17"/>
      <c r="U6602" s="17"/>
    </row>
    <row r="6603" spans="17:21" x14ac:dyDescent="0.25">
      <c r="Q6603" s="17" t="s">
        <v>684</v>
      </c>
      <c r="R6603" s="17" t="s">
        <v>205</v>
      </c>
      <c r="S6603" s="17"/>
      <c r="T6603" s="17"/>
      <c r="U6603" s="17"/>
    </row>
    <row r="6604" spans="17:21" x14ac:dyDescent="0.25">
      <c r="Q6604" s="17" t="s">
        <v>877</v>
      </c>
      <c r="R6604" s="17" t="s">
        <v>205</v>
      </c>
      <c r="S6604" s="17"/>
      <c r="T6604" s="17"/>
      <c r="U6604" s="17"/>
    </row>
    <row r="6605" spans="17:21" x14ac:dyDescent="0.25">
      <c r="Q6605" s="17" t="s">
        <v>587</v>
      </c>
      <c r="R6605" s="17" t="s">
        <v>205</v>
      </c>
      <c r="S6605" s="17"/>
      <c r="T6605" s="17"/>
      <c r="U6605" s="17"/>
    </row>
    <row r="6606" spans="17:21" x14ac:dyDescent="0.25">
      <c r="Q6606" s="17" t="s">
        <v>750</v>
      </c>
      <c r="R6606" s="17" t="s">
        <v>205</v>
      </c>
      <c r="S6606" s="17"/>
      <c r="T6606" s="17"/>
      <c r="U6606" s="17"/>
    </row>
    <row r="6607" spans="17:21" x14ac:dyDescent="0.25">
      <c r="Q6607" s="17" t="s">
        <v>7118</v>
      </c>
      <c r="R6607" s="17" t="s">
        <v>205</v>
      </c>
      <c r="S6607" s="17"/>
      <c r="T6607" s="17"/>
      <c r="U6607" s="17"/>
    </row>
    <row r="6608" spans="17:21" x14ac:dyDescent="0.25">
      <c r="Q6608" s="17" t="s">
        <v>7119</v>
      </c>
      <c r="R6608" s="17" t="s">
        <v>205</v>
      </c>
      <c r="S6608" s="17"/>
      <c r="T6608" s="17"/>
      <c r="U6608" s="17"/>
    </row>
    <row r="6609" spans="17:21" x14ac:dyDescent="0.25">
      <c r="Q6609" s="17" t="s">
        <v>7120</v>
      </c>
      <c r="R6609" s="17" t="s">
        <v>205</v>
      </c>
      <c r="S6609" s="17"/>
      <c r="T6609" s="17"/>
      <c r="U6609" s="17"/>
    </row>
    <row r="6610" spans="17:21" x14ac:dyDescent="0.25">
      <c r="Q6610" s="17" t="s">
        <v>7121</v>
      </c>
      <c r="R6610" s="17" t="s">
        <v>205</v>
      </c>
      <c r="S6610" s="17"/>
      <c r="T6610" s="17"/>
      <c r="U6610" s="17"/>
    </row>
    <row r="6611" spans="17:21" x14ac:dyDescent="0.25">
      <c r="Q6611" s="17" t="s">
        <v>7122</v>
      </c>
      <c r="R6611" s="17" t="s">
        <v>205</v>
      </c>
      <c r="S6611" s="17"/>
      <c r="T6611" s="17"/>
      <c r="U6611" s="17"/>
    </row>
    <row r="6612" spans="17:21" x14ac:dyDescent="0.25">
      <c r="Q6612" s="17" t="s">
        <v>7123</v>
      </c>
      <c r="R6612" s="17" t="s">
        <v>205</v>
      </c>
      <c r="S6612" s="17"/>
      <c r="T6612" s="17"/>
      <c r="U6612" s="17"/>
    </row>
    <row r="6613" spans="17:21" x14ac:dyDescent="0.25">
      <c r="Q6613" s="17" t="s">
        <v>377</v>
      </c>
      <c r="R6613" s="17" t="s">
        <v>205</v>
      </c>
      <c r="S6613" s="17"/>
      <c r="T6613" s="17"/>
      <c r="U6613" s="17"/>
    </row>
    <row r="6614" spans="17:21" x14ac:dyDescent="0.25">
      <c r="Q6614" s="17" t="s">
        <v>644</v>
      </c>
      <c r="R6614" s="17" t="s">
        <v>205</v>
      </c>
      <c r="S6614" s="17"/>
      <c r="T6614" s="17"/>
      <c r="U6614" s="17"/>
    </row>
    <row r="6615" spans="17:21" x14ac:dyDescent="0.25">
      <c r="Q6615" s="17" t="s">
        <v>7124</v>
      </c>
      <c r="R6615" s="17" t="s">
        <v>205</v>
      </c>
      <c r="S6615" s="17"/>
      <c r="T6615" s="17"/>
      <c r="U6615" s="17"/>
    </row>
    <row r="6616" spans="17:21" x14ac:dyDescent="0.25">
      <c r="Q6616" s="17" t="s">
        <v>7125</v>
      </c>
      <c r="R6616" s="17" t="s">
        <v>227</v>
      </c>
      <c r="S6616" s="17"/>
      <c r="T6616" s="17"/>
      <c r="U6616" s="17"/>
    </row>
    <row r="6617" spans="17:21" x14ac:dyDescent="0.25">
      <c r="Q6617" s="17" t="s">
        <v>7126</v>
      </c>
      <c r="R6617" s="17" t="s">
        <v>209</v>
      </c>
      <c r="S6617" s="17"/>
      <c r="T6617" s="17"/>
      <c r="U6617" s="17"/>
    </row>
    <row r="6618" spans="17:21" x14ac:dyDescent="0.25">
      <c r="Q6618" s="17" t="s">
        <v>7127</v>
      </c>
      <c r="R6618" s="17" t="s">
        <v>209</v>
      </c>
      <c r="S6618" s="17"/>
      <c r="T6618" s="17"/>
      <c r="U6618" s="17"/>
    </row>
    <row r="6619" spans="17:21" x14ac:dyDescent="0.25">
      <c r="Q6619" s="17" t="s">
        <v>7128</v>
      </c>
      <c r="R6619" s="17" t="s">
        <v>209</v>
      </c>
      <c r="S6619" s="17"/>
      <c r="T6619" s="17"/>
      <c r="U6619" s="17"/>
    </row>
    <row r="6620" spans="17:21" x14ac:dyDescent="0.25">
      <c r="Q6620" s="17" t="s">
        <v>7129</v>
      </c>
      <c r="R6620" s="17" t="s">
        <v>209</v>
      </c>
      <c r="S6620" s="17"/>
      <c r="T6620" s="17"/>
      <c r="U6620" s="17"/>
    </row>
    <row r="6621" spans="17:21" x14ac:dyDescent="0.25">
      <c r="Q6621" s="17" t="s">
        <v>7130</v>
      </c>
      <c r="R6621" s="17" t="s">
        <v>209</v>
      </c>
      <c r="S6621" s="17"/>
      <c r="T6621" s="17"/>
      <c r="U6621" s="17"/>
    </row>
    <row r="6622" spans="17:21" x14ac:dyDescent="0.25">
      <c r="Q6622" s="17" t="s">
        <v>7131</v>
      </c>
      <c r="R6622" s="17" t="s">
        <v>209</v>
      </c>
      <c r="S6622" s="17"/>
      <c r="T6622" s="17"/>
      <c r="U6622" s="17"/>
    </row>
    <row r="6623" spans="17:21" x14ac:dyDescent="0.25">
      <c r="Q6623" s="17" t="s">
        <v>7132</v>
      </c>
      <c r="R6623" s="17" t="s">
        <v>209</v>
      </c>
      <c r="S6623" s="17"/>
      <c r="T6623" s="17"/>
      <c r="U6623" s="17"/>
    </row>
    <row r="6624" spans="17:21" x14ac:dyDescent="0.25">
      <c r="Q6624" s="17" t="s">
        <v>1039</v>
      </c>
      <c r="R6624" s="17" t="s">
        <v>209</v>
      </c>
      <c r="S6624" s="17"/>
      <c r="T6624" s="17"/>
      <c r="U6624" s="17"/>
    </row>
    <row r="6625" spans="17:21" x14ac:dyDescent="0.25">
      <c r="Q6625" s="17" t="s">
        <v>7133</v>
      </c>
      <c r="R6625" s="17" t="s">
        <v>209</v>
      </c>
      <c r="S6625" s="17"/>
      <c r="T6625" s="17"/>
      <c r="U6625" s="17"/>
    </row>
    <row r="6626" spans="17:21" x14ac:dyDescent="0.25">
      <c r="Q6626" s="17" t="s">
        <v>7134</v>
      </c>
      <c r="R6626" s="17" t="s">
        <v>209</v>
      </c>
      <c r="S6626" s="17"/>
      <c r="T6626" s="17"/>
      <c r="U6626" s="17"/>
    </row>
    <row r="6627" spans="17:21" x14ac:dyDescent="0.25">
      <c r="Q6627" s="17" t="s">
        <v>7135</v>
      </c>
      <c r="R6627" s="17" t="s">
        <v>209</v>
      </c>
      <c r="S6627" s="17"/>
      <c r="T6627" s="17"/>
      <c r="U6627" s="17"/>
    </row>
    <row r="6628" spans="17:21" x14ac:dyDescent="0.25">
      <c r="Q6628" s="17" t="s">
        <v>694</v>
      </c>
      <c r="R6628" s="17" t="s">
        <v>225</v>
      </c>
      <c r="S6628" s="17"/>
      <c r="T6628" s="17"/>
      <c r="U6628" s="17"/>
    </row>
    <row r="6629" spans="17:21" x14ac:dyDescent="0.25">
      <c r="Q6629" s="17" t="s">
        <v>364</v>
      </c>
      <c r="R6629" s="17" t="s">
        <v>225</v>
      </c>
      <c r="S6629" s="17"/>
      <c r="T6629" s="17"/>
      <c r="U6629" s="17"/>
    </row>
    <row r="6630" spans="17:21" x14ac:dyDescent="0.25">
      <c r="Q6630" s="17" t="s">
        <v>798</v>
      </c>
      <c r="R6630" s="17" t="s">
        <v>225</v>
      </c>
      <c r="S6630" s="17"/>
      <c r="T6630" s="17"/>
      <c r="U6630" s="17"/>
    </row>
    <row r="6631" spans="17:21" x14ac:dyDescent="0.25">
      <c r="Q6631" s="17" t="s">
        <v>7136</v>
      </c>
      <c r="R6631" s="17" t="s">
        <v>205</v>
      </c>
      <c r="S6631" s="17"/>
      <c r="T6631" s="17"/>
      <c r="U6631" s="17"/>
    </row>
    <row r="6632" spans="17:21" x14ac:dyDescent="0.25">
      <c r="Q6632" s="17" t="s">
        <v>7137</v>
      </c>
      <c r="R6632" s="17" t="s">
        <v>205</v>
      </c>
      <c r="S6632" s="17"/>
      <c r="T6632" s="17"/>
      <c r="U6632" s="17"/>
    </row>
    <row r="6633" spans="17:21" x14ac:dyDescent="0.25">
      <c r="Q6633" s="17" t="s">
        <v>7138</v>
      </c>
      <c r="R6633" s="17" t="s">
        <v>205</v>
      </c>
      <c r="S6633" s="17"/>
      <c r="T6633" s="17"/>
      <c r="U6633" s="17"/>
    </row>
    <row r="6634" spans="17:21" x14ac:dyDescent="0.25">
      <c r="Q6634" s="17" t="s">
        <v>1230</v>
      </c>
      <c r="R6634" s="17" t="s">
        <v>205</v>
      </c>
      <c r="S6634" s="17"/>
      <c r="T6634" s="17"/>
      <c r="U6634" s="17"/>
    </row>
    <row r="6635" spans="17:21" x14ac:dyDescent="0.25">
      <c r="Q6635" s="17" t="s">
        <v>7139</v>
      </c>
      <c r="R6635" s="17" t="s">
        <v>205</v>
      </c>
      <c r="S6635" s="17"/>
      <c r="T6635" s="17"/>
      <c r="U6635" s="17"/>
    </row>
    <row r="6636" spans="17:21" x14ac:dyDescent="0.25">
      <c r="Q6636" s="17" t="s">
        <v>1190</v>
      </c>
      <c r="R6636" s="17" t="s">
        <v>205</v>
      </c>
      <c r="S6636" s="17"/>
      <c r="T6636" s="17"/>
      <c r="U6636" s="17"/>
    </row>
    <row r="6637" spans="17:21" x14ac:dyDescent="0.25">
      <c r="Q6637" s="17" t="s">
        <v>936</v>
      </c>
      <c r="R6637" s="17" t="s">
        <v>205</v>
      </c>
      <c r="S6637" s="17"/>
      <c r="T6637" s="17"/>
      <c r="U6637" s="17"/>
    </row>
    <row r="6638" spans="17:21" x14ac:dyDescent="0.25">
      <c r="Q6638" s="17" t="s">
        <v>7140</v>
      </c>
      <c r="R6638" s="17" t="s">
        <v>205</v>
      </c>
      <c r="S6638" s="17"/>
      <c r="T6638" s="17"/>
      <c r="U6638" s="17"/>
    </row>
    <row r="6639" spans="17:21" x14ac:dyDescent="0.25">
      <c r="Q6639" s="17" t="s">
        <v>7141</v>
      </c>
      <c r="R6639" s="17" t="s">
        <v>205</v>
      </c>
      <c r="S6639" s="17"/>
      <c r="T6639" s="17"/>
      <c r="U6639" s="17"/>
    </row>
    <row r="6640" spans="17:21" x14ac:dyDescent="0.25">
      <c r="Q6640" s="17" t="s">
        <v>7142</v>
      </c>
      <c r="R6640" s="17" t="s">
        <v>205</v>
      </c>
      <c r="S6640" s="17"/>
      <c r="T6640" s="17"/>
      <c r="U6640" s="17"/>
    </row>
    <row r="6641" spans="17:21" x14ac:dyDescent="0.25">
      <c r="Q6641" s="17" t="s">
        <v>7143</v>
      </c>
      <c r="R6641" s="17" t="s">
        <v>205</v>
      </c>
      <c r="S6641" s="17"/>
      <c r="T6641" s="17"/>
      <c r="U6641" s="17"/>
    </row>
    <row r="6642" spans="17:21" x14ac:dyDescent="0.25">
      <c r="Q6642" s="17" t="s">
        <v>1312</v>
      </c>
      <c r="R6642" s="17" t="s">
        <v>205</v>
      </c>
      <c r="S6642" s="17"/>
      <c r="T6642" s="17"/>
      <c r="U6642" s="17"/>
    </row>
    <row r="6643" spans="17:21" x14ac:dyDescent="0.25">
      <c r="Q6643" s="17" t="s">
        <v>7144</v>
      </c>
      <c r="R6643" s="17" t="s">
        <v>205</v>
      </c>
      <c r="S6643" s="17"/>
      <c r="T6643" s="17"/>
      <c r="U6643" s="17"/>
    </row>
    <row r="6644" spans="17:21" x14ac:dyDescent="0.25">
      <c r="Q6644" s="17" t="s">
        <v>7145</v>
      </c>
      <c r="R6644" s="17" t="s">
        <v>205</v>
      </c>
      <c r="S6644" s="17"/>
      <c r="T6644" s="17"/>
      <c r="U6644" s="17"/>
    </row>
    <row r="6645" spans="17:21" x14ac:dyDescent="0.25">
      <c r="Q6645" s="17" t="s">
        <v>1181</v>
      </c>
      <c r="R6645" s="17" t="s">
        <v>205</v>
      </c>
      <c r="S6645" s="17"/>
      <c r="T6645" s="17"/>
      <c r="U6645" s="17"/>
    </row>
    <row r="6646" spans="17:21" x14ac:dyDescent="0.25">
      <c r="Q6646" s="17" t="s">
        <v>7146</v>
      </c>
      <c r="R6646" s="17" t="s">
        <v>205</v>
      </c>
      <c r="S6646" s="17"/>
      <c r="T6646" s="17"/>
      <c r="U6646" s="17"/>
    </row>
    <row r="6647" spans="17:21" x14ac:dyDescent="0.25">
      <c r="Q6647" s="17" t="s">
        <v>1071</v>
      </c>
      <c r="R6647" s="17" t="s">
        <v>205</v>
      </c>
      <c r="S6647" s="17"/>
      <c r="T6647" s="17"/>
      <c r="U6647" s="17"/>
    </row>
    <row r="6648" spans="17:21" x14ac:dyDescent="0.25">
      <c r="Q6648" s="17" t="s">
        <v>7147</v>
      </c>
      <c r="R6648" s="17" t="s">
        <v>205</v>
      </c>
      <c r="S6648" s="17"/>
      <c r="T6648" s="17"/>
      <c r="U6648" s="17"/>
    </row>
    <row r="6649" spans="17:21" x14ac:dyDescent="0.25">
      <c r="Q6649" s="17" t="s">
        <v>7148</v>
      </c>
      <c r="R6649" s="17" t="s">
        <v>205</v>
      </c>
      <c r="S6649" s="17"/>
      <c r="T6649" s="17"/>
      <c r="U6649" s="17"/>
    </row>
    <row r="6650" spans="17:21" x14ac:dyDescent="0.25">
      <c r="Q6650" s="17" t="s">
        <v>7149</v>
      </c>
      <c r="R6650" s="17" t="s">
        <v>205</v>
      </c>
      <c r="S6650" s="17"/>
      <c r="T6650" s="17"/>
      <c r="U6650" s="17"/>
    </row>
    <row r="6651" spans="17:21" x14ac:dyDescent="0.25">
      <c r="Q6651" s="17" t="s">
        <v>673</v>
      </c>
      <c r="R6651" s="17" t="s">
        <v>205</v>
      </c>
      <c r="S6651" s="17"/>
      <c r="T6651" s="17"/>
      <c r="U6651" s="17"/>
    </row>
    <row r="6652" spans="17:21" x14ac:dyDescent="0.25">
      <c r="Q6652" s="17" t="s">
        <v>7150</v>
      </c>
      <c r="R6652" s="17" t="s">
        <v>205</v>
      </c>
      <c r="S6652" s="17"/>
      <c r="T6652" s="17"/>
      <c r="U6652" s="17"/>
    </row>
    <row r="6653" spans="17:21" x14ac:dyDescent="0.25">
      <c r="Q6653" s="17" t="s">
        <v>7151</v>
      </c>
      <c r="R6653" s="17" t="s">
        <v>205</v>
      </c>
      <c r="S6653" s="17"/>
      <c r="T6653" s="17"/>
      <c r="U6653" s="17"/>
    </row>
    <row r="6654" spans="17:21" x14ac:dyDescent="0.25">
      <c r="Q6654" s="17" t="s">
        <v>1346</v>
      </c>
      <c r="R6654" s="17" t="s">
        <v>205</v>
      </c>
      <c r="S6654" s="17"/>
      <c r="T6654" s="17"/>
      <c r="U6654" s="17"/>
    </row>
    <row r="6655" spans="17:21" x14ac:dyDescent="0.25">
      <c r="Q6655" s="17" t="s">
        <v>1102</v>
      </c>
      <c r="R6655" s="17" t="s">
        <v>205</v>
      </c>
      <c r="S6655" s="17"/>
      <c r="T6655" s="17"/>
      <c r="U6655" s="17"/>
    </row>
    <row r="6656" spans="17:21" x14ac:dyDescent="0.25">
      <c r="Q6656" s="17" t="s">
        <v>666</v>
      </c>
      <c r="R6656" s="17" t="s">
        <v>205</v>
      </c>
      <c r="S6656" s="17"/>
      <c r="T6656" s="17"/>
      <c r="U6656" s="17"/>
    </row>
    <row r="6657" spans="17:21" x14ac:dyDescent="0.25">
      <c r="Q6657" s="17" t="s">
        <v>7152</v>
      </c>
      <c r="R6657" s="17" t="s">
        <v>205</v>
      </c>
      <c r="S6657" s="17"/>
      <c r="T6657" s="17"/>
      <c r="U6657" s="17"/>
    </row>
    <row r="6658" spans="17:21" x14ac:dyDescent="0.25">
      <c r="Q6658" s="17" t="s">
        <v>7153</v>
      </c>
      <c r="R6658" s="17" t="s">
        <v>205</v>
      </c>
      <c r="S6658" s="17"/>
      <c r="T6658" s="17"/>
      <c r="U6658" s="17"/>
    </row>
    <row r="6659" spans="17:21" x14ac:dyDescent="0.25">
      <c r="Q6659" s="17" t="s">
        <v>7154</v>
      </c>
      <c r="R6659" s="17" t="s">
        <v>205</v>
      </c>
      <c r="S6659" s="17"/>
      <c r="T6659" s="17"/>
      <c r="U6659" s="17"/>
    </row>
    <row r="6660" spans="17:21" x14ac:dyDescent="0.25">
      <c r="Q6660" s="17" t="s">
        <v>7155</v>
      </c>
      <c r="R6660" s="17" t="s">
        <v>205</v>
      </c>
      <c r="S6660" s="17"/>
      <c r="T6660" s="17"/>
      <c r="U6660" s="17"/>
    </row>
    <row r="6661" spans="17:21" x14ac:dyDescent="0.25">
      <c r="Q6661" s="17" t="s">
        <v>7156</v>
      </c>
      <c r="R6661" s="17" t="s">
        <v>227</v>
      </c>
      <c r="S6661" s="17"/>
      <c r="T6661" s="17"/>
      <c r="U6661" s="17"/>
    </row>
    <row r="6662" spans="17:21" x14ac:dyDescent="0.25">
      <c r="Q6662" s="17" t="s">
        <v>7157</v>
      </c>
      <c r="R6662" s="17" t="s">
        <v>227</v>
      </c>
      <c r="S6662" s="17"/>
      <c r="T6662" s="17"/>
      <c r="U6662" s="17"/>
    </row>
    <row r="6663" spans="17:21" x14ac:dyDescent="0.25">
      <c r="Q6663" s="17" t="s">
        <v>576</v>
      </c>
      <c r="R6663" s="17" t="s">
        <v>205</v>
      </c>
      <c r="S6663" s="17"/>
      <c r="T6663" s="17"/>
      <c r="U6663" s="17"/>
    </row>
    <row r="6664" spans="17:21" x14ac:dyDescent="0.25">
      <c r="Q6664" s="17" t="s">
        <v>7158</v>
      </c>
      <c r="R6664" s="17" t="s">
        <v>205</v>
      </c>
      <c r="S6664" s="17"/>
      <c r="T6664" s="17"/>
      <c r="U6664" s="17"/>
    </row>
    <row r="6665" spans="17:21" x14ac:dyDescent="0.25">
      <c r="Q6665" s="17" t="s">
        <v>7159</v>
      </c>
      <c r="R6665" s="17" t="s">
        <v>205</v>
      </c>
      <c r="S6665" s="17"/>
      <c r="T6665" s="17"/>
      <c r="U6665" s="17"/>
    </row>
    <row r="6666" spans="17:21" x14ac:dyDescent="0.25">
      <c r="Q6666" s="17" t="s">
        <v>7160</v>
      </c>
      <c r="R6666" s="17" t="s">
        <v>205</v>
      </c>
      <c r="S6666" s="17"/>
      <c r="T6666" s="17"/>
      <c r="U6666" s="17"/>
    </row>
    <row r="6667" spans="17:21" x14ac:dyDescent="0.25">
      <c r="Q6667" s="17" t="s">
        <v>7161</v>
      </c>
      <c r="R6667" s="17" t="s">
        <v>205</v>
      </c>
      <c r="S6667" s="17"/>
      <c r="T6667" s="17"/>
      <c r="U6667" s="17"/>
    </row>
    <row r="6668" spans="17:21" x14ac:dyDescent="0.25">
      <c r="Q6668" s="17" t="s">
        <v>882</v>
      </c>
      <c r="R6668" s="17" t="s">
        <v>205</v>
      </c>
      <c r="S6668" s="17"/>
      <c r="T6668" s="17"/>
      <c r="U6668" s="17"/>
    </row>
    <row r="6669" spans="17:21" x14ac:dyDescent="0.25">
      <c r="Q6669" s="17" t="s">
        <v>7162</v>
      </c>
      <c r="R6669" s="17" t="s">
        <v>205</v>
      </c>
      <c r="S6669" s="17"/>
      <c r="T6669" s="17"/>
      <c r="U6669" s="17"/>
    </row>
    <row r="6670" spans="17:21" x14ac:dyDescent="0.25">
      <c r="Q6670" s="17" t="s">
        <v>7163</v>
      </c>
      <c r="R6670" s="17" t="s">
        <v>227</v>
      </c>
      <c r="S6670" s="17"/>
      <c r="T6670" s="17"/>
      <c r="U6670" s="17"/>
    </row>
    <row r="6671" spans="17:21" x14ac:dyDescent="0.25">
      <c r="Q6671" s="17" t="s">
        <v>7164</v>
      </c>
      <c r="R6671" s="17" t="s">
        <v>209</v>
      </c>
      <c r="S6671" s="17"/>
      <c r="T6671" s="17"/>
      <c r="U6671" s="17"/>
    </row>
    <row r="6672" spans="17:21" x14ac:dyDescent="0.25">
      <c r="Q6672" s="17" t="s">
        <v>7165</v>
      </c>
      <c r="R6672" s="17" t="s">
        <v>209</v>
      </c>
      <c r="S6672" s="17"/>
      <c r="T6672" s="17"/>
      <c r="U6672" s="17"/>
    </row>
    <row r="6673" spans="17:21" x14ac:dyDescent="0.25">
      <c r="Q6673" s="17" t="s">
        <v>7166</v>
      </c>
      <c r="R6673" s="17" t="s">
        <v>227</v>
      </c>
      <c r="S6673" s="17"/>
      <c r="T6673" s="17"/>
      <c r="U6673" s="17"/>
    </row>
    <row r="6674" spans="17:21" x14ac:dyDescent="0.25">
      <c r="Q6674" s="17" t="s">
        <v>796</v>
      </c>
      <c r="R6674" s="17" t="s">
        <v>227</v>
      </c>
      <c r="S6674" s="17"/>
      <c r="T6674" s="17"/>
      <c r="U6674" s="17"/>
    </row>
    <row r="6675" spans="17:21" x14ac:dyDescent="0.25">
      <c r="Q6675" s="17" t="s">
        <v>7167</v>
      </c>
      <c r="R6675" s="17" t="s">
        <v>203</v>
      </c>
      <c r="S6675" s="17"/>
      <c r="T6675" s="17"/>
      <c r="U6675" s="17"/>
    </row>
    <row r="6676" spans="17:21" x14ac:dyDescent="0.25">
      <c r="Q6676" s="17" t="s">
        <v>7168</v>
      </c>
      <c r="R6676" s="17" t="s">
        <v>227</v>
      </c>
      <c r="S6676" s="17"/>
      <c r="T6676" s="17"/>
      <c r="U6676" s="17"/>
    </row>
    <row r="6677" spans="17:21" x14ac:dyDescent="0.25">
      <c r="Q6677" s="17" t="s">
        <v>1037</v>
      </c>
      <c r="R6677" s="17" t="s">
        <v>227</v>
      </c>
      <c r="S6677" s="17"/>
      <c r="T6677" s="17"/>
      <c r="U6677" s="17"/>
    </row>
    <row r="6678" spans="17:21" x14ac:dyDescent="0.25">
      <c r="Q6678" s="17" t="s">
        <v>441</v>
      </c>
      <c r="R6678" s="17" t="s">
        <v>227</v>
      </c>
      <c r="S6678" s="17"/>
      <c r="T6678" s="17"/>
      <c r="U6678" s="17"/>
    </row>
    <row r="6679" spans="17:21" x14ac:dyDescent="0.25">
      <c r="Q6679" s="17" t="s">
        <v>402</v>
      </c>
      <c r="R6679" s="17" t="s">
        <v>227</v>
      </c>
      <c r="S6679" s="17"/>
      <c r="T6679" s="17"/>
      <c r="U6679" s="17"/>
    </row>
    <row r="6680" spans="17:21" x14ac:dyDescent="0.25">
      <c r="Q6680" s="17" t="s">
        <v>555</v>
      </c>
      <c r="R6680" s="17" t="s">
        <v>227</v>
      </c>
      <c r="S6680" s="17"/>
      <c r="T6680" s="17"/>
      <c r="U6680" s="17"/>
    </row>
    <row r="6681" spans="17:21" x14ac:dyDescent="0.25">
      <c r="Q6681" s="17" t="s">
        <v>534</v>
      </c>
      <c r="R6681" s="17" t="s">
        <v>227</v>
      </c>
      <c r="S6681" s="17"/>
      <c r="T6681" s="17"/>
      <c r="U6681" s="17"/>
    </row>
    <row r="6682" spans="17:21" x14ac:dyDescent="0.25">
      <c r="Q6682" s="17" t="s">
        <v>7169</v>
      </c>
      <c r="R6682" s="17" t="s">
        <v>221</v>
      </c>
      <c r="S6682" s="17"/>
      <c r="T6682" s="17"/>
      <c r="U6682" s="17"/>
    </row>
    <row r="6683" spans="17:21" x14ac:dyDescent="0.25">
      <c r="Q6683" s="17" t="s">
        <v>591</v>
      </c>
      <c r="R6683" s="17" t="s">
        <v>211</v>
      </c>
      <c r="S6683" s="17"/>
      <c r="T6683" s="17"/>
      <c r="U6683" s="17"/>
    </row>
    <row r="6684" spans="17:21" x14ac:dyDescent="0.25">
      <c r="Q6684" s="17" t="s">
        <v>664</v>
      </c>
      <c r="R6684" s="17" t="s">
        <v>211</v>
      </c>
      <c r="S6684" s="17"/>
      <c r="T6684" s="17"/>
      <c r="U6684" s="17"/>
    </row>
    <row r="6685" spans="17:21" x14ac:dyDescent="0.25">
      <c r="Q6685" s="17" t="s">
        <v>7170</v>
      </c>
      <c r="R6685" s="17" t="s">
        <v>221</v>
      </c>
      <c r="S6685" s="17"/>
      <c r="T6685" s="17"/>
      <c r="U6685" s="17"/>
    </row>
    <row r="6686" spans="17:21" x14ac:dyDescent="0.25">
      <c r="Q6686" s="17" t="s">
        <v>7171</v>
      </c>
      <c r="R6686" s="17" t="s">
        <v>221</v>
      </c>
      <c r="S6686" s="17"/>
      <c r="T6686" s="17"/>
      <c r="U6686" s="17"/>
    </row>
    <row r="6687" spans="17:21" x14ac:dyDescent="0.25">
      <c r="Q6687" s="17" t="s">
        <v>1146</v>
      </c>
      <c r="R6687" s="17" t="s">
        <v>221</v>
      </c>
      <c r="S6687" s="17"/>
      <c r="T6687" s="17"/>
      <c r="U6687" s="17"/>
    </row>
    <row r="6688" spans="17:21" x14ac:dyDescent="0.25">
      <c r="Q6688" s="17" t="s">
        <v>7172</v>
      </c>
      <c r="R6688" s="17" t="s">
        <v>221</v>
      </c>
      <c r="S6688" s="17"/>
      <c r="T6688" s="17"/>
      <c r="U6688" s="17"/>
    </row>
    <row r="6689" spans="17:21" x14ac:dyDescent="0.25">
      <c r="Q6689" s="17" t="s">
        <v>7173</v>
      </c>
      <c r="R6689" s="17" t="s">
        <v>221</v>
      </c>
      <c r="S6689" s="17"/>
      <c r="T6689" s="17"/>
      <c r="U6689" s="17"/>
    </row>
    <row r="6690" spans="17:21" x14ac:dyDescent="0.25">
      <c r="Q6690" s="17" t="s">
        <v>7174</v>
      </c>
      <c r="R6690" s="17" t="s">
        <v>221</v>
      </c>
      <c r="S6690" s="17"/>
      <c r="T6690" s="17"/>
      <c r="U6690" s="17"/>
    </row>
    <row r="6691" spans="17:21" x14ac:dyDescent="0.25">
      <c r="Q6691" s="17" t="s">
        <v>7175</v>
      </c>
      <c r="R6691" s="17" t="s">
        <v>221</v>
      </c>
      <c r="S6691" s="17"/>
      <c r="T6691" s="17"/>
      <c r="U6691" s="17"/>
    </row>
    <row r="6692" spans="17:21" x14ac:dyDescent="0.25">
      <c r="Q6692" s="17" t="s">
        <v>454</v>
      </c>
      <c r="R6692" s="17" t="s">
        <v>221</v>
      </c>
      <c r="S6692" s="17"/>
      <c r="T6692" s="17"/>
      <c r="U6692" s="17"/>
    </row>
    <row r="6693" spans="17:21" x14ac:dyDescent="0.25">
      <c r="Q6693" s="17" t="s">
        <v>7176</v>
      </c>
      <c r="R6693" s="17" t="s">
        <v>221</v>
      </c>
      <c r="S6693" s="17"/>
      <c r="T6693" s="17"/>
      <c r="U6693" s="17"/>
    </row>
    <row r="6694" spans="17:21" x14ac:dyDescent="0.25">
      <c r="Q6694" s="17" t="s">
        <v>7177</v>
      </c>
      <c r="R6694" s="17" t="s">
        <v>221</v>
      </c>
      <c r="S6694" s="17"/>
      <c r="T6694" s="17"/>
      <c r="U6694" s="17"/>
    </row>
    <row r="6695" spans="17:21" x14ac:dyDescent="0.25">
      <c r="Q6695" s="17" t="s">
        <v>455</v>
      </c>
      <c r="R6695" s="17" t="s">
        <v>221</v>
      </c>
      <c r="S6695" s="17"/>
      <c r="T6695" s="17"/>
      <c r="U6695" s="17"/>
    </row>
    <row r="6696" spans="17:21" x14ac:dyDescent="0.25">
      <c r="Q6696" s="17" t="s">
        <v>1148</v>
      </c>
      <c r="R6696" s="17" t="s">
        <v>221</v>
      </c>
      <c r="S6696" s="17"/>
      <c r="T6696" s="17"/>
      <c r="U6696" s="17"/>
    </row>
    <row r="6697" spans="17:21" x14ac:dyDescent="0.25">
      <c r="Q6697" s="17" t="s">
        <v>434</v>
      </c>
      <c r="R6697" s="17" t="s">
        <v>211</v>
      </c>
      <c r="S6697" s="17"/>
      <c r="T6697" s="17"/>
      <c r="U6697" s="17"/>
    </row>
    <row r="6698" spans="17:21" x14ac:dyDescent="0.25">
      <c r="Q6698" s="17" t="s">
        <v>1084</v>
      </c>
      <c r="R6698" s="17" t="s">
        <v>213</v>
      </c>
      <c r="S6698" s="17"/>
      <c r="T6698" s="17"/>
      <c r="U6698" s="17"/>
    </row>
    <row r="6699" spans="17:21" x14ac:dyDescent="0.25">
      <c r="Q6699" s="17" t="s">
        <v>7178</v>
      </c>
      <c r="R6699" s="17" t="s">
        <v>213</v>
      </c>
      <c r="S6699" s="17"/>
      <c r="T6699" s="17"/>
      <c r="U6699" s="17"/>
    </row>
    <row r="6700" spans="17:21" x14ac:dyDescent="0.25">
      <c r="Q6700" s="17" t="s">
        <v>7179</v>
      </c>
      <c r="R6700" s="17" t="s">
        <v>213</v>
      </c>
      <c r="S6700" s="17"/>
      <c r="T6700" s="17"/>
      <c r="U6700" s="17"/>
    </row>
    <row r="6701" spans="17:21" x14ac:dyDescent="0.25">
      <c r="Q6701" s="17" t="s">
        <v>7180</v>
      </c>
      <c r="R6701" s="17" t="s">
        <v>213</v>
      </c>
      <c r="S6701" s="17"/>
      <c r="T6701" s="17"/>
      <c r="U6701" s="17"/>
    </row>
    <row r="6702" spans="17:21" x14ac:dyDescent="0.25">
      <c r="Q6702" s="17" t="s">
        <v>7181</v>
      </c>
      <c r="R6702" s="17" t="s">
        <v>211</v>
      </c>
      <c r="S6702" s="17"/>
      <c r="T6702" s="17"/>
      <c r="U6702" s="17"/>
    </row>
    <row r="6703" spans="17:21" x14ac:dyDescent="0.25">
      <c r="Q6703" s="17" t="s">
        <v>453</v>
      </c>
      <c r="R6703" s="17" t="s">
        <v>221</v>
      </c>
      <c r="S6703" s="17"/>
      <c r="T6703" s="17"/>
      <c r="U6703" s="17"/>
    </row>
    <row r="6704" spans="17:21" x14ac:dyDescent="0.25">
      <c r="Q6704" s="17" t="s">
        <v>7182</v>
      </c>
      <c r="R6704" s="17" t="s">
        <v>211</v>
      </c>
      <c r="S6704" s="17"/>
      <c r="T6704" s="17"/>
      <c r="U6704" s="17"/>
    </row>
    <row r="6705" spans="17:21" x14ac:dyDescent="0.25">
      <c r="Q6705" s="17" t="s">
        <v>423</v>
      </c>
      <c r="R6705" s="17" t="s">
        <v>211</v>
      </c>
      <c r="S6705" s="17"/>
      <c r="T6705" s="17"/>
      <c r="U6705" s="17"/>
    </row>
    <row r="6706" spans="17:21" x14ac:dyDescent="0.25">
      <c r="Q6706" s="17" t="s">
        <v>7183</v>
      </c>
      <c r="R6706" s="17" t="s">
        <v>211</v>
      </c>
      <c r="S6706" s="17"/>
      <c r="T6706" s="17"/>
      <c r="U6706" s="17"/>
    </row>
    <row r="6707" spans="17:21" x14ac:dyDescent="0.25">
      <c r="Q6707" s="17" t="s">
        <v>1212</v>
      </c>
      <c r="R6707" s="17" t="s">
        <v>211</v>
      </c>
      <c r="S6707" s="17"/>
      <c r="T6707" s="17"/>
      <c r="U6707" s="17"/>
    </row>
    <row r="6708" spans="17:21" x14ac:dyDescent="0.25">
      <c r="Q6708" s="17" t="s">
        <v>450</v>
      </c>
      <c r="R6708" s="17" t="s">
        <v>211</v>
      </c>
      <c r="S6708" s="17"/>
      <c r="T6708" s="17"/>
      <c r="U6708" s="17"/>
    </row>
    <row r="6709" spans="17:21" x14ac:dyDescent="0.25">
      <c r="Q6709" s="17" t="s">
        <v>701</v>
      </c>
      <c r="R6709" s="17" t="s">
        <v>211</v>
      </c>
      <c r="S6709" s="17"/>
      <c r="T6709" s="17"/>
      <c r="U6709" s="17"/>
    </row>
    <row r="6710" spans="17:21" x14ac:dyDescent="0.25">
      <c r="Q6710" s="17" t="s">
        <v>1341</v>
      </c>
      <c r="R6710" s="17" t="s">
        <v>211</v>
      </c>
      <c r="S6710" s="17"/>
      <c r="T6710" s="17"/>
      <c r="U6710" s="17"/>
    </row>
    <row r="6711" spans="17:21" x14ac:dyDescent="0.25">
      <c r="Q6711" s="17" t="s">
        <v>7184</v>
      </c>
      <c r="R6711" s="17" t="s">
        <v>211</v>
      </c>
      <c r="S6711" s="17"/>
      <c r="T6711" s="17"/>
      <c r="U6711" s="17"/>
    </row>
    <row r="6712" spans="17:21" x14ac:dyDescent="0.25">
      <c r="Q6712" s="17" t="s">
        <v>1104</v>
      </c>
      <c r="R6712" s="17" t="s">
        <v>211</v>
      </c>
      <c r="S6712" s="17"/>
      <c r="T6712" s="17"/>
      <c r="U6712" s="17"/>
    </row>
    <row r="6713" spans="17:21" x14ac:dyDescent="0.25">
      <c r="Q6713" s="17" t="s">
        <v>7185</v>
      </c>
      <c r="R6713" s="17" t="s">
        <v>211</v>
      </c>
      <c r="S6713" s="17"/>
      <c r="T6713" s="17"/>
      <c r="U6713" s="17"/>
    </row>
    <row r="6714" spans="17:21" x14ac:dyDescent="0.25">
      <c r="Q6714" s="17" t="s">
        <v>538</v>
      </c>
      <c r="R6714" s="17" t="s">
        <v>211</v>
      </c>
      <c r="S6714" s="17"/>
      <c r="T6714" s="17"/>
      <c r="U6714" s="17"/>
    </row>
    <row r="6715" spans="17:21" x14ac:dyDescent="0.25">
      <c r="Q6715" s="17" t="s">
        <v>1351</v>
      </c>
      <c r="R6715" s="17" t="s">
        <v>211</v>
      </c>
      <c r="S6715" s="17"/>
      <c r="T6715" s="17"/>
      <c r="U6715" s="17"/>
    </row>
    <row r="6716" spans="17:21" x14ac:dyDescent="0.25">
      <c r="Q6716" s="17" t="s">
        <v>1344</v>
      </c>
      <c r="R6716" s="17" t="s">
        <v>211</v>
      </c>
      <c r="S6716" s="17"/>
      <c r="T6716" s="17"/>
      <c r="U6716" s="17"/>
    </row>
    <row r="6717" spans="17:21" x14ac:dyDescent="0.25">
      <c r="Q6717" s="17" t="s">
        <v>857</v>
      </c>
      <c r="R6717" s="17" t="s">
        <v>211</v>
      </c>
      <c r="S6717" s="17"/>
      <c r="T6717" s="17"/>
      <c r="U6717" s="17"/>
    </row>
    <row r="6718" spans="17:21" x14ac:dyDescent="0.25">
      <c r="Q6718" s="17" t="s">
        <v>609</v>
      </c>
      <c r="R6718" s="17" t="s">
        <v>211</v>
      </c>
      <c r="S6718" s="17"/>
      <c r="T6718" s="17"/>
      <c r="U6718" s="17"/>
    </row>
    <row r="6719" spans="17:21" x14ac:dyDescent="0.25">
      <c r="Q6719" s="17" t="s">
        <v>7186</v>
      </c>
      <c r="R6719" s="17" t="s">
        <v>211</v>
      </c>
      <c r="S6719" s="17"/>
      <c r="T6719" s="17"/>
      <c r="U6719" s="17"/>
    </row>
    <row r="6720" spans="17:21" x14ac:dyDescent="0.25">
      <c r="Q6720" s="17" t="s">
        <v>7187</v>
      </c>
      <c r="R6720" s="17" t="s">
        <v>211</v>
      </c>
      <c r="S6720" s="17"/>
      <c r="T6720" s="17"/>
      <c r="U6720" s="17"/>
    </row>
    <row r="6721" spans="17:21" x14ac:dyDescent="0.25">
      <c r="Q6721" s="17" t="s">
        <v>7188</v>
      </c>
      <c r="R6721" s="17" t="s">
        <v>211</v>
      </c>
      <c r="S6721" s="17"/>
      <c r="T6721" s="17"/>
      <c r="U6721" s="17"/>
    </row>
    <row r="6722" spans="17:21" x14ac:dyDescent="0.25">
      <c r="Q6722" s="17" t="s">
        <v>7189</v>
      </c>
      <c r="R6722" s="17" t="s">
        <v>211</v>
      </c>
      <c r="S6722" s="17"/>
      <c r="T6722" s="17"/>
      <c r="U6722" s="17"/>
    </row>
    <row r="6723" spans="17:21" x14ac:dyDescent="0.25">
      <c r="Q6723" s="17" t="s">
        <v>7190</v>
      </c>
      <c r="R6723" s="17" t="s">
        <v>211</v>
      </c>
      <c r="S6723" s="17"/>
      <c r="T6723" s="17"/>
      <c r="U6723" s="17"/>
    </row>
    <row r="6724" spans="17:21" x14ac:dyDescent="0.25">
      <c r="Q6724" s="17" t="s">
        <v>7191</v>
      </c>
      <c r="R6724" s="17" t="s">
        <v>211</v>
      </c>
      <c r="S6724" s="17"/>
      <c r="T6724" s="17"/>
      <c r="U6724" s="17"/>
    </row>
    <row r="6725" spans="17:21" x14ac:dyDescent="0.25">
      <c r="Q6725" s="17" t="s">
        <v>7192</v>
      </c>
      <c r="R6725" s="17" t="s">
        <v>211</v>
      </c>
      <c r="S6725" s="17"/>
      <c r="T6725" s="17"/>
      <c r="U6725" s="17"/>
    </row>
    <row r="6726" spans="17:21" x14ac:dyDescent="0.25">
      <c r="Q6726" s="17" t="s">
        <v>1229</v>
      </c>
      <c r="R6726" s="17" t="s">
        <v>211</v>
      </c>
      <c r="S6726" s="17"/>
      <c r="T6726" s="17"/>
      <c r="U6726" s="17"/>
    </row>
    <row r="6727" spans="17:21" x14ac:dyDescent="0.25">
      <c r="Q6727" s="17" t="s">
        <v>1296</v>
      </c>
      <c r="R6727" s="17" t="s">
        <v>211</v>
      </c>
      <c r="S6727" s="17"/>
      <c r="T6727" s="17"/>
      <c r="U6727" s="17"/>
    </row>
    <row r="6728" spans="17:21" x14ac:dyDescent="0.25">
      <c r="Q6728" s="17" t="s">
        <v>7193</v>
      </c>
      <c r="R6728" s="17" t="s">
        <v>211</v>
      </c>
      <c r="S6728" s="17"/>
      <c r="T6728" s="17"/>
      <c r="U6728" s="17"/>
    </row>
    <row r="6729" spans="17:21" x14ac:dyDescent="0.25">
      <c r="Q6729" s="17" t="s">
        <v>860</v>
      </c>
      <c r="R6729" s="17" t="s">
        <v>211</v>
      </c>
      <c r="S6729" s="17"/>
      <c r="T6729" s="17"/>
      <c r="U6729" s="17"/>
    </row>
    <row r="6730" spans="17:21" x14ac:dyDescent="0.25">
      <c r="Q6730" s="17" t="s">
        <v>7194</v>
      </c>
      <c r="R6730" s="17" t="s">
        <v>211</v>
      </c>
      <c r="S6730" s="17"/>
      <c r="T6730" s="17"/>
      <c r="U6730" s="17"/>
    </row>
    <row r="6731" spans="17:21" x14ac:dyDescent="0.25">
      <c r="Q6731" s="17" t="s">
        <v>7195</v>
      </c>
      <c r="R6731" s="17" t="s">
        <v>211</v>
      </c>
      <c r="S6731" s="17"/>
      <c r="T6731" s="17"/>
      <c r="U6731" s="17"/>
    </row>
    <row r="6732" spans="17:21" x14ac:dyDescent="0.25">
      <c r="Q6732" s="17" t="s">
        <v>7196</v>
      </c>
      <c r="R6732" s="17" t="s">
        <v>211</v>
      </c>
      <c r="S6732" s="17"/>
      <c r="T6732" s="17"/>
      <c r="U6732" s="17"/>
    </row>
    <row r="6733" spans="17:21" x14ac:dyDescent="0.25">
      <c r="Q6733" s="17" t="s">
        <v>861</v>
      </c>
      <c r="R6733" s="17" t="s">
        <v>211</v>
      </c>
      <c r="S6733" s="17"/>
      <c r="T6733" s="17"/>
      <c r="U6733" s="17"/>
    </row>
    <row r="6734" spans="17:21" x14ac:dyDescent="0.25">
      <c r="Q6734" s="17" t="s">
        <v>616</v>
      </c>
      <c r="R6734" s="17" t="s">
        <v>211</v>
      </c>
      <c r="S6734" s="17"/>
      <c r="T6734" s="17"/>
      <c r="U6734" s="17"/>
    </row>
    <row r="6735" spans="17:21" x14ac:dyDescent="0.25">
      <c r="Q6735" s="17" t="s">
        <v>7197</v>
      </c>
      <c r="R6735" s="17" t="s">
        <v>211</v>
      </c>
      <c r="S6735" s="17"/>
      <c r="T6735" s="17"/>
      <c r="U6735" s="17"/>
    </row>
    <row r="6736" spans="17:21" x14ac:dyDescent="0.25">
      <c r="Q6736" s="17" t="s">
        <v>7198</v>
      </c>
      <c r="R6736" s="17" t="s">
        <v>211</v>
      </c>
      <c r="S6736" s="17"/>
      <c r="T6736" s="17"/>
      <c r="U6736" s="17"/>
    </row>
    <row r="6737" spans="17:21" x14ac:dyDescent="0.25">
      <c r="Q6737" s="17" t="s">
        <v>1284</v>
      </c>
      <c r="R6737" s="17" t="s">
        <v>211</v>
      </c>
      <c r="S6737" s="17"/>
      <c r="T6737" s="17"/>
      <c r="U6737" s="17"/>
    </row>
    <row r="6738" spans="17:21" x14ac:dyDescent="0.25">
      <c r="Q6738" s="17" t="s">
        <v>7199</v>
      </c>
      <c r="R6738" s="17" t="s">
        <v>211</v>
      </c>
      <c r="S6738" s="17"/>
      <c r="T6738" s="17"/>
      <c r="U6738" s="17"/>
    </row>
    <row r="6739" spans="17:21" x14ac:dyDescent="0.25">
      <c r="Q6739" s="17" t="s">
        <v>7200</v>
      </c>
      <c r="R6739" s="17" t="s">
        <v>211</v>
      </c>
      <c r="S6739" s="17"/>
      <c r="T6739" s="17"/>
      <c r="U6739" s="17"/>
    </row>
    <row r="6740" spans="17:21" x14ac:dyDescent="0.25">
      <c r="Q6740" s="17" t="s">
        <v>7201</v>
      </c>
      <c r="R6740" s="17" t="s">
        <v>211</v>
      </c>
      <c r="S6740" s="17"/>
      <c r="T6740" s="17"/>
      <c r="U6740" s="17"/>
    </row>
    <row r="6741" spans="17:21" x14ac:dyDescent="0.25">
      <c r="Q6741" s="17" t="s">
        <v>1270</v>
      </c>
      <c r="R6741" s="17" t="s">
        <v>211</v>
      </c>
      <c r="S6741" s="17"/>
      <c r="T6741" s="17"/>
      <c r="U6741" s="17"/>
    </row>
    <row r="6742" spans="17:21" x14ac:dyDescent="0.25">
      <c r="Q6742" s="17" t="s">
        <v>935</v>
      </c>
      <c r="R6742" s="17" t="s">
        <v>211</v>
      </c>
      <c r="S6742" s="17"/>
      <c r="T6742" s="17"/>
      <c r="U6742" s="17"/>
    </row>
    <row r="6743" spans="17:21" x14ac:dyDescent="0.25">
      <c r="Q6743" s="17" t="s">
        <v>1080</v>
      </c>
      <c r="R6743" s="17" t="s">
        <v>211</v>
      </c>
      <c r="S6743" s="17"/>
      <c r="T6743" s="17"/>
      <c r="U6743" s="17"/>
    </row>
    <row r="6744" spans="17:21" x14ac:dyDescent="0.25">
      <c r="Q6744" s="17" t="s">
        <v>629</v>
      </c>
      <c r="R6744" s="17" t="s">
        <v>211</v>
      </c>
      <c r="S6744" s="17"/>
      <c r="T6744" s="17"/>
      <c r="U6744" s="17"/>
    </row>
    <row r="6745" spans="17:21" x14ac:dyDescent="0.25">
      <c r="Q6745" s="17" t="s">
        <v>7202</v>
      </c>
      <c r="R6745" s="17" t="s">
        <v>211</v>
      </c>
      <c r="S6745" s="17"/>
      <c r="T6745" s="17"/>
      <c r="U6745" s="17"/>
    </row>
    <row r="6746" spans="17:21" x14ac:dyDescent="0.25">
      <c r="Q6746" s="17" t="s">
        <v>1219</v>
      </c>
      <c r="R6746" s="17" t="s">
        <v>211</v>
      </c>
      <c r="S6746" s="17"/>
      <c r="T6746" s="17"/>
      <c r="U6746" s="17"/>
    </row>
    <row r="6747" spans="17:21" x14ac:dyDescent="0.25">
      <c r="Q6747" s="17" t="s">
        <v>1343</v>
      </c>
      <c r="R6747" s="17" t="s">
        <v>211</v>
      </c>
      <c r="S6747" s="17"/>
      <c r="T6747" s="17"/>
      <c r="U6747" s="17"/>
    </row>
    <row r="6748" spans="17:21" x14ac:dyDescent="0.25">
      <c r="Q6748" s="17" t="s">
        <v>1140</v>
      </c>
      <c r="R6748" s="17" t="s">
        <v>211</v>
      </c>
      <c r="S6748" s="17"/>
      <c r="T6748" s="17"/>
      <c r="U6748" s="17"/>
    </row>
    <row r="6749" spans="17:21" x14ac:dyDescent="0.25">
      <c r="Q6749" s="17" t="s">
        <v>1081</v>
      </c>
      <c r="R6749" s="17" t="s">
        <v>211</v>
      </c>
      <c r="S6749" s="17"/>
      <c r="T6749" s="17"/>
      <c r="U6749" s="17"/>
    </row>
    <row r="6750" spans="17:21" x14ac:dyDescent="0.25">
      <c r="Q6750" s="17" t="s">
        <v>7203</v>
      </c>
      <c r="R6750" s="17" t="s">
        <v>211</v>
      </c>
      <c r="S6750" s="17"/>
      <c r="T6750" s="17"/>
      <c r="U6750" s="17"/>
    </row>
    <row r="6751" spans="17:21" x14ac:dyDescent="0.25">
      <c r="Q6751" s="17" t="s">
        <v>1178</v>
      </c>
      <c r="R6751" s="17" t="s">
        <v>211</v>
      </c>
      <c r="S6751" s="17"/>
      <c r="T6751" s="17"/>
      <c r="U6751" s="17"/>
    </row>
    <row r="6752" spans="17:21" x14ac:dyDescent="0.25">
      <c r="Q6752" s="17" t="s">
        <v>1350</v>
      </c>
      <c r="R6752" s="17" t="s">
        <v>211</v>
      </c>
      <c r="S6752" s="17"/>
      <c r="T6752" s="17"/>
      <c r="U6752" s="17"/>
    </row>
    <row r="6753" spans="17:21" x14ac:dyDescent="0.25">
      <c r="Q6753" s="17" t="s">
        <v>1064</v>
      </c>
      <c r="R6753" s="17" t="s">
        <v>211</v>
      </c>
      <c r="S6753" s="17"/>
      <c r="T6753" s="17"/>
      <c r="U6753" s="17"/>
    </row>
    <row r="6754" spans="17:21" x14ac:dyDescent="0.25">
      <c r="Q6754" s="17" t="s">
        <v>630</v>
      </c>
      <c r="R6754" s="17" t="s">
        <v>211</v>
      </c>
      <c r="S6754" s="17"/>
      <c r="T6754" s="17"/>
      <c r="U6754" s="17"/>
    </row>
    <row r="6755" spans="17:21" x14ac:dyDescent="0.25">
      <c r="Q6755" s="17" t="s">
        <v>7204</v>
      </c>
      <c r="R6755" s="17" t="s">
        <v>211</v>
      </c>
      <c r="S6755" s="17"/>
      <c r="T6755" s="17"/>
      <c r="U6755" s="17"/>
    </row>
    <row r="6756" spans="17:21" x14ac:dyDescent="0.25">
      <c r="Q6756" s="17" t="s">
        <v>7205</v>
      </c>
      <c r="R6756" s="17" t="s">
        <v>211</v>
      </c>
      <c r="S6756" s="17"/>
      <c r="T6756" s="17"/>
      <c r="U6756" s="17"/>
    </row>
    <row r="6757" spans="17:21" x14ac:dyDescent="0.25">
      <c r="Q6757" s="17" t="s">
        <v>584</v>
      </c>
      <c r="R6757" s="17" t="s">
        <v>211</v>
      </c>
      <c r="S6757" s="17"/>
      <c r="T6757" s="17"/>
      <c r="U6757" s="17"/>
    </row>
    <row r="6758" spans="17:21" x14ac:dyDescent="0.25">
      <c r="Q6758" s="17" t="s">
        <v>1246</v>
      </c>
      <c r="R6758" s="17" t="s">
        <v>211</v>
      </c>
      <c r="S6758" s="17"/>
      <c r="T6758" s="17"/>
      <c r="U6758" s="17"/>
    </row>
    <row r="6759" spans="17:21" x14ac:dyDescent="0.25">
      <c r="Q6759" s="17" t="s">
        <v>7206</v>
      </c>
      <c r="R6759" s="17" t="s">
        <v>211</v>
      </c>
      <c r="S6759" s="17"/>
      <c r="T6759" s="17"/>
      <c r="U6759" s="17"/>
    </row>
    <row r="6760" spans="17:21" x14ac:dyDescent="0.25">
      <c r="Q6760" s="17" t="s">
        <v>7207</v>
      </c>
      <c r="R6760" s="17" t="s">
        <v>211</v>
      </c>
      <c r="S6760" s="17"/>
      <c r="T6760" s="17"/>
      <c r="U6760" s="17"/>
    </row>
    <row r="6761" spans="17:21" x14ac:dyDescent="0.25">
      <c r="Q6761" s="17" t="s">
        <v>7208</v>
      </c>
      <c r="R6761" s="17" t="s">
        <v>211</v>
      </c>
      <c r="S6761" s="17"/>
      <c r="T6761" s="17"/>
      <c r="U6761" s="17"/>
    </row>
    <row r="6762" spans="17:21" x14ac:dyDescent="0.25">
      <c r="Q6762" s="17" t="s">
        <v>1272</v>
      </c>
      <c r="R6762" s="17" t="s">
        <v>211</v>
      </c>
      <c r="S6762" s="17"/>
      <c r="T6762" s="17"/>
      <c r="U6762" s="17"/>
    </row>
    <row r="6763" spans="17:21" x14ac:dyDescent="0.25">
      <c r="Q6763" s="17" t="s">
        <v>7209</v>
      </c>
      <c r="R6763" s="17" t="s">
        <v>211</v>
      </c>
      <c r="S6763" s="17"/>
      <c r="T6763" s="17"/>
      <c r="U6763" s="17"/>
    </row>
    <row r="6764" spans="17:21" x14ac:dyDescent="0.25">
      <c r="Q6764" s="17" t="s">
        <v>419</v>
      </c>
      <c r="R6764" s="17" t="s">
        <v>211</v>
      </c>
      <c r="S6764" s="17"/>
      <c r="T6764" s="17"/>
      <c r="U6764" s="17"/>
    </row>
    <row r="6765" spans="17:21" x14ac:dyDescent="0.25">
      <c r="Q6765" s="17" t="s">
        <v>7210</v>
      </c>
      <c r="R6765" s="17" t="s">
        <v>211</v>
      </c>
      <c r="S6765" s="17"/>
      <c r="T6765" s="17"/>
      <c r="U6765" s="17"/>
    </row>
    <row r="6766" spans="17:21" x14ac:dyDescent="0.25">
      <c r="Q6766" s="17" t="s">
        <v>862</v>
      </c>
      <c r="R6766" s="17" t="s">
        <v>211</v>
      </c>
      <c r="S6766" s="17"/>
      <c r="T6766" s="17"/>
      <c r="U6766" s="17"/>
    </row>
    <row r="6767" spans="17:21" x14ac:dyDescent="0.25">
      <c r="Q6767" s="17" t="s">
        <v>1294</v>
      </c>
      <c r="R6767" s="17" t="s">
        <v>211</v>
      </c>
      <c r="S6767" s="17"/>
      <c r="T6767" s="17"/>
      <c r="U6767" s="17"/>
    </row>
    <row r="6768" spans="17:21" x14ac:dyDescent="0.25">
      <c r="Q6768" s="17" t="s">
        <v>7211</v>
      </c>
      <c r="R6768" s="17" t="s">
        <v>211</v>
      </c>
      <c r="S6768" s="17"/>
      <c r="T6768" s="17"/>
      <c r="U6768" s="17"/>
    </row>
    <row r="6769" spans="17:21" x14ac:dyDescent="0.25">
      <c r="Q6769" s="17" t="s">
        <v>7212</v>
      </c>
      <c r="R6769" s="17" t="s">
        <v>211</v>
      </c>
      <c r="S6769" s="17"/>
      <c r="T6769" s="17"/>
      <c r="U6769" s="17"/>
    </row>
    <row r="6770" spans="17:21" x14ac:dyDescent="0.25">
      <c r="Q6770" s="17" t="s">
        <v>7213</v>
      </c>
      <c r="R6770" s="17" t="s">
        <v>211</v>
      </c>
      <c r="S6770" s="17"/>
      <c r="T6770" s="17"/>
      <c r="U6770" s="17"/>
    </row>
    <row r="6771" spans="17:21" x14ac:dyDescent="0.25">
      <c r="Q6771" s="17" t="s">
        <v>7214</v>
      </c>
      <c r="R6771" s="17" t="s">
        <v>211</v>
      </c>
      <c r="S6771" s="17"/>
      <c r="T6771" s="17"/>
      <c r="U6771" s="17"/>
    </row>
    <row r="6772" spans="17:21" x14ac:dyDescent="0.25">
      <c r="Q6772" s="17" t="s">
        <v>7215</v>
      </c>
      <c r="R6772" s="17" t="s">
        <v>223</v>
      </c>
      <c r="S6772" s="17"/>
      <c r="T6772" s="17"/>
      <c r="U6772" s="17"/>
    </row>
    <row r="6773" spans="17:21" x14ac:dyDescent="0.25">
      <c r="Q6773" s="17" t="s">
        <v>1120</v>
      </c>
      <c r="R6773" s="17" t="s">
        <v>211</v>
      </c>
      <c r="S6773" s="17"/>
      <c r="T6773" s="17"/>
      <c r="U6773" s="17"/>
    </row>
    <row r="6774" spans="17:21" x14ac:dyDescent="0.25">
      <c r="Q6774" s="17" t="s">
        <v>7216</v>
      </c>
      <c r="R6774" s="17" t="s">
        <v>221</v>
      </c>
      <c r="S6774" s="17"/>
      <c r="T6774" s="17"/>
      <c r="U6774" s="17"/>
    </row>
    <row r="6775" spans="17:21" x14ac:dyDescent="0.25">
      <c r="Q6775" s="17" t="s">
        <v>7217</v>
      </c>
      <c r="R6775" s="17" t="s">
        <v>221</v>
      </c>
      <c r="S6775" s="17"/>
      <c r="T6775" s="17"/>
      <c r="U6775" s="17"/>
    </row>
    <row r="6776" spans="17:21" x14ac:dyDescent="0.25">
      <c r="Q6776" s="17" t="s">
        <v>507</v>
      </c>
      <c r="R6776" s="17" t="s">
        <v>211</v>
      </c>
      <c r="S6776" s="17"/>
      <c r="T6776" s="17"/>
      <c r="U6776" s="17"/>
    </row>
    <row r="6777" spans="17:21" x14ac:dyDescent="0.25">
      <c r="Q6777" s="17" t="s">
        <v>1210</v>
      </c>
      <c r="R6777" s="17" t="s">
        <v>211</v>
      </c>
      <c r="S6777" s="17"/>
      <c r="T6777" s="17"/>
      <c r="U6777" s="17"/>
    </row>
    <row r="6778" spans="17:21" x14ac:dyDescent="0.25">
      <c r="Q6778" s="17" t="s">
        <v>7218</v>
      </c>
      <c r="R6778" s="17" t="s">
        <v>211</v>
      </c>
      <c r="S6778" s="17"/>
      <c r="T6778" s="17"/>
      <c r="U6778" s="17"/>
    </row>
    <row r="6779" spans="17:21" x14ac:dyDescent="0.25">
      <c r="Q6779" s="17" t="s">
        <v>1211</v>
      </c>
      <c r="R6779" s="17" t="s">
        <v>211</v>
      </c>
      <c r="S6779" s="17"/>
      <c r="T6779" s="17"/>
      <c r="U6779" s="17"/>
    </row>
    <row r="6780" spans="17:21" x14ac:dyDescent="0.25">
      <c r="Q6780" s="17" t="s">
        <v>1254</v>
      </c>
      <c r="R6780" s="17" t="s">
        <v>211</v>
      </c>
      <c r="S6780" s="17"/>
      <c r="T6780" s="17"/>
      <c r="U6780" s="17"/>
    </row>
    <row r="6781" spans="17:21" x14ac:dyDescent="0.25">
      <c r="Q6781" s="17" t="s">
        <v>607</v>
      </c>
      <c r="R6781" s="17" t="s">
        <v>211</v>
      </c>
      <c r="S6781" s="17"/>
      <c r="T6781" s="17"/>
      <c r="U6781" s="17"/>
    </row>
    <row r="6782" spans="17:21" x14ac:dyDescent="0.25">
      <c r="Q6782" s="17" t="s">
        <v>433</v>
      </c>
      <c r="R6782" s="17" t="s">
        <v>211</v>
      </c>
      <c r="S6782" s="17"/>
      <c r="T6782" s="17"/>
      <c r="U6782" s="17"/>
    </row>
    <row r="6783" spans="17:21" x14ac:dyDescent="0.25">
      <c r="Q6783" s="17" t="s">
        <v>1315</v>
      </c>
      <c r="R6783" s="17" t="s">
        <v>211</v>
      </c>
      <c r="S6783" s="17"/>
      <c r="T6783" s="17"/>
      <c r="U6783" s="17"/>
    </row>
    <row r="6784" spans="17:21" x14ac:dyDescent="0.25">
      <c r="Q6784" s="17" t="s">
        <v>7219</v>
      </c>
      <c r="R6784" s="17" t="s">
        <v>211</v>
      </c>
      <c r="S6784" s="17"/>
      <c r="T6784" s="17"/>
      <c r="U6784" s="17"/>
    </row>
    <row r="6785" spans="17:21" x14ac:dyDescent="0.25">
      <c r="Q6785" s="17" t="s">
        <v>7220</v>
      </c>
      <c r="R6785" s="17" t="s">
        <v>211</v>
      </c>
      <c r="S6785" s="17"/>
      <c r="T6785" s="17"/>
      <c r="U6785" s="17"/>
    </row>
    <row r="6786" spans="17:21" x14ac:dyDescent="0.25">
      <c r="Q6786" s="17" t="s">
        <v>422</v>
      </c>
      <c r="R6786" s="17" t="s">
        <v>215</v>
      </c>
      <c r="S6786" s="17"/>
      <c r="T6786" s="17"/>
      <c r="U6786" s="17"/>
    </row>
    <row r="6787" spans="17:21" x14ac:dyDescent="0.25">
      <c r="Q6787" s="17" t="s">
        <v>1141</v>
      </c>
      <c r="R6787" s="17" t="s">
        <v>215</v>
      </c>
      <c r="S6787" s="17"/>
      <c r="T6787" s="17"/>
      <c r="U6787" s="17"/>
    </row>
    <row r="6788" spans="17:21" x14ac:dyDescent="0.25">
      <c r="Q6788" s="17" t="s">
        <v>7221</v>
      </c>
      <c r="R6788" s="17" t="s">
        <v>211</v>
      </c>
      <c r="S6788" s="17"/>
      <c r="T6788" s="17"/>
      <c r="U6788" s="17"/>
    </row>
    <row r="6789" spans="17:21" x14ac:dyDescent="0.25">
      <c r="Q6789" s="17" t="s">
        <v>1271</v>
      </c>
      <c r="R6789" s="17" t="s">
        <v>211</v>
      </c>
      <c r="S6789" s="17"/>
      <c r="T6789" s="17"/>
      <c r="U6789" s="17"/>
    </row>
    <row r="6790" spans="17:21" x14ac:dyDescent="0.25">
      <c r="Q6790" s="17" t="s">
        <v>1213</v>
      </c>
      <c r="R6790" s="17" t="s">
        <v>211</v>
      </c>
      <c r="S6790" s="17"/>
      <c r="T6790" s="17"/>
      <c r="U6790" s="17"/>
    </row>
    <row r="6791" spans="17:21" x14ac:dyDescent="0.25">
      <c r="Q6791" s="17" t="s">
        <v>1082</v>
      </c>
      <c r="R6791" s="17" t="s">
        <v>211</v>
      </c>
      <c r="S6791" s="17"/>
      <c r="T6791" s="17"/>
      <c r="U6791" s="17"/>
    </row>
    <row r="6792" spans="17:21" x14ac:dyDescent="0.25">
      <c r="Q6792" s="17" t="s">
        <v>7222</v>
      </c>
      <c r="R6792" s="17" t="s">
        <v>211</v>
      </c>
      <c r="S6792" s="17"/>
      <c r="T6792" s="17"/>
      <c r="U6792" s="17"/>
    </row>
    <row r="6793" spans="17:21" x14ac:dyDescent="0.25">
      <c r="Q6793" s="17" t="s">
        <v>7223</v>
      </c>
      <c r="R6793" s="17" t="s">
        <v>211</v>
      </c>
      <c r="S6793" s="17"/>
      <c r="T6793" s="17"/>
      <c r="U6793" s="17"/>
    </row>
    <row r="6794" spans="17:21" x14ac:dyDescent="0.25">
      <c r="Q6794" s="17" t="s">
        <v>7224</v>
      </c>
      <c r="R6794" s="17" t="s">
        <v>211</v>
      </c>
      <c r="S6794" s="17"/>
      <c r="T6794" s="17"/>
      <c r="U6794" s="17"/>
    </row>
    <row r="6795" spans="17:21" x14ac:dyDescent="0.25">
      <c r="Q6795" s="17" t="s">
        <v>7225</v>
      </c>
      <c r="R6795" s="17" t="s">
        <v>211</v>
      </c>
      <c r="S6795" s="17"/>
      <c r="T6795" s="17"/>
      <c r="U6795" s="17"/>
    </row>
    <row r="6796" spans="17:21" x14ac:dyDescent="0.25">
      <c r="Q6796" s="17" t="s">
        <v>7226</v>
      </c>
      <c r="R6796" s="17" t="s">
        <v>211</v>
      </c>
      <c r="S6796" s="17"/>
      <c r="T6796" s="17"/>
      <c r="U6796" s="17"/>
    </row>
    <row r="6797" spans="17:21" x14ac:dyDescent="0.25">
      <c r="Q6797" s="17" t="s">
        <v>1220</v>
      </c>
      <c r="R6797" s="17" t="s">
        <v>211</v>
      </c>
      <c r="S6797" s="17"/>
      <c r="T6797" s="17"/>
      <c r="U6797" s="17"/>
    </row>
    <row r="6798" spans="17:21" x14ac:dyDescent="0.25">
      <c r="Q6798" s="17" t="s">
        <v>7227</v>
      </c>
      <c r="R6798" s="17" t="s">
        <v>211</v>
      </c>
      <c r="S6798" s="17"/>
      <c r="T6798" s="17"/>
      <c r="U6798" s="17"/>
    </row>
    <row r="6799" spans="17:21" x14ac:dyDescent="0.25">
      <c r="Q6799" s="17" t="s">
        <v>858</v>
      </c>
      <c r="R6799" s="17" t="s">
        <v>211</v>
      </c>
      <c r="S6799" s="17"/>
      <c r="T6799" s="17"/>
      <c r="U6799" s="17"/>
    </row>
    <row r="6800" spans="17:21" x14ac:dyDescent="0.25">
      <c r="Q6800" s="17" t="s">
        <v>7228</v>
      </c>
      <c r="R6800" s="17" t="s">
        <v>211</v>
      </c>
      <c r="S6800" s="17"/>
      <c r="T6800" s="17"/>
      <c r="U6800" s="17"/>
    </row>
    <row r="6801" spans="17:21" x14ac:dyDescent="0.25">
      <c r="Q6801" s="17" t="s">
        <v>859</v>
      </c>
      <c r="R6801" s="17" t="s">
        <v>211</v>
      </c>
      <c r="S6801" s="17"/>
      <c r="T6801" s="17"/>
      <c r="U6801" s="17"/>
    </row>
    <row r="6802" spans="17:21" x14ac:dyDescent="0.25">
      <c r="Q6802" s="17" t="s">
        <v>710</v>
      </c>
      <c r="R6802" s="17" t="s">
        <v>211</v>
      </c>
      <c r="S6802" s="17"/>
      <c r="T6802" s="17"/>
      <c r="U6802" s="17"/>
    </row>
    <row r="6803" spans="17:21" x14ac:dyDescent="0.25">
      <c r="Q6803" s="17" t="s">
        <v>1255</v>
      </c>
      <c r="R6803" s="17" t="s">
        <v>211</v>
      </c>
      <c r="S6803" s="17"/>
      <c r="T6803" s="17"/>
      <c r="U6803" s="17"/>
    </row>
    <row r="6804" spans="17:21" x14ac:dyDescent="0.25">
      <c r="Q6804" s="17" t="s">
        <v>7229</v>
      </c>
      <c r="R6804" s="17" t="s">
        <v>211</v>
      </c>
      <c r="S6804" s="17"/>
      <c r="T6804" s="17"/>
      <c r="U6804" s="17"/>
    </row>
    <row r="6805" spans="17:21" x14ac:dyDescent="0.25">
      <c r="Q6805" s="17" t="s">
        <v>7230</v>
      </c>
      <c r="R6805" s="17" t="s">
        <v>211</v>
      </c>
      <c r="S6805" s="17"/>
      <c r="T6805" s="17"/>
      <c r="U6805" s="17"/>
    </row>
    <row r="6806" spans="17:21" x14ac:dyDescent="0.25">
      <c r="Q6806" s="17" t="s">
        <v>7231</v>
      </c>
      <c r="R6806" s="17" t="s">
        <v>221</v>
      </c>
      <c r="S6806" s="17"/>
      <c r="T6806" s="17"/>
      <c r="U6806" s="17"/>
    </row>
    <row r="6807" spans="17:21" x14ac:dyDescent="0.25">
      <c r="Q6807" s="17" t="s">
        <v>654</v>
      </c>
      <c r="R6807" s="17" t="s">
        <v>211</v>
      </c>
      <c r="S6807" s="17"/>
      <c r="T6807" s="17"/>
      <c r="U6807" s="17"/>
    </row>
    <row r="6808" spans="17:21" x14ac:dyDescent="0.25">
      <c r="Q6808" s="17" t="s">
        <v>7232</v>
      </c>
      <c r="R6808" s="17" t="s">
        <v>211</v>
      </c>
      <c r="S6808" s="17"/>
      <c r="T6808" s="17"/>
      <c r="U6808" s="17"/>
    </row>
    <row r="6809" spans="17:21" x14ac:dyDescent="0.25">
      <c r="Q6809" s="17" t="s">
        <v>7233</v>
      </c>
      <c r="R6809" s="17" t="s">
        <v>211</v>
      </c>
      <c r="S6809" s="17"/>
      <c r="T6809" s="17"/>
      <c r="U6809" s="17"/>
    </row>
    <row r="6810" spans="17:21" x14ac:dyDescent="0.25">
      <c r="Q6810" s="17" t="s">
        <v>7234</v>
      </c>
      <c r="R6810" s="17" t="s">
        <v>211</v>
      </c>
      <c r="S6810" s="17"/>
      <c r="T6810" s="17"/>
      <c r="U6810" s="17"/>
    </row>
    <row r="6811" spans="17:21" x14ac:dyDescent="0.25">
      <c r="Q6811" s="17" t="s">
        <v>7235</v>
      </c>
      <c r="R6811" s="17" t="s">
        <v>211</v>
      </c>
      <c r="S6811" s="17"/>
      <c r="T6811" s="17"/>
      <c r="U6811" s="17"/>
    </row>
    <row r="6812" spans="17:21" x14ac:dyDescent="0.25">
      <c r="Q6812" s="17" t="s">
        <v>7236</v>
      </c>
      <c r="R6812" s="17" t="s">
        <v>211</v>
      </c>
      <c r="S6812" s="17"/>
      <c r="T6812" s="17"/>
      <c r="U6812" s="17"/>
    </row>
    <row r="6813" spans="17:21" x14ac:dyDescent="0.25">
      <c r="Q6813" s="17" t="s">
        <v>1128</v>
      </c>
      <c r="R6813" s="17" t="s">
        <v>211</v>
      </c>
      <c r="S6813" s="17"/>
      <c r="T6813" s="17"/>
      <c r="U6813" s="17"/>
    </row>
    <row r="6814" spans="17:21" x14ac:dyDescent="0.25">
      <c r="Q6814" s="17" t="s">
        <v>451</v>
      </c>
      <c r="R6814" s="17" t="s">
        <v>211</v>
      </c>
      <c r="S6814" s="17"/>
      <c r="T6814" s="17"/>
      <c r="U6814" s="17"/>
    </row>
    <row r="6815" spans="17:21" x14ac:dyDescent="0.25">
      <c r="Q6815" s="17" t="s">
        <v>7237</v>
      </c>
      <c r="R6815" s="17" t="s">
        <v>211</v>
      </c>
      <c r="S6815" s="17"/>
      <c r="T6815" s="17"/>
      <c r="U6815" s="17"/>
    </row>
    <row r="6816" spans="17:21" x14ac:dyDescent="0.25">
      <c r="Q6816" s="17" t="s">
        <v>7238</v>
      </c>
      <c r="R6816" s="17" t="s">
        <v>211</v>
      </c>
      <c r="S6816" s="17"/>
      <c r="T6816" s="17"/>
      <c r="U6816" s="17"/>
    </row>
    <row r="6817" spans="17:21" x14ac:dyDescent="0.25">
      <c r="Q6817" s="17" t="s">
        <v>7239</v>
      </c>
      <c r="R6817" s="17" t="s">
        <v>211</v>
      </c>
      <c r="S6817" s="17"/>
      <c r="T6817" s="17"/>
      <c r="U6817" s="17"/>
    </row>
    <row r="6818" spans="17:21" x14ac:dyDescent="0.25">
      <c r="Q6818" s="17" t="s">
        <v>7240</v>
      </c>
      <c r="R6818" s="17" t="s">
        <v>215</v>
      </c>
      <c r="S6818" s="17"/>
      <c r="T6818" s="17"/>
      <c r="U6818" s="17"/>
    </row>
    <row r="6819" spans="17:21" x14ac:dyDescent="0.25">
      <c r="Q6819" s="17" t="s">
        <v>7241</v>
      </c>
      <c r="R6819" s="17" t="s">
        <v>211</v>
      </c>
      <c r="S6819" s="17"/>
      <c r="T6819" s="17"/>
      <c r="U6819" s="17"/>
    </row>
    <row r="6820" spans="17:21" x14ac:dyDescent="0.25">
      <c r="Q6820" s="17" t="s">
        <v>7242</v>
      </c>
      <c r="R6820" s="17" t="s">
        <v>211</v>
      </c>
      <c r="S6820" s="17"/>
      <c r="T6820" s="17"/>
      <c r="U6820" s="17"/>
    </row>
    <row r="6821" spans="17:21" x14ac:dyDescent="0.25">
      <c r="Q6821" s="17" t="s">
        <v>7243</v>
      </c>
      <c r="R6821" s="17" t="s">
        <v>211</v>
      </c>
      <c r="S6821" s="17"/>
      <c r="T6821" s="17"/>
      <c r="U6821" s="17"/>
    </row>
    <row r="6822" spans="17:21" x14ac:dyDescent="0.25">
      <c r="Q6822" s="17" t="s">
        <v>7244</v>
      </c>
      <c r="R6822" s="17" t="s">
        <v>211</v>
      </c>
      <c r="S6822" s="17"/>
      <c r="T6822" s="17"/>
      <c r="U6822" s="17"/>
    </row>
    <row r="6823" spans="17:21" x14ac:dyDescent="0.25">
      <c r="Q6823" s="17" t="s">
        <v>7245</v>
      </c>
      <c r="R6823" s="17" t="s">
        <v>211</v>
      </c>
      <c r="S6823" s="17"/>
      <c r="T6823" s="17"/>
      <c r="U6823" s="17"/>
    </row>
    <row r="6824" spans="17:21" x14ac:dyDescent="0.25">
      <c r="Q6824" s="17" t="s">
        <v>491</v>
      </c>
      <c r="R6824" s="17" t="s">
        <v>211</v>
      </c>
      <c r="S6824" s="17"/>
      <c r="T6824" s="17"/>
      <c r="U6824" s="17"/>
    </row>
    <row r="6825" spans="17:21" x14ac:dyDescent="0.25">
      <c r="Q6825" s="17" t="s">
        <v>7246</v>
      </c>
      <c r="R6825" s="17" t="s">
        <v>211</v>
      </c>
      <c r="S6825" s="17"/>
      <c r="T6825" s="17"/>
      <c r="U6825" s="17"/>
    </row>
    <row r="6826" spans="17:21" x14ac:dyDescent="0.25">
      <c r="Q6826" s="17" t="s">
        <v>1234</v>
      </c>
      <c r="R6826" s="17" t="s">
        <v>211</v>
      </c>
      <c r="S6826" s="17"/>
      <c r="T6826" s="17"/>
      <c r="U6826" s="17"/>
    </row>
    <row r="6827" spans="17:21" x14ac:dyDescent="0.25">
      <c r="Q6827" s="17" t="s">
        <v>7247</v>
      </c>
      <c r="R6827" s="17" t="s">
        <v>211</v>
      </c>
      <c r="S6827" s="17"/>
      <c r="T6827" s="17"/>
      <c r="U6827" s="17"/>
    </row>
    <row r="6828" spans="17:21" x14ac:dyDescent="0.25">
      <c r="Q6828" s="17" t="s">
        <v>7248</v>
      </c>
      <c r="R6828" s="17" t="s">
        <v>211</v>
      </c>
      <c r="S6828" s="17"/>
      <c r="T6828" s="17"/>
      <c r="U6828" s="17"/>
    </row>
    <row r="6829" spans="17:21" x14ac:dyDescent="0.25">
      <c r="Q6829" s="17" t="s">
        <v>1065</v>
      </c>
      <c r="R6829" s="17" t="s">
        <v>211</v>
      </c>
      <c r="S6829" s="17"/>
      <c r="T6829" s="17"/>
      <c r="U6829" s="17"/>
    </row>
    <row r="6830" spans="17:21" x14ac:dyDescent="0.25">
      <c r="Q6830" s="17" t="s">
        <v>7249</v>
      </c>
      <c r="R6830" s="17" t="s">
        <v>215</v>
      </c>
      <c r="S6830" s="17"/>
      <c r="T6830" s="17"/>
      <c r="U6830" s="17"/>
    </row>
    <row r="6831" spans="17:21" x14ac:dyDescent="0.25">
      <c r="Q6831" s="17" t="s">
        <v>531</v>
      </c>
      <c r="R6831" s="17" t="s">
        <v>215</v>
      </c>
      <c r="S6831" s="17"/>
      <c r="T6831" s="17"/>
      <c r="U6831" s="17"/>
    </row>
    <row r="6832" spans="17:21" x14ac:dyDescent="0.25">
      <c r="Q6832" s="17" t="s">
        <v>7250</v>
      </c>
      <c r="R6832" s="17" t="s">
        <v>215</v>
      </c>
      <c r="S6832" s="17"/>
      <c r="T6832" s="17"/>
      <c r="U6832" s="17"/>
    </row>
    <row r="6833" spans="17:21" x14ac:dyDescent="0.25">
      <c r="Q6833" s="17" t="s">
        <v>7251</v>
      </c>
      <c r="R6833" s="17" t="s">
        <v>215</v>
      </c>
      <c r="S6833" s="17"/>
      <c r="T6833" s="17"/>
      <c r="U6833" s="17"/>
    </row>
    <row r="6834" spans="17:21" x14ac:dyDescent="0.25">
      <c r="Q6834" s="17" t="s">
        <v>7252</v>
      </c>
      <c r="R6834" s="17" t="s">
        <v>215</v>
      </c>
      <c r="S6834" s="17"/>
      <c r="T6834" s="17"/>
      <c r="U6834" s="17"/>
    </row>
    <row r="6835" spans="17:21" x14ac:dyDescent="0.25">
      <c r="Q6835" s="17" t="s">
        <v>7253</v>
      </c>
      <c r="R6835" s="17" t="s">
        <v>215</v>
      </c>
      <c r="S6835" s="17"/>
      <c r="T6835" s="17"/>
      <c r="U6835" s="17"/>
    </row>
    <row r="6836" spans="17:21" x14ac:dyDescent="0.25">
      <c r="Q6836" s="17" t="s">
        <v>7254</v>
      </c>
      <c r="R6836" s="17" t="s">
        <v>215</v>
      </c>
      <c r="S6836" s="17"/>
      <c r="T6836" s="17"/>
      <c r="U6836" s="17"/>
    </row>
    <row r="6837" spans="17:21" x14ac:dyDescent="0.25">
      <c r="Q6837" s="17" t="s">
        <v>7255</v>
      </c>
      <c r="R6837" s="17" t="s">
        <v>215</v>
      </c>
      <c r="S6837" s="17"/>
      <c r="T6837" s="17"/>
      <c r="U6837" s="17"/>
    </row>
    <row r="6838" spans="17:21" x14ac:dyDescent="0.25">
      <c r="Q6838" s="17" t="s">
        <v>7256</v>
      </c>
      <c r="R6838" s="17" t="s">
        <v>219</v>
      </c>
      <c r="S6838" s="17"/>
      <c r="T6838" s="17"/>
      <c r="U6838" s="17"/>
    </row>
    <row r="6839" spans="17:21" x14ac:dyDescent="0.25">
      <c r="Q6839" s="17" t="s">
        <v>716</v>
      </c>
      <c r="R6839" s="17" t="s">
        <v>223</v>
      </c>
      <c r="S6839" s="17"/>
      <c r="T6839" s="17"/>
      <c r="U6839" s="17"/>
    </row>
    <row r="6840" spans="17:21" x14ac:dyDescent="0.25">
      <c r="Q6840" s="17" t="s">
        <v>7257</v>
      </c>
      <c r="R6840" s="17" t="s">
        <v>223</v>
      </c>
      <c r="S6840" s="17"/>
      <c r="T6840" s="17"/>
      <c r="U6840" s="17"/>
    </row>
    <row r="6841" spans="17:21" x14ac:dyDescent="0.25">
      <c r="Q6841" s="17" t="s">
        <v>787</v>
      </c>
      <c r="R6841" s="17" t="s">
        <v>223</v>
      </c>
      <c r="S6841" s="17"/>
      <c r="T6841" s="17"/>
      <c r="U6841" s="17"/>
    </row>
    <row r="6842" spans="17:21" x14ac:dyDescent="0.25">
      <c r="Q6842" s="17" t="s">
        <v>788</v>
      </c>
      <c r="R6842" s="17" t="s">
        <v>223</v>
      </c>
      <c r="S6842" s="17"/>
      <c r="T6842" s="17"/>
      <c r="U6842" s="17"/>
    </row>
    <row r="6843" spans="17:21" x14ac:dyDescent="0.25">
      <c r="Q6843" s="17" t="s">
        <v>7258</v>
      </c>
      <c r="R6843" s="17" t="s">
        <v>223</v>
      </c>
      <c r="S6843" s="17"/>
      <c r="T6843" s="17"/>
      <c r="U6843" s="17"/>
    </row>
    <row r="6844" spans="17:21" x14ac:dyDescent="0.25">
      <c r="Q6844" s="17" t="s">
        <v>7259</v>
      </c>
      <c r="R6844" s="17" t="s">
        <v>223</v>
      </c>
      <c r="S6844" s="17"/>
      <c r="T6844" s="17"/>
      <c r="U6844" s="17"/>
    </row>
    <row r="6845" spans="17:21" x14ac:dyDescent="0.25">
      <c r="Q6845" s="17" t="s">
        <v>742</v>
      </c>
      <c r="R6845" s="17" t="s">
        <v>223</v>
      </c>
      <c r="S6845" s="17"/>
      <c r="T6845" s="17"/>
      <c r="U6845" s="17"/>
    </row>
    <row r="6846" spans="17:21" x14ac:dyDescent="0.25">
      <c r="Q6846" s="17" t="s">
        <v>790</v>
      </c>
      <c r="R6846" s="17" t="s">
        <v>223</v>
      </c>
      <c r="S6846" s="17"/>
      <c r="T6846" s="17"/>
      <c r="U6846" s="17"/>
    </row>
    <row r="6847" spans="17:21" x14ac:dyDescent="0.25">
      <c r="Q6847" s="17" t="s">
        <v>7260</v>
      </c>
      <c r="R6847" s="17" t="s">
        <v>223</v>
      </c>
      <c r="S6847" s="17"/>
      <c r="T6847" s="17"/>
      <c r="U6847" s="17"/>
    </row>
    <row r="6848" spans="17:21" x14ac:dyDescent="0.25">
      <c r="Q6848" s="17" t="s">
        <v>7261</v>
      </c>
      <c r="R6848" s="17" t="s">
        <v>223</v>
      </c>
      <c r="S6848" s="17"/>
      <c r="T6848" s="17"/>
      <c r="U6848" s="17"/>
    </row>
    <row r="6849" spans="17:21" x14ac:dyDescent="0.25">
      <c r="Q6849" s="17" t="s">
        <v>7262</v>
      </c>
      <c r="R6849" s="17" t="s">
        <v>223</v>
      </c>
      <c r="S6849" s="17"/>
      <c r="T6849" s="17"/>
      <c r="U6849" s="17"/>
    </row>
    <row r="6850" spans="17:21" x14ac:dyDescent="0.25">
      <c r="Q6850" s="17" t="s">
        <v>7263</v>
      </c>
      <c r="R6850" s="17" t="s">
        <v>223</v>
      </c>
      <c r="S6850" s="17"/>
      <c r="T6850" s="17"/>
      <c r="U6850" s="17"/>
    </row>
    <row r="6851" spans="17:21" x14ac:dyDescent="0.25">
      <c r="Q6851" s="17" t="s">
        <v>7264</v>
      </c>
      <c r="R6851" s="17" t="s">
        <v>223</v>
      </c>
      <c r="S6851" s="17"/>
      <c r="T6851" s="17"/>
      <c r="U6851" s="17"/>
    </row>
    <row r="6852" spans="17:21" x14ac:dyDescent="0.25">
      <c r="Q6852" s="17" t="s">
        <v>7265</v>
      </c>
      <c r="R6852" s="17" t="s">
        <v>223</v>
      </c>
      <c r="S6852" s="17"/>
      <c r="T6852" s="17"/>
      <c r="U6852" s="17"/>
    </row>
    <row r="6853" spans="17:21" x14ac:dyDescent="0.25">
      <c r="Q6853" s="17" t="s">
        <v>7266</v>
      </c>
      <c r="R6853" s="17" t="s">
        <v>223</v>
      </c>
      <c r="S6853" s="17"/>
      <c r="T6853" s="17"/>
      <c r="U6853" s="17"/>
    </row>
    <row r="6854" spans="17:21" x14ac:dyDescent="0.25">
      <c r="Q6854" s="17" t="s">
        <v>7267</v>
      </c>
      <c r="R6854" s="17" t="s">
        <v>223</v>
      </c>
      <c r="S6854" s="17"/>
      <c r="T6854" s="17"/>
      <c r="U6854" s="17"/>
    </row>
    <row r="6855" spans="17:21" x14ac:dyDescent="0.25">
      <c r="Q6855" s="17" t="s">
        <v>7268</v>
      </c>
      <c r="R6855" s="17" t="s">
        <v>223</v>
      </c>
      <c r="S6855" s="17"/>
      <c r="T6855" s="17"/>
      <c r="U6855" s="17"/>
    </row>
    <row r="6856" spans="17:21" x14ac:dyDescent="0.25">
      <c r="Q6856" s="17" t="s">
        <v>7269</v>
      </c>
      <c r="R6856" s="17" t="s">
        <v>223</v>
      </c>
      <c r="S6856" s="17"/>
      <c r="T6856" s="17"/>
      <c r="U6856" s="17"/>
    </row>
    <row r="6857" spans="17:21" x14ac:dyDescent="0.25">
      <c r="Q6857" s="17" t="s">
        <v>656</v>
      </c>
      <c r="R6857" s="17" t="s">
        <v>223</v>
      </c>
      <c r="S6857" s="17"/>
      <c r="T6857" s="17"/>
      <c r="U6857" s="17"/>
    </row>
    <row r="6858" spans="17:21" x14ac:dyDescent="0.25">
      <c r="Q6858" s="17" t="s">
        <v>7270</v>
      </c>
      <c r="R6858" s="17" t="s">
        <v>223</v>
      </c>
      <c r="S6858" s="17"/>
      <c r="T6858" s="17"/>
      <c r="U6858" s="17"/>
    </row>
    <row r="6859" spans="17:21" x14ac:dyDescent="0.25">
      <c r="Q6859" s="17" t="s">
        <v>472</v>
      </c>
      <c r="R6859" s="17" t="s">
        <v>223</v>
      </c>
      <c r="S6859" s="17"/>
      <c r="T6859" s="17"/>
      <c r="U6859" s="17"/>
    </row>
    <row r="6860" spans="17:21" x14ac:dyDescent="0.25">
      <c r="Q6860" s="17" t="s">
        <v>7271</v>
      </c>
      <c r="R6860" s="17" t="s">
        <v>223</v>
      </c>
      <c r="S6860" s="17"/>
      <c r="T6860" s="17"/>
      <c r="U6860" s="17"/>
    </row>
    <row r="6861" spans="17:21" x14ac:dyDescent="0.25">
      <c r="Q6861" s="17" t="s">
        <v>7272</v>
      </c>
      <c r="R6861" s="17" t="s">
        <v>223</v>
      </c>
      <c r="S6861" s="17"/>
      <c r="T6861" s="17"/>
      <c r="U6861" s="17"/>
    </row>
    <row r="6862" spans="17:21" x14ac:dyDescent="0.25">
      <c r="Q6862" s="17" t="s">
        <v>7273</v>
      </c>
      <c r="R6862" s="17" t="s">
        <v>223</v>
      </c>
      <c r="S6862" s="17"/>
      <c r="T6862" s="17"/>
      <c r="U6862" s="17"/>
    </row>
    <row r="6863" spans="17:21" x14ac:dyDescent="0.25">
      <c r="Q6863" s="17" t="s">
        <v>638</v>
      </c>
      <c r="R6863" s="17" t="s">
        <v>223</v>
      </c>
      <c r="S6863" s="17"/>
      <c r="T6863" s="17"/>
      <c r="U6863" s="17"/>
    </row>
    <row r="6864" spans="17:21" x14ac:dyDescent="0.25">
      <c r="Q6864" s="17" t="s">
        <v>7274</v>
      </c>
      <c r="R6864" s="17" t="s">
        <v>223</v>
      </c>
      <c r="S6864" s="17"/>
      <c r="T6864" s="17"/>
      <c r="U6864" s="17"/>
    </row>
    <row r="6865" spans="17:21" x14ac:dyDescent="0.25">
      <c r="Q6865" s="17" t="s">
        <v>7275</v>
      </c>
      <c r="R6865" s="17" t="s">
        <v>223</v>
      </c>
      <c r="S6865" s="17"/>
      <c r="T6865" s="17"/>
      <c r="U6865" s="17"/>
    </row>
    <row r="6866" spans="17:21" x14ac:dyDescent="0.25">
      <c r="Q6866" s="17" t="s">
        <v>477</v>
      </c>
      <c r="R6866" s="17" t="s">
        <v>223</v>
      </c>
      <c r="S6866" s="17"/>
      <c r="T6866" s="17"/>
      <c r="U6866" s="17"/>
    </row>
    <row r="6867" spans="17:21" x14ac:dyDescent="0.25">
      <c r="Q6867" s="17" t="s">
        <v>554</v>
      </c>
      <c r="R6867" s="17" t="s">
        <v>223</v>
      </c>
      <c r="S6867" s="17"/>
      <c r="T6867" s="17"/>
      <c r="U6867" s="17"/>
    </row>
    <row r="6868" spans="17:21" x14ac:dyDescent="0.25">
      <c r="Q6868" s="17" t="s">
        <v>911</v>
      </c>
      <c r="R6868" s="17" t="s">
        <v>223</v>
      </c>
      <c r="S6868" s="17"/>
      <c r="T6868" s="17"/>
      <c r="U6868" s="17"/>
    </row>
    <row r="6869" spans="17:21" x14ac:dyDescent="0.25">
      <c r="Q6869" s="17" t="s">
        <v>1248</v>
      </c>
      <c r="R6869" s="17" t="s">
        <v>223</v>
      </c>
      <c r="S6869" s="17"/>
      <c r="T6869" s="17"/>
      <c r="U6869" s="17"/>
    </row>
    <row r="6870" spans="17:21" x14ac:dyDescent="0.25">
      <c r="Q6870" s="17" t="s">
        <v>7276</v>
      </c>
      <c r="R6870" s="17" t="s">
        <v>223</v>
      </c>
      <c r="S6870" s="17"/>
      <c r="T6870" s="17"/>
      <c r="U6870" s="17"/>
    </row>
    <row r="6871" spans="17:21" x14ac:dyDescent="0.25">
      <c r="Q6871" s="17" t="s">
        <v>728</v>
      </c>
      <c r="R6871" s="17" t="s">
        <v>223</v>
      </c>
      <c r="S6871" s="17"/>
      <c r="T6871" s="17"/>
      <c r="U6871" s="17"/>
    </row>
    <row r="6872" spans="17:21" x14ac:dyDescent="0.25">
      <c r="Q6872" s="17" t="s">
        <v>692</v>
      </c>
      <c r="R6872" s="17" t="s">
        <v>227</v>
      </c>
      <c r="S6872" s="17"/>
      <c r="T6872" s="17"/>
      <c r="U6872" s="17"/>
    </row>
    <row r="6873" spans="17:21" x14ac:dyDescent="0.25">
      <c r="Q6873" s="17" t="s">
        <v>7277</v>
      </c>
      <c r="R6873" s="17" t="s">
        <v>215</v>
      </c>
      <c r="S6873" s="17"/>
      <c r="T6873" s="17"/>
      <c r="U6873" s="17"/>
    </row>
    <row r="6874" spans="17:21" x14ac:dyDescent="0.25">
      <c r="Q6874" s="17" t="s">
        <v>574</v>
      </c>
      <c r="R6874" s="17" t="s">
        <v>215</v>
      </c>
      <c r="S6874" s="17"/>
      <c r="T6874" s="17"/>
      <c r="U6874" s="17"/>
    </row>
    <row r="6875" spans="17:21" x14ac:dyDescent="0.25">
      <c r="Q6875" s="17" t="s">
        <v>420</v>
      </c>
      <c r="R6875" s="17" t="s">
        <v>215</v>
      </c>
      <c r="S6875" s="17"/>
      <c r="T6875" s="17"/>
      <c r="U6875" s="17"/>
    </row>
    <row r="6876" spans="17:21" x14ac:dyDescent="0.25">
      <c r="Q6876" s="17" t="s">
        <v>7278</v>
      </c>
      <c r="R6876" s="17" t="s">
        <v>215</v>
      </c>
      <c r="S6876" s="17"/>
      <c r="T6876" s="17"/>
      <c r="U6876" s="17"/>
    </row>
    <row r="6877" spans="17:21" x14ac:dyDescent="0.25">
      <c r="Q6877" s="17" t="s">
        <v>761</v>
      </c>
      <c r="R6877" s="17" t="s">
        <v>215</v>
      </c>
      <c r="S6877" s="17"/>
      <c r="T6877" s="17"/>
      <c r="U6877" s="17"/>
    </row>
    <row r="6878" spans="17:21" x14ac:dyDescent="0.25">
      <c r="Q6878" s="17" t="s">
        <v>7279</v>
      </c>
      <c r="R6878" s="17" t="s">
        <v>215</v>
      </c>
      <c r="S6878" s="17"/>
      <c r="T6878" s="17"/>
      <c r="U6878" s="17"/>
    </row>
    <row r="6879" spans="17:21" x14ac:dyDescent="0.25">
      <c r="Q6879" s="17" t="s">
        <v>7280</v>
      </c>
      <c r="R6879" s="17" t="s">
        <v>215</v>
      </c>
      <c r="S6879" s="17"/>
      <c r="T6879" s="17"/>
      <c r="U6879" s="17"/>
    </row>
    <row r="6880" spans="17:21" x14ac:dyDescent="0.25">
      <c r="Q6880" s="17" t="s">
        <v>7281</v>
      </c>
      <c r="R6880" s="17" t="s">
        <v>215</v>
      </c>
      <c r="S6880" s="17"/>
      <c r="T6880" s="17"/>
      <c r="U6880" s="17"/>
    </row>
    <row r="6881" spans="17:21" x14ac:dyDescent="0.25">
      <c r="Q6881" s="17" t="s">
        <v>539</v>
      </c>
      <c r="R6881" s="17" t="s">
        <v>215</v>
      </c>
      <c r="S6881" s="17"/>
      <c r="T6881" s="17"/>
      <c r="U6881" s="17"/>
    </row>
    <row r="6882" spans="17:21" x14ac:dyDescent="0.25">
      <c r="Q6882" s="17" t="s">
        <v>575</v>
      </c>
      <c r="R6882" s="17" t="s">
        <v>215</v>
      </c>
      <c r="S6882" s="17"/>
      <c r="T6882" s="17"/>
      <c r="U6882" s="17"/>
    </row>
    <row r="6883" spans="17:21" x14ac:dyDescent="0.25">
      <c r="Q6883" s="17" t="s">
        <v>723</v>
      </c>
      <c r="R6883" s="17" t="s">
        <v>215</v>
      </c>
      <c r="S6883" s="17"/>
      <c r="T6883" s="17"/>
      <c r="U6883" s="17"/>
    </row>
    <row r="6884" spans="17:21" x14ac:dyDescent="0.25">
      <c r="Q6884" s="17" t="s">
        <v>381</v>
      </c>
      <c r="R6884" s="17" t="s">
        <v>215</v>
      </c>
      <c r="S6884" s="17"/>
      <c r="T6884" s="17"/>
      <c r="U6884" s="17"/>
    </row>
    <row r="6885" spans="17:21" x14ac:dyDescent="0.25">
      <c r="Q6885" s="17" t="s">
        <v>870</v>
      </c>
      <c r="R6885" s="17" t="s">
        <v>215</v>
      </c>
      <c r="S6885" s="17"/>
      <c r="T6885" s="17"/>
      <c r="U6885" s="17"/>
    </row>
    <row r="6886" spans="17:21" x14ac:dyDescent="0.25">
      <c r="Q6886" s="17" t="s">
        <v>7282</v>
      </c>
      <c r="R6886" s="17" t="s">
        <v>215</v>
      </c>
      <c r="S6886" s="17"/>
      <c r="T6886" s="17"/>
      <c r="U6886" s="17"/>
    </row>
    <row r="6887" spans="17:21" x14ac:dyDescent="0.25">
      <c r="Q6887" s="17" t="s">
        <v>690</v>
      </c>
      <c r="R6887" s="17" t="s">
        <v>215</v>
      </c>
      <c r="S6887" s="17"/>
      <c r="T6887" s="17"/>
      <c r="U6887" s="17"/>
    </row>
    <row r="6888" spans="17:21" x14ac:dyDescent="0.25">
      <c r="Q6888" s="17" t="s">
        <v>7283</v>
      </c>
      <c r="R6888" s="17" t="s">
        <v>215</v>
      </c>
      <c r="S6888" s="17"/>
      <c r="T6888" s="17"/>
      <c r="U6888" s="17"/>
    </row>
    <row r="6889" spans="17:21" x14ac:dyDescent="0.25">
      <c r="Q6889" s="17" t="s">
        <v>711</v>
      </c>
      <c r="R6889" s="17" t="s">
        <v>215</v>
      </c>
      <c r="S6889" s="17"/>
      <c r="T6889" s="17"/>
      <c r="U6889" s="17"/>
    </row>
    <row r="6890" spans="17:21" x14ac:dyDescent="0.25">
      <c r="Q6890" s="17" t="s">
        <v>876</v>
      </c>
      <c r="R6890" s="17" t="s">
        <v>217</v>
      </c>
      <c r="S6890" s="17"/>
      <c r="T6890" s="17"/>
      <c r="U6890" s="17"/>
    </row>
    <row r="6891" spans="17:21" x14ac:dyDescent="0.25">
      <c r="Q6891" s="17" t="s">
        <v>7284</v>
      </c>
      <c r="R6891" s="17" t="s">
        <v>221</v>
      </c>
      <c r="S6891" s="17"/>
      <c r="T6891" s="17"/>
      <c r="U6891" s="17"/>
    </row>
    <row r="6892" spans="17:21" x14ac:dyDescent="0.25">
      <c r="Q6892" s="17" t="s">
        <v>586</v>
      </c>
      <c r="R6892" s="17" t="s">
        <v>221</v>
      </c>
      <c r="S6892" s="17"/>
      <c r="T6892" s="17"/>
      <c r="U6892" s="17"/>
    </row>
    <row r="6893" spans="17:21" x14ac:dyDescent="0.25">
      <c r="Q6893" s="17" t="s">
        <v>7285</v>
      </c>
      <c r="R6893" s="17" t="s">
        <v>223</v>
      </c>
      <c r="S6893" s="17"/>
      <c r="T6893" s="17"/>
      <c r="U6893" s="17"/>
    </row>
    <row r="6894" spans="17:21" x14ac:dyDescent="0.25">
      <c r="Q6894" s="17" t="s">
        <v>678</v>
      </c>
      <c r="R6894" s="17" t="s">
        <v>223</v>
      </c>
      <c r="S6894" s="17"/>
      <c r="T6894" s="17"/>
      <c r="U6894" s="17"/>
    </row>
    <row r="6895" spans="17:21" x14ac:dyDescent="0.25">
      <c r="Q6895" s="17" t="s">
        <v>7286</v>
      </c>
      <c r="R6895" s="17" t="s">
        <v>217</v>
      </c>
      <c r="S6895" s="17"/>
      <c r="T6895" s="17"/>
      <c r="U6895" s="17"/>
    </row>
    <row r="6896" spans="17:21" x14ac:dyDescent="0.25">
      <c r="Q6896" s="17" t="s">
        <v>7287</v>
      </c>
      <c r="R6896" s="17" t="s">
        <v>217</v>
      </c>
      <c r="S6896" s="17"/>
      <c r="T6896" s="17"/>
      <c r="U6896" s="17"/>
    </row>
    <row r="6897" spans="17:21" x14ac:dyDescent="0.25">
      <c r="Q6897" s="17" t="s">
        <v>462</v>
      </c>
      <c r="R6897" s="17" t="s">
        <v>227</v>
      </c>
      <c r="S6897" s="17"/>
      <c r="T6897" s="17"/>
      <c r="U6897" s="17"/>
    </row>
    <row r="6898" spans="17:21" x14ac:dyDescent="0.25">
      <c r="Q6898" s="17" t="s">
        <v>581</v>
      </c>
      <c r="R6898" s="17" t="s">
        <v>227</v>
      </c>
      <c r="S6898" s="17"/>
      <c r="T6898" s="17"/>
      <c r="U6898" s="17"/>
    </row>
    <row r="6899" spans="17:21" x14ac:dyDescent="0.25">
      <c r="Q6899" s="17" t="s">
        <v>1159</v>
      </c>
      <c r="R6899" s="17" t="s">
        <v>227</v>
      </c>
      <c r="S6899" s="17"/>
      <c r="T6899" s="17"/>
      <c r="U6899" s="17"/>
    </row>
    <row r="6900" spans="17:21" x14ac:dyDescent="0.25">
      <c r="Q6900" s="17" t="s">
        <v>7288</v>
      </c>
      <c r="R6900" s="17" t="s">
        <v>227</v>
      </c>
      <c r="S6900" s="17"/>
      <c r="T6900" s="17"/>
      <c r="U6900" s="17"/>
    </row>
    <row r="6901" spans="17:21" x14ac:dyDescent="0.25">
      <c r="Q6901" s="17" t="s">
        <v>7289</v>
      </c>
      <c r="R6901" s="17" t="s">
        <v>227</v>
      </c>
      <c r="S6901" s="17"/>
      <c r="T6901" s="17"/>
      <c r="U6901" s="17"/>
    </row>
    <row r="6902" spans="17:21" x14ac:dyDescent="0.25">
      <c r="Q6902" s="17" t="s">
        <v>7290</v>
      </c>
      <c r="R6902" s="17" t="s">
        <v>227</v>
      </c>
      <c r="S6902" s="17"/>
      <c r="T6902" s="17"/>
      <c r="U6902" s="17"/>
    </row>
    <row r="6903" spans="17:21" x14ac:dyDescent="0.25">
      <c r="Q6903" s="17" t="s">
        <v>7291</v>
      </c>
      <c r="R6903" s="17" t="s">
        <v>227</v>
      </c>
      <c r="S6903" s="17"/>
      <c r="T6903" s="17"/>
      <c r="U6903" s="17"/>
    </row>
    <row r="6904" spans="17:21" x14ac:dyDescent="0.25">
      <c r="Q6904" s="17" t="s">
        <v>7292</v>
      </c>
      <c r="R6904" s="17" t="s">
        <v>223</v>
      </c>
      <c r="S6904" s="17"/>
      <c r="T6904" s="17"/>
      <c r="U6904" s="17"/>
    </row>
    <row r="6905" spans="17:21" x14ac:dyDescent="0.25">
      <c r="Q6905" s="17" t="s">
        <v>708</v>
      </c>
      <c r="R6905" s="17" t="s">
        <v>227</v>
      </c>
      <c r="S6905" s="17"/>
      <c r="T6905" s="17"/>
      <c r="U6905" s="17"/>
    </row>
    <row r="6906" spans="17:21" x14ac:dyDescent="0.25">
      <c r="Q6906" s="17" t="s">
        <v>7293</v>
      </c>
      <c r="R6906" s="17" t="s">
        <v>227</v>
      </c>
      <c r="S6906" s="17"/>
      <c r="T6906" s="17"/>
      <c r="U6906" s="17"/>
    </row>
    <row r="6907" spans="17:21" x14ac:dyDescent="0.25">
      <c r="Q6907" s="17" t="s">
        <v>7294</v>
      </c>
      <c r="R6907" s="17" t="s">
        <v>217</v>
      </c>
      <c r="S6907" s="17"/>
      <c r="T6907" s="17"/>
      <c r="U6907" s="17"/>
    </row>
    <row r="6908" spans="17:21" x14ac:dyDescent="0.25">
      <c r="Q6908" s="17" t="s">
        <v>1287</v>
      </c>
      <c r="R6908" s="17" t="s">
        <v>217</v>
      </c>
      <c r="S6908" s="17"/>
      <c r="T6908" s="17"/>
      <c r="U6908" s="17"/>
    </row>
    <row r="6909" spans="17:21" x14ac:dyDescent="0.25">
      <c r="Q6909" s="17" t="s">
        <v>1345</v>
      </c>
      <c r="R6909" s="17" t="s">
        <v>215</v>
      </c>
      <c r="S6909" s="17"/>
      <c r="T6909" s="17"/>
      <c r="U6909" s="17"/>
    </row>
    <row r="6910" spans="17:21" x14ac:dyDescent="0.25">
      <c r="Q6910" s="17" t="s">
        <v>7295</v>
      </c>
      <c r="R6910" s="17" t="s">
        <v>217</v>
      </c>
      <c r="S6910" s="17"/>
      <c r="T6910" s="17"/>
      <c r="U6910" s="17"/>
    </row>
    <row r="6911" spans="17:21" x14ac:dyDescent="0.25">
      <c r="Q6911" s="17" t="s">
        <v>7296</v>
      </c>
      <c r="R6911" s="17" t="s">
        <v>215</v>
      </c>
      <c r="S6911" s="17"/>
      <c r="T6911" s="17"/>
      <c r="U6911" s="17"/>
    </row>
    <row r="6912" spans="17:21" x14ac:dyDescent="0.25">
      <c r="Q6912" s="17" t="s">
        <v>869</v>
      </c>
      <c r="R6912" s="17" t="s">
        <v>215</v>
      </c>
      <c r="S6912" s="17"/>
      <c r="T6912" s="17"/>
      <c r="U6912" s="17"/>
    </row>
    <row r="6913" spans="17:21" x14ac:dyDescent="0.25">
      <c r="Q6913" s="17" t="s">
        <v>1250</v>
      </c>
      <c r="R6913" s="17" t="s">
        <v>215</v>
      </c>
      <c r="S6913" s="17"/>
      <c r="T6913" s="17"/>
      <c r="U6913" s="17"/>
    </row>
    <row r="6914" spans="17:21" x14ac:dyDescent="0.25">
      <c r="Q6914" s="17" t="s">
        <v>7297</v>
      </c>
      <c r="R6914" s="17" t="s">
        <v>215</v>
      </c>
      <c r="S6914" s="17"/>
      <c r="T6914" s="17"/>
      <c r="U6914" s="17"/>
    </row>
    <row r="6915" spans="17:21" x14ac:dyDescent="0.25">
      <c r="Q6915" s="17" t="s">
        <v>1129</v>
      </c>
      <c r="R6915" s="17" t="s">
        <v>215</v>
      </c>
      <c r="S6915" s="17"/>
      <c r="T6915" s="17"/>
      <c r="U6915" s="17"/>
    </row>
    <row r="6916" spans="17:21" x14ac:dyDescent="0.25">
      <c r="Q6916" s="17" t="s">
        <v>732</v>
      </c>
      <c r="R6916" s="17" t="s">
        <v>215</v>
      </c>
      <c r="S6916" s="17"/>
      <c r="T6916" s="17"/>
      <c r="U6916" s="17"/>
    </row>
    <row r="6917" spans="17:21" x14ac:dyDescent="0.25">
      <c r="Q6917" s="17" t="s">
        <v>7298</v>
      </c>
      <c r="R6917" s="17" t="s">
        <v>215</v>
      </c>
      <c r="S6917" s="17"/>
      <c r="T6917" s="17"/>
      <c r="U6917" s="17"/>
    </row>
    <row r="6918" spans="17:21" x14ac:dyDescent="0.25">
      <c r="Q6918" s="17" t="s">
        <v>7299</v>
      </c>
      <c r="R6918" s="17" t="s">
        <v>215</v>
      </c>
      <c r="S6918" s="17"/>
      <c r="T6918" s="17"/>
      <c r="U6918" s="17"/>
    </row>
    <row r="6919" spans="17:21" x14ac:dyDescent="0.25">
      <c r="Q6919" s="17" t="s">
        <v>7300</v>
      </c>
      <c r="R6919" s="17" t="s">
        <v>215</v>
      </c>
      <c r="S6919" s="17"/>
      <c r="T6919" s="17"/>
      <c r="U6919" s="17"/>
    </row>
    <row r="6920" spans="17:21" x14ac:dyDescent="0.25">
      <c r="Q6920" s="17" t="s">
        <v>7301</v>
      </c>
      <c r="R6920" s="17" t="s">
        <v>215</v>
      </c>
      <c r="S6920" s="17"/>
      <c r="T6920" s="17"/>
      <c r="U6920" s="17"/>
    </row>
    <row r="6921" spans="17:21" x14ac:dyDescent="0.25">
      <c r="Q6921" s="17" t="s">
        <v>7302</v>
      </c>
      <c r="R6921" s="17" t="s">
        <v>215</v>
      </c>
      <c r="S6921" s="17"/>
      <c r="T6921" s="17"/>
      <c r="U6921" s="17"/>
    </row>
    <row r="6922" spans="17:21" x14ac:dyDescent="0.25">
      <c r="Q6922" s="17" t="s">
        <v>7303</v>
      </c>
      <c r="R6922" s="17" t="s">
        <v>215</v>
      </c>
      <c r="S6922" s="17"/>
      <c r="T6922" s="17"/>
      <c r="U6922" s="17"/>
    </row>
    <row r="6923" spans="17:21" x14ac:dyDescent="0.25">
      <c r="Q6923" s="17" t="s">
        <v>421</v>
      </c>
      <c r="R6923" s="17" t="s">
        <v>215</v>
      </c>
      <c r="S6923" s="17"/>
      <c r="T6923" s="17"/>
      <c r="U6923" s="17"/>
    </row>
    <row r="6924" spans="17:21" x14ac:dyDescent="0.25">
      <c r="Q6924" s="17" t="s">
        <v>871</v>
      </c>
      <c r="R6924" s="17" t="s">
        <v>215</v>
      </c>
      <c r="S6924" s="17"/>
      <c r="T6924" s="17"/>
      <c r="U6924" s="17"/>
    </row>
    <row r="6925" spans="17:21" x14ac:dyDescent="0.25">
      <c r="Q6925" s="17" t="s">
        <v>7304</v>
      </c>
      <c r="R6925" s="17" t="s">
        <v>217</v>
      </c>
      <c r="S6925" s="17"/>
      <c r="T6925" s="17"/>
      <c r="U6925" s="17"/>
    </row>
    <row r="6926" spans="17:21" x14ac:dyDescent="0.25">
      <c r="Q6926" s="17" t="s">
        <v>7305</v>
      </c>
      <c r="R6926" s="17" t="s">
        <v>217</v>
      </c>
      <c r="S6926" s="17"/>
      <c r="T6926" s="17"/>
      <c r="U6926" s="17"/>
    </row>
    <row r="6927" spans="17:21" x14ac:dyDescent="0.25">
      <c r="Q6927" s="17" t="s">
        <v>7306</v>
      </c>
      <c r="R6927" s="17" t="s">
        <v>217</v>
      </c>
      <c r="S6927" s="17"/>
      <c r="T6927" s="17"/>
      <c r="U6927" s="17"/>
    </row>
    <row r="6928" spans="17:21" x14ac:dyDescent="0.25">
      <c r="Q6928" s="17" t="s">
        <v>7307</v>
      </c>
      <c r="R6928" s="17" t="s">
        <v>217</v>
      </c>
      <c r="S6928" s="17"/>
      <c r="T6928" s="17"/>
      <c r="U6928" s="17"/>
    </row>
    <row r="6929" spans="17:21" x14ac:dyDescent="0.25">
      <c r="Q6929" s="17" t="s">
        <v>7308</v>
      </c>
      <c r="R6929" s="17" t="s">
        <v>217</v>
      </c>
      <c r="S6929" s="17"/>
      <c r="T6929" s="17"/>
      <c r="U6929" s="17"/>
    </row>
    <row r="6930" spans="17:21" x14ac:dyDescent="0.25">
      <c r="Q6930" s="17" t="s">
        <v>7309</v>
      </c>
      <c r="R6930" s="17" t="s">
        <v>217</v>
      </c>
      <c r="S6930" s="17"/>
      <c r="T6930" s="17"/>
      <c r="U6930" s="17"/>
    </row>
    <row r="6931" spans="17:21" x14ac:dyDescent="0.25">
      <c r="Q6931" s="17" t="s">
        <v>7310</v>
      </c>
      <c r="R6931" s="17" t="s">
        <v>217</v>
      </c>
      <c r="S6931" s="17"/>
      <c r="T6931" s="17"/>
      <c r="U6931" s="17"/>
    </row>
    <row r="6932" spans="17:21" x14ac:dyDescent="0.25">
      <c r="Q6932" s="17" t="s">
        <v>7311</v>
      </c>
      <c r="R6932" s="17" t="s">
        <v>217</v>
      </c>
      <c r="S6932" s="17"/>
      <c r="T6932" s="17"/>
      <c r="U6932" s="17"/>
    </row>
    <row r="6933" spans="17:21" x14ac:dyDescent="0.25">
      <c r="Q6933" s="17" t="s">
        <v>7312</v>
      </c>
      <c r="R6933" s="17" t="s">
        <v>217</v>
      </c>
      <c r="S6933" s="17"/>
      <c r="T6933" s="17"/>
      <c r="U6933" s="17"/>
    </row>
    <row r="6934" spans="17:21" x14ac:dyDescent="0.25">
      <c r="Q6934" s="17" t="s">
        <v>7313</v>
      </c>
      <c r="R6934" s="17" t="s">
        <v>217</v>
      </c>
      <c r="S6934" s="17"/>
      <c r="T6934" s="17"/>
      <c r="U6934" s="17"/>
    </row>
    <row r="6935" spans="17:21" x14ac:dyDescent="0.25">
      <c r="Q6935" s="17" t="s">
        <v>7314</v>
      </c>
      <c r="R6935" s="17" t="s">
        <v>217</v>
      </c>
      <c r="S6935" s="17"/>
      <c r="T6935" s="17"/>
      <c r="U6935" s="17"/>
    </row>
    <row r="6936" spans="17:21" x14ac:dyDescent="0.25">
      <c r="Q6936" s="17" t="s">
        <v>7315</v>
      </c>
      <c r="R6936" s="17" t="s">
        <v>217</v>
      </c>
      <c r="S6936" s="17"/>
      <c r="T6936" s="17"/>
      <c r="U6936" s="17"/>
    </row>
    <row r="6937" spans="17:21" x14ac:dyDescent="0.25">
      <c r="Q6937" s="17" t="s">
        <v>7316</v>
      </c>
      <c r="R6937" s="17" t="s">
        <v>217</v>
      </c>
      <c r="S6937" s="17"/>
      <c r="T6937" s="17"/>
      <c r="U6937" s="17"/>
    </row>
    <row r="6938" spans="17:21" x14ac:dyDescent="0.25">
      <c r="Q6938" s="17" t="s">
        <v>7317</v>
      </c>
      <c r="R6938" s="17" t="s">
        <v>217</v>
      </c>
      <c r="S6938" s="17"/>
      <c r="T6938" s="17"/>
      <c r="U6938" s="17"/>
    </row>
    <row r="6939" spans="17:21" x14ac:dyDescent="0.25">
      <c r="Q6939" s="17" t="s">
        <v>7318</v>
      </c>
      <c r="R6939" s="17" t="s">
        <v>217</v>
      </c>
      <c r="S6939" s="17"/>
      <c r="T6939" s="17"/>
      <c r="U6939" s="17"/>
    </row>
    <row r="6940" spans="17:21" x14ac:dyDescent="0.25">
      <c r="Q6940" s="17" t="s">
        <v>7319</v>
      </c>
      <c r="R6940" s="17" t="s">
        <v>217</v>
      </c>
      <c r="S6940" s="17"/>
      <c r="T6940" s="17"/>
      <c r="U6940" s="17"/>
    </row>
    <row r="6941" spans="17:21" x14ac:dyDescent="0.25">
      <c r="Q6941" s="17" t="s">
        <v>7320</v>
      </c>
      <c r="R6941" s="17" t="s">
        <v>217</v>
      </c>
      <c r="S6941" s="17"/>
      <c r="T6941" s="17"/>
      <c r="U6941" s="17"/>
    </row>
    <row r="6942" spans="17:21" x14ac:dyDescent="0.25">
      <c r="Q6942" s="17" t="s">
        <v>7321</v>
      </c>
      <c r="R6942" s="17" t="s">
        <v>215</v>
      </c>
      <c r="S6942" s="17"/>
      <c r="T6942" s="17"/>
      <c r="U6942" s="17"/>
    </row>
    <row r="6943" spans="17:21" x14ac:dyDescent="0.25">
      <c r="Q6943" s="17" t="s">
        <v>7322</v>
      </c>
      <c r="R6943" s="17" t="s">
        <v>215</v>
      </c>
      <c r="S6943" s="17"/>
      <c r="T6943" s="17"/>
      <c r="U6943" s="17"/>
    </row>
    <row r="6944" spans="17:21" x14ac:dyDescent="0.25">
      <c r="Q6944" s="17" t="s">
        <v>7323</v>
      </c>
      <c r="R6944" s="17" t="s">
        <v>217</v>
      </c>
      <c r="S6944" s="17"/>
      <c r="T6944" s="17"/>
      <c r="U6944" s="17"/>
    </row>
    <row r="6945" spans="17:21" x14ac:dyDescent="0.25">
      <c r="Q6945" s="17" t="s">
        <v>7324</v>
      </c>
      <c r="R6945" s="17" t="s">
        <v>219</v>
      </c>
      <c r="S6945" s="17"/>
      <c r="T6945" s="17"/>
      <c r="U6945" s="17"/>
    </row>
    <row r="6946" spans="17:21" x14ac:dyDescent="0.25">
      <c r="Q6946" s="17" t="s">
        <v>7325</v>
      </c>
      <c r="R6946" s="17" t="s">
        <v>227</v>
      </c>
      <c r="S6946" s="17"/>
      <c r="T6946" s="17"/>
      <c r="U6946" s="17"/>
    </row>
    <row r="6947" spans="17:21" x14ac:dyDescent="0.25">
      <c r="Q6947" s="17" t="s">
        <v>7326</v>
      </c>
      <c r="R6947" s="17" t="s">
        <v>227</v>
      </c>
      <c r="S6947" s="17"/>
      <c r="T6947" s="17"/>
      <c r="U6947" s="17"/>
    </row>
    <row r="6948" spans="17:21" x14ac:dyDescent="0.25">
      <c r="Q6948" s="17" t="s">
        <v>7327</v>
      </c>
      <c r="R6948" s="17" t="s">
        <v>227</v>
      </c>
      <c r="S6948" s="17"/>
      <c r="T6948" s="17"/>
      <c r="U6948" s="17"/>
    </row>
    <row r="6949" spans="17:21" x14ac:dyDescent="0.25">
      <c r="Q6949" s="17" t="s">
        <v>7328</v>
      </c>
      <c r="R6949" s="17" t="s">
        <v>227</v>
      </c>
      <c r="S6949" s="17"/>
      <c r="T6949" s="17"/>
      <c r="U6949" s="17"/>
    </row>
    <row r="6950" spans="17:21" x14ac:dyDescent="0.25">
      <c r="Q6950" s="17" t="s">
        <v>1298</v>
      </c>
      <c r="R6950" s="17" t="s">
        <v>227</v>
      </c>
      <c r="S6950" s="17"/>
      <c r="T6950" s="17"/>
      <c r="U6950" s="17"/>
    </row>
    <row r="6951" spans="17:21" x14ac:dyDescent="0.25">
      <c r="Q6951" s="17" t="s">
        <v>7329</v>
      </c>
      <c r="R6951" s="17" t="s">
        <v>227</v>
      </c>
      <c r="S6951" s="17"/>
      <c r="T6951" s="17"/>
      <c r="U6951" s="17"/>
    </row>
    <row r="6952" spans="17:21" x14ac:dyDescent="0.25">
      <c r="Q6952" s="17" t="s">
        <v>7330</v>
      </c>
      <c r="R6952" s="17" t="s">
        <v>227</v>
      </c>
      <c r="S6952" s="17"/>
      <c r="T6952" s="17"/>
      <c r="U6952" s="17"/>
    </row>
    <row r="6953" spans="17:21" x14ac:dyDescent="0.25">
      <c r="Q6953" s="17" t="s">
        <v>7331</v>
      </c>
      <c r="R6953" s="17" t="s">
        <v>227</v>
      </c>
      <c r="S6953" s="17"/>
      <c r="T6953" s="17"/>
      <c r="U6953" s="17"/>
    </row>
    <row r="6954" spans="17:21" x14ac:dyDescent="0.25">
      <c r="Q6954" s="17" t="s">
        <v>7332</v>
      </c>
      <c r="R6954" s="17" t="s">
        <v>227</v>
      </c>
      <c r="S6954" s="17"/>
      <c r="T6954" s="17"/>
      <c r="U6954" s="17"/>
    </row>
    <row r="6955" spans="17:21" x14ac:dyDescent="0.25">
      <c r="Q6955" s="17" t="s">
        <v>7333</v>
      </c>
      <c r="R6955" s="17" t="s">
        <v>217</v>
      </c>
      <c r="S6955" s="17"/>
      <c r="T6955" s="17"/>
      <c r="U6955" s="17"/>
    </row>
    <row r="6956" spans="17:21" x14ac:dyDescent="0.25">
      <c r="Q6956" s="17" t="s">
        <v>7334</v>
      </c>
      <c r="R6956" s="17" t="s">
        <v>217</v>
      </c>
      <c r="S6956" s="17"/>
      <c r="T6956" s="17"/>
      <c r="U6956" s="17"/>
    </row>
    <row r="6957" spans="17:21" x14ac:dyDescent="0.25">
      <c r="Q6957" s="17" t="s">
        <v>7335</v>
      </c>
      <c r="R6957" s="17" t="s">
        <v>217</v>
      </c>
      <c r="S6957" s="17"/>
      <c r="T6957" s="17"/>
      <c r="U6957" s="17"/>
    </row>
    <row r="6958" spans="17:21" x14ac:dyDescent="0.25">
      <c r="Q6958" s="17" t="s">
        <v>7336</v>
      </c>
      <c r="R6958" s="17" t="s">
        <v>217</v>
      </c>
      <c r="S6958" s="17"/>
      <c r="T6958" s="17"/>
      <c r="U6958" s="17"/>
    </row>
    <row r="6959" spans="17:21" x14ac:dyDescent="0.25">
      <c r="Q6959" s="17" t="s">
        <v>7337</v>
      </c>
      <c r="R6959" s="17" t="s">
        <v>217</v>
      </c>
      <c r="S6959" s="17"/>
      <c r="T6959" s="17"/>
      <c r="U6959" s="17"/>
    </row>
    <row r="6960" spans="17:21" x14ac:dyDescent="0.25">
      <c r="Q6960" s="17" t="s">
        <v>7338</v>
      </c>
      <c r="R6960" s="17" t="s">
        <v>217</v>
      </c>
      <c r="S6960" s="17"/>
      <c r="T6960" s="17"/>
      <c r="U6960" s="17"/>
    </row>
    <row r="6961" spans="17:21" x14ac:dyDescent="0.25">
      <c r="Q6961" s="17" t="s">
        <v>7339</v>
      </c>
      <c r="R6961" s="17" t="s">
        <v>217</v>
      </c>
      <c r="S6961" s="17"/>
      <c r="T6961" s="17"/>
      <c r="U6961" s="17"/>
    </row>
    <row r="6962" spans="17:21" x14ac:dyDescent="0.25">
      <c r="Q6962" s="17" t="s">
        <v>7340</v>
      </c>
      <c r="R6962" s="17" t="s">
        <v>217</v>
      </c>
      <c r="S6962" s="17"/>
      <c r="T6962" s="17"/>
      <c r="U6962" s="17"/>
    </row>
    <row r="6963" spans="17:21" x14ac:dyDescent="0.25">
      <c r="Q6963" s="17" t="s">
        <v>7341</v>
      </c>
      <c r="R6963" s="17" t="s">
        <v>217</v>
      </c>
      <c r="S6963" s="17"/>
      <c r="T6963" s="17"/>
      <c r="U6963" s="17"/>
    </row>
    <row r="6964" spans="17:21" x14ac:dyDescent="0.25">
      <c r="Q6964" s="17" t="s">
        <v>7342</v>
      </c>
      <c r="R6964" s="17" t="s">
        <v>217</v>
      </c>
      <c r="S6964" s="17"/>
      <c r="T6964" s="17"/>
      <c r="U6964" s="17"/>
    </row>
    <row r="6965" spans="17:21" x14ac:dyDescent="0.25">
      <c r="Q6965" s="17" t="s">
        <v>1304</v>
      </c>
      <c r="R6965" s="17" t="s">
        <v>217</v>
      </c>
      <c r="S6965" s="17"/>
      <c r="T6965" s="17"/>
      <c r="U6965" s="17"/>
    </row>
    <row r="6966" spans="17:21" x14ac:dyDescent="0.25">
      <c r="Q6966" s="17" t="s">
        <v>7343</v>
      </c>
      <c r="R6966" s="17" t="s">
        <v>217</v>
      </c>
      <c r="S6966" s="17"/>
      <c r="T6966" s="17"/>
      <c r="U6966" s="17"/>
    </row>
    <row r="6967" spans="17:21" x14ac:dyDescent="0.25">
      <c r="Q6967" s="17" t="s">
        <v>1189</v>
      </c>
      <c r="R6967" s="17" t="s">
        <v>217</v>
      </c>
      <c r="S6967" s="17"/>
      <c r="T6967" s="17"/>
      <c r="U6967" s="17"/>
    </row>
    <row r="6968" spans="17:21" x14ac:dyDescent="0.25">
      <c r="Q6968" s="17" t="s">
        <v>7344</v>
      </c>
      <c r="R6968" s="17" t="s">
        <v>217</v>
      </c>
      <c r="S6968" s="17"/>
      <c r="T6968" s="17"/>
      <c r="U6968" s="17"/>
    </row>
    <row r="6969" spans="17:21" x14ac:dyDescent="0.25">
      <c r="Q6969" s="17" t="s">
        <v>7345</v>
      </c>
      <c r="R6969" s="17" t="s">
        <v>217</v>
      </c>
      <c r="S6969" s="17"/>
      <c r="T6969" s="17"/>
      <c r="U6969" s="17"/>
    </row>
    <row r="6970" spans="17:21" x14ac:dyDescent="0.25">
      <c r="Q6970" s="17" t="s">
        <v>7346</v>
      </c>
      <c r="R6970" s="17" t="s">
        <v>219</v>
      </c>
      <c r="S6970" s="17"/>
      <c r="T6970" s="17"/>
      <c r="U6970" s="17"/>
    </row>
    <row r="6971" spans="17:21" x14ac:dyDescent="0.25">
      <c r="Q6971" s="17" t="s">
        <v>7347</v>
      </c>
      <c r="R6971" s="17" t="s">
        <v>219</v>
      </c>
      <c r="S6971" s="17"/>
      <c r="T6971" s="17"/>
      <c r="U6971" s="17"/>
    </row>
    <row r="6972" spans="17:21" x14ac:dyDescent="0.25">
      <c r="Q6972" s="17" t="s">
        <v>1256</v>
      </c>
      <c r="R6972" s="17" t="s">
        <v>219</v>
      </c>
      <c r="S6972" s="17"/>
      <c r="T6972" s="17"/>
      <c r="U6972" s="17"/>
    </row>
    <row r="6973" spans="17:21" x14ac:dyDescent="0.25">
      <c r="Q6973" s="17" t="s">
        <v>864</v>
      </c>
      <c r="R6973" s="17" t="s">
        <v>219</v>
      </c>
      <c r="S6973" s="17"/>
      <c r="T6973" s="17"/>
      <c r="U6973" s="17"/>
    </row>
    <row r="6974" spans="17:21" x14ac:dyDescent="0.25">
      <c r="Q6974" s="17" t="s">
        <v>665</v>
      </c>
      <c r="R6974" s="17" t="s">
        <v>219</v>
      </c>
      <c r="S6974" s="17"/>
      <c r="T6974" s="17"/>
      <c r="U6974" s="17"/>
    </row>
    <row r="6975" spans="17:21" x14ac:dyDescent="0.25">
      <c r="Q6975" s="17" t="s">
        <v>7348</v>
      </c>
      <c r="R6975" s="17" t="s">
        <v>219</v>
      </c>
      <c r="S6975" s="17"/>
      <c r="T6975" s="17"/>
      <c r="U6975" s="17"/>
    </row>
    <row r="6976" spans="17:21" x14ac:dyDescent="0.25">
      <c r="Q6976" s="17" t="s">
        <v>865</v>
      </c>
      <c r="R6976" s="17" t="s">
        <v>219</v>
      </c>
      <c r="S6976" s="17"/>
      <c r="T6976" s="17"/>
      <c r="U6976" s="17"/>
    </row>
    <row r="6977" spans="17:21" x14ac:dyDescent="0.25">
      <c r="Q6977" s="17" t="s">
        <v>866</v>
      </c>
      <c r="R6977" s="17" t="s">
        <v>219</v>
      </c>
      <c r="S6977" s="17"/>
      <c r="T6977" s="17"/>
      <c r="U6977" s="17"/>
    </row>
    <row r="6978" spans="17:21" x14ac:dyDescent="0.25">
      <c r="Q6978" s="17" t="s">
        <v>7349</v>
      </c>
      <c r="R6978" s="17" t="s">
        <v>219</v>
      </c>
      <c r="S6978" s="17"/>
      <c r="T6978" s="17"/>
      <c r="U6978" s="17"/>
    </row>
    <row r="6979" spans="17:21" x14ac:dyDescent="0.25">
      <c r="Q6979" s="17" t="s">
        <v>7350</v>
      </c>
      <c r="R6979" s="17" t="s">
        <v>219</v>
      </c>
      <c r="S6979" s="17"/>
      <c r="T6979" s="17"/>
      <c r="U6979" s="17"/>
    </row>
    <row r="6980" spans="17:21" x14ac:dyDescent="0.25">
      <c r="Q6980" s="17" t="s">
        <v>7351</v>
      </c>
      <c r="R6980" s="17" t="s">
        <v>219</v>
      </c>
      <c r="S6980" s="17"/>
      <c r="T6980" s="17"/>
      <c r="U6980" s="17"/>
    </row>
    <row r="6981" spans="17:21" x14ac:dyDescent="0.25">
      <c r="Q6981" s="17" t="s">
        <v>7352</v>
      </c>
      <c r="R6981" s="17" t="s">
        <v>219</v>
      </c>
      <c r="S6981" s="17"/>
      <c r="T6981" s="17"/>
      <c r="U6981" s="17"/>
    </row>
    <row r="6982" spans="17:21" x14ac:dyDescent="0.25">
      <c r="Q6982" s="17" t="s">
        <v>7353</v>
      </c>
      <c r="R6982" s="17" t="s">
        <v>219</v>
      </c>
      <c r="S6982" s="17"/>
      <c r="T6982" s="17"/>
      <c r="U6982" s="17"/>
    </row>
    <row r="6983" spans="17:21" x14ac:dyDescent="0.25">
      <c r="Q6983" s="17" t="s">
        <v>7354</v>
      </c>
      <c r="R6983" s="17" t="s">
        <v>219</v>
      </c>
      <c r="S6983" s="17"/>
      <c r="T6983" s="17"/>
      <c r="U6983" s="17"/>
    </row>
    <row r="6984" spans="17:21" x14ac:dyDescent="0.25">
      <c r="Q6984" s="17" t="s">
        <v>7355</v>
      </c>
      <c r="R6984" s="17" t="s">
        <v>219</v>
      </c>
      <c r="S6984" s="17"/>
      <c r="T6984" s="17"/>
      <c r="U6984" s="17"/>
    </row>
    <row r="6985" spans="17:21" x14ac:dyDescent="0.25">
      <c r="Q6985" s="17" t="s">
        <v>585</v>
      </c>
      <c r="R6985" s="17" t="s">
        <v>219</v>
      </c>
      <c r="S6985" s="17"/>
      <c r="T6985" s="17"/>
      <c r="U6985" s="17"/>
    </row>
    <row r="6986" spans="17:21" x14ac:dyDescent="0.25">
      <c r="Q6986" s="17" t="s">
        <v>867</v>
      </c>
      <c r="R6986" s="17" t="s">
        <v>219</v>
      </c>
      <c r="S6986" s="17"/>
      <c r="T6986" s="17"/>
      <c r="U6986" s="17"/>
    </row>
    <row r="6987" spans="17:21" x14ac:dyDescent="0.25">
      <c r="Q6987" s="17" t="s">
        <v>868</v>
      </c>
      <c r="R6987" s="17" t="s">
        <v>219</v>
      </c>
      <c r="S6987" s="17"/>
      <c r="T6987" s="17"/>
      <c r="U6987" s="17"/>
    </row>
    <row r="6988" spans="17:21" x14ac:dyDescent="0.25">
      <c r="Q6988" s="17" t="s">
        <v>7356</v>
      </c>
      <c r="R6988" s="17" t="s">
        <v>219</v>
      </c>
      <c r="S6988" s="17"/>
      <c r="T6988" s="17"/>
      <c r="U6988" s="17"/>
    </row>
    <row r="6989" spans="17:21" x14ac:dyDescent="0.25">
      <c r="Q6989" s="17" t="s">
        <v>622</v>
      </c>
      <c r="R6989" s="17" t="s">
        <v>219</v>
      </c>
      <c r="S6989" s="17"/>
      <c r="T6989" s="17"/>
      <c r="U6989" s="17"/>
    </row>
    <row r="6990" spans="17:21" x14ac:dyDescent="0.25">
      <c r="Q6990" s="17" t="s">
        <v>592</v>
      </c>
      <c r="R6990" s="17" t="s">
        <v>219</v>
      </c>
      <c r="S6990" s="17"/>
      <c r="T6990" s="17"/>
      <c r="U6990" s="17"/>
    </row>
    <row r="6991" spans="17:21" x14ac:dyDescent="0.25">
      <c r="Q6991" s="17" t="s">
        <v>7357</v>
      </c>
      <c r="R6991" s="17" t="s">
        <v>219</v>
      </c>
      <c r="S6991" s="17"/>
      <c r="T6991" s="17"/>
      <c r="U6991" s="17"/>
    </row>
    <row r="6992" spans="17:21" x14ac:dyDescent="0.25">
      <c r="Q6992" s="17" t="s">
        <v>7358</v>
      </c>
      <c r="R6992" s="17" t="s">
        <v>219</v>
      </c>
      <c r="S6992" s="17"/>
      <c r="T6992" s="17"/>
      <c r="U6992" s="17"/>
    </row>
    <row r="6993" spans="17:21" x14ac:dyDescent="0.25">
      <c r="Q6993" s="17" t="s">
        <v>7359</v>
      </c>
      <c r="R6993" s="17" t="s">
        <v>219</v>
      </c>
      <c r="S6993" s="17"/>
      <c r="T6993" s="17"/>
      <c r="U6993" s="17"/>
    </row>
    <row r="6994" spans="17:21" x14ac:dyDescent="0.25">
      <c r="Q6994" s="17" t="s">
        <v>7360</v>
      </c>
      <c r="R6994" s="17" t="s">
        <v>219</v>
      </c>
      <c r="S6994" s="17"/>
      <c r="T6994" s="17"/>
      <c r="U6994" s="17"/>
    </row>
    <row r="6995" spans="17:21" x14ac:dyDescent="0.25">
      <c r="Q6995" s="17" t="s">
        <v>7361</v>
      </c>
      <c r="R6995" s="17" t="s">
        <v>219</v>
      </c>
      <c r="S6995" s="17"/>
      <c r="T6995" s="17"/>
      <c r="U6995" s="17"/>
    </row>
    <row r="6996" spans="17:21" x14ac:dyDescent="0.25">
      <c r="Q6996" s="17" t="s">
        <v>530</v>
      </c>
      <c r="R6996" s="17" t="s">
        <v>219</v>
      </c>
      <c r="S6996" s="17"/>
      <c r="T6996" s="17"/>
      <c r="U6996" s="17"/>
    </row>
    <row r="6997" spans="17:21" x14ac:dyDescent="0.25">
      <c r="Q6997" s="17" t="s">
        <v>7362</v>
      </c>
      <c r="R6997" s="17" t="s">
        <v>219</v>
      </c>
      <c r="S6997" s="17"/>
      <c r="T6997" s="17"/>
      <c r="U6997" s="17"/>
    </row>
    <row r="6998" spans="17:21" x14ac:dyDescent="0.25">
      <c r="Q6998" s="17" t="s">
        <v>7363</v>
      </c>
      <c r="R6998" s="17" t="s">
        <v>219</v>
      </c>
      <c r="S6998" s="17"/>
      <c r="T6998" s="17"/>
      <c r="U6998" s="17"/>
    </row>
    <row r="6999" spans="17:21" x14ac:dyDescent="0.25">
      <c r="Q6999" s="17" t="s">
        <v>7364</v>
      </c>
      <c r="R6999" s="17" t="s">
        <v>219</v>
      </c>
      <c r="S6999" s="17"/>
      <c r="T6999" s="17"/>
      <c r="U6999" s="17"/>
    </row>
    <row r="7000" spans="17:21" x14ac:dyDescent="0.25">
      <c r="Q7000" s="17" t="s">
        <v>689</v>
      </c>
      <c r="R7000" s="17" t="s">
        <v>219</v>
      </c>
      <c r="S7000" s="17"/>
      <c r="T7000" s="17"/>
      <c r="U7000" s="17"/>
    </row>
    <row r="7001" spans="17:21" x14ac:dyDescent="0.25">
      <c r="Q7001" s="17" t="s">
        <v>863</v>
      </c>
      <c r="R7001" s="17" t="s">
        <v>219</v>
      </c>
      <c r="S7001" s="17"/>
      <c r="T7001" s="17"/>
      <c r="U7001" s="17"/>
    </row>
    <row r="7002" spans="17:21" x14ac:dyDescent="0.25">
      <c r="Q7002" s="17" t="s">
        <v>7365</v>
      </c>
      <c r="R7002" s="17" t="s">
        <v>219</v>
      </c>
      <c r="S7002" s="17"/>
      <c r="T7002" s="17"/>
      <c r="U7002" s="17"/>
    </row>
    <row r="7003" spans="17:21" x14ac:dyDescent="0.25">
      <c r="Q7003" s="17" t="s">
        <v>7366</v>
      </c>
      <c r="R7003" s="17" t="s">
        <v>219</v>
      </c>
      <c r="S7003" s="17"/>
      <c r="T7003" s="17"/>
      <c r="U7003" s="17"/>
    </row>
    <row r="7004" spans="17:21" x14ac:dyDescent="0.25">
      <c r="Q7004" s="17" t="s">
        <v>7367</v>
      </c>
      <c r="R7004" s="17" t="s">
        <v>219</v>
      </c>
      <c r="S7004" s="17"/>
      <c r="T7004" s="17"/>
      <c r="U7004" s="17"/>
    </row>
    <row r="7005" spans="17:21" x14ac:dyDescent="0.25">
      <c r="Q7005" s="17" t="s">
        <v>872</v>
      </c>
      <c r="R7005" s="17" t="s">
        <v>219</v>
      </c>
      <c r="S7005" s="17"/>
      <c r="T7005" s="17"/>
      <c r="U7005" s="17"/>
    </row>
    <row r="7006" spans="17:21" x14ac:dyDescent="0.25">
      <c r="Q7006" s="17" t="s">
        <v>7368</v>
      </c>
      <c r="R7006" s="17" t="s">
        <v>217</v>
      </c>
      <c r="S7006" s="17"/>
      <c r="T7006" s="17"/>
      <c r="U7006" s="17"/>
    </row>
    <row r="7007" spans="17:21" x14ac:dyDescent="0.25">
      <c r="Q7007" s="17" t="s">
        <v>7369</v>
      </c>
      <c r="R7007" s="17" t="s">
        <v>219</v>
      </c>
      <c r="S7007" s="17"/>
      <c r="T7007" s="17"/>
      <c r="U7007" s="17"/>
    </row>
    <row r="7008" spans="17:21" x14ac:dyDescent="0.25">
      <c r="Q7008" s="17" t="s">
        <v>7370</v>
      </c>
      <c r="R7008" s="17" t="s">
        <v>219</v>
      </c>
      <c r="S7008" s="17"/>
      <c r="T7008" s="17"/>
      <c r="U7008" s="17"/>
    </row>
    <row r="7009" spans="17:21" x14ac:dyDescent="0.25">
      <c r="Q7009" s="17" t="s">
        <v>7371</v>
      </c>
      <c r="R7009" s="17" t="s">
        <v>217</v>
      </c>
      <c r="S7009" s="17"/>
      <c r="T7009" s="17"/>
      <c r="U7009" s="17"/>
    </row>
    <row r="7010" spans="17:21" x14ac:dyDescent="0.25">
      <c r="Q7010" s="17" t="s">
        <v>7372</v>
      </c>
      <c r="R7010" s="17" t="s">
        <v>219</v>
      </c>
      <c r="S7010" s="17"/>
      <c r="T7010" s="17"/>
      <c r="U7010" s="17"/>
    </row>
    <row r="7011" spans="17:21" x14ac:dyDescent="0.25">
      <c r="Q7011" s="17" t="s">
        <v>722</v>
      </c>
      <c r="R7011" s="17" t="s">
        <v>219</v>
      </c>
      <c r="S7011" s="17"/>
      <c r="T7011" s="17"/>
      <c r="U7011" s="17"/>
    </row>
    <row r="7012" spans="17:21" x14ac:dyDescent="0.25">
      <c r="Q7012" s="17" t="s">
        <v>7373</v>
      </c>
      <c r="R7012" s="17" t="s">
        <v>219</v>
      </c>
      <c r="S7012" s="17"/>
      <c r="T7012" s="17"/>
      <c r="U7012" s="17"/>
    </row>
    <row r="7013" spans="17:21" x14ac:dyDescent="0.25">
      <c r="Q7013" s="17" t="s">
        <v>702</v>
      </c>
      <c r="R7013" s="17" t="s">
        <v>219</v>
      </c>
      <c r="S7013" s="17"/>
      <c r="T7013" s="17"/>
      <c r="U7013" s="17"/>
    </row>
    <row r="7014" spans="17:21" x14ac:dyDescent="0.25">
      <c r="Q7014" s="17" t="s">
        <v>1179</v>
      </c>
      <c r="R7014" s="17" t="s">
        <v>219</v>
      </c>
      <c r="S7014" s="17"/>
      <c r="T7014" s="17"/>
      <c r="U7014" s="17"/>
    </row>
    <row r="7015" spans="17:21" x14ac:dyDescent="0.25">
      <c r="Q7015" s="17" t="s">
        <v>1180</v>
      </c>
      <c r="R7015" s="17" t="s">
        <v>219</v>
      </c>
      <c r="S7015" s="17"/>
      <c r="T7015" s="17"/>
      <c r="U7015" s="17"/>
    </row>
    <row r="7016" spans="17:21" x14ac:dyDescent="0.25">
      <c r="Q7016" s="17" t="s">
        <v>7374</v>
      </c>
      <c r="R7016" s="17" t="s">
        <v>219</v>
      </c>
      <c r="S7016" s="17"/>
      <c r="T7016" s="17"/>
      <c r="U7016" s="17"/>
    </row>
    <row r="7017" spans="17:21" x14ac:dyDescent="0.25">
      <c r="Q7017" s="17" t="s">
        <v>7375</v>
      </c>
      <c r="R7017" s="17" t="s">
        <v>7376</v>
      </c>
      <c r="S7017" s="17"/>
      <c r="T7017" s="17"/>
      <c r="U7017" s="17"/>
    </row>
  </sheetData>
  <autoFilter ref="Q25:R7017"/>
  <mergeCells count="16">
    <mergeCell ref="B93:C93"/>
    <mergeCell ref="A24:D24"/>
    <mergeCell ref="B101:C101"/>
    <mergeCell ref="I102:J102"/>
    <mergeCell ref="V19:W19"/>
    <mergeCell ref="R19:S19"/>
    <mergeCell ref="N19:O19"/>
    <mergeCell ref="J19:K19"/>
    <mergeCell ref="F19:G19"/>
    <mergeCell ref="B19:C19"/>
    <mergeCell ref="J24:M24"/>
    <mergeCell ref="J25:K25"/>
    <mergeCell ref="L25:M25"/>
    <mergeCell ref="L38:M38"/>
    <mergeCell ref="E24:G24"/>
    <mergeCell ref="T80:U8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N160"/>
  <sheetViews>
    <sheetView topLeftCell="U1" zoomScaleNormal="100" workbookViewId="0">
      <selection activeCell="AE52" sqref="AE52:AG52"/>
    </sheetView>
  </sheetViews>
  <sheetFormatPr defaultColWidth="9.140625" defaultRowHeight="15" x14ac:dyDescent="0.25"/>
  <cols>
    <col min="1" max="29" width="9.140625" style="17"/>
    <col min="30" max="34" width="16.42578125" style="17" bestFit="1" customWidth="1"/>
    <col min="35" max="16384" width="9.140625" style="17"/>
  </cols>
  <sheetData>
    <row r="1" spans="1:35" x14ac:dyDescent="0.25">
      <c r="B1" s="103" t="s">
        <v>160</v>
      </c>
      <c r="G1" s="137" t="s">
        <v>310</v>
      </c>
    </row>
    <row r="2" spans="1:35" x14ac:dyDescent="0.25">
      <c r="B2" s="104">
        <v>0.71448643076157303</v>
      </c>
      <c r="C2" s="17" t="s">
        <v>161</v>
      </c>
      <c r="G2" s="137" t="s">
        <v>311</v>
      </c>
    </row>
    <row r="3" spans="1:35" ht="17.25" x14ac:dyDescent="0.25">
      <c r="B3" s="104">
        <v>0.49564754449022602</v>
      </c>
      <c r="C3" s="17" t="s">
        <v>162</v>
      </c>
      <c r="G3" s="17" t="s">
        <v>306</v>
      </c>
    </row>
    <row r="5" spans="1:35" x14ac:dyDescent="0.25">
      <c r="A5" s="17" t="s">
        <v>163</v>
      </c>
      <c r="AE5" s="17">
        <v>9.167685587011E-8</v>
      </c>
      <c r="AF5" s="17">
        <v>1.5289662295670399E-5</v>
      </c>
      <c r="AG5" s="17">
        <v>1.6187586167331501E-3</v>
      </c>
      <c r="AH5" s="17">
        <v>1.5199778231648401E-2</v>
      </c>
      <c r="AI5" s="17">
        <v>0.962501568438211</v>
      </c>
    </row>
    <row r="6" spans="1:35" x14ac:dyDescent="0.25">
      <c r="A6" s="17">
        <v>150</v>
      </c>
      <c r="B6" s="17">
        <f>(0.000000000032989*A6^3-0.000000270691185*A6^2+0.000468652420503*A6+0.726630359723856)*1.04333245461704</f>
        <v>0.82522277104920294</v>
      </c>
      <c r="D6" s="105">
        <f>B3</f>
        <v>0.49564754449022602</v>
      </c>
      <c r="E6" s="17" t="s">
        <v>162</v>
      </c>
      <c r="V6" s="18">
        <v>5</v>
      </c>
      <c r="W6" s="17">
        <f>(9.167685587011E-08*(V6)^4+0.000015289662956704*(V6)^3-0.00161875861673315*(V6)^2+0.0151997782316484*(V6)+0.962501568438211)</f>
        <v>1.000000000082631</v>
      </c>
      <c r="Y6" s="105">
        <f>B2</f>
        <v>0.71448643076157303</v>
      </c>
      <c r="Z6" s="17" t="s">
        <v>161</v>
      </c>
    </row>
    <row r="7" spans="1:35" x14ac:dyDescent="0.25">
      <c r="A7" s="17">
        <v>4000</v>
      </c>
      <c r="B7" s="17">
        <f>(0.000000000032989*A7^3-0.000000270691185*A7^2+0.000468652420503*A7+0.726630359723856)*1.04333245461704</f>
        <v>0.39800742006761564</v>
      </c>
      <c r="V7" s="18">
        <v>27.5</v>
      </c>
      <c r="W7" s="17">
        <f>(9.167685587011E-08*(V7)^4+0.000015289662956704*(V7)^3-0.00161875861673315*(V7)^2+0.0151997782316484*(V7)+0.962501568438211)</f>
        <v>0.52671775828470246</v>
      </c>
      <c r="AD7" s="135">
        <v>9.167685587011E-8</v>
      </c>
      <c r="AE7" s="135">
        <v>1.5289662295670399E-5</v>
      </c>
      <c r="AF7" s="135">
        <v>1.6187586167331501E-3</v>
      </c>
      <c r="AG7" s="135">
        <v>1.5199778231648401E-2</v>
      </c>
      <c r="AH7" s="135">
        <v>0.962501568438211</v>
      </c>
    </row>
    <row r="8" spans="1:35" ht="45.75" x14ac:dyDescent="0.25">
      <c r="A8" s="106" t="s">
        <v>164</v>
      </c>
      <c r="B8" s="106" t="s">
        <v>165</v>
      </c>
      <c r="C8" s="106" t="s">
        <v>166</v>
      </c>
      <c r="E8" s="106" t="s">
        <v>167</v>
      </c>
      <c r="G8" s="106" t="s">
        <v>168</v>
      </c>
    </row>
    <row r="9" spans="1:35" x14ac:dyDescent="0.25">
      <c r="A9" s="17">
        <v>50</v>
      </c>
      <c r="B9" s="17">
        <f>(IF(A9&lt;$A$6,$B$6,IF(A9&gt;$A$7,$B$7,((0.000000000032989*A9^3-0.000000270691185*A9^2+0.000468652420503*A9+0.726630359723856)*1.04333245461704))))</f>
        <v>0.82522277104920294</v>
      </c>
      <c r="C9" s="17">
        <f>EXP(LN(IF(A9&lt;$A$6,$B$6,IF(A9&gt;$A$7,$B$7,((0.000000000032989*A9^3-0.000000270691185*A9^2+0.000468652420503*A9+0.726630359723856)*1.04333245461704))))*$D$6)</f>
        <v>0.90917758867864051</v>
      </c>
      <c r="E9" s="17">
        <v>50</v>
      </c>
      <c r="F9" s="17">
        <f>C9</f>
        <v>0.90917758867864051</v>
      </c>
      <c r="G9" s="17">
        <f>( -0.00000000000000018*E9^4 + 0.00000000001213529*E9^3- 0.00000011429507157*E9^2 + 0.00020471790205693*E9 + 0.893892094372259)</f>
        <v>0.90384376758243057</v>
      </c>
      <c r="U9" s="17">
        <v>1</v>
      </c>
      <c r="V9" s="17">
        <f t="shared" ref="V9:V41" si="0">IF(U9&lt;$V$6,$W$6,IF(U9&gt;$V$7,$W$7,((0.00000009*(U9)^4+0.00001501*(U9)^3-0.00158915*(U9)^2+0.01492176*(U9)+0.94489651)*1.0186317318901)))</f>
        <v>1.000000000082631</v>
      </c>
      <c r="W9" s="17">
        <f t="shared" ref="W9:W41" si="1">(EXP(LN(IF(U9&lt;$V$6,$W$6,IF(U9&gt;$V$7,$W$7,((0.00000009*(U9)^4+0.00001501*(U9)^3-0.00158915*(U9)^2+0.01492176*(U9)+0.94489651)*1.0186317318901))))*$Y$6))</f>
        <v>1.0000000000590388</v>
      </c>
      <c r="X9" s="17">
        <f>(EXP(LN(IF(U9&lt;$V$6,$W$6,IF(U9&gt;$V$7,$W$7,(($AD$7*(U9)^4+$AE$7*(U9)^3-$AF$7*(U9)^2+$AG$7*(U9)+$AH$7)))))*$Y$6))</f>
        <v>1.0000000000590388</v>
      </c>
      <c r="Y9" s="17">
        <f>(EXP(LN(IF(U9&lt;$V$6,$W$6,IF(U9&gt;$V$7,$W$7,((9.167685587011E-08*(U9)^4+0.000015289662956704*(U9)^3-0.00161875861673315*(U9)^2+0.0151997782316484*(U9)+0.962501568438211)))))*$Y$6))</f>
        <v>1.0000000000590388</v>
      </c>
    </row>
    <row r="10" spans="1:35" x14ac:dyDescent="0.25">
      <c r="A10" s="17">
        <v>100</v>
      </c>
      <c r="B10" s="17">
        <f t="shared" ref="B10:B73" si="2">(IF(A10&lt;$A$6,$B$6,IF(A10&gt;$A$7,$B$7,((0.000000000032989*A10^3-0.000000270691185*A10^2+0.000468652420503*A10+0.726630359723856)*1.04333245461704))))</f>
        <v>0.82522277104920294</v>
      </c>
      <c r="C10" s="17">
        <f t="shared" ref="C10:C73" si="3">EXP(LN(IF(A10&lt;$A$6,$B$6,IF(A10&gt;$A$7,$B$7,((0.000000000032989*A10^3-0.000000270691185*A10^2+0.000468652420503*A10+0.726630359723856)*1.04333245461704))))*$D$6)</f>
        <v>0.90917758867864051</v>
      </c>
      <c r="E10" s="17">
        <v>100</v>
      </c>
      <c r="F10" s="17">
        <f>C10</f>
        <v>0.90917758867864051</v>
      </c>
      <c r="G10" s="17">
        <f t="shared" ref="G10:G32" si="4">( -0.00000000000000018*E10^4 + 0.00000000001213529*E10^3- 0.00000011429507157*E10^2 + 0.00020471790205693*E10 + 0.893892094372259)</f>
        <v>0.91323305115225206</v>
      </c>
      <c r="U10" s="17">
        <v>2</v>
      </c>
      <c r="V10" s="17">
        <f t="shared" si="0"/>
        <v>1.000000000082631</v>
      </c>
      <c r="W10" s="17">
        <f t="shared" si="1"/>
        <v>1.0000000000590388</v>
      </c>
      <c r="X10" s="17">
        <f t="shared" ref="X10:X31" si="5">(EXP(LN(IF(U10&lt;$V$6,$W$6,IF(U10&gt;$V$7,$W$7,(($AD$7*(U10)^4+$AE$7*(U10)^3-$AF$7*(U10)^2+$AG$7*(U10)+$AH$7)))))*$Y$6))</f>
        <v>1.0000000000590388</v>
      </c>
      <c r="Y10" s="17">
        <f t="shared" ref="Y10:Y31" si="6">(EXP(LN(IF(U10&lt;$V$6,$W$6,IF(U10&gt;$V$7,$W$7,((9.167685587011E-08*(U10)^4+0.000015289662956704*(U10)^3-0.00161875861673315*(U10)^2+0.0151997782316484*(U10)+0.962501568438211)))))*$Y$6))</f>
        <v>1.0000000000590388</v>
      </c>
    </row>
    <row r="11" spans="1:35" x14ac:dyDescent="0.25">
      <c r="A11" s="17">
        <v>150</v>
      </c>
      <c r="B11" s="17">
        <f t="shared" si="2"/>
        <v>0.82522277104920294</v>
      </c>
      <c r="C11" s="17">
        <f t="shared" si="3"/>
        <v>0.90917758867864051</v>
      </c>
      <c r="E11" s="17">
        <v>250</v>
      </c>
      <c r="F11" s="17">
        <f>C13</f>
        <v>0.92970391057157775</v>
      </c>
      <c r="G11" s="17">
        <f t="shared" si="4"/>
        <v>0.93811703869461649</v>
      </c>
      <c r="U11" s="17">
        <v>3</v>
      </c>
      <c r="V11" s="17">
        <f t="shared" si="0"/>
        <v>1.000000000082631</v>
      </c>
      <c r="W11" s="17">
        <f t="shared" si="1"/>
        <v>1.0000000000590388</v>
      </c>
      <c r="X11" s="17">
        <f t="shared" si="5"/>
        <v>1.0000000000590388</v>
      </c>
      <c r="Y11" s="17">
        <f t="shared" si="6"/>
        <v>1.0000000000590388</v>
      </c>
    </row>
    <row r="12" spans="1:35" x14ac:dyDescent="0.25">
      <c r="A12" s="17">
        <v>200</v>
      </c>
      <c r="B12" s="17">
        <f t="shared" si="2"/>
        <v>0.84488760487426895</v>
      </c>
      <c r="C12" s="17">
        <f t="shared" si="3"/>
        <v>0.91985224732353377</v>
      </c>
      <c r="E12" s="17">
        <v>500</v>
      </c>
      <c r="F12" s="17">
        <f>C18</f>
        <v>0.96790026293098608</v>
      </c>
      <c r="G12" s="17">
        <f t="shared" si="4"/>
        <v>0.96918293875822403</v>
      </c>
      <c r="U12" s="17">
        <v>4</v>
      </c>
      <c r="V12" s="17">
        <f t="shared" si="0"/>
        <v>1.000000000082631</v>
      </c>
      <c r="W12" s="17">
        <f t="shared" si="1"/>
        <v>1.0000000000590388</v>
      </c>
      <c r="X12" s="17">
        <f t="shared" si="5"/>
        <v>1.0000000000590388</v>
      </c>
      <c r="Y12" s="17">
        <f t="shared" si="6"/>
        <v>1.0000000000590388</v>
      </c>
    </row>
    <row r="13" spans="1:35" x14ac:dyDescent="0.25">
      <c r="A13" s="17">
        <v>250</v>
      </c>
      <c r="B13" s="17">
        <f t="shared" si="2"/>
        <v>0.86324358968992487</v>
      </c>
      <c r="C13" s="17">
        <f t="shared" si="3"/>
        <v>0.92970391057157775</v>
      </c>
      <c r="E13" s="17">
        <v>750</v>
      </c>
      <c r="F13" s="17">
        <f>C23</f>
        <v>0.99028476918604813</v>
      </c>
      <c r="G13" s="17">
        <f t="shared" si="4"/>
        <v>0.98820216550058149</v>
      </c>
      <c r="U13" s="17">
        <v>5</v>
      </c>
      <c r="V13" s="17">
        <f t="shared" si="0"/>
        <v>1.000000000000002</v>
      </c>
      <c r="W13" s="17">
        <f t="shared" si="1"/>
        <v>1.0000000000000013</v>
      </c>
      <c r="X13" s="17">
        <f t="shared" si="5"/>
        <v>1.0000000000000013</v>
      </c>
      <c r="Y13" s="17">
        <f t="shared" si="6"/>
        <v>1.0000000000590388</v>
      </c>
    </row>
    <row r="14" spans="1:35" x14ac:dyDescent="0.25">
      <c r="A14" s="17">
        <v>300</v>
      </c>
      <c r="B14" s="17">
        <f t="shared" si="2"/>
        <v>0.88031653936692977</v>
      </c>
      <c r="C14" s="17">
        <f t="shared" si="3"/>
        <v>0.93877256169266754</v>
      </c>
      <c r="E14" s="17">
        <v>1000</v>
      </c>
      <c r="F14" s="17">
        <f>C28</f>
        <v>0.99954137584142799</v>
      </c>
      <c r="G14" s="17">
        <f t="shared" si="4"/>
        <v>0.9962702148591891</v>
      </c>
      <c r="U14" s="17">
        <v>6</v>
      </c>
      <c r="V14" s="17">
        <f t="shared" si="0"/>
        <v>0.99884630788678053</v>
      </c>
      <c r="W14" s="17">
        <f t="shared" si="1"/>
        <v>0.99917556681305664</v>
      </c>
      <c r="X14" s="17">
        <f t="shared" si="5"/>
        <v>0.99917556681305653</v>
      </c>
      <c r="Y14" s="17">
        <f t="shared" si="6"/>
        <v>0.99917556691510689</v>
      </c>
    </row>
    <row r="15" spans="1:35" x14ac:dyDescent="0.25">
      <c r="A15" s="17">
        <v>350</v>
      </c>
      <c r="B15" s="17">
        <f t="shared" si="2"/>
        <v>0.89613226777604249</v>
      </c>
      <c r="C15" s="17">
        <f t="shared" si="3"/>
        <v>0.9470945904617829</v>
      </c>
      <c r="E15" s="17">
        <v>1250</v>
      </c>
      <c r="F15" s="17">
        <f>C33</f>
        <v>0.99764699840843041</v>
      </c>
      <c r="G15" s="17">
        <f t="shared" si="4"/>
        <v>0.99446570777154653</v>
      </c>
      <c r="U15" s="17">
        <v>7</v>
      </c>
      <c r="V15" s="17">
        <f t="shared" si="0"/>
        <v>0.99504531413818464</v>
      </c>
      <c r="W15" s="17">
        <f t="shared" si="1"/>
        <v>0.99645743491717109</v>
      </c>
      <c r="X15" s="17">
        <f t="shared" si="5"/>
        <v>0.99645743491717098</v>
      </c>
      <c r="Y15" s="17">
        <f t="shared" si="6"/>
        <v>0.99645743507939966</v>
      </c>
    </row>
    <row r="16" spans="1:35" x14ac:dyDescent="0.25">
      <c r="A16" s="17">
        <v>400</v>
      </c>
      <c r="B16" s="17">
        <f t="shared" si="2"/>
        <v>0.9107165887880222</v>
      </c>
      <c r="C16" s="17">
        <f t="shared" si="3"/>
        <v>0.95470326164600794</v>
      </c>
      <c r="E16" s="17">
        <v>1500</v>
      </c>
      <c r="F16" s="17">
        <f>C38</f>
        <v>0.98615965642159631</v>
      </c>
      <c r="G16" s="17">
        <f t="shared" si="4"/>
        <v>0.98385039017515408</v>
      </c>
      <c r="U16" s="17">
        <v>8</v>
      </c>
      <c r="V16" s="17">
        <f t="shared" si="0"/>
        <v>0.98870305831750394</v>
      </c>
      <c r="W16" s="17">
        <f t="shared" si="1"/>
        <v>0.9919154079878606</v>
      </c>
      <c r="X16" s="17">
        <f t="shared" si="5"/>
        <v>0.99191540798786049</v>
      </c>
      <c r="Y16" s="17">
        <f t="shared" si="6"/>
        <v>0.99191540823046354</v>
      </c>
    </row>
    <row r="17" spans="1:31" x14ac:dyDescent="0.25">
      <c r="A17" s="17">
        <v>450</v>
      </c>
      <c r="B17" s="17">
        <f t="shared" si="2"/>
        <v>0.92409531627362784</v>
      </c>
      <c r="C17" s="17">
        <f t="shared" si="3"/>
        <v>0.96162910809653346</v>
      </c>
      <c r="E17" s="17">
        <v>1750</v>
      </c>
      <c r="F17" s="17">
        <f>C43</f>
        <v>0.96638799386329832</v>
      </c>
      <c r="G17" s="17">
        <f t="shared" si="4"/>
        <v>0.96546913300751158</v>
      </c>
      <c r="U17" s="17">
        <v>9</v>
      </c>
      <c r="V17" s="17">
        <f t="shared" si="0"/>
        <v>0.97992778023256899</v>
      </c>
      <c r="W17" s="17">
        <f t="shared" si="1"/>
        <v>0.98561721948295233</v>
      </c>
      <c r="X17" s="17">
        <f t="shared" si="5"/>
        <v>0.98561721948295233</v>
      </c>
      <c r="Y17" s="17">
        <f t="shared" si="6"/>
        <v>0.98561721982925765</v>
      </c>
    </row>
    <row r="18" spans="1:31" x14ac:dyDescent="0.25">
      <c r="A18" s="17">
        <v>500</v>
      </c>
      <c r="B18" s="17">
        <f t="shared" si="2"/>
        <v>0.93629426410361838</v>
      </c>
      <c r="C18" s="17">
        <f t="shared" si="3"/>
        <v>0.96790026293098608</v>
      </c>
      <c r="E18" s="17">
        <v>2000</v>
      </c>
      <c r="F18" s="17">
        <f>C48</f>
        <v>0.93950454855611376</v>
      </c>
      <c r="G18" s="17">
        <f t="shared" si="4"/>
        <v>0.94034993220611907</v>
      </c>
      <c r="U18" s="17">
        <v>10</v>
      </c>
      <c r="V18" s="17">
        <f t="shared" si="0"/>
        <v>0.96882991993575152</v>
      </c>
      <c r="W18" s="17">
        <f t="shared" si="1"/>
        <v>0.97762895468617994</v>
      </c>
      <c r="X18" s="17">
        <f t="shared" si="5"/>
        <v>0.97762895468617994</v>
      </c>
      <c r="Y18" s="17">
        <f t="shared" si="6"/>
        <v>0.97762895516276893</v>
      </c>
    </row>
    <row r="19" spans="1:31" x14ac:dyDescent="0.25">
      <c r="A19" s="17">
        <v>550</v>
      </c>
      <c r="B19" s="17">
        <f t="shared" si="2"/>
        <v>0.94733924614875287</v>
      </c>
      <c r="C19" s="17">
        <f t="shared" si="3"/>
        <v>0.9735427421111067</v>
      </c>
      <c r="E19" s="17">
        <v>2250</v>
      </c>
      <c r="F19" s="17">
        <f>C53</f>
        <v>0.90663323154639996</v>
      </c>
      <c r="G19" s="17">
        <f t="shared" si="4"/>
        <v>0.90950390870847664</v>
      </c>
      <c r="U19" s="17">
        <v>11</v>
      </c>
      <c r="V19" s="17">
        <f t="shared" si="0"/>
        <v>0.95552211772396378</v>
      </c>
      <c r="W19" s="17">
        <f t="shared" si="1"/>
        <v>0.96801542984891409</v>
      </c>
      <c r="X19" s="17">
        <f t="shared" si="5"/>
        <v>0.96801542984891409</v>
      </c>
      <c r="Y19" s="17">
        <f t="shared" si="6"/>
        <v>0.96801543048576399</v>
      </c>
    </row>
    <row r="20" spans="1:31" x14ac:dyDescent="0.25">
      <c r="A20" s="17">
        <v>600</v>
      </c>
      <c r="B20" s="17">
        <f t="shared" si="2"/>
        <v>0.95725607627979059</v>
      </c>
      <c r="C20" s="17">
        <f t="shared" si="3"/>
        <v>0.97858068632187867</v>
      </c>
      <c r="E20" s="17">
        <v>2500</v>
      </c>
      <c r="F20" s="17">
        <f>C58</f>
        <v>0.86892854911863371</v>
      </c>
      <c r="G20" s="17">
        <f t="shared" si="4"/>
        <v>0.87392530845208405</v>
      </c>
      <c r="U20" s="17">
        <v>12</v>
      </c>
      <c r="V20" s="17">
        <f t="shared" si="0"/>
        <v>0.94011921413865918</v>
      </c>
      <c r="W20" s="17">
        <f t="shared" si="1"/>
        <v>0.95684053798002466</v>
      </c>
      <c r="X20" s="17">
        <f t="shared" si="5"/>
        <v>0.95684053798002466</v>
      </c>
      <c r="Y20" s="17">
        <f t="shared" si="6"/>
        <v>0.95684053881067443</v>
      </c>
    </row>
    <row r="21" spans="1:31" x14ac:dyDescent="0.25">
      <c r="A21" s="17">
        <v>650</v>
      </c>
      <c r="B21" s="17">
        <f t="shared" si="2"/>
        <v>0.96607056836749017</v>
      </c>
      <c r="C21" s="17">
        <f t="shared" si="3"/>
        <v>0.983036569229782</v>
      </c>
      <c r="E21" s="17">
        <v>2750</v>
      </c>
      <c r="F21" s="17">
        <f>C63</f>
        <v>0.82765861809552432</v>
      </c>
      <c r="G21" s="17">
        <f t="shared" si="4"/>
        <v>0.83459150237444157</v>
      </c>
      <c r="U21" s="17">
        <v>13</v>
      </c>
      <c r="V21" s="17">
        <f t="shared" si="0"/>
        <v>0.92273824996583187</v>
      </c>
      <c r="W21" s="17">
        <f t="shared" si="1"/>
        <v>0.94416756930163415</v>
      </c>
      <c r="X21" s="17">
        <f t="shared" si="5"/>
        <v>0.94416756930163415</v>
      </c>
      <c r="Y21" s="17">
        <f t="shared" si="6"/>
        <v>0.94416757036337406</v>
      </c>
    </row>
    <row r="22" spans="1:31" x14ac:dyDescent="0.25">
      <c r="A22" s="17">
        <v>700</v>
      </c>
      <c r="B22" s="17">
        <f t="shared" si="2"/>
        <v>0.97380853628261077</v>
      </c>
      <c r="C22" s="17">
        <f t="shared" si="3"/>
        <v>0.98693137779077933</v>
      </c>
      <c r="E22" s="17">
        <v>3000</v>
      </c>
      <c r="F22" s="17">
        <f>C68</f>
        <v>0.78430118173155872</v>
      </c>
      <c r="G22" s="17">
        <f t="shared" si="4"/>
        <v>0.79246298641304924</v>
      </c>
      <c r="U22" s="17">
        <v>14</v>
      </c>
      <c r="V22" s="17">
        <f t="shared" si="0"/>
        <v>0.90349846623601682</v>
      </c>
      <c r="W22" s="17">
        <f t="shared" si="1"/>
        <v>0.93005951326995295</v>
      </c>
      <c r="X22" s="17">
        <f t="shared" si="5"/>
        <v>0.93005951326995295</v>
      </c>
      <c r="Y22" s="17">
        <f t="shared" si="6"/>
        <v>0.93005951460404246</v>
      </c>
    </row>
    <row r="23" spans="1:31" x14ac:dyDescent="0.25">
      <c r="A23" s="17">
        <v>750</v>
      </c>
      <c r="B23" s="17">
        <f t="shared" si="2"/>
        <v>0.98049579389591146</v>
      </c>
      <c r="C23" s="17">
        <f t="shared" si="3"/>
        <v>0.99028476918604813</v>
      </c>
      <c r="E23" s="17">
        <v>3250</v>
      </c>
      <c r="F23" s="17">
        <f>C73</f>
        <v>0.74065807857540356</v>
      </c>
      <c r="G23" s="17">
        <f t="shared" si="4"/>
        <v>0.74848338150540661</v>
      </c>
      <c r="U23" s="17">
        <v>15</v>
      </c>
      <c r="V23" s="17">
        <f t="shared" si="0"/>
        <v>0.88252130422428987</v>
      </c>
      <c r="W23" s="17">
        <f t="shared" si="1"/>
        <v>0.9145793482685689</v>
      </c>
      <c r="X23" s="17">
        <f t="shared" si="5"/>
        <v>0.91457934826856901</v>
      </c>
      <c r="Y23" s="17">
        <f t="shared" si="6"/>
        <v>0.91457934992048329</v>
      </c>
    </row>
    <row r="24" spans="1:31" x14ac:dyDescent="0.25">
      <c r="A24" s="17">
        <v>800</v>
      </c>
      <c r="B24" s="17">
        <f t="shared" si="2"/>
        <v>0.9861581550781513</v>
      </c>
      <c r="C24" s="17">
        <f t="shared" si="3"/>
        <v>0.99311520810800169</v>
      </c>
      <c r="E24" s="17">
        <v>3500</v>
      </c>
      <c r="F24" s="17">
        <f>C78</f>
        <v>0.6989837761043064</v>
      </c>
      <c r="G24" s="17">
        <f t="shared" si="4"/>
        <v>0.7035794335890142</v>
      </c>
      <c r="U24" s="17">
        <v>16</v>
      </c>
      <c r="V24" s="17">
        <f t="shared" si="0"/>
        <v>0.85993040545026822</v>
      </c>
      <c r="W24" s="17">
        <f t="shared" si="1"/>
        <v>0.89779032455685648</v>
      </c>
      <c r="X24" s="17">
        <f t="shared" si="5"/>
        <v>0.8977903245568567</v>
      </c>
      <c r="Y24" s="17">
        <f t="shared" si="6"/>
        <v>0.89779032657656699</v>
      </c>
    </row>
    <row r="25" spans="1:31" x14ac:dyDescent="0.25">
      <c r="A25" s="17">
        <v>850</v>
      </c>
      <c r="B25" s="17">
        <f t="shared" si="2"/>
        <v>0.99082143370008913</v>
      </c>
      <c r="C25" s="17">
        <f t="shared" si="3"/>
        <v>0.99544008744405432</v>
      </c>
      <c r="E25" s="17">
        <v>3750</v>
      </c>
      <c r="F25" s="17">
        <f>C83</f>
        <v>0.66209904961532229</v>
      </c>
      <c r="G25" s="17">
        <f t="shared" si="4"/>
        <v>0.65866101360137153</v>
      </c>
      <c r="M25" s="107"/>
      <c r="U25" s="17">
        <v>17</v>
      </c>
      <c r="V25" s="17">
        <f t="shared" si="0"/>
        <v>0.83585161167810929</v>
      </c>
      <c r="W25" s="17">
        <f t="shared" si="1"/>
        <v>0.87975624575928379</v>
      </c>
      <c r="X25" s="17">
        <f t="shared" si="5"/>
        <v>0.87975624575928402</v>
      </c>
      <c r="Y25" s="17">
        <f t="shared" si="6"/>
        <v>0.87975624820157539</v>
      </c>
      <c r="AE25" s="17" t="s">
        <v>169</v>
      </c>
    </row>
    <row r="26" spans="1:31" x14ac:dyDescent="0.25">
      <c r="A26" s="17">
        <v>900</v>
      </c>
      <c r="B26" s="17">
        <f t="shared" si="2"/>
        <v>0.99451144363248423</v>
      </c>
      <c r="C26" s="17">
        <f t="shared" si="3"/>
        <v>0.99727583486899207</v>
      </c>
      <c r="E26" s="17">
        <v>4000</v>
      </c>
      <c r="F26" s="17">
        <f>C88</f>
        <v>0.63341309884799035</v>
      </c>
      <c r="G26" s="17">
        <f t="shared" si="4"/>
        <v>0.61462111747997927</v>
      </c>
      <c r="L26" s="107"/>
      <c r="U26" s="17">
        <v>18</v>
      </c>
      <c r="V26" s="17">
        <f t="shared" si="0"/>
        <v>0.8104129649165116</v>
      </c>
      <c r="W26" s="17">
        <f t="shared" si="1"/>
        <v>0.86054175408878542</v>
      </c>
      <c r="X26" s="17">
        <f t="shared" si="5"/>
        <v>0.86054175408878575</v>
      </c>
      <c r="Y26" s="17">
        <f t="shared" si="6"/>
        <v>0.86054175701361546</v>
      </c>
    </row>
    <row r="27" spans="1:31" x14ac:dyDescent="0.25">
      <c r="A27" s="17">
        <v>950</v>
      </c>
      <c r="B27" s="17">
        <f t="shared" si="2"/>
        <v>0.99725399874609555</v>
      </c>
      <c r="C27" s="17">
        <f t="shared" si="3"/>
        <v>0.99863800742736253</v>
      </c>
      <c r="E27" s="17">
        <v>5000</v>
      </c>
      <c r="F27" s="17">
        <v>0.45</v>
      </c>
      <c r="G27" s="17">
        <f t="shared" si="4"/>
        <v>0.46451606540690893</v>
      </c>
      <c r="L27" s="107"/>
      <c r="M27" s="107"/>
      <c r="N27" s="107"/>
      <c r="U27" s="17">
        <v>19</v>
      </c>
      <c r="V27" s="17">
        <f t="shared" si="0"/>
        <v>0.78374470741871494</v>
      </c>
      <c r="W27" s="17">
        <f t="shared" si="1"/>
        <v>0.84021262459840507</v>
      </c>
      <c r="X27" s="17">
        <f t="shared" si="5"/>
        <v>0.8402126245984054</v>
      </c>
      <c r="Y27" s="17">
        <f t="shared" si="6"/>
        <v>0.84021262807131036</v>
      </c>
      <c r="Z27" s="107"/>
    </row>
    <row r="28" spans="1:31" x14ac:dyDescent="0.25">
      <c r="A28" s="17">
        <v>1000</v>
      </c>
      <c r="B28" s="17">
        <f t="shared" si="2"/>
        <v>0.99907491291168182</v>
      </c>
      <c r="C28" s="17">
        <f t="shared" si="3"/>
        <v>0.99954137584142799</v>
      </c>
      <c r="E28" s="17">
        <v>6000</v>
      </c>
      <c r="F28" s="17">
        <v>0.4</v>
      </c>
      <c r="G28" s="17">
        <f t="shared" si="4"/>
        <v>0.39551957019383943</v>
      </c>
      <c r="H28" s="17" t="s">
        <v>170</v>
      </c>
      <c r="L28" s="107"/>
      <c r="M28" s="107"/>
      <c r="N28" s="107"/>
      <c r="U28" s="17">
        <v>20</v>
      </c>
      <c r="V28" s="17">
        <f t="shared" si="0"/>
        <v>0.75597928168249917</v>
      </c>
      <c r="W28" s="17">
        <f t="shared" si="1"/>
        <v>0.81883607405073344</v>
      </c>
      <c r="X28" s="17">
        <f t="shared" si="5"/>
        <v>0.81883607405073389</v>
      </c>
      <c r="Y28" s="17">
        <f t="shared" si="6"/>
        <v>0.81883607814328951</v>
      </c>
    </row>
    <row r="29" spans="1:31" x14ac:dyDescent="0.25">
      <c r="A29" s="17">
        <v>1050</v>
      </c>
      <c r="B29" s="17">
        <f t="shared" si="2"/>
        <v>1.0000000000000024</v>
      </c>
      <c r="C29" s="17">
        <f t="shared" si="3"/>
        <v>1.0000000000000011</v>
      </c>
      <c r="D29" s="17">
        <v>1.0433324546170399</v>
      </c>
      <c r="E29" s="17">
        <v>7000</v>
      </c>
      <c r="G29" s="17">
        <f t="shared" si="4"/>
        <v>0.45668337184076968</v>
      </c>
      <c r="M29" s="107"/>
      <c r="N29" s="107"/>
      <c r="Q29" s="95"/>
      <c r="U29" s="17">
        <v>21</v>
      </c>
      <c r="V29" s="17">
        <f t="shared" si="0"/>
        <v>0.72725133045018586</v>
      </c>
      <c r="W29" s="17">
        <f t="shared" si="1"/>
        <v>0.79648109049533788</v>
      </c>
      <c r="X29" s="17">
        <f t="shared" si="5"/>
        <v>0.79648109049533855</v>
      </c>
      <c r="Y29" s="17">
        <f t="shared" si="6"/>
        <v>0.79648109528567868</v>
      </c>
    </row>
    <row r="30" spans="1:31" x14ac:dyDescent="0.25">
      <c r="A30" s="17">
        <v>1100</v>
      </c>
      <c r="B30" s="17">
        <f t="shared" si="2"/>
        <v>1.0000550738818161</v>
      </c>
      <c r="C30" s="17">
        <f t="shared" si="3"/>
        <v>1.0000272968551853</v>
      </c>
      <c r="E30" s="17">
        <v>8000</v>
      </c>
      <c r="G30" s="17">
        <f t="shared" si="4"/>
        <v>0.69273921034769947</v>
      </c>
      <c r="L30" s="107"/>
      <c r="M30" s="107"/>
      <c r="N30" s="107"/>
      <c r="O30" s="107"/>
      <c r="Q30" s="107"/>
      <c r="U30" s="17">
        <v>22</v>
      </c>
      <c r="V30" s="17">
        <f t="shared" si="0"/>
        <v>0.69769769670863724</v>
      </c>
      <c r="W30" s="17">
        <f t="shared" si="1"/>
        <v>0.77321879037179253</v>
      </c>
      <c r="X30" s="17">
        <f t="shared" si="5"/>
        <v>0.7732187903717932</v>
      </c>
      <c r="Y30" s="17">
        <f t="shared" si="6"/>
        <v>0.77321879594519916</v>
      </c>
    </row>
    <row r="31" spans="1:31" x14ac:dyDescent="0.25">
      <c r="A31" s="17">
        <v>1150</v>
      </c>
      <c r="B31" s="17">
        <f t="shared" si="2"/>
        <v>0.99926594842788219</v>
      </c>
      <c r="C31" s="17">
        <f t="shared" si="3"/>
        <v>0.99963610176708873</v>
      </c>
      <c r="G31" s="17">
        <f t="shared" si="4"/>
        <v>0.89389209437225903</v>
      </c>
      <c r="L31" s="107"/>
      <c r="M31" s="107"/>
      <c r="N31" s="107"/>
      <c r="O31" s="107"/>
      <c r="Q31" s="107"/>
      <c r="U31" s="17">
        <v>23</v>
      </c>
      <c r="V31" s="17">
        <f t="shared" si="0"/>
        <v>0.66745742368925609</v>
      </c>
      <c r="W31" s="17">
        <f t="shared" si="1"/>
        <v>0.74912281094202993</v>
      </c>
      <c r="X31" s="17">
        <f t="shared" si="5"/>
        <v>0.74912281094203059</v>
      </c>
      <c r="Y31" s="17">
        <f t="shared" si="6"/>
        <v>0.74912281739159647</v>
      </c>
    </row>
    <row r="32" spans="1:31" x14ac:dyDescent="0.25">
      <c r="A32" s="17">
        <v>1200</v>
      </c>
      <c r="B32" s="17">
        <f t="shared" si="2"/>
        <v>0.99765843750895944</v>
      </c>
      <c r="C32" s="17">
        <f t="shared" si="3"/>
        <v>0.99883872418275599</v>
      </c>
      <c r="E32" s="17">
        <v>5400</v>
      </c>
      <c r="G32" s="17">
        <f t="shared" si="4"/>
        <v>0.42434077505848111</v>
      </c>
      <c r="L32" s="107"/>
      <c r="M32" s="107"/>
      <c r="N32" s="107"/>
      <c r="O32" s="107"/>
      <c r="Q32" s="107"/>
      <c r="U32" s="17">
        <v>24</v>
      </c>
      <c r="V32" s="17">
        <f t="shared" si="0"/>
        <v>0.63667175486798644</v>
      </c>
      <c r="W32" s="17">
        <f t="shared" si="1"/>
        <v>0.72426974714344494</v>
      </c>
    </row>
    <row r="33" spans="1:23" x14ac:dyDescent="0.25">
      <c r="A33" s="17">
        <v>1250</v>
      </c>
      <c r="B33" s="17">
        <f t="shared" si="2"/>
        <v>0.99525835499580717</v>
      </c>
      <c r="C33" s="17">
        <f t="shared" si="3"/>
        <v>0.99764699840843041</v>
      </c>
      <c r="L33" s="107"/>
      <c r="M33" s="107"/>
      <c r="N33" s="107"/>
      <c r="O33" s="107"/>
      <c r="Q33" s="107"/>
      <c r="U33" s="17">
        <v>25</v>
      </c>
      <c r="V33" s="17">
        <f t="shared" si="0"/>
        <v>0.60548413396531264</v>
      </c>
      <c r="W33" s="17">
        <f t="shared" si="1"/>
        <v>0.69873964359738849</v>
      </c>
    </row>
    <row r="34" spans="1:23" x14ac:dyDescent="0.25">
      <c r="A34" s="17">
        <v>1300</v>
      </c>
      <c r="B34" s="17">
        <f t="shared" si="2"/>
        <v>0.99209151475918411</v>
      </c>
      <c r="C34" s="17">
        <f t="shared" si="3"/>
        <v>0.99607233012876761</v>
      </c>
      <c r="L34" s="107"/>
      <c r="M34" s="107"/>
      <c r="N34" s="107"/>
      <c r="O34" s="107"/>
      <c r="Q34" s="107"/>
      <c r="U34" s="17">
        <v>26</v>
      </c>
      <c r="V34" s="17">
        <f t="shared" si="0"/>
        <v>0.57404020494626085</v>
      </c>
      <c r="W34" s="17">
        <f t="shared" si="1"/>
        <v>0.67261655457017744</v>
      </c>
    </row>
    <row r="35" spans="1:23" x14ac:dyDescent="0.25">
      <c r="A35" s="17">
        <v>1350</v>
      </c>
      <c r="B35" s="17">
        <f t="shared" si="2"/>
        <v>0.98818373066984933</v>
      </c>
      <c r="C35" s="17">
        <f t="shared" si="3"/>
        <v>0.99412573923877978</v>
      </c>
      <c r="L35" s="107"/>
      <c r="M35" s="107"/>
      <c r="N35" s="107"/>
      <c r="O35" s="107"/>
      <c r="Q35" s="107"/>
      <c r="U35" s="17">
        <v>27</v>
      </c>
      <c r="V35" s="17">
        <f t="shared" si="0"/>
        <v>0.54248781202039753</v>
      </c>
      <c r="W35" s="17">
        <f t="shared" si="1"/>
        <v>0.64598918723537258</v>
      </c>
    </row>
    <row r="36" spans="1:23" x14ac:dyDescent="0.25">
      <c r="A36" s="17">
        <v>1400</v>
      </c>
      <c r="B36" s="17">
        <f t="shared" si="2"/>
        <v>0.98356081659856176</v>
      </c>
      <c r="C36" s="17">
        <f t="shared" si="3"/>
        <v>0.99181789948088539</v>
      </c>
      <c r="L36" s="107"/>
      <c r="M36" s="107"/>
      <c r="N36" s="107"/>
      <c r="O36" s="107"/>
      <c r="Q36" s="107"/>
      <c r="U36" s="17">
        <v>28</v>
      </c>
      <c r="V36" s="17">
        <f t="shared" si="0"/>
        <v>0.52671775828470246</v>
      </c>
      <c r="W36" s="17">
        <f t="shared" si="1"/>
        <v>0.63251558518227935</v>
      </c>
    </row>
    <row r="37" spans="1:23" x14ac:dyDescent="0.25">
      <c r="A37" s="17">
        <v>1450</v>
      </c>
      <c r="B37" s="17">
        <f t="shared" si="2"/>
        <v>0.9782485864160807</v>
      </c>
      <c r="C37" s="17">
        <f t="shared" si="3"/>
        <v>0.98915917531795461</v>
      </c>
      <c r="L37" s="107"/>
      <c r="M37" s="107"/>
      <c r="N37" s="107"/>
      <c r="O37" s="107"/>
      <c r="Q37" s="107"/>
      <c r="U37" s="17">
        <v>29</v>
      </c>
      <c r="V37" s="17">
        <f t="shared" si="0"/>
        <v>0.52671775828470246</v>
      </c>
      <c r="W37" s="17">
        <f t="shared" si="1"/>
        <v>0.63251558518227935</v>
      </c>
    </row>
    <row r="38" spans="1:23" x14ac:dyDescent="0.25">
      <c r="A38" s="17">
        <v>1500</v>
      </c>
      <c r="B38" s="17">
        <f t="shared" si="2"/>
        <v>0.97227285399316488</v>
      </c>
      <c r="C38" s="17">
        <f t="shared" si="3"/>
        <v>0.98615965642159631</v>
      </c>
      <c r="L38" s="107"/>
      <c r="M38" s="107"/>
      <c r="N38" s="107"/>
      <c r="O38" s="107"/>
      <c r="Q38" s="107"/>
      <c r="U38" s="17">
        <v>30</v>
      </c>
      <c r="V38" s="17">
        <f t="shared" si="0"/>
        <v>0.52671775828470246</v>
      </c>
      <c r="W38" s="17">
        <f t="shared" si="1"/>
        <v>0.63251558518227935</v>
      </c>
    </row>
    <row r="39" spans="1:23" x14ac:dyDescent="0.25">
      <c r="A39" s="17">
        <v>1550</v>
      </c>
      <c r="B39" s="17">
        <f t="shared" si="2"/>
        <v>0.96565943320057379</v>
      </c>
      <c r="C39" s="17">
        <f t="shared" si="3"/>
        <v>0.98282919011149117</v>
      </c>
      <c r="L39" s="107"/>
      <c r="M39" s="107"/>
      <c r="N39" s="107"/>
      <c r="O39" s="107"/>
      <c r="Q39" s="107"/>
      <c r="U39" s="17">
        <v>31</v>
      </c>
      <c r="V39" s="17">
        <f t="shared" si="0"/>
        <v>0.52671775828470246</v>
      </c>
      <c r="W39" s="17">
        <f t="shared" si="1"/>
        <v>0.63251558518227935</v>
      </c>
    </row>
    <row r="40" spans="1:23" x14ac:dyDescent="0.25">
      <c r="A40" s="17">
        <v>1600</v>
      </c>
      <c r="B40" s="17">
        <f t="shared" si="2"/>
        <v>0.95843413790906584</v>
      </c>
      <c r="C40" s="17">
        <f t="shared" si="3"/>
        <v>0.97917741204497033</v>
      </c>
      <c r="L40" s="107"/>
      <c r="M40" s="107"/>
      <c r="N40" s="107"/>
      <c r="O40" s="107"/>
      <c r="Q40" s="107"/>
      <c r="U40" s="17">
        <v>32</v>
      </c>
      <c r="V40" s="17">
        <f t="shared" si="0"/>
        <v>0.52671775828470246</v>
      </c>
      <c r="W40" s="17">
        <f t="shared" si="1"/>
        <v>0.63251558518227935</v>
      </c>
    </row>
    <row r="41" spans="1:23" x14ac:dyDescent="0.25">
      <c r="A41" s="17">
        <v>1650</v>
      </c>
      <c r="B41" s="17">
        <f t="shared" si="2"/>
        <v>0.95062278198940042</v>
      </c>
      <c r="C41" s="17">
        <f t="shared" si="3"/>
        <v>0.97521377542518517</v>
      </c>
      <c r="L41" s="107"/>
      <c r="M41" s="107"/>
      <c r="N41" s="107"/>
      <c r="O41" s="107"/>
      <c r="Q41" s="107"/>
      <c r="U41" s="17">
        <v>33</v>
      </c>
      <c r="V41" s="17">
        <f t="shared" si="0"/>
        <v>0.52671775828470246</v>
      </c>
      <c r="W41" s="17">
        <f t="shared" si="1"/>
        <v>0.63251558518227935</v>
      </c>
    </row>
    <row r="42" spans="1:23" x14ac:dyDescent="0.25">
      <c r="A42" s="17">
        <v>1700</v>
      </c>
      <c r="B42" s="17">
        <f t="shared" si="2"/>
        <v>0.94225117931233648</v>
      </c>
      <c r="C42" s="17">
        <f t="shared" si="3"/>
        <v>0.97094757897018624</v>
      </c>
      <c r="L42" s="107"/>
      <c r="M42" s="107"/>
      <c r="N42" s="107"/>
      <c r="O42" s="107"/>
      <c r="Q42" s="107"/>
    </row>
    <row r="43" spans="1:23" x14ac:dyDescent="0.25">
      <c r="A43" s="17">
        <v>1750</v>
      </c>
      <c r="B43" s="17">
        <f t="shared" si="2"/>
        <v>0.93334514374863298</v>
      </c>
      <c r="C43" s="17">
        <f t="shared" si="3"/>
        <v>0.96638799386329832</v>
      </c>
      <c r="L43" s="107"/>
      <c r="M43" s="107"/>
      <c r="N43" s="107"/>
      <c r="O43" s="107"/>
      <c r="Q43" s="107"/>
    </row>
    <row r="44" spans="1:23" x14ac:dyDescent="0.25">
      <c r="A44" s="17">
        <v>1800</v>
      </c>
      <c r="B44" s="17">
        <f t="shared" si="2"/>
        <v>0.92393048916904896</v>
      </c>
      <c r="C44" s="17">
        <f t="shared" si="3"/>
        <v>0.96154408988670292</v>
      </c>
      <c r="L44" s="107"/>
      <c r="M44" s="107"/>
      <c r="N44" s="107"/>
      <c r="O44" s="107"/>
      <c r="Q44" s="107"/>
    </row>
    <row r="45" spans="1:23" x14ac:dyDescent="0.25">
      <c r="A45" s="17">
        <v>1850</v>
      </c>
      <c r="B45" s="17">
        <f t="shared" si="2"/>
        <v>0.91403302944434373</v>
      </c>
      <c r="C45" s="17">
        <f t="shared" si="3"/>
        <v>0.95642486092460666</v>
      </c>
      <c r="L45" s="107"/>
      <c r="M45" s="107"/>
      <c r="N45" s="107"/>
      <c r="O45" s="107"/>
      <c r="Q45" s="107"/>
    </row>
    <row r="46" spans="1:23" x14ac:dyDescent="0.25">
      <c r="A46" s="17">
        <v>1900</v>
      </c>
      <c r="B46" s="17">
        <f t="shared" si="2"/>
        <v>0.90367857844527588</v>
      </c>
      <c r="C46" s="17">
        <f t="shared" si="3"/>
        <v>0.95103925000933021</v>
      </c>
      <c r="L46" s="107"/>
      <c r="M46" s="107"/>
      <c r="N46" s="107"/>
      <c r="O46" s="107"/>
      <c r="P46" s="95"/>
      <c r="Q46" s="107"/>
    </row>
    <row r="47" spans="1:23" x14ac:dyDescent="0.25">
      <c r="A47" s="17">
        <v>1950</v>
      </c>
      <c r="B47" s="17">
        <f t="shared" si="2"/>
        <v>0.89289295004260449</v>
      </c>
      <c r="C47" s="17">
        <f t="shared" si="3"/>
        <v>0.94539617407271848</v>
      </c>
      <c r="L47" s="107"/>
      <c r="M47" s="107"/>
      <c r="N47" s="107"/>
      <c r="O47" s="107"/>
      <c r="Q47" s="107"/>
    </row>
    <row r="48" spans="1:23" x14ac:dyDescent="0.25">
      <c r="A48" s="17">
        <v>2000</v>
      </c>
      <c r="B48" s="17">
        <f t="shared" si="2"/>
        <v>0.88170195810708885</v>
      </c>
      <c r="C48" s="17">
        <f t="shared" si="3"/>
        <v>0.93950454855611376</v>
      </c>
      <c r="L48" s="107"/>
      <c r="M48" s="107"/>
      <c r="N48" s="107"/>
      <c r="O48" s="107"/>
      <c r="Q48" s="107"/>
    </row>
    <row r="49" spans="1:40" x14ac:dyDescent="0.25">
      <c r="A49" s="17">
        <v>2050</v>
      </c>
      <c r="B49" s="17">
        <f t="shared" si="2"/>
        <v>0.87013141650948789</v>
      </c>
      <c r="C49" s="17">
        <f t="shared" si="3"/>
        <v>0.93337331202443685</v>
      </c>
      <c r="L49" s="107"/>
      <c r="M49" s="107"/>
      <c r="N49" s="107"/>
      <c r="O49" s="107"/>
      <c r="Q49" s="107"/>
    </row>
    <row r="50" spans="1:40" x14ac:dyDescent="0.25">
      <c r="A50" s="17">
        <v>2100</v>
      </c>
      <c r="B50" s="17">
        <f t="shared" si="2"/>
        <v>0.85820713912056057</v>
      </c>
      <c r="C50" s="17">
        <f t="shared" si="3"/>
        <v>0.92701145092342907</v>
      </c>
      <c r="L50" s="107"/>
      <c r="M50" s="107"/>
      <c r="N50" s="107"/>
      <c r="O50" s="107"/>
      <c r="Q50" s="107"/>
    </row>
    <row r="51" spans="1:40" x14ac:dyDescent="0.25">
      <c r="A51" s="17">
        <v>2150</v>
      </c>
      <c r="B51" s="17">
        <f t="shared" si="2"/>
        <v>0.84595493981106562</v>
      </c>
      <c r="C51" s="17">
        <f t="shared" si="3"/>
        <v>0.9204280246135359</v>
      </c>
      <c r="L51" s="107"/>
      <c r="M51" s="107"/>
      <c r="N51" s="107"/>
      <c r="O51" s="107"/>
      <c r="Q51" s="107"/>
    </row>
    <row r="52" spans="1:40" ht="109.5" customHeight="1" x14ac:dyDescent="0.25">
      <c r="A52" s="17">
        <v>2200</v>
      </c>
      <c r="B52" s="17">
        <f t="shared" si="2"/>
        <v>0.83340063245176266</v>
      </c>
      <c r="C52" s="17">
        <f t="shared" si="3"/>
        <v>0.91363219080902014</v>
      </c>
      <c r="L52" s="107"/>
      <c r="M52" s="107"/>
      <c r="N52" s="107"/>
      <c r="O52" s="107"/>
      <c r="Q52" s="107"/>
      <c r="AE52" s="181" t="s">
        <v>309</v>
      </c>
      <c r="AF52" s="182"/>
      <c r="AG52" s="183"/>
      <c r="AI52" s="181" t="s">
        <v>308</v>
      </c>
      <c r="AJ52" s="182"/>
      <c r="AK52" s="182"/>
      <c r="AL52" s="182"/>
      <c r="AM52" s="182"/>
      <c r="AN52" s="183"/>
    </row>
    <row r="53" spans="1:40" x14ac:dyDescent="0.25">
      <c r="A53" s="17">
        <v>2250</v>
      </c>
      <c r="B53" s="17">
        <f t="shared" si="2"/>
        <v>0.82057003091341041</v>
      </c>
      <c r="C53" s="17">
        <f t="shared" si="3"/>
        <v>0.90663323154639996</v>
      </c>
      <c r="L53" s="107"/>
      <c r="M53" s="107"/>
      <c r="N53" s="107"/>
      <c r="O53" s="107"/>
      <c r="Q53" s="107"/>
    </row>
    <row r="54" spans="1:40" x14ac:dyDescent="0.25">
      <c r="A54" s="17">
        <v>2300</v>
      </c>
      <c r="B54" s="17">
        <f t="shared" si="2"/>
        <v>0.8074889490667676</v>
      </c>
      <c r="C54" s="17">
        <f t="shared" si="3"/>
        <v>0.89944057980196068</v>
      </c>
      <c r="L54" s="107"/>
      <c r="M54" s="107"/>
      <c r="N54" s="107"/>
      <c r="O54" s="107"/>
      <c r="Q54" s="107"/>
    </row>
    <row r="55" spans="1:40" x14ac:dyDescent="0.25">
      <c r="A55" s="17">
        <v>2350</v>
      </c>
      <c r="B55" s="17">
        <f t="shared" si="2"/>
        <v>0.79418320078259375</v>
      </c>
      <c r="C55" s="17">
        <f t="shared" si="3"/>
        <v>0.89206384687356399</v>
      </c>
      <c r="L55" s="107"/>
      <c r="M55" s="107"/>
      <c r="N55" s="107"/>
      <c r="O55" s="107"/>
      <c r="Q55" s="107"/>
    </row>
    <row r="56" spans="1:40" x14ac:dyDescent="0.25">
      <c r="A56" s="17">
        <v>2400</v>
      </c>
      <c r="B56" s="17">
        <f t="shared" si="2"/>
        <v>0.78067859993164779</v>
      </c>
      <c r="C56" s="17">
        <f t="shared" si="3"/>
        <v>0.8845128506369665</v>
      </c>
      <c r="L56" s="107"/>
      <c r="M56" s="107"/>
      <c r="N56" s="107"/>
      <c r="O56" s="107"/>
      <c r="Q56" s="107"/>
    </row>
    <row r="57" spans="1:40" x14ac:dyDescent="0.25">
      <c r="A57" s="17">
        <v>2450</v>
      </c>
      <c r="B57" s="17">
        <f t="shared" si="2"/>
        <v>0.76700096038468846</v>
      </c>
      <c r="C57" s="17">
        <f t="shared" si="3"/>
        <v>0.87679764478098043</v>
      </c>
      <c r="L57" s="107"/>
      <c r="M57" s="107"/>
      <c r="N57" s="107"/>
      <c r="O57" s="107"/>
      <c r="Q57" s="107"/>
    </row>
    <row r="58" spans="1:40" x14ac:dyDescent="0.25">
      <c r="A58" s="17">
        <v>2500</v>
      </c>
      <c r="B58" s="17">
        <f t="shared" si="2"/>
        <v>0.75317609601247471</v>
      </c>
      <c r="C58" s="17">
        <f t="shared" si="3"/>
        <v>0.86892854911863371</v>
      </c>
      <c r="L58" s="107"/>
      <c r="M58" s="107"/>
      <c r="N58" s="107"/>
      <c r="O58" s="107"/>
      <c r="Q58" s="107"/>
    </row>
    <row r="59" spans="1:40" x14ac:dyDescent="0.25">
      <c r="A59" s="17">
        <v>2550</v>
      </c>
      <c r="B59" s="17">
        <f t="shared" si="2"/>
        <v>0.73922982068576626</v>
      </c>
      <c r="C59" s="17">
        <f t="shared" si="3"/>
        <v>0.86091618106252821</v>
      </c>
      <c r="L59" s="107"/>
      <c r="M59" s="107"/>
      <c r="N59" s="107"/>
      <c r="O59" s="107"/>
      <c r="Q59" s="107"/>
    </row>
    <row r="60" spans="1:40" x14ac:dyDescent="0.25">
      <c r="A60" s="17">
        <v>2600</v>
      </c>
      <c r="B60" s="17">
        <f t="shared" si="2"/>
        <v>0.7251879482753214</v>
      </c>
      <c r="C60" s="17">
        <f t="shared" si="3"/>
        <v>0.85277148834129213</v>
      </c>
      <c r="L60" s="107"/>
      <c r="M60" s="107"/>
      <c r="N60" s="107"/>
      <c r="O60" s="107"/>
      <c r="Q60" s="107"/>
    </row>
    <row r="61" spans="1:40" x14ac:dyDescent="0.25">
      <c r="A61" s="17">
        <v>2650</v>
      </c>
      <c r="B61" s="17">
        <f t="shared" si="2"/>
        <v>0.71107629265189942</v>
      </c>
      <c r="C61" s="17">
        <f t="shared" si="3"/>
        <v>0.84450578301971591</v>
      </c>
      <c r="L61" s="107"/>
      <c r="M61" s="107"/>
      <c r="N61" s="107"/>
      <c r="O61" s="107"/>
      <c r="Q61" s="107"/>
    </row>
    <row r="62" spans="1:40" x14ac:dyDescent="0.25">
      <c r="A62" s="17">
        <v>2700</v>
      </c>
      <c r="B62" s="17">
        <f t="shared" si="2"/>
        <v>0.69692066768625904</v>
      </c>
      <c r="C62" s="17">
        <f t="shared" si="3"/>
        <v>0.83613077686708337</v>
      </c>
      <c r="L62" s="107"/>
      <c r="M62" s="107"/>
      <c r="N62" s="107"/>
      <c r="O62" s="107"/>
      <c r="Q62" s="107"/>
    </row>
    <row r="63" spans="1:40" x14ac:dyDescent="0.25">
      <c r="A63" s="17">
        <v>2750</v>
      </c>
      <c r="B63" s="17">
        <f t="shared" si="2"/>
        <v>0.68274688724915988</v>
      </c>
      <c r="C63" s="17">
        <f t="shared" si="3"/>
        <v>0.82765861809552432</v>
      </c>
      <c r="L63" s="107"/>
      <c r="M63" s="107"/>
      <c r="N63" s="107"/>
      <c r="O63" s="107"/>
      <c r="Q63" s="107"/>
    </row>
    <row r="64" spans="1:40" x14ac:dyDescent="0.25">
      <c r="A64" s="17">
        <v>2800</v>
      </c>
      <c r="B64" s="17">
        <f t="shared" si="2"/>
        <v>0.66858076521136067</v>
      </c>
      <c r="C64" s="17">
        <f t="shared" si="3"/>
        <v>0.81910192946188676</v>
      </c>
      <c r="L64" s="107"/>
      <c r="M64" s="107"/>
      <c r="N64" s="107"/>
      <c r="O64" s="107"/>
      <c r="Q64" s="107"/>
    </row>
    <row r="65" spans="1:17" x14ac:dyDescent="0.25">
      <c r="A65" s="17">
        <v>2850</v>
      </c>
      <c r="B65" s="17">
        <f t="shared" si="2"/>
        <v>0.65444811544362058</v>
      </c>
      <c r="C65" s="17">
        <f t="shared" si="3"/>
        <v>0.81047384769158315</v>
      </c>
      <c r="L65" s="107"/>
      <c r="M65" s="107"/>
      <c r="N65" s="107"/>
      <c r="O65" s="107"/>
      <c r="Q65" s="107"/>
    </row>
    <row r="66" spans="1:17" x14ac:dyDescent="0.25">
      <c r="A66" s="17">
        <v>2900</v>
      </c>
      <c r="B66" s="17">
        <f t="shared" si="2"/>
        <v>0.64037475181669823</v>
      </c>
      <c r="C66" s="17">
        <f t="shared" si="3"/>
        <v>0.80178806413981707</v>
      </c>
      <c r="L66" s="107"/>
      <c r="M66" s="107"/>
      <c r="N66" s="107"/>
      <c r="O66" s="107"/>
      <c r="Q66" s="107"/>
    </row>
    <row r="67" spans="1:17" x14ac:dyDescent="0.25">
      <c r="A67" s="17">
        <v>2950</v>
      </c>
      <c r="B67" s="17">
        <f t="shared" si="2"/>
        <v>0.6263864882013529</v>
      </c>
      <c r="C67" s="17">
        <f t="shared" si="3"/>
        <v>0.79305886655320357</v>
      </c>
      <c r="L67" s="107"/>
      <c r="M67" s="107"/>
      <c r="N67" s="107"/>
      <c r="O67" s="107"/>
      <c r="Q67" s="107"/>
    </row>
    <row r="68" spans="1:17" x14ac:dyDescent="0.25">
      <c r="A68" s="17">
        <v>3000</v>
      </c>
      <c r="B68" s="17">
        <f t="shared" si="2"/>
        <v>0.61250913846834354</v>
      </c>
      <c r="C68" s="17">
        <f t="shared" si="3"/>
        <v>0.78430118173155872</v>
      </c>
      <c r="L68" s="107"/>
      <c r="M68" s="107"/>
      <c r="N68" s="107"/>
      <c r="O68" s="107"/>
      <c r="Q68" s="107"/>
    </row>
    <row r="69" spans="1:17" x14ac:dyDescent="0.25">
      <c r="A69" s="17">
        <v>3050</v>
      </c>
      <c r="B69" s="17">
        <f t="shared" si="2"/>
        <v>0.59876851648842955</v>
      </c>
      <c r="C69" s="17">
        <f t="shared" si="3"/>
        <v>0.77553061881403018</v>
      </c>
      <c r="L69" s="107"/>
      <c r="M69" s="107"/>
      <c r="N69" s="107"/>
      <c r="O69" s="107"/>
      <c r="Q69" s="107"/>
    </row>
    <row r="70" spans="1:17" x14ac:dyDescent="0.25">
      <c r="A70" s="17">
        <v>3100</v>
      </c>
      <c r="B70" s="17">
        <f t="shared" si="2"/>
        <v>0.58519043613236954</v>
      </c>
      <c r="C70" s="17">
        <f t="shared" si="3"/>
        <v>0.76676351282418742</v>
      </c>
      <c r="L70" s="107"/>
      <c r="M70" s="107"/>
      <c r="N70" s="107"/>
      <c r="O70" s="107"/>
      <c r="Q70" s="107"/>
    </row>
    <row r="71" spans="1:17" x14ac:dyDescent="0.25">
      <c r="A71" s="17">
        <v>3150</v>
      </c>
      <c r="B71" s="17">
        <f t="shared" si="2"/>
        <v>0.57180071127092247</v>
      </c>
      <c r="C71" s="17">
        <f t="shared" si="3"/>
        <v>0.75801696800372964</v>
      </c>
      <c r="L71" s="107"/>
      <c r="M71" s="107"/>
      <c r="N71" s="107"/>
      <c r="O71" s="107"/>
      <c r="Q71" s="107"/>
    </row>
    <row r="72" spans="1:17" x14ac:dyDescent="0.25">
      <c r="A72" s="17">
        <v>3200</v>
      </c>
      <c r="B72" s="17">
        <f t="shared" si="2"/>
        <v>0.55862515577484717</v>
      </c>
      <c r="C72" s="17">
        <f t="shared" si="3"/>
        <v>0.74930890034277875</v>
      </c>
      <c r="L72" s="107"/>
      <c r="M72" s="107"/>
      <c r="N72" s="107"/>
      <c r="O72" s="107"/>
      <c r="Q72" s="107"/>
    </row>
    <row r="73" spans="1:17" x14ac:dyDescent="0.25">
      <c r="A73" s="17">
        <v>3250</v>
      </c>
      <c r="B73" s="17">
        <f t="shared" si="2"/>
        <v>0.5456895835149036</v>
      </c>
      <c r="C73" s="17">
        <f t="shared" si="3"/>
        <v>0.74065807857540356</v>
      </c>
      <c r="L73" s="107"/>
      <c r="M73" s="107"/>
      <c r="N73" s="107"/>
      <c r="O73" s="107"/>
      <c r="Q73" s="107"/>
    </row>
    <row r="74" spans="1:17" x14ac:dyDescent="0.25">
      <c r="A74" s="17">
        <v>3300</v>
      </c>
      <c r="B74" s="17">
        <f t="shared" ref="B74:B98" si="7">(IF(A74&lt;$A$6,$B$6,IF(A74&gt;$A$7,$B$7,((0.000000000032989*A74^3-0.000000270691185*A74^2+0.000468652420503*A74+0.726630359723856)*1.04333245461704))))</f>
        <v>0.53301980836184981</v>
      </c>
      <c r="C74" s="17">
        <f t="shared" ref="C74:C98" si="8">EXP(LN(IF(A74&lt;$A$6,$B$6,IF(A74&gt;$A$7,$B$7,((0.000000000032989*A74^3-0.000000270691185*A74^2+0.000468652420503*A74+0.726630359723856)*1.04333245461704))))*$D$6)</f>
        <v>0.73208416275168464</v>
      </c>
      <c r="L74" s="107"/>
      <c r="M74" s="107"/>
      <c r="N74" s="107"/>
      <c r="O74" s="107"/>
      <c r="Q74" s="107"/>
    </row>
    <row r="75" spans="1:17" x14ac:dyDescent="0.25">
      <c r="A75" s="17">
        <v>3350</v>
      </c>
      <c r="B75" s="17">
        <f t="shared" si="7"/>
        <v>0.52064164418644532</v>
      </c>
      <c r="C75" s="17">
        <f t="shared" si="8"/>
        <v>0.72360773932282363</v>
      </c>
      <c r="L75" s="107"/>
      <c r="M75" s="107"/>
      <c r="N75" s="107"/>
      <c r="O75" s="107"/>
      <c r="Q75" s="107"/>
    </row>
    <row r="76" spans="1:17" x14ac:dyDescent="0.25">
      <c r="A76" s="17">
        <v>3400</v>
      </c>
      <c r="B76" s="17">
        <f t="shared" si="7"/>
        <v>0.50858090485944896</v>
      </c>
      <c r="C76" s="17">
        <f t="shared" si="8"/>
        <v>0.71525035148518334</v>
      </c>
      <c r="L76" s="107"/>
      <c r="M76" s="107"/>
      <c r="N76" s="107"/>
      <c r="O76" s="107"/>
      <c r="Q76" s="107"/>
    </row>
    <row r="77" spans="1:17" x14ac:dyDescent="0.25">
      <c r="A77" s="17">
        <v>3450</v>
      </c>
      <c r="B77" s="17">
        <f t="shared" si="7"/>
        <v>0.49686340425162007</v>
      </c>
      <c r="C77" s="17">
        <f t="shared" si="8"/>
        <v>0.70703452332611227</v>
      </c>
      <c r="L77" s="107"/>
      <c r="M77" s="107"/>
      <c r="N77" s="107"/>
      <c r="O77" s="107"/>
      <c r="Q77" s="107"/>
    </row>
    <row r="78" spans="1:17" x14ac:dyDescent="0.25">
      <c r="A78" s="17">
        <v>3500</v>
      </c>
      <c r="B78" s="17">
        <f t="shared" si="7"/>
        <v>0.48551495623371699</v>
      </c>
      <c r="C78" s="17">
        <f t="shared" si="8"/>
        <v>0.6989837761043064</v>
      </c>
      <c r="L78" s="107"/>
      <c r="M78" s="107"/>
      <c r="N78" s="107"/>
      <c r="O78" s="107"/>
      <c r="Q78" s="107"/>
    </row>
    <row r="79" spans="1:17" x14ac:dyDescent="0.25">
      <c r="A79" s="17">
        <v>3550</v>
      </c>
      <c r="B79" s="17">
        <f t="shared" si="7"/>
        <v>0.47456137467649934</v>
      </c>
      <c r="C79" s="17">
        <f t="shared" si="8"/>
        <v>0.69112263478833269</v>
      </c>
      <c r="L79" s="107"/>
      <c r="M79" s="107"/>
      <c r="N79" s="107"/>
      <c r="O79" s="107"/>
      <c r="Q79" s="107"/>
    </row>
    <row r="80" spans="1:17" x14ac:dyDescent="0.25">
      <c r="A80" s="17">
        <v>3600</v>
      </c>
      <c r="B80" s="17">
        <f t="shared" si="7"/>
        <v>0.46402847345072584</v>
      </c>
      <c r="C80" s="17">
        <f t="shared" si="8"/>
        <v>0.68347662277979826</v>
      </c>
      <c r="L80" s="107"/>
      <c r="M80" s="107"/>
      <c r="N80" s="107"/>
      <c r="O80" s="107"/>
      <c r="Q80" s="107"/>
    </row>
    <row r="81" spans="1:17" x14ac:dyDescent="0.25">
      <c r="A81" s="17">
        <v>3650</v>
      </c>
      <c r="B81" s="17">
        <f t="shared" si="7"/>
        <v>0.45394206642715584</v>
      </c>
      <c r="C81" s="17">
        <f t="shared" si="8"/>
        <v>0.67607224257708476</v>
      </c>
      <c r="L81" s="107"/>
      <c r="M81" s="107"/>
      <c r="N81" s="107"/>
      <c r="O81" s="107"/>
      <c r="Q81" s="107"/>
    </row>
    <row r="82" spans="1:17" x14ac:dyDescent="0.25">
      <c r="A82" s="17">
        <v>3700</v>
      </c>
      <c r="B82" s="17">
        <f t="shared" si="7"/>
        <v>0.4443279674765484</v>
      </c>
      <c r="C82" s="17">
        <f t="shared" si="8"/>
        <v>0.66893694000981641</v>
      </c>
      <c r="L82" s="107"/>
      <c r="M82" s="107"/>
      <c r="N82" s="107"/>
      <c r="O82" s="107"/>
      <c r="Q82" s="107"/>
    </row>
    <row r="83" spans="1:17" x14ac:dyDescent="0.25">
      <c r="A83" s="17">
        <v>3750</v>
      </c>
      <c r="B83" s="17">
        <f t="shared" si="7"/>
        <v>0.43521199046966164</v>
      </c>
      <c r="C83" s="17">
        <f t="shared" si="8"/>
        <v>0.66209904961532229</v>
      </c>
      <c r="L83" s="107"/>
      <c r="M83" s="107"/>
      <c r="N83" s="107"/>
      <c r="O83" s="107"/>
      <c r="Q83" s="107"/>
    </row>
    <row r="84" spans="1:17" x14ac:dyDescent="0.25">
      <c r="A84" s="17">
        <v>3800</v>
      </c>
      <c r="B84" s="17">
        <f t="shared" si="7"/>
        <v>0.42661994927725622</v>
      </c>
      <c r="C84" s="17">
        <f t="shared" si="8"/>
        <v>0.65558771876149879</v>
      </c>
      <c r="L84" s="107"/>
      <c r="M84" s="107"/>
      <c r="N84" s="107"/>
      <c r="O84" s="107"/>
      <c r="Q84" s="107"/>
    </row>
    <row r="85" spans="1:17" x14ac:dyDescent="0.25">
      <c r="A85" s="17">
        <v>3850</v>
      </c>
      <c r="B85" s="17">
        <f t="shared" si="7"/>
        <v>0.41857765777008871</v>
      </c>
      <c r="C85" s="17">
        <f t="shared" si="8"/>
        <v>0.64943280827309358</v>
      </c>
      <c r="L85" s="107"/>
      <c r="M85" s="107"/>
      <c r="N85" s="107"/>
      <c r="O85" s="107"/>
      <c r="Q85" s="107"/>
    </row>
    <row r="86" spans="1:17" x14ac:dyDescent="0.25">
      <c r="A86" s="17">
        <v>3900</v>
      </c>
      <c r="B86" s="17">
        <f t="shared" si="7"/>
        <v>0.41111092981892045</v>
      </c>
      <c r="C86" s="17">
        <f t="shared" si="8"/>
        <v>0.64366476761840707</v>
      </c>
      <c r="L86" s="107"/>
      <c r="M86" s="107"/>
      <c r="N86" s="107"/>
      <c r="O86" s="107"/>
      <c r="Q86" s="107"/>
    </row>
    <row r="87" spans="1:17" x14ac:dyDescent="0.25">
      <c r="A87" s="17">
        <v>3950</v>
      </c>
      <c r="B87" s="17">
        <f t="shared" si="7"/>
        <v>0.40424557929450999</v>
      </c>
      <c r="C87" s="17">
        <f t="shared" si="8"/>
        <v>0.63831448318618089</v>
      </c>
      <c r="L87" s="107"/>
      <c r="M87" s="107"/>
      <c r="N87" s="107"/>
      <c r="O87" s="107"/>
      <c r="Q87" s="107"/>
    </row>
    <row r="88" spans="1:17" x14ac:dyDescent="0.25">
      <c r="A88" s="17">
        <v>4000</v>
      </c>
      <c r="B88" s="17">
        <f t="shared" si="7"/>
        <v>0.39800742006761564</v>
      </c>
      <c r="C88" s="17">
        <f t="shared" si="8"/>
        <v>0.63341309884799035</v>
      </c>
      <c r="L88" s="107"/>
      <c r="M88" s="107"/>
      <c r="N88" s="107"/>
      <c r="O88" s="107"/>
      <c r="Q88" s="107"/>
    </row>
    <row r="89" spans="1:17" x14ac:dyDescent="0.25">
      <c r="A89" s="17">
        <v>4050</v>
      </c>
      <c r="B89" s="17">
        <f t="shared" si="7"/>
        <v>0.39800742006761564</v>
      </c>
      <c r="C89" s="17">
        <f t="shared" si="8"/>
        <v>0.63341309884799035</v>
      </c>
      <c r="L89" s="107"/>
      <c r="M89" s="107"/>
      <c r="N89" s="107"/>
      <c r="O89" s="107"/>
      <c r="Q89" s="107"/>
    </row>
    <row r="90" spans="1:17" x14ac:dyDescent="0.25">
      <c r="A90" s="17">
        <v>4100</v>
      </c>
      <c r="B90" s="17">
        <f t="shared" si="7"/>
        <v>0.39800742006761564</v>
      </c>
      <c r="C90" s="17">
        <f t="shared" si="8"/>
        <v>0.63341309884799035</v>
      </c>
      <c r="L90" s="107"/>
      <c r="M90" s="107"/>
      <c r="N90" s="107"/>
      <c r="O90" s="107"/>
      <c r="Q90" s="107"/>
    </row>
    <row r="91" spans="1:17" x14ac:dyDescent="0.25">
      <c r="A91" s="17">
        <v>4150</v>
      </c>
      <c r="B91" s="17">
        <f t="shared" si="7"/>
        <v>0.39800742006761564</v>
      </c>
      <c r="C91" s="17">
        <f t="shared" si="8"/>
        <v>0.63341309884799035</v>
      </c>
      <c r="L91" s="107"/>
      <c r="M91" s="107"/>
      <c r="N91" s="107"/>
      <c r="O91" s="107"/>
      <c r="Q91" s="107"/>
    </row>
    <row r="92" spans="1:17" x14ac:dyDescent="0.25">
      <c r="A92" s="17">
        <v>4200</v>
      </c>
      <c r="B92" s="17">
        <f t="shared" si="7"/>
        <v>0.39800742006761564</v>
      </c>
      <c r="C92" s="17">
        <f t="shared" si="8"/>
        <v>0.63341309884799035</v>
      </c>
      <c r="L92" s="107"/>
      <c r="M92" s="107"/>
      <c r="N92" s="107"/>
      <c r="O92" s="107"/>
      <c r="Q92" s="107"/>
    </row>
    <row r="93" spans="1:17" x14ac:dyDescent="0.25">
      <c r="A93" s="17">
        <v>4250</v>
      </c>
      <c r="B93" s="17">
        <f t="shared" si="7"/>
        <v>0.39800742006761564</v>
      </c>
      <c r="C93" s="17">
        <f t="shared" si="8"/>
        <v>0.63341309884799035</v>
      </c>
      <c r="L93" s="107"/>
      <c r="M93" s="107"/>
      <c r="N93" s="107"/>
      <c r="O93" s="107"/>
      <c r="Q93" s="107"/>
    </row>
    <row r="94" spans="1:17" x14ac:dyDescent="0.25">
      <c r="A94" s="17">
        <v>4300</v>
      </c>
      <c r="B94" s="17">
        <f t="shared" si="7"/>
        <v>0.39800742006761564</v>
      </c>
      <c r="C94" s="17">
        <f t="shared" si="8"/>
        <v>0.63341309884799035</v>
      </c>
      <c r="L94" s="107"/>
      <c r="M94" s="107"/>
      <c r="N94" s="107"/>
      <c r="O94" s="107"/>
      <c r="Q94" s="107"/>
    </row>
    <row r="95" spans="1:17" x14ac:dyDescent="0.25">
      <c r="A95" s="17">
        <v>4350</v>
      </c>
      <c r="B95" s="17">
        <f t="shared" si="7"/>
        <v>0.39800742006761564</v>
      </c>
      <c r="C95" s="17">
        <f t="shared" si="8"/>
        <v>0.63341309884799035</v>
      </c>
      <c r="L95" s="107"/>
      <c r="M95" s="107"/>
      <c r="N95" s="107"/>
      <c r="O95" s="107"/>
      <c r="Q95" s="107"/>
    </row>
    <row r="96" spans="1:17" x14ac:dyDescent="0.25">
      <c r="A96" s="17">
        <v>4400</v>
      </c>
      <c r="B96" s="17">
        <f t="shared" si="7"/>
        <v>0.39800742006761564</v>
      </c>
      <c r="C96" s="17">
        <f t="shared" si="8"/>
        <v>0.63341309884799035</v>
      </c>
      <c r="L96" s="107"/>
      <c r="M96" s="107"/>
      <c r="N96" s="107"/>
      <c r="O96" s="107"/>
      <c r="Q96" s="107"/>
    </row>
    <row r="97" spans="1:17" x14ac:dyDescent="0.25">
      <c r="A97" s="17">
        <v>4450</v>
      </c>
      <c r="B97" s="17">
        <f t="shared" si="7"/>
        <v>0.39800742006761564</v>
      </c>
      <c r="C97" s="17">
        <f t="shared" si="8"/>
        <v>0.63341309884799035</v>
      </c>
      <c r="L97" s="107"/>
      <c r="M97" s="107"/>
      <c r="N97" s="107"/>
      <c r="O97" s="107"/>
      <c r="Q97" s="107"/>
    </row>
    <row r="98" spans="1:17" x14ac:dyDescent="0.25">
      <c r="A98" s="17">
        <v>4500</v>
      </c>
      <c r="B98" s="17">
        <f t="shared" si="7"/>
        <v>0.39800742006761564</v>
      </c>
      <c r="C98" s="17">
        <f t="shared" si="8"/>
        <v>0.63341309884799035</v>
      </c>
      <c r="L98" s="107"/>
      <c r="M98" s="107"/>
      <c r="N98" s="107"/>
      <c r="O98" s="107"/>
      <c r="Q98" s="107"/>
    </row>
    <row r="99" spans="1:17" x14ac:dyDescent="0.25">
      <c r="L99" s="107"/>
      <c r="M99" s="107"/>
      <c r="N99" s="107"/>
      <c r="O99" s="107"/>
      <c r="Q99" s="107"/>
    </row>
    <row r="100" spans="1:17" x14ac:dyDescent="0.25">
      <c r="L100" s="107"/>
      <c r="M100" s="107"/>
      <c r="N100" s="107"/>
      <c r="O100" s="107"/>
      <c r="Q100" s="107"/>
    </row>
    <row r="101" spans="1:17" x14ac:dyDescent="0.25">
      <c r="Q101" s="107"/>
    </row>
    <row r="102" spans="1:17" x14ac:dyDescent="0.25">
      <c r="Q102" s="107"/>
    </row>
    <row r="103" spans="1:17" x14ac:dyDescent="0.25">
      <c r="Q103" s="107"/>
    </row>
    <row r="104" spans="1:17" x14ac:dyDescent="0.25">
      <c r="Q104" s="107"/>
    </row>
    <row r="105" spans="1:17" x14ac:dyDescent="0.25">
      <c r="Q105" s="107"/>
    </row>
    <row r="106" spans="1:17" x14ac:dyDescent="0.25">
      <c r="Q106" s="107"/>
    </row>
    <row r="107" spans="1:17" x14ac:dyDescent="0.25">
      <c r="Q107" s="107"/>
    </row>
    <row r="108" spans="1:17" x14ac:dyDescent="0.25">
      <c r="Q108" s="107"/>
    </row>
    <row r="109" spans="1:17" x14ac:dyDescent="0.25">
      <c r="Q109" s="107"/>
    </row>
    <row r="110" spans="1:17" x14ac:dyDescent="0.25">
      <c r="Q110" s="107"/>
    </row>
    <row r="111" spans="1:17" x14ac:dyDescent="0.25">
      <c r="Q111" s="107"/>
    </row>
    <row r="112" spans="1:17" x14ac:dyDescent="0.25">
      <c r="Q112" s="107"/>
    </row>
    <row r="113" spans="17:17" x14ac:dyDescent="0.25">
      <c r="Q113" s="107"/>
    </row>
    <row r="114" spans="17:17" x14ac:dyDescent="0.25">
      <c r="Q114" s="107"/>
    </row>
    <row r="115" spans="17:17" x14ac:dyDescent="0.25">
      <c r="Q115" s="107"/>
    </row>
    <row r="116" spans="17:17" x14ac:dyDescent="0.25">
      <c r="Q116" s="107"/>
    </row>
    <row r="117" spans="17:17" x14ac:dyDescent="0.25">
      <c r="Q117" s="107"/>
    </row>
    <row r="118" spans="17:17" x14ac:dyDescent="0.25">
      <c r="Q118" s="107"/>
    </row>
    <row r="119" spans="17:17" x14ac:dyDescent="0.25">
      <c r="Q119" s="107"/>
    </row>
    <row r="120" spans="17:17" x14ac:dyDescent="0.25">
      <c r="Q120" s="107"/>
    </row>
    <row r="121" spans="17:17" x14ac:dyDescent="0.25">
      <c r="Q121" s="107"/>
    </row>
    <row r="122" spans="17:17" x14ac:dyDescent="0.25">
      <c r="Q122" s="107"/>
    </row>
    <row r="123" spans="17:17" x14ac:dyDescent="0.25">
      <c r="Q123" s="107"/>
    </row>
    <row r="124" spans="17:17" x14ac:dyDescent="0.25">
      <c r="Q124" s="107"/>
    </row>
    <row r="125" spans="17:17" x14ac:dyDescent="0.25">
      <c r="Q125" s="107"/>
    </row>
    <row r="126" spans="17:17" x14ac:dyDescent="0.25">
      <c r="Q126" s="107"/>
    </row>
    <row r="127" spans="17:17" x14ac:dyDescent="0.25">
      <c r="Q127" s="107"/>
    </row>
    <row r="128" spans="17:17" x14ac:dyDescent="0.25">
      <c r="Q128" s="107"/>
    </row>
    <row r="129" spans="17:17" x14ac:dyDescent="0.25">
      <c r="Q129" s="107"/>
    </row>
    <row r="130" spans="17:17" x14ac:dyDescent="0.25">
      <c r="Q130" s="107"/>
    </row>
    <row r="131" spans="17:17" x14ac:dyDescent="0.25">
      <c r="Q131" s="107"/>
    </row>
    <row r="132" spans="17:17" x14ac:dyDescent="0.25">
      <c r="Q132" s="107"/>
    </row>
    <row r="133" spans="17:17" x14ac:dyDescent="0.25">
      <c r="Q133" s="107"/>
    </row>
    <row r="134" spans="17:17" x14ac:dyDescent="0.25">
      <c r="Q134" s="107"/>
    </row>
    <row r="135" spans="17:17" x14ac:dyDescent="0.25">
      <c r="Q135" s="107"/>
    </row>
    <row r="136" spans="17:17" x14ac:dyDescent="0.25">
      <c r="Q136" s="107"/>
    </row>
    <row r="137" spans="17:17" x14ac:dyDescent="0.25">
      <c r="Q137" s="107"/>
    </row>
    <row r="138" spans="17:17" x14ac:dyDescent="0.25">
      <c r="Q138" s="107"/>
    </row>
    <row r="139" spans="17:17" x14ac:dyDescent="0.25">
      <c r="Q139" s="107"/>
    </row>
    <row r="140" spans="17:17" x14ac:dyDescent="0.25">
      <c r="Q140" s="107"/>
    </row>
    <row r="141" spans="17:17" x14ac:dyDescent="0.25">
      <c r="Q141" s="107"/>
    </row>
    <row r="142" spans="17:17" x14ac:dyDescent="0.25">
      <c r="Q142" s="107"/>
    </row>
    <row r="143" spans="17:17" x14ac:dyDescent="0.25">
      <c r="Q143" s="107"/>
    </row>
    <row r="144" spans="17:17" x14ac:dyDescent="0.25">
      <c r="Q144" s="107"/>
    </row>
    <row r="145" spans="17:17" x14ac:dyDescent="0.25">
      <c r="Q145" s="107"/>
    </row>
    <row r="146" spans="17:17" x14ac:dyDescent="0.25">
      <c r="Q146" s="107"/>
    </row>
    <row r="147" spans="17:17" x14ac:dyDescent="0.25">
      <c r="Q147" s="107"/>
    </row>
    <row r="148" spans="17:17" x14ac:dyDescent="0.25">
      <c r="Q148" s="107"/>
    </row>
    <row r="149" spans="17:17" x14ac:dyDescent="0.25">
      <c r="Q149" s="107"/>
    </row>
    <row r="150" spans="17:17" x14ac:dyDescent="0.25">
      <c r="Q150" s="107"/>
    </row>
    <row r="151" spans="17:17" x14ac:dyDescent="0.25">
      <c r="Q151" s="107"/>
    </row>
    <row r="152" spans="17:17" x14ac:dyDescent="0.25">
      <c r="Q152" s="107"/>
    </row>
    <row r="153" spans="17:17" x14ac:dyDescent="0.25">
      <c r="Q153" s="107"/>
    </row>
    <row r="154" spans="17:17" x14ac:dyDescent="0.25">
      <c r="Q154" s="107"/>
    </row>
    <row r="155" spans="17:17" x14ac:dyDescent="0.25">
      <c r="Q155" s="107"/>
    </row>
    <row r="156" spans="17:17" x14ac:dyDescent="0.25">
      <c r="Q156" s="107"/>
    </row>
    <row r="157" spans="17:17" x14ac:dyDescent="0.25">
      <c r="Q157" s="107"/>
    </row>
    <row r="158" spans="17:17" x14ac:dyDescent="0.25">
      <c r="Q158" s="107"/>
    </row>
    <row r="159" spans="17:17" x14ac:dyDescent="0.25">
      <c r="Q159" s="107"/>
    </row>
    <row r="160" spans="17:17" x14ac:dyDescent="0.25">
      <c r="Q160" s="107"/>
    </row>
  </sheetData>
  <mergeCells count="2">
    <mergeCell ref="AE52:AG52"/>
    <mergeCell ref="AI52:AN5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расчетОО </vt:lpstr>
      <vt:lpstr>коэффициенты</vt:lpstr>
      <vt:lpstr>справочник ври</vt:lpstr>
      <vt:lpstr>ГОТОВ</vt:lpstr>
      <vt:lpstr>модули</vt:lpstr>
      <vt:lpstr>количественные факторы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2021-05-25T12:39:00Z</dcterms:modified>
</cp:coreProperties>
</file>