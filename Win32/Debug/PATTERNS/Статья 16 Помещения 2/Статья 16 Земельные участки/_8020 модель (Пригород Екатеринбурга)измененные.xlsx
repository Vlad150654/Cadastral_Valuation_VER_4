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D:\Tokyo\DataBase_Calc_Code_NP\PATTERNS\Статья 16 Земельные участки\"/>
    </mc:Choice>
  </mc:AlternateContent>
  <bookViews>
    <workbookView xWindow="0" yWindow="0" windowWidth="28800" windowHeight="12135"/>
  </bookViews>
  <sheets>
    <sheet name="расчетОО " sheetId="1" r:id="rId1"/>
    <sheet name="коэффициенты" sheetId="2" r:id="rId2"/>
    <sheet name="справочник впр" sheetId="3" r:id="rId3"/>
    <sheet name="ГОТОВ" sheetId="4" r:id="rId4"/>
    <sheet name="ПЕРЕСЧЕТ НЕ ТРЕБУЕТСЯ" sheetId="5" r:id="rId5"/>
    <sheet name="СТОПЛИСТ" sheetId="6" r:id="rId6"/>
    <sheet name="модули" sheetId="7" r:id="rId7"/>
    <sheet name="количественные факторы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5" i="8" l="1"/>
  <c r="B88" i="8"/>
  <c r="C87" i="8"/>
  <c r="B87" i="8"/>
  <c r="B86" i="8"/>
  <c r="B85" i="8"/>
  <c r="B84" i="8"/>
  <c r="C83" i="8"/>
  <c r="F25" i="8" s="1"/>
  <c r="B83" i="8"/>
  <c r="B82" i="8"/>
  <c r="B81" i="8"/>
  <c r="B80" i="8"/>
  <c r="C79" i="8"/>
  <c r="B79" i="8"/>
  <c r="B78" i="8"/>
  <c r="B77" i="8"/>
  <c r="B76" i="8"/>
  <c r="C75" i="8"/>
  <c r="B75" i="8"/>
  <c r="B74" i="8"/>
  <c r="B73" i="8"/>
  <c r="B72" i="8"/>
  <c r="C71" i="8"/>
  <c r="B71" i="8"/>
  <c r="B70" i="8"/>
  <c r="B69" i="8"/>
  <c r="B68" i="8"/>
  <c r="C67" i="8"/>
  <c r="B67" i="8"/>
  <c r="B66" i="8"/>
  <c r="B65" i="8"/>
  <c r="B64" i="8"/>
  <c r="C63" i="8"/>
  <c r="F21" i="8" s="1"/>
  <c r="B63" i="8"/>
  <c r="B62" i="8"/>
  <c r="B61" i="8"/>
  <c r="B60" i="8"/>
  <c r="C59" i="8"/>
  <c r="B59" i="8"/>
  <c r="B58" i="8"/>
  <c r="B57" i="8"/>
  <c r="B56" i="8"/>
  <c r="C55" i="8"/>
  <c r="B55" i="8"/>
  <c r="B54" i="8"/>
  <c r="B53" i="8"/>
  <c r="B52" i="8"/>
  <c r="C51" i="8"/>
  <c r="B51" i="8"/>
  <c r="B50" i="8"/>
  <c r="B49" i="8"/>
  <c r="B48" i="8"/>
  <c r="C47" i="8"/>
  <c r="B47" i="8"/>
  <c r="B46" i="8"/>
  <c r="B45" i="8"/>
  <c r="B44" i="8"/>
  <c r="C43" i="8"/>
  <c r="F17" i="8" s="1"/>
  <c r="B43" i="8"/>
  <c r="B42" i="8"/>
  <c r="V41" i="8"/>
  <c r="B41" i="8"/>
  <c r="W40" i="8"/>
  <c r="B40" i="8"/>
  <c r="V39" i="8"/>
  <c r="B39" i="8"/>
  <c r="W38" i="8"/>
  <c r="B38" i="8"/>
  <c r="V37" i="8"/>
  <c r="B37" i="8"/>
  <c r="W36" i="8"/>
  <c r="B36" i="8"/>
  <c r="W35" i="8"/>
  <c r="V35" i="8"/>
  <c r="B35" i="8"/>
  <c r="W34" i="8"/>
  <c r="V34" i="8"/>
  <c r="B34" i="8"/>
  <c r="W33" i="8"/>
  <c r="V33" i="8"/>
  <c r="B33" i="8"/>
  <c r="W32" i="8"/>
  <c r="V32" i="8"/>
  <c r="G32" i="8"/>
  <c r="B32" i="8"/>
  <c r="Y31" i="8"/>
  <c r="V31" i="8"/>
  <c r="G31" i="8"/>
  <c r="B31" i="8"/>
  <c r="Y30" i="8"/>
  <c r="X30" i="8"/>
  <c r="V30" i="8"/>
  <c r="G30" i="8"/>
  <c r="C30" i="8"/>
  <c r="B30" i="8"/>
  <c r="Y29" i="8"/>
  <c r="X29" i="8"/>
  <c r="W29" i="8"/>
  <c r="V29" i="8"/>
  <c r="G29" i="8"/>
  <c r="B29" i="8"/>
  <c r="X28" i="8"/>
  <c r="W28" i="8"/>
  <c r="V28" i="8"/>
  <c r="G28" i="8"/>
  <c r="B28" i="8"/>
  <c r="Y27" i="8"/>
  <c r="W27" i="8"/>
  <c r="V27" i="8"/>
  <c r="G27" i="8"/>
  <c r="B27" i="8"/>
  <c r="Y26" i="8"/>
  <c r="X26" i="8"/>
  <c r="V26" i="8"/>
  <c r="G26" i="8"/>
  <c r="B26" i="8"/>
  <c r="Y25" i="8"/>
  <c r="X25" i="8"/>
  <c r="V25" i="8"/>
  <c r="G25" i="8"/>
  <c r="B25" i="8"/>
  <c r="Y24" i="8"/>
  <c r="X24" i="8"/>
  <c r="V24" i="8"/>
  <c r="G24" i="8"/>
  <c r="B24" i="8"/>
  <c r="Y23" i="8"/>
  <c r="X23" i="8"/>
  <c r="V23" i="8"/>
  <c r="G23" i="8"/>
  <c r="B23" i="8"/>
  <c r="Y22" i="8"/>
  <c r="X22" i="8"/>
  <c r="V22" i="8"/>
  <c r="G22" i="8"/>
  <c r="B22" i="8"/>
  <c r="Y21" i="8"/>
  <c r="X21" i="8"/>
  <c r="V21" i="8"/>
  <c r="G21" i="8"/>
  <c r="B21" i="8"/>
  <c r="Y20" i="8"/>
  <c r="X20" i="8"/>
  <c r="V20" i="8"/>
  <c r="G20" i="8"/>
  <c r="B20" i="8"/>
  <c r="Y19" i="8"/>
  <c r="X19" i="8"/>
  <c r="V19" i="8"/>
  <c r="G19" i="8"/>
  <c r="B19" i="8"/>
  <c r="Y18" i="8"/>
  <c r="X18" i="8"/>
  <c r="V18" i="8"/>
  <c r="G18" i="8"/>
  <c r="B18" i="8"/>
  <c r="Y17" i="8"/>
  <c r="X17" i="8"/>
  <c r="V17" i="8"/>
  <c r="G17" i="8"/>
  <c r="B17" i="8"/>
  <c r="Y16" i="8"/>
  <c r="X16" i="8"/>
  <c r="V16" i="8"/>
  <c r="G16" i="8"/>
  <c r="B16" i="8"/>
  <c r="Y15" i="8"/>
  <c r="X15" i="8"/>
  <c r="V15" i="8"/>
  <c r="G15" i="8"/>
  <c r="B15" i="8"/>
  <c r="Y14" i="8"/>
  <c r="X14" i="8"/>
  <c r="V14" i="8"/>
  <c r="G14" i="8"/>
  <c r="B14" i="8"/>
  <c r="Y13" i="8"/>
  <c r="X13" i="8"/>
  <c r="V13" i="8"/>
  <c r="G13" i="8"/>
  <c r="B13" i="8"/>
  <c r="Y12" i="8"/>
  <c r="X12" i="8"/>
  <c r="G12" i="8"/>
  <c r="B12" i="8"/>
  <c r="Y11" i="8"/>
  <c r="X11" i="8"/>
  <c r="G11" i="8"/>
  <c r="B11" i="8"/>
  <c r="Y10" i="8"/>
  <c r="X10" i="8"/>
  <c r="G10" i="8"/>
  <c r="Y9" i="8"/>
  <c r="X9" i="8"/>
  <c r="G9" i="8"/>
  <c r="W7" i="8"/>
  <c r="W41" i="8" s="1"/>
  <c r="B7" i="8"/>
  <c r="B95" i="8" s="1"/>
  <c r="Y6" i="8"/>
  <c r="X31" i="8" s="1"/>
  <c r="W6" i="8"/>
  <c r="V12" i="8" s="1"/>
  <c r="D6" i="8"/>
  <c r="C85" i="8" s="1"/>
  <c r="B6" i="8"/>
  <c r="B103" i="7"/>
  <c r="I100" i="7"/>
  <c r="J100" i="7" s="1"/>
  <c r="K100" i="7" s="1"/>
  <c r="L100" i="7" s="1"/>
  <c r="B100" i="7"/>
  <c r="B102" i="7" s="1"/>
  <c r="I99" i="7"/>
  <c r="J99" i="7" s="1"/>
  <c r="K99" i="7" s="1"/>
  <c r="L99" i="7" s="1"/>
  <c r="B99" i="7"/>
  <c r="K98" i="7"/>
  <c r="I103" i="7" s="1"/>
  <c r="D90" i="7"/>
  <c r="C90" i="7"/>
  <c r="B90" i="7"/>
  <c r="A90" i="7"/>
  <c r="D89" i="7"/>
  <c r="C89" i="7"/>
  <c r="B89" i="7"/>
  <c r="A89" i="7"/>
  <c r="D88" i="7"/>
  <c r="C88" i="7"/>
  <c r="B88" i="7"/>
  <c r="A88" i="7"/>
  <c r="D87" i="7"/>
  <c r="C87" i="7"/>
  <c r="B87" i="7"/>
  <c r="A87" i="7"/>
  <c r="D86" i="7"/>
  <c r="C86" i="7"/>
  <c r="B86" i="7"/>
  <c r="A86" i="7"/>
  <c r="D85" i="7"/>
  <c r="C85" i="7"/>
  <c r="B85" i="7"/>
  <c r="A85" i="7"/>
  <c r="D84" i="7"/>
  <c r="C84" i="7"/>
  <c r="B84" i="7"/>
  <c r="A84" i="7"/>
  <c r="D83" i="7"/>
  <c r="C83" i="7"/>
  <c r="B83" i="7"/>
  <c r="A83" i="7"/>
  <c r="D82" i="7"/>
  <c r="C82" i="7"/>
  <c r="B82" i="7"/>
  <c r="A82" i="7"/>
  <c r="T81" i="7"/>
  <c r="D81" i="7"/>
  <c r="B81" i="7"/>
  <c r="C81" i="7" s="1"/>
  <c r="A81" i="7"/>
  <c r="D80" i="7"/>
  <c r="B80" i="7"/>
  <c r="C80" i="7" s="1"/>
  <c r="A80" i="7"/>
  <c r="D79" i="7"/>
  <c r="B79" i="7"/>
  <c r="C79" i="7" s="1"/>
  <c r="A79" i="7"/>
  <c r="U78" i="7"/>
  <c r="T78" i="7"/>
  <c r="D78" i="7"/>
  <c r="B78" i="7"/>
  <c r="C78" i="7" s="1"/>
  <c r="A78" i="7"/>
  <c r="T77" i="7"/>
  <c r="U77" i="7" s="1"/>
  <c r="D77" i="7"/>
  <c r="C77" i="7"/>
  <c r="B77" i="7"/>
  <c r="A77" i="7"/>
  <c r="D76" i="7"/>
  <c r="C76" i="7"/>
  <c r="B76" i="7"/>
  <c r="A76" i="7"/>
  <c r="D75" i="7"/>
  <c r="C75" i="7"/>
  <c r="B75" i="7"/>
  <c r="A75" i="7"/>
  <c r="D74" i="7"/>
  <c r="C74" i="7"/>
  <c r="B74" i="7"/>
  <c r="A74" i="7"/>
  <c r="D73" i="7"/>
  <c r="C73" i="7"/>
  <c r="B73" i="7"/>
  <c r="A73" i="7"/>
  <c r="D72" i="7"/>
  <c r="C72" i="7"/>
  <c r="B72" i="7"/>
  <c r="A72" i="7"/>
  <c r="D71" i="7"/>
  <c r="C71" i="7"/>
  <c r="B71" i="7"/>
  <c r="A71" i="7"/>
  <c r="D70" i="7"/>
  <c r="C70" i="7"/>
  <c r="B70" i="7"/>
  <c r="A70" i="7"/>
  <c r="D69" i="7"/>
  <c r="C69" i="7"/>
  <c r="B69" i="7"/>
  <c r="A69" i="7"/>
  <c r="D68" i="7"/>
  <c r="C68" i="7"/>
  <c r="B68" i="7"/>
  <c r="A68" i="7"/>
  <c r="D67" i="7"/>
  <c r="C67" i="7"/>
  <c r="B67" i="7"/>
  <c r="A67" i="7"/>
  <c r="D66" i="7"/>
  <c r="C66" i="7"/>
  <c r="B66" i="7"/>
  <c r="A66" i="7"/>
  <c r="D65" i="7"/>
  <c r="B65" i="7"/>
  <c r="C65" i="7" s="1"/>
  <c r="A65" i="7"/>
  <c r="D64" i="7"/>
  <c r="B64" i="7"/>
  <c r="C64" i="7" s="1"/>
  <c r="A64" i="7"/>
  <c r="D63" i="7"/>
  <c r="B63" i="7"/>
  <c r="C63" i="7" s="1"/>
  <c r="A63" i="7"/>
  <c r="D62" i="7"/>
  <c r="B62" i="7"/>
  <c r="C62" i="7" s="1"/>
  <c r="A62" i="7"/>
  <c r="D61" i="7"/>
  <c r="B61" i="7"/>
  <c r="C61" i="7" s="1"/>
  <c r="A61" i="7"/>
  <c r="D60" i="7"/>
  <c r="B60" i="7"/>
  <c r="C60" i="7" s="1"/>
  <c r="A60" i="7"/>
  <c r="D59" i="7"/>
  <c r="B59" i="7"/>
  <c r="C59" i="7" s="1"/>
  <c r="A59" i="7"/>
  <c r="D58" i="7"/>
  <c r="B58" i="7"/>
  <c r="C58" i="7" s="1"/>
  <c r="A58" i="7"/>
  <c r="D57" i="7"/>
  <c r="B57" i="7"/>
  <c r="C57" i="7" s="1"/>
  <c r="A57" i="7"/>
  <c r="D56" i="7"/>
  <c r="B56" i="7"/>
  <c r="C56" i="7" s="1"/>
  <c r="A56" i="7"/>
  <c r="D55" i="7"/>
  <c r="B55" i="7"/>
  <c r="C55" i="7" s="1"/>
  <c r="A55" i="7"/>
  <c r="D54" i="7"/>
  <c r="B54" i="7"/>
  <c r="C54" i="7" s="1"/>
  <c r="A54" i="7"/>
  <c r="D53" i="7"/>
  <c r="B53" i="7"/>
  <c r="C53" i="7" s="1"/>
  <c r="A53" i="7"/>
  <c r="D52" i="7"/>
  <c r="B52" i="7"/>
  <c r="C52" i="7" s="1"/>
  <c r="A52" i="7"/>
  <c r="D51" i="7"/>
  <c r="B51" i="7"/>
  <c r="C51" i="7" s="1"/>
  <c r="A51" i="7"/>
  <c r="D50" i="7"/>
  <c r="B50" i="7"/>
  <c r="C50" i="7" s="1"/>
  <c r="A50" i="7"/>
  <c r="D49" i="7"/>
  <c r="B49" i="7"/>
  <c r="C49" i="7" s="1"/>
  <c r="A49" i="7"/>
  <c r="D48" i="7"/>
  <c r="B48" i="7"/>
  <c r="C48" i="7" s="1"/>
  <c r="A48" i="7"/>
  <c r="D47" i="7"/>
  <c r="B47" i="7"/>
  <c r="C47" i="7" s="1"/>
  <c r="A47" i="7"/>
  <c r="D46" i="7"/>
  <c r="B46" i="7"/>
  <c r="C46" i="7" s="1"/>
  <c r="A46" i="7"/>
  <c r="D45" i="7"/>
  <c r="B45" i="7"/>
  <c r="C45" i="7" s="1"/>
  <c r="A45" i="7"/>
  <c r="D44" i="7"/>
  <c r="B44" i="7"/>
  <c r="C44" i="7" s="1"/>
  <c r="A44" i="7"/>
  <c r="D43" i="7"/>
  <c r="B43" i="7"/>
  <c r="C43" i="7" s="1"/>
  <c r="A43" i="7"/>
  <c r="D42" i="7"/>
  <c r="B42" i="7"/>
  <c r="C42" i="7" s="1"/>
  <c r="D41" i="7"/>
  <c r="C41" i="7"/>
  <c r="B41" i="7"/>
  <c r="A41" i="7"/>
  <c r="M40" i="7"/>
  <c r="D40" i="7"/>
  <c r="B40" i="7"/>
  <c r="C40" i="7" s="1"/>
  <c r="A40" i="7"/>
  <c r="D39" i="7"/>
  <c r="C39" i="7"/>
  <c r="B39" i="7"/>
  <c r="A39" i="7"/>
  <c r="D38" i="7"/>
  <c r="C38" i="7"/>
  <c r="B38" i="7"/>
  <c r="A38" i="7"/>
  <c r="M37" i="7"/>
  <c r="L37" i="7"/>
  <c r="L40" i="7" s="1"/>
  <c r="D37" i="7"/>
  <c r="B37" i="7"/>
  <c r="C37" i="7" s="1"/>
  <c r="A37" i="7"/>
  <c r="M36" i="7"/>
  <c r="L36" i="7"/>
  <c r="D36" i="7"/>
  <c r="C36" i="7"/>
  <c r="B36" i="7"/>
  <c r="A36" i="7"/>
  <c r="M35" i="7"/>
  <c r="L35" i="7"/>
  <c r="D35" i="7"/>
  <c r="B35" i="7"/>
  <c r="C35" i="7" s="1"/>
  <c r="A35" i="7"/>
  <c r="M34" i="7"/>
  <c r="L34" i="7"/>
  <c r="D34" i="7"/>
  <c r="C34" i="7"/>
  <c r="B34" i="7"/>
  <c r="A34" i="7"/>
  <c r="M33" i="7"/>
  <c r="L33" i="7"/>
  <c r="D33" i="7"/>
  <c r="B33" i="7"/>
  <c r="C33" i="7" s="1"/>
  <c r="A33" i="7"/>
  <c r="M32" i="7"/>
  <c r="L32" i="7"/>
  <c r="D32" i="7"/>
  <c r="C32" i="7"/>
  <c r="B32" i="7"/>
  <c r="A32" i="7"/>
  <c r="M31" i="7"/>
  <c r="L31" i="7"/>
  <c r="D31" i="7"/>
  <c r="B31" i="7"/>
  <c r="C31" i="7" s="1"/>
  <c r="A31" i="7"/>
  <c r="M30" i="7"/>
  <c r="L30" i="7"/>
  <c r="D30" i="7"/>
  <c r="C30" i="7"/>
  <c r="B30" i="7"/>
  <c r="A30" i="7"/>
  <c r="M29" i="7"/>
  <c r="L29" i="7"/>
  <c r="D29" i="7"/>
  <c r="B29" i="7"/>
  <c r="C29" i="7" s="1"/>
  <c r="A29" i="7"/>
  <c r="M28" i="7"/>
  <c r="L28" i="7"/>
  <c r="D28" i="7"/>
  <c r="C28" i="7"/>
  <c r="B28" i="7"/>
  <c r="A28" i="7"/>
  <c r="M27" i="7"/>
  <c r="L27" i="7"/>
  <c r="D27" i="7"/>
  <c r="B27" i="7"/>
  <c r="C27" i="7" s="1"/>
  <c r="A27" i="7"/>
  <c r="B94" i="7" s="1"/>
  <c r="C94" i="7" s="1"/>
  <c r="D94" i="7" s="1"/>
  <c r="M26" i="7"/>
  <c r="L26" i="7"/>
  <c r="J26" i="7"/>
  <c r="D26" i="7"/>
  <c r="B26" i="7"/>
  <c r="A26" i="7"/>
  <c r="J24" i="7"/>
  <c r="A24" i="7"/>
  <c r="V20" i="7"/>
  <c r="X20" i="7" s="1"/>
  <c r="T20" i="7"/>
  <c r="R20" i="7"/>
  <c r="S20" i="7" s="1"/>
  <c r="P20" i="7"/>
  <c r="O20" i="7"/>
  <c r="N20" i="7"/>
  <c r="J20" i="7"/>
  <c r="K20" i="7" s="1"/>
  <c r="F20" i="7"/>
  <c r="H20" i="7" s="1"/>
  <c r="D20" i="7"/>
  <c r="B20" i="7"/>
  <c r="C20" i="7" s="1"/>
  <c r="X18" i="7"/>
  <c r="P18" i="7"/>
  <c r="L18" i="7"/>
  <c r="H18" i="7"/>
  <c r="D18" i="7"/>
  <c r="X17" i="7"/>
  <c r="P17" i="7"/>
  <c r="L17" i="7"/>
  <c r="H17" i="7"/>
  <c r="D17" i="7"/>
  <c r="X16" i="7"/>
  <c r="T16" i="7"/>
  <c r="P16" i="7"/>
  <c r="L16" i="7"/>
  <c r="H16" i="7"/>
  <c r="D16" i="7"/>
  <c r="X15" i="7"/>
  <c r="T15" i="7"/>
  <c r="P15" i="7"/>
  <c r="L15" i="7"/>
  <c r="H15" i="7"/>
  <c r="D15" i="7"/>
  <c r="X14" i="7"/>
  <c r="T14" i="7"/>
  <c r="P14" i="7"/>
  <c r="L14" i="7"/>
  <c r="H14" i="7"/>
  <c r="D14" i="7"/>
  <c r="X13" i="7"/>
  <c r="T13" i="7"/>
  <c r="P13" i="7"/>
  <c r="L13" i="7"/>
  <c r="H13" i="7"/>
  <c r="D13" i="7"/>
  <c r="X12" i="7"/>
  <c r="T12" i="7"/>
  <c r="P12" i="7"/>
  <c r="L12" i="7"/>
  <c r="H12" i="7"/>
  <c r="D12" i="7"/>
  <c r="X11" i="7"/>
  <c r="T11" i="7"/>
  <c r="P11" i="7"/>
  <c r="L11" i="7"/>
  <c r="H11" i="7"/>
  <c r="D11" i="7"/>
  <c r="X10" i="7"/>
  <c r="T10" i="7"/>
  <c r="P10" i="7"/>
  <c r="L10" i="7"/>
  <c r="H10" i="7"/>
  <c r="D10" i="7"/>
  <c r="X9" i="7"/>
  <c r="T9" i="7"/>
  <c r="P9" i="7"/>
  <c r="L9" i="7"/>
  <c r="H9" i="7"/>
  <c r="D9" i="7"/>
  <c r="X8" i="7"/>
  <c r="T8" i="7"/>
  <c r="P8" i="7"/>
  <c r="L8" i="7"/>
  <c r="H8" i="7"/>
  <c r="D8" i="7"/>
  <c r="G86" i="2"/>
  <c r="M85" i="2"/>
  <c r="L85" i="2"/>
  <c r="K85" i="2"/>
  <c r="J85" i="2"/>
  <c r="I85" i="2"/>
  <c r="M84" i="2"/>
  <c r="L84" i="2"/>
  <c r="K84" i="2"/>
  <c r="J84" i="2"/>
  <c r="G83" i="2"/>
  <c r="G82" i="2"/>
  <c r="G81" i="2"/>
  <c r="G80" i="2"/>
  <c r="G79" i="2"/>
  <c r="G78" i="2"/>
  <c r="F77" i="2"/>
  <c r="G77" i="2" s="1"/>
  <c r="G76" i="2"/>
  <c r="G75" i="2"/>
  <c r="G74" i="2"/>
  <c r="F73" i="2"/>
  <c r="G73" i="2" s="1"/>
  <c r="G72" i="2"/>
  <c r="G71" i="2"/>
  <c r="G70" i="2"/>
  <c r="G69" i="2"/>
  <c r="G68" i="2"/>
  <c r="F68" i="2"/>
  <c r="F67" i="2"/>
  <c r="G67" i="2" s="1"/>
  <c r="G66" i="2"/>
  <c r="F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P23" i="2"/>
  <c r="G23" i="2"/>
  <c r="P22" i="2"/>
  <c r="G22" i="2"/>
  <c r="P21" i="2"/>
  <c r="G21" i="2"/>
  <c r="P20" i="2"/>
  <c r="G20" i="2"/>
  <c r="P19" i="2"/>
  <c r="G19" i="2"/>
  <c r="P18" i="2"/>
  <c r="G18" i="2"/>
  <c r="P17" i="2"/>
  <c r="G17" i="2"/>
  <c r="P16" i="2"/>
  <c r="G16" i="2"/>
  <c r="P15" i="2"/>
  <c r="G15" i="2"/>
  <c r="P14" i="2"/>
  <c r="G14" i="2"/>
  <c r="P13" i="2"/>
  <c r="G13" i="2"/>
  <c r="P12" i="2"/>
  <c r="G12" i="2"/>
  <c r="P11" i="2"/>
  <c r="G11" i="2"/>
  <c r="P10" i="2"/>
  <c r="G10" i="2"/>
  <c r="P9" i="2"/>
  <c r="G9" i="2"/>
  <c r="F8" i="2"/>
  <c r="G8" i="2" s="1"/>
  <c r="P7" i="2"/>
  <c r="G7" i="2"/>
  <c r="P6" i="2"/>
  <c r="G6" i="2"/>
  <c r="P5" i="2"/>
  <c r="G5" i="2"/>
  <c r="P4" i="2"/>
  <c r="G4" i="2"/>
  <c r="P3" i="2"/>
  <c r="G3" i="2"/>
  <c r="G2" i="2"/>
  <c r="DZ6" i="1"/>
  <c r="DY6" i="1"/>
  <c r="DX6" i="1"/>
  <c r="DW6" i="1"/>
  <c r="DU6" i="1"/>
  <c r="DT6" i="1"/>
  <c r="DS6" i="1"/>
  <c r="DR6" i="1"/>
  <c r="DQ6" i="1"/>
  <c r="DP6" i="1"/>
  <c r="DN6" i="1"/>
  <c r="DO6" i="1" s="1"/>
  <c r="DM6" i="1"/>
  <c r="DK6" i="1"/>
  <c r="DF6" i="1"/>
  <c r="DC6" i="1"/>
  <c r="CZ6" i="1"/>
  <c r="CW6" i="1"/>
  <c r="CV6" i="1"/>
  <c r="CS6" i="1"/>
  <c r="CX6" i="1" s="1"/>
  <c r="CY6" i="1" s="1"/>
  <c r="CR6" i="1"/>
  <c r="CQ6" i="1"/>
  <c r="CO6" i="1"/>
  <c r="CP6" i="1" s="1"/>
  <c r="CN6" i="1"/>
  <c r="CL6" i="1"/>
  <c r="CI6" i="1"/>
  <c r="CJ6" i="1" s="1"/>
  <c r="CE6" i="1"/>
  <c r="CF6" i="1" s="1"/>
  <c r="CD6" i="1"/>
  <c r="CC6" i="1"/>
  <c r="CB6" i="1"/>
  <c r="BY6" i="1"/>
  <c r="BV6" i="1"/>
  <c r="BU6" i="1"/>
  <c r="BT6" i="1"/>
  <c r="BR6" i="1"/>
  <c r="BS6" i="1" s="1"/>
  <c r="BQ6" i="1"/>
  <c r="BP6" i="1"/>
  <c r="BN6" i="1"/>
  <c r="BO6" i="1" s="1"/>
  <c r="BM6" i="1"/>
  <c r="BL6" i="1"/>
  <c r="BJ6" i="1"/>
  <c r="BK6" i="1" s="1"/>
  <c r="BI6" i="1"/>
  <c r="BH6" i="1"/>
  <c r="BF6" i="1"/>
  <c r="BG6" i="1" s="1"/>
  <c r="BE6" i="1"/>
  <c r="BD6" i="1"/>
  <c r="BB6" i="1"/>
  <c r="BC6" i="1" s="1"/>
  <c r="BA6" i="1"/>
  <c r="AZ6" i="1"/>
  <c r="DV6" i="1" s="1"/>
  <c r="DZ5" i="1"/>
  <c r="DY5" i="1"/>
  <c r="DX5" i="1"/>
  <c r="DW5" i="1"/>
  <c r="DU5" i="1"/>
  <c r="DT5" i="1"/>
  <c r="DS5" i="1"/>
  <c r="DR5" i="1"/>
  <c r="DQ5" i="1"/>
  <c r="DP5" i="1"/>
  <c r="DN5" i="1"/>
  <c r="DO5" i="1" s="1"/>
  <c r="DM5" i="1"/>
  <c r="DK5" i="1"/>
  <c r="DF5" i="1"/>
  <c r="DC5" i="1"/>
  <c r="CZ5" i="1"/>
  <c r="CX5" i="1"/>
  <c r="CY5" i="1" s="1"/>
  <c r="CW5" i="1"/>
  <c r="CV5" i="1"/>
  <c r="CT5" i="1"/>
  <c r="CU5" i="1" s="1"/>
  <c r="CS5" i="1"/>
  <c r="CR5" i="1"/>
  <c r="CQ5" i="1"/>
  <c r="CP5" i="1"/>
  <c r="CO5" i="1"/>
  <c r="CN5" i="1"/>
  <c r="CL5" i="1"/>
  <c r="CJ5" i="1"/>
  <c r="CI5" i="1"/>
  <c r="CF5" i="1"/>
  <c r="CE5" i="1"/>
  <c r="CD5" i="1"/>
  <c r="CC5" i="1"/>
  <c r="CB5" i="1"/>
  <c r="BY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DV5" i="1" s="1"/>
  <c r="DZ4" i="1"/>
  <c r="DY4" i="1"/>
  <c r="DX4" i="1"/>
  <c r="DW4" i="1"/>
  <c r="DU4" i="1"/>
  <c r="DT4" i="1"/>
  <c r="DS4" i="1"/>
  <c r="DR4" i="1"/>
  <c r="DQ4" i="1"/>
  <c r="DP4" i="1"/>
  <c r="DN4" i="1"/>
  <c r="DO4" i="1" s="1"/>
  <c r="DM4" i="1"/>
  <c r="DK4" i="1"/>
  <c r="DF4" i="1"/>
  <c r="DC4" i="1"/>
  <c r="CZ4" i="1"/>
  <c r="CY4" i="1"/>
  <c r="CX4" i="1"/>
  <c r="CW4" i="1"/>
  <c r="CV4" i="1"/>
  <c r="CU4" i="1"/>
  <c r="CT4" i="1"/>
  <c r="CS4" i="1"/>
  <c r="CQ4" i="1"/>
  <c r="CR4" i="1" s="1"/>
  <c r="CP4" i="1"/>
  <c r="CO4" i="1"/>
  <c r="CN4" i="1"/>
  <c r="CL4" i="1"/>
  <c r="CJ4" i="1"/>
  <c r="CI4" i="1"/>
  <c r="CD4" i="1"/>
  <c r="CC4" i="1"/>
  <c r="CB4" i="1"/>
  <c r="BY4" i="1"/>
  <c r="BV4" i="1"/>
  <c r="BT4" i="1"/>
  <c r="BU4" i="1" s="1"/>
  <c r="BS4" i="1"/>
  <c r="BR4" i="1"/>
  <c r="BP4" i="1"/>
  <c r="BQ4" i="1" s="1"/>
  <c r="BO4" i="1"/>
  <c r="BN4" i="1"/>
  <c r="BL4" i="1"/>
  <c r="BM4" i="1" s="1"/>
  <c r="BK4" i="1"/>
  <c r="BJ4" i="1"/>
  <c r="BH4" i="1"/>
  <c r="BI4" i="1" s="1"/>
  <c r="BG4" i="1"/>
  <c r="BF4" i="1"/>
  <c r="BD4" i="1"/>
  <c r="BE4" i="1" s="1"/>
  <c r="BC4" i="1"/>
  <c r="BB4" i="1"/>
  <c r="BA4" i="1"/>
  <c r="AZ4" i="1"/>
  <c r="CE4" i="1" s="1"/>
  <c r="CF4" i="1" s="1"/>
  <c r="BW5" i="1" l="1"/>
  <c r="BZ5" i="1" s="1"/>
  <c r="CA5" i="1" s="1"/>
  <c r="B93" i="8"/>
  <c r="C29" i="8"/>
  <c r="V38" i="8"/>
  <c r="W39" i="8"/>
  <c r="C45" i="8"/>
  <c r="C53" i="8"/>
  <c r="F19" i="8" s="1"/>
  <c r="C61" i="8"/>
  <c r="C69" i="8"/>
  <c r="C77" i="8"/>
  <c r="B10" i="8"/>
  <c r="B9" i="8"/>
  <c r="B98" i="8"/>
  <c r="B96" i="8"/>
  <c r="B94" i="8"/>
  <c r="B92" i="8"/>
  <c r="B90" i="8"/>
  <c r="B89" i="8"/>
  <c r="C98" i="8"/>
  <c r="C96" i="8"/>
  <c r="C94" i="8"/>
  <c r="C92" i="8"/>
  <c r="C90" i="8"/>
  <c r="C88" i="8"/>
  <c r="F26" i="8" s="1"/>
  <c r="C86" i="8"/>
  <c r="C84" i="8"/>
  <c r="C82" i="8"/>
  <c r="C80" i="8"/>
  <c r="C78" i="8"/>
  <c r="F24" i="8" s="1"/>
  <c r="C76" i="8"/>
  <c r="C74" i="8"/>
  <c r="C72" i="8"/>
  <c r="C70" i="8"/>
  <c r="C68" i="8"/>
  <c r="F22" i="8" s="1"/>
  <c r="C66" i="8"/>
  <c r="C64" i="8"/>
  <c r="C62" i="8"/>
  <c r="C60" i="8"/>
  <c r="C58" i="8"/>
  <c r="F20" i="8" s="1"/>
  <c r="C56" i="8"/>
  <c r="C54" i="8"/>
  <c r="C52" i="8"/>
  <c r="C50" i="8"/>
  <c r="C48" i="8"/>
  <c r="F18" i="8" s="1"/>
  <c r="C46" i="8"/>
  <c r="C44" i="8"/>
  <c r="C42" i="8"/>
  <c r="C41" i="8"/>
  <c r="C40" i="8"/>
  <c r="C39" i="8"/>
  <c r="C38" i="8"/>
  <c r="F16" i="8" s="1"/>
  <c r="C37" i="8"/>
  <c r="C36" i="8"/>
  <c r="C35" i="8"/>
  <c r="C34" i="8"/>
  <c r="C33" i="8"/>
  <c r="F15" i="8" s="1"/>
  <c r="C31" i="8"/>
  <c r="C27" i="8"/>
  <c r="C26" i="8"/>
  <c r="C25" i="8"/>
  <c r="C24" i="8"/>
  <c r="C23" i="8"/>
  <c r="F13" i="8" s="1"/>
  <c r="C22" i="8"/>
  <c r="C21" i="8"/>
  <c r="C20" i="8"/>
  <c r="C19" i="8"/>
  <c r="C18" i="8"/>
  <c r="F12" i="8" s="1"/>
  <c r="C17" i="8"/>
  <c r="C16" i="8"/>
  <c r="C15" i="8"/>
  <c r="C14" i="8"/>
  <c r="C13" i="8"/>
  <c r="F11" i="8" s="1"/>
  <c r="C12" i="8"/>
  <c r="C11" i="8"/>
  <c r="C10" i="8"/>
  <c r="F10" i="8" s="1"/>
  <c r="C9" i="8"/>
  <c r="F9" i="8" s="1"/>
  <c r="C97" i="8"/>
  <c r="C93" i="8"/>
  <c r="C91" i="8"/>
  <c r="C89" i="8"/>
  <c r="C32" i="8"/>
  <c r="C28" i="8"/>
  <c r="F14" i="8" s="1"/>
  <c r="V36" i="8"/>
  <c r="W37" i="8"/>
  <c r="V40" i="8"/>
  <c r="C49" i="8"/>
  <c r="C57" i="8"/>
  <c r="C65" i="8"/>
  <c r="C73" i="8"/>
  <c r="F23" i="8" s="1"/>
  <c r="C81" i="8"/>
  <c r="B91" i="8"/>
  <c r="B97" i="8"/>
  <c r="V9" i="8"/>
  <c r="V10" i="8"/>
  <c r="V11" i="8"/>
  <c r="W31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X27" i="8"/>
  <c r="Y28" i="8"/>
  <c r="W30" i="8"/>
  <c r="G94" i="7"/>
  <c r="G20" i="7"/>
  <c r="L20" i="7"/>
  <c r="W20" i="7"/>
  <c r="L39" i="7"/>
  <c r="M39" i="7" s="1"/>
  <c r="BW6" i="1"/>
  <c r="BZ6" i="1" s="1"/>
  <c r="CA6" i="1" s="1"/>
  <c r="BW4" i="1"/>
  <c r="BZ4" i="1" s="1"/>
  <c r="CA4" i="1" s="1"/>
  <c r="CG4" i="1"/>
  <c r="CH4" i="1" s="1"/>
  <c r="DA4" i="1" s="1"/>
  <c r="DD4" i="1" s="1"/>
  <c r="DE4" i="1" s="1"/>
  <c r="DH4" i="1" s="1"/>
  <c r="DI4" i="1"/>
  <c r="DL4" i="1" s="1"/>
  <c r="CG5" i="1"/>
  <c r="CH5" i="1" s="1"/>
  <c r="DA5" i="1" s="1"/>
  <c r="DD5" i="1" s="1"/>
  <c r="DE5" i="1" s="1"/>
  <c r="DH5" i="1" s="1"/>
  <c r="DI5" i="1"/>
  <c r="DL5" i="1" s="1"/>
  <c r="CT6" i="1"/>
  <c r="CU6" i="1" s="1"/>
  <c r="DV4" i="1"/>
  <c r="CG6" i="1"/>
  <c r="CH6" i="1" s="1"/>
  <c r="DA6" i="1" s="1"/>
  <c r="DD6" i="1" s="1"/>
  <c r="DE6" i="1" s="1"/>
  <c r="DH6" i="1" s="1"/>
  <c r="DI6" i="1"/>
  <c r="DL6" i="1" s="1"/>
</calcChain>
</file>

<file path=xl/sharedStrings.xml><?xml version="1.0" encoding="utf-8"?>
<sst xmlns="http://schemas.openxmlformats.org/spreadsheetml/2006/main" count="15493" uniqueCount="7971">
  <si>
    <t>Идентификатор</t>
  </si>
  <si>
    <t>Кадастровый номер</t>
  </si>
  <si>
    <t>Номер кадастрового квартала</t>
  </si>
  <si>
    <t>Площадь (ЦФ)</t>
  </si>
  <si>
    <t>Вид разрешённого использования (ЦФ)</t>
  </si>
  <si>
    <t>Газоснабжение (ЦФ)</t>
  </si>
  <si>
    <t>Электроснабжение (ЦФ)</t>
  </si>
  <si>
    <t>Водоотведение (ЦФ)</t>
  </si>
  <si>
    <t>Водоснабжение (ЦФ)</t>
  </si>
  <si>
    <t>Код МО (ЦФ)</t>
  </si>
  <si>
    <t>ЛЭП над участком (ЦФ)</t>
  </si>
  <si>
    <t>Подъезд к участку(ЦФ)</t>
  </si>
  <si>
    <t>Зона влияния для ИЖС (ЦФ)</t>
  </si>
  <si>
    <t>Внутризональное расстояние(ЦФ)</t>
  </si>
  <si>
    <t>Внутризональное расстояние</t>
  </si>
  <si>
    <t>Зона вляния для ИЖС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</si>
  <si>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</si>
  <si>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</si>
  <si>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</si>
  <si>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Площадь в квадратных метрах</t>
  </si>
  <si>
    <t>Наличие газоснабжения</t>
  </si>
  <si>
    <t>Наличие электроснабжения</t>
  </si>
  <si>
    <t>Наличие водоотведения</t>
  </si>
  <si>
    <t>Наличие водоснабжения</t>
  </si>
  <si>
    <t>Номер заявления</t>
  </si>
  <si>
    <t>Тип заявления</t>
  </si>
  <si>
    <t>Статус заявления</t>
  </si>
  <si>
    <t>Код Муниципального образования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</si>
  <si>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</si>
  <si>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</si>
  <si>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</si>
  <si>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</si>
  <si>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</si>
  <si>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кода НП</t>
  </si>
  <si>
    <t>Флаг ВРИ по документу</t>
  </si>
  <si>
    <t>Флаг площади</t>
  </si>
  <si>
    <t>Флаг ВРИ старый спр</t>
  </si>
  <si>
    <t>Флаг ВРИ новый спр</t>
  </si>
  <si>
    <t>Флаг Категории ЗУ</t>
  </si>
  <si>
    <t>Группа для XML</t>
  </si>
  <si>
    <t>ВРИ по документу старое</t>
  </si>
  <si>
    <t>Код расчета вида использования текущий</t>
  </si>
  <si>
    <t>ВРИ по документу новое</t>
  </si>
  <si>
    <t>Код расчета вида использования новый</t>
  </si>
  <si>
    <t>Правило</t>
  </si>
  <si>
    <t>Новоя модель</t>
  </si>
  <si>
    <t>Особый контроль</t>
  </si>
  <si>
    <t>Тип ИЖС</t>
  </si>
  <si>
    <t>Наименование кот поселка/ сад тов</t>
  </si>
  <si>
    <t>Суд</t>
  </si>
  <si>
    <t>Дата заседания</t>
  </si>
  <si>
    <t>Код расчета вида использования новый с учетом КП</t>
  </si>
  <si>
    <t>Общая площадь</t>
  </si>
  <si>
    <t>константа</t>
  </si>
  <si>
    <t>итог</t>
  </si>
  <si>
    <t>с коэфф утргования =</t>
  </si>
  <si>
    <t>id_group</t>
  </si>
  <si>
    <t>ВРИ</t>
  </si>
  <si>
    <t>Сегмент</t>
  </si>
  <si>
    <t>Код сегмента</t>
  </si>
  <si>
    <t>Расшифровка расчетной подгруппы</t>
  </si>
  <si>
    <t>ВРИ по документу старое(обновление поля)</t>
  </si>
  <si>
    <t>ID</t>
  </si>
  <si>
    <t>CadastralNumber</t>
  </si>
  <si>
    <t>CadastralBlock</t>
  </si>
  <si>
    <t>loc_factor_807</t>
  </si>
  <si>
    <t>loc_factor_825</t>
  </si>
  <si>
    <t>loc_factor_822</t>
  </si>
  <si>
    <t>loc_factor_804</t>
  </si>
  <si>
    <t>loc_factor_803</t>
  </si>
  <si>
    <t>loc_factor_828</t>
  </si>
  <si>
    <t>loc_factor_830</t>
  </si>
  <si>
    <t>loc_factor_829</t>
  </si>
  <si>
    <t>loc_factor_840</t>
  </si>
  <si>
    <t>loc_factor_826</t>
  </si>
  <si>
    <t>loc_factor_833</t>
  </si>
  <si>
    <t>DistanceToVZC</t>
  </si>
  <si>
    <t>InfluenceZone_IGS</t>
  </si>
  <si>
    <t>Specific_CadastralCost</t>
  </si>
  <si>
    <t>CadastralCost</t>
  </si>
  <si>
    <t>CadastralCostDesc</t>
  </si>
  <si>
    <t>Area</t>
  </si>
  <si>
    <t>PresenceGas</t>
  </si>
  <si>
    <t>PresencePower</t>
  </si>
  <si>
    <t>PresenceWaterDisposal</t>
  </si>
  <si>
    <t>PresenceWaterSupply</t>
  </si>
  <si>
    <t>Statement</t>
  </si>
  <si>
    <t>Type_Statement</t>
  </si>
  <si>
    <t>Status_Statement</t>
  </si>
  <si>
    <t>KodMO</t>
  </si>
  <si>
    <t>Sp_flag</t>
  </si>
  <si>
    <t>inputpacket_date</t>
  </si>
  <si>
    <t>Status_kc</t>
  </si>
  <si>
    <t>Date_comm</t>
  </si>
  <si>
    <t>Sol_comm</t>
  </si>
  <si>
    <t>FlagLocalityCode</t>
  </si>
  <si>
    <t>Flag_VRI</t>
  </si>
  <si>
    <t>FlagParam</t>
  </si>
  <si>
    <t>Flag_VRIoldspr</t>
  </si>
  <si>
    <t>Flag_VRInewspr</t>
  </si>
  <si>
    <t>Flag_Category</t>
  </si>
  <si>
    <t>ID_Group</t>
  </si>
  <si>
    <t>Old_Utlbydoc</t>
  </si>
  <si>
    <t>loc_VICode</t>
  </si>
  <si>
    <t>UtilizationByDoc</t>
  </si>
  <si>
    <t>VRICode_NEW</t>
  </si>
  <si>
    <t>PraviloVRI</t>
  </si>
  <si>
    <t>New_id_group</t>
  </si>
  <si>
    <t>ControlSP</t>
  </si>
  <si>
    <t>VRI_IGS</t>
  </si>
  <si>
    <t>Cot_name</t>
  </si>
  <si>
    <t>Court</t>
  </si>
  <si>
    <t>Date_Court</t>
  </si>
  <si>
    <t>Вид разрешенного использования (ЦФ)</t>
  </si>
  <si>
    <t>V1</t>
  </si>
  <si>
    <t>V2</t>
  </si>
  <si>
    <t>V3</t>
  </si>
  <si>
    <t>V4</t>
  </si>
  <si>
    <t>V5</t>
  </si>
  <si>
    <t>V6</t>
  </si>
  <si>
    <t>Наличие подъезда (ЦФ)</t>
  </si>
  <si>
    <t>V7</t>
  </si>
  <si>
    <t>V8</t>
  </si>
  <si>
    <t>V9</t>
  </si>
  <si>
    <t>V10</t>
  </si>
  <si>
    <t>Уторгование (ЦФ)</t>
  </si>
  <si>
    <t>коэффициент</t>
  </si>
  <si>
    <t>УПС</t>
  </si>
  <si>
    <t>Общая стоимость</t>
  </si>
  <si>
    <t>Обязательная проверка</t>
  </si>
  <si>
    <t>Вспомогательный столбец</t>
  </si>
  <si>
    <t>Текущий диапазон УПКС от 19 руб. до 1 914 руб.</t>
  </si>
  <si>
    <t>Возможно изменение кода расчета, но при этом ЦФ может не меняться, например: 02:010 стал 02:011- все ИЖС</t>
  </si>
  <si>
    <t>Parcels</t>
  </si>
  <si>
    <t>Итоговая группировка</t>
  </si>
  <si>
    <t>loc_factor_8071</t>
  </si>
  <si>
    <t>loc_factor_827</t>
  </si>
  <si>
    <t>Вверно, если расходждение составляет 0,00 руб. Если расхождение составляет более 0,01 -ценовые факторы подобраны неверно.Требуется анализ</t>
  </si>
  <si>
    <t>Участие объекта на комиссии, в заявлениях, в судах и прочее</t>
  </si>
  <si>
    <t>Segment</t>
  </si>
  <si>
    <t>loc_SgCode</t>
  </si>
  <si>
    <t>loc_GroupName</t>
  </si>
  <si>
    <t>Сравнение с предыдущим расчетом</t>
  </si>
  <si>
    <t>Проверка отклонения УПКС от текущего диапазона и  контроль значительного изменения КС</t>
  </si>
  <si>
    <t>Зона для ИЖС</t>
  </si>
  <si>
    <t>Электроснабжение</t>
  </si>
  <si>
    <t>Газоснабжение</t>
  </si>
  <si>
    <t>Площадь</t>
  </si>
  <si>
    <t>Ценовой фактор ВРИ в модели</t>
  </si>
  <si>
    <t>Изменение Кода расчета</t>
  </si>
  <si>
    <t>Водоснабжение</t>
  </si>
  <si>
    <t>Водоотведение</t>
  </si>
  <si>
    <t>ЛЭП над участком</t>
  </si>
  <si>
    <t>Наличие подъезда</t>
  </si>
  <si>
    <t>Наличие уторгования</t>
  </si>
  <si>
    <t>Отсутствие водоснабжения</t>
  </si>
  <si>
    <t>Отсутствие водоотведения</t>
  </si>
  <si>
    <t>СТ16_Ф1_М20_18052021_Бунаков_ИзмОбъекты</t>
  </si>
  <si>
    <t>13. СЕГМЕНТ "Садоводство и огородничество, малоэтажная жилая застройка"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</si>
  <si>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(CadastralCost is not Null) AND New_id_group=8020</t>
  </si>
  <si>
    <t>Номер модели</t>
  </si>
  <si>
    <t>Фактор</t>
  </si>
  <si>
    <t>Тип фактора</t>
  </si>
  <si>
    <t>Градации (код)</t>
  </si>
  <si>
    <t>Возможные градации (описание)</t>
  </si>
  <si>
    <t>Значение коэффициента регрессора в мультипликативной модели</t>
  </si>
  <si>
    <t>Значение градации</t>
  </si>
  <si>
    <t>Признак типовой зоны</t>
  </si>
  <si>
    <t>Коэффициент регрессора</t>
  </si>
  <si>
    <t>Минимальное значение числовой переменной</t>
  </si>
  <si>
    <t>Максимальное значение числовой переменной</t>
  </si>
  <si>
    <t>Максимальное значение фактора</t>
  </si>
  <si>
    <t>Миниимальное значение фактора</t>
  </si>
  <si>
    <t>№ Фактора в модели</t>
  </si>
  <si>
    <t>Не знаю что это такое</t>
  </si>
  <si>
    <t>Вид разрешенного использования</t>
  </si>
  <si>
    <t>Качественный</t>
  </si>
  <si>
    <t>gr1</t>
  </si>
  <si>
    <t>Садовые объединения</t>
  </si>
  <si>
    <t>gr3</t>
  </si>
  <si>
    <t>Дачные и коттеджные объединения</t>
  </si>
  <si>
    <t>gr4</t>
  </si>
  <si>
    <t>Индивидуальные поселения</t>
  </si>
  <si>
    <t>YS</t>
  </si>
  <si>
    <t>VZ</t>
  </si>
  <si>
    <t>Возможность подключения газоснабжения</t>
  </si>
  <si>
    <t>NO</t>
  </si>
  <si>
    <t>Отсутствие газоснабжения</t>
  </si>
  <si>
    <t>Возможность подключения электроснабжения</t>
  </si>
  <si>
    <t>Отсутствие электроснабжения</t>
  </si>
  <si>
    <t>Наличие ЛЭП</t>
  </si>
  <si>
    <t>Отсутствие ЛЭП</t>
  </si>
  <si>
    <t>Подъезд к участку</t>
  </si>
  <si>
    <t>Отсутствие подъезда</t>
  </si>
  <si>
    <t>Зона влияния ИЖС</t>
  </si>
  <si>
    <t>aram_1</t>
  </si>
  <si>
    <t>Арамильский_1</t>
  </si>
  <si>
    <t>aram_2</t>
  </si>
  <si>
    <t>Арамильский_2</t>
  </si>
  <si>
    <t>Belo_1</t>
  </si>
  <si>
    <t>Белоярский_1</t>
  </si>
  <si>
    <t>Belo_10</t>
  </si>
  <si>
    <t>Белоярский_10</t>
  </si>
  <si>
    <t>Belo_11</t>
  </si>
  <si>
    <t>Белоярский_11</t>
  </si>
  <si>
    <t>Belo_12</t>
  </si>
  <si>
    <t>Белоярский_12</t>
  </si>
  <si>
    <t>Belo_2</t>
  </si>
  <si>
    <t>Белоярский_2</t>
  </si>
  <si>
    <t>Belo_3</t>
  </si>
  <si>
    <t>Белоярский_3</t>
  </si>
  <si>
    <t>Belo_4</t>
  </si>
  <si>
    <t>Белоярский_4</t>
  </si>
  <si>
    <t>Belo_5</t>
  </si>
  <si>
    <t>Белоярский_5</t>
  </si>
  <si>
    <t>Belo_6</t>
  </si>
  <si>
    <t>Белоярский_6</t>
  </si>
  <si>
    <t>Belo_7</t>
  </si>
  <si>
    <t>Белоярский_7</t>
  </si>
  <si>
    <t>Belo_8</t>
  </si>
  <si>
    <t>Белоярский_8</t>
  </si>
  <si>
    <t>Belo_9</t>
  </si>
  <si>
    <t>Белоярский_9</t>
  </si>
  <si>
    <t>berz_1</t>
  </si>
  <si>
    <t>Березовский_1</t>
  </si>
  <si>
    <t>bezr_2</t>
  </si>
  <si>
    <t>Березовский_2</t>
  </si>
  <si>
    <t>degt_1</t>
  </si>
  <si>
    <t>Дегтярский_1</t>
  </si>
  <si>
    <t>pole_1</t>
  </si>
  <si>
    <t>Полевской_1</t>
  </si>
  <si>
    <t>pole_2</t>
  </si>
  <si>
    <t>Полевской_2</t>
  </si>
  <si>
    <t>pole_3</t>
  </si>
  <si>
    <t>Полевской_3</t>
  </si>
  <si>
    <t>purl_1</t>
  </si>
  <si>
    <t>Первоуральск_1</t>
  </si>
  <si>
    <t>purl_2</t>
  </si>
  <si>
    <t>Первоуральск_2</t>
  </si>
  <si>
    <t>purl_3</t>
  </si>
  <si>
    <t>Первоуральск_3</t>
  </si>
  <si>
    <t>purl_4</t>
  </si>
  <si>
    <t>Первоуральск_4</t>
  </si>
  <si>
    <t>purl_5</t>
  </si>
  <si>
    <t>Первоуральск_5</t>
  </si>
  <si>
    <t>purl_6</t>
  </si>
  <si>
    <t>Первоуральск_6</t>
  </si>
  <si>
    <t>revd_1</t>
  </si>
  <si>
    <t>Ревдинский_1</t>
  </si>
  <si>
    <t>revd_2</t>
  </si>
  <si>
    <t>Ревдинский_2</t>
  </si>
  <si>
    <t>revd_3</t>
  </si>
  <si>
    <t>Ревдинский_3</t>
  </si>
  <si>
    <t>surl_1</t>
  </si>
  <si>
    <t>Среднеуральский_1</t>
  </si>
  <si>
    <t>surl_2</t>
  </si>
  <si>
    <t>Среднеуральский_2</t>
  </si>
  <si>
    <t>sysr_1</t>
  </si>
  <si>
    <t>Сысертский_1</t>
  </si>
  <si>
    <t>sysr_10</t>
  </si>
  <si>
    <t>Сысертский_10</t>
  </si>
  <si>
    <t>sysr_11</t>
  </si>
  <si>
    <t>Сысертский_11</t>
  </si>
  <si>
    <t>sysr_12</t>
  </si>
  <si>
    <t>Сысертский_12</t>
  </si>
  <si>
    <t>sysr_13</t>
  </si>
  <si>
    <t>Сысертский_13</t>
  </si>
  <si>
    <t>sysr_14</t>
  </si>
  <si>
    <t>Сысертский_14</t>
  </si>
  <si>
    <t>sysr_15</t>
  </si>
  <si>
    <t>Сысертский_15</t>
  </si>
  <si>
    <t>sysr_16</t>
  </si>
  <si>
    <t>Сысертский_16</t>
  </si>
  <si>
    <t>sysr_17</t>
  </si>
  <si>
    <t>Сысертский_17</t>
  </si>
  <si>
    <t>sysr_18</t>
  </si>
  <si>
    <t>Сысертский_18</t>
  </si>
  <si>
    <t>sysr_19</t>
  </si>
  <si>
    <t>Сысертский_19</t>
  </si>
  <si>
    <t>sysr_2</t>
  </si>
  <si>
    <t>Сысертский_2</t>
  </si>
  <si>
    <t>sysr_20</t>
  </si>
  <si>
    <t>Сысертский_20</t>
  </si>
  <si>
    <t>sysr_21</t>
  </si>
  <si>
    <t>Сысертский_21</t>
  </si>
  <si>
    <t>sysr_22</t>
  </si>
  <si>
    <t>Сысертский_22</t>
  </si>
  <si>
    <t>sysr_23</t>
  </si>
  <si>
    <t>Сысертский_23</t>
  </si>
  <si>
    <t>sysr_24</t>
  </si>
  <si>
    <t>Сысертский_24</t>
  </si>
  <si>
    <t>sysr_25</t>
  </si>
  <si>
    <t>Сысертский_25</t>
  </si>
  <si>
    <t>sysr_26</t>
  </si>
  <si>
    <t>Сысертский_26</t>
  </si>
  <si>
    <t>sysr_3</t>
  </si>
  <si>
    <t>Сысертский_3</t>
  </si>
  <si>
    <t>sysr_4</t>
  </si>
  <si>
    <t>Сысертский_4</t>
  </si>
  <si>
    <t>sysr_5</t>
  </si>
  <si>
    <t>Сысертский_5</t>
  </si>
  <si>
    <t>sysr_6</t>
  </si>
  <si>
    <t>Сысертский_6</t>
  </si>
  <si>
    <t>sysr_7</t>
  </si>
  <si>
    <t>Сысертский_7</t>
  </si>
  <si>
    <t>sysr_8</t>
  </si>
  <si>
    <t>Сысертский_8</t>
  </si>
  <si>
    <t>sysr_9</t>
  </si>
  <si>
    <t>Сысертский_9</t>
  </si>
  <si>
    <t>urls_1</t>
  </si>
  <si>
    <t>Уральский_1</t>
  </si>
  <si>
    <t>vdbr_1</t>
  </si>
  <si>
    <t>Верхне-Дуброво_1</t>
  </si>
  <si>
    <t>vpsh_1</t>
  </si>
  <si>
    <t>ВерхнеПышминский_1</t>
  </si>
  <si>
    <t>vpsh_2</t>
  </si>
  <si>
    <t>ВерхнеПышминский_2</t>
  </si>
  <si>
    <t>vpsh_3</t>
  </si>
  <si>
    <t>ВерхнеПышминский_3</t>
  </si>
  <si>
    <t>zare_1</t>
  </si>
  <si>
    <t>Заречный_1</t>
  </si>
  <si>
    <t>vpsh_4</t>
  </si>
  <si>
    <t>ВерхнеПышминский_4</t>
  </si>
  <si>
    <t>количественный</t>
  </si>
  <si>
    <t>ЕСЛИ(Общая площадь&gt;6000;0,3938;( -0,00000000000000024*Общая площадь^4 + 0,00000000001297181*Общая площадь^3 - 0,00000011794827687*Общая площадь^2 + 0,00020947190264916*Общая площадь+ 0,89227199752245100))</t>
  </si>
  <si>
    <t>Это аппрокисимирующая функция, учитывет коэффициент регрессора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</si>
  <si>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безразличия)+0,962501568438211)))))*0,71449)</t>
  </si>
  <si>
    <t>Уторгование</t>
  </si>
  <si>
    <t>коэффициент вне модели</t>
  </si>
  <si>
    <t>V11</t>
  </si>
  <si>
    <t>Отсутствие  уторгования</t>
  </si>
  <si>
    <t>Код расчета вида использования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</si>
  <si>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</si>
  <si>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</si>
  <si>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</si>
  <si>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</si>
  <si>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</si>
  <si>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</si>
  <si>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</si>
  <si>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</si>
  <si>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</si>
  <si>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</si>
  <si>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</si>
  <si>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</si>
  <si>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</si>
  <si>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</si>
  <si>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</si>
  <si>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</si>
  <si>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</si>
  <si>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</si>
  <si>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</si>
  <si>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</si>
  <si>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</si>
  <si>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</si>
  <si>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</si>
  <si>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</si>
  <si>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</si>
  <si>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</si>
  <si>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</si>
  <si>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</si>
  <si>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</si>
  <si>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</si>
  <si>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</si>
  <si>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</si>
  <si>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</si>
  <si>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</si>
  <si>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</si>
  <si>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</si>
  <si>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</si>
  <si>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</si>
  <si>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</si>
  <si>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</si>
  <si>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</si>
  <si>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</si>
  <si>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</si>
  <si>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</si>
  <si>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</si>
  <si>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</si>
  <si>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</si>
  <si>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</si>
  <si>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</si>
  <si>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</si>
  <si>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</si>
  <si>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</si>
  <si>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</si>
  <si>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</si>
  <si>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</si>
  <si>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</si>
  <si>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</si>
  <si>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</si>
  <si>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</si>
  <si>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</si>
  <si>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</si>
  <si>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</si>
  <si>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</si>
  <si>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</si>
  <si>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</si>
  <si>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</si>
  <si>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</si>
  <si>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</si>
  <si>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</si>
  <si>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</si>
  <si>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</si>
  <si>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</si>
  <si>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</si>
  <si>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</si>
  <si>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</si>
  <si>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</si>
  <si>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</si>
  <si>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</si>
  <si>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</si>
  <si>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</si>
  <si>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</si>
  <si>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</si>
  <si>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</si>
  <si>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</si>
  <si>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</si>
  <si>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</si>
  <si>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</si>
  <si>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</si>
  <si>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</si>
  <si>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</si>
  <si>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</si>
  <si>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</si>
  <si>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</si>
  <si>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</si>
  <si>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</si>
  <si>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</si>
  <si>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</si>
  <si>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</si>
  <si>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</si>
  <si>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</si>
  <si>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</si>
  <si>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</si>
  <si>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</si>
  <si>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</si>
  <si>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</si>
  <si>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</si>
  <si>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</si>
  <si>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</si>
  <si>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</si>
  <si>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</si>
  <si>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</si>
  <si>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</si>
  <si>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</si>
  <si>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</si>
  <si>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</si>
  <si>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</si>
  <si>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</si>
  <si>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</si>
  <si>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</si>
  <si>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</si>
  <si>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</si>
  <si>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</si>
  <si>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</si>
  <si>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</si>
  <si>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</si>
  <si>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</si>
  <si>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</si>
  <si>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</si>
  <si>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</si>
  <si>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</si>
  <si>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</si>
  <si>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</si>
  <si>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</si>
  <si>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</si>
  <si>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</si>
  <si>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</si>
  <si>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</si>
  <si>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</si>
  <si>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</si>
  <si>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</si>
  <si>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</si>
  <si>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</si>
  <si>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</si>
  <si>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</si>
  <si>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</si>
  <si>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</si>
  <si>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</si>
  <si>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</si>
  <si>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</si>
  <si>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</si>
  <si>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</si>
  <si>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</si>
  <si>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</si>
  <si>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</si>
  <si>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</si>
  <si>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</si>
  <si>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</si>
  <si>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</si>
  <si>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</si>
  <si>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</si>
  <si>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</si>
  <si>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</si>
  <si>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</si>
  <si>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</si>
  <si>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</si>
  <si>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</si>
  <si>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</si>
  <si>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</si>
  <si>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</si>
  <si>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</si>
  <si>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</si>
  <si>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</si>
  <si>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</si>
  <si>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</si>
  <si>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</si>
  <si>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</si>
  <si>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</si>
  <si>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</si>
  <si>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</si>
  <si>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</si>
  <si>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</si>
  <si>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</si>
  <si>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</si>
  <si>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</si>
  <si>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</si>
  <si>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</si>
  <si>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</si>
  <si>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</si>
  <si>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</si>
  <si>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</si>
  <si>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</si>
  <si>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</si>
  <si>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</si>
  <si>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</si>
  <si>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</si>
  <si>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</si>
  <si>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</si>
  <si>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</si>
  <si>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</si>
  <si>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</si>
  <si>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</si>
  <si>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</si>
  <si>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</si>
  <si>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</si>
  <si>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</si>
  <si>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</si>
  <si>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</si>
  <si>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</si>
  <si>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</si>
  <si>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</si>
  <si>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</si>
  <si>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</si>
  <si>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</si>
  <si>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</si>
  <si>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</si>
  <si>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</si>
  <si>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</si>
  <si>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</si>
  <si>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</si>
  <si>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</si>
  <si>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</si>
  <si>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</si>
  <si>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</si>
  <si>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</si>
  <si>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</si>
  <si>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</si>
  <si>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</si>
  <si>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</si>
  <si>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</si>
  <si>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</si>
  <si>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</si>
  <si>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</si>
  <si>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</si>
  <si>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</si>
  <si>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</si>
  <si>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</si>
  <si>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</si>
  <si>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</si>
  <si>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</si>
  <si>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</si>
  <si>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</si>
  <si>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</si>
  <si>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</si>
  <si>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</si>
  <si>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</si>
  <si>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</si>
  <si>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</si>
  <si>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</si>
  <si>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</si>
  <si>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</si>
  <si>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</si>
  <si>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</si>
  <si>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</si>
  <si>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</si>
  <si>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</si>
  <si>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</si>
  <si>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</si>
  <si>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</si>
  <si>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</si>
  <si>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</si>
  <si>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</si>
  <si>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</si>
  <si>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</si>
  <si>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</si>
  <si>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</si>
  <si>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</si>
  <si>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</si>
  <si>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</si>
  <si>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</si>
  <si>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</si>
  <si>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</si>
  <si>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</si>
  <si>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</si>
  <si>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</si>
  <si>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</si>
  <si>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</si>
  <si>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</si>
  <si>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</si>
  <si>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</si>
  <si>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</si>
  <si>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</si>
  <si>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</si>
  <si>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</si>
  <si>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</si>
  <si>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</si>
  <si>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</si>
  <si>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</si>
  <si>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</si>
  <si>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</si>
  <si>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</si>
  <si>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</si>
  <si>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</si>
  <si>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</si>
  <si>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</si>
  <si>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</si>
  <si>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</si>
  <si>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</si>
  <si>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</si>
  <si>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</si>
  <si>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</si>
  <si>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</si>
  <si>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</si>
  <si>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</si>
  <si>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</si>
  <si>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</si>
  <si>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</si>
  <si>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</si>
  <si>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</si>
  <si>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</si>
  <si>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</si>
  <si>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</si>
  <si>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</si>
  <si>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</si>
  <si>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</si>
  <si>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</si>
  <si>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</si>
  <si>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</si>
  <si>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</si>
  <si>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</si>
  <si>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</si>
  <si>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</si>
  <si>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</si>
  <si>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</si>
  <si>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</si>
  <si>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</si>
  <si>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</si>
  <si>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</si>
  <si>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</si>
  <si>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</si>
  <si>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</si>
  <si>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</si>
  <si>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</si>
  <si>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</si>
  <si>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</si>
  <si>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</si>
  <si>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</si>
  <si>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</si>
  <si>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</si>
  <si>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</si>
  <si>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</si>
  <si>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</si>
  <si>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</si>
  <si>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</si>
  <si>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</si>
  <si>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</si>
  <si>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</si>
  <si>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</si>
  <si>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</si>
  <si>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</si>
  <si>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</si>
  <si>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</si>
  <si>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</si>
  <si>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</si>
  <si>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</si>
  <si>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</si>
  <si>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</si>
  <si>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</si>
  <si>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</si>
  <si>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</si>
  <si>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</si>
  <si>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</si>
  <si>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</si>
  <si>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</si>
  <si>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</si>
  <si>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</si>
  <si>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</si>
  <si>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</si>
  <si>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</si>
  <si>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</si>
  <si>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</si>
  <si>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</si>
  <si>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</si>
  <si>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</si>
  <si>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</si>
  <si>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</si>
  <si>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</si>
  <si>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</si>
  <si>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</si>
  <si>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</si>
  <si>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</si>
  <si>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</si>
  <si>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</si>
  <si>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</si>
  <si>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</si>
  <si>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</si>
  <si>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</si>
  <si>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</si>
  <si>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</si>
  <si>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</si>
  <si>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</si>
  <si>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</si>
  <si>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</si>
  <si>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</si>
  <si>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</si>
  <si>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</si>
  <si>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</si>
  <si>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</si>
  <si>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</si>
  <si>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</si>
  <si>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</si>
  <si>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</si>
  <si>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</si>
  <si>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</si>
  <si>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</si>
  <si>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</si>
  <si>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</si>
  <si>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</si>
  <si>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</si>
  <si>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</si>
  <si>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</si>
  <si>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</si>
  <si>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</si>
  <si>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</si>
  <si>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</si>
  <si>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</si>
  <si>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</si>
  <si>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</si>
  <si>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</si>
  <si>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</si>
  <si>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</si>
  <si>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</si>
  <si>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</si>
  <si>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</si>
  <si>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</si>
  <si>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</si>
  <si>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</si>
  <si>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</si>
  <si>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</si>
  <si>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</si>
  <si>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</si>
  <si>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</si>
  <si>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</si>
  <si>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</si>
  <si>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</si>
  <si>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</si>
  <si>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</si>
  <si>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</si>
  <si>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</si>
  <si>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</si>
  <si>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</si>
  <si>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</si>
  <si>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</si>
  <si>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</si>
  <si>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</si>
  <si>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</si>
  <si>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</si>
  <si>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</si>
  <si>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</si>
  <si>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</si>
  <si>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</si>
  <si>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</si>
  <si>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</si>
  <si>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</si>
  <si>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</si>
  <si>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</si>
  <si>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</si>
  <si>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</si>
  <si>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</si>
  <si>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</si>
  <si>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</si>
  <si>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</si>
  <si>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</si>
  <si>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</si>
  <si>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</si>
  <si>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</si>
  <si>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</si>
  <si>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</si>
  <si>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</si>
  <si>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</si>
  <si>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</si>
  <si>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</si>
  <si>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</si>
  <si>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</si>
  <si>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</si>
  <si>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</si>
  <si>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</si>
  <si>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</si>
  <si>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</si>
  <si>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</si>
  <si>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</si>
  <si>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</si>
  <si>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</si>
  <si>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</si>
  <si>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</si>
  <si>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</si>
  <si>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</si>
  <si>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</si>
  <si>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</si>
  <si>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</si>
  <si>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</si>
  <si>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</si>
  <si>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</si>
  <si>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</si>
  <si>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</si>
  <si>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</si>
  <si>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</si>
  <si>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</si>
  <si>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</si>
  <si>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</si>
  <si>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</si>
  <si>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</si>
  <si>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</si>
  <si>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</si>
  <si>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</si>
  <si>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</si>
  <si>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</si>
  <si>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</si>
  <si>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02:010</t>
  </si>
  <si>
    <t>Индивидуальное жилищное строительство в целом</t>
  </si>
  <si>
    <t>02:011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</si>
  <si>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</si>
  <si>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</si>
  <si>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</si>
  <si>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</si>
  <si>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</si>
  <si>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02:020</t>
  </si>
  <si>
    <t>Ведение личного подсобного хозяйства с правом застройки в целом</t>
  </si>
  <si>
    <t>02:021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</si>
  <si>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</si>
  <si>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02:030</t>
  </si>
  <si>
    <t>Блокированная жилая застройка в целом</t>
  </si>
  <si>
    <t>02:031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</si>
  <si>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</si>
  <si>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13:011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</si>
  <si>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</si>
  <si>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13:021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</si>
  <si>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</si>
  <si>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</si>
  <si>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</si>
  <si>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13:031</t>
  </si>
  <si>
    <t>Дачные, садовые и огородные участки в организованных коттеджных поселках.</t>
  </si>
  <si>
    <t>02:023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</si>
  <si>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</si>
  <si>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02:019</t>
  </si>
  <si>
    <t>Размещение индивидуального жилого дома в организованных коттеджных поселках</t>
  </si>
  <si>
    <t>13:000</t>
  </si>
  <si>
    <t>Малоэтажная жилая застройка без  уточнения этажности и характера использования земельного участка</t>
  </si>
  <si>
    <t>14:000</t>
  </si>
  <si>
    <t>Иное использование</t>
  </si>
  <si>
    <t>loc_factor_8331</t>
  </si>
  <si>
    <t>семантика</t>
  </si>
  <si>
    <t>Подъезд к участку (ЦФ)</t>
  </si>
  <si>
    <t>текст</t>
  </si>
  <si>
    <t>правило</t>
  </si>
  <si>
    <t>иное</t>
  </si>
  <si>
    <t>Ошибка определения</t>
  </si>
  <si>
    <t>!MST!</t>
  </si>
  <si>
    <t>иное(возможность)</t>
  </si>
  <si>
    <t>наличие</t>
  </si>
  <si>
    <t>Есть подъезд</t>
  </si>
  <si>
    <t>Наличие</t>
  </si>
  <si>
    <t>отсыпанная</t>
  </si>
  <si>
    <t>есть</t>
  </si>
  <si>
    <t>асфальт</t>
  </si>
  <si>
    <t>Есть</t>
  </si>
  <si>
    <t>грунтовая</t>
  </si>
  <si>
    <t>нет</t>
  </si>
  <si>
    <t>Нет</t>
  </si>
  <si>
    <t>Отсутствие</t>
  </si>
  <si>
    <t>отсутствие</t>
  </si>
  <si>
    <t>пересечение</t>
  </si>
  <si>
    <t>возможность</t>
  </si>
  <si>
    <t>Пересечение</t>
  </si>
  <si>
    <t>рядом</t>
  </si>
  <si>
    <t>контрольный образец</t>
  </si>
  <si>
    <t>Модуль</t>
  </si>
  <si>
    <t>точное совпадение</t>
  </si>
  <si>
    <t>среднезональные расстояния</t>
  </si>
  <si>
    <t>КН</t>
  </si>
  <si>
    <t>Зона</t>
  </si>
  <si>
    <t>MO</t>
  </si>
  <si>
    <t>ZonaIGS</t>
  </si>
  <si>
    <t>avg_dst_z0</t>
  </si>
  <si>
    <t>zona</t>
  </si>
  <si>
    <t>расшифровка ВРИ</t>
  </si>
  <si>
    <t>код ВРИ</t>
  </si>
  <si>
    <t>66:06:1401001</t>
  </si>
  <si>
    <t>08</t>
  </si>
  <si>
    <t>66:06:4502001</t>
  </si>
  <si>
    <t>32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</si>
  <si>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</t>
  </si>
  <si>
    <t>66:06:4503005</t>
  </si>
  <si>
    <t>67</t>
  </si>
  <si>
    <t>66:06:4503008</t>
  </si>
  <si>
    <t>17</t>
  </si>
  <si>
    <t>66:06:2001002</t>
  </si>
  <si>
    <t>07</t>
  </si>
  <si>
    <t>66:06:2001001</t>
  </si>
  <si>
    <t>60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</si>
  <si>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</t>
  </si>
  <si>
    <t>66:06:2001003</t>
  </si>
  <si>
    <t>48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</si>
  <si>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</t>
  </si>
  <si>
    <t>66:06:2001004</t>
  </si>
  <si>
    <t>01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</si>
  <si>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</t>
  </si>
  <si>
    <t>66:06:2001005</t>
  </si>
  <si>
    <t>23</t>
  </si>
  <si>
    <t>Ведение садоводства. Осуществление отдыха и (или) деятельности, связанной с выращиванием гражданами для собственных нужд сельскохозяйственных культур; размещение садовых домов, жилых домов, размещение для собственных нужд гаражей и иных хозяйственных пос</t>
  </si>
  <si>
    <t>66:06:4503004</t>
  </si>
  <si>
    <t>20</t>
  </si>
  <si>
    <t>Ведение огородничества.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</t>
  </si>
  <si>
    <t>66:06:4503006</t>
  </si>
  <si>
    <t>47</t>
  </si>
  <si>
    <t>sw3</t>
  </si>
  <si>
    <t>Ведение дачного хозяйства. Размещение жилого дачного дома, не предназначенного для раздела на квартиры, пригодного для отдыха и проживания, высотой не выше трех надземных этажей</t>
  </si>
  <si>
    <t>66:06:4503007</t>
  </si>
  <si>
    <t>35</t>
  </si>
  <si>
    <t>66:06:1801001</t>
  </si>
  <si>
    <t>24</t>
  </si>
  <si>
    <t>66:06:1901001</t>
  </si>
  <si>
    <t>33</t>
  </si>
  <si>
    <t>66:06:1901002</t>
  </si>
  <si>
    <t>66:06:1901003</t>
  </si>
  <si>
    <t>berz_2</t>
  </si>
  <si>
    <t>66:06:1901004</t>
  </si>
  <si>
    <t>66:06:1901005</t>
  </si>
  <si>
    <t>66:06:1901006</t>
  </si>
  <si>
    <t>66:06:1901007</t>
  </si>
  <si>
    <t>66:06:1901008</t>
  </si>
  <si>
    <t>66:06:1901009</t>
  </si>
  <si>
    <t>66:06:4503001</t>
  </si>
  <si>
    <t>66:06:2301006</t>
  </si>
  <si>
    <t>66:06:2301001</t>
  </si>
  <si>
    <t>66:06:2301002</t>
  </si>
  <si>
    <t>66:06:2301003</t>
  </si>
  <si>
    <t>66:06:2301004</t>
  </si>
  <si>
    <t>66:06:2301005</t>
  </si>
  <si>
    <t>66:06:2301007</t>
  </si>
  <si>
    <t>66:06:2301008</t>
  </si>
  <si>
    <t>66:06:2301009</t>
  </si>
  <si>
    <t>66:06:4503009</t>
  </si>
  <si>
    <t>66:06:2701006</t>
  </si>
  <si>
    <t>66:06:2201002</t>
  </si>
  <si>
    <t>66:06:2701001</t>
  </si>
  <si>
    <t>66:06:2701002</t>
  </si>
  <si>
    <t>66:06:2701003</t>
  </si>
  <si>
    <t>66:06:2701004</t>
  </si>
  <si>
    <t>66:06:2701005</t>
  </si>
  <si>
    <t>66:06:2701007</t>
  </si>
  <si>
    <t>66:06:3501001</t>
  </si>
  <si>
    <t>66:06:3501002</t>
  </si>
  <si>
    <t>66:06:3801001</t>
  </si>
  <si>
    <t>66:06:3801002</t>
  </si>
  <si>
    <t>66:06:4503013</t>
  </si>
  <si>
    <t>66:06:4502005</t>
  </si>
  <si>
    <t>66:06:1301001</t>
  </si>
  <si>
    <t>66:06:1301002</t>
  </si>
  <si>
    <t>66:06:4502002</t>
  </si>
  <si>
    <t>расстояние</t>
  </si>
  <si>
    <t>значение</t>
  </si>
  <si>
    <t xml:space="preserve"> LN</t>
  </si>
  <si>
    <t>66:06:4502003</t>
  </si>
  <si>
    <t>cnst</t>
  </si>
  <si>
    <t>66:06:4502004</t>
  </si>
  <si>
    <t>66:06:1701029</t>
  </si>
  <si>
    <t>66:06:1701020</t>
  </si>
  <si>
    <t>66:06:1701021</t>
  </si>
  <si>
    <t>66:06:1701022</t>
  </si>
  <si>
    <t>66:06:1701023</t>
  </si>
  <si>
    <t>66:06:1701024</t>
  </si>
  <si>
    <t>66:06:1701025</t>
  </si>
  <si>
    <t>66:06:1701026</t>
  </si>
  <si>
    <t>66:06:1701027</t>
  </si>
  <si>
    <t>66:06:1701028</t>
  </si>
  <si>
    <t>66:06:1701037</t>
  </si>
  <si>
    <t>66:06:1701038</t>
  </si>
  <si>
    <t>66:06:1701039</t>
  </si>
  <si>
    <t>принятые решения</t>
  </si>
  <si>
    <t>66:06:1701040</t>
  </si>
  <si>
    <t>ss</t>
  </si>
  <si>
    <t>Юг</t>
  </si>
  <si>
    <t>66:06:1701068</t>
  </si>
  <si>
    <t>66:42:0101001</t>
  </si>
  <si>
    <t>66:42:0101002</t>
  </si>
  <si>
    <t>Формулы</t>
  </si>
  <si>
    <t>66:42:0101003</t>
  </si>
  <si>
    <t>66:42:0101004</t>
  </si>
  <si>
    <t>площадь</t>
  </si>
  <si>
    <t>значение аппроксимирующей функции</t>
  </si>
  <si>
    <t>(LN*cnst)</t>
  </si>
  <si>
    <t>EXP(LN*cnst)</t>
  </si>
  <si>
    <t>66:42:0101005</t>
  </si>
  <si>
    <t>66:42:0101006</t>
  </si>
  <si>
    <t>верхняя граница</t>
  </si>
  <si>
    <t>66:42:0101007</t>
  </si>
  <si>
    <t>нижняя граница</t>
  </si>
  <si>
    <t>66:42:0101008</t>
  </si>
  <si>
    <t>66:42:0101009</t>
  </si>
  <si>
    <t>66:42:0101010</t>
  </si>
  <si>
    <t>66:42:0101015</t>
  </si>
  <si>
    <t>66:42:0102001</t>
  </si>
  <si>
    <t>66:42:0102002</t>
  </si>
  <si>
    <t>контрольная функция из листа "количественные факторы"</t>
  </si>
  <si>
    <t>66:42:0102003</t>
  </si>
  <si>
    <t>66:42:0301001</t>
  </si>
  <si>
    <t>66:06:1501001</t>
  </si>
  <si>
    <t>y = -0,00000000000000024x4 + 0,00000000001297181x3 - 0,00000011794827687x2 + 0,00020947190264916x + 0,89227199752245100</t>
  </si>
  <si>
    <t>66:06:1501002</t>
  </si>
  <si>
    <t>66:06:1501003</t>
  </si>
  <si>
    <t>66:06:1501004</t>
  </si>
  <si>
    <t>66:06:1701009</t>
  </si>
  <si>
    <t>66:42:0101034</t>
  </si>
  <si>
    <t>66:42:0102007</t>
  </si>
  <si>
    <t>66:42:0102008</t>
  </si>
  <si>
    <t>66:42:0102009</t>
  </si>
  <si>
    <t>66:06:1701008</t>
  </si>
  <si>
    <t>66:06:1701010</t>
  </si>
  <si>
    <t>66:06:1701011</t>
  </si>
  <si>
    <t>66:06:1701013</t>
  </si>
  <si>
    <t>66:06:1701069</t>
  </si>
  <si>
    <t>66:06:1701070</t>
  </si>
  <si>
    <t>66:42:0101017</t>
  </si>
  <si>
    <t>66:42:0101014</t>
  </si>
  <si>
    <t>66:42:0101020</t>
  </si>
  <si>
    <t>66:42:0101021</t>
  </si>
  <si>
    <t>66:42:0101022</t>
  </si>
  <si>
    <t>66:42:0101023</t>
  </si>
  <si>
    <t>66:42:0101024</t>
  </si>
  <si>
    <t>66:42:0101025</t>
  </si>
  <si>
    <t>66:42:0101029</t>
  </si>
  <si>
    <t>66:42:0101030</t>
  </si>
  <si>
    <t>66:42:0101037</t>
  </si>
  <si>
    <t>66:42:0102004</t>
  </si>
  <si>
    <t>66:42:0102005</t>
  </si>
  <si>
    <t>66:42:0102006</t>
  </si>
  <si>
    <t>66:42:0102011</t>
  </si>
  <si>
    <t>66:42:0201002</t>
  </si>
  <si>
    <t>66:06:1601001</t>
  </si>
  <si>
    <t>66:06:1601002</t>
  </si>
  <si>
    <t>66:06:1601003</t>
  </si>
  <si>
    <t>66:42:0101031</t>
  </si>
  <si>
    <t>66:42:0101019</t>
  </si>
  <si>
    <t>66:42:0101011</t>
  </si>
  <si>
    <t>66:42:0101012</t>
  </si>
  <si>
    <t>66:42:0101013</t>
  </si>
  <si>
    <t>66:42:0101016</t>
  </si>
  <si>
    <t>66:42:0101018</t>
  </si>
  <si>
    <t>66:42:0101026</t>
  </si>
  <si>
    <t>66:42:0101027</t>
  </si>
  <si>
    <t>66:42:0101028</t>
  </si>
  <si>
    <t>66:42:0101032</t>
  </si>
  <si>
    <t>66:42:0101033</t>
  </si>
  <si>
    <t>66:42:0101035</t>
  </si>
  <si>
    <t>66:42:0101036</t>
  </si>
  <si>
    <t>66:42:0201005</t>
  </si>
  <si>
    <t>66:42:0102010</t>
  </si>
  <si>
    <t>66:42:0401001</t>
  </si>
  <si>
    <t>66:42:0401002</t>
  </si>
  <si>
    <t>66:42:0401003</t>
  </si>
  <si>
    <t>66:42:0401004</t>
  </si>
  <si>
    <t>66:42:0401005</t>
  </si>
  <si>
    <t>66:42:0401006</t>
  </si>
  <si>
    <t>66:42:0401007</t>
  </si>
  <si>
    <t>66:42:0401008</t>
  </si>
  <si>
    <t>66:35:0218013</t>
  </si>
  <si>
    <t>66:35:0218012</t>
  </si>
  <si>
    <t>66:35:0201002</t>
  </si>
  <si>
    <t>66:35:0201003</t>
  </si>
  <si>
    <t>66:35:0202006</t>
  </si>
  <si>
    <t>66:35:0202007</t>
  </si>
  <si>
    <t>66:35:0202008</t>
  </si>
  <si>
    <t>66:35:0202009</t>
  </si>
  <si>
    <t>66:35:0202010</t>
  </si>
  <si>
    <t>66:35:0202011</t>
  </si>
  <si>
    <t>66:35:0218001</t>
  </si>
  <si>
    <t>66:35:0218002</t>
  </si>
  <si>
    <t>66:35:0218003</t>
  </si>
  <si>
    <t>66:35:0218004</t>
  </si>
  <si>
    <t>66:35:0218005</t>
  </si>
  <si>
    <t>66:35:0218006</t>
  </si>
  <si>
    <t>66:35:0218007</t>
  </si>
  <si>
    <t>66:66:0201002</t>
  </si>
  <si>
    <t>66:66:0201001</t>
  </si>
  <si>
    <t>66:42:0201001</t>
  </si>
  <si>
    <t>66:35:0221008</t>
  </si>
  <si>
    <t>66:35:0221009</t>
  </si>
  <si>
    <t>66:35:0224002</t>
  </si>
  <si>
    <t>66:35:0224003</t>
  </si>
  <si>
    <t>66:35:0224004</t>
  </si>
  <si>
    <t>66:35:0202003</t>
  </si>
  <si>
    <t>66:35:0202001</t>
  </si>
  <si>
    <t>66:35:0202002</t>
  </si>
  <si>
    <t>66:35:0202004</t>
  </si>
  <si>
    <t>66:35:0202005</t>
  </si>
  <si>
    <t>66:35:0219001</t>
  </si>
  <si>
    <t>66:35:0219002</t>
  </si>
  <si>
    <t>66:35:0219003</t>
  </si>
  <si>
    <t>66:35:0219004</t>
  </si>
  <si>
    <t>66:35:0219005</t>
  </si>
  <si>
    <t>66:35:0219006</t>
  </si>
  <si>
    <t>66:35:0219007</t>
  </si>
  <si>
    <t>66:35:0219013</t>
  </si>
  <si>
    <t>66:35:0219014</t>
  </si>
  <si>
    <t>66:35:0219015</t>
  </si>
  <si>
    <t>66:35:0219016</t>
  </si>
  <si>
    <t>66:35:0207001</t>
  </si>
  <si>
    <t>66:35:0201007</t>
  </si>
  <si>
    <t>66:35:0205001</t>
  </si>
  <si>
    <t>66:35:0205002</t>
  </si>
  <si>
    <t>66:35:0205003</t>
  </si>
  <si>
    <t>66:35:0207002</t>
  </si>
  <si>
    <t>66:35:0207016</t>
  </si>
  <si>
    <t>66:35:0207011</t>
  </si>
  <si>
    <t>66:35:0207003</t>
  </si>
  <si>
    <t>66:35:0207004</t>
  </si>
  <si>
    <t>66:35:0207005</t>
  </si>
  <si>
    <t>66:35:0207006</t>
  </si>
  <si>
    <t>66:35:0207007</t>
  </si>
  <si>
    <t>66:35:0207009</t>
  </si>
  <si>
    <t>66:35:0207010</t>
  </si>
  <si>
    <t>66:35:0207012</t>
  </si>
  <si>
    <t>66:35:0207013</t>
  </si>
  <si>
    <t>66:35:0207014</t>
  </si>
  <si>
    <t>66:35:0207015</t>
  </si>
  <si>
    <t>66:35:0201001</t>
  </si>
  <si>
    <t>66:35:0201006</t>
  </si>
  <si>
    <t>66:35:0206001</t>
  </si>
  <si>
    <t>66:35:0206002</t>
  </si>
  <si>
    <t>66:35:0206003</t>
  </si>
  <si>
    <t>66:36:0601001</t>
  </si>
  <si>
    <t>66:36:2901001</t>
  </si>
  <si>
    <t>66:36:2901007</t>
  </si>
  <si>
    <t>66:35:0219010</t>
  </si>
  <si>
    <t>66:35:0201004</t>
  </si>
  <si>
    <t>66:35:0201005</t>
  </si>
  <si>
    <t>66:35:0203001</t>
  </si>
  <si>
    <t>66:35:0203002</t>
  </si>
  <si>
    <t>66:35:0203003</t>
  </si>
  <si>
    <t>66:35:0203004</t>
  </si>
  <si>
    <t>66:35:0204001</t>
  </si>
  <si>
    <t>66:35:0204002</t>
  </si>
  <si>
    <t>66:35:0204003</t>
  </si>
  <si>
    <t>66:35:0204004</t>
  </si>
  <si>
    <t>66:35:0219008</t>
  </si>
  <si>
    <t>66:35:0219009</t>
  </si>
  <si>
    <t>66:35:0219011</t>
  </si>
  <si>
    <t>66:35:0219012</t>
  </si>
  <si>
    <t>66:35:0207017</t>
  </si>
  <si>
    <t>66:35:0207018</t>
  </si>
  <si>
    <t>66:35:0207019</t>
  </si>
  <si>
    <t>66:35:0207020</t>
  </si>
  <si>
    <t>66:35:0213001</t>
  </si>
  <si>
    <t>66:35:0213002</t>
  </si>
  <si>
    <t>66:35:0218008</t>
  </si>
  <si>
    <t>66:35:0218009</t>
  </si>
  <si>
    <t>66:35:0218010</t>
  </si>
  <si>
    <t>66:35:0218011</t>
  </si>
  <si>
    <t>66:35:0220001</t>
  </si>
  <si>
    <t>66:35:0220002</t>
  </si>
  <si>
    <t>66:35:0212012</t>
  </si>
  <si>
    <t>66:36:3201007</t>
  </si>
  <si>
    <t>66:36:3201013</t>
  </si>
  <si>
    <t>66:35:0201011</t>
  </si>
  <si>
    <t>66:35:0201023</t>
  </si>
  <si>
    <t>66:35:0212001</t>
  </si>
  <si>
    <t>66:35:0212009</t>
  </si>
  <si>
    <t>66:35:0212010</t>
  </si>
  <si>
    <t>66:35:0212011</t>
  </si>
  <si>
    <t>66:35:0212013</t>
  </si>
  <si>
    <t>66:35:0212014</t>
  </si>
  <si>
    <t>66:35:0212015</t>
  </si>
  <si>
    <t>66:35:0212016</t>
  </si>
  <si>
    <t>66:35:0212018</t>
  </si>
  <si>
    <t>66:35:0214001</t>
  </si>
  <si>
    <t>66:35:0214002</t>
  </si>
  <si>
    <t>66:35:0221003</t>
  </si>
  <si>
    <t>66:35:0212006</t>
  </si>
  <si>
    <t>66:36:3201010</t>
  </si>
  <si>
    <t>66:36:3201011</t>
  </si>
  <si>
    <t>66:36:3201012</t>
  </si>
  <si>
    <t>66:35:0212002</t>
  </si>
  <si>
    <t>66:35:0212003</t>
  </si>
  <si>
    <t>66:35:0212004</t>
  </si>
  <si>
    <t>66:35:0212005</t>
  </si>
  <si>
    <t>66:35:0212007</t>
  </si>
  <si>
    <t>66:35:0212008</t>
  </si>
  <si>
    <t>66:35:0212017</t>
  </si>
  <si>
    <t>66:35:0215001</t>
  </si>
  <si>
    <t>66:35:0215002</t>
  </si>
  <si>
    <t>66:35:0215003</t>
  </si>
  <si>
    <t>66:35:0215004</t>
  </si>
  <si>
    <t>66:35:0215005</t>
  </si>
  <si>
    <t>66:35:0215006</t>
  </si>
  <si>
    <t>66:35:0215007</t>
  </si>
  <si>
    <t>66:35:0221002</t>
  </si>
  <si>
    <t>66:36:0103012</t>
  </si>
  <si>
    <t>66:35:0209002</t>
  </si>
  <si>
    <t>66:36:1301009</t>
  </si>
  <si>
    <t>66:36:1301001</t>
  </si>
  <si>
    <t>66:36:1301005</t>
  </si>
  <si>
    <t>66:36:1301008</t>
  </si>
  <si>
    <t>66:36:1301010</t>
  </si>
  <si>
    <t>66:36:1301013</t>
  </si>
  <si>
    <t>66:36:1301014</t>
  </si>
  <si>
    <t>66:36:3201004</t>
  </si>
  <si>
    <t>66:35:0201008</t>
  </si>
  <si>
    <t>66:35:0208001</t>
  </si>
  <si>
    <t>66:35:0208002</t>
  </si>
  <si>
    <t>66:35:0208003</t>
  </si>
  <si>
    <t>66:35:0208004</t>
  </si>
  <si>
    <t>66:35:0209001</t>
  </si>
  <si>
    <t>66:35:0210001</t>
  </si>
  <si>
    <t>66:35:0210002</t>
  </si>
  <si>
    <t>66:35:0210003</t>
  </si>
  <si>
    <t>66:36:3202002</t>
  </si>
  <si>
    <t>66:36:3201002</t>
  </si>
  <si>
    <t>66:36:3201009</t>
  </si>
  <si>
    <t>66:36:3202003</t>
  </si>
  <si>
    <t>66:35:0211002</t>
  </si>
  <si>
    <t>66:35:0211003</t>
  </si>
  <si>
    <t>66:36:1401002</t>
  </si>
  <si>
    <t>66:36:1301015</t>
  </si>
  <si>
    <t>66:36:1301002</t>
  </si>
  <si>
    <t>66:36:1301003</t>
  </si>
  <si>
    <t>66:36:1301004</t>
  </si>
  <si>
    <t>66:36:1301006</t>
  </si>
  <si>
    <t>66:36:1301007</t>
  </si>
  <si>
    <t>66:36:1301011</t>
  </si>
  <si>
    <t>66:36:1301012</t>
  </si>
  <si>
    <t>66:36:1301016</t>
  </si>
  <si>
    <t>66:36:1301017</t>
  </si>
  <si>
    <t>66:36:1401001</t>
  </si>
  <si>
    <t>66:36:2201001</t>
  </si>
  <si>
    <t>66:36:2201002</t>
  </si>
  <si>
    <t>66:36:3201001</t>
  </si>
  <si>
    <t>66:36:3201003</t>
  </si>
  <si>
    <t>66:35:0201009</t>
  </si>
  <si>
    <t>66:35:0201010</t>
  </si>
  <si>
    <t>66:35:0211001</t>
  </si>
  <si>
    <t>66:36:1001001</t>
  </si>
  <si>
    <t>66:36:1001002</t>
  </si>
  <si>
    <t>66:36:1001003</t>
  </si>
  <si>
    <t>66:36:1101001</t>
  </si>
  <si>
    <t>66:36:2903008</t>
  </si>
  <si>
    <t>66:36:2903012</t>
  </si>
  <si>
    <t>66:36:2906001</t>
  </si>
  <si>
    <t>66:36:2906002</t>
  </si>
  <si>
    <t>66:36:2906003</t>
  </si>
  <si>
    <t>66:36:2906004</t>
  </si>
  <si>
    <t>66:36:2906005</t>
  </si>
  <si>
    <t>66:36:2001020</t>
  </si>
  <si>
    <t>66:36:2001013</t>
  </si>
  <si>
    <t>66:36:2001002</t>
  </si>
  <si>
    <t>66:36:2001006</t>
  </si>
  <si>
    <t>66:36:2001007</t>
  </si>
  <si>
    <t>66:36:2001009</t>
  </si>
  <si>
    <t>66:36:2001010</t>
  </si>
  <si>
    <t>66:36:2001017</t>
  </si>
  <si>
    <t>66:36:2001018</t>
  </si>
  <si>
    <t>66:36:2001019</t>
  </si>
  <si>
    <t>66:36:3201008</t>
  </si>
  <si>
    <t>66:36:3202001</t>
  </si>
  <si>
    <t>66:36:0107006</t>
  </si>
  <si>
    <t>66:36:0107001</t>
  </si>
  <si>
    <t>66:36:0107002</t>
  </si>
  <si>
    <t>66:36:0107003</t>
  </si>
  <si>
    <t>66:36:0107004</t>
  </si>
  <si>
    <t>66:36:0107005</t>
  </si>
  <si>
    <t>66:36:2101001</t>
  </si>
  <si>
    <t>66:36:2101002</t>
  </si>
  <si>
    <t>66:36:2101006</t>
  </si>
  <si>
    <t>66:36:2301001</t>
  </si>
  <si>
    <t>66:36:2301002</t>
  </si>
  <si>
    <t>66:36:2301003</t>
  </si>
  <si>
    <t>66:36:2301004</t>
  </si>
  <si>
    <t>66:36:3201014</t>
  </si>
  <si>
    <t>66:36:3201015</t>
  </si>
  <si>
    <t>66:36:3202004</t>
  </si>
  <si>
    <t>66:36:2001001</t>
  </si>
  <si>
    <t>66:36:2001003</t>
  </si>
  <si>
    <t>66:36:2001004</t>
  </si>
  <si>
    <t>66:36:2001005</t>
  </si>
  <si>
    <t>66:36:2001008</t>
  </si>
  <si>
    <t>66:36:2001011</t>
  </si>
  <si>
    <t>66:36:2001012</t>
  </si>
  <si>
    <t>66:36:2001014</t>
  </si>
  <si>
    <t>66:36:2001015</t>
  </si>
  <si>
    <t>66:36:2001016</t>
  </si>
  <si>
    <t>66:36:0102041</t>
  </si>
  <si>
    <t>66:36:0102018</t>
  </si>
  <si>
    <t>66:36:0102011</t>
  </si>
  <si>
    <t>66:36:0102024</t>
  </si>
  <si>
    <t>66:36:0102040</t>
  </si>
  <si>
    <t>66:36:0102049</t>
  </si>
  <si>
    <t>66:36:0102050</t>
  </si>
  <si>
    <t>66:36:0102051</t>
  </si>
  <si>
    <t>66:36:0102057</t>
  </si>
  <si>
    <t>66:36:0102058</t>
  </si>
  <si>
    <t>66:36:0102059</t>
  </si>
  <si>
    <t>66:36:0102065</t>
  </si>
  <si>
    <t>66:36:0102066</t>
  </si>
  <si>
    <t>66:36:0102072</t>
  </si>
  <si>
    <t>66:36:0901003</t>
  </si>
  <si>
    <t>66:36:0701006</t>
  </si>
  <si>
    <t>66:36:0701010</t>
  </si>
  <si>
    <t>66:36:0701019</t>
  </si>
  <si>
    <t>66:36:0901001</t>
  </si>
  <si>
    <t>66:36:0901002</t>
  </si>
  <si>
    <t>66:36:0901004</t>
  </si>
  <si>
    <t>66:36:0901005</t>
  </si>
  <si>
    <t>66:36:0901006</t>
  </si>
  <si>
    <t>66:36:1201001</t>
  </si>
  <si>
    <t>66:36:1201002</t>
  </si>
  <si>
    <t>66:36:1201003</t>
  </si>
  <si>
    <t>66:36:1201004</t>
  </si>
  <si>
    <t>66:36:0102055</t>
  </si>
  <si>
    <t>66:36:0102027</t>
  </si>
  <si>
    <t>66:36:0102025</t>
  </si>
  <si>
    <t>66:36:0102026</t>
  </si>
  <si>
    <t>66:36:0102033</t>
  </si>
  <si>
    <t>66:36:0102034</t>
  </si>
  <si>
    <t>66:36:0102035</t>
  </si>
  <si>
    <t>66:36:0102037</t>
  </si>
  <si>
    <t>66:36:0102038</t>
  </si>
  <si>
    <t>66:36:0102039</t>
  </si>
  <si>
    <t>66:36:0102046</t>
  </si>
  <si>
    <t>66:36:0102047</t>
  </si>
  <si>
    <t>66:36:0102048</t>
  </si>
  <si>
    <t>66:36:0102054</t>
  </si>
  <si>
    <t>66:36:0102056</t>
  </si>
  <si>
    <t>66:36:0102063</t>
  </si>
  <si>
    <t>66:36:0102064</t>
  </si>
  <si>
    <t>66:36:0105001</t>
  </si>
  <si>
    <t>66:36:0105002</t>
  </si>
  <si>
    <t>66:36:0105003</t>
  </si>
  <si>
    <t>66:36:0102003</t>
  </si>
  <si>
    <t>66:36:0102007</t>
  </si>
  <si>
    <t>66:36:0102014</t>
  </si>
  <si>
    <t>66:36:0102015</t>
  </si>
  <si>
    <t>66:36:0102020</t>
  </si>
  <si>
    <t>66:36:0102021</t>
  </si>
  <si>
    <t>66:36:0102030</t>
  </si>
  <si>
    <t>66:36:0102032</t>
  </si>
  <si>
    <t>66:36:0102005</t>
  </si>
  <si>
    <t>66:36:0101001</t>
  </si>
  <si>
    <t>66:36:0102001</t>
  </si>
  <si>
    <t>66:36:0102002</t>
  </si>
  <si>
    <t>66:36:0102006</t>
  </si>
  <si>
    <t>66:36:0102012</t>
  </si>
  <si>
    <t>66:36:0102013</t>
  </si>
  <si>
    <t>66:36:0102019</t>
  </si>
  <si>
    <t>66:36:0102028</t>
  </si>
  <si>
    <t>66:36:0102029</t>
  </si>
  <si>
    <t>66:36:0102042</t>
  </si>
  <si>
    <t>66:36:0102043</t>
  </si>
  <si>
    <t>66:36:0103004</t>
  </si>
  <si>
    <t>66:36:0102070</t>
  </si>
  <si>
    <t>66:36:0102031</t>
  </si>
  <si>
    <t>66:36:0102036</t>
  </si>
  <si>
    <t>66:36:0102044</t>
  </si>
  <si>
    <t>66:36:0102045</t>
  </si>
  <si>
    <t>66:36:0102052</t>
  </si>
  <si>
    <t>66:36:0102053</t>
  </si>
  <si>
    <t>66:36:0102060</t>
  </si>
  <si>
    <t>66:36:0102061</t>
  </si>
  <si>
    <t>66:36:0102062</t>
  </si>
  <si>
    <t>66:36:0102067</t>
  </si>
  <si>
    <t>66:36:0102069</t>
  </si>
  <si>
    <t>66:36:0102071</t>
  </si>
  <si>
    <t>66:36:0103005</t>
  </si>
  <si>
    <t>66:36:0103006</t>
  </si>
  <si>
    <t>66:36:0103007</t>
  </si>
  <si>
    <t>66:36:0103008</t>
  </si>
  <si>
    <t>66:36:0103009</t>
  </si>
  <si>
    <t>66:36:0102004</t>
  </si>
  <si>
    <t>66:36:0102008</t>
  </si>
  <si>
    <t>66:36:0102009</t>
  </si>
  <si>
    <t>66:36:0102010</t>
  </si>
  <si>
    <t>66:36:0102016</t>
  </si>
  <si>
    <t>66:36:0102017</t>
  </si>
  <si>
    <t>66:36:0102022</t>
  </si>
  <si>
    <t>66:36:0102023</t>
  </si>
  <si>
    <t>66:36:0103001</t>
  </si>
  <si>
    <t>66:36:0103002</t>
  </si>
  <si>
    <t>66:36:0103003</t>
  </si>
  <si>
    <t>66:36:1801006</t>
  </si>
  <si>
    <t>66:36:1801001</t>
  </si>
  <si>
    <t>66:36:1801002</t>
  </si>
  <si>
    <t>66:36:1801003</t>
  </si>
  <si>
    <t>66:36:1801004</t>
  </si>
  <si>
    <t>66:36:1801005</t>
  </si>
  <si>
    <t>66:36:1801007</t>
  </si>
  <si>
    <t>66:36:1801008</t>
  </si>
  <si>
    <t>66:36:1801009</t>
  </si>
  <si>
    <t>66:36:1801010</t>
  </si>
  <si>
    <t>66:36:1801011</t>
  </si>
  <si>
    <t>66:36:1801012</t>
  </si>
  <si>
    <t>66:36:1801013</t>
  </si>
  <si>
    <t>66:36:1901001</t>
  </si>
  <si>
    <t>66:36:1901002</t>
  </si>
  <si>
    <t>66:36:2902008</t>
  </si>
  <si>
    <t>66:36:0501001</t>
  </si>
  <si>
    <t>66:36:0501002</t>
  </si>
  <si>
    <t>66:36:0501003</t>
  </si>
  <si>
    <t>66:36:2901002</t>
  </si>
  <si>
    <t>66:36:2901003</t>
  </si>
  <si>
    <t>66:36:2901004</t>
  </si>
  <si>
    <t>66:36:2901005</t>
  </si>
  <si>
    <t>66:36:2901006</t>
  </si>
  <si>
    <t>66:36:2902001</t>
  </si>
  <si>
    <t>66:36:2902002</t>
  </si>
  <si>
    <t>66:36:2902003</t>
  </si>
  <si>
    <t>66:36:2902004</t>
  </si>
  <si>
    <t>66:36:2902005</t>
  </si>
  <si>
    <t>66:36:2902006</t>
  </si>
  <si>
    <t>66:36:2902007</t>
  </si>
  <si>
    <t>66:36:2905001</t>
  </si>
  <si>
    <t>66:36:2903005</t>
  </si>
  <si>
    <t>66:36:2903006</t>
  </si>
  <si>
    <t>66:36:2903007</t>
  </si>
  <si>
    <t>66:36:0201001</t>
  </si>
  <si>
    <t>66:36:0201002</t>
  </si>
  <si>
    <t>66:36:0201003</t>
  </si>
  <si>
    <t>66:36:0201004</t>
  </si>
  <si>
    <t>66:36:0201005</t>
  </si>
  <si>
    <t>66:36:0301001</t>
  </si>
  <si>
    <t>66:36:0401001</t>
  </si>
  <si>
    <t>66:36:2801002</t>
  </si>
  <si>
    <t>66:36:2801003</t>
  </si>
  <si>
    <t>66:36:2801004</t>
  </si>
  <si>
    <t>66:36:2801005</t>
  </si>
  <si>
    <t>66:36:2904001</t>
  </si>
  <si>
    <t>66:36:2801006</t>
  </si>
  <si>
    <t>66:36:0801003</t>
  </si>
  <si>
    <t>66:36:0801001</t>
  </si>
  <si>
    <t>66:36:0801002</t>
  </si>
  <si>
    <t>66:36:2903001</t>
  </si>
  <si>
    <t>66:36:2903002</t>
  </si>
  <si>
    <t>66:36:2903003</t>
  </si>
  <si>
    <t>66:36:2903004</t>
  </si>
  <si>
    <t>66:36:2904002</t>
  </si>
  <si>
    <t>66:36:2904003</t>
  </si>
  <si>
    <t>66:36:2904004</t>
  </si>
  <si>
    <t>66:36:2904005</t>
  </si>
  <si>
    <t>66:36:2904006</t>
  </si>
  <si>
    <t>66:36:0801005</t>
  </si>
  <si>
    <t>66:36:0801004</t>
  </si>
  <si>
    <t>66:36:0801006</t>
  </si>
  <si>
    <t>66:36:0801007</t>
  </si>
  <si>
    <t>66:36:0801008</t>
  </si>
  <si>
    <t>66:36:0801009</t>
  </si>
  <si>
    <t>66:36:0701008</t>
  </si>
  <si>
    <t>66:36:0701001</t>
  </si>
  <si>
    <t>66:36:0701002</t>
  </si>
  <si>
    <t>66:36:0701003</t>
  </si>
  <si>
    <t>66:36:0701004</t>
  </si>
  <si>
    <t>66:36:0701005</t>
  </si>
  <si>
    <t>66:36:0701007</t>
  </si>
  <si>
    <t>66:36:0701009</t>
  </si>
  <si>
    <t>66:36:0701011</t>
  </si>
  <si>
    <t>66:36:0701012</t>
  </si>
  <si>
    <t>66:36:0701013</t>
  </si>
  <si>
    <t>66:36:0701014</t>
  </si>
  <si>
    <t>66:36:0701015</t>
  </si>
  <si>
    <t>66:36:0701016</t>
  </si>
  <si>
    <t>66:36:0701017</t>
  </si>
  <si>
    <t>66:36:0701018</t>
  </si>
  <si>
    <t>66:36:0701020</t>
  </si>
  <si>
    <t>66:36:2001021</t>
  </si>
  <si>
    <t>66:36:2001022</t>
  </si>
  <si>
    <t>66:36:2401001</t>
  </si>
  <si>
    <t>66:36:2903016</t>
  </si>
  <si>
    <t>66:36:3001017</t>
  </si>
  <si>
    <t>66:36:3001019</t>
  </si>
  <si>
    <t>66:36:3001020</t>
  </si>
  <si>
    <t>66:36:3001021</t>
  </si>
  <si>
    <t>66:36:3201005</t>
  </si>
  <si>
    <t>66:36:3201006</t>
  </si>
  <si>
    <t>66:36:2903011</t>
  </si>
  <si>
    <t>66:36:2601001</t>
  </si>
  <si>
    <t>66:36:2601002</t>
  </si>
  <si>
    <t>66:36:2903013</t>
  </si>
  <si>
    <t>66:36:2903014</t>
  </si>
  <si>
    <t>66:36:2903015</t>
  </si>
  <si>
    <t>66:36:3001004</t>
  </si>
  <si>
    <t>66:36:3001008</t>
  </si>
  <si>
    <t>66:36:3001011</t>
  </si>
  <si>
    <t>66:36:3001012</t>
  </si>
  <si>
    <t>66:36:3001013</t>
  </si>
  <si>
    <t>66:36:2802002</t>
  </si>
  <si>
    <t>66:36:2801001</t>
  </si>
  <si>
    <t>66:36:2801007</t>
  </si>
  <si>
    <t>66:36:2801008</t>
  </si>
  <si>
    <t>66:36:2802001</t>
  </si>
  <si>
    <t>66:36:2802003</t>
  </si>
  <si>
    <t>66:36:2802004</t>
  </si>
  <si>
    <t>66:36:2802005</t>
  </si>
  <si>
    <t>66:36:2802006</t>
  </si>
  <si>
    <t>66:36:2802007</t>
  </si>
  <si>
    <t>66:36:2903009</t>
  </si>
  <si>
    <t>66:36:2903010</t>
  </si>
  <si>
    <t>66:36:3001014</t>
  </si>
  <si>
    <t>66:36:3001009</t>
  </si>
  <si>
    <t>66:36:2501001</t>
  </si>
  <si>
    <t>66:36:3001003</t>
  </si>
  <si>
    <t>66:36:3001005</t>
  </si>
  <si>
    <t>66:36:3001006</t>
  </si>
  <si>
    <t>66:36:3001007</t>
  </si>
  <si>
    <t>66:36:3001010</t>
  </si>
  <si>
    <t>66:36:3001015</t>
  </si>
  <si>
    <t>66:36:3001016</t>
  </si>
  <si>
    <t>66:36:3003001</t>
  </si>
  <si>
    <t>66:36:3001002</t>
  </si>
  <si>
    <t>66:36:3001018</t>
  </si>
  <si>
    <t>66:36:3002001</t>
  </si>
  <si>
    <t>66:36:3002002</t>
  </si>
  <si>
    <t>66:36:3002003</t>
  </si>
  <si>
    <t>66:36:3002004</t>
  </si>
  <si>
    <t>66:36:3002005</t>
  </si>
  <si>
    <t>66:36:3002006</t>
  </si>
  <si>
    <t>66:36:3002007</t>
  </si>
  <si>
    <t>66:36:3002008</t>
  </si>
  <si>
    <t>66:36:3003002</t>
  </si>
  <si>
    <t>66:36:3003003</t>
  </si>
  <si>
    <t>66:36:3003004</t>
  </si>
  <si>
    <t>66:36:3003005</t>
  </si>
  <si>
    <t>66:36:3003006</t>
  </si>
  <si>
    <t>66:36:3003007</t>
  </si>
  <si>
    <t>66:36:3301001</t>
  </si>
  <si>
    <t>66:62:0101001</t>
  </si>
  <si>
    <t>66:62:0101002</t>
  </si>
  <si>
    <t>66:62:0106007</t>
  </si>
  <si>
    <t>66:62:0106008</t>
  </si>
  <si>
    <t>66:12:3908004</t>
  </si>
  <si>
    <t>зона влияния ЕКБ на КУ</t>
  </si>
  <si>
    <t>66:12:3908005</t>
  </si>
  <si>
    <t>66:12:7701001</t>
  </si>
  <si>
    <t>66:06:4401001</t>
  </si>
  <si>
    <t>66:06:4301001</t>
  </si>
  <si>
    <t>66:06:4301002</t>
  </si>
  <si>
    <t>66:06:4301007</t>
  </si>
  <si>
    <t>66:06:4301008</t>
  </si>
  <si>
    <t>66:06:4301009</t>
  </si>
  <si>
    <t>66:06:4301010</t>
  </si>
  <si>
    <t>66:06:4504028</t>
  </si>
  <si>
    <t>66:06:4504029</t>
  </si>
  <si>
    <t>66:06:4504030</t>
  </si>
  <si>
    <t>66:06:3901001</t>
  </si>
  <si>
    <t>66:06:3901002</t>
  </si>
  <si>
    <t>66:06:3901003</t>
  </si>
  <si>
    <t>66:06:3901004</t>
  </si>
  <si>
    <t>66:06:3901005</t>
  </si>
  <si>
    <t>66:06:4001001</t>
  </si>
  <si>
    <t>66:06:4504026</t>
  </si>
  <si>
    <t>66:06:4504027</t>
  </si>
  <si>
    <t>66:06:1701052</t>
  </si>
  <si>
    <t>66:06:1701035</t>
  </si>
  <si>
    <t>66:06:1701036</t>
  </si>
  <si>
    <t>66:06:1701041</t>
  </si>
  <si>
    <t>66:06:1701042</t>
  </si>
  <si>
    <t>66:06:1701043</t>
  </si>
  <si>
    <t>66:06:1701059</t>
  </si>
  <si>
    <t>66:06:1701034</t>
  </si>
  <si>
    <t>66:06:1701047</t>
  </si>
  <si>
    <t>66:06:1701048</t>
  </si>
  <si>
    <t>66:06:1701049</t>
  </si>
  <si>
    <t>66:06:1701050</t>
  </si>
  <si>
    <t>66:06:1701051</t>
  </si>
  <si>
    <t>66:06:1701056</t>
  </si>
  <si>
    <t>66:06:1701057</t>
  </si>
  <si>
    <t>66:06:1701060</t>
  </si>
  <si>
    <t>66:06:1701061</t>
  </si>
  <si>
    <t>66:06:1701062</t>
  </si>
  <si>
    <t>66:06:1701063</t>
  </si>
  <si>
    <t>66:06:1701065</t>
  </si>
  <si>
    <t>66:06:1701066</t>
  </si>
  <si>
    <t>66:06:1701067</t>
  </si>
  <si>
    <t>66:06:1201003</t>
  </si>
  <si>
    <t>66:06:1101001</t>
  </si>
  <si>
    <t>66:06:1101002</t>
  </si>
  <si>
    <t>66:06:1101003</t>
  </si>
  <si>
    <t>66:06:1201001</t>
  </si>
  <si>
    <t>66:06:1201002</t>
  </si>
  <si>
    <t>66:06:1201004</t>
  </si>
  <si>
    <t>66:06:1201005</t>
  </si>
  <si>
    <t>66:06:2201001</t>
  </si>
  <si>
    <t>66:06:4501069</t>
  </si>
  <si>
    <t>66:06:4503002</t>
  </si>
  <si>
    <t>66:06:4503011</t>
  </si>
  <si>
    <t>66:06:4503012</t>
  </si>
  <si>
    <t>66:06:2601020</t>
  </si>
  <si>
    <t>66:06:2601001</t>
  </si>
  <si>
    <t>66:06:2601002</t>
  </si>
  <si>
    <t>66:06:2601003</t>
  </si>
  <si>
    <t>66:06:2601015</t>
  </si>
  <si>
    <t>66:06:2601016</t>
  </si>
  <si>
    <t>66:06:2601017</t>
  </si>
  <si>
    <t>66:06:2601018</t>
  </si>
  <si>
    <t>66:06:2601019</t>
  </si>
  <si>
    <t>66:06:2601021</t>
  </si>
  <si>
    <t>66:06:2601022</t>
  </si>
  <si>
    <t>66:06:2601023</t>
  </si>
  <si>
    <t>66:06:2601024</t>
  </si>
  <si>
    <t>66:06:4503010</t>
  </si>
  <si>
    <t>66:06:1701019</t>
  </si>
  <si>
    <t>66:06:1701030</t>
  </si>
  <si>
    <t>66:06:1701031</t>
  </si>
  <si>
    <t>66:06:1701032</t>
  </si>
  <si>
    <t>66:06:1701033</t>
  </si>
  <si>
    <t>66:06:1701044</t>
  </si>
  <si>
    <t>66:06:1701046</t>
  </si>
  <si>
    <t>66:06:1701053</t>
  </si>
  <si>
    <t>66:06:1701054</t>
  </si>
  <si>
    <t>66:06:1701055</t>
  </si>
  <si>
    <t>66:06:1701058</t>
  </si>
  <si>
    <t>66:06:1701064</t>
  </si>
  <si>
    <t>66:06:1701071</t>
  </si>
  <si>
    <t>66:06:4503003</t>
  </si>
  <si>
    <t>66:06:4301003</t>
  </si>
  <si>
    <t>66:06:3701006</t>
  </si>
  <si>
    <t>66:06:3701001</t>
  </si>
  <si>
    <t>66:06:3701002</t>
  </si>
  <si>
    <t>66:06:3701003</t>
  </si>
  <si>
    <t>66:06:3701004</t>
  </si>
  <si>
    <t>66:06:3701005</t>
  </si>
  <si>
    <t>66:06:3701008</t>
  </si>
  <si>
    <t>66:06:3701009</t>
  </si>
  <si>
    <t>66:06:4301004</t>
  </si>
  <si>
    <t>66:06:4301005</t>
  </si>
  <si>
    <t>66:06:4301006</t>
  </si>
  <si>
    <t>66:06:4301012</t>
  </si>
  <si>
    <t>66:06:4504020</t>
  </si>
  <si>
    <t>66:06:4101001</t>
  </si>
  <si>
    <t>66:06:4201001</t>
  </si>
  <si>
    <t>66:06:4201002</t>
  </si>
  <si>
    <t>66:06:4201003</t>
  </si>
  <si>
    <t>66:06:4301011</t>
  </si>
  <si>
    <t>66:06:4504021</t>
  </si>
  <si>
    <t>66:06:4504022</t>
  </si>
  <si>
    <t>66:06:4504024</t>
  </si>
  <si>
    <t>66:06:4504025</t>
  </si>
  <si>
    <t>66:06:4506001</t>
  </si>
  <si>
    <t>66:06:4506002</t>
  </si>
  <si>
    <t>66:06:4506003</t>
  </si>
  <si>
    <t>66:06:4506004</t>
  </si>
  <si>
    <t>66:06:4506005</t>
  </si>
  <si>
    <t>66:06:4505005</t>
  </si>
  <si>
    <t>66:06:3201008</t>
  </si>
  <si>
    <t>66:06:2601011</t>
  </si>
  <si>
    <t>66:06:3201001</t>
  </si>
  <si>
    <t>66:06:3201002</t>
  </si>
  <si>
    <t>66:06:3201003</t>
  </si>
  <si>
    <t>66:06:3201004</t>
  </si>
  <si>
    <t>66:06:3201005</t>
  </si>
  <si>
    <t>66:06:3201006</t>
  </si>
  <si>
    <t>66:06:3201007</t>
  </si>
  <si>
    <t>66:06:3301001</t>
  </si>
  <si>
    <t>66:06:3401001</t>
  </si>
  <si>
    <t>66:06:3701007</t>
  </si>
  <si>
    <t>66:06:4504005</t>
  </si>
  <si>
    <t>66:06:4504016</t>
  </si>
  <si>
    <t>66:06:4504017</t>
  </si>
  <si>
    <t>66:06:4504018</t>
  </si>
  <si>
    <t>66:06:4504019</t>
  </si>
  <si>
    <t>66:06:2601006</t>
  </si>
  <si>
    <t>66:06:2601004</t>
  </si>
  <si>
    <t>66:06:2601005</t>
  </si>
  <si>
    <t>66:06:2601007</t>
  </si>
  <si>
    <t>66:06:2601008</t>
  </si>
  <si>
    <t>66:06:2601009</t>
  </si>
  <si>
    <t>66:06:2601010</t>
  </si>
  <si>
    <t>66:06:2601012</t>
  </si>
  <si>
    <t>66:06:2601013</t>
  </si>
  <si>
    <t>66:06:2601014</t>
  </si>
  <si>
    <t>66:06:4501071</t>
  </si>
  <si>
    <t>66:06:4504006</t>
  </si>
  <si>
    <t>66:06:4505001</t>
  </si>
  <si>
    <t>66:06:4505002</t>
  </si>
  <si>
    <t>66:06:4505003</t>
  </si>
  <si>
    <t>66:06:4505004</t>
  </si>
  <si>
    <t>66:06:1001001</t>
  </si>
  <si>
    <t>66:06:1001002</t>
  </si>
  <si>
    <t>66:06:2101001</t>
  </si>
  <si>
    <t>66:06:3101002</t>
  </si>
  <si>
    <t>66:06:3001001</t>
  </si>
  <si>
    <t>66:06:3001002</t>
  </si>
  <si>
    <t>66:06:3001003</t>
  </si>
  <si>
    <t>66:06:3001004</t>
  </si>
  <si>
    <t>66:06:3101001</t>
  </si>
  <si>
    <t>66:06:3101003</t>
  </si>
  <si>
    <t>66:06:3101004</t>
  </si>
  <si>
    <t>66:06:3101005</t>
  </si>
  <si>
    <t>66:06:3101008</t>
  </si>
  <si>
    <t>66:06:3101009</t>
  </si>
  <si>
    <t>66:06:4501070</t>
  </si>
  <si>
    <t>66:06:4504012</t>
  </si>
  <si>
    <t>66:06:4504013</t>
  </si>
  <si>
    <t>66:06:4504014</t>
  </si>
  <si>
    <t>66:06:4504015</t>
  </si>
  <si>
    <t>66:06:3601007</t>
  </si>
  <si>
    <t>66:06:3101006</t>
  </si>
  <si>
    <t>66:06:3101007</t>
  </si>
  <si>
    <t>66:06:3601001</t>
  </si>
  <si>
    <t>66:06:3601002</t>
  </si>
  <si>
    <t>66:06:3601003</t>
  </si>
  <si>
    <t>66:06:3601004</t>
  </si>
  <si>
    <t>66:06:3601005</t>
  </si>
  <si>
    <t>66:06:3601006</t>
  </si>
  <si>
    <t>66:06:3601008</t>
  </si>
  <si>
    <t>66:06:3601009</t>
  </si>
  <si>
    <t>66:06:3601010</t>
  </si>
  <si>
    <t>66:06:3601011</t>
  </si>
  <si>
    <t>66:06:2501023</t>
  </si>
  <si>
    <t>66:06:2501013</t>
  </si>
  <si>
    <t>66:06:2501009</t>
  </si>
  <si>
    <t>66:06:2501010</t>
  </si>
  <si>
    <t>66:06:2501012</t>
  </si>
  <si>
    <t>66:06:2501014</t>
  </si>
  <si>
    <t>66:06:2501015</t>
  </si>
  <si>
    <t>66:06:2501017</t>
  </si>
  <si>
    <t>66:06:2501018</t>
  </si>
  <si>
    <t>66:06:2501021</t>
  </si>
  <si>
    <t>66:06:2501022</t>
  </si>
  <si>
    <t>66:06:2501024</t>
  </si>
  <si>
    <t>66:06:2501025</t>
  </si>
  <si>
    <t>66:06:2501026</t>
  </si>
  <si>
    <t>66:06:2501008</t>
  </si>
  <si>
    <t>66:06:2501005</t>
  </si>
  <si>
    <t>66:06:2501001</t>
  </si>
  <si>
    <t>66:06:2501002</t>
  </si>
  <si>
    <t>66:06:2501003</t>
  </si>
  <si>
    <t>66:06:2501004</t>
  </si>
  <si>
    <t>66:06:2501006</t>
  </si>
  <si>
    <t>66:06:2501007</t>
  </si>
  <si>
    <t>66:06:2501016</t>
  </si>
  <si>
    <t>66:06:2101009</t>
  </si>
  <si>
    <t>66:06:2101002</t>
  </si>
  <si>
    <t>66:06:2101003</t>
  </si>
  <si>
    <t>66:06:2101004</t>
  </si>
  <si>
    <t>66:06:2101005</t>
  </si>
  <si>
    <t>66:06:2101006</t>
  </si>
  <si>
    <t>66:06:2101007</t>
  </si>
  <si>
    <t>66:06:2101008</t>
  </si>
  <si>
    <t>66:06:4501066</t>
  </si>
  <si>
    <t>66:06:4501067</t>
  </si>
  <si>
    <t>66:06:4504009</t>
  </si>
  <si>
    <t>66:06:2501011</t>
  </si>
  <si>
    <t>66:06:2901001</t>
  </si>
  <si>
    <t>66:06:2901002</t>
  </si>
  <si>
    <t>66:06:4501068</t>
  </si>
  <si>
    <t>66:06:4504002</t>
  </si>
  <si>
    <t>66:06:4504003</t>
  </si>
  <si>
    <t>66:06:4504004</t>
  </si>
  <si>
    <t>66:06:4504008</t>
  </si>
  <si>
    <t>66:06:4504010</t>
  </si>
  <si>
    <t>66:06:4504011</t>
  </si>
  <si>
    <t>66:06:4504023</t>
  </si>
  <si>
    <t>66:06:2401001</t>
  </si>
  <si>
    <t>66:06:2401002</t>
  </si>
  <si>
    <t>66:06:2401003</t>
  </si>
  <si>
    <t>66:06:2801002</t>
  </si>
  <si>
    <t>66:06:2801003</t>
  </si>
  <si>
    <t>66:06:2801004</t>
  </si>
  <si>
    <t>66:06:2801005</t>
  </si>
  <si>
    <t>66:06:2801006</t>
  </si>
  <si>
    <t>66:06:4504001</t>
  </si>
  <si>
    <t>66:06:4504007</t>
  </si>
  <si>
    <t>66:06:0701003</t>
  </si>
  <si>
    <t>66:06:0701001</t>
  </si>
  <si>
    <t>66:06:0701002</t>
  </si>
  <si>
    <t>66:06:0701004</t>
  </si>
  <si>
    <t>66:06:0701005</t>
  </si>
  <si>
    <t>66:06:0701006</t>
  </si>
  <si>
    <t>66:06:0801001</t>
  </si>
  <si>
    <t>66:06:0801002</t>
  </si>
  <si>
    <t>66:06:0801003</t>
  </si>
  <si>
    <t>66:06:0801004</t>
  </si>
  <si>
    <t>66:06:0801005</t>
  </si>
  <si>
    <t>66:06:0801006</t>
  </si>
  <si>
    <t>66:06:0801007</t>
  </si>
  <si>
    <t>66:06:4501017</t>
  </si>
  <si>
    <t>66:06:4501026</t>
  </si>
  <si>
    <t>66:25:4314001</t>
  </si>
  <si>
    <t>66:25:3618001</t>
  </si>
  <si>
    <t>66:25:4308001</t>
  </si>
  <si>
    <t>66:25:4308002</t>
  </si>
  <si>
    <t>66:25:4308003</t>
  </si>
  <si>
    <t>66:25:4309001</t>
  </si>
  <si>
    <t>66:25:4310002</t>
  </si>
  <si>
    <t>66:25:4311001</t>
  </si>
  <si>
    <t>66:25:4312001</t>
  </si>
  <si>
    <t>66:25:4313001</t>
  </si>
  <si>
    <t>66:25:4315001</t>
  </si>
  <si>
    <t>66:25:4316001</t>
  </si>
  <si>
    <t>66:25:4317001</t>
  </si>
  <si>
    <t>66:25:4601001</t>
  </si>
  <si>
    <t>66:25:4601002</t>
  </si>
  <si>
    <t>66:25:4601003</t>
  </si>
  <si>
    <t>66:25:4601004</t>
  </si>
  <si>
    <t>66:25:3901003</t>
  </si>
  <si>
    <t>66:25:3602001</t>
  </si>
  <si>
    <t>66:25:3602004</t>
  </si>
  <si>
    <t>66:25:3604001</t>
  </si>
  <si>
    <t>66:25:3605001</t>
  </si>
  <si>
    <t>66:25:3606001</t>
  </si>
  <si>
    <t>66:25:3607001</t>
  </si>
  <si>
    <t>66:25:3608001</t>
  </si>
  <si>
    <t>66:25:3608002</t>
  </si>
  <si>
    <t>66:25:3615001</t>
  </si>
  <si>
    <t>66:25:3615003</t>
  </si>
  <si>
    <t>66:25:3901001</t>
  </si>
  <si>
    <t>66:25:3901002</t>
  </si>
  <si>
    <t>66:25:3615005</t>
  </si>
  <si>
    <t>66:25:3615004</t>
  </si>
  <si>
    <t>66:25:3616001</t>
  </si>
  <si>
    <t>66:25:3619001</t>
  </si>
  <si>
    <t>66:25:3620001</t>
  </si>
  <si>
    <t>66:25:4101001</t>
  </si>
  <si>
    <t>66:25:4101002</t>
  </si>
  <si>
    <t>66:25:4101003</t>
  </si>
  <si>
    <t>66:25:4201003</t>
  </si>
  <si>
    <t>66:25:4310001</t>
  </si>
  <si>
    <t>66:25:4501001</t>
  </si>
  <si>
    <t>66:25:4501002</t>
  </si>
  <si>
    <t>66:25:4401003</t>
  </si>
  <si>
    <t>66:25:4304003</t>
  </si>
  <si>
    <t>66:25:3614007</t>
  </si>
  <si>
    <t>66:25:4201004</t>
  </si>
  <si>
    <t>66:25:4201005</t>
  </si>
  <si>
    <t>66:25:4201006</t>
  </si>
  <si>
    <t>66:25:4303001</t>
  </si>
  <si>
    <t>66:25:4303002</t>
  </si>
  <si>
    <t>66:25:4303003</t>
  </si>
  <si>
    <t>66:25:4304001</t>
  </si>
  <si>
    <t>66:25:4304002</t>
  </si>
  <si>
    <t>66:25:4401001</t>
  </si>
  <si>
    <t>66:25:4401002</t>
  </si>
  <si>
    <t>66:25:4401004</t>
  </si>
  <si>
    <t>66:25:4401005</t>
  </si>
  <si>
    <t>66:25:4305001</t>
  </si>
  <si>
    <t>66:25:4306001</t>
  </si>
  <si>
    <t>66:25:4306002</t>
  </si>
  <si>
    <t>66:25:4306003</t>
  </si>
  <si>
    <t>66:25:4306004</t>
  </si>
  <si>
    <t>66:25:4307001</t>
  </si>
  <si>
    <t>66:25:4701001</t>
  </si>
  <si>
    <t>66:25:3617001</t>
  </si>
  <si>
    <t>66:25:3612001</t>
  </si>
  <si>
    <t>66:25:3614001</t>
  </si>
  <si>
    <t>66:25:3614002</t>
  </si>
  <si>
    <t>66:25:3614003</t>
  </si>
  <si>
    <t>66:25:3614004</t>
  </si>
  <si>
    <t>66:25:3617002</t>
  </si>
  <si>
    <t>66:25:4201001</t>
  </si>
  <si>
    <t>66:25:4201002</t>
  </si>
  <si>
    <t>66:25:3614005</t>
  </si>
  <si>
    <t>66:25:3610001</t>
  </si>
  <si>
    <t>66:25:3613001</t>
  </si>
  <si>
    <t>66:25:4303004</t>
  </si>
  <si>
    <t>66:06:0901001</t>
  </si>
  <si>
    <t>66:06:0901002</t>
  </si>
  <si>
    <t>66:06:0901003</t>
  </si>
  <si>
    <t>66:06:0901004</t>
  </si>
  <si>
    <t>66:06:4501021</t>
  </si>
  <si>
    <t>66:06:4501058</t>
  </si>
  <si>
    <t>66:06:4501059</t>
  </si>
  <si>
    <t>66:06:4501060</t>
  </si>
  <si>
    <t>66:06:4501061</t>
  </si>
  <si>
    <t>66:06:4501062</t>
  </si>
  <si>
    <t>66:06:4501063</t>
  </si>
  <si>
    <t>66:06:4501064</t>
  </si>
  <si>
    <t>66:06:4501065</t>
  </si>
  <si>
    <t>66:06:4501037</t>
  </si>
  <si>
    <t>66:06:4501022</t>
  </si>
  <si>
    <t>66:06:4501023</t>
  </si>
  <si>
    <t>66:06:4501024</t>
  </si>
  <si>
    <t>66:06:4501025</t>
  </si>
  <si>
    <t>66:06:4501035</t>
  </si>
  <si>
    <t>66:06:4501036</t>
  </si>
  <si>
    <t>66:06:4501038</t>
  </si>
  <si>
    <t>66:06:4501039</t>
  </si>
  <si>
    <t>66:06:4501040</t>
  </si>
  <si>
    <t>66:06:4501041</t>
  </si>
  <si>
    <t>66:06:4501042</t>
  </si>
  <si>
    <t>66:06:4501043</t>
  </si>
  <si>
    <t>66:06:4501044</t>
  </si>
  <si>
    <t>66:25:3602003</t>
  </si>
  <si>
    <t>66:25:1333001</t>
  </si>
  <si>
    <t>66:25:1333002</t>
  </si>
  <si>
    <t>66:25:1336001</t>
  </si>
  <si>
    <t>66:25:3601001</t>
  </si>
  <si>
    <t>66:25:3602002</t>
  </si>
  <si>
    <t>66:25:3603001</t>
  </si>
  <si>
    <t>66:06:4504031</t>
  </si>
  <si>
    <t>66:25:1330001</t>
  </si>
  <si>
    <t>66:25:1321003</t>
  </si>
  <si>
    <t>66:25:1322001</t>
  </si>
  <si>
    <t>66:25:1322003</t>
  </si>
  <si>
    <t>66:25:1323001</t>
  </si>
  <si>
    <t>66:25:1327001</t>
  </si>
  <si>
    <t>66:25:1331001</t>
  </si>
  <si>
    <t>66:25:1332001</t>
  </si>
  <si>
    <t>66:25:1334001</t>
  </si>
  <si>
    <t>66:25:1335001</t>
  </si>
  <si>
    <t>66:25:2703001</t>
  </si>
  <si>
    <t>66:25:2721003</t>
  </si>
  <si>
    <t>66:06:2801001</t>
  </si>
  <si>
    <t>66:06:4501053</t>
  </si>
  <si>
    <t>66:06:4501047</t>
  </si>
  <si>
    <t>66:06:0601001</t>
  </si>
  <si>
    <t>66:06:0601002</t>
  </si>
  <si>
    <t>66:06:0601003</t>
  </si>
  <si>
    <t>66:06:0601004</t>
  </si>
  <si>
    <t>66:06:4501020</t>
  </si>
  <si>
    <t>66:06:4501048</t>
  </si>
  <si>
    <t>66:06:4501049</t>
  </si>
  <si>
    <t>66:06:4501050</t>
  </si>
  <si>
    <t>66:06:4501051</t>
  </si>
  <si>
    <t>66:06:4501054</t>
  </si>
  <si>
    <t>66:06:4501055</t>
  </si>
  <si>
    <t>66:06:4501056</t>
  </si>
  <si>
    <t>66:06:4501057</t>
  </si>
  <si>
    <t>66:06:0501003</t>
  </si>
  <si>
    <t>66:06:0501001</t>
  </si>
  <si>
    <t>66:06:0501002</t>
  </si>
  <si>
    <t>66:06:4501032</t>
  </si>
  <si>
    <t>66:06:4501033</t>
  </si>
  <si>
    <t>66:06:4501034</t>
  </si>
  <si>
    <t>66:06:4501045</t>
  </si>
  <si>
    <t>66:06:4501046</t>
  </si>
  <si>
    <t>66:06:4501015</t>
  </si>
  <si>
    <t>66:06:0401001</t>
  </si>
  <si>
    <t>66:06:0401002</t>
  </si>
  <si>
    <t>66:06:0401004</t>
  </si>
  <si>
    <t>66:06:0401005</t>
  </si>
  <si>
    <t>66:06:0401006</t>
  </si>
  <si>
    <t>66:06:0401007</t>
  </si>
  <si>
    <t>66:06:0401010</t>
  </si>
  <si>
    <t>66:06:0401011</t>
  </si>
  <si>
    <t>66:06:0401012</t>
  </si>
  <si>
    <t>66:06:4501013</t>
  </si>
  <si>
    <t>66:06:4501014</t>
  </si>
  <si>
    <t>66:06:4501016</t>
  </si>
  <si>
    <t>66:25:2724004</t>
  </si>
  <si>
    <t>66:25:2703002</t>
  </si>
  <si>
    <t>66:25:2724001</t>
  </si>
  <si>
    <t>66:25:2724002</t>
  </si>
  <si>
    <t>66:25:2724003</t>
  </si>
  <si>
    <t>66:25:2724005</t>
  </si>
  <si>
    <t>66:25:2724006</t>
  </si>
  <si>
    <t>66:25:2725001</t>
  </si>
  <si>
    <t>66:25:2726001</t>
  </si>
  <si>
    <t>66:25:2731001</t>
  </si>
  <si>
    <t>66:25:3101001</t>
  </si>
  <si>
    <t>66:25:3501001</t>
  </si>
  <si>
    <t>66:25:3701001</t>
  </si>
  <si>
    <t>66:25:3701002</t>
  </si>
  <si>
    <t>66:25:3801001</t>
  </si>
  <si>
    <t>66:06:0301003</t>
  </si>
  <si>
    <t>66:06:0301001</t>
  </si>
  <si>
    <t>66:06:0301002</t>
  </si>
  <si>
    <t>66:06:0301004</t>
  </si>
  <si>
    <t>66:06:0401003</t>
  </si>
  <si>
    <t>66:06:0401008</t>
  </si>
  <si>
    <t>66:06:0401009</t>
  </si>
  <si>
    <t>66:06:4501018</t>
  </si>
  <si>
    <t>66:06:4501019</t>
  </si>
  <si>
    <t>66:06:4501027</t>
  </si>
  <si>
    <t>66:06:4501028</t>
  </si>
  <si>
    <t>66:06:4501029</t>
  </si>
  <si>
    <t>66:06:4501030</t>
  </si>
  <si>
    <t>66:06:4501031</t>
  </si>
  <si>
    <t>66:25:2601010</t>
  </si>
  <si>
    <t>66:25:2601001</t>
  </si>
  <si>
    <t>66:25:2601002</t>
  </si>
  <si>
    <t>66:25:2601003</t>
  </si>
  <si>
    <t>66:25:2601004</t>
  </si>
  <si>
    <t>66:25:2601005</t>
  </si>
  <si>
    <t>66:25:2601006</t>
  </si>
  <si>
    <t>66:25:2601007</t>
  </si>
  <si>
    <t>66:25:2601008</t>
  </si>
  <si>
    <t>66:25:2601011</t>
  </si>
  <si>
    <t>66:25:2601013</t>
  </si>
  <si>
    <t>66:25:2721001</t>
  </si>
  <si>
    <t>66:25:2721002</t>
  </si>
  <si>
    <t>66:25:1325015</t>
  </si>
  <si>
    <t>66:25:1325007</t>
  </si>
  <si>
    <t>66:25:1325008</t>
  </si>
  <si>
    <t>66:25:1325009</t>
  </si>
  <si>
    <t>66:25:1325011</t>
  </si>
  <si>
    <t>66:25:1325014</t>
  </si>
  <si>
    <t>66:25:1325016</t>
  </si>
  <si>
    <t>66:25:1325017</t>
  </si>
  <si>
    <t>66:25:1325018</t>
  </si>
  <si>
    <t>66:25:1325019</t>
  </si>
  <si>
    <t>66:25:1328001</t>
  </si>
  <si>
    <t>66:25:1412001</t>
  </si>
  <si>
    <t>66:25:1414003</t>
  </si>
  <si>
    <t>66:25:2501002</t>
  </si>
  <si>
    <t>66:25:2501003</t>
  </si>
  <si>
    <t>66:25:2501004</t>
  </si>
  <si>
    <t>66:25:2601033</t>
  </si>
  <si>
    <t>66:25:2601020</t>
  </si>
  <si>
    <t>66:25:2601018</t>
  </si>
  <si>
    <t>66:25:2601019</t>
  </si>
  <si>
    <t>66:25:2601021</t>
  </si>
  <si>
    <t>66:25:2601025</t>
  </si>
  <si>
    <t>66:25:2601026</t>
  </si>
  <si>
    <t>66:25:2601027</t>
  </si>
  <si>
    <t>66:25:2601032</t>
  </si>
  <si>
    <t>66:25:2601035</t>
  </si>
  <si>
    <t>66:25:2601036</t>
  </si>
  <si>
    <t>66:25:2601038</t>
  </si>
  <si>
    <t>66:25:2601039</t>
  </si>
  <si>
    <t>66:25:2601040</t>
  </si>
  <si>
    <t>66:25:2601041</t>
  </si>
  <si>
    <t>66:25:3001001</t>
  </si>
  <si>
    <t>66:25:2601022</t>
  </si>
  <si>
    <t>66:25:1416019</t>
  </si>
  <si>
    <t>66:25:1416020</t>
  </si>
  <si>
    <t>66:25:1416022</t>
  </si>
  <si>
    <t>66:25:1417001</t>
  </si>
  <si>
    <t>66:25:2601014</t>
  </si>
  <si>
    <t>66:25:2601015</t>
  </si>
  <si>
    <t>66:25:2601016</t>
  </si>
  <si>
    <t>66:25:2601017</t>
  </si>
  <si>
    <t>66:25:2601023</t>
  </si>
  <si>
    <t>66:25:2601024</t>
  </si>
  <si>
    <t>66:25:2601028</t>
  </si>
  <si>
    <t>66:25:2601029</t>
  </si>
  <si>
    <t>66:25:2601030</t>
  </si>
  <si>
    <t>66:25:2601031</t>
  </si>
  <si>
    <t>66:25:2601034</t>
  </si>
  <si>
    <t>66:25:2601037</t>
  </si>
  <si>
    <t>66:25:2901014</t>
  </si>
  <si>
    <t>66:25:1414001</t>
  </si>
  <si>
    <t>66:25:1405003</t>
  </si>
  <si>
    <t>66:25:1405002</t>
  </si>
  <si>
    <t>66:25:1405004</t>
  </si>
  <si>
    <t>66:25:1414002</t>
  </si>
  <si>
    <t>66:25:1415001</t>
  </si>
  <si>
    <t>66:25:1415002</t>
  </si>
  <si>
    <t>66:25:1415003</t>
  </si>
  <si>
    <t>66:25:1415004</t>
  </si>
  <si>
    <t>66:25:2601009</t>
  </si>
  <si>
    <t>66:25:2601012</t>
  </si>
  <si>
    <t>66:25:2728002</t>
  </si>
  <si>
    <t>66:25:2723001</t>
  </si>
  <si>
    <t>66:25:2728001</t>
  </si>
  <si>
    <t>66:25:2728003</t>
  </si>
  <si>
    <t>66:25:2729001</t>
  </si>
  <si>
    <t>66:25:3611001</t>
  </si>
  <si>
    <t>66:25:3614006</t>
  </si>
  <si>
    <t>66:25:4001001</t>
  </si>
  <si>
    <t>66:25:4001002</t>
  </si>
  <si>
    <t>66:25:2901013</t>
  </si>
  <si>
    <t>66:25:2719001</t>
  </si>
  <si>
    <t>66:25:2901002</t>
  </si>
  <si>
    <t>66:25:2901003</t>
  </si>
  <si>
    <t>66:25:2901005</t>
  </si>
  <si>
    <t>66:25:2901006</t>
  </si>
  <si>
    <t>66:25:2901011</t>
  </si>
  <si>
    <t>66:25:2901012</t>
  </si>
  <si>
    <t>66:25:2901018</t>
  </si>
  <si>
    <t>66:25:2901019</t>
  </si>
  <si>
    <t>66:25:2901020</t>
  </si>
  <si>
    <t>66:25:2901021</t>
  </si>
  <si>
    <t>66:25:2901025</t>
  </si>
  <si>
    <t>66:25:2901026</t>
  </si>
  <si>
    <t>66:25:2901029</t>
  </si>
  <si>
    <t>66:25:2901030</t>
  </si>
  <si>
    <t>66:25:2901031</t>
  </si>
  <si>
    <t>66:25:2901032</t>
  </si>
  <si>
    <t>66:25:1416010</t>
  </si>
  <si>
    <t>66:25:1416001</t>
  </si>
  <si>
    <t>66:25:1416009</t>
  </si>
  <si>
    <t>66:25:1416011</t>
  </si>
  <si>
    <t>66:25:1416012</t>
  </si>
  <si>
    <t>66:25:1416014</t>
  </si>
  <si>
    <t>66:25:1416015</t>
  </si>
  <si>
    <t>66:25:1416016</t>
  </si>
  <si>
    <t>66:25:1416017</t>
  </si>
  <si>
    <t>66:25:1416018</t>
  </si>
  <si>
    <t>66:25:1416021</t>
  </si>
  <si>
    <t>66:25:2711001</t>
  </si>
  <si>
    <t>66:25:2711002</t>
  </si>
  <si>
    <t>66:25:2712001</t>
  </si>
  <si>
    <t>66:25:1416007</t>
  </si>
  <si>
    <t>66:25:1416002</t>
  </si>
  <si>
    <t>66:25:1416003</t>
  </si>
  <si>
    <t>66:25:1416004</t>
  </si>
  <si>
    <t>66:25:1416005</t>
  </si>
  <si>
    <t>66:25:1416006</t>
  </si>
  <si>
    <t>66:25:1416008</t>
  </si>
  <si>
    <t>66:25:1416013</t>
  </si>
  <si>
    <t>66:25:1416023</t>
  </si>
  <si>
    <t>66:25:2710001</t>
  </si>
  <si>
    <t>66:25:2713001</t>
  </si>
  <si>
    <t>66:25:2901001</t>
  </si>
  <si>
    <t>66:25:2710002</t>
  </si>
  <si>
    <t>66:25:2714001</t>
  </si>
  <si>
    <t>66:25:2715001</t>
  </si>
  <si>
    <t>66:25:2716001</t>
  </si>
  <si>
    <t>66:25:2717001</t>
  </si>
  <si>
    <t>66:25:2718001</t>
  </si>
  <si>
    <t>66:25:2901004</t>
  </si>
  <si>
    <t>66:25:2901007</t>
  </si>
  <si>
    <t>66:25:2901009</t>
  </si>
  <si>
    <t>66:25:2901028</t>
  </si>
  <si>
    <t>66:25:2901008</t>
  </si>
  <si>
    <t>66:25:2901010</t>
  </si>
  <si>
    <t>66:25:2901015</t>
  </si>
  <si>
    <t>66:25:2901016</t>
  </si>
  <si>
    <t>66:25:2901017</t>
  </si>
  <si>
    <t>66:25:2901022</t>
  </si>
  <si>
    <t>66:25:2901023</t>
  </si>
  <si>
    <t>66:25:2901024</t>
  </si>
  <si>
    <t>66:25:2901027</t>
  </si>
  <si>
    <t>66:25:3301001</t>
  </si>
  <si>
    <t>66:25:3609001</t>
  </si>
  <si>
    <t>66:25:5001001</t>
  </si>
  <si>
    <t>66:25:2704001</t>
  </si>
  <si>
    <t>66:25:2727001</t>
  </si>
  <si>
    <t>66:25:2730001</t>
  </si>
  <si>
    <t>66:25:2706001</t>
  </si>
  <si>
    <t>66:25:4301001</t>
  </si>
  <si>
    <t>66:25:4302001</t>
  </si>
  <si>
    <t>66:25:4302002</t>
  </si>
  <si>
    <t>66:25:3401020</t>
  </si>
  <si>
    <t>66:25:3401003</t>
  </si>
  <si>
    <t>66:25:3401004</t>
  </si>
  <si>
    <t>66:25:3401005</t>
  </si>
  <si>
    <t>66:25:3401008</t>
  </si>
  <si>
    <t>66:25:3401009</t>
  </si>
  <si>
    <t>66:25:3401012</t>
  </si>
  <si>
    <t>66:25:3401013</t>
  </si>
  <si>
    <t>66:25:3401017</t>
  </si>
  <si>
    <t>66:25:3401021</t>
  </si>
  <si>
    <t>66:25:3401022</t>
  </si>
  <si>
    <t>66:25:3401010</t>
  </si>
  <si>
    <t>66:25:3401002</t>
  </si>
  <si>
    <t>66:25:3401006</t>
  </si>
  <si>
    <t>66:25:3401007</t>
  </si>
  <si>
    <t>66:25:3401011</t>
  </si>
  <si>
    <t>66:25:3401014</t>
  </si>
  <si>
    <t>66:25:3401015</t>
  </si>
  <si>
    <t>66:25:3401016</t>
  </si>
  <si>
    <t>66:25:3401018</t>
  </si>
  <si>
    <t>66:25:3401019</t>
  </si>
  <si>
    <t>66:25:2707001</t>
  </si>
  <si>
    <t>66:25:2801003</t>
  </si>
  <si>
    <t>66:25:2801002</t>
  </si>
  <si>
    <t>66:25:2708001</t>
  </si>
  <si>
    <t>66:25:2708002</t>
  </si>
  <si>
    <t>66:25:2708003</t>
  </si>
  <si>
    <t>66:25:2708004</t>
  </si>
  <si>
    <t>66:25:2708005</t>
  </si>
  <si>
    <t>66:25:2709001</t>
  </si>
  <si>
    <t>66:25:2709002</t>
  </si>
  <si>
    <t>66:25:2801004</t>
  </si>
  <si>
    <t>66:25:2801010</t>
  </si>
  <si>
    <t>66:25:2720001</t>
  </si>
  <si>
    <t>66:25:2720002</t>
  </si>
  <si>
    <t>66:25:2801001</t>
  </si>
  <si>
    <t>66:25:2801005</t>
  </si>
  <si>
    <t>66:25:2801006</t>
  </si>
  <si>
    <t>66:25:2801007</t>
  </si>
  <si>
    <t>66:25:2801008</t>
  </si>
  <si>
    <t>66:25:2801009</t>
  </si>
  <si>
    <t>66:25:2801011</t>
  </si>
  <si>
    <t>66:25:0310016</t>
  </si>
  <si>
    <t>66:25:0316001</t>
  </si>
  <si>
    <t>66:25:0318001</t>
  </si>
  <si>
    <t>66:25:0324001</t>
  </si>
  <si>
    <t>66:25:0325001</t>
  </si>
  <si>
    <t>66:25:1407001</t>
  </si>
  <si>
    <t>66:25:1407002</t>
  </si>
  <si>
    <t>66:41:0507022</t>
  </si>
  <si>
    <t>66:41:0507027</t>
  </si>
  <si>
    <t>66:41:0507030</t>
  </si>
  <si>
    <t>66:41:0507049</t>
  </si>
  <si>
    <t>66:41:0507067</t>
  </si>
  <si>
    <t>66:41:0507068</t>
  </si>
  <si>
    <t>66:41:0507075</t>
  </si>
  <si>
    <t>66:41:0507077</t>
  </si>
  <si>
    <t>66:41:0507088</t>
  </si>
  <si>
    <t>66:41:0507098</t>
  </si>
  <si>
    <t>66:41:0507103</t>
  </si>
  <si>
    <t>66:41:0507104</t>
  </si>
  <si>
    <t>66:41:0507110</t>
  </si>
  <si>
    <t>66:41:0507111</t>
  </si>
  <si>
    <t>66:41:0507114</t>
  </si>
  <si>
    <t>66:25:0304004</t>
  </si>
  <si>
    <t>66:25:0304005</t>
  </si>
  <si>
    <t>66:41:0515037</t>
  </si>
  <si>
    <t>66:41:0515015</t>
  </si>
  <si>
    <t>66:41:0515019</t>
  </si>
  <si>
    <t>66:41:0515022</t>
  </si>
  <si>
    <t>66:41:0515023</t>
  </si>
  <si>
    <t>66:41:0515024</t>
  </si>
  <si>
    <t>66:41:0515025</t>
  </si>
  <si>
    <t>66:41:0515032</t>
  </si>
  <si>
    <t>66:41:0515033</t>
  </si>
  <si>
    <t>66:41:0515035</t>
  </si>
  <si>
    <t>66:41:0515036</t>
  </si>
  <si>
    <t>66:41:0515038</t>
  </si>
  <si>
    <t>66:41:0515039</t>
  </si>
  <si>
    <t>66:41:0515040</t>
  </si>
  <si>
    <t>66:25:0310006</t>
  </si>
  <si>
    <t>66:25:0310007</t>
  </si>
  <si>
    <t>66:25:0310010</t>
  </si>
  <si>
    <t>66:41:0507012</t>
  </si>
  <si>
    <t>66:41:0505015</t>
  </si>
  <si>
    <t>cc</t>
  </si>
  <si>
    <t>66:41:0505020</t>
  </si>
  <si>
    <t>66:41:0506033</t>
  </si>
  <si>
    <t>66:41:0507004</t>
  </si>
  <si>
    <t>66:41:0507006</t>
  </si>
  <si>
    <t>66:41:0507008</t>
  </si>
  <si>
    <t>66:41:0507009</t>
  </si>
  <si>
    <t>66:41:0507010</t>
  </si>
  <si>
    <t>66:41:0507011</t>
  </si>
  <si>
    <t>66:41:0507013</t>
  </si>
  <si>
    <t>66:41:0507014</t>
  </si>
  <si>
    <t>66:41:0507017</t>
  </si>
  <si>
    <t>66:41:0507019</t>
  </si>
  <si>
    <t>66:41:0507021</t>
  </si>
  <si>
    <t>66:41:0507026</t>
  </si>
  <si>
    <t>66:41:0507034</t>
  </si>
  <si>
    <t>66:41:0529007</t>
  </si>
  <si>
    <t>66:25:0310009</t>
  </si>
  <si>
    <t>66:25:0310013</t>
  </si>
  <si>
    <t>66:25:0310014</t>
  </si>
  <si>
    <t>66:25:0310015</t>
  </si>
  <si>
    <t>66:25:0323001</t>
  </si>
  <si>
    <t>66:25:2701001</t>
  </si>
  <si>
    <t>66:25:2702001</t>
  </si>
  <si>
    <t>66:41:0507065</t>
  </si>
  <si>
    <t>66:41:0507066</t>
  </si>
  <si>
    <t>66:41:0507089</t>
  </si>
  <si>
    <t>66:41:0507090</t>
  </si>
  <si>
    <t>66:41:0525901</t>
  </si>
  <si>
    <t>66:41:0507033</t>
  </si>
  <si>
    <t>66:41:0507048</t>
  </si>
  <si>
    <t>66:41:0525001</t>
  </si>
  <si>
    <t>66:41:0525002</t>
  </si>
  <si>
    <t>66:41:0525003</t>
  </si>
  <si>
    <t>66:41:0525004</t>
  </si>
  <si>
    <t>66:41:0525005</t>
  </si>
  <si>
    <t>66:41:0525006</t>
  </si>
  <si>
    <t>66:41:0525007</t>
  </si>
  <si>
    <t>66:41:0525008</t>
  </si>
  <si>
    <t>66:41:0525009</t>
  </si>
  <si>
    <t>66:41:0525010</t>
  </si>
  <si>
    <t>66:41:0525011</t>
  </si>
  <si>
    <t>66:41:0525012</t>
  </si>
  <si>
    <t>66:41:0525013</t>
  </si>
  <si>
    <t>66:25:0317003</t>
  </si>
  <si>
    <t>66:25:0317001</t>
  </si>
  <si>
    <t>66:41:0528005</t>
  </si>
  <si>
    <t>66:41:0514035</t>
  </si>
  <si>
    <t>66:41:0528001</t>
  </si>
  <si>
    <t>66:41:0528002</t>
  </si>
  <si>
    <t>66:41:0528003</t>
  </si>
  <si>
    <t>66:41:0528004</t>
  </si>
  <si>
    <t>66:41:0528006</t>
  </si>
  <si>
    <t>66:41:0528041</t>
  </si>
  <si>
    <t>66:41:0528901</t>
  </si>
  <si>
    <t>66:25:0310004</t>
  </si>
  <si>
    <t>66:25:0310005</t>
  </si>
  <si>
    <t>66:25:0310008</t>
  </si>
  <si>
    <t>66:25:0317002</t>
  </si>
  <si>
    <t>66:25:0317004</t>
  </si>
  <si>
    <t>66:25:0317005</t>
  </si>
  <si>
    <t>66:25:0317006</t>
  </si>
  <si>
    <t>66:41:0507079</t>
  </si>
  <si>
    <t>66:41:0507035</t>
  </si>
  <si>
    <t>66:41:0507064</t>
  </si>
  <si>
    <t>66:41:0507082</t>
  </si>
  <si>
    <t>66:41:0507083</t>
  </si>
  <si>
    <t>66:41:0507085</t>
  </si>
  <si>
    <t>66:41:0507086</t>
  </si>
  <si>
    <t>66:41:0507087</t>
  </si>
  <si>
    <t>66:41:0507113</t>
  </si>
  <si>
    <t>66:41:0506004</t>
  </si>
  <si>
    <t>66:41:0506001</t>
  </si>
  <si>
    <t>66:41:0506002</t>
  </si>
  <si>
    <t>66:41:0506003</t>
  </si>
  <si>
    <t>66:41:0506007</t>
  </si>
  <si>
    <t>66:41:0506009</t>
  </si>
  <si>
    <t>66:41:0506010</t>
  </si>
  <si>
    <t>66:41:0506011</t>
  </si>
  <si>
    <t>66:41:0506012</t>
  </si>
  <si>
    <t>66:41:0506017</t>
  </si>
  <si>
    <t>66:41:0506018</t>
  </si>
  <si>
    <t>66:41:0506031</t>
  </si>
  <si>
    <t>66:41:0507015</t>
  </si>
  <si>
    <t>66:41:0507016</t>
  </si>
  <si>
    <t>66:41:0507023</t>
  </si>
  <si>
    <t>66:41:0507031</t>
  </si>
  <si>
    <t>66:41:0507032</t>
  </si>
  <si>
    <t>66:41:0507047</t>
  </si>
  <si>
    <t>66:41:0507042</t>
  </si>
  <si>
    <t>66:41:0506032</t>
  </si>
  <si>
    <t>66:41:0506034</t>
  </si>
  <si>
    <t>66:41:0506038</t>
  </si>
  <si>
    <t>66:41:0506041</t>
  </si>
  <si>
    <t>66:41:0507003</t>
  </si>
  <si>
    <t>66:41:0507024</t>
  </si>
  <si>
    <t>66:41:0507025</t>
  </si>
  <si>
    <t>66:41:0507043</t>
  </si>
  <si>
    <t>66:41:0507044</t>
  </si>
  <si>
    <t>66:41:0507046</t>
  </si>
  <si>
    <t>66:41:0507062</t>
  </si>
  <si>
    <t>66:41:0507084</t>
  </si>
  <si>
    <t>66:41:0507091</t>
  </si>
  <si>
    <t>66:41:0506023</t>
  </si>
  <si>
    <t>66:41:0506005</t>
  </si>
  <si>
    <t>66:41:0506006</t>
  </si>
  <si>
    <t>66:41:0506014</t>
  </si>
  <si>
    <t>66:41:0506015</t>
  </si>
  <si>
    <t>66:41:0506016</t>
  </si>
  <si>
    <t>66:41:0506019</t>
  </si>
  <si>
    <t>66:41:0506020</t>
  </si>
  <si>
    <t>66:41:0506022</t>
  </si>
  <si>
    <t>66:41:0506025</t>
  </si>
  <si>
    <t>66:41:0506030</t>
  </si>
  <si>
    <t>66:41:0506901</t>
  </si>
  <si>
    <t>66:41:0505028</t>
  </si>
  <si>
    <t>66:41:0505024</t>
  </si>
  <si>
    <t>66:41:0505025</t>
  </si>
  <si>
    <t>66:41:0505027</t>
  </si>
  <si>
    <t>66:41:0505029</t>
  </si>
  <si>
    <t>66:41:0505031</t>
  </si>
  <si>
    <t>66:41:0505033</t>
  </si>
  <si>
    <t>sw4</t>
  </si>
  <si>
    <t>66:41:0505034</t>
  </si>
  <si>
    <t>66:41:0505041</t>
  </si>
  <si>
    <t>66:41:0505044</t>
  </si>
  <si>
    <t>66:41:0506039</t>
  </si>
  <si>
    <t>66:41:0506040</t>
  </si>
  <si>
    <t>66:41:0511027</t>
  </si>
  <si>
    <t>66:41:0526901</t>
  </si>
  <si>
    <t>66:41:0526006</t>
  </si>
  <si>
    <t>66:41:0526007</t>
  </si>
  <si>
    <t>66:41:0526008</t>
  </si>
  <si>
    <t>66:41:0526009</t>
  </si>
  <si>
    <t>66:41:0526012</t>
  </si>
  <si>
    <t>66:41:0526013</t>
  </si>
  <si>
    <t>66:41:0526014</t>
  </si>
  <si>
    <t>66:41:0526015</t>
  </si>
  <si>
    <t>66:41:0526026</t>
  </si>
  <si>
    <t>66:41:0526050</t>
  </si>
  <si>
    <t>66:41:0526001</t>
  </si>
  <si>
    <t>66:41:0526002</t>
  </si>
  <si>
    <t>66:41:0526003</t>
  </si>
  <si>
    <t>66:41:0526004</t>
  </si>
  <si>
    <t>66:41:0526005</t>
  </si>
  <si>
    <t>66:41:0526010</t>
  </si>
  <si>
    <t>66:41:0526011</t>
  </si>
  <si>
    <t>66:41:0526016</t>
  </si>
  <si>
    <t>66:41:0526049</t>
  </si>
  <si>
    <t>66:41:0515027</t>
  </si>
  <si>
    <t>66:41:0514030</t>
  </si>
  <si>
    <t>66:41:0515009</t>
  </si>
  <si>
    <t>66:41:0515010</t>
  </si>
  <si>
    <t>66:41:0515011</t>
  </si>
  <si>
    <t>66:41:0515012</t>
  </si>
  <si>
    <t>66:41:0515013</t>
  </si>
  <si>
    <t>66:41:0515014</t>
  </si>
  <si>
    <t>66:41:0515026</t>
  </si>
  <si>
    <t>66:41:0515028</t>
  </si>
  <si>
    <t>66:41:0515047</t>
  </si>
  <si>
    <t>66:41:0515051</t>
  </si>
  <si>
    <t>66:41:0515052</t>
  </si>
  <si>
    <t>66:41:0515053</t>
  </si>
  <si>
    <t>66:41:0515054</t>
  </si>
  <si>
    <t>66:41:0515055</t>
  </si>
  <si>
    <t>66:41:0520007</t>
  </si>
  <si>
    <t>66:41:0520001</t>
  </si>
  <si>
    <t>66:41:0520002</t>
  </si>
  <si>
    <t>66:41:0520003</t>
  </si>
  <si>
    <t>66:41:0520004</t>
  </si>
  <si>
    <t>66:41:0520005</t>
  </si>
  <si>
    <t>66:41:0520006</t>
  </si>
  <si>
    <t>66:41:0520008</t>
  </si>
  <si>
    <t>66:41:0520010</t>
  </si>
  <si>
    <t>66:41:0520013</t>
  </si>
  <si>
    <t>66:41:0520014</t>
  </si>
  <si>
    <t>66:41:0520015</t>
  </si>
  <si>
    <t>66:41:0520016</t>
  </si>
  <si>
    <t>66:41:0520019</t>
  </si>
  <si>
    <t>66:41:0520901</t>
  </si>
  <si>
    <t>66:41:0514022</t>
  </si>
  <si>
    <t>66:41:0514043</t>
  </si>
  <si>
    <t>66:41:0515021</t>
  </si>
  <si>
    <t>66:41:0515041</t>
  </si>
  <si>
    <t>66:41:0515042</t>
  </si>
  <si>
    <t>66:41:0515045</t>
  </si>
  <si>
    <t>66:41:0515046</t>
  </si>
  <si>
    <t>66:41:0515048</t>
  </si>
  <si>
    <t>66:41:0515902</t>
  </si>
  <si>
    <t>66:25:0310012</t>
  </si>
  <si>
    <t>66:25:0320001</t>
  </si>
  <si>
    <t>66:25:0321001</t>
  </si>
  <si>
    <t>66:25:0322001</t>
  </si>
  <si>
    <t>66:41:0515044</t>
  </si>
  <si>
    <t>66:41:0515007</t>
  </si>
  <si>
    <t>66:41:0515016</t>
  </si>
  <si>
    <t>66:41:0515029</t>
  </si>
  <si>
    <t>66:41:0515030</t>
  </si>
  <si>
    <t>66:41:0515031</t>
  </si>
  <si>
    <t>66:41:0515034</t>
  </si>
  <si>
    <t>66:41:0515901</t>
  </si>
  <si>
    <t>66:41:0518005</t>
  </si>
  <si>
    <t>66:25:2705001</t>
  </si>
  <si>
    <t>66:41:0515003</t>
  </si>
  <si>
    <t>66:41:0514031</t>
  </si>
  <si>
    <t>66:41:0515001</t>
  </si>
  <si>
    <t>66:41:0515002</t>
  </si>
  <si>
    <t>66:41:0515004</t>
  </si>
  <si>
    <t>66:41:0515005</t>
  </si>
  <si>
    <t>66:41:0515006</t>
  </si>
  <si>
    <t>66:41:0515008</t>
  </si>
  <si>
    <t>66:41:0515017</t>
  </si>
  <si>
    <t>66:41:0515018</t>
  </si>
  <si>
    <t>66:41:0515020</t>
  </si>
  <si>
    <t>66:41:0515061</t>
  </si>
  <si>
    <t>66:25:2722001</t>
  </si>
  <si>
    <t>66:25:3201001</t>
  </si>
  <si>
    <t>66:25:3201002</t>
  </si>
  <si>
    <t>66:25:3201003</t>
  </si>
  <si>
    <t>66:25:3201004</t>
  </si>
  <si>
    <t>66:25:3201005</t>
  </si>
  <si>
    <t>66:25:3201006</t>
  </si>
  <si>
    <t>66:06:1701017</t>
  </si>
  <si>
    <t>66:06:1701003</t>
  </si>
  <si>
    <t>66:06:1701001</t>
  </si>
  <si>
    <t>66:42:0701001</t>
  </si>
  <si>
    <t>66:42:0701002</t>
  </si>
  <si>
    <t>66:06:1701002</t>
  </si>
  <si>
    <t>66:06:1701004</t>
  </si>
  <si>
    <t>66:06:1701005</t>
  </si>
  <si>
    <t>66:06:1701006</t>
  </si>
  <si>
    <t>66:06:1701007</t>
  </si>
  <si>
    <t>66:06:1701012</t>
  </si>
  <si>
    <t>66:06:1701014</t>
  </si>
  <si>
    <t>66:06:1701015</t>
  </si>
  <si>
    <t>66:06:1701016</t>
  </si>
  <si>
    <t>66:06:1701018</t>
  </si>
  <si>
    <t>66:06:1701045</t>
  </si>
  <si>
    <t>66:42:0201011</t>
  </si>
  <si>
    <t>66:42:0201012</t>
  </si>
  <si>
    <t>66:42:0701003</t>
  </si>
  <si>
    <t>66:42:0701004</t>
  </si>
  <si>
    <t>66:42:0701005</t>
  </si>
  <si>
    <t>66:42:0201003</t>
  </si>
  <si>
    <t>66:42:0201006</t>
  </si>
  <si>
    <t>66:42:0201007</t>
  </si>
  <si>
    <t>66:42:0201008</t>
  </si>
  <si>
    <t>66:42:0201009</t>
  </si>
  <si>
    <t>66:42:0201010</t>
  </si>
  <si>
    <t>66:42:0201013</t>
  </si>
  <si>
    <t>66:42:0501001</t>
  </si>
  <si>
    <t>66:42:0601001</t>
  </si>
  <si>
    <t>66:42:0601002</t>
  </si>
  <si>
    <t>66:42:0201004</t>
  </si>
  <si>
    <t>66:25:1312002</t>
  </si>
  <si>
    <t>66:25:1311003</t>
  </si>
  <si>
    <t>66:73:0101002</t>
  </si>
  <si>
    <t>66:73:0101008</t>
  </si>
  <si>
    <t>66:73:0101009</t>
  </si>
  <si>
    <t>66:73:0101010</t>
  </si>
  <si>
    <t>66:73:0101011</t>
  </si>
  <si>
    <t>66:25:1312001</t>
  </si>
  <si>
    <t>66:25:1313001</t>
  </si>
  <si>
    <t>66:25:1322002</t>
  </si>
  <si>
    <t>66:66:0101036</t>
  </si>
  <si>
    <t>66:06:4501052</t>
  </si>
  <si>
    <t>66:66:0101002</t>
  </si>
  <si>
    <t>66:66:0101003</t>
  </si>
  <si>
    <t>66:66:0101004</t>
  </si>
  <si>
    <t>66:66:0101005</t>
  </si>
  <si>
    <t>66:66:0101009</t>
  </si>
  <si>
    <t>66:66:0101010</t>
  </si>
  <si>
    <t>66:66:0101011</t>
  </si>
  <si>
    <t>66:66:0101021</t>
  </si>
  <si>
    <t>66:66:0101023</t>
  </si>
  <si>
    <t>66:66:0101024</t>
  </si>
  <si>
    <t>66:66:0101025</t>
  </si>
  <si>
    <t>66:66:0101028</t>
  </si>
  <si>
    <t>66:66:0101029</t>
  </si>
  <si>
    <t>66:66:0101031</t>
  </si>
  <si>
    <t>66:66:0101032</t>
  </si>
  <si>
    <t>66:66:0101033</t>
  </si>
  <si>
    <t>66:66:0101034</t>
  </si>
  <si>
    <t>66:73:0101001</t>
  </si>
  <si>
    <t>66:73:0101003</t>
  </si>
  <si>
    <t>66:73:0101004</t>
  </si>
  <si>
    <t>66:73:0101005</t>
  </si>
  <si>
    <t>66:73:0101006</t>
  </si>
  <si>
    <t>66:73:0101007</t>
  </si>
  <si>
    <t>66:25:1308001</t>
  </si>
  <si>
    <t>66:25:1308002</t>
  </si>
  <si>
    <t>66:25:1308003</t>
  </si>
  <si>
    <t>66:25:1308005</t>
  </si>
  <si>
    <t>66:25:1308006</t>
  </si>
  <si>
    <t>66:25:1311002</t>
  </si>
  <si>
    <t>66:66:0101019</t>
  </si>
  <si>
    <t>66:66:0101008</t>
  </si>
  <si>
    <t>66:66:0101006</t>
  </si>
  <si>
    <t>66:66:0101001</t>
  </si>
  <si>
    <t>66:66:0101007</t>
  </si>
  <si>
    <t>66:66:0101012</t>
  </si>
  <si>
    <t>66:66:0101013</t>
  </si>
  <si>
    <t>66:66:0101014</t>
  </si>
  <si>
    <t>66:66:0101015</t>
  </si>
  <si>
    <t>66:66:0101016</t>
  </si>
  <si>
    <t>66:66:0101017</t>
  </si>
  <si>
    <t>66:66:0101018</t>
  </si>
  <si>
    <t>66:66:0101020</t>
  </si>
  <si>
    <t>66:66:0101022</t>
  </si>
  <si>
    <t>66:66:0101026</t>
  </si>
  <si>
    <t>66:66:0101027</t>
  </si>
  <si>
    <t>66:66:0101030</t>
  </si>
  <si>
    <t>66:66:0101035</t>
  </si>
  <si>
    <t>66:35:0221001</t>
  </si>
  <si>
    <t>66:35:0222003</t>
  </si>
  <si>
    <t>66:35:0222007</t>
  </si>
  <si>
    <t>66:35:0222008</t>
  </si>
  <si>
    <t>66:06:4601001</t>
  </si>
  <si>
    <t>66:35:0222005</t>
  </si>
  <si>
    <t>66:35:0222004</t>
  </si>
  <si>
    <t>66:35:0221005</t>
  </si>
  <si>
    <t>66:35:0222001</t>
  </si>
  <si>
    <t>66:35:0222002</t>
  </si>
  <si>
    <t>66:35:0222006</t>
  </si>
  <si>
    <t>66:35:0101011</t>
  </si>
  <si>
    <t>66:35:0101020</t>
  </si>
  <si>
    <t>66:35:0101021</t>
  </si>
  <si>
    <t>66:35:0101022</t>
  </si>
  <si>
    <t>66:35:0101023</t>
  </si>
  <si>
    <t>66:35:0101024</t>
  </si>
  <si>
    <t>66:35:0101025</t>
  </si>
  <si>
    <t>66:35:0101026</t>
  </si>
  <si>
    <t>66:35:0101027</t>
  </si>
  <si>
    <t>66:35:0101028</t>
  </si>
  <si>
    <t>66:35:0101029</t>
  </si>
  <si>
    <t>66:35:0106003</t>
  </si>
  <si>
    <t>66:35:0106004</t>
  </si>
  <si>
    <t>66:35:0106005</t>
  </si>
  <si>
    <t>66:35:0104006</t>
  </si>
  <si>
    <t>66:35:0101016</t>
  </si>
  <si>
    <t>66:35:0101008</t>
  </si>
  <si>
    <t>66:35:0101015</t>
  </si>
  <si>
    <t>66:35:0101017</t>
  </si>
  <si>
    <t>66:35:0101018</t>
  </si>
  <si>
    <t>66:35:0101019</t>
  </si>
  <si>
    <t>66:35:0104001</t>
  </si>
  <si>
    <t>66:35:0104007</t>
  </si>
  <si>
    <t>66:35:0105001</t>
  </si>
  <si>
    <t>66:35:0106001</t>
  </si>
  <si>
    <t>66:35:0106002</t>
  </si>
  <si>
    <t>66:35:0104010</t>
  </si>
  <si>
    <t>66:35:0104002</t>
  </si>
  <si>
    <t>66:35:0104003</t>
  </si>
  <si>
    <t>66:35:0104005</t>
  </si>
  <si>
    <t>66:35:0104008</t>
  </si>
  <si>
    <t>66:35:0104009</t>
  </si>
  <si>
    <t>66:35:0104012</t>
  </si>
  <si>
    <t>66:35:0104013</t>
  </si>
  <si>
    <t>66:35:0101005</t>
  </si>
  <si>
    <t>66:35:0101001</t>
  </si>
  <si>
    <t>66:35:0101002</t>
  </si>
  <si>
    <t>66:35:0101003</t>
  </si>
  <si>
    <t>66:35:0101004</t>
  </si>
  <si>
    <t>66:35:0101006</t>
  </si>
  <si>
    <t>66:35:0101007</t>
  </si>
  <si>
    <t>66:35:0101009</t>
  </si>
  <si>
    <t>66:35:0101010</t>
  </si>
  <si>
    <t>66:35:0101012</t>
  </si>
  <si>
    <t>66:35:0101013</t>
  </si>
  <si>
    <t>66:35:0101014</t>
  </si>
  <si>
    <t>66:35:0102001</t>
  </si>
  <si>
    <t>66:35:0102003</t>
  </si>
  <si>
    <t>66:35:0201013</t>
  </si>
  <si>
    <t>66:35:0221004</t>
  </si>
  <si>
    <t>66:35:0102005</t>
  </si>
  <si>
    <t>66:35:0102004</t>
  </si>
  <si>
    <t>66:35:0103001</t>
  </si>
  <si>
    <t>66:35:0103002</t>
  </si>
  <si>
    <t>66:35:0104004</t>
  </si>
  <si>
    <t>66:35:0104014</t>
  </si>
  <si>
    <t>66:35:0216002</t>
  </si>
  <si>
    <t>66:41:0101001</t>
  </si>
  <si>
    <t>ne2</t>
  </si>
  <si>
    <t>66:41:0101008</t>
  </si>
  <si>
    <t>66:41:0101012</t>
  </si>
  <si>
    <t>66:35:0102002</t>
  </si>
  <si>
    <t>66:35:0201012</t>
  </si>
  <si>
    <t>66:35:0201014</t>
  </si>
  <si>
    <t>66:35:0201015</t>
  </si>
  <si>
    <t>66:35:0201016</t>
  </si>
  <si>
    <t>66:35:0201017</t>
  </si>
  <si>
    <t>66:35:0201018</t>
  </si>
  <si>
    <t>66:35:0201019</t>
  </si>
  <si>
    <t>66:35:0201020</t>
  </si>
  <si>
    <t>66:41:0101006</t>
  </si>
  <si>
    <t>66:41:0101005</t>
  </si>
  <si>
    <t>66:41:0101007</t>
  </si>
  <si>
    <t>66:41:0103005</t>
  </si>
  <si>
    <t>66:41:0103006</t>
  </si>
  <si>
    <t>66:41:0103007</t>
  </si>
  <si>
    <t>66:41:0103008</t>
  </si>
  <si>
    <t>66:41:0103009</t>
  </si>
  <si>
    <t>66:41:0103011</t>
  </si>
  <si>
    <t>66:41:0103012</t>
  </si>
  <si>
    <t>66:41:0103901</t>
  </si>
  <si>
    <t>66:35:0201021</t>
  </si>
  <si>
    <t>66:35:0201022</t>
  </si>
  <si>
    <t>66:35:0216001</t>
  </si>
  <si>
    <t>66:35:0216003</t>
  </si>
  <si>
    <t>66:35:0216004</t>
  </si>
  <si>
    <t>66:41:0101003</t>
  </si>
  <si>
    <t>66:41:0101014</t>
  </si>
  <si>
    <t>66:41:0101015</t>
  </si>
  <si>
    <t>66:41:0104010</t>
  </si>
  <si>
    <t>66:41:0104011</t>
  </si>
  <si>
    <t>66:41:0104012</t>
  </si>
  <si>
    <t>66:41:0107095</t>
  </si>
  <si>
    <t>66:41:0107105</t>
  </si>
  <si>
    <t>66:41:0101004</t>
  </si>
  <si>
    <t>66:41:0102001</t>
  </si>
  <si>
    <t>66:41:0102005</t>
  </si>
  <si>
    <t>66:41:0102008</t>
  </si>
  <si>
    <t>66:41:0102009</t>
  </si>
  <si>
    <t>66:41:0102046</t>
  </si>
  <si>
    <t>66:41:0112001</t>
  </si>
  <si>
    <t>66:41:0112002</t>
  </si>
  <si>
    <t>66:41:0112003</t>
  </si>
  <si>
    <t>66:41:0112901</t>
  </si>
  <si>
    <t>66:36:3203003</t>
  </si>
  <si>
    <t>66:41:0102032</t>
  </si>
  <si>
    <t>66:41:0102022</t>
  </si>
  <si>
    <t>66:41:0102010</t>
  </si>
  <si>
    <t>66:41:0102011</t>
  </si>
  <si>
    <t>66:41:0102012</t>
  </si>
  <si>
    <t>66:41:0102015</t>
  </si>
  <si>
    <t>66:41:0102016</t>
  </si>
  <si>
    <t>66:41:0102017</t>
  </si>
  <si>
    <t>66:41:0102018</t>
  </si>
  <si>
    <t>66:41:0102021</t>
  </si>
  <si>
    <t>66:41:0102023</t>
  </si>
  <si>
    <t>66:41:0102024</t>
  </si>
  <si>
    <t>66:41:0102034</t>
  </si>
  <si>
    <t>66:41:0102035</t>
  </si>
  <si>
    <t>66:41:0102037</t>
  </si>
  <si>
    <t>66:41:0102039</t>
  </si>
  <si>
    <t>66:41:0102045</t>
  </si>
  <si>
    <t>66:41:0107039</t>
  </si>
  <si>
    <t>66:41:0102028</t>
  </si>
  <si>
    <t>66:41:0102014</t>
  </si>
  <si>
    <t>66:41:0102006</t>
  </si>
  <si>
    <t>66:41:0102026</t>
  </si>
  <si>
    <t>66:41:0102027</t>
  </si>
  <si>
    <t>66:41:0102029</t>
  </si>
  <si>
    <t>66:41:0102030</t>
  </si>
  <si>
    <t>66:41:0102031</t>
  </si>
  <si>
    <t>66:41:0102033</t>
  </si>
  <si>
    <t>66:41:0102038</t>
  </si>
  <si>
    <t>66:41:0102041</t>
  </si>
  <si>
    <t>66:41:0102901</t>
  </si>
  <si>
    <t>66:41:0104004</t>
  </si>
  <si>
    <t>66:41:0113001</t>
  </si>
  <si>
    <t>66:36:3203006</t>
  </si>
  <si>
    <t>66:36:3203007</t>
  </si>
  <si>
    <t>66:41:0113004</t>
  </si>
  <si>
    <t>66:41:0101104</t>
  </si>
  <si>
    <t>66:41:0104001</t>
  </si>
  <si>
    <t>66:41:0104002</t>
  </si>
  <si>
    <t>66:41:0104003</t>
  </si>
  <si>
    <t>66:41:0104005</t>
  </si>
  <si>
    <t>66:41:0104006</t>
  </si>
  <si>
    <t>66:41:0104007</t>
  </si>
  <si>
    <t>66:41:0104008</t>
  </si>
  <si>
    <t>66:41:0104009</t>
  </si>
  <si>
    <t>66:41:0104013</t>
  </si>
  <si>
    <t>66:41:0113002</t>
  </si>
  <si>
    <t>66:41:0113003</t>
  </si>
  <si>
    <t>66:41:0113078</t>
  </si>
  <si>
    <t>66:41:0113079</t>
  </si>
  <si>
    <t>66:36:3203008</t>
  </si>
  <si>
    <t>66:36:0112010</t>
  </si>
  <si>
    <t>66:36:0112007</t>
  </si>
  <si>
    <t>66:36:0112009</t>
  </si>
  <si>
    <t>66:36:0113001</t>
  </si>
  <si>
    <t>66:36:2101003</t>
  </si>
  <si>
    <t>66:36:2101004</t>
  </si>
  <si>
    <t>66:36:2101005</t>
  </si>
  <si>
    <t>66:36:2101007</t>
  </si>
  <si>
    <t>66:36:2101008</t>
  </si>
  <si>
    <t>66:36:2101009</t>
  </si>
  <si>
    <t>66:36:3203001</t>
  </si>
  <si>
    <t>66:36:3203002</t>
  </si>
  <si>
    <t>66:36:3203004</t>
  </si>
  <si>
    <t>66:36:3203005</t>
  </si>
  <si>
    <t>66:41:0109050</t>
  </si>
  <si>
    <t>66:41:0109052</t>
  </si>
  <si>
    <t>nn</t>
  </si>
  <si>
    <t>66:41:0109061</t>
  </si>
  <si>
    <t>66:41:0109062</t>
  </si>
  <si>
    <t>66:41:0109063</t>
  </si>
  <si>
    <t>66:41:0109064</t>
  </si>
  <si>
    <t>66:41:0109065</t>
  </si>
  <si>
    <t>66:41:0109066</t>
  </si>
  <si>
    <t>66:41:0113077</t>
  </si>
  <si>
    <t>66:41:0109041</t>
  </si>
  <si>
    <t>66:41:0109030</t>
  </si>
  <si>
    <t>66:41:0109032</t>
  </si>
  <si>
    <t>66:41:0109034</t>
  </si>
  <si>
    <t>66:41:0109035</t>
  </si>
  <si>
    <t>66:41:0109042</t>
  </si>
  <si>
    <t>66:41:0109043</t>
  </si>
  <si>
    <t>66:41:0109044</t>
  </si>
  <si>
    <t>66:41:0109045</t>
  </si>
  <si>
    <t>66:41:0109046</t>
  </si>
  <si>
    <t>66:41:0109047</t>
  </si>
  <si>
    <t>66:41:0109048</t>
  </si>
  <si>
    <t>66:41:0109049</t>
  </si>
  <si>
    <t>66:41:0109058</t>
  </si>
  <si>
    <t>66:41:0109059</t>
  </si>
  <si>
    <t>66:41:0109060</t>
  </si>
  <si>
    <t>66:41:0109901</t>
  </si>
  <si>
    <t>66:25:2201012</t>
  </si>
  <si>
    <t>66:25:2201001</t>
  </si>
  <si>
    <t>66:25:1901001</t>
  </si>
  <si>
    <t>66:25:2201002</t>
  </si>
  <si>
    <t>66:25:2201003</t>
  </si>
  <si>
    <t>66:25:2201004</t>
  </si>
  <si>
    <t>66:25:2201005</t>
  </si>
  <si>
    <t>66:25:2201006</t>
  </si>
  <si>
    <t>66:25:2201007</t>
  </si>
  <si>
    <t>66:25:2201008</t>
  </si>
  <si>
    <t>66:25:2201009</t>
  </si>
  <si>
    <t>66:25:2201010</t>
  </si>
  <si>
    <t>66:25:2201011</t>
  </si>
  <si>
    <t>66:25:2201013</t>
  </si>
  <si>
    <t>66:25:2201014</t>
  </si>
  <si>
    <t>66:25:2201015</t>
  </si>
  <si>
    <t>66:25:2201016</t>
  </si>
  <si>
    <t>66:25:1311004</t>
  </si>
  <si>
    <t>66:25:1311005</t>
  </si>
  <si>
    <t>66:25:1314001</t>
  </si>
  <si>
    <t>66:25:1315001</t>
  </si>
  <si>
    <t>66:25:1901002</t>
  </si>
  <si>
    <t>66:25:1901003</t>
  </si>
  <si>
    <t>66:25:4901001</t>
  </si>
  <si>
    <t>66:25:1311001</t>
  </si>
  <si>
    <t>66:25:1307008</t>
  </si>
  <si>
    <t>66:25:1310001</t>
  </si>
  <si>
    <t>66:25:1318001</t>
  </si>
  <si>
    <t>66:25:1319001</t>
  </si>
  <si>
    <t>66:25:1320001</t>
  </si>
  <si>
    <t>66:25:1321001</t>
  </si>
  <si>
    <t>66:25:1321002</t>
  </si>
  <si>
    <t>66:25:1326001</t>
  </si>
  <si>
    <t>66:25:2001001</t>
  </si>
  <si>
    <t>66:25:2101001</t>
  </si>
  <si>
    <t>66:25:2101002</t>
  </si>
  <si>
    <t>66:25:1201020</t>
  </si>
  <si>
    <t>66:25:1201012</t>
  </si>
  <si>
    <t>66:25:1201004</t>
  </si>
  <si>
    <t>66:25:1201005</t>
  </si>
  <si>
    <t>66:25:1201006</t>
  </si>
  <si>
    <t>66:25:1201010</t>
  </si>
  <si>
    <t>66:25:1201011</t>
  </si>
  <si>
    <t>66:25:1201013</t>
  </si>
  <si>
    <t>66:25:1201014</t>
  </si>
  <si>
    <t>66:25:1201015</t>
  </si>
  <si>
    <t>66:25:1201016</t>
  </si>
  <si>
    <t>66:25:1201017</t>
  </si>
  <si>
    <t>66:25:1201018</t>
  </si>
  <si>
    <t>66:25:1307003</t>
  </si>
  <si>
    <t>66:25:1307004</t>
  </si>
  <si>
    <t>66:25:1308004</t>
  </si>
  <si>
    <t>66:25:1308007</t>
  </si>
  <si>
    <t>66:25:1201026</t>
  </si>
  <si>
    <t>66:25:1201019</t>
  </si>
  <si>
    <t>66:25:1201021</t>
  </si>
  <si>
    <t>66:25:1201022</t>
  </si>
  <si>
    <t>66:25:1201023</t>
  </si>
  <si>
    <t>66:25:1201024</t>
  </si>
  <si>
    <t>66:25:1201025</t>
  </si>
  <si>
    <t>66:25:1201027</t>
  </si>
  <si>
    <t>66:25:1201028</t>
  </si>
  <si>
    <t>66:25:1302001</t>
  </si>
  <si>
    <t>66:25:1307011</t>
  </si>
  <si>
    <t>66:25:1307012</t>
  </si>
  <si>
    <t>66:25:1307013</t>
  </si>
  <si>
    <t>66:25:1307014</t>
  </si>
  <si>
    <t>66:25:1307015</t>
  </si>
  <si>
    <t>66:25:1307016</t>
  </si>
  <si>
    <t>66:25:1317001</t>
  </si>
  <si>
    <t>66:33:0401004</t>
  </si>
  <si>
    <t>66:25:1101001</t>
  </si>
  <si>
    <t>66:25:1201007</t>
  </si>
  <si>
    <t>66:25:1201008</t>
  </si>
  <si>
    <t>66:25:1201009</t>
  </si>
  <si>
    <t>66:25:5101001</t>
  </si>
  <si>
    <t>66:33:0401001</t>
  </si>
  <si>
    <t>66:33:0401002</t>
  </si>
  <si>
    <t>66:33:0401003</t>
  </si>
  <si>
    <t>66:25:1002001</t>
  </si>
  <si>
    <t>66:25:1002002</t>
  </si>
  <si>
    <t>66:25:1002003</t>
  </si>
  <si>
    <t>66:25:1201001</t>
  </si>
  <si>
    <t>66:25:1201002</t>
  </si>
  <si>
    <t>66:25:1201003</t>
  </si>
  <si>
    <t>66:25:1301001</t>
  </si>
  <si>
    <t>66:25:1301002</t>
  </si>
  <si>
    <t>66:25:1301003</t>
  </si>
  <si>
    <t>66:25:1303001</t>
  </si>
  <si>
    <t>66:25:1304001</t>
  </si>
  <si>
    <t>66:25:4801001</t>
  </si>
  <si>
    <t>66:25:1307007</t>
  </si>
  <si>
    <t>66:25:1305001</t>
  </si>
  <si>
    <t>66:25:1307001</t>
  </si>
  <si>
    <t>66:25:1307002</t>
  </si>
  <si>
    <t>66:25:1307006</t>
  </si>
  <si>
    <t>66:25:1309001</t>
  </si>
  <si>
    <t>66:25:2401002</t>
  </si>
  <si>
    <t>66:25:1316001</t>
  </si>
  <si>
    <t>66:25:1316002</t>
  </si>
  <si>
    <t>66:25:1324001</t>
  </si>
  <si>
    <t>66:25:1324002</t>
  </si>
  <si>
    <t>66:25:1325002</t>
  </si>
  <si>
    <t>66:25:1325003</t>
  </si>
  <si>
    <t>66:25:1325004</t>
  </si>
  <si>
    <t>66:25:1325005</t>
  </si>
  <si>
    <t>66:25:1325012</t>
  </si>
  <si>
    <t>66:25:1325013</t>
  </si>
  <si>
    <t>66:25:1329001</t>
  </si>
  <si>
    <t>66:25:2301001</t>
  </si>
  <si>
    <t>66:25:2401001</t>
  </si>
  <si>
    <t>66:25:2401003</t>
  </si>
  <si>
    <t>66:25:2401004</t>
  </si>
  <si>
    <t>66:25:2401005</t>
  </si>
  <si>
    <t>66:25:2401006</t>
  </si>
  <si>
    <t>66:25:2501001</t>
  </si>
  <si>
    <t>66:25:1001001</t>
  </si>
  <si>
    <t>66:33:0101011</t>
  </si>
  <si>
    <t>66:33:0501001</t>
  </si>
  <si>
    <t>66:25:1001002</t>
  </si>
  <si>
    <t>66:25:1001003</t>
  </si>
  <si>
    <t>66:25:1001004</t>
  </si>
  <si>
    <t>66:25:1001005</t>
  </si>
  <si>
    <t>66:25:1306001</t>
  </si>
  <si>
    <t>66:25:1307005</t>
  </si>
  <si>
    <t>66:25:1307009</t>
  </si>
  <si>
    <t>66:41:0614005</t>
  </si>
  <si>
    <t>66:41:0614006</t>
  </si>
  <si>
    <t>66:41:0614022</t>
  </si>
  <si>
    <t>66:33:0201001</t>
  </si>
  <si>
    <t>66:33:0301001</t>
  </si>
  <si>
    <t>66:25:1307010</t>
  </si>
  <si>
    <t>66:25:1325006</t>
  </si>
  <si>
    <t>66:25:1401001</t>
  </si>
  <si>
    <t>66:25:1401002</t>
  </si>
  <si>
    <t>66:25:1601001</t>
  </si>
  <si>
    <t>66:25:1325010</t>
  </si>
  <si>
    <t>66:25:1401003</t>
  </si>
  <si>
    <t>66:25:1413001</t>
  </si>
  <si>
    <t>66:25:1801001</t>
  </si>
  <si>
    <t>66:33:0101002</t>
  </si>
  <si>
    <t>66:41:0614023</t>
  </si>
  <si>
    <t>66:33:0101001</t>
  </si>
  <si>
    <t>66:33:0101004</t>
  </si>
  <si>
    <t>66:33:0101005</t>
  </si>
  <si>
    <t>66:33:0101006</t>
  </si>
  <si>
    <t>66:33:0101007</t>
  </si>
  <si>
    <t>66:33:0101008</t>
  </si>
  <si>
    <t>66:33:0101009</t>
  </si>
  <si>
    <t>66:33:0101010</t>
  </si>
  <si>
    <t>66:33:0101012</t>
  </si>
  <si>
    <t>66:25:0501022</t>
  </si>
  <si>
    <t>66:25:0307005</t>
  </si>
  <si>
    <t>66:25:0307007</t>
  </si>
  <si>
    <t>66:25:0309001</t>
  </si>
  <si>
    <t>66:25:0901001</t>
  </si>
  <si>
    <t>66:25:1402001</t>
  </si>
  <si>
    <t>66:25:1402002</t>
  </si>
  <si>
    <t>66:25:1404001</t>
  </si>
  <si>
    <t>66:25:1404002</t>
  </si>
  <si>
    <t>66:25:1408001</t>
  </si>
  <si>
    <t>66:25:1409001</t>
  </si>
  <si>
    <t>66:25:1501004</t>
  </si>
  <si>
    <t>66:25:1501005</t>
  </si>
  <si>
    <t>66:25:1501006</t>
  </si>
  <si>
    <t>66:25:1501007</t>
  </si>
  <si>
    <t>66:25:0307003</t>
  </si>
  <si>
    <t>66:25:0308001</t>
  </si>
  <si>
    <t>66:25:0501002</t>
  </si>
  <si>
    <t>66:25:0501003</t>
  </si>
  <si>
    <t>66:25:0501004</t>
  </si>
  <si>
    <t>66:25:0501005</t>
  </si>
  <si>
    <t>66:25:0501006</t>
  </si>
  <si>
    <t>66:25:0501008</t>
  </si>
  <si>
    <t>66:25:0501009</t>
  </si>
  <si>
    <t>66:25:0501017</t>
  </si>
  <si>
    <t>66:25:0501020</t>
  </si>
  <si>
    <t>66:25:0501021</t>
  </si>
  <si>
    <t>66:25:0601001</t>
  </si>
  <si>
    <t>66:25:0307004</t>
  </si>
  <si>
    <t>66:25:0307006</t>
  </si>
  <si>
    <t>66:25:0310002</t>
  </si>
  <si>
    <t>66:25:0310003</t>
  </si>
  <si>
    <t>66:25:0310011</t>
  </si>
  <si>
    <t>66:25:0311001</t>
  </si>
  <si>
    <t>66:25:0312001</t>
  </si>
  <si>
    <t>66:25:0313001</t>
  </si>
  <si>
    <t>66:25:0601002</t>
  </si>
  <si>
    <t>66:25:1403001</t>
  </si>
  <si>
    <t>66:25:1501001</t>
  </si>
  <si>
    <t>66:25:1501002</t>
  </si>
  <si>
    <t>66:25:1501003</t>
  </si>
  <si>
    <t>66:25:1701003</t>
  </si>
  <si>
    <t>66:25:1405001</t>
  </si>
  <si>
    <t>66:25:1406001</t>
  </si>
  <si>
    <t>66:25:1410001</t>
  </si>
  <si>
    <t>66:25:1411001</t>
  </si>
  <si>
    <t>66:25:1701001</t>
  </si>
  <si>
    <t>66:25:1701002</t>
  </si>
  <si>
    <t>66:25:2702002</t>
  </si>
  <si>
    <t>66:41:0606043</t>
  </si>
  <si>
    <t>se2</t>
  </si>
  <si>
    <t>66:41:0606016</t>
  </si>
  <si>
    <t>66:41:0606042</t>
  </si>
  <si>
    <t>66:41:0606047</t>
  </si>
  <si>
    <t>66:41:0606084</t>
  </si>
  <si>
    <t>66:41:0614044</t>
  </si>
  <si>
    <t>66:06:4501001</t>
  </si>
  <si>
    <t>66:06:4501002</t>
  </si>
  <si>
    <t>66:06:4501003</t>
  </si>
  <si>
    <t>66:06:4501011</t>
  </si>
  <si>
    <t>66:06:0101001</t>
  </si>
  <si>
    <t>66:06:0101002</t>
  </si>
  <si>
    <t>66:06:0201001</t>
  </si>
  <si>
    <t>66:06:4501004</t>
  </si>
  <si>
    <t>66:06:4501005</t>
  </si>
  <si>
    <t>66:06:4501006</t>
  </si>
  <si>
    <t>66:06:4501007</t>
  </si>
  <si>
    <t>66:06:4501008</t>
  </si>
  <si>
    <t>66:06:4501009</t>
  </si>
  <si>
    <t>66:06:4501010</t>
  </si>
  <si>
    <t>66:06:4501012</t>
  </si>
  <si>
    <t>66:41:0712022</t>
  </si>
  <si>
    <t>ee</t>
  </si>
  <si>
    <t>66:41:0606020</t>
  </si>
  <si>
    <t>66:41:0606023</t>
  </si>
  <si>
    <t>66:41:0606024</t>
  </si>
  <si>
    <t>66:41:0606029</t>
  </si>
  <si>
    <t>66:41:0606030</t>
  </si>
  <si>
    <t>66:41:0606039</t>
  </si>
  <si>
    <t>66:41:0606077</t>
  </si>
  <si>
    <t>66:41:0606078</t>
  </si>
  <si>
    <t>66:41:0606079</t>
  </si>
  <si>
    <t>66:41:0606080</t>
  </si>
  <si>
    <t>66:41:0712024</t>
  </si>
  <si>
    <t>66:41:0712025</t>
  </si>
  <si>
    <t>66:41:0607027</t>
  </si>
  <si>
    <t>66:41:0607028</t>
  </si>
  <si>
    <t>66:41:0607029</t>
  </si>
  <si>
    <t>66:41:0607031</t>
  </si>
  <si>
    <t>66:41:0611001</t>
  </si>
  <si>
    <t>66:41:0611002</t>
  </si>
  <si>
    <t>66:41:0614001</t>
  </si>
  <si>
    <t>66:41:0614017</t>
  </si>
  <si>
    <t>66:41:0614036</t>
  </si>
  <si>
    <t>66:41:0607003</t>
  </si>
  <si>
    <t>66:41:0607007</t>
  </si>
  <si>
    <t>66:41:0607009</t>
  </si>
  <si>
    <t>66:41:0607010</t>
  </si>
  <si>
    <t>66:41:0607013</t>
  </si>
  <si>
    <t>66:41:0607014</t>
  </si>
  <si>
    <t>66:41:0607015</t>
  </si>
  <si>
    <t>66:41:0607016</t>
  </si>
  <si>
    <t>66:41:0607030</t>
  </si>
  <si>
    <t>66:41:0614034</t>
  </si>
  <si>
    <t>66:41:0614035</t>
  </si>
  <si>
    <t>66:41:0614072</t>
  </si>
  <si>
    <t>66:41:0614073</t>
  </si>
  <si>
    <t>66:41:0606003</t>
  </si>
  <si>
    <t>66:41:0606004</t>
  </si>
  <si>
    <t>66:41:0606011</t>
  </si>
  <si>
    <t>66:41:0606037</t>
  </si>
  <si>
    <t>66:41:0606038</t>
  </si>
  <si>
    <t>66:41:0606040</t>
  </si>
  <si>
    <t>66:41:0606068</t>
  </si>
  <si>
    <t>66:41:0607901</t>
  </si>
  <si>
    <t>66:41:0607021</t>
  </si>
  <si>
    <t>66:41:0607002</t>
  </si>
  <si>
    <t>66:41:0607008</t>
  </si>
  <si>
    <t>66:41:0607019</t>
  </si>
  <si>
    <t>66:41:0607025</t>
  </si>
  <si>
    <t>66:41:0607026</t>
  </si>
  <si>
    <t>66:41:0607032</t>
  </si>
  <si>
    <t>66:41:0607033</t>
  </si>
  <si>
    <t>66:41:0607040</t>
  </si>
  <si>
    <t>66:41:0607041</t>
  </si>
  <si>
    <t>66:41:0606018</t>
  </si>
  <si>
    <t>66:41:0606019</t>
  </si>
  <si>
    <t>66:41:0606026</t>
  </si>
  <si>
    <t>66:41:0606027</t>
  </si>
  <si>
    <t>66:41:0606028</t>
  </si>
  <si>
    <t>66:41:0606036</t>
  </si>
  <si>
    <t>66:41:0606081</t>
  </si>
  <si>
    <t>66:41:0606082</t>
  </si>
  <si>
    <t>66:41:0712023</t>
  </si>
  <si>
    <t>66:41:0712037</t>
  </si>
  <si>
    <t>66:41:0607011</t>
  </si>
  <si>
    <t>66:41:0607006</t>
  </si>
  <si>
    <t>66:41:0607001</t>
  </si>
  <si>
    <t>66:41:0606069</t>
  </si>
  <si>
    <t>66:41:0607004</t>
  </si>
  <si>
    <t>66:41:0607005</t>
  </si>
  <si>
    <t>66:41:0607017</t>
  </si>
  <si>
    <t>66:41:0607037</t>
  </si>
  <si>
    <t>66:41:0607038</t>
  </si>
  <si>
    <t>66:41:0712036</t>
  </si>
  <si>
    <t>66:41:0606035</t>
  </si>
  <si>
    <t>66:41:0606015</t>
  </si>
  <si>
    <t>66:41:0606025</t>
  </si>
  <si>
    <t>66:41:0606083</t>
  </si>
  <si>
    <t>66:41:0712020</t>
  </si>
  <si>
    <t>66:41:0712021</t>
  </si>
  <si>
    <t>66:41:0712034</t>
  </si>
  <si>
    <t>66:41:0712035</t>
  </si>
  <si>
    <t>66:41:0612042</t>
  </si>
  <si>
    <t>se1</t>
  </si>
  <si>
    <t>66:41:0612002</t>
  </si>
  <si>
    <t>66:41:0612015</t>
  </si>
  <si>
    <t>66:41:0612022</t>
  </si>
  <si>
    <t>66:41:0612023</t>
  </si>
  <si>
    <t>66:41:0612024</t>
  </si>
  <si>
    <t>66:41:0612040</t>
  </si>
  <si>
    <t>66:41:0612041</t>
  </si>
  <si>
    <t>66:41:0612046</t>
  </si>
  <si>
    <t>66:41:0612047</t>
  </si>
  <si>
    <t>66:41:0612048</t>
  </si>
  <si>
    <t>66:41:0612049</t>
  </si>
  <si>
    <t>66:41:0614015</t>
  </si>
  <si>
    <t>66:41:0606033</t>
  </si>
  <si>
    <t>66:41:0606034</t>
  </si>
  <si>
    <t>66:41:0606059</t>
  </si>
  <si>
    <t>66:41:0606060</t>
  </si>
  <si>
    <t>66:41:0614003</t>
  </si>
  <si>
    <t>66:41:0614030</t>
  </si>
  <si>
    <t>66:41:0614062</t>
  </si>
  <si>
    <t>66:41:0614063</t>
  </si>
  <si>
    <t>66:41:0614064</t>
  </si>
  <si>
    <t>66:41:0614065</t>
  </si>
  <si>
    <t>66:41:0614066</t>
  </si>
  <si>
    <t>66:41:0614067</t>
  </si>
  <si>
    <t>66:41:0612043</t>
  </si>
  <si>
    <t>66:41:0612020</t>
  </si>
  <si>
    <t>66:41:0612014</t>
  </si>
  <si>
    <t>66:41:0612016</t>
  </si>
  <si>
    <t>66:41:0612019</t>
  </si>
  <si>
    <t>66:41:0612021</t>
  </si>
  <si>
    <t>66:41:0612032</t>
  </si>
  <si>
    <t>66:41:0612035</t>
  </si>
  <si>
    <t>66:41:0612036</t>
  </si>
  <si>
    <t>66:41:0612037</t>
  </si>
  <si>
    <t>66:41:0612038</t>
  </si>
  <si>
    <t>66:41:0612039</t>
  </si>
  <si>
    <t>66:41:0612044</t>
  </si>
  <si>
    <t>66:41:0612062</t>
  </si>
  <si>
    <t>66:41:0612064</t>
  </si>
  <si>
    <t>66:41:0612065</t>
  </si>
  <si>
    <t>66:41:0614020</t>
  </si>
  <si>
    <t>66:41:0614021</t>
  </si>
  <si>
    <t>66:41:0612031</t>
  </si>
  <si>
    <t>66:41:0612011</t>
  </si>
  <si>
    <t>66:41:0612012</t>
  </si>
  <si>
    <t>66:41:0612013</t>
  </si>
  <si>
    <t>66:41:0612017</t>
  </si>
  <si>
    <t>66:41:0612018</t>
  </si>
  <si>
    <t>66:41:0612028</t>
  </si>
  <si>
    <t>66:41:0612029</t>
  </si>
  <si>
    <t>66:41:0612030</t>
  </si>
  <si>
    <t>66:41:0612057</t>
  </si>
  <si>
    <t>66:41:0612058</t>
  </si>
  <si>
    <t>66:41:0612093</t>
  </si>
  <si>
    <t>66:41:0612903</t>
  </si>
  <si>
    <t>66:41:0614012</t>
  </si>
  <si>
    <t>66:41:0606009</t>
  </si>
  <si>
    <t>66:41:0606010</t>
  </si>
  <si>
    <t>66:41:0606012</t>
  </si>
  <si>
    <t>66:41:0606013</t>
  </si>
  <si>
    <t>66:41:0606014</t>
  </si>
  <si>
    <t>66:41:0606032</t>
  </si>
  <si>
    <t>66:41:0712008</t>
  </si>
  <si>
    <t>66:41:0712026</t>
  </si>
  <si>
    <t>66:41:0712027</t>
  </si>
  <si>
    <t>66:41:0712028</t>
  </si>
  <si>
    <t>66:41:0712031</t>
  </si>
  <si>
    <t>66:41:0712042</t>
  </si>
  <si>
    <t>66:41:0712044</t>
  </si>
  <si>
    <t>66:41:0712046</t>
  </si>
  <si>
    <t>66:35:0223002</t>
  </si>
  <si>
    <t>66:35:0221006</t>
  </si>
  <si>
    <t>66:35:0223001</t>
  </si>
  <si>
    <t>66:41:0702029</t>
  </si>
  <si>
    <t>66:41:0702005</t>
  </si>
  <si>
    <t>66:41:0702006</t>
  </si>
  <si>
    <t>66:41:0702007</t>
  </si>
  <si>
    <t>66:41:0702012</t>
  </si>
  <si>
    <t>66:41:0702013</t>
  </si>
  <si>
    <t>66:41:0702014</t>
  </si>
  <si>
    <t>66:41:0702026</t>
  </si>
  <si>
    <t>66:41:0702027</t>
  </si>
  <si>
    <t>66:41:0702028</t>
  </si>
  <si>
    <t>66:41:0702045</t>
  </si>
  <si>
    <t>66:41:0711066</t>
  </si>
  <si>
    <t>ne1</t>
  </si>
  <si>
    <t>66:41:0711067</t>
  </si>
  <si>
    <t>66:41:0711070</t>
  </si>
  <si>
    <t>66:41:0711071</t>
  </si>
  <si>
    <t>66:41:0711072</t>
  </si>
  <si>
    <t>66:41:0711073</t>
  </si>
  <si>
    <t>66:41:0711901</t>
  </si>
  <si>
    <t>66:35:0224001</t>
  </si>
  <si>
    <t>66:35:0106014</t>
  </si>
  <si>
    <t>66:35:0105008</t>
  </si>
  <si>
    <t>66:35:0105009</t>
  </si>
  <si>
    <t>66:35:0106006</t>
  </si>
  <si>
    <t>66:35:0106007</t>
  </si>
  <si>
    <t>66:35:0106008</t>
  </si>
  <si>
    <t>66:35:0106009</t>
  </si>
  <si>
    <t>66:35:0106010</t>
  </si>
  <si>
    <t>66:35:0106011</t>
  </si>
  <si>
    <t>66:35:0106012</t>
  </si>
  <si>
    <t>66:35:0106013</t>
  </si>
  <si>
    <t>66:35:0107001</t>
  </si>
  <si>
    <t>66:35:0107002</t>
  </si>
  <si>
    <t>66:35:0107003</t>
  </si>
  <si>
    <t>66:35:0107004</t>
  </si>
  <si>
    <t>66:35:0107005</t>
  </si>
  <si>
    <t>66:35:0107006</t>
  </si>
  <si>
    <t>66:35:0105020</t>
  </si>
  <si>
    <t>66:35:0105011</t>
  </si>
  <si>
    <t>66:35:0105013</t>
  </si>
  <si>
    <t>66:35:0105014</t>
  </si>
  <si>
    <t>66:35:0105015</t>
  </si>
  <si>
    <t>66:35:0105016</t>
  </si>
  <si>
    <t>66:35:0105017</t>
  </si>
  <si>
    <t>66:35:0105018</t>
  </si>
  <si>
    <t>66:35:0105019</t>
  </si>
  <si>
    <t>66:35:0105021</t>
  </si>
  <si>
    <t>66:35:0108001</t>
  </si>
  <si>
    <t>66:35:0108002</t>
  </si>
  <si>
    <t>66:35:0108003</t>
  </si>
  <si>
    <t>66:35:0108004</t>
  </si>
  <si>
    <t>66:35:0109011</t>
  </si>
  <si>
    <t>66:35:0109012</t>
  </si>
  <si>
    <t>66:35:0110002</t>
  </si>
  <si>
    <t>66:35:0221007</t>
  </si>
  <si>
    <t>66:35:0221010</t>
  </si>
  <si>
    <t>66:35:0221014</t>
  </si>
  <si>
    <t>66:41:0712012</t>
  </si>
  <si>
    <t>66:41:0712014</t>
  </si>
  <si>
    <t>66:41:0712015</t>
  </si>
  <si>
    <t>66:41:0712017</t>
  </si>
  <si>
    <t>66:41:0712018</t>
  </si>
  <si>
    <t>66:41:0712019</t>
  </si>
  <si>
    <t>66:41:0712033</t>
  </si>
  <si>
    <t>66:35:0221011</t>
  </si>
  <si>
    <t>66:35:0221012</t>
  </si>
  <si>
    <t>66:35:0221013</t>
  </si>
  <si>
    <t>66:35:0221015</t>
  </si>
  <si>
    <t>66:35:0221016</t>
  </si>
  <si>
    <t>66:35:0105010</t>
  </si>
  <si>
    <t>66:35:0104011</t>
  </si>
  <si>
    <t>66:35:0105002</t>
  </si>
  <si>
    <t>66:35:0105003</t>
  </si>
  <si>
    <t>66:35:0105004</t>
  </si>
  <si>
    <t>66:35:0105005</t>
  </si>
  <si>
    <t>66:35:0105006</t>
  </si>
  <si>
    <t>66:35:0105007</t>
  </si>
  <si>
    <t>66:35:0105012</t>
  </si>
  <si>
    <t>66:35:0109003</t>
  </si>
  <si>
    <t>66:35:0109009</t>
  </si>
  <si>
    <t>66:35:0109010</t>
  </si>
  <si>
    <t>66:41:0712011</t>
  </si>
  <si>
    <t>66:41:0712003</t>
  </si>
  <si>
    <t>66:41:0712007</t>
  </si>
  <si>
    <t>66:41:0712009</t>
  </si>
  <si>
    <t>66:41:0712013</t>
  </si>
  <si>
    <t>66:41:0712029</t>
  </si>
  <si>
    <t>66:41:0712030</t>
  </si>
  <si>
    <t>66:41:0712032</t>
  </si>
  <si>
    <t>66:35:0221017</t>
  </si>
  <si>
    <t>66:35:0221018</t>
  </si>
  <si>
    <t>66:35:0221019</t>
  </si>
  <si>
    <t>66:35:0103003</t>
  </si>
  <si>
    <t>66:35:0103004</t>
  </si>
  <si>
    <t>66:35:0103005</t>
  </si>
  <si>
    <t>66:35:0103006</t>
  </si>
  <si>
    <t>66:35:0103007</t>
  </si>
  <si>
    <t>66:35:0104015</t>
  </si>
  <si>
    <t>66:35:0104016</t>
  </si>
  <si>
    <t>66:35:0104017</t>
  </si>
  <si>
    <t>66:35:0109001</t>
  </si>
  <si>
    <t>66:35:0109004</t>
  </si>
  <si>
    <t>66:35:0109005</t>
  </si>
  <si>
    <t>66:35:0109008</t>
  </si>
  <si>
    <t>66:35:0103008</t>
  </si>
  <si>
    <t>66:35:0109006</t>
  </si>
  <si>
    <t>66:35:0109007</t>
  </si>
  <si>
    <t>66:35:0110001</t>
  </si>
  <si>
    <t>66:41:0710024</t>
  </si>
  <si>
    <t>66:41:0710011</t>
  </si>
  <si>
    <t>66:41:0710012</t>
  </si>
  <si>
    <t>66:41:0710013</t>
  </si>
  <si>
    <t>66:41:0710016</t>
  </si>
  <si>
    <t>66:41:0710018</t>
  </si>
  <si>
    <t>66:41:0710019</t>
  </si>
  <si>
    <t>66:41:0710022</t>
  </si>
  <si>
    <t>66:41:0710026</t>
  </si>
  <si>
    <t>66:41:0710027</t>
  </si>
  <si>
    <t>66:41:0710030</t>
  </si>
  <si>
    <t>66:41:0710031</t>
  </si>
  <si>
    <t>66:41:0710032</t>
  </si>
  <si>
    <t>66:41:0710036</t>
  </si>
  <si>
    <t>66:41:0710901</t>
  </si>
  <si>
    <t>66:41:0712001</t>
  </si>
  <si>
    <t>66:41:0712006</t>
  </si>
  <si>
    <t>66:41:0712047</t>
  </si>
  <si>
    <t>66:41:0712048</t>
  </si>
  <si>
    <t>66:41:0710017</t>
  </si>
  <si>
    <t>66:41:0710007</t>
  </si>
  <si>
    <t>66:41:0710001</t>
  </si>
  <si>
    <t>66:41:0710002</t>
  </si>
  <si>
    <t>66:41:0710003</t>
  </si>
  <si>
    <t>66:41:0710004</t>
  </si>
  <si>
    <t>66:41:0710005</t>
  </si>
  <si>
    <t>66:41:0710006</t>
  </si>
  <si>
    <t>66:41:0710008</t>
  </si>
  <si>
    <t>66:41:0710009</t>
  </si>
  <si>
    <t>66:41:0710014</t>
  </si>
  <si>
    <t>66:41:0710015</t>
  </si>
  <si>
    <t>66:41:0710033</t>
  </si>
  <si>
    <t>66:41:0710037</t>
  </si>
  <si>
    <t>66:35:0111005</t>
  </si>
  <si>
    <t>66:35:0111006</t>
  </si>
  <si>
    <t>66:35:0111008</t>
  </si>
  <si>
    <t>66:41:0708017</t>
  </si>
  <si>
    <t>66:41:0708018</t>
  </si>
  <si>
    <t>66:35:0109002</t>
  </si>
  <si>
    <t>66:35:0111002</t>
  </si>
  <si>
    <t>66:41:0708023</t>
  </si>
  <si>
    <t>66:41:0708006</t>
  </si>
  <si>
    <t>66:41:0708001</t>
  </si>
  <si>
    <t>66:41:0708007</t>
  </si>
  <si>
    <t>66:41:0708008</t>
  </si>
  <si>
    <t>66:41:0708013</t>
  </si>
  <si>
    <t>66:41:0708014</t>
  </si>
  <si>
    <t>66:41:0708015</t>
  </si>
  <si>
    <t>66:41:0708020</t>
  </si>
  <si>
    <t>66:41:0708024</t>
  </si>
  <si>
    <t>66:41:0708026</t>
  </si>
  <si>
    <t>66:41:0708901</t>
  </si>
  <si>
    <t>66:35:0111003</t>
  </si>
  <si>
    <t>66:35:0111007</t>
  </si>
  <si>
    <t>66:35:0217001</t>
  </si>
  <si>
    <t>66:35:0217002</t>
  </si>
  <si>
    <t>66:35:0217003</t>
  </si>
  <si>
    <t>66:35:0217004</t>
  </si>
  <si>
    <t>66:41:0711022</t>
  </si>
  <si>
    <t>66:41:0710034</t>
  </si>
  <si>
    <t>66:41:0711013</t>
  </si>
  <si>
    <t>66:41:0711014</t>
  </si>
  <si>
    <t>66:41:0711015</t>
  </si>
  <si>
    <t>66:41:0711016</t>
  </si>
  <si>
    <t>66:41:0711021</t>
  </si>
  <si>
    <t>66:41:0711029</t>
  </si>
  <si>
    <t>66:41:0711031</t>
  </si>
  <si>
    <t>66:41:0711075</t>
  </si>
  <si>
    <t>66:41:0711077</t>
  </si>
  <si>
    <t>66:41:0711078</t>
  </si>
  <si>
    <t>66:35:0111004</t>
  </si>
  <si>
    <t>66:41:0708002</t>
  </si>
  <si>
    <t>66:41:0708003</t>
  </si>
  <si>
    <t>66:41:0708004</t>
  </si>
  <si>
    <t>66:41:0708005</t>
  </si>
  <si>
    <t>66:41:0708009</t>
  </si>
  <si>
    <t>66:41:0708011</t>
  </si>
  <si>
    <t>66:41:0708016</t>
  </si>
  <si>
    <t>66:41:0708019</t>
  </si>
  <si>
    <t>66:41:0711034</t>
  </si>
  <si>
    <t>66:41:0710035</t>
  </si>
  <si>
    <t>66:41:0710042</t>
  </si>
  <si>
    <t>66:41:0711028</t>
  </si>
  <si>
    <t>66:41:0711030</t>
  </si>
  <si>
    <t>66:41:0711032</t>
  </si>
  <si>
    <t>66:41:0711033</t>
  </si>
  <si>
    <t>66:41:0711036</t>
  </si>
  <si>
    <t>66:41:0711037</t>
  </si>
  <si>
    <t>66:41:0711038</t>
  </si>
  <si>
    <t>66:41:0711041</t>
  </si>
  <si>
    <t>66:41:0711074</t>
  </si>
  <si>
    <t>66:41:0708021</t>
  </si>
  <si>
    <t>66:41:0708022</t>
  </si>
  <si>
    <t>66:41:0708025</t>
  </si>
  <si>
    <t>66:41:0711007</t>
  </si>
  <si>
    <t>66:41:0711008</t>
  </si>
  <si>
    <t>66:41:0711009</t>
  </si>
  <si>
    <t>66:41:0711010</t>
  </si>
  <si>
    <t>66:41:0711011</t>
  </si>
  <si>
    <t>66:41:0711012</t>
  </si>
  <si>
    <t>66:41:0711017</t>
  </si>
  <si>
    <t>66:41:0711018</t>
  </si>
  <si>
    <t>66:41:0711019</t>
  </si>
  <si>
    <t>66:41:0711020</t>
  </si>
  <si>
    <t>66:41:0711023</t>
  </si>
  <si>
    <t>66:41:0711024</t>
  </si>
  <si>
    <t>66:41:0711025</t>
  </si>
  <si>
    <t>66:41:0711026</t>
  </si>
  <si>
    <t>66:41:0711027</t>
  </si>
  <si>
    <t>66:41:0711040</t>
  </si>
  <si>
    <t>66:41:0708010</t>
  </si>
  <si>
    <t>66:41:0711003</t>
  </si>
  <si>
    <t>66:41:0711004</t>
  </si>
  <si>
    <t>66:41:0711005</t>
  </si>
  <si>
    <t>66:41:0711006</t>
  </si>
  <si>
    <t>66:41:0711044</t>
  </si>
  <si>
    <t>66:41:0711045</t>
  </si>
  <si>
    <t>66:41:0711046</t>
  </si>
  <si>
    <t>66:41:0711065</t>
  </si>
  <si>
    <t>66:41:0711055</t>
  </si>
  <si>
    <t>66:41:0711047</t>
  </si>
  <si>
    <t>66:41:0711048</t>
  </si>
  <si>
    <t>66:41:0711050</t>
  </si>
  <si>
    <t>66:41:0711051</t>
  </si>
  <si>
    <t>66:41:0711052</t>
  </si>
  <si>
    <t>66:41:0711053</t>
  </si>
  <si>
    <t>66:41:0711054</t>
  </si>
  <si>
    <t>66:41:0711056</t>
  </si>
  <si>
    <t>66:41:0711057</t>
  </si>
  <si>
    <t>66:41:0711058</t>
  </si>
  <si>
    <t>66:41:0711049</t>
  </si>
  <si>
    <t>66:41:0110011</t>
  </si>
  <si>
    <t>66:41:0110177</t>
  </si>
  <si>
    <t>66:41:0711002</t>
  </si>
  <si>
    <t>66:41:0711059</t>
  </si>
  <si>
    <t>66:41:0711060</t>
  </si>
  <si>
    <t>66:41:0711061</t>
  </si>
  <si>
    <t>66:41:0711062</t>
  </si>
  <si>
    <t>66:41:0711063</t>
  </si>
  <si>
    <t>66:41:0711064</t>
  </si>
  <si>
    <t>66:41:0711068</t>
  </si>
  <si>
    <t>66:41:0711069</t>
  </si>
  <si>
    <t>66:41:0707006</t>
  </si>
  <si>
    <t>66:41:0703008</t>
  </si>
  <si>
    <t>66:41:0707004</t>
  </si>
  <si>
    <t>66:41:0707005</t>
  </si>
  <si>
    <t>66:41:0707007</t>
  </si>
  <si>
    <t>66:41:0707008</t>
  </si>
  <si>
    <t>66:41:0707009</t>
  </si>
  <si>
    <t>66:41:0614002</t>
  </si>
  <si>
    <t>66:41:0612006</t>
  </si>
  <si>
    <t>66:41:0612067</t>
  </si>
  <si>
    <t>66:41:0612090</t>
  </si>
  <si>
    <t>66:41:0612082</t>
  </si>
  <si>
    <t>66:41:0610005</t>
  </si>
  <si>
    <t>66:41:0610036</t>
  </si>
  <si>
    <t>66:41:0610072</t>
  </si>
  <si>
    <t>66:41:0612050</t>
  </si>
  <si>
    <t>66:41:0612077</t>
  </si>
  <si>
    <t>66:41:0612078</t>
  </si>
  <si>
    <t>66:41:0612079</t>
  </si>
  <si>
    <t>66:41:0612084</t>
  </si>
  <si>
    <t>66:41:0612085</t>
  </si>
  <si>
    <t>66:41:0612086</t>
  </si>
  <si>
    <t>66:41:0612087</t>
  </si>
  <si>
    <t>66:41:0612088</t>
  </si>
  <si>
    <t>66:41:0612089</t>
  </si>
  <si>
    <t>66:41:0612091</t>
  </si>
  <si>
    <t>66:41:0612901</t>
  </si>
  <si>
    <t>66:41:0614078</t>
  </si>
  <si>
    <t>66:41:0614079</t>
  </si>
  <si>
    <t>66:41:0002002</t>
  </si>
  <si>
    <t>66:41:0503018</t>
  </si>
  <si>
    <t>66:41:0503030</t>
  </si>
  <si>
    <t>66:41:0503017</t>
  </si>
  <si>
    <t>66:41:0503012</t>
  </si>
  <si>
    <t>66:41:0503016</t>
  </si>
  <si>
    <t>66:41:0503019</t>
  </si>
  <si>
    <t>66:41:0503021</t>
  </si>
  <si>
    <t>66:41:0503024</t>
  </si>
  <si>
    <t>66:41:0503025</t>
  </si>
  <si>
    <t>66:41:0503028</t>
  </si>
  <si>
    <t>66:41:0509008</t>
  </si>
  <si>
    <t>66:41:0509014</t>
  </si>
  <si>
    <t>66:41:0509015</t>
  </si>
  <si>
    <t>66:41:0509020</t>
  </si>
  <si>
    <t>66:41:0509036</t>
  </si>
  <si>
    <t>66:41:0509042</t>
  </si>
  <si>
    <t>66:41:0509064</t>
  </si>
  <si>
    <t>66:41:0509001</t>
  </si>
  <si>
    <t>66:41:0509004</t>
  </si>
  <si>
    <t>66:41:0509005</t>
  </si>
  <si>
    <t>66:41:0509006</t>
  </si>
  <si>
    <t>66:41:0509007</t>
  </si>
  <si>
    <t>66:41:0509009</t>
  </si>
  <si>
    <t>66:41:0509010</t>
  </si>
  <si>
    <t>66:41:0509011</t>
  </si>
  <si>
    <t>66:41:0509019</t>
  </si>
  <si>
    <t>66:41:0509065</t>
  </si>
  <si>
    <t>66:41:0509067</t>
  </si>
  <si>
    <t>66:41:0610032</t>
  </si>
  <si>
    <t>66:41:0503009</t>
  </si>
  <si>
    <t>66:41:0503010</t>
  </si>
  <si>
    <t>66:41:0503011</t>
  </si>
  <si>
    <t>66:41:0503014</t>
  </si>
  <si>
    <t>66:41:0503023</t>
  </si>
  <si>
    <t>66:41:0503026</t>
  </si>
  <si>
    <t>66:41:0503027</t>
  </si>
  <si>
    <t>66:41:0619901</t>
  </si>
  <si>
    <t>66:41:0509013</t>
  </si>
  <si>
    <t>66:41:0503013</t>
  </si>
  <si>
    <t>66:41:0503015</t>
  </si>
  <si>
    <t>66:41:0503020</t>
  </si>
  <si>
    <t>66:41:0509012</t>
  </si>
  <si>
    <t>66:41:0509016</t>
  </si>
  <si>
    <t>66:41:0509017</t>
  </si>
  <si>
    <t>66:41:0509003</t>
  </si>
  <si>
    <t>66:41:0509018</t>
  </si>
  <si>
    <t>66:41:0509033</t>
  </si>
  <si>
    <t>66:41:0509038</t>
  </si>
  <si>
    <t>66:41:0509039</t>
  </si>
  <si>
    <t>66:41:0509048</t>
  </si>
  <si>
    <t>66:41:0509049</t>
  </si>
  <si>
    <t>66:41:0509050</t>
  </si>
  <si>
    <t>66:41:0509051</t>
  </si>
  <si>
    <t>66:41:0509052</t>
  </si>
  <si>
    <t>66:41:0509055</t>
  </si>
  <si>
    <t>66:41:0509059</t>
  </si>
  <si>
    <t>66:41:0509060</t>
  </si>
  <si>
    <t>66:41:0509062</t>
  </si>
  <si>
    <t>66:41:0605023</t>
  </si>
  <si>
    <t>66:41:0605012</t>
  </si>
  <si>
    <t>66:41:0605013</t>
  </si>
  <si>
    <t>66:41:0605016</t>
  </si>
  <si>
    <t>66:41:0605017</t>
  </si>
  <si>
    <t>66:41:0605018</t>
  </si>
  <si>
    <t>66:41:0605021</t>
  </si>
  <si>
    <t>66:41:0605022</t>
  </si>
  <si>
    <t>66:41:0605024</t>
  </si>
  <si>
    <t>66:41:0509032</t>
  </si>
  <si>
    <t>66:41:0509024</t>
  </si>
  <si>
    <t>66:41:0509021</t>
  </si>
  <si>
    <t>66:41:0509022</t>
  </si>
  <si>
    <t>66:41:0509023</t>
  </si>
  <si>
    <t>66:41:0509026</t>
  </si>
  <si>
    <t>66:41:0509027</t>
  </si>
  <si>
    <t>66:41:0509028</t>
  </si>
  <si>
    <t>66:41:0509029</t>
  </si>
  <si>
    <t>66:41:0509030</t>
  </si>
  <si>
    <t>66:41:0509031</t>
  </si>
  <si>
    <t>66:41:0509046</t>
  </si>
  <si>
    <t>66:41:0509034</t>
  </si>
  <si>
    <t>66:41:0508056</t>
  </si>
  <si>
    <t>66:41:0508061</t>
  </si>
  <si>
    <t>66:41:0508062</t>
  </si>
  <si>
    <t>66:41:0508064</t>
  </si>
  <si>
    <t>66:41:0509002</t>
  </si>
  <si>
    <t>66:41:0509035</t>
  </si>
  <si>
    <t>66:41:0509037</t>
  </si>
  <si>
    <t>66:41:0509043</t>
  </si>
  <si>
    <t>66:41:0509047</t>
  </si>
  <si>
    <t>66:41:0605015</t>
  </si>
  <si>
    <t>66:41:0503003</t>
  </si>
  <si>
    <t>66:41:0503004</t>
  </si>
  <si>
    <t>66:41:0503022</t>
  </si>
  <si>
    <t>66:41:0605002</t>
  </si>
  <si>
    <t>66:41:0605007</t>
  </si>
  <si>
    <t>66:41:0605008</t>
  </si>
  <si>
    <t>66:41:0605009</t>
  </si>
  <si>
    <t>66:41:0605010</t>
  </si>
  <si>
    <t>66:41:0605011</t>
  </si>
  <si>
    <t>66:41:0605014</t>
  </si>
  <si>
    <t>66:41:0605019</t>
  </si>
  <si>
    <t>66:41:0605026</t>
  </si>
  <si>
    <t>66:41:0502099</t>
  </si>
  <si>
    <t>66:41:0502058</t>
  </si>
  <si>
    <t>66:41:0503005</t>
  </si>
  <si>
    <t>66:41:0503006</t>
  </si>
  <si>
    <t>66:41:0503007</t>
  </si>
  <si>
    <t>66:41:0503008</t>
  </si>
  <si>
    <t>66:41:0508040</t>
  </si>
  <si>
    <t>66:41:0508021</t>
  </si>
  <si>
    <t>66:41:0508022</t>
  </si>
  <si>
    <t>66:41:0508023</t>
  </si>
  <si>
    <t>66:41:0508037</t>
  </si>
  <si>
    <t>66:41:0508038</t>
  </si>
  <si>
    <t>66:41:0508039</t>
  </si>
  <si>
    <t>66:41:0508048</t>
  </si>
  <si>
    <t>66:41:0508049</t>
  </si>
  <si>
    <t>66:41:0509025</t>
  </si>
  <si>
    <t>66:41:0509901</t>
  </si>
  <si>
    <t>66:41:0502041</t>
  </si>
  <si>
    <t>66:41:0502036</t>
  </si>
  <si>
    <t>66:41:0502037</t>
  </si>
  <si>
    <t>66:41:0502038</t>
  </si>
  <si>
    <t>66:41:0502039</t>
  </si>
  <si>
    <t>66:41:0502040</t>
  </si>
  <si>
    <t>66:41:0502046</t>
  </si>
  <si>
    <t>66:41:0502047</t>
  </si>
  <si>
    <t>66:41:0502048</t>
  </si>
  <si>
    <t>66:41:0502049</t>
  </si>
  <si>
    <t>66:41:0502055</t>
  </si>
  <si>
    <t>66:41:0502117</t>
  </si>
  <si>
    <t>66:41:0522005</t>
  </si>
  <si>
    <t>66:41:0612008</t>
  </si>
  <si>
    <t>66:41:0612009</t>
  </si>
  <si>
    <t>66:41:0612010</t>
  </si>
  <si>
    <t>66:41:0612025</t>
  </si>
  <si>
    <t>66:41:0612026</t>
  </si>
  <si>
    <t>66:41:0612027</t>
  </si>
  <si>
    <t>66:41:0612051</t>
  </si>
  <si>
    <t>66:41:0612052</t>
  </si>
  <si>
    <t>66:41:0612054</t>
  </si>
  <si>
    <t>66:41:0612073</t>
  </si>
  <si>
    <t>66:41:0612076</t>
  </si>
  <si>
    <t>66:41:0614009</t>
  </si>
  <si>
    <t>66:41:0614077</t>
  </si>
  <si>
    <t>66:41:0614004</t>
  </si>
  <si>
    <t>66:41:0614007</t>
  </si>
  <si>
    <t>66:41:0614024</t>
  </si>
  <si>
    <t>66:41:0614027</t>
  </si>
  <si>
    <t>66:41:0614028</t>
  </si>
  <si>
    <t>66:41:0614075</t>
  </si>
  <si>
    <t>66:41:0614057</t>
  </si>
  <si>
    <t>66:41:0606051</t>
  </si>
  <si>
    <t>66:41:0609008</t>
  </si>
  <si>
    <t>66:41:0609039</t>
  </si>
  <si>
    <t>66:41:0609046</t>
  </si>
  <si>
    <t>66:41:0613001</t>
  </si>
  <si>
    <t>66:41:0613002</t>
  </si>
  <si>
    <t>66:41:0613901</t>
  </si>
  <si>
    <t>66:41:0614041</t>
  </si>
  <si>
    <t>66:41:0614042</t>
  </si>
  <si>
    <t>66:41:0614052</t>
  </si>
  <si>
    <t>66:41:0614054</t>
  </si>
  <si>
    <t>66:41:0614055</t>
  </si>
  <si>
    <t>66:41:0612007</t>
  </si>
  <si>
    <t>66:41:0612003</t>
  </si>
  <si>
    <t>66:41:0609036</t>
  </si>
  <si>
    <t>66:41:0609035</t>
  </si>
  <si>
    <t>66:41:0610012</t>
  </si>
  <si>
    <t>66:41:0612001</t>
  </si>
  <si>
    <t>66:41:0612004</t>
  </si>
  <si>
    <t>66:41:0612005</t>
  </si>
  <si>
    <t>66:41:0612033</t>
  </si>
  <si>
    <t>66:41:0612045</t>
  </si>
  <si>
    <t>66:41:0612902</t>
  </si>
  <si>
    <t>66:41:0610030</t>
  </si>
  <si>
    <t>66:41:0610031</t>
  </si>
  <si>
    <t>66:41:0610033</t>
  </si>
  <si>
    <t>66:41:0612034</t>
  </si>
  <si>
    <t>66:41:0612074</t>
  </si>
  <si>
    <t>66:41:0609047</t>
  </si>
  <si>
    <t>66:41:0609015</t>
  </si>
  <si>
    <t>66:41:0609025</t>
  </si>
  <si>
    <t>66:41:0609029</t>
  </si>
  <si>
    <t>66:41:0609042</t>
  </si>
  <si>
    <t>66:41:0609043</t>
  </si>
  <si>
    <t>66:41:0609044</t>
  </si>
  <si>
    <t>66:41:0609045</t>
  </si>
  <si>
    <t>66:41:0609049</t>
  </si>
  <si>
    <t>66:41:0609050</t>
  </si>
  <si>
    <t>66:41:0609052</t>
  </si>
  <si>
    <t>66:41:0609902</t>
  </si>
  <si>
    <t>66:41:0614076</t>
  </si>
  <si>
    <t>66:41:0609018</t>
  </si>
  <si>
    <t>66:41:0609022</t>
  </si>
  <si>
    <t>66:41:0609023</t>
  </si>
  <si>
    <t>66:41:0609024</t>
  </si>
  <si>
    <t>66:41:0609026</t>
  </si>
  <si>
    <t>66:41:0609027</t>
  </si>
  <si>
    <t>66:41:0609028</t>
  </si>
  <si>
    <t>66:41:0609032</t>
  </si>
  <si>
    <t>66:41:0609033</t>
  </si>
  <si>
    <t>66:41:0609034</t>
  </si>
  <si>
    <t>66:41:0609901</t>
  </si>
  <si>
    <t>66:41:0610020</t>
  </si>
  <si>
    <t>66:41:0606005</t>
  </si>
  <si>
    <t>66:41:0606006</t>
  </si>
  <si>
    <t>66:41:0606007</t>
  </si>
  <si>
    <t>66:41:0606008</t>
  </si>
  <si>
    <t>66:41:0606031</t>
  </si>
  <si>
    <t>66:41:0606048</t>
  </si>
  <si>
    <t>66:41:0606049</t>
  </si>
  <si>
    <t>66:41:0609001</t>
  </si>
  <si>
    <t>66:41:0609007</t>
  </si>
  <si>
    <t>66:41:0712040</t>
  </si>
  <si>
    <t>66:41:0712041</t>
  </si>
  <si>
    <t>66:41:0712045</t>
  </si>
  <si>
    <t>66:41:0712049</t>
  </si>
  <si>
    <t>66:41:0610022</t>
  </si>
  <si>
    <t>66:41:0609017</t>
  </si>
  <si>
    <t>66:41:0609011</t>
  </si>
  <si>
    <t>66:41:0609014</t>
  </si>
  <si>
    <t>66:41:0609030</t>
  </si>
  <si>
    <t>66:41:0609031</t>
  </si>
  <si>
    <t>66:41:0610011</t>
  </si>
  <si>
    <t>66:41:0610015</t>
  </si>
  <si>
    <t>66:41:0610016</t>
  </si>
  <si>
    <t>66:41:0610017</t>
  </si>
  <si>
    <t>66:41:0610019</t>
  </si>
  <si>
    <t>66:41:0610021</t>
  </si>
  <si>
    <t>66:41:0610024</t>
  </si>
  <si>
    <t>66:41:0610029</t>
  </si>
  <si>
    <t>66:41:0610043</t>
  </si>
  <si>
    <t>66:41:0610001</t>
  </si>
  <si>
    <t>66:41:0610002</t>
  </si>
  <si>
    <t>66:41:0610003</t>
  </si>
  <si>
    <t>66:41:0610004</t>
  </si>
  <si>
    <t>66:41:0610006</t>
  </si>
  <si>
    <t>66:41:0610009</t>
  </si>
  <si>
    <t>66:41:0610014</t>
  </si>
  <si>
    <t>66:41:0610025</t>
  </si>
  <si>
    <t>66:41:0610026</t>
  </si>
  <si>
    <t>66:41:0610027</t>
  </si>
  <si>
    <t>66:41:0610035</t>
  </si>
  <si>
    <t>66:41:0610038</t>
  </si>
  <si>
    <t>66:41:0610039</t>
  </si>
  <si>
    <t>66:41:0610040</t>
  </si>
  <si>
    <t>66:41:0610041</t>
  </si>
  <si>
    <t>66:41:0610042</t>
  </si>
  <si>
    <t>66:41:0610044</t>
  </si>
  <si>
    <t>66:41:0608006</t>
  </si>
  <si>
    <t>66:41:0606001</t>
  </si>
  <si>
    <t>66:41:0606002</t>
  </si>
  <si>
    <t>66:41:0608005</t>
  </si>
  <si>
    <t>66:41:0609003</t>
  </si>
  <si>
    <t>66:41:0706006</t>
  </si>
  <si>
    <t>66:41:0706007</t>
  </si>
  <si>
    <t>66:41:0608001</t>
  </si>
  <si>
    <t>66:41:0608003</t>
  </si>
  <si>
    <t>66:41:0608014</t>
  </si>
  <si>
    <t>66:41:0608016</t>
  </si>
  <si>
    <t>66:41:0608019</t>
  </si>
  <si>
    <t>66:41:0608022</t>
  </si>
  <si>
    <t>66:41:0609005</t>
  </si>
  <si>
    <t>66:41:0608036</t>
  </si>
  <si>
    <t>66:41:0608021</t>
  </si>
  <si>
    <t>66:41:0608020</t>
  </si>
  <si>
    <t>66:41:0608023</t>
  </si>
  <si>
    <t>66:41:0608024</t>
  </si>
  <si>
    <t>66:41:0608025</t>
  </si>
  <si>
    <t>66:41:0608026</t>
  </si>
  <si>
    <t>66:41:0608027</t>
  </si>
  <si>
    <t>66:41:0608028</t>
  </si>
  <si>
    <t>66:41:0608029</t>
  </si>
  <si>
    <t>66:41:0608031</t>
  </si>
  <si>
    <t>66:41:0608032</t>
  </si>
  <si>
    <t>66:41:0608033</t>
  </si>
  <si>
    <t>66:41:0608035</t>
  </si>
  <si>
    <t>66:41:0608038</t>
  </si>
  <si>
    <t>66:41:0608901</t>
  </si>
  <si>
    <t>66:41:0609009</t>
  </si>
  <si>
    <t>66:41:0608017</t>
  </si>
  <si>
    <t>66:41:0603025</t>
  </si>
  <si>
    <t>66:41:0603026</t>
  </si>
  <si>
    <t>66:41:0603027</t>
  </si>
  <si>
    <t>66:41:0603028</t>
  </si>
  <si>
    <t>66:41:0603030</t>
  </si>
  <si>
    <t>66:41:0603032</t>
  </si>
  <si>
    <t>66:41:0608007</t>
  </si>
  <si>
    <t>66:41:0608008</t>
  </si>
  <si>
    <t>66:41:0608009</t>
  </si>
  <si>
    <t>66:41:0608010</t>
  </si>
  <si>
    <t>66:41:0608013</t>
  </si>
  <si>
    <t>66:41:0706002</t>
  </si>
  <si>
    <t>66:25:0501012</t>
  </si>
  <si>
    <t>66:25:0501001</t>
  </si>
  <si>
    <t>66:41:0521052</t>
  </si>
  <si>
    <t>66:33:0101003</t>
  </si>
  <si>
    <t>66:25:0202003</t>
  </si>
  <si>
    <t>66:25:0307001</t>
  </si>
  <si>
    <t>66:25:0307002</t>
  </si>
  <si>
    <t>66:25:0501007</t>
  </si>
  <si>
    <t>66:25:0501010</t>
  </si>
  <si>
    <t>66:25:0501011</t>
  </si>
  <si>
    <t>66:25:0501013</t>
  </si>
  <si>
    <t>66:25:0501014</t>
  </si>
  <si>
    <t>66:25:0501015</t>
  </si>
  <si>
    <t>66:25:0501016</t>
  </si>
  <si>
    <t>66:25:0501018</t>
  </si>
  <si>
    <t>66:25:0501019</t>
  </si>
  <si>
    <t>66:25:0101007</t>
  </si>
  <si>
    <t>66:25:0101001</t>
  </si>
  <si>
    <t>66:25:0101002</t>
  </si>
  <si>
    <t>66:25:0101003</t>
  </si>
  <si>
    <t>66:25:0101004</t>
  </si>
  <si>
    <t>66:25:0101005</t>
  </si>
  <si>
    <t>66:25:0101006</t>
  </si>
  <si>
    <t>66:25:0101008</t>
  </si>
  <si>
    <t>66:25:0101009</t>
  </si>
  <si>
    <t>66:25:0101010</t>
  </si>
  <si>
    <t>66:25:0101011</t>
  </si>
  <si>
    <t>66:25:0105001</t>
  </si>
  <si>
    <t>66:25:0106002</t>
  </si>
  <si>
    <t>66:25:0202001</t>
  </si>
  <si>
    <t>66:25:0202002</t>
  </si>
  <si>
    <t>66:25:0201011</t>
  </si>
  <si>
    <t>66:25:0201009</t>
  </si>
  <si>
    <t>66:41:0521051</t>
  </si>
  <si>
    <t>66:25:0201010</t>
  </si>
  <si>
    <t>66:25:0201012</t>
  </si>
  <si>
    <t>66:25:0201013</t>
  </si>
  <si>
    <t>66:25:0201014</t>
  </si>
  <si>
    <t>66:25:0201015</t>
  </si>
  <si>
    <t>66:25:0201016</t>
  </si>
  <si>
    <t>66:25:0201017</t>
  </si>
  <si>
    <t>66:25:0201018</t>
  </si>
  <si>
    <t>66:25:0201019</t>
  </si>
  <si>
    <t>66:25:0310001</t>
  </si>
  <si>
    <t>66:41:0521004</t>
  </si>
  <si>
    <t>66:41:0521016</t>
  </si>
  <si>
    <t>66:41:0521035</t>
  </si>
  <si>
    <t>66:41:0521037</t>
  </si>
  <si>
    <t>66:41:0521038</t>
  </si>
  <si>
    <t>66:41:0521039</t>
  </si>
  <si>
    <t>66:41:0521042</t>
  </si>
  <si>
    <t>66:41:0521043</t>
  </si>
  <si>
    <t>66:41:0521044</t>
  </si>
  <si>
    <t>66:41:0521045</t>
  </si>
  <si>
    <t>66:41:0521046</t>
  </si>
  <si>
    <t>66:41:0521047</t>
  </si>
  <si>
    <t>66:41:0521048</t>
  </si>
  <si>
    <t>66:41:0521050</t>
  </si>
  <si>
    <t>66:41:0521902</t>
  </si>
  <si>
    <t>66:25:0301001</t>
  </si>
  <si>
    <t>66:25:0301002</t>
  </si>
  <si>
    <t>66:25:0102001</t>
  </si>
  <si>
    <t>66:41:0509053</t>
  </si>
  <si>
    <t>66:41:0509061</t>
  </si>
  <si>
    <t>66:25:0104001</t>
  </si>
  <si>
    <t>66:41:0521001</t>
  </si>
  <si>
    <t>66:41:0521002</t>
  </si>
  <si>
    <t>66:41:0521006</t>
  </si>
  <si>
    <t>66:41:0521007</t>
  </si>
  <si>
    <t>66:41:0521008</t>
  </si>
  <si>
    <t>66:41:0521009</t>
  </si>
  <si>
    <t>66:41:0521012</t>
  </si>
  <si>
    <t>66:41:0521013</t>
  </si>
  <si>
    <t>66:41:0521014</t>
  </si>
  <si>
    <t>66:41:0521025</t>
  </si>
  <si>
    <t>66:41:0521040</t>
  </si>
  <si>
    <t>66:41:0521054</t>
  </si>
  <si>
    <t>66:25:0103001</t>
  </si>
  <si>
    <t>66:25:0103002</t>
  </si>
  <si>
    <t>66:25:0103003</t>
  </si>
  <si>
    <t>66:25:0103005</t>
  </si>
  <si>
    <t>66:25:0104002</t>
  </si>
  <si>
    <t>66:25:0306002</t>
  </si>
  <si>
    <t>66:25:0304002</t>
  </si>
  <si>
    <t>66:25:0305001</t>
  </si>
  <si>
    <t>66:25:0306001</t>
  </si>
  <si>
    <t>66:25:0306003</t>
  </si>
  <si>
    <t>66:25:0801001</t>
  </si>
  <si>
    <t>66:25:0801002</t>
  </si>
  <si>
    <t>66:25:0801003</t>
  </si>
  <si>
    <t>66:25:0801004</t>
  </si>
  <si>
    <t>66:25:0801005</t>
  </si>
  <si>
    <t>66:25:0801006</t>
  </si>
  <si>
    <t>66:41:0521031</t>
  </si>
  <si>
    <t>66:41:0521023</t>
  </si>
  <si>
    <t>66:41:0507097</t>
  </si>
  <si>
    <t>66:41:0521011</t>
  </si>
  <si>
    <t>66:41:0521017</t>
  </si>
  <si>
    <t>66:41:0521018</t>
  </si>
  <si>
    <t>66:41:0521019</t>
  </si>
  <si>
    <t>66:41:0521020</t>
  </si>
  <si>
    <t>66:41:0521022</t>
  </si>
  <si>
    <t>66:41:0521024</t>
  </si>
  <si>
    <t>66:41:0521026</t>
  </si>
  <si>
    <t>66:41:0521027</t>
  </si>
  <si>
    <t>66:41:0521028</t>
  </si>
  <si>
    <t>66:41:0521029</t>
  </si>
  <si>
    <t>66:41:0521030</t>
  </si>
  <si>
    <t>66:41:0521032</t>
  </si>
  <si>
    <t>66:41:0521033</t>
  </si>
  <si>
    <t>66:41:0521034</t>
  </si>
  <si>
    <t>66:41:0521036</t>
  </si>
  <si>
    <t>66:25:0103006</t>
  </si>
  <si>
    <t>66:41:0521010</t>
  </si>
  <si>
    <t>66:41:0507094</t>
  </si>
  <si>
    <t>66:41:0507096</t>
  </si>
  <si>
    <t>66:41:0521005</t>
  </si>
  <si>
    <t>66:41:0521015</t>
  </si>
  <si>
    <t>66:41:0521053</t>
  </si>
  <si>
    <t>66:41:0521901</t>
  </si>
  <si>
    <t>66:25:0103004</t>
  </si>
  <si>
    <t>66:25:0106001</t>
  </si>
  <si>
    <t>66:25:0201001</t>
  </si>
  <si>
    <t>66:25:0201002</t>
  </si>
  <si>
    <t>66:25:0201003</t>
  </si>
  <si>
    <t>66:25:0201004</t>
  </si>
  <si>
    <t>66:25:0201005</t>
  </si>
  <si>
    <t>66:25:0201006</t>
  </si>
  <si>
    <t>66:25:0201007</t>
  </si>
  <si>
    <t>66:25:0201008</t>
  </si>
  <si>
    <t>66:41:0507101</t>
  </si>
  <si>
    <t>66:41:0507102</t>
  </si>
  <si>
    <t>66:41:0507106</t>
  </si>
  <si>
    <t>66:41:0507118</t>
  </si>
  <si>
    <t>66:25:0302001</t>
  </si>
  <si>
    <t>66:25:0302002</t>
  </si>
  <si>
    <t>66:25:0303001</t>
  </si>
  <si>
    <t>66:25:0304001</t>
  </si>
  <si>
    <t>66:25:0304003</t>
  </si>
  <si>
    <t>66:25:0401001</t>
  </si>
  <si>
    <t>66:41:0508084</t>
  </si>
  <si>
    <t>66:41:0508002</t>
  </si>
  <si>
    <t>66:41:0508066</t>
  </si>
  <si>
    <t>66:41:0508067</t>
  </si>
  <si>
    <t>66:41:0508068</t>
  </si>
  <si>
    <t>66:41:0508069</t>
  </si>
  <si>
    <t>66:41:0508076</t>
  </si>
  <si>
    <t>66:41:0508080</t>
  </si>
  <si>
    <t>66:41:0508081</t>
  </si>
  <si>
    <t>66:41:0508082</t>
  </si>
  <si>
    <t>66:41:0508083</t>
  </si>
  <si>
    <t>66:41:0508085</t>
  </si>
  <si>
    <t>66:41:0508086</t>
  </si>
  <si>
    <t>66:41:0508087</t>
  </si>
  <si>
    <t>66:41:0508088</t>
  </si>
  <si>
    <t>66:41:0508089</t>
  </si>
  <si>
    <t>66:41:0508092</t>
  </si>
  <si>
    <t>66:41:0508095</t>
  </si>
  <si>
    <t>66:41:0508072</t>
  </si>
  <si>
    <t>66:41:0508014</t>
  </si>
  <si>
    <t>66:41:0508030</t>
  </si>
  <si>
    <t>66:41:0508063</t>
  </si>
  <si>
    <t>66:41:0508065</t>
  </si>
  <si>
    <t>66:41:0508073</t>
  </si>
  <si>
    <t>66:41:0508077</t>
  </si>
  <si>
    <t>66:41:0508078</t>
  </si>
  <si>
    <t>66:41:0508079</t>
  </si>
  <si>
    <t>66:41:0508090</t>
  </si>
  <si>
    <t>66:41:0508091</t>
  </si>
  <si>
    <t>66:41:0508096</t>
  </si>
  <si>
    <t>66:25:0701001</t>
  </si>
  <si>
    <t>66:25:0701002</t>
  </si>
  <si>
    <t>66:25:0701003</t>
  </si>
  <si>
    <t>66:25:0701004</t>
  </si>
  <si>
    <t>66:25:0701005</t>
  </si>
  <si>
    <t>66:25:0701006</t>
  </si>
  <si>
    <t>66:25:0701007</t>
  </si>
  <si>
    <t>66:25:0701008</t>
  </si>
  <si>
    <t>66:41:0507041</t>
  </si>
  <si>
    <t>66:41:0508050</t>
  </si>
  <si>
    <t>66:41:0508051</t>
  </si>
  <si>
    <t>66:41:0508052</t>
  </si>
  <si>
    <t>66:41:0508053</t>
  </si>
  <si>
    <t>66:41:0508057</t>
  </si>
  <si>
    <t>66:41:0508058</t>
  </si>
  <si>
    <t>66:41:0508059</t>
  </si>
  <si>
    <t>66:41:0508070</t>
  </si>
  <si>
    <t>66:41:0508071</t>
  </si>
  <si>
    <t>66:41:0508074</t>
  </si>
  <si>
    <t>66:41:0508901</t>
  </si>
  <si>
    <t>66:41:0507069</t>
  </si>
  <si>
    <t>66:41:0507072</t>
  </si>
  <si>
    <t>66:41:0507076</t>
  </si>
  <si>
    <t>66:41:0507080</t>
  </si>
  <si>
    <t>66:41:0507095</t>
  </si>
  <si>
    <t>66:41:0507100</t>
  </si>
  <si>
    <t>66:41:0507105</t>
  </si>
  <si>
    <t>66:41:0507112</t>
  </si>
  <si>
    <t>66:41:0507117</t>
  </si>
  <si>
    <t>66:41:0507099</t>
  </si>
  <si>
    <t>66:41:0507036</t>
  </si>
  <si>
    <t>66:41:0507018</t>
  </si>
  <si>
    <t>66:41:0507038</t>
  </si>
  <si>
    <t>66:41:0507039</t>
  </si>
  <si>
    <t>66:41:0507040</t>
  </si>
  <si>
    <t>66:41:0507051</t>
  </si>
  <si>
    <t>66:41:0507052</t>
  </si>
  <si>
    <t>66:41:0507107</t>
  </si>
  <si>
    <t>66:41:0507108</t>
  </si>
  <si>
    <t>66:41:0507109</t>
  </si>
  <si>
    <t>66:41:0507116</t>
  </si>
  <si>
    <t>66:41:0507092</t>
  </si>
  <si>
    <t>66:41:0507115</t>
  </si>
  <si>
    <t>66:25:0314001</t>
  </si>
  <si>
    <t>66:25:0315001</t>
  </si>
  <si>
    <t>66:41:0707010</t>
  </si>
  <si>
    <t>66:41:0703010</t>
  </si>
  <si>
    <t>66:41:0704019</t>
  </si>
  <si>
    <t>66:41:0704020</t>
  </si>
  <si>
    <t>66:41:0704021</t>
  </si>
  <si>
    <t>66:41:0704023</t>
  </si>
  <si>
    <t>66:41:0704025</t>
  </si>
  <si>
    <t>66:41:0704026</t>
  </si>
  <si>
    <t>66:41:0704035</t>
  </si>
  <si>
    <t>66:41:0707011</t>
  </si>
  <si>
    <t>66:41:0707012</t>
  </si>
  <si>
    <t>66:41:0707013</t>
  </si>
  <si>
    <t>66:41:0707014</t>
  </si>
  <si>
    <t>66:41:0707017</t>
  </si>
  <si>
    <t>66:41:0707018</t>
  </si>
  <si>
    <t>66:41:0707019</t>
  </si>
  <si>
    <t>66:41:0707020</t>
  </si>
  <si>
    <t>66:41:0707022</t>
  </si>
  <si>
    <t>66:41:0707023</t>
  </si>
  <si>
    <t>66:41:0709016</t>
  </si>
  <si>
    <t>66:41:0602006</t>
  </si>
  <si>
    <t>66:41:0602009</t>
  </si>
  <si>
    <t>66:41:0705006</t>
  </si>
  <si>
    <t>66:41:0705009</t>
  </si>
  <si>
    <t>66:41:0706001</t>
  </si>
  <si>
    <t>66:41:0706008</t>
  </si>
  <si>
    <t>66:41:0709013</t>
  </si>
  <si>
    <t>66:41:0603021</t>
  </si>
  <si>
    <t>66:41:0603019</t>
  </si>
  <si>
    <t>66:41:0603020</t>
  </si>
  <si>
    <t>66:41:0603024</t>
  </si>
  <si>
    <t>66:41:0603029</t>
  </si>
  <si>
    <t>66:41:0603031</t>
  </si>
  <si>
    <t>66:41:0603033</t>
  </si>
  <si>
    <t>66:41:0603034</t>
  </si>
  <si>
    <t>66:41:0605004</t>
  </si>
  <si>
    <t>66:41:0605025</t>
  </si>
  <si>
    <t>66:41:0709014</t>
  </si>
  <si>
    <t>66:41:0709015</t>
  </si>
  <si>
    <t>66:41:0709017</t>
  </si>
  <si>
    <t>66:41:0709018</t>
  </si>
  <si>
    <t>66:41:0709019</t>
  </si>
  <si>
    <t>66:41:0709020</t>
  </si>
  <si>
    <t>66:41:0709021</t>
  </si>
  <si>
    <t>66:41:0709022</t>
  </si>
  <si>
    <t>66:41:0709901</t>
  </si>
  <si>
    <t>66:41:0704045</t>
  </si>
  <si>
    <t>66:41:0704028</t>
  </si>
  <si>
    <t>66:41:0704032</t>
  </si>
  <si>
    <t>66:41:0704034</t>
  </si>
  <si>
    <t>66:41:0704036</t>
  </si>
  <si>
    <t>66:41:0704037</t>
  </si>
  <si>
    <t>66:41:0704038</t>
  </si>
  <si>
    <t>66:41:0704039</t>
  </si>
  <si>
    <t>66:41:0705001</t>
  </si>
  <si>
    <t>66:41:0705003</t>
  </si>
  <si>
    <t>66:41:0705005</t>
  </si>
  <si>
    <t>66:41:0705901</t>
  </si>
  <si>
    <t>66:41:0706016</t>
  </si>
  <si>
    <t>66:41:0602001</t>
  </si>
  <si>
    <t>66:41:0602002</t>
  </si>
  <si>
    <t>66:41:0602005</t>
  </si>
  <si>
    <t>66:41:0602007</t>
  </si>
  <si>
    <t>66:41:0602008</t>
  </si>
  <si>
    <t>66:41:0602011</t>
  </si>
  <si>
    <t>66:41:0602901</t>
  </si>
  <si>
    <t>66:41:0603006</t>
  </si>
  <si>
    <t>66:41:0603007</t>
  </si>
  <si>
    <t>66:41:0603008</t>
  </si>
  <si>
    <t>66:41:0603013</t>
  </si>
  <si>
    <t>66:41:0603015</t>
  </si>
  <si>
    <t>66:41:0603016</t>
  </si>
  <si>
    <t>66:41:0603017</t>
  </si>
  <si>
    <t>66:41:0603018</t>
  </si>
  <si>
    <t>66:41:0603901</t>
  </si>
  <si>
    <t>66:41:0605001</t>
  </si>
  <si>
    <t>66:41:0605003</t>
  </si>
  <si>
    <t>66:41:0603005</t>
  </si>
  <si>
    <t>66:41:0601020</t>
  </si>
  <si>
    <t>66:41:0601016</t>
  </si>
  <si>
    <t>66:41:0601017</t>
  </si>
  <si>
    <t>66:41:0601018</t>
  </si>
  <si>
    <t>66:41:0601019</t>
  </si>
  <si>
    <t>66:41:0601025</t>
  </si>
  <si>
    <t>66:41:0601031</t>
  </si>
  <si>
    <t>66:41:0603001</t>
  </si>
  <si>
    <t>66:41:0603002</t>
  </si>
  <si>
    <t>66:41:0603004</t>
  </si>
  <si>
    <t>66:41:0704040</t>
  </si>
  <si>
    <t>66:41:0704041</t>
  </si>
  <si>
    <t>66:41:0704044</t>
  </si>
  <si>
    <t>66:41:0705004</t>
  </si>
  <si>
    <t>66:41:0601054</t>
  </si>
  <si>
    <t>66:41:0401050</t>
  </si>
  <si>
    <t>66:41:0601037</t>
  </si>
  <si>
    <t>66:41:0601042</t>
  </si>
  <si>
    <t>66:41:0601044</t>
  </si>
  <si>
    <t>66:41:0601045</t>
  </si>
  <si>
    <t>66:41:0601050</t>
  </si>
  <si>
    <t>66:41:0601051</t>
  </si>
  <si>
    <t>66:41:0601053</t>
  </si>
  <si>
    <t>66:41:0601056</t>
  </si>
  <si>
    <t>66:41:0603009</t>
  </si>
  <si>
    <t>66:41:0603010</t>
  </si>
  <si>
    <t>66:41:0603011</t>
  </si>
  <si>
    <t>66:41:0603012</t>
  </si>
  <si>
    <t>66:41:0701028</t>
  </si>
  <si>
    <t>66:41:0701015</t>
  </si>
  <si>
    <t>66:41:0701016</t>
  </si>
  <si>
    <t>66:41:0701024</t>
  </si>
  <si>
    <t>66:41:0701025</t>
  </si>
  <si>
    <t>66:41:0701026</t>
  </si>
  <si>
    <t>66:41:0701027</t>
  </si>
  <si>
    <t>66:41:0704003</t>
  </si>
  <si>
    <t>66:41:0704004</t>
  </si>
  <si>
    <t>66:41:0704005</t>
  </si>
  <si>
    <t>66:41:0704007</t>
  </si>
  <si>
    <t>66:41:0601001</t>
  </si>
  <si>
    <t>66:41:0601002</t>
  </si>
  <si>
    <t>66:41:0601003</t>
  </si>
  <si>
    <t>66:41:0601004</t>
  </si>
  <si>
    <t>66:41:0601005</t>
  </si>
  <si>
    <t>66:41:0601006</t>
  </si>
  <si>
    <t>66:41:0601007</t>
  </si>
  <si>
    <t>66:41:0601009</t>
  </si>
  <si>
    <t>66:41:0601010</t>
  </si>
  <si>
    <t>66:41:0601011</t>
  </si>
  <si>
    <t>66:41:0601013</t>
  </si>
  <si>
    <t>66:41:0704006</t>
  </si>
  <si>
    <t>66:41:0704027</t>
  </si>
  <si>
    <t>66:41:0601034</t>
  </si>
  <si>
    <t>66:41:0402008</t>
  </si>
  <si>
    <t>66:41:0402009</t>
  </si>
  <si>
    <t>66:41:0402018</t>
  </si>
  <si>
    <t>66:41:0601035</t>
  </si>
  <si>
    <t>66:41:0601036</t>
  </si>
  <si>
    <t>66:41:0601039</t>
  </si>
  <si>
    <t>66:41:0601043</t>
  </si>
  <si>
    <t>66:41:0601047</t>
  </si>
  <si>
    <t>66:41:0601048</t>
  </si>
  <si>
    <t>66:41:0601052</t>
  </si>
  <si>
    <t>66:41:0402030</t>
  </si>
  <si>
    <t>66:41:0402014</t>
  </si>
  <si>
    <t>66:41:0402015</t>
  </si>
  <si>
    <t>66:41:0402016</t>
  </si>
  <si>
    <t>66:41:0402017</t>
  </si>
  <si>
    <t>66:41:0402026</t>
  </si>
  <si>
    <t>66:41:0402027</t>
  </si>
  <si>
    <t>66:41:0402028</t>
  </si>
  <si>
    <t>66:41:0402029</t>
  </si>
  <si>
    <t>66:41:0601028</t>
  </si>
  <si>
    <t>66:41:0601008</t>
  </si>
  <si>
    <t>66:41:0601014</t>
  </si>
  <si>
    <t>66:41:0601015</t>
  </si>
  <si>
    <t>66:41:0601021</t>
  </si>
  <si>
    <t>66:41:0601022</t>
  </si>
  <si>
    <t>66:41:0601023</t>
  </si>
  <si>
    <t>66:41:0601024</t>
  </si>
  <si>
    <t>66:41:0601030</t>
  </si>
  <si>
    <t>66:41:0401052</t>
  </si>
  <si>
    <t>66:41:0401046</t>
  </si>
  <si>
    <t>66:41:0401051</t>
  </si>
  <si>
    <t>66:41:0401053</t>
  </si>
  <si>
    <t>66:41:0401054</t>
  </si>
  <si>
    <t>66:41:0401055</t>
  </si>
  <si>
    <t>66:41:0401056</t>
  </si>
  <si>
    <t>66:41:0401057</t>
  </si>
  <si>
    <t>66:41:0402005</t>
  </si>
  <si>
    <t>66:41:0402006</t>
  </si>
  <si>
    <t>66:41:0402007</t>
  </si>
  <si>
    <t>66:41:0601026</t>
  </si>
  <si>
    <t>66:41:0601027</t>
  </si>
  <si>
    <t>66:41:0601032</t>
  </si>
  <si>
    <t>66:41:0601033</t>
  </si>
  <si>
    <t>66:41:0601038</t>
  </si>
  <si>
    <t>66:41:0601046</t>
  </si>
  <si>
    <t>66:41:0701012</t>
  </si>
  <si>
    <t>66:41:0701001</t>
  </si>
  <si>
    <t>66:41:0701002</t>
  </si>
  <si>
    <t>66:41:0701003</t>
  </si>
  <si>
    <t>66:41:0701009</t>
  </si>
  <si>
    <t>66:41:0701010</t>
  </si>
  <si>
    <t>66:41:0701011</t>
  </si>
  <si>
    <t>66:41:0701013</t>
  </si>
  <si>
    <t>66:41:0701014</t>
  </si>
  <si>
    <t>66:41:0701018</t>
  </si>
  <si>
    <t>66:41:0701020</t>
  </si>
  <si>
    <t>66:41:0701021</t>
  </si>
  <si>
    <t>66:41:0701022</t>
  </si>
  <si>
    <t>66:41:0701023</t>
  </si>
  <si>
    <t>66:41:0701901</t>
  </si>
  <si>
    <t>66:41:0401025</t>
  </si>
  <si>
    <t>66:41:0401023</t>
  </si>
  <si>
    <t>66:41:0401026</t>
  </si>
  <si>
    <t>66:41:0401027</t>
  </si>
  <si>
    <t>66:41:0401028</t>
  </si>
  <si>
    <t>66:41:0401029</t>
  </si>
  <si>
    <t>66:41:0401030</t>
  </si>
  <si>
    <t>66:41:0401036</t>
  </si>
  <si>
    <t>66:41:0401037</t>
  </si>
  <si>
    <t>66:41:0401038</t>
  </si>
  <si>
    <t>66:41:0401039</t>
  </si>
  <si>
    <t>66:41:0401040</t>
  </si>
  <si>
    <t>66:41:0401902</t>
  </si>
  <si>
    <t>66:41:0601901</t>
  </si>
  <si>
    <t>66:41:0701019</t>
  </si>
  <si>
    <t>66:41:0401009</t>
  </si>
  <si>
    <t>66:41:0401010</t>
  </si>
  <si>
    <t>66:41:0401011</t>
  </si>
  <si>
    <t>66:41:0401012</t>
  </si>
  <si>
    <t>66:41:0401013</t>
  </si>
  <si>
    <t>66:41:0401015</t>
  </si>
  <si>
    <t>66:41:0401058</t>
  </si>
  <si>
    <t>66:41:0402023</t>
  </si>
  <si>
    <t>66:41:0401004</t>
  </si>
  <si>
    <t>66:41:0401008</t>
  </si>
  <si>
    <t>66:41:0401019</t>
  </si>
  <si>
    <t>66:41:0401020</t>
  </si>
  <si>
    <t>66:41:0401021</t>
  </si>
  <si>
    <t>66:41:0402019</t>
  </si>
  <si>
    <t>66:41:0401033</t>
  </si>
  <si>
    <t>66:41:0401016</t>
  </si>
  <si>
    <t>66:41:0401017</t>
  </si>
  <si>
    <t>66:41:0401031</t>
  </si>
  <si>
    <t>66:41:0401032</t>
  </si>
  <si>
    <t>66:41:0401034</t>
  </si>
  <si>
    <t>66:41:0401035</t>
  </si>
  <si>
    <t>66:41:0401041</t>
  </si>
  <si>
    <t>66:41:0401042</t>
  </si>
  <si>
    <t>66:41:0401043</t>
  </si>
  <si>
    <t>66:41:0401044</t>
  </si>
  <si>
    <t>66:41:0401045</t>
  </si>
  <si>
    <t>66:41:0401049</t>
  </si>
  <si>
    <t>66:41:0401901</t>
  </si>
  <si>
    <t>66:41:0402003</t>
  </si>
  <si>
    <t>66:41:0304026</t>
  </si>
  <si>
    <t>66:41:0401047</t>
  </si>
  <si>
    <t>66:41:0401048</t>
  </si>
  <si>
    <t>66:41:0402001</t>
  </si>
  <si>
    <t>66:41:0402002</t>
  </si>
  <si>
    <t>66:41:0402004</t>
  </si>
  <si>
    <t>66:41:0402012</t>
  </si>
  <si>
    <t>66:41:0402013</t>
  </si>
  <si>
    <t>66:41:0402021</t>
  </si>
  <si>
    <t>66:41:0402022</t>
  </si>
  <si>
    <t>66:41:0403001</t>
  </si>
  <si>
    <t>66:41:0403002</t>
  </si>
  <si>
    <t>66:41:0403003</t>
  </si>
  <si>
    <t>66:41:0403004</t>
  </si>
  <si>
    <t>66:41:0403007</t>
  </si>
  <si>
    <t>66:41:0403015</t>
  </si>
  <si>
    <t>66:41:0403018</t>
  </si>
  <si>
    <t>66:41:0401018</t>
  </si>
  <si>
    <t>66:41:0301013</t>
  </si>
  <si>
    <t>66:41:0301011</t>
  </si>
  <si>
    <t>66:41:0301012</t>
  </si>
  <si>
    <t>66:41:0301014</t>
  </si>
  <si>
    <t>66:41:0304001</t>
  </si>
  <si>
    <t>66:41:0304002</t>
  </si>
  <si>
    <t>66:41:0304003</t>
  </si>
  <si>
    <t>66:41:0401001</t>
  </si>
  <si>
    <t>66:41:0401003</t>
  </si>
  <si>
    <t>66:41:0401005</t>
  </si>
  <si>
    <t>66:41:0401006</t>
  </si>
  <si>
    <t>66:41:0401007</t>
  </si>
  <si>
    <t>66:41:0401022</t>
  </si>
  <si>
    <t>66:41:0304012</t>
  </si>
  <si>
    <t>66:41:0301901</t>
  </si>
  <si>
    <t>66:41:0303075</t>
  </si>
  <si>
    <t>66:41:0303076</t>
  </si>
  <si>
    <t>66:41:0303081</t>
  </si>
  <si>
    <t>66:41:0303082</t>
  </si>
  <si>
    <t>66:41:0303083</t>
  </si>
  <si>
    <t>66:41:0303085</t>
  </si>
  <si>
    <t>66:41:0303096</t>
  </si>
  <si>
    <t>66:41:0304005</t>
  </si>
  <si>
    <t>66:41:0304006</t>
  </si>
  <si>
    <t>66:41:0304009</t>
  </si>
  <si>
    <t>66:41:0304011</t>
  </si>
  <si>
    <t>66:41:0304027</t>
  </si>
  <si>
    <t>66:41:0301017</t>
  </si>
  <si>
    <t>66:41:0303007</t>
  </si>
  <si>
    <t>66:41:0303022</t>
  </si>
  <si>
    <t>66:41:0303042</t>
  </si>
  <si>
    <t>66:41:0303043</t>
  </si>
  <si>
    <t>66:41:0303073</t>
  </si>
  <si>
    <t>66:41:0303074</t>
  </si>
  <si>
    <t>66:41:0304028</t>
  </si>
  <si>
    <t>66:41:0304004</t>
  </si>
  <si>
    <t>66:41:0304008</t>
  </si>
  <si>
    <t>ww2</t>
  </si>
  <si>
    <t>66:41:0304010</t>
  </si>
  <si>
    <t>66:41:0304025</t>
  </si>
  <si>
    <t>66:41:0304029</t>
  </si>
  <si>
    <t>66:41:0303080</t>
  </si>
  <si>
    <t>66:41:0303035</t>
  </si>
  <si>
    <t>66:41:0303036</t>
  </si>
  <si>
    <t>66:41:0303037</t>
  </si>
  <si>
    <t>66:41:0303038</t>
  </si>
  <si>
    <t>66:41:0303039</t>
  </si>
  <si>
    <t>66:41:0303040</t>
  </si>
  <si>
    <t>66:41:0303066</t>
  </si>
  <si>
    <t>66:41:0303067</t>
  </si>
  <si>
    <t>66:41:0303068</t>
  </si>
  <si>
    <t>66:41:0303072</t>
  </si>
  <si>
    <t>66:41:0303077</t>
  </si>
  <si>
    <t>66:41:0303079</t>
  </si>
  <si>
    <t>66:41:0303094</t>
  </si>
  <si>
    <t>66:41:0303095</t>
  </si>
  <si>
    <t>66:41:0110014</t>
  </si>
  <si>
    <t>66:41:0111003</t>
  </si>
  <si>
    <t>66:41:0111004</t>
  </si>
  <si>
    <t>66:41:0702015</t>
  </si>
  <si>
    <t>66:41:0702016</t>
  </si>
  <si>
    <t>66:41:0703001</t>
  </si>
  <si>
    <t>66:41:0703002</t>
  </si>
  <si>
    <t>66:41:0702024</t>
  </si>
  <si>
    <t>66:41:0702023</t>
  </si>
  <si>
    <t>66:41:0702025</t>
  </si>
  <si>
    <t>66:41:0702039</t>
  </si>
  <si>
    <t>66:41:0702040</t>
  </si>
  <si>
    <t>66:41:0702041</t>
  </si>
  <si>
    <t>66:41:0702042</t>
  </si>
  <si>
    <t>66:41:0702043</t>
  </si>
  <si>
    <t>66:41:0702044</t>
  </si>
  <si>
    <t>66:41:0703005</t>
  </si>
  <si>
    <t>66:41:0703006</t>
  </si>
  <si>
    <t>66:41:0703007</t>
  </si>
  <si>
    <t>66:41:0703011</t>
  </si>
  <si>
    <t>66:41:0704010</t>
  </si>
  <si>
    <t>66:41:0704011</t>
  </si>
  <si>
    <t>66:41:0704012</t>
  </si>
  <si>
    <t>66:41:0107081</t>
  </si>
  <si>
    <t>66:41:0107106</t>
  </si>
  <si>
    <t>66:41:0110004</t>
  </si>
  <si>
    <t>66:41:0110005</t>
  </si>
  <si>
    <t>66:41:0110008</t>
  </si>
  <si>
    <t>66:41:0110901</t>
  </si>
  <si>
    <t>66:41:0702901</t>
  </si>
  <si>
    <t>66:41:0702047</t>
  </si>
  <si>
    <t>66:41:0702048</t>
  </si>
  <si>
    <t>66:41:0702049</t>
  </si>
  <si>
    <t>66:41:0702056</t>
  </si>
  <si>
    <t>66:41:0702057</t>
  </si>
  <si>
    <t>66:41:0707001</t>
  </si>
  <si>
    <t>66:41:0702011</t>
  </si>
  <si>
    <t>66:41:0702001</t>
  </si>
  <si>
    <t>66:41:0702002</t>
  </si>
  <si>
    <t>66:41:0702003</t>
  </si>
  <si>
    <t>66:41:0702004</t>
  </si>
  <si>
    <t>66:41:0702010</t>
  </si>
  <si>
    <t>66:41:0702022</t>
  </si>
  <si>
    <t>66:41:0702034</t>
  </si>
  <si>
    <t>66:41:0702035</t>
  </si>
  <si>
    <t>66:41:0702038</t>
  </si>
  <si>
    <t>66:41:0702058</t>
  </si>
  <si>
    <t>66:41:0702060</t>
  </si>
  <si>
    <t>66:41:0702061</t>
  </si>
  <si>
    <t>66:41:0702069</t>
  </si>
  <si>
    <t>66:41:0704009</t>
  </si>
  <si>
    <t>66:41:0108090</t>
  </si>
  <si>
    <t>66:41:0108059</t>
  </si>
  <si>
    <t>66:41:0108062</t>
  </si>
  <si>
    <t>66:41:0108070</t>
  </si>
  <si>
    <t>66:41:0108071</t>
  </si>
  <si>
    <t>66:41:0108072</t>
  </si>
  <si>
    <t>66:41:0108091</t>
  </si>
  <si>
    <t>66:41:0108092</t>
  </si>
  <si>
    <t>66:41:0108095</t>
  </si>
  <si>
    <t>66:41:0108105</t>
  </si>
  <si>
    <t>66:41:0108109</t>
  </si>
  <si>
    <t>66:41:0108060</t>
  </si>
  <si>
    <t>66:41:0108032</t>
  </si>
  <si>
    <t>66:41:0108003</t>
  </si>
  <si>
    <t>66:41:0108004</t>
  </si>
  <si>
    <t>66:41:0108005</t>
  </si>
  <si>
    <t>66:41:0108010</t>
  </si>
  <si>
    <t>66:41:0108022</t>
  </si>
  <si>
    <t>66:41:0108024</t>
  </si>
  <si>
    <t>66:41:0108025</t>
  </si>
  <si>
    <t>66:41:0108026</t>
  </si>
  <si>
    <t>66:41:0108034</t>
  </si>
  <si>
    <t>66:41:0108035</t>
  </si>
  <si>
    <t>66:41:0108036</t>
  </si>
  <si>
    <t>66:41:0108061</t>
  </si>
  <si>
    <t>66:41:0108073</t>
  </si>
  <si>
    <t>66:41:0107098</t>
  </si>
  <si>
    <t>66:41:0108002</t>
  </si>
  <si>
    <t>66:41:0108014</t>
  </si>
  <si>
    <t>66:41:0108020</t>
  </si>
  <si>
    <t>66:41:0108021</t>
  </si>
  <si>
    <t>66:41:0108029</t>
  </si>
  <si>
    <t>66:41:0109051</t>
  </si>
  <si>
    <t>66:41:0110003</t>
  </si>
  <si>
    <t>66:41:0108117</t>
  </si>
  <si>
    <t>66:41:0108084</t>
  </si>
  <si>
    <t>66:41:0108101</t>
  </si>
  <si>
    <t>66:41:0108102</t>
  </si>
  <si>
    <t>66:41:0108103</t>
  </si>
  <si>
    <t>66:41:0108104</t>
  </si>
  <si>
    <t>66:41:0108115</t>
  </si>
  <si>
    <t>66:41:0108118</t>
  </si>
  <si>
    <t>66:41:0108119</t>
  </si>
  <si>
    <t>66:41:0110129</t>
  </si>
  <si>
    <t>66:41:0108901</t>
  </si>
  <si>
    <t>66:41:0108058</t>
  </si>
  <si>
    <t>66:41:0108047</t>
  </si>
  <si>
    <t>66:41:0108053</t>
  </si>
  <si>
    <t>66:41:0108054</t>
  </si>
  <si>
    <t>66:41:0108057</t>
  </si>
  <si>
    <t>66:41:0108068</t>
  </si>
  <si>
    <t>66:41:0108069</t>
  </si>
  <si>
    <t>66:41:0108077</t>
  </si>
  <si>
    <t>66:41:0108086</t>
  </si>
  <si>
    <t>66:41:0108089</t>
  </si>
  <si>
    <t>66:41:0110023</t>
  </si>
  <si>
    <t>66:41:0108007</t>
  </si>
  <si>
    <t>66:41:0108114</t>
  </si>
  <si>
    <t>66:41:0108122</t>
  </si>
  <si>
    <t>66:41:0108124</t>
  </si>
  <si>
    <t>66:41:0108126</t>
  </si>
  <si>
    <t>66:41:0110002</t>
  </si>
  <si>
    <t>66:41:0110015</t>
  </si>
  <si>
    <t>66:41:0110021</t>
  </si>
  <si>
    <t>66:41:0110022</t>
  </si>
  <si>
    <t>66:41:0110024</t>
  </si>
  <si>
    <t>66:41:0702009</t>
  </si>
  <si>
    <t>66:41:0108052</t>
  </si>
  <si>
    <t>66:41:0108011</t>
  </si>
  <si>
    <t>66:41:0108046</t>
  </si>
  <si>
    <t>66:41:0108048</t>
  </si>
  <si>
    <t>66:41:0108051</t>
  </si>
  <si>
    <t>66:41:0108055</t>
  </si>
  <si>
    <t>66:41:0108056</t>
  </si>
  <si>
    <t>66:41:0108066</t>
  </si>
  <si>
    <t>66:41:0108067</t>
  </si>
  <si>
    <t>66:41:0108076</t>
  </si>
  <si>
    <t>66:41:0108100</t>
  </si>
  <si>
    <t>66:41:0108065</t>
  </si>
  <si>
    <t>66:41:0108074</t>
  </si>
  <si>
    <t>66:41:0108075</t>
  </si>
  <si>
    <t>66:41:0108079</t>
  </si>
  <si>
    <t>66:41:0108080</t>
  </si>
  <si>
    <t>66:41:0108081</t>
  </si>
  <si>
    <t>66:41:0108082</t>
  </si>
  <si>
    <t>66:41:0108083</t>
  </si>
  <si>
    <t>66:41:0108099</t>
  </si>
  <si>
    <t>66:41:0106075</t>
  </si>
  <si>
    <t>66:41:0106082</t>
  </si>
  <si>
    <t>66:41:0108009</t>
  </si>
  <si>
    <t>66:41:0108012</t>
  </si>
  <si>
    <t>66:41:0108027</t>
  </si>
  <si>
    <t>66:41:0106104</t>
  </si>
  <si>
    <t>66:41:0106105</t>
  </si>
  <si>
    <t>66:41:0106114</t>
  </si>
  <si>
    <t>66:41:0108006</t>
  </si>
  <si>
    <t>66:41:0108096</t>
  </si>
  <si>
    <t>66:41:0108097</t>
  </si>
  <si>
    <t>66:41:0108098</t>
  </si>
  <si>
    <t>66:41:0108111</t>
  </si>
  <si>
    <t>66:41:0110012</t>
  </si>
  <si>
    <t>66:41:0106045</t>
  </si>
  <si>
    <t>66:41:0106035</t>
  </si>
  <si>
    <t>66:41:0106041</t>
  </si>
  <si>
    <t>66:41:0106096</t>
  </si>
  <si>
    <t>66:41:0108008</t>
  </si>
  <si>
    <t>66:41:0108038</t>
  </si>
  <si>
    <t>66:41:0108042</t>
  </si>
  <si>
    <t>66:41:0108043</t>
  </si>
  <si>
    <t>66:41:0108050</t>
  </si>
  <si>
    <t>66:41:0503002</t>
  </si>
  <si>
    <t>66:41:0502032</t>
  </si>
  <si>
    <t>66:41:0502021</t>
  </si>
  <si>
    <t>66:41:0502020</t>
  </si>
  <si>
    <t>66:41:0502023</t>
  </si>
  <si>
    <t>66:41:0502033</t>
  </si>
  <si>
    <t>66:41:0502034</t>
  </si>
  <si>
    <t>66:41:0502035</t>
  </si>
  <si>
    <t>66:41:0502001</t>
  </si>
  <si>
    <t>66:41:0502016</t>
  </si>
  <si>
    <t>66:41:0502018</t>
  </si>
  <si>
    <t>66:41:0502024</t>
  </si>
  <si>
    <t>66:41:0502025</t>
  </si>
  <si>
    <t>66:41:0502028</t>
  </si>
  <si>
    <t>66:41:0502029</t>
  </si>
  <si>
    <t>66:41:0502031</t>
  </si>
  <si>
    <t>66:41:0502042</t>
  </si>
  <si>
    <t>66:41:0502043</t>
  </si>
  <si>
    <t>66:41:0502044</t>
  </si>
  <si>
    <t>66:41:0502045</t>
  </si>
  <si>
    <t>66:41:0502051</t>
  </si>
  <si>
    <t>66:41:0502054</t>
  </si>
  <si>
    <t>66:41:0502102</t>
  </si>
  <si>
    <t>66:41:0502902</t>
  </si>
  <si>
    <t>66:41:0522001</t>
  </si>
  <si>
    <t>66:41:0522002</t>
  </si>
  <si>
    <t>66:41:0522003</t>
  </si>
  <si>
    <t>66:41:0522004</t>
  </si>
  <si>
    <t>66:41:0507028</t>
  </si>
  <si>
    <t>66:41:0502110</t>
  </si>
  <si>
    <t>66:41:0502005</t>
  </si>
  <si>
    <t>66:41:0502053</t>
  </si>
  <si>
    <t>66:41:0502056</t>
  </si>
  <si>
    <t>66:41:0502103</t>
  </si>
  <si>
    <t>66:41:0502105</t>
  </si>
  <si>
    <t>66:41:0502111</t>
  </si>
  <si>
    <t>66:41:0502112</t>
  </si>
  <si>
    <t>66:41:0502113</t>
  </si>
  <si>
    <t>66:41:0502114</t>
  </si>
  <si>
    <t>66:41:0502115</t>
  </si>
  <si>
    <t>66:41:0502507</t>
  </si>
  <si>
    <t>66:41:0502508</t>
  </si>
  <si>
    <t>66:41:0507002</t>
  </si>
  <si>
    <t>66:41:0502003</t>
  </si>
  <si>
    <t>66:41:0502004</t>
  </si>
  <si>
    <t>66:41:0502006</t>
  </si>
  <si>
    <t>66:41:0502007</t>
  </si>
  <si>
    <t>66:41:0502010</t>
  </si>
  <si>
    <t>66:41:0502014</t>
  </si>
  <si>
    <t>66:41:0502060</t>
  </si>
  <si>
    <t>66:41:0502066</t>
  </si>
  <si>
    <t>66:41:0502087</t>
  </si>
  <si>
    <t>66:41:0503001</t>
  </si>
  <si>
    <t>66:41:0503029</t>
  </si>
  <si>
    <t>66:41:0601055</t>
  </si>
  <si>
    <t>66:41:0601057</t>
  </si>
  <si>
    <t>66:41:0604028</t>
  </si>
  <si>
    <t>66:41:0604030</t>
  </si>
  <si>
    <t>66:41:0605005</t>
  </si>
  <si>
    <t>66:41:0605006</t>
  </si>
  <si>
    <t>66:41:0502097</t>
  </si>
  <si>
    <t>66:41:0502017</t>
  </si>
  <si>
    <t>66:41:0502067</t>
  </si>
  <si>
    <t>66:41:0502068</t>
  </si>
  <si>
    <t>66:41:0502070</t>
  </si>
  <si>
    <t>66:41:0502071</t>
  </si>
  <si>
    <t>66:41:0502091</t>
  </si>
  <si>
    <t>66:41:0502092</t>
  </si>
  <si>
    <t>66:41:0502093</t>
  </si>
  <si>
    <t>66:41:0502094</t>
  </si>
  <si>
    <t>66:41:0502096</t>
  </si>
  <si>
    <t>66:41:0502098</t>
  </si>
  <si>
    <t>66:41:0502101</t>
  </si>
  <si>
    <t>66:41:0502104</t>
  </si>
  <si>
    <t>66:41:0502106</t>
  </si>
  <si>
    <t>66:41:0505012</t>
  </si>
  <si>
    <t>66:41:0502002</t>
  </si>
  <si>
    <t>66:41:0502086</t>
  </si>
  <si>
    <t>66:41:0502088</t>
  </si>
  <si>
    <t>66:41:0502124</t>
  </si>
  <si>
    <t>66:41:0502126</t>
  </si>
  <si>
    <t>66:41:0502901</t>
  </si>
  <si>
    <t>66:41:0505011</t>
  </si>
  <si>
    <t>66:41:0505042</t>
  </si>
  <si>
    <t>66:41:0507001</t>
  </si>
  <si>
    <t>66:41:0502083</t>
  </si>
  <si>
    <t>66:41:0502069</t>
  </si>
  <si>
    <t>66:41:0502075</t>
  </si>
  <si>
    <t>66:41:0502076</t>
  </si>
  <si>
    <t>66:41:0502077</t>
  </si>
  <si>
    <t>66:41:0502078</t>
  </si>
  <si>
    <t>66:41:0502079</t>
  </si>
  <si>
    <t>66:41:0502080</t>
  </si>
  <si>
    <t>66:41:0502084</t>
  </si>
  <si>
    <t>66:41:0502085</t>
  </si>
  <si>
    <t>66:41:0502095</t>
  </si>
  <si>
    <t>66:41:0502100</t>
  </si>
  <si>
    <t>66:41:0506029</t>
  </si>
  <si>
    <t>66:41:0501065</t>
  </si>
  <si>
    <t>66:41:0001001</t>
  </si>
  <si>
    <t>66:41:0501004</t>
  </si>
  <si>
    <t>66:41:0501066</t>
  </si>
  <si>
    <t>66:41:0501072</t>
  </si>
  <si>
    <t>66:41:0502061</t>
  </si>
  <si>
    <t>66:41:0502062</t>
  </si>
  <si>
    <t>66:41:0502063</t>
  </si>
  <si>
    <t>66:41:0502064</t>
  </si>
  <si>
    <t>66:41:0502073</t>
  </si>
  <si>
    <t>66:41:0502074</t>
  </si>
  <si>
    <t>66:41:0604031</t>
  </si>
  <si>
    <t>66:41:0604009</t>
  </si>
  <si>
    <t>66:41:0604001</t>
  </si>
  <si>
    <t>66:41:0604003</t>
  </si>
  <si>
    <t>66:41:0604004</t>
  </si>
  <si>
    <t>66:41:0604005</t>
  </si>
  <si>
    <t>66:41:0604006</t>
  </si>
  <si>
    <t>66:41:0604007</t>
  </si>
  <si>
    <t>66:41:0604008</t>
  </si>
  <si>
    <t>66:41:0604010</t>
  </si>
  <si>
    <t>66:41:0604016</t>
  </si>
  <si>
    <t>66:41:0604017</t>
  </si>
  <si>
    <t>66:41:0604018</t>
  </si>
  <si>
    <t>66:41:0604019</t>
  </si>
  <si>
    <t>66:41:0604020</t>
  </si>
  <si>
    <t>66:41:0604021</t>
  </si>
  <si>
    <t>66:41:0604022</t>
  </si>
  <si>
    <t>66:41:0604023</t>
  </si>
  <si>
    <t>66:41:0604026</t>
  </si>
  <si>
    <t>66:41:0604029</t>
  </si>
  <si>
    <t>66:41:0604901</t>
  </si>
  <si>
    <t>66:41:0501055</t>
  </si>
  <si>
    <t>66:41:0501007</t>
  </si>
  <si>
    <t>66:41:0501008</t>
  </si>
  <si>
    <t>66:41:0501010</t>
  </si>
  <si>
    <t>66:41:0501031</t>
  </si>
  <si>
    <t>66:41:0501032</t>
  </si>
  <si>
    <t>66:41:0501033</t>
  </si>
  <si>
    <t>66:41:0501035</t>
  </si>
  <si>
    <t>66:41:0501054</t>
  </si>
  <si>
    <t>66:41:0501056</t>
  </si>
  <si>
    <t>66:41:0501057</t>
  </si>
  <si>
    <t>66:41:0501062</t>
  </si>
  <si>
    <t>66:41:0505004</t>
  </si>
  <si>
    <t>66:41:0504010</t>
  </si>
  <si>
    <t>66:41:0504012</t>
  </si>
  <si>
    <t>66:41:0504023</t>
  </si>
  <si>
    <t>66:41:0504024</t>
  </si>
  <si>
    <t>66:41:0504025</t>
  </si>
  <si>
    <t>66:41:0504036</t>
  </si>
  <si>
    <t>66:41:0504037</t>
  </si>
  <si>
    <t>66:41:0505009</t>
  </si>
  <si>
    <t>66:41:0505010</t>
  </si>
  <si>
    <t>66:41:0505040</t>
  </si>
  <si>
    <t>66:41:0505901</t>
  </si>
  <si>
    <t>66:41:0504005</t>
  </si>
  <si>
    <t>66:41:0504002</t>
  </si>
  <si>
    <t>66:41:0504003</t>
  </si>
  <si>
    <t>66:41:0504006</t>
  </si>
  <si>
    <t>66:41:0504007</t>
  </si>
  <si>
    <t>66:41:0504011</t>
  </si>
  <si>
    <t>66:41:0505002</t>
  </si>
  <si>
    <t>66:41:0505003</t>
  </si>
  <si>
    <t>66:41:0505005</t>
  </si>
  <si>
    <t>66:41:0501005</t>
  </si>
  <si>
    <t>66:41:0402025</t>
  </si>
  <si>
    <t>66:41:0501003</t>
  </si>
  <si>
    <t>66:41:0501013</t>
  </si>
  <si>
    <t>66:41:0501024</t>
  </si>
  <si>
    <t>66:41:0501025</t>
  </si>
  <si>
    <t>66:41:0501026</t>
  </si>
  <si>
    <t>66:41:0501042</t>
  </si>
  <si>
    <t>66:41:0501045</t>
  </si>
  <si>
    <t>66:41:0501046</t>
  </si>
  <si>
    <t>66:41:0501049</t>
  </si>
  <si>
    <t>66:41:0404005</t>
  </si>
  <si>
    <t>66:41:0501001</t>
  </si>
  <si>
    <t>66:41:0501058</t>
  </si>
  <si>
    <t>66:41:0501060</t>
  </si>
  <si>
    <t>66:41:0501061</t>
  </si>
  <si>
    <t>66:41:0501063</t>
  </si>
  <si>
    <t>66:41:0501064</t>
  </si>
  <si>
    <t>66:41:0501070</t>
  </si>
  <si>
    <t>66:41:0501073</t>
  </si>
  <si>
    <t>66:41:0501075</t>
  </si>
  <si>
    <t>66:41:0505001</t>
  </si>
  <si>
    <t>66:41:0501044</t>
  </si>
  <si>
    <t>66:41:0402044</t>
  </si>
  <si>
    <t>66:41:0402035</t>
  </si>
  <si>
    <t>66:41:0402037</t>
  </si>
  <si>
    <t>66:41:0402038</t>
  </si>
  <si>
    <t>66:41:0402039</t>
  </si>
  <si>
    <t>66:41:0402040</t>
  </si>
  <si>
    <t>66:41:0402041</t>
  </si>
  <si>
    <t>66:41:0402042</t>
  </si>
  <si>
    <t>66:41:0402043</t>
  </si>
  <si>
    <t>66:41:0501021</t>
  </si>
  <si>
    <t>66:41:0501022</t>
  </si>
  <si>
    <t>66:41:0501043</t>
  </si>
  <si>
    <t>66:41:0501047</t>
  </si>
  <si>
    <t>66:41:0501048</t>
  </si>
  <si>
    <t>66:41:0501059</t>
  </si>
  <si>
    <t>66:41:0501901</t>
  </si>
  <si>
    <t>66:41:0504056</t>
  </si>
  <si>
    <t>66:41:0504033</t>
  </si>
  <si>
    <t>66:41:0504031</t>
  </si>
  <si>
    <t>66:41:0504032</t>
  </si>
  <si>
    <t>66:41:0504047</t>
  </si>
  <si>
    <t>66:41:0504048</t>
  </si>
  <si>
    <t>66:41:0504049</t>
  </si>
  <si>
    <t>66:41:0504050</t>
  </si>
  <si>
    <t>66:41:0504054</t>
  </si>
  <si>
    <t>66:41:0504055</t>
  </si>
  <si>
    <t>66:41:0504058</t>
  </si>
  <si>
    <t>66:41:0402010</t>
  </si>
  <si>
    <t>66:41:0402020</t>
  </si>
  <si>
    <t>66:41:0402024</t>
  </si>
  <si>
    <t>66:41:0402032</t>
  </si>
  <si>
    <t>66:41:0402033</t>
  </si>
  <si>
    <t>66:41:0501002</t>
  </si>
  <si>
    <t>66:41:0501009</t>
  </si>
  <si>
    <t>66:41:0504008</t>
  </si>
  <si>
    <t>66:41:0504009</t>
  </si>
  <si>
    <t>66:41:0504022</t>
  </si>
  <si>
    <t>66:41:0504027</t>
  </si>
  <si>
    <t>66:41:0504028</t>
  </si>
  <si>
    <t>66:41:0504901</t>
  </si>
  <si>
    <t>66:41:0504030</t>
  </si>
  <si>
    <t>66:41:0504043</t>
  </si>
  <si>
    <t>66:41:0504044</t>
  </si>
  <si>
    <t>66:41:0504045</t>
  </si>
  <si>
    <t>66:41:0504046</t>
  </si>
  <si>
    <t>66:41:0504062</t>
  </si>
  <si>
    <t>66:41:0507050</t>
  </si>
  <si>
    <t>66:41:0507070</t>
  </si>
  <si>
    <t>66:25:0304006</t>
  </si>
  <si>
    <t>66:25:0306004</t>
  </si>
  <si>
    <t>66:41:0508097</t>
  </si>
  <si>
    <t>66:41:0508041</t>
  </si>
  <si>
    <t>66:41:0508035</t>
  </si>
  <si>
    <t>66:41:0508042</t>
  </si>
  <si>
    <t>66:41:0508043</t>
  </si>
  <si>
    <t>66:41:0508044</t>
  </si>
  <si>
    <t>66:41:0508054</t>
  </si>
  <si>
    <t>66:41:0508055</t>
  </si>
  <si>
    <t>66:41:0508008</t>
  </si>
  <si>
    <t>66:41:0508005</t>
  </si>
  <si>
    <t>66:41:0508006</t>
  </si>
  <si>
    <t>66:41:0508007</t>
  </si>
  <si>
    <t>66:41:0508011</t>
  </si>
  <si>
    <t>66:41:0508013</t>
  </si>
  <si>
    <t>66:41:0508016</t>
  </si>
  <si>
    <t>66:41:0508020</t>
  </si>
  <si>
    <t>66:41:0508025</t>
  </si>
  <si>
    <t>66:41:0508029</t>
  </si>
  <si>
    <t>66:41:0508031</t>
  </si>
  <si>
    <t>66:41:0508036</t>
  </si>
  <si>
    <t>66:41:0508075</t>
  </si>
  <si>
    <t>66:41:0508028</t>
  </si>
  <si>
    <t>66:41:0508009</t>
  </si>
  <si>
    <t>66:41:0508010</t>
  </si>
  <si>
    <t>66:41:0508015</t>
  </si>
  <si>
    <t>66:41:0508017</t>
  </si>
  <si>
    <t>66:41:0508018</t>
  </si>
  <si>
    <t>66:41:0508019</t>
  </si>
  <si>
    <t>66:41:0508024</t>
  </si>
  <si>
    <t>66:41:0508026</t>
  </si>
  <si>
    <t>66:41:0508027</t>
  </si>
  <si>
    <t>66:41:0508032</t>
  </si>
  <si>
    <t>66:41:0508033</t>
  </si>
  <si>
    <t>66:41:0508034</t>
  </si>
  <si>
    <t>66:41:0508045</t>
  </si>
  <si>
    <t>66:41:0508046</t>
  </si>
  <si>
    <t>66:41:0508047</t>
  </si>
  <si>
    <t>66:41:0507005</t>
  </si>
  <si>
    <t>66:41:0507007</t>
  </si>
  <si>
    <t>66:41:0508001</t>
  </si>
  <si>
    <t>66:41:0508003</t>
  </si>
  <si>
    <t>66:41:0508004</t>
  </si>
  <si>
    <t>66:41:0508012</t>
  </si>
  <si>
    <t>66:41:0508094</t>
  </si>
  <si>
    <t>66:41:0529001</t>
  </si>
  <si>
    <t>66:41:0529002</t>
  </si>
  <si>
    <t>66:41:0529003</t>
  </si>
  <si>
    <t>66:41:0529004</t>
  </si>
  <si>
    <t>66:41:0529005</t>
  </si>
  <si>
    <t>66:41:0529008</t>
  </si>
  <si>
    <t>66:41:0529009</t>
  </si>
  <si>
    <t>66:41:0529901</t>
  </si>
  <si>
    <t>66:41:0514021</t>
  </si>
  <si>
    <t>66:41:0514006</t>
  </si>
  <si>
    <t>66:41:0514010</t>
  </si>
  <si>
    <t>66:41:0514013</t>
  </si>
  <si>
    <t>66:41:0514014</t>
  </si>
  <si>
    <t>66:41:0514016</t>
  </si>
  <si>
    <t>66:41:0514017</t>
  </si>
  <si>
    <t>66:41:0514018</t>
  </si>
  <si>
    <t>66:41:0514019</t>
  </si>
  <si>
    <t>66:41:0514020</t>
  </si>
  <si>
    <t>66:41:0514023</t>
  </si>
  <si>
    <t>66:41:0514025</t>
  </si>
  <si>
    <t>66:41:0514027</t>
  </si>
  <si>
    <t>66:41:0514028</t>
  </si>
  <si>
    <t>66:41:0514029</t>
  </si>
  <si>
    <t>66:41:0514037</t>
  </si>
  <si>
    <t>66:41:0514042</t>
  </si>
  <si>
    <t>66:41:0514053</t>
  </si>
  <si>
    <t>66:41:0514001</t>
  </si>
  <si>
    <t>66:41:0507029</t>
  </si>
  <si>
    <t>66:41:0507045</t>
  </si>
  <si>
    <t>66:41:0507053</t>
  </si>
  <si>
    <t>66:41:0507119</t>
  </si>
  <si>
    <t>66:41:0514002</t>
  </si>
  <si>
    <t>66:41:0514003</t>
  </si>
  <si>
    <t>66:41:0514005</t>
  </si>
  <si>
    <t>66:41:0504040</t>
  </si>
  <si>
    <t>66:41:0504034</t>
  </si>
  <si>
    <t>66:41:0504035</t>
  </si>
  <si>
    <t>66:41:0504039</t>
  </si>
  <si>
    <t>66:41:0504041</t>
  </si>
  <si>
    <t>66:41:0504051</t>
  </si>
  <si>
    <t>66:41:0504052</t>
  </si>
  <si>
    <t>66:41:0504074</t>
  </si>
  <si>
    <t>66:41:0504075</t>
  </si>
  <si>
    <t>66:41:0504084</t>
  </si>
  <si>
    <t>66:41:0504085</t>
  </si>
  <si>
    <t>66:41:0504086</t>
  </si>
  <si>
    <t>66:41:0505018</t>
  </si>
  <si>
    <t>66:41:0505019</t>
  </si>
  <si>
    <t>66:41:0504088</t>
  </si>
  <si>
    <t>66:41:0504068</t>
  </si>
  <si>
    <t>66:41:0504069</t>
  </si>
  <si>
    <t>66:41:0504070</t>
  </si>
  <si>
    <t>66:41:0504071</t>
  </si>
  <si>
    <t>66:41:0504072</t>
  </si>
  <si>
    <t>66:41:0504073</t>
  </si>
  <si>
    <t>66:41:0504081</t>
  </si>
  <si>
    <t>66:41:0504082</t>
  </si>
  <si>
    <t>66:41:0504083</t>
  </si>
  <si>
    <t>66:41:0504089</t>
  </si>
  <si>
    <t>66:41:0504090</t>
  </si>
  <si>
    <t>66:41:0504091</t>
  </si>
  <si>
    <t>66:41:0504092</t>
  </si>
  <si>
    <t>66:41:0504093</t>
  </si>
  <si>
    <t>66:41:0504094</t>
  </si>
  <si>
    <t>66:41:0504095</t>
  </si>
  <si>
    <t>66:41:0514012</t>
  </si>
  <si>
    <t>66:41:0505023</t>
  </si>
  <si>
    <t>66:41:0511025</t>
  </si>
  <si>
    <t>66:41:0511026</t>
  </si>
  <si>
    <t>66:41:0514004</t>
  </si>
  <si>
    <t>66:41:0514007</t>
  </si>
  <si>
    <t>66:41:0514008</t>
  </si>
  <si>
    <t>66:41:0514009</t>
  </si>
  <si>
    <t>66:41:0514011</t>
  </si>
  <si>
    <t>66:41:0514024</t>
  </si>
  <si>
    <t>66:41:0514051</t>
  </si>
  <si>
    <t>66:41:0514054</t>
  </si>
  <si>
    <t>66:41:0504096</t>
  </si>
  <si>
    <t>66:41:0504063</t>
  </si>
  <si>
    <t>66:41:0504059</t>
  </si>
  <si>
    <t>66:41:0504060</t>
  </si>
  <si>
    <t>66:41:0504061</t>
  </si>
  <si>
    <t>66:41:0504064</t>
  </si>
  <si>
    <t>66:41:0504065</t>
  </si>
  <si>
    <t>66:41:0504066</t>
  </si>
  <si>
    <t>66:41:0504067</t>
  </si>
  <si>
    <t>66:41:0504076</t>
  </si>
  <si>
    <t>66:41:0504077</t>
  </si>
  <si>
    <t>66:41:0504078</t>
  </si>
  <si>
    <t>66:41:0504079</t>
  </si>
  <si>
    <t>66:41:0504080</t>
  </si>
  <si>
    <t>66:41:0504087</t>
  </si>
  <si>
    <t>66:41:0504097</t>
  </si>
  <si>
    <t>66:41:0504098</t>
  </si>
  <si>
    <t>66:41:0504099</t>
  </si>
  <si>
    <t>66:41:0518017</t>
  </si>
  <si>
    <t>66:41:0518012</t>
  </si>
  <si>
    <t>66:41:0513038</t>
  </si>
  <si>
    <t>66:41:0513039</t>
  </si>
  <si>
    <t>66:41:0513040</t>
  </si>
  <si>
    <t>66:41:0518006</t>
  </si>
  <si>
    <t>66:41:0518007</t>
  </si>
  <si>
    <t>66:41:0518010</t>
  </si>
  <si>
    <t>66:41:0518011</t>
  </si>
  <si>
    <t>66:41:0518013</t>
  </si>
  <si>
    <t>66:41:0518014</t>
  </si>
  <si>
    <t>66:41:0513132</t>
  </si>
  <si>
    <t>66:41:0513041</t>
  </si>
  <si>
    <t>66:41:0513044</t>
  </si>
  <si>
    <t>66:41:0513047</t>
  </si>
  <si>
    <t>66:41:0513049</t>
  </si>
  <si>
    <t>66:41:0511022</t>
  </si>
  <si>
    <t>66:41:0511021</t>
  </si>
  <si>
    <t>66:41:0511023</t>
  </si>
  <si>
    <t>66:41:0511024</t>
  </si>
  <si>
    <t>66:41:0511028</t>
  </si>
  <si>
    <t>66:41:0511030</t>
  </si>
  <si>
    <t>66:41:0511034</t>
  </si>
  <si>
    <t>66:41:0513037</t>
  </si>
  <si>
    <t>66:41:0518901</t>
  </si>
  <si>
    <t>66:41:0518002</t>
  </si>
  <si>
    <t>66:41:0518003</t>
  </si>
  <si>
    <t>66:41:0518004</t>
  </si>
  <si>
    <t>66:41:0518008</t>
  </si>
  <si>
    <t>66:41:0518009</t>
  </si>
  <si>
    <t>66:41:0518015</t>
  </si>
  <si>
    <t>66:41:0518016</t>
  </si>
  <si>
    <t>66:41:0518018</t>
  </si>
  <si>
    <t>66:41:0518019</t>
  </si>
  <si>
    <t>66:41:0518020</t>
  </si>
  <si>
    <t>66:41:0518023</t>
  </si>
  <si>
    <t>66:41:0518024</t>
  </si>
  <si>
    <t>66:41:0518025</t>
  </si>
  <si>
    <t>66:41:0518027</t>
  </si>
  <si>
    <t>66:41:0518028</t>
  </si>
  <si>
    <t>66:41:0518034</t>
  </si>
  <si>
    <t>66:41:0518510</t>
  </si>
  <si>
    <t>66:41:0513042</t>
  </si>
  <si>
    <t>66:41:0704015</t>
  </si>
  <si>
    <t>66:41:0702066</t>
  </si>
  <si>
    <t>66:41:0702073</t>
  </si>
  <si>
    <t>66:41:0702074</t>
  </si>
  <si>
    <t>66:41:0702077</t>
  </si>
  <si>
    <t>66:41:0702078</t>
  </si>
  <si>
    <t>66:41:0702079</t>
  </si>
  <si>
    <t>66:41:0702080</t>
  </si>
  <si>
    <t>66:41:0704002</t>
  </si>
  <si>
    <t>66:41:0704008</t>
  </si>
  <si>
    <t>66:41:0704013</t>
  </si>
  <si>
    <t>66:41:0704014</t>
  </si>
  <si>
    <t>66:41:0704016</t>
  </si>
  <si>
    <t>66:41:0704017</t>
  </si>
  <si>
    <t>66:41:0704018</t>
  </si>
  <si>
    <t>66:41:0704022</t>
  </si>
  <si>
    <t>66:41:0704024</t>
  </si>
  <si>
    <t>66:41:0704901</t>
  </si>
  <si>
    <t>66:41:0702071</t>
  </si>
  <si>
    <t>66:41:0701008</t>
  </si>
  <si>
    <t>66:41:0702062</t>
  </si>
  <si>
    <t>66:41:0702063</t>
  </si>
  <si>
    <t>66:41:0702064</t>
  </si>
  <si>
    <t>66:41:0702065</t>
  </si>
  <si>
    <t>66:41:0702072</t>
  </si>
  <si>
    <t>66:41:0702076</t>
  </si>
  <si>
    <t>66:41:0110016</t>
  </si>
  <si>
    <t>66:41:0110025</t>
  </si>
  <si>
    <t>66:41:0205011</t>
  </si>
  <si>
    <t>66:41:0205018</t>
  </si>
  <si>
    <t>66:41:0205019</t>
  </si>
  <si>
    <t>66:41:0206011</t>
  </si>
  <si>
    <t>66:41:0206013</t>
  </si>
  <si>
    <t>66:41:0702008</t>
  </si>
  <si>
    <t>66:41:0702017</t>
  </si>
  <si>
    <t>66:41:0702030</t>
  </si>
  <si>
    <t>66:41:0702031</t>
  </si>
  <si>
    <t>66:41:0702032</t>
  </si>
  <si>
    <t>66:41:0702033</t>
  </si>
  <si>
    <t>66:41:0702050</t>
  </si>
  <si>
    <t>66:41:0702052</t>
  </si>
  <si>
    <t>66:41:0702053</t>
  </si>
  <si>
    <t>66:41:0702054</t>
  </si>
  <si>
    <t>66:41:0702055</t>
  </si>
  <si>
    <t>66:41:0206010</t>
  </si>
  <si>
    <t>66:41:0206005</t>
  </si>
  <si>
    <t>66:41:0206006</t>
  </si>
  <si>
    <t>66:41:0206008</t>
  </si>
  <si>
    <t>66:41:0206009</t>
  </si>
  <si>
    <t>66:41:0206012</t>
  </si>
  <si>
    <t>66:41:0206014</t>
  </si>
  <si>
    <t>66:41:0206032</t>
  </si>
  <si>
    <t>66:41:0701004</t>
  </si>
  <si>
    <t>66:41:0701005</t>
  </si>
  <si>
    <t>66:41:0701006</t>
  </si>
  <si>
    <t>66:41:0701007</t>
  </si>
  <si>
    <t>66:41:0702051</t>
  </si>
  <si>
    <t>66:41:0206016</t>
  </si>
  <si>
    <t>66:41:0206018</t>
  </si>
  <si>
    <t>66:41:0206020</t>
  </si>
  <si>
    <t>66:41:0206021</t>
  </si>
  <si>
    <t>66:41:0206022</t>
  </si>
  <si>
    <t>66:41:0206023</t>
  </si>
  <si>
    <t>66:41:0206025</t>
  </si>
  <si>
    <t>66:41:0301006</t>
  </si>
  <si>
    <t>66:41:0301007</t>
  </si>
  <si>
    <t>66:41:0301008</t>
  </si>
  <si>
    <t>66:41:0301015</t>
  </si>
  <si>
    <t>66:41:0205007</t>
  </si>
  <si>
    <t>66:41:0205006</t>
  </si>
  <si>
    <t>66:41:0205008</t>
  </si>
  <si>
    <t>66:41:0205009</t>
  </si>
  <si>
    <t>66:41:0205010</t>
  </si>
  <si>
    <t>66:41:0205015</t>
  </si>
  <si>
    <t>66:41:0206026</t>
  </si>
  <si>
    <t>66:41:0206001</t>
  </si>
  <si>
    <t>66:41:0206003</t>
  </si>
  <si>
    <t>66:41:0206004</t>
  </si>
  <si>
    <t>66:41:0206007</t>
  </si>
  <si>
    <t>66:41:0206015</t>
  </si>
  <si>
    <t>66:41:0206017</t>
  </si>
  <si>
    <t>66:41:0206029</t>
  </si>
  <si>
    <t>66:41:0206030</t>
  </si>
  <si>
    <t>66:41:0206031</t>
  </si>
  <si>
    <t>66:41:0206901</t>
  </si>
  <si>
    <t>66:41:0301002</t>
  </si>
  <si>
    <t>66:41:0301001</t>
  </si>
  <si>
    <t>66:41:0301003</t>
  </si>
  <si>
    <t>66:41:0301004</t>
  </si>
  <si>
    <t>66:41:0301005</t>
  </si>
  <si>
    <t>66:41:0301009</t>
  </si>
  <si>
    <t>66:41:0301010</t>
  </si>
  <si>
    <t>66:41:0301016</t>
  </si>
  <si>
    <t>66:41:0303004</t>
  </si>
  <si>
    <t>66:41:0303009</t>
  </si>
  <si>
    <t>66:41:0302033</t>
  </si>
  <si>
    <t>66:41:0206002</t>
  </si>
  <si>
    <t>66:41:0205002</t>
  </si>
  <si>
    <t>66:41:0205003</t>
  </si>
  <si>
    <t>66:41:0205004</t>
  </si>
  <si>
    <t>66:41:0205005</t>
  </si>
  <si>
    <t>66:41:0205013</t>
  </si>
  <si>
    <t>66:41:0205014</t>
  </si>
  <si>
    <t>66:41:0205016</t>
  </si>
  <si>
    <t>66:41:0205017</t>
  </si>
  <si>
    <t>66:41:0205020</t>
  </si>
  <si>
    <t>66:41:0205021</t>
  </si>
  <si>
    <t>66:41:0205022</t>
  </si>
  <si>
    <t>66:41:0205901</t>
  </si>
  <si>
    <t>66:41:0206019</t>
  </si>
  <si>
    <t>66:41:0206024</t>
  </si>
  <si>
    <t>66:41:0206027</t>
  </si>
  <si>
    <t>66:41:0206028</t>
  </si>
  <si>
    <t>66:41:0302034</t>
  </si>
  <si>
    <t>66:41:0302048</t>
  </si>
  <si>
    <t>66:41:0302002</t>
  </si>
  <si>
    <t>66:41:0302040</t>
  </si>
  <si>
    <t>66:41:0302041</t>
  </si>
  <si>
    <t>66:41:0302042</t>
  </si>
  <si>
    <t>66:41:0302044</t>
  </si>
  <si>
    <t>66:41:0302045</t>
  </si>
  <si>
    <t>66:41:0302046</t>
  </si>
  <si>
    <t>66:41:0303001</t>
  </si>
  <si>
    <t>66:41:0303002</t>
  </si>
  <si>
    <t>66:41:0303003</t>
  </si>
  <si>
    <t>66:41:0303005</t>
  </si>
  <si>
    <t>66:41:0303006</t>
  </si>
  <si>
    <t>66:41:0204036</t>
  </si>
  <si>
    <t>66:41:0204037</t>
  </si>
  <si>
    <t>66:41:0204038</t>
  </si>
  <si>
    <t>66:41:0204039</t>
  </si>
  <si>
    <t>66:41:0204040</t>
  </si>
  <si>
    <t>66:41:0204049</t>
  </si>
  <si>
    <t>66:41:0204051</t>
  </si>
  <si>
    <t>66:41:0204061</t>
  </si>
  <si>
    <t>66:41:0204062</t>
  </si>
  <si>
    <t>66:41:0205012</t>
  </si>
  <si>
    <t>66:41:0205046</t>
  </si>
  <si>
    <t>66:41:0303017</t>
  </si>
  <si>
    <t>66:41:0302027</t>
  </si>
  <si>
    <t>66:41:0302030</t>
  </si>
  <si>
    <t>66:41:0302035</t>
  </si>
  <si>
    <t>66:41:0302036</t>
  </si>
  <si>
    <t>66:41:0303016</t>
  </si>
  <si>
    <t>66:41:0303018</t>
  </si>
  <si>
    <t>66:41:0302023</t>
  </si>
  <si>
    <t>66:41:0204048</t>
  </si>
  <si>
    <t>66:41:0204017</t>
  </si>
  <si>
    <t>66:41:0204047</t>
  </si>
  <si>
    <t>66:41:0204050</t>
  </si>
  <si>
    <t>66:41:0302014</t>
  </si>
  <si>
    <t>66:41:0302015</t>
  </si>
  <si>
    <t>66:41:0302016</t>
  </si>
  <si>
    <t>66:41:0302019</t>
  </si>
  <si>
    <t>66:41:0302024</t>
  </si>
  <si>
    <t>66:41:0302031</t>
  </si>
  <si>
    <t>66:41:0302032</t>
  </si>
  <si>
    <t>66:41:0302901</t>
  </si>
  <si>
    <t>66:41:0302902</t>
  </si>
  <si>
    <t>66:41:0109902</t>
  </si>
  <si>
    <t>66:41:0109033</t>
  </si>
  <si>
    <t>66:41:0109036</t>
  </si>
  <si>
    <t>66:41:0109037</t>
  </si>
  <si>
    <t>66:41:0109038</t>
  </si>
  <si>
    <t>66:41:0109039</t>
  </si>
  <si>
    <t>66:41:0109040</t>
  </si>
  <si>
    <t>66:41:0109053</t>
  </si>
  <si>
    <t>66:41:0109054</t>
  </si>
  <si>
    <t>66:41:0109055</t>
  </si>
  <si>
    <t>66:41:0109056</t>
  </si>
  <si>
    <t>66:41:0109057</t>
  </si>
  <si>
    <t>66:41:0109068</t>
  </si>
  <si>
    <t>66:36:0111022</t>
  </si>
  <si>
    <t>66:36:0111011</t>
  </si>
  <si>
    <t>66:36:0111012</t>
  </si>
  <si>
    <t>66:36:0111015</t>
  </si>
  <si>
    <t>66:36:0111016</t>
  </si>
  <si>
    <t>66:36:0111021</t>
  </si>
  <si>
    <t>66:36:0111024</t>
  </si>
  <si>
    <t>66:36:0111025</t>
  </si>
  <si>
    <t>66:36:0111028</t>
  </si>
  <si>
    <t>66:36:0112001</t>
  </si>
  <si>
    <t>66:36:0112002</t>
  </si>
  <si>
    <t>66:36:0112003</t>
  </si>
  <si>
    <t>66:36:0112004</t>
  </si>
  <si>
    <t>66:36:0112005</t>
  </si>
  <si>
    <t>66:36:0112006</t>
  </si>
  <si>
    <t>66:36:0112008</t>
  </si>
  <si>
    <t>66:36:0112011</t>
  </si>
  <si>
    <t>66:36:0112014</t>
  </si>
  <si>
    <t>66:36:0111046</t>
  </si>
  <si>
    <t>66:36:0111048</t>
  </si>
  <si>
    <t>66:36:0111057</t>
  </si>
  <si>
    <t>66:36:0111058</t>
  </si>
  <si>
    <t>66:36:0111059</t>
  </si>
  <si>
    <t>66:36:0111060</t>
  </si>
  <si>
    <t>66:36:0111061</t>
  </si>
  <si>
    <t>66:36:0112012</t>
  </si>
  <si>
    <t>66:36:0112013</t>
  </si>
  <si>
    <t>66:36:0111029</t>
  </si>
  <si>
    <t>66:36:0111031</t>
  </si>
  <si>
    <t>66:36:0111032</t>
  </si>
  <si>
    <t>66:36:0111033</t>
  </si>
  <si>
    <t>66:36:0111034</t>
  </si>
  <si>
    <t>66:36:0111035</t>
  </si>
  <si>
    <t>66:36:0111041</t>
  </si>
  <si>
    <t>66:36:0111042</t>
  </si>
  <si>
    <t>66:36:0111043</t>
  </si>
  <si>
    <t>66:36:0111044</t>
  </si>
  <si>
    <t>66:36:0111045</t>
  </si>
  <si>
    <t>66:36:0111047</t>
  </si>
  <si>
    <t>66:36:0111084</t>
  </si>
  <si>
    <t>66:36:0111054</t>
  </si>
  <si>
    <t>66:36:0111055</t>
  </si>
  <si>
    <t>66:36:0111074</t>
  </si>
  <si>
    <t>66:36:0111076</t>
  </si>
  <si>
    <t>66:36:0111077</t>
  </si>
  <si>
    <t>66:36:0111078</t>
  </si>
  <si>
    <t>66:36:0111079</t>
  </si>
  <si>
    <t>66:36:0111080</t>
  </si>
  <si>
    <t>66:36:0111081</t>
  </si>
  <si>
    <t>66:36:0111083</t>
  </si>
  <si>
    <t>66:36:0111085</t>
  </si>
  <si>
    <t>66:36:0111086</t>
  </si>
  <si>
    <t>66:36:0111087</t>
  </si>
  <si>
    <t>66:36:0111088</t>
  </si>
  <si>
    <t>66:36:0111089</t>
  </si>
  <si>
    <t>66:36:0111052</t>
  </si>
  <si>
    <t>66:36:0111026</t>
  </si>
  <si>
    <t>66:36:0111027</t>
  </si>
  <si>
    <t>66:36:0111030</t>
  </si>
  <si>
    <t>66:36:0111038</t>
  </si>
  <si>
    <t>66:36:0111039</t>
  </si>
  <si>
    <t>66:36:0111040</t>
  </si>
  <si>
    <t>66:36:0111051</t>
  </si>
  <si>
    <t>66:36:0111053</t>
  </si>
  <si>
    <t>66:36:0111056</t>
  </si>
  <si>
    <t>66:36:0111008</t>
  </si>
  <si>
    <t>66:36:0111009</t>
  </si>
  <si>
    <t>66:36:0111010</t>
  </si>
  <si>
    <t>66:36:0111013</t>
  </si>
  <si>
    <t>66:36:0111014</t>
  </si>
  <si>
    <t>66:36:0111018</t>
  </si>
  <si>
    <t>66:36:0111019</t>
  </si>
  <si>
    <t>66:36:0111020</t>
  </si>
  <si>
    <t>66:36:0111023</t>
  </si>
  <si>
    <t>66:36:0109002</t>
  </si>
  <si>
    <t>66:36:0109007</t>
  </si>
  <si>
    <t>66:36:0111002</t>
  </si>
  <si>
    <t>66:36:0111004</t>
  </si>
  <si>
    <t>66:36:0111005</t>
  </si>
  <si>
    <t>66:36:0111006</t>
  </si>
  <si>
    <t>66:36:0111067</t>
  </si>
  <si>
    <t>66:36:0111036</t>
  </si>
  <si>
    <t>66:36:0111037</t>
  </si>
  <si>
    <t>66:36:0111049</t>
  </si>
  <si>
    <t>66:36:0111050</t>
  </si>
  <si>
    <t>66:36:0111062</t>
  </si>
  <si>
    <t>66:36:0111064</t>
  </si>
  <si>
    <t>66:36:0111065</t>
  </si>
  <si>
    <t>66:36:0111066</t>
  </si>
  <si>
    <t>66:36:0111068</t>
  </si>
  <si>
    <t>66:36:0111069</t>
  </si>
  <si>
    <t>66:36:0111070</t>
  </si>
  <si>
    <t>66:36:0111071</t>
  </si>
  <si>
    <t>66:36:0111072</t>
  </si>
  <si>
    <t>66:36:0111073</t>
  </si>
  <si>
    <t>66:36:0111075</t>
  </si>
  <si>
    <t>66:41:0109071</t>
  </si>
  <si>
    <t>66:41:0109017</t>
  </si>
  <si>
    <t>66:41:0109014</t>
  </si>
  <si>
    <t>66:41:0109007</t>
  </si>
  <si>
    <t>66:41:0109008</t>
  </si>
  <si>
    <t>66:41:0109009</t>
  </si>
  <si>
    <t>66:41:0109010</t>
  </si>
  <si>
    <t>66:41:0109011</t>
  </si>
  <si>
    <t>66:41:0109015</t>
  </si>
  <si>
    <t>66:41:0109016</t>
  </si>
  <si>
    <t>66:41:0109018</t>
  </si>
  <si>
    <t>66:41:0109019</t>
  </si>
  <si>
    <t>66:41:0109020</t>
  </si>
  <si>
    <t>66:41:0109021</t>
  </si>
  <si>
    <t>66:41:0109022</t>
  </si>
  <si>
    <t>66:41:0109023</t>
  </si>
  <si>
    <t>66:41:0109029</t>
  </si>
  <si>
    <t>66:36:0109008</t>
  </si>
  <si>
    <t>66:36:0109006</t>
  </si>
  <si>
    <t>66:36:0102073</t>
  </si>
  <si>
    <t>66:36:0102077</t>
  </si>
  <si>
    <t>66:36:0102078</t>
  </si>
  <si>
    <t>66:36:0102081</t>
  </si>
  <si>
    <t>66:36:0109001</t>
  </si>
  <si>
    <t>66:36:0109003</t>
  </si>
  <si>
    <t>66:36:0109004</t>
  </si>
  <si>
    <t>66:36:0109005</t>
  </si>
  <si>
    <t>66:36:0109009</t>
  </si>
  <si>
    <t>66:36:0109010</t>
  </si>
  <si>
    <t>66:36:0111003</t>
  </si>
  <si>
    <t>66:36:0111007</t>
  </si>
  <si>
    <t>66:36:0111017</t>
  </si>
  <si>
    <t>66:36:0108002</t>
  </si>
  <si>
    <t>66:36:0108004</t>
  </si>
  <si>
    <t>66:36:0110002</t>
  </si>
  <si>
    <t>66:36:0111063</t>
  </si>
  <si>
    <t>66:36:0102076</t>
  </si>
  <si>
    <t>66:36:0102079</t>
  </si>
  <si>
    <t>66:36:0102080</t>
  </si>
  <si>
    <t>66:36:0102082</t>
  </si>
  <si>
    <t>66:36:0102083</t>
  </si>
  <si>
    <t>66:36:0102084</t>
  </si>
  <si>
    <t>66:36:0102085</t>
  </si>
  <si>
    <t>66:36:0105004</t>
  </si>
  <si>
    <t>66:36:0110001</t>
  </si>
  <si>
    <t>66:41:0105005</t>
  </si>
  <si>
    <t>66:41:0109006</t>
  </si>
  <si>
    <t>66:41:0109013</t>
  </si>
  <si>
    <t>66:36:0103017</t>
  </si>
  <si>
    <t>66:36:0103014</t>
  </si>
  <si>
    <t>66:36:0102068</t>
  </si>
  <si>
    <t>66:36:0102074</t>
  </si>
  <si>
    <t>66:36:0102075</t>
  </si>
  <si>
    <t>66:36:0103015</t>
  </si>
  <si>
    <t>66:36:0103016</t>
  </si>
  <si>
    <t>66:36:0108001</t>
  </si>
  <si>
    <t>66:36:0108003</t>
  </si>
  <si>
    <t>66:36:0106037</t>
  </si>
  <si>
    <t>66:36:0103013</t>
  </si>
  <si>
    <t>66:36:0106004</t>
  </si>
  <si>
    <t>66:36:0106005</t>
  </si>
  <si>
    <t>66:36:0106015</t>
  </si>
  <si>
    <t>66:36:0106016</t>
  </si>
  <si>
    <t>66:36:0106017</t>
  </si>
  <si>
    <t>66:36:0106024</t>
  </si>
  <si>
    <t>66:36:0106025</t>
  </si>
  <si>
    <t>66:36:0106026</t>
  </si>
  <si>
    <t>66:36:0106027</t>
  </si>
  <si>
    <t>66:36:0106028</t>
  </si>
  <si>
    <t>66:36:0106035</t>
  </si>
  <si>
    <t>66:36:0106036</t>
  </si>
  <si>
    <t>66:41:0105002</t>
  </si>
  <si>
    <t>66:41:0105024</t>
  </si>
  <si>
    <t>66:41:0109001</t>
  </si>
  <si>
    <t>66:41:0109002</t>
  </si>
  <si>
    <t>66:41:0109003</t>
  </si>
  <si>
    <t>66:41:0109004</t>
  </si>
  <si>
    <t>66:41:0109005</t>
  </si>
  <si>
    <t>66:41:0109012</t>
  </si>
  <si>
    <t>66:41:0109031</t>
  </si>
  <si>
    <t>66:36:3002011</t>
  </si>
  <si>
    <t>66:36:3002012</t>
  </si>
  <si>
    <t>66:41:0105001</t>
  </si>
  <si>
    <t>66:41:0105004</t>
  </si>
  <si>
    <t>66:41:0105025</t>
  </si>
  <si>
    <t>66:36:0103010</t>
  </si>
  <si>
    <t>66:36:0103011</t>
  </si>
  <si>
    <t>66:36:0106013</t>
  </si>
  <si>
    <t>66:36:0106014</t>
  </si>
  <si>
    <t>66:36:0106020</t>
  </si>
  <si>
    <t>66:36:0106021</t>
  </si>
  <si>
    <t>66:36:0106023</t>
  </si>
  <si>
    <t>66:36:0106029</t>
  </si>
  <si>
    <t>66:36:0106030</t>
  </si>
  <si>
    <t>66:36:0106031</t>
  </si>
  <si>
    <t>66:36:0106032</t>
  </si>
  <si>
    <t>66:36:0106033</t>
  </si>
  <si>
    <t>66:36:0106034</t>
  </si>
  <si>
    <t>66:36:0106012</t>
  </si>
  <si>
    <t>66:36:0104001</t>
  </si>
  <si>
    <t>66:36:0106001</t>
  </si>
  <si>
    <t>66:36:0106002</t>
  </si>
  <si>
    <t>66:36:0106003</t>
  </si>
  <si>
    <t>66:36:0106007</t>
  </si>
  <si>
    <t>66:36:0106008</t>
  </si>
  <si>
    <t>66:36:0106009</t>
  </si>
  <si>
    <t>66:36:0106010</t>
  </si>
  <si>
    <t>66:36:0106011</t>
  </si>
  <si>
    <t>66:36:0106018</t>
  </si>
  <si>
    <t>66:36:0106019</t>
  </si>
  <si>
    <t>66:36:0106022</t>
  </si>
  <si>
    <t>66:36:3002009</t>
  </si>
  <si>
    <t>66:36:3002010</t>
  </si>
  <si>
    <t>66:36:3002013</t>
  </si>
  <si>
    <t>66:62:0102002</t>
  </si>
  <si>
    <t>66:62:0102005</t>
  </si>
  <si>
    <t>66:62:0102006</t>
  </si>
  <si>
    <t>66:62:0102007</t>
  </si>
  <si>
    <t>66:62:0102008</t>
  </si>
  <si>
    <t>66:62:0102009</t>
  </si>
  <si>
    <t>66:62:0105002</t>
  </si>
  <si>
    <t>66:62:0105003</t>
  </si>
  <si>
    <t>66:62:0107004</t>
  </si>
  <si>
    <t>66:62:0107009</t>
  </si>
  <si>
    <t>66:62:0107013</t>
  </si>
  <si>
    <t>66:62:0502003</t>
  </si>
  <si>
    <t>66:62:0502004</t>
  </si>
  <si>
    <t>66:62:0502005</t>
  </si>
  <si>
    <t>66:62:0502006</t>
  </si>
  <si>
    <t>66:62:0502007</t>
  </si>
  <si>
    <t>66:62:0502008</t>
  </si>
  <si>
    <t>66:62:0503001</t>
  </si>
  <si>
    <t>66:41:0207004</t>
  </si>
  <si>
    <t>nw</t>
  </si>
  <si>
    <t>66:41:0207003</t>
  </si>
  <si>
    <t>66:41:0207005</t>
  </si>
  <si>
    <t>66:41:0207006</t>
  </si>
  <si>
    <t>66:41:0207008</t>
  </si>
  <si>
    <t>66:41:0207015</t>
  </si>
  <si>
    <t>66:41:0207016</t>
  </si>
  <si>
    <t>66:41:0207029</t>
  </si>
  <si>
    <t>66:41:0207030</t>
  </si>
  <si>
    <t>66:41:0207031</t>
  </si>
  <si>
    <t>66:41:0207032</t>
  </si>
  <si>
    <t>66:41:0207902</t>
  </si>
  <si>
    <t>66:62:0107007</t>
  </si>
  <si>
    <t>66:62:0102001</t>
  </si>
  <si>
    <t>66:62:0102003</t>
  </si>
  <si>
    <t>66:62:0102004</t>
  </si>
  <si>
    <t>66:62:0104002</t>
  </si>
  <si>
    <t>66:62:0104004</t>
  </si>
  <si>
    <t>66:62:0105001</t>
  </si>
  <si>
    <t>66:62:0107002</t>
  </si>
  <si>
    <t>66:62:0107003</t>
  </si>
  <si>
    <t>66:62:0107005</t>
  </si>
  <si>
    <t>66:62:0107006</t>
  </si>
  <si>
    <t>66:62:0107008</t>
  </si>
  <si>
    <t>66:62:0107010</t>
  </si>
  <si>
    <t>66:62:0502001</t>
  </si>
  <si>
    <t>66:62:0502002</t>
  </si>
  <si>
    <t>66:62:0503002</t>
  </si>
  <si>
    <t>66:41:0207024</t>
  </si>
  <si>
    <t>66:41:0207001</t>
  </si>
  <si>
    <t>66:41:0207002</t>
  </si>
  <si>
    <t>66:41:0207007</t>
  </si>
  <si>
    <t>66:41:0207009</t>
  </si>
  <si>
    <t>66:41:0207010</t>
  </si>
  <si>
    <t>66:41:0207013</t>
  </si>
  <si>
    <t>66:41:0207014</t>
  </si>
  <si>
    <t>66:41:0207017</t>
  </si>
  <si>
    <t>66:41:0207018</t>
  </si>
  <si>
    <t>66:41:0207019</t>
  </si>
  <si>
    <t>66:41:0207023</t>
  </si>
  <si>
    <t>66:41:0207901</t>
  </si>
  <si>
    <t>66:62:0104013</t>
  </si>
  <si>
    <t>66:62:0104011</t>
  </si>
  <si>
    <t>66:62:0101003</t>
  </si>
  <si>
    <t>66:62:0104001</t>
  </si>
  <si>
    <t>66:62:0104003</t>
  </si>
  <si>
    <t>66:62:0104005</t>
  </si>
  <si>
    <t>66:62:0104006</t>
  </si>
  <si>
    <t>66:62:0104007</t>
  </si>
  <si>
    <t>66:62:0104009</t>
  </si>
  <si>
    <t>66:62:0104010</t>
  </si>
  <si>
    <t>66:62:0104012</t>
  </si>
  <si>
    <t>66:62:0106004</t>
  </si>
  <si>
    <t>66:62:0106005</t>
  </si>
  <si>
    <t>66:62:0106006</t>
  </si>
  <si>
    <t>66:62:0107001</t>
  </si>
  <si>
    <t>66:41:0108001</t>
  </si>
  <si>
    <t>66:41:0106027</t>
  </si>
  <si>
    <t>66:41:0106019</t>
  </si>
  <si>
    <t>66:41:0106009</t>
  </si>
  <si>
    <t>66:41:0106004</t>
  </si>
  <si>
    <t>66:41:0106011</t>
  </si>
  <si>
    <t>66:41:0106012</t>
  </si>
  <si>
    <t>66:41:0106013</t>
  </si>
  <si>
    <t>66:41:0106014</t>
  </si>
  <si>
    <t>66:41:0106016</t>
  </si>
  <si>
    <t>66:41:0106017</t>
  </si>
  <si>
    <t>66:41:0106018</t>
  </si>
  <si>
    <t>66:41:0106025</t>
  </si>
  <si>
    <t>66:41:0106026</t>
  </si>
  <si>
    <t>66:41:0106028</t>
  </si>
  <si>
    <t>66:41:0106029</t>
  </si>
  <si>
    <t>66:41:0106030</t>
  </si>
  <si>
    <t>66:41:0106031</t>
  </si>
  <si>
    <t>66:41:0106032</t>
  </si>
  <si>
    <t>66:41:0106002</t>
  </si>
  <si>
    <t>66:41:0106022</t>
  </si>
  <si>
    <t>66:41:0106023</t>
  </si>
  <si>
    <t>66:41:0106034</t>
  </si>
  <si>
    <t>66:41:0106039</t>
  </si>
  <si>
    <t>66:41:0106040</t>
  </si>
  <si>
    <t>66:41:0106094</t>
  </si>
  <si>
    <t>66:41:0106095</t>
  </si>
  <si>
    <t>66:41:0106102</t>
  </si>
  <si>
    <t>66:41:0106103</t>
  </si>
  <si>
    <t>66:41:0106112</t>
  </si>
  <si>
    <t>66:41:0106113</t>
  </si>
  <si>
    <t>66:41:0106123</t>
  </si>
  <si>
    <t>66:41:0110020</t>
  </si>
  <si>
    <t>66:41:0106020</t>
  </si>
  <si>
    <t>66:41:0106001</t>
  </si>
  <si>
    <t>66:41:0106005</t>
  </si>
  <si>
    <t>66:41:0106006</t>
  </si>
  <si>
    <t>66:41:0106007</t>
  </si>
  <si>
    <t>66:41:0106008</t>
  </si>
  <si>
    <t>66:41:0106021</t>
  </si>
  <si>
    <t>66:41:0106033</t>
  </si>
  <si>
    <t>66:41:0106054</t>
  </si>
  <si>
    <t>66:41:0106055</t>
  </si>
  <si>
    <t>66:41:0106057</t>
  </si>
  <si>
    <t>66:41:0109026</t>
  </si>
  <si>
    <t>66:41:0109027</t>
  </si>
  <si>
    <t>66:41:0106124</t>
  </si>
  <si>
    <t>66:41:0106101</t>
  </si>
  <si>
    <t>66:41:0106108</t>
  </si>
  <si>
    <t>66:41:0106109</t>
  </si>
  <si>
    <t>66:41:0106110</t>
  </si>
  <si>
    <t>66:41:0106111</t>
  </si>
  <si>
    <t>66:41:0106118</t>
  </si>
  <si>
    <t>66:41:0106119</t>
  </si>
  <si>
    <t>66:41:0106120</t>
  </si>
  <si>
    <t>66:41:0106121</t>
  </si>
  <si>
    <t>66:41:0106122</t>
  </si>
  <si>
    <t>66:41:0106126</t>
  </si>
  <si>
    <t>66:41:0106127</t>
  </si>
  <si>
    <t>66:41:0106128</t>
  </si>
  <si>
    <t>66:41:0106129</t>
  </si>
  <si>
    <t>66:41:0106134</t>
  </si>
  <si>
    <t>66:41:0106052</t>
  </si>
  <si>
    <t>66:41:0106053</t>
  </si>
  <si>
    <t>66:41:0106056</t>
  </si>
  <si>
    <t>66:41:0106058</t>
  </si>
  <si>
    <t>66:41:0106059</t>
  </si>
  <si>
    <t>66:41:0106060</t>
  </si>
  <si>
    <t>66:41:0106061</t>
  </si>
  <si>
    <t>66:41:0106062</t>
  </si>
  <si>
    <t>66:41:0106063</t>
  </si>
  <si>
    <t>66:41:0106065</t>
  </si>
  <si>
    <t>66:41:0106177</t>
  </si>
  <si>
    <t>66:41:0106178</t>
  </si>
  <si>
    <t>66:41:0106115</t>
  </si>
  <si>
    <t>66:41:0106117</t>
  </si>
  <si>
    <t>66:41:0106131</t>
  </si>
  <si>
    <t>66:41:0106132</t>
  </si>
  <si>
    <t>66:41:0106133</t>
  </si>
  <si>
    <t>66:41:0106137</t>
  </si>
  <si>
    <t>66:41:0110019</t>
  </si>
  <si>
    <t>66:41:0110143</t>
  </si>
  <si>
    <t>66:41:0105029</t>
  </si>
  <si>
    <t>66:41:0105009</t>
  </si>
  <si>
    <t>66:41:0105022</t>
  </si>
  <si>
    <t>66:41:0105030</t>
  </si>
  <si>
    <t>66:41:0106046</t>
  </si>
  <si>
    <t>66:41:0109024</t>
  </si>
  <si>
    <t>66:41:0109025</t>
  </si>
  <si>
    <t>66:41:0106901</t>
  </si>
  <si>
    <t>66:41:0106087</t>
  </si>
  <si>
    <t>66:41:0106064</t>
  </si>
  <si>
    <t>66:41:0106066</t>
  </si>
  <si>
    <t>66:41:0106068</t>
  </si>
  <si>
    <t>66:41:0106069</t>
  </si>
  <si>
    <t>66:41:0106070</t>
  </si>
  <si>
    <t>66:41:0106072</t>
  </si>
  <si>
    <t>66:41:0106073</t>
  </si>
  <si>
    <t>66:41:0106078</t>
  </si>
  <si>
    <t>66:41:0106079</t>
  </si>
  <si>
    <t>66:41:0106080</t>
  </si>
  <si>
    <t>66:41:0106097</t>
  </si>
  <si>
    <t>66:41:0106106</t>
  </si>
  <si>
    <t>66:41:0106107</t>
  </si>
  <si>
    <t>66:41:0106071</t>
  </si>
  <si>
    <t>66:41:0106047</t>
  </si>
  <si>
    <t>66:41:0106049</t>
  </si>
  <si>
    <t>66:41:0106050</t>
  </si>
  <si>
    <t>66:41:0106051</t>
  </si>
  <si>
    <t>66:41:0106067</t>
  </si>
  <si>
    <t>66:41:0106074</t>
  </si>
  <si>
    <t>66:41:0106076</t>
  </si>
  <si>
    <t>66:41:0106077</t>
  </si>
  <si>
    <t>66:41:0106081</t>
  </si>
  <si>
    <t>66:41:0106083</t>
  </si>
  <si>
    <t>66:41:0106084</t>
  </si>
  <si>
    <t>66:41:0106085</t>
  </si>
  <si>
    <t>66:41:0106086</t>
  </si>
  <si>
    <t>66:41:0106088</t>
  </si>
  <si>
    <t>66:41:0106138</t>
  </si>
  <si>
    <t>66:41:0106089</t>
  </si>
  <si>
    <t>66:41:0106130</t>
  </si>
  <si>
    <t>66:41:0106135</t>
  </si>
  <si>
    <t>66:41:0106136</t>
  </si>
  <si>
    <t>66:41:0106139</t>
  </si>
  <si>
    <t>66:41:0106140</t>
  </si>
  <si>
    <t>66:41:0106146</t>
  </si>
  <si>
    <t>66:41:0106148</t>
  </si>
  <si>
    <t>66:41:0106150</t>
  </si>
  <si>
    <t>66:41:0106155</t>
  </si>
  <si>
    <t>66:41:0110141</t>
  </si>
  <si>
    <t>66:41:0105013</t>
  </si>
  <si>
    <t>66:41:0105017</t>
  </si>
  <si>
    <t>66:41:0105007</t>
  </si>
  <si>
    <t>66:41:0105008</t>
  </si>
  <si>
    <t>66:41:0105026</t>
  </si>
  <si>
    <t>66:41:0105027</t>
  </si>
  <si>
    <t>66:41:0105028</t>
  </si>
  <si>
    <t>66:41:0105031</t>
  </si>
  <si>
    <t>66:41:0105032</t>
  </si>
  <si>
    <t>66:41:0105033</t>
  </si>
  <si>
    <t>66:41:0105018</t>
  </si>
  <si>
    <t>66:41:0105020</t>
  </si>
  <si>
    <t>66:41:0105021</t>
  </si>
  <si>
    <t>66:41:0106145</t>
  </si>
  <si>
    <t>66:41:0106152</t>
  </si>
  <si>
    <t>66:41:0106153</t>
  </si>
  <si>
    <t>66:41:0106157</t>
  </si>
  <si>
    <t>66:41:0106169</t>
  </si>
  <si>
    <t>66:41:0106154</t>
  </si>
  <si>
    <t>66:41:0106156</t>
  </si>
  <si>
    <t>66:41:0106159</t>
  </si>
  <si>
    <t>66:41:0106160</t>
  </si>
  <si>
    <t>66:41:0106161</t>
  </si>
  <si>
    <t>66:41:0106162</t>
  </si>
  <si>
    <t>66:41:0106163</t>
  </si>
  <si>
    <t>66:41:0106164</t>
  </si>
  <si>
    <t>66:41:0106168</t>
  </si>
  <si>
    <t>66:41:0106170</t>
  </si>
  <si>
    <t>66:41:0106174</t>
  </si>
  <si>
    <t>66:41:0110176</t>
  </si>
  <si>
    <t>66:41:0106167</t>
  </si>
  <si>
    <t>66:41:0105019</t>
  </si>
  <si>
    <t>66:41:0106166</t>
  </si>
  <si>
    <t>66:41:0106171</t>
  </si>
  <si>
    <t>66:41:0106172</t>
  </si>
  <si>
    <t>66:41:0106173</t>
  </si>
  <si>
    <t>66:41:0106175</t>
  </si>
  <si>
    <t>66:41:0110018</t>
  </si>
  <si>
    <t>66:41:0204008</t>
  </si>
  <si>
    <t>66:41:0106036</t>
  </si>
  <si>
    <t>66:41:0106037</t>
  </si>
  <si>
    <t>66:41:0106042</t>
  </si>
  <si>
    <t>66:41:0106043</t>
  </si>
  <si>
    <t>66:41:0106091</t>
  </si>
  <si>
    <t>66:41:0106092</t>
  </si>
  <si>
    <t>66:41:0106093</t>
  </si>
  <si>
    <t>66:41:0106098</t>
  </si>
  <si>
    <t>66:41:0106099</t>
  </si>
  <si>
    <t>66:41:0202001</t>
  </si>
  <si>
    <t>66:41:0202002</t>
  </si>
  <si>
    <t>66:41:0202003</t>
  </si>
  <si>
    <t>66:41:0202004</t>
  </si>
  <si>
    <t>66:41:0202008</t>
  </si>
  <si>
    <t>66:41:0204001</t>
  </si>
  <si>
    <t>66:41:0204016</t>
  </si>
  <si>
    <t>66:41:0204004</t>
  </si>
  <si>
    <t>66:41:0204006</t>
  </si>
  <si>
    <t>66:41:0204007</t>
  </si>
  <si>
    <t>66:41:0204011</t>
  </si>
  <si>
    <t>66:41:0204060</t>
  </si>
  <si>
    <t>66:41:0204005</t>
  </si>
  <si>
    <t>66:41:0204009</t>
  </si>
  <si>
    <t>66:41:0204010</t>
  </si>
  <si>
    <t>66:41:0204012</t>
  </si>
  <si>
    <t>66:41:0204015</t>
  </si>
  <si>
    <t>66:41:0204045</t>
  </si>
  <si>
    <t>66:41:0204058</t>
  </si>
  <si>
    <t>66:41:0204059</t>
  </si>
  <si>
    <t>66:41:0203037</t>
  </si>
  <si>
    <t>66:41:0203029</t>
  </si>
  <si>
    <t>66:41:0203026</t>
  </si>
  <si>
    <t>66:41:0203027</t>
  </si>
  <si>
    <t>66:41:0203028</t>
  </si>
  <si>
    <t>66:41:0203036</t>
  </si>
  <si>
    <t>66:41:0203038</t>
  </si>
  <si>
    <t>66:41:0203039</t>
  </si>
  <si>
    <t>66:41:0203050</t>
  </si>
  <si>
    <t>66:41:0203055</t>
  </si>
  <si>
    <t>66:41:0204013</t>
  </si>
  <si>
    <t>66:41:0204901</t>
  </si>
  <si>
    <t>66:41:0208007</t>
  </si>
  <si>
    <t>66:41:0208010</t>
  </si>
  <si>
    <t>66:41:0207027</t>
  </si>
  <si>
    <t>66:41:0207011</t>
  </si>
  <si>
    <t>66:41:0207012</t>
  </si>
  <si>
    <t>66:41:0207020</t>
  </si>
  <si>
    <t>66:41:0207021</t>
  </si>
  <si>
    <t>66:41:0207022</t>
  </si>
  <si>
    <t>66:41:0207025</t>
  </si>
  <si>
    <t>66:41:0207026</t>
  </si>
  <si>
    <t>66:41:0207028</t>
  </si>
  <si>
    <t>66:41:0303008</t>
  </si>
  <si>
    <t>66:41:0303010</t>
  </si>
  <si>
    <t>66:41:0303019</t>
  </si>
  <si>
    <t>66:41:0303093</t>
  </si>
  <si>
    <t>66:41:0303133</t>
  </si>
  <si>
    <t>66:41:0303135</t>
  </si>
  <si>
    <t>66:41:0303136</t>
  </si>
  <si>
    <t>66:41:0304007</t>
  </si>
  <si>
    <t>66:41:0304013</t>
  </si>
  <si>
    <t>66:41:0304014</t>
  </si>
  <si>
    <t>66:41:0304018</t>
  </si>
  <si>
    <t>66:41:0304019</t>
  </si>
  <si>
    <t>66:41:0304020</t>
  </si>
  <si>
    <t>66:41:0304031</t>
  </si>
  <si>
    <t>66:41:0303052</t>
  </si>
  <si>
    <t>66:41:0303013</t>
  </si>
  <si>
    <t>66:41:0303014</t>
  </si>
  <si>
    <t>66:41:0303015</t>
  </si>
  <si>
    <t>66:41:0303024</t>
  </si>
  <si>
    <t>66:41:0303025</t>
  </si>
  <si>
    <t>66:41:0303026</t>
  </si>
  <si>
    <t>66:41:0303027</t>
  </si>
  <si>
    <t>66:41:0303031</t>
  </si>
  <si>
    <t>66:41:0303032</t>
  </si>
  <si>
    <t>66:41:0303033</t>
  </si>
  <si>
    <t>66:41:0303034</t>
  </si>
  <si>
    <t>66:41:0303051</t>
  </si>
  <si>
    <t>66:41:0303053</t>
  </si>
  <si>
    <t>66:41:0303148</t>
  </si>
  <si>
    <t>66:41:0303120</t>
  </si>
  <si>
    <t>66:41:0303143</t>
  </si>
  <si>
    <t>66:41:0303144</t>
  </si>
  <si>
    <t>66:41:0303145</t>
  </si>
  <si>
    <t>66:41:0303146</t>
  </si>
  <si>
    <t>66:41:0304015</t>
  </si>
  <si>
    <t>66:41:0304016</t>
  </si>
  <si>
    <t>66:41:0304017</t>
  </si>
  <si>
    <t>66:41:0304021</t>
  </si>
  <si>
    <t>66:41:0304022</t>
  </si>
  <si>
    <t>66:41:0304023</t>
  </si>
  <si>
    <t>66:41:0304024</t>
  </si>
  <si>
    <t>66:41:0304032</t>
  </si>
  <si>
    <t>66:41:0304034</t>
  </si>
  <si>
    <t>66:41:0303126</t>
  </si>
  <si>
    <t>66:41:0303099</t>
  </si>
  <si>
    <t>66:41:0303100</t>
  </si>
  <si>
    <t>66:41:0303101</t>
  </si>
  <si>
    <t>66:41:0303102</t>
  </si>
  <si>
    <t>66:41:0303121</t>
  </si>
  <si>
    <t>66:41:0303122</t>
  </si>
  <si>
    <t>66:41:0303124</t>
  </si>
  <si>
    <t>66:41:0303125</t>
  </si>
  <si>
    <t>66:41:0303127</t>
  </si>
  <si>
    <t>66:41:0303128</t>
  </si>
  <si>
    <t>66:41:0303129</t>
  </si>
  <si>
    <t>66:41:0303130</t>
  </si>
  <si>
    <t>66:41:0303131</t>
  </si>
  <si>
    <t>66:41:0303132</t>
  </si>
  <si>
    <t>66:41:0303149</t>
  </si>
  <si>
    <t>66:41:0303150</t>
  </si>
  <si>
    <t>66:41:0303151</t>
  </si>
  <si>
    <t>66:41:0303152</t>
  </si>
  <si>
    <t>66:41:0303154</t>
  </si>
  <si>
    <t>66:41:0302004</t>
  </si>
  <si>
    <t>66:41:0204027</t>
  </si>
  <si>
    <t>66:41:0204031</t>
  </si>
  <si>
    <t>66:41:0204033</t>
  </si>
  <si>
    <t>66:41:0204034</t>
  </si>
  <si>
    <t>66:41:0204044</t>
  </si>
  <si>
    <t>66:41:0302007</t>
  </si>
  <si>
    <t>66:41:0302012</t>
  </si>
  <si>
    <t>66:41:0204043</t>
  </si>
  <si>
    <t>66:41:0204042</t>
  </si>
  <si>
    <t>66:41:0204020</t>
  </si>
  <si>
    <t>66:41:0204021</t>
  </si>
  <si>
    <t>66:41:0204022</t>
  </si>
  <si>
    <t>66:41:0204023</t>
  </si>
  <si>
    <t>66:41:0204024</t>
  </si>
  <si>
    <t>66:41:0204025</t>
  </si>
  <si>
    <t>66:41:0204026</t>
  </si>
  <si>
    <t>66:41:0204028</t>
  </si>
  <si>
    <t>66:41:0204029</t>
  </si>
  <si>
    <t>66:41:0204035</t>
  </si>
  <si>
    <t>66:41:0204055</t>
  </si>
  <si>
    <t>66:41:0204057</t>
  </si>
  <si>
    <t>66:41:0303047</t>
  </si>
  <si>
    <t>66:41:0303028</t>
  </si>
  <si>
    <t>66:41:0303023</t>
  </si>
  <si>
    <t>66:41:0303029</t>
  </si>
  <si>
    <t>66:41:0303030</t>
  </si>
  <si>
    <t>66:41:0303048</t>
  </si>
  <si>
    <t>66:41:0303049</t>
  </si>
  <si>
    <t>66:41:0303050</t>
  </si>
  <si>
    <t>66:41:0303055</t>
  </si>
  <si>
    <t>66:41:0303056</t>
  </si>
  <si>
    <t>66:41:0303057</t>
  </si>
  <si>
    <t>66:41:0305005</t>
  </si>
  <si>
    <t>66:41:0305007</t>
  </si>
  <si>
    <t>66:41:0306085</t>
  </si>
  <si>
    <t>66:41:0303114</t>
  </si>
  <si>
    <t>66:41:0303098</t>
  </si>
  <si>
    <t>66:41:0303105</t>
  </si>
  <si>
    <t>66:41:0303110</t>
  </si>
  <si>
    <t>66:41:0303112</t>
  </si>
  <si>
    <t>66:41:0303113</t>
  </si>
  <si>
    <t>66:41:0303115</t>
  </si>
  <si>
    <t>66:41:0303116</t>
  </si>
  <si>
    <t>66:41:0303117</t>
  </si>
  <si>
    <t>66:41:0303118</t>
  </si>
  <si>
    <t>66:41:0303119</t>
  </si>
  <si>
    <t>66:41:0303157</t>
  </si>
  <si>
    <t>66:41:0303158</t>
  </si>
  <si>
    <t>66:41:0303137</t>
  </si>
  <si>
    <t>66:41:0303138</t>
  </si>
  <si>
    <t>66:41:0303140</t>
  </si>
  <si>
    <t>66:41:0303142</t>
  </si>
  <si>
    <t>66:41:0304030</t>
  </si>
  <si>
    <t>66:41:0306009</t>
  </si>
  <si>
    <t>66:41:0306013</t>
  </si>
  <si>
    <t>66:62:0504008</t>
  </si>
  <si>
    <t>66:41:0105003</t>
  </si>
  <si>
    <t>66:41:0105006</t>
  </si>
  <si>
    <t>66:41:0105010</t>
  </si>
  <si>
    <t>66:41:0105011</t>
  </si>
  <si>
    <t>66:41:0105014</t>
  </si>
  <si>
    <t>66:41:0105015</t>
  </si>
  <si>
    <t>66:41:0105016</t>
  </si>
  <si>
    <t>66:41:0105023</t>
  </si>
  <si>
    <t>66:41:0110017</t>
  </si>
  <si>
    <t>66:41:0303092</t>
  </si>
  <si>
    <t>66:41:0303058</t>
  </si>
  <si>
    <t>66:41:0303059</t>
  </si>
  <si>
    <t>66:41:0303060</t>
  </si>
  <si>
    <t>66:41:0303061</t>
  </si>
  <si>
    <t>66:41:0303062</t>
  </si>
  <si>
    <t>66:41:0303064</t>
  </si>
  <si>
    <t>66:41:0303087</t>
  </si>
  <si>
    <t>66:41:0303088</t>
  </si>
  <si>
    <t>66:41:0303089</t>
  </si>
  <si>
    <t>66:41:0303161</t>
  </si>
  <si>
    <t>66:41:0303901</t>
  </si>
  <si>
    <t>66:41:0305006</t>
  </si>
  <si>
    <t>66:41:0305017</t>
  </si>
  <si>
    <t>66:41:0305018</t>
  </si>
  <si>
    <t>66:41:0305019</t>
  </si>
  <si>
    <t>66:41:0307075</t>
  </si>
  <si>
    <t>66:41:0307076</t>
  </si>
  <si>
    <t>66:41:0307078</t>
  </si>
  <si>
    <t>66:41:0306053</t>
  </si>
  <si>
    <t>66:41:0002001</t>
  </si>
  <si>
    <t>66:41:0303902</t>
  </si>
  <si>
    <t>66:41:0305011</t>
  </si>
  <si>
    <t>66:41:0305012</t>
  </si>
  <si>
    <t>66:41:0305023</t>
  </si>
  <si>
    <t>66:41:0305156</t>
  </si>
  <si>
    <t>66:41:0306003</t>
  </si>
  <si>
    <t>66:41:0306004</t>
  </si>
  <si>
    <t>66:41:0306005</t>
  </si>
  <si>
    <t>66:41:0306006</t>
  </si>
  <si>
    <t>66:41:0306007</t>
  </si>
  <si>
    <t>66:41:0306012</t>
  </si>
  <si>
    <t>66:41:0306025</t>
  </si>
  <si>
    <t>66:41:0306027</t>
  </si>
  <si>
    <t>66:41:0306028</t>
  </si>
  <si>
    <t>66:41:0306029</t>
  </si>
  <si>
    <t>66:41:0204041</t>
  </si>
  <si>
    <t>66:41:0204054</t>
  </si>
  <si>
    <t>66:41:0204018</t>
  </si>
  <si>
    <t>66:41:0204019</t>
  </si>
  <si>
    <t>66:41:0204032</t>
  </si>
  <si>
    <t>66:41:0204052</t>
  </si>
  <si>
    <t>66:41:0204053</t>
  </si>
  <si>
    <t>66:41:0204056</t>
  </si>
  <si>
    <t>66:41:0305001</t>
  </si>
  <si>
    <t>66:41:0305021</t>
  </si>
  <si>
    <t>66:41:0305009</t>
  </si>
  <si>
    <t>66:41:0305010</t>
  </si>
  <si>
    <t>66:41:0305013</t>
  </si>
  <si>
    <t>66:41:0305014</t>
  </si>
  <si>
    <t>66:41:0305015</t>
  </si>
  <si>
    <t>66:41:0305016</t>
  </si>
  <si>
    <t>66:41:0305020</t>
  </si>
  <si>
    <t>66:41:0305901</t>
  </si>
  <si>
    <t>66:41:0306023</t>
  </si>
  <si>
    <t>66:41:0306001</t>
  </si>
  <si>
    <t>66:41:0306002</t>
  </si>
  <si>
    <t>66:41:0306010</t>
  </si>
  <si>
    <t>66:41:0306015</t>
  </si>
  <si>
    <t>66:41:0306016</t>
  </si>
  <si>
    <t>66:41:0306017</t>
  </si>
  <si>
    <t>66:41:0306018</t>
  </si>
  <si>
    <t>66:41:0306019</t>
  </si>
  <si>
    <t>66:41:0306020</t>
  </si>
  <si>
    <t>66:41:0306021</t>
  </si>
  <si>
    <t>66:41:0306024</t>
  </si>
  <si>
    <t>66:41:0306026</t>
  </si>
  <si>
    <t>66:41:0306030</t>
  </si>
  <si>
    <t>66:41:0306036</t>
  </si>
  <si>
    <t>66:41:0306052</t>
  </si>
  <si>
    <t>66:41:0306108</t>
  </si>
  <si>
    <t>66:41:0306902</t>
  </si>
  <si>
    <t>66:41:0504021</t>
  </si>
  <si>
    <t>66:41:0504001</t>
  </si>
  <si>
    <t>66:41:0504013</t>
  </si>
  <si>
    <t>66:41:0504014</t>
  </si>
  <si>
    <t>66:41:0504015</t>
  </si>
  <si>
    <t>66:41:0504016</t>
  </si>
  <si>
    <t>66:41:0504017</t>
  </si>
  <si>
    <t>66:41:0504018</t>
  </si>
  <si>
    <t>66:41:0504019</t>
  </si>
  <si>
    <t>66:41:0504020</t>
  </si>
  <si>
    <t>66:41:0504026</t>
  </si>
  <si>
    <t>66:41:0511003</t>
  </si>
  <si>
    <t>66:41:0402031</t>
  </si>
  <si>
    <t>66:41:0402901</t>
  </si>
  <si>
    <t>66:41:0403010</t>
  </si>
  <si>
    <t>66:41:0403011</t>
  </si>
  <si>
    <t>66:41:0403012</t>
  </si>
  <si>
    <t>66:41:0403013</t>
  </si>
  <si>
    <t>66:41:0403014</t>
  </si>
  <si>
    <t>66:41:0403043</t>
  </si>
  <si>
    <t>66:41:0403044</t>
  </si>
  <si>
    <t>66:41:0403050</t>
  </si>
  <si>
    <t>66:41:0403059</t>
  </si>
  <si>
    <t>66:41:0402034</t>
  </si>
  <si>
    <t>66:41:0403045</t>
  </si>
  <si>
    <t>66:41:0403051</t>
  </si>
  <si>
    <t>66:41:0403052</t>
  </si>
  <si>
    <t>66:41:0403053</t>
  </si>
  <si>
    <t>66:41:0403054</t>
  </si>
  <si>
    <t>66:41:0403055</t>
  </si>
  <si>
    <t>66:41:0403056</t>
  </si>
  <si>
    <t>66:41:0403057</t>
  </si>
  <si>
    <t>66:41:0403058</t>
  </si>
  <si>
    <t>66:41:0403060</t>
  </si>
  <si>
    <t>66:41:0403061</t>
  </si>
  <si>
    <t>66:41:0403062</t>
  </si>
  <si>
    <t>66:41:0403074</t>
  </si>
  <si>
    <t>66:41:0403041</t>
  </si>
  <si>
    <t>66:41:0403006</t>
  </si>
  <si>
    <t>66:41:0403008</t>
  </si>
  <si>
    <t>66:41:0403009</t>
  </si>
  <si>
    <t>66:41:0403029</t>
  </si>
  <si>
    <t>66:41:0403032</t>
  </si>
  <si>
    <t>66:41:0403033</t>
  </si>
  <si>
    <t>66:41:0403034</t>
  </si>
  <si>
    <t>66:41:0403036</t>
  </si>
  <si>
    <t>66:41:0403037</t>
  </si>
  <si>
    <t>66:41:0403038</t>
  </si>
  <si>
    <t>66:41:0403039</t>
  </si>
  <si>
    <t>66:41:0403040</t>
  </si>
  <si>
    <t>66:41:0403042</t>
  </si>
  <si>
    <t>66:41:0403046</t>
  </si>
  <si>
    <t>66:41:0403047</t>
  </si>
  <si>
    <t>66:41:0403048</t>
  </si>
  <si>
    <t>66:41:0403049</t>
  </si>
  <si>
    <t>66:41:0504004</t>
  </si>
  <si>
    <t>66:41:0511032</t>
  </si>
  <si>
    <t>66:41:0403026</t>
  </si>
  <si>
    <t>66:41:0403025</t>
  </si>
  <si>
    <t>66:41:0403019</t>
  </si>
  <si>
    <t>66:41:0403021</t>
  </si>
  <si>
    <t>66:41:0403022</t>
  </si>
  <si>
    <t>66:41:0403023</t>
  </si>
  <si>
    <t>66:41:0403024</t>
  </si>
  <si>
    <t>66:41:0403027</t>
  </si>
  <si>
    <t>66:41:0403028</t>
  </si>
  <si>
    <t>66:41:0403030</t>
  </si>
  <si>
    <t>66:41:0403031</t>
  </si>
  <si>
    <t>66:41:0403035</t>
  </si>
  <si>
    <t>66:41:0403073</t>
  </si>
  <si>
    <t>66:41:0403077</t>
  </si>
  <si>
    <t>66:41:0403079</t>
  </si>
  <si>
    <t>66:41:0403083</t>
  </si>
  <si>
    <t>66:41:0313006</t>
  </si>
  <si>
    <t>66:41:0403017</t>
  </si>
  <si>
    <t>66:41:0403081</t>
  </si>
  <si>
    <t>66:41:0403082</t>
  </si>
  <si>
    <t>66:41:0404004</t>
  </si>
  <si>
    <t>66:41:0404006</t>
  </si>
  <si>
    <t>66:41:0404007</t>
  </si>
  <si>
    <t>66:41:0404008</t>
  </si>
  <si>
    <t>66:41:0404009</t>
  </si>
  <si>
    <t>66:41:0510060</t>
  </si>
  <si>
    <t>66:41:0510001</t>
  </si>
  <si>
    <t>66:41:0510002</t>
  </si>
  <si>
    <t>66:41:0510003</t>
  </si>
  <si>
    <t>66:41:0510004</t>
  </si>
  <si>
    <t>66:41:0510027</t>
  </si>
  <si>
    <t>66:41:0510057</t>
  </si>
  <si>
    <t>66:41:0510058</t>
  </si>
  <si>
    <t>66:41:0510059</t>
  </si>
  <si>
    <t>66:41:0510061</t>
  </si>
  <si>
    <t>66:41:0510062</t>
  </si>
  <si>
    <t>66:41:0510063</t>
  </si>
  <si>
    <t>66:41:0510064</t>
  </si>
  <si>
    <t>66:41:0510065</t>
  </si>
  <si>
    <t>66:41:0510069</t>
  </si>
  <si>
    <t>66:41:0403072</t>
  </si>
  <si>
    <t>66:41:0403020</t>
  </si>
  <si>
    <t>66:41:0403064</t>
  </si>
  <si>
    <t>66:41:0403066</t>
  </si>
  <si>
    <t>66:41:0403067</t>
  </si>
  <si>
    <t>66:41:0403068</t>
  </si>
  <si>
    <t>66:41:0403069</t>
  </si>
  <si>
    <t>66:41:0403070</t>
  </si>
  <si>
    <t>66:41:0403071</t>
  </si>
  <si>
    <t>66:41:0403075</t>
  </si>
  <si>
    <t>66:41:0403076</t>
  </si>
  <si>
    <t>66:41:0403901</t>
  </si>
  <si>
    <t>66:41:0404001</t>
  </si>
  <si>
    <t>66:41:0404002</t>
  </si>
  <si>
    <t>66:41:0404003</t>
  </si>
  <si>
    <t>66:41:0309066</t>
  </si>
  <si>
    <t>66:41:0510050</t>
  </si>
  <si>
    <t>66:41:0510039</t>
  </si>
  <si>
    <t>66:41:0510042</t>
  </si>
  <si>
    <t>66:41:0510043</t>
  </si>
  <si>
    <t>66:41:0510044</t>
  </si>
  <si>
    <t>66:41:0510046</t>
  </si>
  <si>
    <t>66:41:0510047</t>
  </si>
  <si>
    <t>66:41:0510048</t>
  </si>
  <si>
    <t>66:41:0510049</t>
  </si>
  <si>
    <t>66:41:0510051</t>
  </si>
  <si>
    <t>66:41:0510053</t>
  </si>
  <si>
    <t>66:41:0510054</t>
  </si>
  <si>
    <t>66:41:0510055</t>
  </si>
  <si>
    <t>66:41:0510056</t>
  </si>
  <si>
    <t>66:41:0510070</t>
  </si>
  <si>
    <t>66:41:0510020</t>
  </si>
  <si>
    <t>66:41:0510023</t>
  </si>
  <si>
    <t>66:41:0510030</t>
  </si>
  <si>
    <t>66:41:0510032</t>
  </si>
  <si>
    <t>66:41:0510033</t>
  </si>
  <si>
    <t>66:41:0510034</t>
  </si>
  <si>
    <t>66:41:0510036</t>
  </si>
  <si>
    <t>66:41:0510037</t>
  </si>
  <si>
    <t>66:41:0510038</t>
  </si>
  <si>
    <t>66:41:0510040</t>
  </si>
  <si>
    <t>66:41:0510041</t>
  </si>
  <si>
    <t>66:41:0510045</t>
  </si>
  <si>
    <t>66:41:0510052</t>
  </si>
  <si>
    <t>66:41:0510066</t>
  </si>
  <si>
    <t>66:41:0510067</t>
  </si>
  <si>
    <t>66:41:0510902</t>
  </si>
  <si>
    <t>66:41:0404019</t>
  </si>
  <si>
    <t>66:41:0404012</t>
  </si>
  <si>
    <t>66:41:0404010</t>
  </si>
  <si>
    <t>66:41:0404011</t>
  </si>
  <si>
    <t>66:41:0404014</t>
  </si>
  <si>
    <t>66:41:0404015</t>
  </si>
  <si>
    <t>66:41:0404017</t>
  </si>
  <si>
    <t>66:41:0404018</t>
  </si>
  <si>
    <t>66:41:0404901</t>
  </si>
  <si>
    <t>66:41:0510024</t>
  </si>
  <si>
    <t>66:41:0510019</t>
  </si>
  <si>
    <t>66:41:0510021</t>
  </si>
  <si>
    <t>66:41:0510022</t>
  </si>
  <si>
    <t>66:41:0510025</t>
  </si>
  <si>
    <t>66:41:0510026</t>
  </si>
  <si>
    <t>66:41:0510028</t>
  </si>
  <si>
    <t>66:41:0510029</t>
  </si>
  <si>
    <t>66:41:0510031</t>
  </si>
  <si>
    <t>66:41:0510035</t>
  </si>
  <si>
    <t>66:41:0510071</t>
  </si>
  <si>
    <t>66:41:0510018</t>
  </si>
  <si>
    <t>66:41:0510005</t>
  </si>
  <si>
    <t>66:41:0510006</t>
  </si>
  <si>
    <t>66:41:0510007</t>
  </si>
  <si>
    <t>66:41:0510008</t>
  </si>
  <si>
    <t>66:41:0510009</t>
  </si>
  <si>
    <t>66:41:0510010</t>
  </si>
  <si>
    <t>66:41:0510011</t>
  </si>
  <si>
    <t>66:41:0510012</t>
  </si>
  <si>
    <t>66:41:0510013</t>
  </si>
  <si>
    <t>66:41:0510014</t>
  </si>
  <si>
    <t>66:41:0510015</t>
  </si>
  <si>
    <t>66:41:0510016</t>
  </si>
  <si>
    <t>66:41:0510017</t>
  </si>
  <si>
    <t>66:41:0510901</t>
  </si>
  <si>
    <t>66:41:0313007</t>
  </si>
  <si>
    <t>66:41:0313112</t>
  </si>
  <si>
    <t>66:41:0313113</t>
  </si>
  <si>
    <t>66:41:0313114</t>
  </si>
  <si>
    <t>66:41:0313115</t>
  </si>
  <si>
    <t>66:41:0313116</t>
  </si>
  <si>
    <t>66:41:0313117</t>
  </si>
  <si>
    <t>66:41:0313118</t>
  </si>
  <si>
    <t>66:41:0313119</t>
  </si>
  <si>
    <t>66:41:0313122</t>
  </si>
  <si>
    <t>66:41:0404016</t>
  </si>
  <si>
    <t>66:41:0404021</t>
  </si>
  <si>
    <t>66:41:0313033</t>
  </si>
  <si>
    <t>66:41:0313013</t>
  </si>
  <si>
    <t>66:41:0313030</t>
  </si>
  <si>
    <t>66:41:0313031</t>
  </si>
  <si>
    <t>66:41:0313032</t>
  </si>
  <si>
    <t>66:41:0306075</t>
  </si>
  <si>
    <t>66:41:0306011</t>
  </si>
  <si>
    <t>66:41:0306055</t>
  </si>
  <si>
    <t>66:41:0306060</t>
  </si>
  <si>
    <t>66:41:0306073</t>
  </si>
  <si>
    <t>66:41:0306074</t>
  </si>
  <si>
    <t>66:41:0306076</t>
  </si>
  <si>
    <t>66:41:0306077</t>
  </si>
  <si>
    <t>66:41:0306078</t>
  </si>
  <si>
    <t>66:41:0306079</t>
  </si>
  <si>
    <t>66:41:0306080</t>
  </si>
  <si>
    <t>66:41:0306081</t>
  </si>
  <si>
    <t>66:41:0306102</t>
  </si>
  <si>
    <t>66:41:0313001</t>
  </si>
  <si>
    <t>66:41:0313002</t>
  </si>
  <si>
    <t>66:41:0313003</t>
  </si>
  <si>
    <t>66:41:0304033</t>
  </si>
  <si>
    <t>66:41:0309074</t>
  </si>
  <si>
    <t>66:41:0309075</t>
  </si>
  <si>
    <t>66:41:0309086</t>
  </si>
  <si>
    <t>66:41:0309087</t>
  </si>
  <si>
    <t>66:41:0306125</t>
  </si>
  <si>
    <t>66:41:0306095</t>
  </si>
  <si>
    <t>66:41:0306097</t>
  </si>
  <si>
    <t>66:41:0306103</t>
  </si>
  <si>
    <t>66:41:0306104</t>
  </si>
  <si>
    <t>66:41:0306107</t>
  </si>
  <si>
    <t>66:41:0306109</t>
  </si>
  <si>
    <t>66:41:0306115</t>
  </si>
  <si>
    <t>66:41:0306117</t>
  </si>
  <si>
    <t>66:41:0306119</t>
  </si>
  <si>
    <t>66:41:0306120</t>
  </si>
  <si>
    <t>66:41:0313004</t>
  </si>
  <si>
    <t>66:41:0313005</t>
  </si>
  <si>
    <t>66:41:0313121</t>
  </si>
  <si>
    <t>66:41:0313020</t>
  </si>
  <si>
    <t>66:41:0313010</t>
  </si>
  <si>
    <t>66:41:0313028</t>
  </si>
  <si>
    <t>66:41:0313029</t>
  </si>
  <si>
    <t>66:41:0306045</t>
  </si>
  <si>
    <t>66:41:0306041</t>
  </si>
  <si>
    <t>66:41:0306043</t>
  </si>
  <si>
    <t>66:41:0306056</t>
  </si>
  <si>
    <t>66:41:0306058</t>
  </si>
  <si>
    <t>66:41:0306059</t>
  </si>
  <si>
    <t>66:41:0306061</t>
  </si>
  <si>
    <t>66:41:0306062</t>
  </si>
  <si>
    <t>66:41:0306064</t>
  </si>
  <si>
    <t>66:41:0306065</t>
  </si>
  <si>
    <t>66:41:0306067</t>
  </si>
  <si>
    <t>66:41:0306068</t>
  </si>
  <si>
    <t>66:41:0306069</t>
  </si>
  <si>
    <t>66:41:0306070</t>
  </si>
  <si>
    <t>66:41:0306071</t>
  </si>
  <si>
    <t>66:41:0306083</t>
  </si>
  <si>
    <t>66:41:0306084</t>
  </si>
  <si>
    <t>66:41:0306088</t>
  </si>
  <si>
    <t>66:41:0306126</t>
  </si>
  <si>
    <t>66:41:0306037</t>
  </si>
  <si>
    <t>66:41:0306038</t>
  </si>
  <si>
    <t>66:41:0306039</t>
  </si>
  <si>
    <t>66:41:0306040</t>
  </si>
  <si>
    <t>66:41:0306042</t>
  </si>
  <si>
    <t>66:41:0306050</t>
  </si>
  <si>
    <t>66:41:0306051</t>
  </si>
  <si>
    <t>66:41:0306054</t>
  </si>
  <si>
    <t>66:41:0306072</t>
  </si>
  <si>
    <t>66:41:0306082</t>
  </si>
  <si>
    <t>66:41:0306094</t>
  </si>
  <si>
    <t>66:41:0306123</t>
  </si>
  <si>
    <t>66:41:0306129</t>
  </si>
  <si>
    <t>66:41:0306057</t>
  </si>
  <si>
    <t>66:41:0306047</t>
  </si>
  <si>
    <t>66:41:0306044</t>
  </si>
  <si>
    <t>66:41:0306008</t>
  </si>
  <si>
    <t>66:41:0306014</t>
  </si>
  <si>
    <t>66:41:0306022</t>
  </si>
  <si>
    <t>66:41:0306031</t>
  </si>
  <si>
    <t>66:41:0306032</t>
  </si>
  <si>
    <t>66:41:0306033</t>
  </si>
  <si>
    <t>66:41:0306034</t>
  </si>
  <si>
    <t>66:41:0306035</t>
  </si>
  <si>
    <t>66:41:0306049</t>
  </si>
  <si>
    <t>66:41:0306063</t>
  </si>
  <si>
    <t>66:41:0306066</t>
  </si>
  <si>
    <t>66:41:0306090</t>
  </si>
  <si>
    <t>66:41:0306124</t>
  </si>
  <si>
    <t>66:41:0306128</t>
  </si>
  <si>
    <t>66:41:0306096</t>
  </si>
  <si>
    <t>66:41:0306048</t>
  </si>
  <si>
    <t>66:41:0306091</t>
  </si>
  <si>
    <t>66:41:0306092</t>
  </si>
  <si>
    <t>66:41:0306093</t>
  </si>
  <si>
    <t>66:41:0306099</t>
  </si>
  <si>
    <t>66:41:0306100</t>
  </si>
  <si>
    <t>66:41:0306101</t>
  </si>
  <si>
    <t>66:41:0306106</t>
  </si>
  <si>
    <t>66:41:0306901</t>
  </si>
  <si>
    <t>66:41:0309093</t>
  </si>
  <si>
    <t>66:41:0310026</t>
  </si>
  <si>
    <t>66:41:0310117</t>
  </si>
  <si>
    <t>66:41:0313026</t>
  </si>
  <si>
    <t>66:41:0313015</t>
  </si>
  <si>
    <t>66:41:0313017</t>
  </si>
  <si>
    <t>66:41:0313018</t>
  </si>
  <si>
    <t>66:41:0313019</t>
  </si>
  <si>
    <t>66:41:0313024</t>
  </si>
  <si>
    <t>66:41:0313025</t>
  </si>
  <si>
    <t>66:41:0313027</t>
  </si>
  <si>
    <t>66:41:0313093</t>
  </si>
  <si>
    <t>sw2</t>
  </si>
  <si>
    <t>66:41:0313094</t>
  </si>
  <si>
    <t>66:41:0313095</t>
  </si>
  <si>
    <t>66:41:0313098</t>
  </si>
  <si>
    <t>66:41:0306086</t>
  </si>
  <si>
    <t>66:41:0306087</t>
  </si>
  <si>
    <t>66:41:0306105</t>
  </si>
  <si>
    <t>66:41:0306113</t>
  </si>
  <si>
    <t>66:41:0306114</t>
  </si>
  <si>
    <t>66:41:0306116</t>
  </si>
  <si>
    <t>66:41:0306118</t>
  </si>
  <si>
    <t>66:41:0306121</t>
  </si>
  <si>
    <t>66:41:0306122</t>
  </si>
  <si>
    <t>66:41:0306130</t>
  </si>
  <si>
    <t>66:41:0306131</t>
  </si>
  <si>
    <t>66:41:0310005</t>
  </si>
  <si>
    <t>66:41:0310016</t>
  </si>
  <si>
    <t>66:41:0310024</t>
  </si>
  <si>
    <t>66:41:0306089</t>
  </si>
  <si>
    <t>66:41:0306903</t>
  </si>
  <si>
    <t>66:41:0310004</t>
  </si>
  <si>
    <t>66:41:0310019</t>
  </si>
  <si>
    <t>66:41:0310040</t>
  </si>
  <si>
    <t>66:41:0310041</t>
  </si>
  <si>
    <t>66:41:0313009</t>
  </si>
  <si>
    <t>66:41:0518001</t>
  </si>
  <si>
    <t>66:41:0518026</t>
  </si>
  <si>
    <t>66:41:0518030</t>
  </si>
  <si>
    <t>66:25:0319001</t>
  </si>
  <si>
    <t>66:41:0513081</t>
  </si>
  <si>
    <t>66:41:0513077</t>
  </si>
  <si>
    <t>66:41:0513005</t>
  </si>
  <si>
    <t>66:41:0513071</t>
  </si>
  <si>
    <t>66:41:0513072</t>
  </si>
  <si>
    <t>66:41:0513073</t>
  </si>
  <si>
    <t>66:41:0513074</t>
  </si>
  <si>
    <t>66:41:0513075</t>
  </si>
  <si>
    <t>66:41:0513082</t>
  </si>
  <si>
    <t>66:41:0513088</t>
  </si>
  <si>
    <t>66:41:0513089</t>
  </si>
  <si>
    <t>66:41:0513090</t>
  </si>
  <si>
    <t>66:41:0513097</t>
  </si>
  <si>
    <t>66:41:0519056</t>
  </si>
  <si>
    <t>66:41:0519053</t>
  </si>
  <si>
    <t>66:41:0519031</t>
  </si>
  <si>
    <t>66:41:0519032</t>
  </si>
  <si>
    <t>66:41:0519033</t>
  </si>
  <si>
    <t>66:41:0519034</t>
  </si>
  <si>
    <t>66:41:0519035</t>
  </si>
  <si>
    <t>66:41:0519037</t>
  </si>
  <si>
    <t>66:41:0519038</t>
  </si>
  <si>
    <t>66:41:0519039</t>
  </si>
  <si>
    <t>66:41:0519040</t>
  </si>
  <si>
    <t>66:41:0519047</t>
  </si>
  <si>
    <t>66:41:0519051</t>
  </si>
  <si>
    <t>66:41:0519052</t>
  </si>
  <si>
    <t>66:41:0519054</t>
  </si>
  <si>
    <t>66:41:0519055</t>
  </si>
  <si>
    <t>66:41:0519072</t>
  </si>
  <si>
    <t>66:41:0519122</t>
  </si>
  <si>
    <t>66:41:0519095</t>
  </si>
  <si>
    <t>66:41:0519099</t>
  </si>
  <si>
    <t>66:41:0519100</t>
  </si>
  <si>
    <t>66:41:0519103</t>
  </si>
  <si>
    <t>66:41:0519104</t>
  </si>
  <si>
    <t>66:41:0519105</t>
  </si>
  <si>
    <t>66:41:0519115</t>
  </si>
  <si>
    <t>66:41:0519116</t>
  </si>
  <si>
    <t>66:41:0519123</t>
  </si>
  <si>
    <t>66:41:0513043</t>
  </si>
  <si>
    <t>66:41:0513048</t>
  </si>
  <si>
    <t>66:41:0519017</t>
  </si>
  <si>
    <t>66:41:0519050</t>
  </si>
  <si>
    <t>66:41:0519070</t>
  </si>
  <si>
    <t>66:41:0519071</t>
  </si>
  <si>
    <t>66:41:0519082</t>
  </si>
  <si>
    <t>66:41:0519083</t>
  </si>
  <si>
    <t>66:41:0519113</t>
  </si>
  <si>
    <t>66:41:0519120</t>
  </si>
  <si>
    <t>66:41:0519121</t>
  </si>
  <si>
    <t>66:41:0519125</t>
  </si>
  <si>
    <t>66:41:0519126</t>
  </si>
  <si>
    <t>66:41:0519079</t>
  </si>
  <si>
    <t>66:41:0519044</t>
  </si>
  <si>
    <t>66:41:0519057</t>
  </si>
  <si>
    <t>66:41:0519062</t>
  </si>
  <si>
    <t>66:41:0519068</t>
  </si>
  <si>
    <t>66:41:0519069</t>
  </si>
  <si>
    <t>66:41:0519080</t>
  </si>
  <si>
    <t>66:41:0519081</t>
  </si>
  <si>
    <t>66:41:0519094</t>
  </si>
  <si>
    <t>66:41:0519096</t>
  </si>
  <si>
    <t>66:41:0519114</t>
  </si>
  <si>
    <t>66:41:0519119</t>
  </si>
  <si>
    <t>66:41:0519021</t>
  </si>
  <si>
    <t>66:41:0519014</t>
  </si>
  <si>
    <t>66:41:0519005</t>
  </si>
  <si>
    <t>66:41:0519006</t>
  </si>
  <si>
    <t>66:41:0519007</t>
  </si>
  <si>
    <t>66:41:0519013</t>
  </si>
  <si>
    <t>66:41:0519015</t>
  </si>
  <si>
    <t>66:41:0519020</t>
  </si>
  <si>
    <t>66:41:0519022</t>
  </si>
  <si>
    <t>66:41:0519023</t>
  </si>
  <si>
    <t>66:41:0519027</t>
  </si>
  <si>
    <t>66:41:0519028</t>
  </si>
  <si>
    <t>66:41:0519029</t>
  </si>
  <si>
    <t>66:41:0519045</t>
  </si>
  <si>
    <t>66:41:0519046</t>
  </si>
  <si>
    <t>66:41:0519091</t>
  </si>
  <si>
    <t>66:41:0513003</t>
  </si>
  <si>
    <t>66:41:0513091</t>
  </si>
  <si>
    <t>66:41:0513098</t>
  </si>
  <si>
    <t>66:41:0513099</t>
  </si>
  <si>
    <t>66:41:0513101</t>
  </si>
  <si>
    <t>66:41:0513102</t>
  </si>
  <si>
    <t>66:41:0513105</t>
  </si>
  <si>
    <t>66:41:0514015</t>
  </si>
  <si>
    <t>66:41:0514032</t>
  </si>
  <si>
    <t>66:41:0514033</t>
  </si>
  <si>
    <t>66:41:0514044</t>
  </si>
  <si>
    <t>66:41:0514045</t>
  </si>
  <si>
    <t>66:41:0514046</t>
  </si>
  <si>
    <t>66:41:0514047</t>
  </si>
  <si>
    <t>66:41:0514048</t>
  </si>
  <si>
    <t>66:41:0527001</t>
  </si>
  <si>
    <t>66:41:0527002</t>
  </si>
  <si>
    <t>66:41:0519092</t>
  </si>
  <si>
    <t>66:41:0519004</t>
  </si>
  <si>
    <t>66:41:0519011</t>
  </si>
  <si>
    <t>66:41:0519030</t>
  </si>
  <si>
    <t>66:41:0519036</t>
  </si>
  <si>
    <t>66:41:0519049</t>
  </si>
  <si>
    <t>66:41:0519063</t>
  </si>
  <si>
    <t>66:41:0519077</t>
  </si>
  <si>
    <t>66:41:0519078</t>
  </si>
  <si>
    <t>66:41:0519087</t>
  </si>
  <si>
    <t>66:41:0519093</t>
  </si>
  <si>
    <t>66:41:0519110</t>
  </si>
  <si>
    <t>66:41:0519111</t>
  </si>
  <si>
    <t>66:41:0519112</t>
  </si>
  <si>
    <t>66:41:0519117</t>
  </si>
  <si>
    <t>66:41:0519118</t>
  </si>
  <si>
    <t>66:41:0519124</t>
  </si>
  <si>
    <t>66:41:0519127</t>
  </si>
  <si>
    <t>66:41:0519019</t>
  </si>
  <si>
    <t>66:41:0519001</t>
  </si>
  <si>
    <t>66:41:0519002</t>
  </si>
  <si>
    <t>66:41:0519003</t>
  </si>
  <si>
    <t>66:41:0519009</t>
  </si>
  <si>
    <t>66:41:0519010</t>
  </si>
  <si>
    <t>66:41:0519012</t>
  </si>
  <si>
    <t>66:41:0519016</t>
  </si>
  <si>
    <t>66:41:0519018</t>
  </si>
  <si>
    <t>66:41:0519026</t>
  </si>
  <si>
    <t>66:41:0519130</t>
  </si>
  <si>
    <t>66:41:0519065</t>
  </si>
  <si>
    <t>66:41:0519024</t>
  </si>
  <si>
    <t>66:41:0519025</t>
  </si>
  <si>
    <t>66:41:0519041</t>
  </si>
  <si>
    <t>66:41:0519042</t>
  </si>
  <si>
    <t>66:41:0519043</t>
  </si>
  <si>
    <t>66:41:0519058</t>
  </si>
  <si>
    <t>66:41:0519059</t>
  </si>
  <si>
    <t>66:41:0519060</t>
  </si>
  <si>
    <t>66:41:0519061</t>
  </si>
  <si>
    <t>66:41:0519064</t>
  </si>
  <si>
    <t>66:41:0519066</t>
  </si>
  <si>
    <t>66:41:0519067</t>
  </si>
  <si>
    <t>66:41:0519131</t>
  </si>
  <si>
    <t>66:41:0519132</t>
  </si>
  <si>
    <t>66:41:0519133</t>
  </si>
  <si>
    <t>66:41:0519901</t>
  </si>
  <si>
    <t>66:41:0519048</t>
  </si>
  <si>
    <t>66:41:0519073</t>
  </si>
  <si>
    <t>66:41:0519074</t>
  </si>
  <si>
    <t>66:41:0519075</t>
  </si>
  <si>
    <t>66:41:0519076</t>
  </si>
  <si>
    <t>66:41:0519084</t>
  </si>
  <si>
    <t>66:41:0519085</t>
  </si>
  <si>
    <t>66:41:0519086</t>
  </si>
  <si>
    <t>66:41:0519088</t>
  </si>
  <si>
    <t>66:41:0519089</t>
  </si>
  <si>
    <t>66:41:0519090</t>
  </si>
  <si>
    <t>66:41:0523006</t>
  </si>
  <si>
    <t>66:41:0523001</t>
  </si>
  <si>
    <t>66:41:0523002</t>
  </si>
  <si>
    <t>66:41:0523003</t>
  </si>
  <si>
    <t>66:41:0523004</t>
  </si>
  <si>
    <t>66:41:0523005</t>
  </si>
  <si>
    <t>66:41:0523007</t>
  </si>
  <si>
    <t>66:41:0523008</t>
  </si>
  <si>
    <t>66:41:0523009</t>
  </si>
  <si>
    <t>66:41:0523901</t>
  </si>
  <si>
    <t>66:41:0524001</t>
  </si>
  <si>
    <t>66:41:0524002</t>
  </si>
  <si>
    <t>66:41:0524003</t>
  </si>
  <si>
    <t>66:41:0524004</t>
  </si>
  <si>
    <t>66:41:0524005</t>
  </si>
  <si>
    <t>66:41:0524006</t>
  </si>
  <si>
    <t>66:41:0524901</t>
  </si>
  <si>
    <t>66:41:0513035</t>
  </si>
  <si>
    <t>66:41:0513511</t>
  </si>
  <si>
    <t>66:41:0519008</t>
  </si>
  <si>
    <t>66:41:0513006</t>
  </si>
  <si>
    <t>66:41:0513045</t>
  </si>
  <si>
    <t>66:41:0513055</t>
  </si>
  <si>
    <t>66:41:0513059</t>
  </si>
  <si>
    <t>66:41:0513066</t>
  </si>
  <si>
    <t>66:41:0513067</t>
  </si>
  <si>
    <t>66:41:0513070</t>
  </si>
  <si>
    <t>66:41:0513078</t>
  </si>
  <si>
    <t>66:41:0513079</t>
  </si>
  <si>
    <t>66:41:0513080</t>
  </si>
  <si>
    <t>66:41:0513086</t>
  </si>
  <si>
    <t>66:41:0513087</t>
  </si>
  <si>
    <t>66:41:0513094</t>
  </si>
  <si>
    <t>66:41:0513096</t>
  </si>
  <si>
    <t>66:41:0513001</t>
  </si>
  <si>
    <t>66:41:0513002</t>
  </si>
  <si>
    <t>66:41:0513104</t>
  </si>
  <si>
    <t>66:41:0513110</t>
  </si>
  <si>
    <t>66:41:0513111</t>
  </si>
  <si>
    <t>66:41:0513507</t>
  </si>
  <si>
    <t>66:41:0513508</t>
  </si>
  <si>
    <t>66:41:0513509</t>
  </si>
  <si>
    <t>66:41:0513032</t>
  </si>
  <si>
    <t>66:41:0513033</t>
  </si>
  <si>
    <t>66:41:0513036</t>
  </si>
  <si>
    <t>66:41:0513126</t>
  </si>
  <si>
    <t>66:41:0513120</t>
  </si>
  <si>
    <t>66:41:0513113</t>
  </si>
  <si>
    <t>66:41:0513114</t>
  </si>
  <si>
    <t>66:41:0513115</t>
  </si>
  <si>
    <t>66:41:0513116</t>
  </si>
  <si>
    <t>66:41:0513117</t>
  </si>
  <si>
    <t>66:41:0513118</t>
  </si>
  <si>
    <t>66:41:0513119</t>
  </si>
  <si>
    <t>66:41:0513121</t>
  </si>
  <si>
    <t>66:41:0513122</t>
  </si>
  <si>
    <t>66:41:0513123</t>
  </si>
  <si>
    <t>66:41:0513124</t>
  </si>
  <si>
    <t>66:41:0513125</t>
  </si>
  <si>
    <t>66:41:0513128</t>
  </si>
  <si>
    <t>66:41:0513129</t>
  </si>
  <si>
    <t>66:41:0513062</t>
  </si>
  <si>
    <t>66:41:0513060</t>
  </si>
  <si>
    <t>66:41:0513061</t>
  </si>
  <si>
    <t>66:41:0513063</t>
  </si>
  <si>
    <t>66:41:0513064</t>
  </si>
  <si>
    <t>66:41:0513083</t>
  </si>
  <si>
    <t>66:41:0513092</t>
  </si>
  <si>
    <t>66:41:0513093</t>
  </si>
  <si>
    <t>66:41:0513127</t>
  </si>
  <si>
    <t>66:41:0517006</t>
  </si>
  <si>
    <t>66:41:0513027</t>
  </si>
  <si>
    <t>66:41:0513026</t>
  </si>
  <si>
    <t>66:41:0513054</t>
  </si>
  <si>
    <t>66:41:0513130</t>
  </si>
  <si>
    <t>66:41:0517001</t>
  </si>
  <si>
    <t>66:41:0517002</t>
  </si>
  <si>
    <t>66:41:0517003</t>
  </si>
  <si>
    <t>66:41:0517004</t>
  </si>
  <si>
    <t>66:41:0517005</t>
  </si>
  <si>
    <t>66:41:0513011</t>
  </si>
  <si>
    <t>66:41:0513012</t>
  </si>
  <si>
    <t>66:41:0513015</t>
  </si>
  <si>
    <t>66:41:0513016</t>
  </si>
  <si>
    <t>66:41:0513020</t>
  </si>
  <si>
    <t>66:41:0513021</t>
  </si>
  <si>
    <t>66:41:0513022</t>
  </si>
  <si>
    <t>66:41:0513025</t>
  </si>
  <si>
    <t>66:41:0513053</t>
  </si>
  <si>
    <t>66:41:0513024</t>
  </si>
  <si>
    <t>66:41:0512028</t>
  </si>
  <si>
    <t>66:41:0512022</t>
  </si>
  <si>
    <t>66:41:0512023</t>
  </si>
  <si>
    <t>66:41:0512029</t>
  </si>
  <si>
    <t>66:41:0512035</t>
  </si>
  <si>
    <t>66:41:0512036</t>
  </si>
  <si>
    <t>66:41:0512037</t>
  </si>
  <si>
    <t>66:41:0512042</t>
  </si>
  <si>
    <t>66:41:0513018</t>
  </si>
  <si>
    <t>66:41:0513019</t>
  </si>
  <si>
    <t>66:41:0513029</t>
  </si>
  <si>
    <t>66:41:0513030</t>
  </si>
  <si>
    <t>66:41:0513058</t>
  </si>
  <si>
    <t>66:41:0513131</t>
  </si>
  <si>
    <t>66:41:0001002</t>
  </si>
  <si>
    <t>66:41:0313120</t>
  </si>
  <si>
    <t>66:41:0512012</t>
  </si>
  <si>
    <t>66:41:0513004</t>
  </si>
  <si>
    <t>66:41:0513010</t>
  </si>
  <si>
    <t>66:41:0513013</t>
  </si>
  <si>
    <t>66:41:0513014</t>
  </si>
  <si>
    <t>66:41:0513017</t>
  </si>
  <si>
    <t>66:41:0203056</t>
  </si>
  <si>
    <t>66:41:0203030</t>
  </si>
  <si>
    <t>66:41:0203031</t>
  </si>
  <si>
    <t>66:41:0203040</t>
  </si>
  <si>
    <t>66:41:0203041</t>
  </si>
  <si>
    <t>66:41:0203042</t>
  </si>
  <si>
    <t>66:41:0203043</t>
  </si>
  <si>
    <t>66:41:0203044</t>
  </si>
  <si>
    <t>66:41:0203051</t>
  </si>
  <si>
    <t>66:41:0203052</t>
  </si>
  <si>
    <t>66:41:0203053</t>
  </si>
  <si>
    <t>66:41:0203054</t>
  </si>
  <si>
    <t>66:41:0203057</t>
  </si>
  <si>
    <t>66:41:0203058</t>
  </si>
  <si>
    <t>66:41:0203061</t>
  </si>
  <si>
    <t>66:41:0203062</t>
  </si>
  <si>
    <t>66:41:0204014</t>
  </si>
  <si>
    <t>66:41:0203075</t>
  </si>
  <si>
    <t>66:41:0203059</t>
  </si>
  <si>
    <t>66:41:0203060</t>
  </si>
  <si>
    <t>66:41:0203066</t>
  </si>
  <si>
    <t>66:41:0203067</t>
  </si>
  <si>
    <t>66:41:0203068</t>
  </si>
  <si>
    <t>66:41:0203069</t>
  </si>
  <si>
    <t>66:41:0203070</t>
  </si>
  <si>
    <t>66:41:0203071</t>
  </si>
  <si>
    <t>66:41:0203072</t>
  </si>
  <si>
    <t>66:41:0203073</t>
  </si>
  <si>
    <t>66:41:0203079</t>
  </si>
  <si>
    <t>66:41:0203065</t>
  </si>
  <si>
    <t>66:41:0203022</t>
  </si>
  <si>
    <t>66:41:0203023</t>
  </si>
  <si>
    <t>66:41:0203024</t>
  </si>
  <si>
    <t>66:41:0203025</t>
  </si>
  <si>
    <t>66:41:0203032</t>
  </si>
  <si>
    <t>66:41:0203033</t>
  </si>
  <si>
    <t>66:41:0203034</t>
  </si>
  <si>
    <t>66:41:0203035</t>
  </si>
  <si>
    <t>66:41:0203046</t>
  </si>
  <si>
    <t>66:41:0203047</t>
  </si>
  <si>
    <t>66:41:0203048</t>
  </si>
  <si>
    <t>66:41:0203049</t>
  </si>
  <si>
    <t>66:41:0203063</t>
  </si>
  <si>
    <t>66:41:0203064</t>
  </si>
  <si>
    <t>66:41:0203074</t>
  </si>
  <si>
    <t>66:41:0203901</t>
  </si>
  <si>
    <t>66:41:0208006</t>
  </si>
  <si>
    <t>66:41:0307071</t>
  </si>
  <si>
    <t>66:41:0307044</t>
  </si>
  <si>
    <t>66:41:0307061</t>
  </si>
  <si>
    <t>66:41:0307070</t>
  </si>
  <si>
    <t>66:41:0307072</t>
  </si>
  <si>
    <t>66:41:0307073</t>
  </si>
  <si>
    <t>66:41:0307074</t>
  </si>
  <si>
    <t>66:41:0307077</t>
  </si>
  <si>
    <t>66:41:0307084</t>
  </si>
  <si>
    <t>66:41:0309081</t>
  </si>
  <si>
    <t>66:41:0309082</t>
  </si>
  <si>
    <t>66:41:0309083</t>
  </si>
  <si>
    <t>66:41:0309084</t>
  </si>
  <si>
    <t>66:41:0309097</t>
  </si>
  <si>
    <t>66:41:0203004</t>
  </si>
  <si>
    <t>66:41:0203005</t>
  </si>
  <si>
    <t>66:41:0203019</t>
  </si>
  <si>
    <t>66:41:0203020</t>
  </si>
  <si>
    <t>66:41:0203021</t>
  </si>
  <si>
    <t>66:41:0203045</t>
  </si>
  <si>
    <t>66:41:0203076</t>
  </si>
  <si>
    <t>66:41:0203077</t>
  </si>
  <si>
    <t>66:41:0203078</t>
  </si>
  <si>
    <t>66:41:0203009</t>
  </si>
  <si>
    <t>66:41:0203001</t>
  </si>
  <si>
    <t>66:41:0203006</t>
  </si>
  <si>
    <t>66:41:0203007</t>
  </si>
  <si>
    <t>66:41:0203008</t>
  </si>
  <si>
    <t>66:41:0203010</t>
  </si>
  <si>
    <t>66:41:0203011</t>
  </si>
  <si>
    <t>66:41:0203012</t>
  </si>
  <si>
    <t>66:41:0203013</t>
  </si>
  <si>
    <t>66:41:0203014</t>
  </si>
  <si>
    <t>66:41:0203015</t>
  </si>
  <si>
    <t>66:41:0203016</t>
  </si>
  <si>
    <t>66:41:0204002</t>
  </si>
  <si>
    <t>66:41:0204003</t>
  </si>
  <si>
    <t>66:41:0209055</t>
  </si>
  <si>
    <t>66:41:0209056</t>
  </si>
  <si>
    <t>66:41:0209057</t>
  </si>
  <si>
    <t>66:41:0203017</t>
  </si>
  <si>
    <t>66:41:0202005</t>
  </si>
  <si>
    <t>66:41:0202006</t>
  </si>
  <si>
    <t>66:41:0202007</t>
  </si>
  <si>
    <t>66:41:0203003</t>
  </si>
  <si>
    <t>66:41:0203018</t>
  </si>
  <si>
    <t>66:41:0209021</t>
  </si>
  <si>
    <t>66:41:0209022</t>
  </si>
  <si>
    <t>66:41:0209031</t>
  </si>
  <si>
    <t>66:41:0209032</t>
  </si>
  <si>
    <t>66:41:0209034</t>
  </si>
  <si>
    <t>66:41:0309080</t>
  </si>
  <si>
    <t>66:41:0309073</t>
  </si>
  <si>
    <t>66:41:0307082</t>
  </si>
  <si>
    <t>66:41:0307083</t>
  </si>
  <si>
    <t>66:41:0309053</t>
  </si>
  <si>
    <t>66:41:0309054</t>
  </si>
  <si>
    <t>66:41:0309056</t>
  </si>
  <si>
    <t>66:41:0309057</t>
  </si>
  <si>
    <t>66:41:0309068</t>
  </si>
  <si>
    <t>66:41:0309071</t>
  </si>
  <si>
    <t>66:41:0309072</t>
  </si>
  <si>
    <t>66:41:0309077</t>
  </si>
  <si>
    <t>66:41:0309078</t>
  </si>
  <si>
    <t>66:41:0309079</t>
  </si>
  <si>
    <t>66:41:0309085</t>
  </si>
  <si>
    <t>66:41:0208002</t>
  </si>
  <si>
    <t>66:41:0208005</t>
  </si>
  <si>
    <t>66:41:0208009</t>
  </si>
  <si>
    <t>66:41:0307060</t>
  </si>
  <si>
    <t>66:41:0307066</t>
  </si>
  <si>
    <t>66:41:0307067</t>
  </si>
  <si>
    <t>66:41:0307068</t>
  </si>
  <si>
    <t>66:41:0307080</t>
  </si>
  <si>
    <t>66:41:0307081</t>
  </si>
  <si>
    <t>66:41:0209039</t>
  </si>
  <si>
    <t>66:41:0209018</t>
  </si>
  <si>
    <t>ww1</t>
  </si>
  <si>
    <t>66:41:0209019</t>
  </si>
  <si>
    <t>66:41:0209020</t>
  </si>
  <si>
    <t>66:41:0209028</t>
  </si>
  <si>
    <t>66:41:0209029</t>
  </si>
  <si>
    <t>66:41:0209030</t>
  </si>
  <si>
    <t>66:41:0209033</t>
  </si>
  <si>
    <t>66:41:0209036</t>
  </si>
  <si>
    <t>66:41:0209037</t>
  </si>
  <si>
    <t>66:41:0209038</t>
  </si>
  <si>
    <t>66:41:0209040</t>
  </si>
  <si>
    <t>66:41:0209041</t>
  </si>
  <si>
    <t>66:41:0209042</t>
  </si>
  <si>
    <t>66:41:0209063</t>
  </si>
  <si>
    <t>66:41:0209104</t>
  </si>
  <si>
    <t>66:41:0201007</t>
  </si>
  <si>
    <t>66:41:0201008</t>
  </si>
  <si>
    <t>66:41:0208001</t>
  </si>
  <si>
    <t>66:41:0208003</t>
  </si>
  <si>
    <t>66:41:0208008</t>
  </si>
  <si>
    <t>66:41:0208011</t>
  </si>
  <si>
    <t>66:41:0209072</t>
  </si>
  <si>
    <t>66:41:0307059</t>
  </si>
  <si>
    <t>66:41:0307064</t>
  </si>
  <si>
    <t>66:41:0307065</t>
  </si>
  <si>
    <t>66:41:0314018</t>
  </si>
  <si>
    <t>66:41:0314003</t>
  </si>
  <si>
    <t>66:41:0309007</t>
  </si>
  <si>
    <t>66:41:0309015</t>
  </si>
  <si>
    <t>66:41:0309024</t>
  </si>
  <si>
    <t>66:41:0309052</t>
  </si>
  <si>
    <t>66:41:0309055</t>
  </si>
  <si>
    <t>66:41:0309058</t>
  </si>
  <si>
    <t>66:41:0309059</t>
  </si>
  <si>
    <t>66:41:0314001</t>
  </si>
  <si>
    <t>66:41:0314002</t>
  </si>
  <si>
    <t>66:41:0314004</t>
  </si>
  <si>
    <t>66:41:0314005</t>
  </si>
  <si>
    <t>66:41:0314014</t>
  </si>
  <si>
    <t>66:41:0314015</t>
  </si>
  <si>
    <t>66:41:0314016</t>
  </si>
  <si>
    <t>66:41:0314017</t>
  </si>
  <si>
    <t>66:41:0314901</t>
  </si>
  <si>
    <t>66:41:0209078</t>
  </si>
  <si>
    <t>66:41:0209074</t>
  </si>
  <si>
    <t>66:41:0201019</t>
  </si>
  <si>
    <t>66:41:0201002</t>
  </si>
  <si>
    <t>66:41:0201004</t>
  </si>
  <si>
    <t>66:41:0201005</t>
  </si>
  <si>
    <t>66:41:0201006</t>
  </si>
  <si>
    <t>66:41:0201012</t>
  </si>
  <si>
    <t>66:41:0201902</t>
  </si>
  <si>
    <t>66:41:0209071</t>
  </si>
  <si>
    <t>66:41:0209073</t>
  </si>
  <si>
    <t>66:41:0209075</t>
  </si>
  <si>
    <t>66:41:0209076</t>
  </si>
  <si>
    <t>66:41:0201011</t>
  </si>
  <si>
    <t>66:41:0201003</t>
  </si>
  <si>
    <t>66:41:0201009</t>
  </si>
  <si>
    <t>66:41:0201010</t>
  </si>
  <si>
    <t>66:41:0201013</t>
  </si>
  <si>
    <t>66:41:0201014</t>
  </si>
  <si>
    <t>66:41:0201015</t>
  </si>
  <si>
    <t>66:41:0201016</t>
  </si>
  <si>
    <t>66:41:0201017</t>
  </si>
  <si>
    <t>66:41:0201018</t>
  </si>
  <si>
    <t>66:41:0201901</t>
  </si>
  <si>
    <t>66:41:0208004</t>
  </si>
  <si>
    <t>66:41:0307057</t>
  </si>
  <si>
    <t>66:41:0307054</t>
  </si>
  <si>
    <t>66:41:0307013</t>
  </si>
  <si>
    <t>66:41:0307014</t>
  </si>
  <si>
    <t>66:41:0307028</t>
  </si>
  <si>
    <t>66:41:0307034</t>
  </si>
  <si>
    <t>66:41:0307050</t>
  </si>
  <si>
    <t>66:41:0307052</t>
  </si>
  <si>
    <t>66:41:0307053</t>
  </si>
  <si>
    <t>66:41:0307055</t>
  </si>
  <si>
    <t>66:41:0307056</t>
  </si>
  <si>
    <t>66:41:0307058</t>
  </si>
  <si>
    <t>66:41:0307079</t>
  </si>
  <si>
    <t>66:41:0308010</t>
  </si>
  <si>
    <t>66:41:0309008</t>
  </si>
  <si>
    <t>66:41:0309009</t>
  </si>
  <si>
    <t>66:41:0309010</t>
  </si>
  <si>
    <t>66:41:0309012</t>
  </si>
  <si>
    <t>66:41:0309021</t>
  </si>
  <si>
    <t>66:41:0309022</t>
  </si>
  <si>
    <t>66:41:0308021</t>
  </si>
  <si>
    <t>66:41:0308002</t>
  </si>
  <si>
    <t>66:41:0308003</t>
  </si>
  <si>
    <t>66:41:0308004</t>
  </si>
  <si>
    <t>66:41:0308005</t>
  </si>
  <si>
    <t>66:41:0308022</t>
  </si>
  <si>
    <t>66:41:0308009</t>
  </si>
  <si>
    <t>66:41:0307092</t>
  </si>
  <si>
    <t>66:41:0308006</t>
  </si>
  <si>
    <t>66:41:0308007</t>
  </si>
  <si>
    <t>66:41:0308008</t>
  </si>
  <si>
    <t>66:41:0308011</t>
  </si>
  <si>
    <t>66:41:0308012</t>
  </si>
  <si>
    <t>66:41:0308013</t>
  </si>
  <si>
    <t>66:41:0308014</t>
  </si>
  <si>
    <t>66:41:0308015</t>
  </si>
  <si>
    <t>66:41:0308016</t>
  </si>
  <si>
    <t>66:41:0308017</t>
  </si>
  <si>
    <t>66:41:0308018</t>
  </si>
  <si>
    <t>66:41:0308019</t>
  </si>
  <si>
    <t>66:41:0308020</t>
  </si>
  <si>
    <t>66:41:0308023</t>
  </si>
  <si>
    <t>66:41:0308901</t>
  </si>
  <si>
    <t>66:41:0209007</t>
  </si>
  <si>
    <t>66:41:0209010</t>
  </si>
  <si>
    <t>66:41:0209011</t>
  </si>
  <si>
    <t>66:41:0209012</t>
  </si>
  <si>
    <t>66:41:0209016</t>
  </si>
  <si>
    <t>66:41:0209017</t>
  </si>
  <si>
    <t>66:41:0209026</t>
  </si>
  <si>
    <t>66:41:0209027</t>
  </si>
  <si>
    <t>66:41:0209052</t>
  </si>
  <si>
    <t>66:41:0209053</t>
  </si>
  <si>
    <t>66:41:0209054</t>
  </si>
  <si>
    <t>66:41:0209069</t>
  </si>
  <si>
    <t>66:41:0209070</t>
  </si>
  <si>
    <t>66:41:0307032</t>
  </si>
  <si>
    <t>66:41:0307018</t>
  </si>
  <si>
    <t>66:41:0307019</t>
  </si>
  <si>
    <t>66:41:0307020</t>
  </si>
  <si>
    <t>66:41:0307021</t>
  </si>
  <si>
    <t>66:41:0307023</t>
  </si>
  <si>
    <t>66:41:0307024</t>
  </si>
  <si>
    <t>66:41:0307026</t>
  </si>
  <si>
    <t>66:41:0307029</t>
  </si>
  <si>
    <t>66:41:0307030</t>
  </si>
  <si>
    <t>66:41:0307031</t>
  </si>
  <si>
    <t>66:41:0307035</t>
  </si>
  <si>
    <t>66:41:0307036</t>
  </si>
  <si>
    <t>66:41:0307038</t>
  </si>
  <si>
    <t>66:41:0307040</t>
  </si>
  <si>
    <t>66:41:0307041</t>
  </si>
  <si>
    <t>66:41:0308001</t>
  </si>
  <si>
    <t>66:41:0307025</t>
  </si>
  <si>
    <t>66:41:0307043</t>
  </si>
  <si>
    <t>66:41:0307045</t>
  </si>
  <si>
    <t>66:41:0307048</t>
  </si>
  <si>
    <t>66:41:0307086</t>
  </si>
  <si>
    <t>66:41:0307088</t>
  </si>
  <si>
    <t>66:41:0307090</t>
  </si>
  <si>
    <t>66:41:0307095</t>
  </si>
  <si>
    <t>66:41:0309003</t>
  </si>
  <si>
    <t>66:41:0309004</t>
  </si>
  <si>
    <t>66:41:0309005</t>
  </si>
  <si>
    <t>66:41:0309006</t>
  </si>
  <si>
    <t>66:41:0309020</t>
  </si>
  <si>
    <t>66:41:0309100</t>
  </si>
  <si>
    <t>66:41:0201001</t>
  </si>
  <si>
    <t>66:41:0209089</t>
  </si>
  <si>
    <t>66:41:0209090</t>
  </si>
  <si>
    <t>66:41:0209100</t>
  </si>
  <si>
    <t>66:41:0209101</t>
  </si>
  <si>
    <t>66:41:0209113</t>
  </si>
  <si>
    <t>66:41:0307049</t>
  </si>
  <si>
    <t>66:41:0307099</t>
  </si>
  <si>
    <t>66:41:0307042</t>
  </si>
  <si>
    <t>66:41:0307015</t>
  </si>
  <si>
    <t>66:41:0307022</t>
  </si>
  <si>
    <t>66:41:0307089</t>
  </si>
  <si>
    <t>66:41:0307091</t>
  </si>
  <si>
    <t>66:41:0307093</t>
  </si>
  <si>
    <t>66:41:0307094</t>
  </si>
  <si>
    <t>66:41:0307096</t>
  </si>
  <si>
    <t>66:41:0307097</t>
  </si>
  <si>
    <t>66:41:0307098</t>
  </si>
  <si>
    <t>66:41:0511004</t>
  </si>
  <si>
    <t>66:41:0313103</t>
  </si>
  <si>
    <t>66:41:0511001</t>
  </si>
  <si>
    <t>66:41:0511005</t>
  </si>
  <si>
    <t>66:41:0511008</t>
  </si>
  <si>
    <t>66:41:0511009</t>
  </si>
  <si>
    <t>66:41:0511010</t>
  </si>
  <si>
    <t>66:41:0511011</t>
  </si>
  <si>
    <t>66:41:0511015</t>
  </si>
  <si>
    <t>66:41:0511016</t>
  </si>
  <si>
    <t>66:41:0511017</t>
  </si>
  <si>
    <t>66:41:0511018</t>
  </si>
  <si>
    <t>66:41:0511020</t>
  </si>
  <si>
    <t>66:41:0511029</t>
  </si>
  <si>
    <t>66:41:0511031</t>
  </si>
  <si>
    <t>66:41:0511033</t>
  </si>
  <si>
    <t>66:41:0513009</t>
  </si>
  <si>
    <t>66:41:0310011</t>
  </si>
  <si>
    <t>66:41:0310003</t>
  </si>
  <si>
    <t>66:41:0310006</t>
  </si>
  <si>
    <t>66:41:0310007</t>
  </si>
  <si>
    <t>66:41:0310008</t>
  </si>
  <si>
    <t>66:41:0310009</t>
  </si>
  <si>
    <t>66:41:0310010</t>
  </si>
  <si>
    <t>66:41:0310012</t>
  </si>
  <si>
    <t>66:41:0310015</t>
  </si>
  <si>
    <t>66:41:0310018</t>
  </si>
  <si>
    <t>66:41:0310020</t>
  </si>
  <si>
    <t>66:41:0310021</t>
  </si>
  <si>
    <t>66:41:0310023</t>
  </si>
  <si>
    <t>66:41:0313014</t>
  </si>
  <si>
    <t>66:41:0313021</t>
  </si>
  <si>
    <t>66:41:0313022</t>
  </si>
  <si>
    <t>66:41:0313023</t>
  </si>
  <si>
    <t>66:41:0313092</t>
  </si>
  <si>
    <t>66:41:0310031</t>
  </si>
  <si>
    <t>66:41:0310001</t>
  </si>
  <si>
    <t>66:41:0310014</t>
  </si>
  <si>
    <t>66:41:0310022</t>
  </si>
  <si>
    <t>66:41:0310025</t>
  </si>
  <si>
    <t>66:41:0310027</t>
  </si>
  <si>
    <t>66:41:0310028</t>
  </si>
  <si>
    <t>66:41:0310030</t>
  </si>
  <si>
    <t>66:41:0310070</t>
  </si>
  <si>
    <t>66:41:0310104</t>
  </si>
  <si>
    <t>66:41:0315001</t>
  </si>
  <si>
    <t>66:41:0315002</t>
  </si>
  <si>
    <t>66:41:0315005</t>
  </si>
  <si>
    <t>66:41:0315006</t>
  </si>
  <si>
    <t>66:41:0315008</t>
  </si>
  <si>
    <t>66:41:0315014</t>
  </si>
  <si>
    <t>66:41:0315015</t>
  </si>
  <si>
    <t>66:41:0315017</t>
  </si>
  <si>
    <t>66:41:0315013</t>
  </si>
  <si>
    <t>66:41:0309011</t>
  </si>
  <si>
    <t>66:41:0309067</t>
  </si>
  <si>
    <t>66:41:0309089</t>
  </si>
  <si>
    <t>66:41:0315003</t>
  </si>
  <si>
    <t>66:41:0315004</t>
  </si>
  <si>
    <t>66:41:0315007</t>
  </si>
  <si>
    <t>66:41:0315009</t>
  </si>
  <si>
    <t>66:41:0315010</t>
  </si>
  <si>
    <t>66:41:0315011</t>
  </si>
  <si>
    <t>66:41:0315012</t>
  </si>
  <si>
    <t>66:41:0315016</t>
  </si>
  <si>
    <t>66:41:0315901</t>
  </si>
  <si>
    <t>66:41:0310046</t>
  </si>
  <si>
    <t>66:41:0310034</t>
  </si>
  <si>
    <t>66:41:0310035</t>
  </si>
  <si>
    <t>66:41:0310036</t>
  </si>
  <si>
    <t>66:41:0310037</t>
  </si>
  <si>
    <t>66:41:0310038</t>
  </si>
  <si>
    <t>66:41:0310039</t>
  </si>
  <si>
    <t>66:41:0310042</t>
  </si>
  <si>
    <t>66:41:0310045</t>
  </si>
  <si>
    <t>66:41:0310047</t>
  </si>
  <si>
    <t>66:41:0310048</t>
  </si>
  <si>
    <t>66:41:0310101</t>
  </si>
  <si>
    <t>66:41:0309091</t>
  </si>
  <si>
    <t>66:41:0309046</t>
  </si>
  <si>
    <t>66:41:0309050</t>
  </si>
  <si>
    <t>66:41:0309051</t>
  </si>
  <si>
    <t>66:41:0309090</t>
  </si>
  <si>
    <t>66:41:0309092</t>
  </si>
  <si>
    <t>66:41:0310002</t>
  </si>
  <si>
    <t>66:41:0310013</t>
  </si>
  <si>
    <t>66:41:0310017</t>
  </si>
  <si>
    <t>66:41:0310032</t>
  </si>
  <si>
    <t>66:41:0310033</t>
  </si>
  <si>
    <t>66:41:0310118</t>
  </si>
  <si>
    <t>66:41:0310115</t>
  </si>
  <si>
    <t>sw1</t>
  </si>
  <si>
    <t>66:41:0310091</t>
  </si>
  <si>
    <t>66:41:0310044</t>
  </si>
  <si>
    <t>66:41:0310043</t>
  </si>
  <si>
    <t>66:41:0309048</t>
  </si>
  <si>
    <t>66:41:0310029</t>
  </si>
  <si>
    <t>66:41:0310100</t>
  </si>
  <si>
    <t>66:41:0310114</t>
  </si>
  <si>
    <t>66:41:0310116</t>
  </si>
  <si>
    <t>66:41:0310119</t>
  </si>
  <si>
    <t>66:41:0310120</t>
  </si>
  <si>
    <t>66:41:0310121</t>
  </si>
  <si>
    <t>66:41:0313084</t>
  </si>
  <si>
    <t>66:41:0310049</t>
  </si>
  <si>
    <t>66:41:0310050</t>
  </si>
  <si>
    <t>66:41:0310051</t>
  </si>
  <si>
    <t>66:41:0310060</t>
  </si>
  <si>
    <t>66:41:0310102</t>
  </si>
  <si>
    <t>66:41:0313008</t>
  </si>
  <si>
    <t>66:41:0313085</t>
  </si>
  <si>
    <t>66:41:0313100</t>
  </si>
  <si>
    <t>66:41:0313102</t>
  </si>
  <si>
    <t>66:41:0313108</t>
  </si>
  <si>
    <t>66:41:0511006</t>
  </si>
  <si>
    <t>66:41:0511007</t>
  </si>
  <si>
    <t>66:41:0309070</t>
  </si>
  <si>
    <t>66:41:0309013</t>
  </si>
  <si>
    <t>66:41:0309032</t>
  </si>
  <si>
    <t>66:41:0309061</t>
  </si>
  <si>
    <t>66:41:0309062</t>
  </si>
  <si>
    <t>66:41:0309063</t>
  </si>
  <si>
    <t>66:41:0309064</t>
  </si>
  <si>
    <t>66:41:0309065</t>
  </si>
  <si>
    <t>66:41:0309069</t>
  </si>
  <si>
    <t>66:41:0310108</t>
  </si>
  <si>
    <t>66:41:0309043</t>
  </si>
  <si>
    <t>66:41:0309045</t>
  </si>
  <si>
    <t>66:41:0309047</t>
  </si>
  <si>
    <t>66:41:0309049</t>
  </si>
  <si>
    <t>66:41:0309098</t>
  </si>
  <si>
    <t>66:41:0310057</t>
  </si>
  <si>
    <t>66:41:0310058</t>
  </si>
  <si>
    <t>66:41:0310105</t>
  </si>
  <si>
    <t>66:41:0310106</t>
  </si>
  <si>
    <t>66:41:0310107</t>
  </si>
  <si>
    <t>66:41:0310109</t>
  </si>
  <si>
    <t>66:41:0310110</t>
  </si>
  <si>
    <t>66:41:0310111</t>
  </si>
  <si>
    <t>66:41:0310112</t>
  </si>
  <si>
    <t>66:41:0310113</t>
  </si>
  <si>
    <t>66:41:0310901</t>
  </si>
  <si>
    <t>66:41:0511013</t>
  </si>
  <si>
    <t>66:41:0313104</t>
  </si>
  <si>
    <t>66:41:0313105</t>
  </si>
  <si>
    <t>66:41:0313106</t>
  </si>
  <si>
    <t>66:41:0511012</t>
  </si>
  <si>
    <t>66:41:0511014</t>
  </si>
  <si>
    <t>66:41:0511035</t>
  </si>
  <si>
    <t>66:41:0513007</t>
  </si>
  <si>
    <t>66:41:0513008</t>
  </si>
  <si>
    <t>66:41:0311013</t>
  </si>
  <si>
    <t>66:41:0311003</t>
  </si>
  <si>
    <t>66:41:0311006</t>
  </si>
  <si>
    <t>66:41:0311007</t>
  </si>
  <si>
    <t>66:41:0311008</t>
  </si>
  <si>
    <t>66:41:0311010</t>
  </si>
  <si>
    <t>66:41:0311011</t>
  </si>
  <si>
    <t>66:41:0311012</t>
  </si>
  <si>
    <t>66:41:0311014</t>
  </si>
  <si>
    <t>66:41:0311016</t>
  </si>
  <si>
    <t>66:41:0311017</t>
  </si>
  <si>
    <t>66:41:0313086</t>
  </si>
  <si>
    <t>66:41:0313087</t>
  </si>
  <si>
    <t>66:41:0313088</t>
  </si>
  <si>
    <t>66:41:0313097</t>
  </si>
  <si>
    <t>66:41:0313110</t>
  </si>
  <si>
    <t>66:41:0309094</t>
  </si>
  <si>
    <t>66:41:0309027</t>
  </si>
  <si>
    <t>66:41:0309028</t>
  </si>
  <si>
    <t>66:41:0309029</t>
  </si>
  <si>
    <t>66:41:0309035</t>
  </si>
  <si>
    <t>66:41:0309036</t>
  </si>
  <si>
    <t>66:41:0309042</t>
  </si>
  <si>
    <t>66:41:0309044</t>
  </si>
  <si>
    <t>66:41:0309095</t>
  </si>
  <si>
    <t>66:41:0309096</t>
  </si>
  <si>
    <t>66:41:0311901</t>
  </si>
  <si>
    <t>66:41:0310090</t>
  </si>
  <si>
    <t>66:41:0311001</t>
  </si>
  <si>
    <t>66:41:0311004</t>
  </si>
  <si>
    <t>66:41:0311005</t>
  </si>
  <si>
    <t>66:41:0311015</t>
  </si>
  <si>
    <t>66:41:0311018</t>
  </si>
  <si>
    <t>66:41:0311019</t>
  </si>
  <si>
    <t>66:41:0311020</t>
  </si>
  <si>
    <t>66:41:0309039</t>
  </si>
  <si>
    <t>66:41:0310052</t>
  </si>
  <si>
    <t>66:41:0310053</t>
  </si>
  <si>
    <t>66:41:0310054</t>
  </si>
  <si>
    <t>66:41:0310055</t>
  </si>
  <si>
    <t>66:41:0310056</t>
  </si>
  <si>
    <t>66:41:0310059</t>
  </si>
  <si>
    <t>66:41:0309041</t>
  </si>
  <si>
    <t>66:41:0310061</t>
  </si>
  <si>
    <t>66:41:0310064</t>
  </si>
  <si>
    <t>66:41:0310072</t>
  </si>
  <si>
    <t>66:41:0310077</t>
  </si>
  <si>
    <t>66:41:0310089</t>
  </si>
  <si>
    <t>66:41:0310098</t>
  </si>
  <si>
    <t>66:41:0311002</t>
  </si>
  <si>
    <t>66:41:0311009</t>
  </si>
  <si>
    <t>66:41:0313011</t>
  </si>
  <si>
    <t>66:41:0313012</t>
  </si>
  <si>
    <t>66:41:0313043</t>
  </si>
  <si>
    <t>66:41:0313107</t>
  </si>
  <si>
    <t>66:19:1909002</t>
  </si>
  <si>
    <t>Влияние Нижнего Тагила</t>
  </si>
  <si>
    <t>66:19:1907004</t>
  </si>
  <si>
    <t>66:19:1907005</t>
  </si>
  <si>
    <t>66:19:2901001</t>
  </si>
  <si>
    <t>66:19:1906002</t>
  </si>
  <si>
    <t>66:19:1906003</t>
  </si>
  <si>
    <t>66:19:1906004</t>
  </si>
  <si>
    <t>66:19:1906005</t>
  </si>
  <si>
    <t>66:19:1906006</t>
  </si>
  <si>
    <t>66:19:1906007</t>
  </si>
  <si>
    <t>66:19:1906008</t>
  </si>
  <si>
    <t>66:19:1906009</t>
  </si>
  <si>
    <t>66:19:1906010</t>
  </si>
  <si>
    <t>66:19:1906011</t>
  </si>
  <si>
    <t>66:19:1907001</t>
  </si>
  <si>
    <t>66:19:1907002</t>
  </si>
  <si>
    <t>66:19:1907003</t>
  </si>
  <si>
    <t>66:19:3101002</t>
  </si>
  <si>
    <t>66:19:1906001</t>
  </si>
  <si>
    <t>66:19:1906012</t>
  </si>
  <si>
    <t>66:19:3001001</t>
  </si>
  <si>
    <t>66:19:3101001</t>
  </si>
  <si>
    <t>66:19:3101003</t>
  </si>
  <si>
    <t>66:19:3101004</t>
  </si>
  <si>
    <t>66:19:3101005</t>
  </si>
  <si>
    <t>66:19:3101006</t>
  </si>
  <si>
    <t>66:19:3101007</t>
  </si>
  <si>
    <t>66:19:1905011</t>
  </si>
  <si>
    <t>66:19:1908002</t>
  </si>
  <si>
    <t>66:19:1905008</t>
  </si>
  <si>
    <t>66:19:1905010</t>
  </si>
  <si>
    <t>66:19:1905009</t>
  </si>
  <si>
    <t>66:19:1101005</t>
  </si>
  <si>
    <t>66:19:1101001</t>
  </si>
  <si>
    <t>66:19:1101002</t>
  </si>
  <si>
    <t>66:19:1101003</t>
  </si>
  <si>
    <t>66:19:1101004</t>
  </si>
  <si>
    <t>66:19:1101006</t>
  </si>
  <si>
    <t>66:62:0107015</t>
  </si>
  <si>
    <t>66:62:0106009</t>
  </si>
  <si>
    <t>66:62:0107011</t>
  </si>
  <si>
    <t>66:62:0107012</t>
  </si>
  <si>
    <t>66:62:0107014</t>
  </si>
  <si>
    <t>66:62:0504006</t>
  </si>
  <si>
    <t>66:62:0504007</t>
  </si>
  <si>
    <t>66:36:3501001</t>
  </si>
  <si>
    <t>66:62:0201001</t>
  </si>
  <si>
    <t>66:62:0201002</t>
  </si>
  <si>
    <t>66:62:0201003</t>
  </si>
  <si>
    <t>66:62:0201004</t>
  </si>
  <si>
    <t>66:62:0601001</t>
  </si>
  <si>
    <t>66:36:2701001</t>
  </si>
  <si>
    <t>66:36:3001001</t>
  </si>
  <si>
    <t>66:36:3101002</t>
  </si>
  <si>
    <t>66:36:1501012</t>
  </si>
  <si>
    <t>66:62:0103007</t>
  </si>
  <si>
    <t>66:62:0103001</t>
  </si>
  <si>
    <t>66:62:0103002</t>
  </si>
  <si>
    <t>66:62:0103003</t>
  </si>
  <si>
    <t>66:62:0103004</t>
  </si>
  <si>
    <t>66:62:0103005</t>
  </si>
  <si>
    <t>66:62:0103006</t>
  </si>
  <si>
    <t>66:62:0103008</t>
  </si>
  <si>
    <t>66:62:0104008</t>
  </si>
  <si>
    <t>66:62:0106001</t>
  </si>
  <si>
    <t>66:62:0106002</t>
  </si>
  <si>
    <t>66:62:0106003</t>
  </si>
  <si>
    <t>66:62:0501001</t>
  </si>
  <si>
    <t>66:36:3101015</t>
  </si>
  <si>
    <t>66:36:3401001</t>
  </si>
  <si>
    <t>66:36:3103001</t>
  </si>
  <si>
    <t>66:62:0301001</t>
  </si>
  <si>
    <t>66:62:0301002</t>
  </si>
  <si>
    <t>66:62:0301003</t>
  </si>
  <si>
    <t>66:62:0401001</t>
  </si>
  <si>
    <t>66:62:0504001</t>
  </si>
  <si>
    <t>66:62:0504002</t>
  </si>
  <si>
    <t>66:62:0504003</t>
  </si>
  <si>
    <t>66:62:0504004</t>
  </si>
  <si>
    <t>66:62:0504005</t>
  </si>
  <si>
    <t>66:36:1601001</t>
  </si>
  <si>
    <t>66:36:1601002</t>
  </si>
  <si>
    <t>66:36:3103003</t>
  </si>
  <si>
    <t>66:36:3103004</t>
  </si>
  <si>
    <t>66:36:3103005</t>
  </si>
  <si>
    <t>66:36:3103006</t>
  </si>
  <si>
    <t>66:36:3103007</t>
  </si>
  <si>
    <t>66:36:1501025</t>
  </si>
  <si>
    <t>66:36:1501020</t>
  </si>
  <si>
    <t>66:36:1501010</t>
  </si>
  <si>
    <t>66:36:1501013</t>
  </si>
  <si>
    <t>66:36:1501014</t>
  </si>
  <si>
    <t>66:36:1501015</t>
  </si>
  <si>
    <t>66:36:1501017</t>
  </si>
  <si>
    <t>66:36:1501021</t>
  </si>
  <si>
    <t>66:36:1501022</t>
  </si>
  <si>
    <t>66:36:1501023</t>
  </si>
  <si>
    <t>66:36:1501024</t>
  </si>
  <si>
    <t>66:36:1501026</t>
  </si>
  <si>
    <t>66:36:1501027</t>
  </si>
  <si>
    <t>66:36:3103002</t>
  </si>
  <si>
    <t>66:36:1501011</t>
  </si>
  <si>
    <t>66:36:1501001</t>
  </si>
  <si>
    <t>66:36:1501002</t>
  </si>
  <si>
    <t>66:36:1501003</t>
  </si>
  <si>
    <t>66:36:1501004</t>
  </si>
  <si>
    <t>66:36:1501005</t>
  </si>
  <si>
    <t>66:36:1501006</t>
  </si>
  <si>
    <t>66:36:1501007</t>
  </si>
  <si>
    <t>66:36:1501009</t>
  </si>
  <si>
    <t>66:36:3101001</t>
  </si>
  <si>
    <t>66:36:3101012</t>
  </si>
  <si>
    <t>66:36:3101013</t>
  </si>
  <si>
    <t>66:36:3101014</t>
  </si>
  <si>
    <t>66:41:0307007</t>
  </si>
  <si>
    <t>66:41:0209099</t>
  </si>
  <si>
    <t>66:41:0209111</t>
  </si>
  <si>
    <t>66:41:0209112</t>
  </si>
  <si>
    <t>66:41:0209118</t>
  </si>
  <si>
    <t>66:41:0307004</t>
  </si>
  <si>
    <t>66:41:0307006</t>
  </si>
  <si>
    <t>66:41:0307008</t>
  </si>
  <si>
    <t>66:41:0307009</t>
  </si>
  <si>
    <t>66:41:0307017</t>
  </si>
  <si>
    <t>66:41:0307046</t>
  </si>
  <si>
    <t>66:41:0209001</t>
  </si>
  <si>
    <t>66:36:1501008</t>
  </si>
  <si>
    <t>66:36:1501016</t>
  </si>
  <si>
    <t>66:36:1501018</t>
  </si>
  <si>
    <t>66:36:1501019</t>
  </si>
  <si>
    <t>66:36:3101008</t>
  </si>
  <si>
    <t>66:36:3101009</t>
  </si>
  <si>
    <t>66:36:3101010</t>
  </si>
  <si>
    <t>66:36:3101011</t>
  </si>
  <si>
    <t>66:41:0209013</t>
  </si>
  <si>
    <t>66:41:0209014</t>
  </si>
  <si>
    <t>66:41:0209015</t>
  </si>
  <si>
    <t>66:41:0209023</t>
  </si>
  <si>
    <t>66:41:0209024</t>
  </si>
  <si>
    <t>66:41:0209025</t>
  </si>
  <si>
    <t>66:41:0209048</t>
  </si>
  <si>
    <t>66:41:0209049</t>
  </si>
  <si>
    <t>66:41:0209050</t>
  </si>
  <si>
    <t>66:41:0209051</t>
  </si>
  <si>
    <t>66:41:0209096</t>
  </si>
  <si>
    <t>66:41:0209064</t>
  </si>
  <si>
    <t>66:41:0209065</t>
  </si>
  <si>
    <t>66:41:0209066</t>
  </si>
  <si>
    <t>66:41:0209067</t>
  </si>
  <si>
    <t>66:41:0209068</t>
  </si>
  <si>
    <t>66:41:0209085</t>
  </si>
  <si>
    <t>66:41:0209086</t>
  </si>
  <si>
    <t>66:41:0209087</t>
  </si>
  <si>
    <t>66:41:0209088</t>
  </si>
  <si>
    <t>66:41:0209097</t>
  </si>
  <si>
    <t>66:41:0209098</t>
  </si>
  <si>
    <t>66:41:0209003</t>
  </si>
  <si>
    <t>66:41:0209002</t>
  </si>
  <si>
    <t>66:41:0209004</t>
  </si>
  <si>
    <t>66:41:0209005</t>
  </si>
  <si>
    <t>66:41:0209006</t>
  </si>
  <si>
    <t>66:41:0209008</t>
  </si>
  <si>
    <t>66:41:0209009</t>
  </si>
  <si>
    <t>66:58:2902050</t>
  </si>
  <si>
    <t>66:58:2201001</t>
  </si>
  <si>
    <t>66:58:2201002</t>
  </si>
  <si>
    <t>66:58:2902028</t>
  </si>
  <si>
    <t>66:58:2902030</t>
  </si>
  <si>
    <t>66:58:2902037</t>
  </si>
  <si>
    <t>66:41:0512001</t>
  </si>
  <si>
    <t>66:41:0512002</t>
  </si>
  <si>
    <t>66:41:0512003</t>
  </si>
  <si>
    <t>66:41:0512018</t>
  </si>
  <si>
    <t>66:41:0512044</t>
  </si>
  <si>
    <t>66:41:0517007</t>
  </si>
  <si>
    <t>66:41:0517008</t>
  </si>
  <si>
    <t>66:41:0517009</t>
  </si>
  <si>
    <t>66:41:0517010</t>
  </si>
  <si>
    <t>66:41:0517011</t>
  </si>
  <si>
    <t>66:41:0517901</t>
  </si>
  <si>
    <t>66:21:1101001</t>
  </si>
  <si>
    <t>66:21:1401003</t>
  </si>
  <si>
    <t>66:41:0313046</t>
  </si>
  <si>
    <t>66:41:0313071</t>
  </si>
  <si>
    <t>66:41:0313074</t>
  </si>
  <si>
    <t>66:41:0313083</t>
  </si>
  <si>
    <t>66:41:0313096</t>
  </si>
  <si>
    <t>66:41:0512008</t>
  </si>
  <si>
    <t>66:41:0512011</t>
  </si>
  <si>
    <t>66:41:0512015</t>
  </si>
  <si>
    <t>66:41:0512020</t>
  </si>
  <si>
    <t>66:41:0512027</t>
  </si>
  <si>
    <t>66:41:0512039</t>
  </si>
  <si>
    <t>66:41:0512040</t>
  </si>
  <si>
    <t>66:41:0313091</t>
  </si>
  <si>
    <t>66:41:0310096</t>
  </si>
  <si>
    <t>66:41:0310084</t>
  </si>
  <si>
    <t>66:41:0310066</t>
  </si>
  <si>
    <t>66:41:0310075</t>
  </si>
  <si>
    <t>66:41:0310076</t>
  </si>
  <si>
    <t>66:41:0310081</t>
  </si>
  <si>
    <t>66:41:0310082</t>
  </si>
  <si>
    <t>66:41:0310083</t>
  </si>
  <si>
    <t>66:41:0310085</t>
  </si>
  <si>
    <t>66:41:0310092</t>
  </si>
  <si>
    <t>66:41:0310094</t>
  </si>
  <si>
    <t>66:41:0310095</t>
  </si>
  <si>
    <t>66:41:0310097</t>
  </si>
  <si>
    <t>66:41:0310103</t>
  </si>
  <si>
    <t>66:41:0313045</t>
  </si>
  <si>
    <t>66:41:0309038</t>
  </si>
  <si>
    <t>66:41:0309025</t>
  </si>
  <si>
    <t>66:41:0309026</t>
  </si>
  <si>
    <t>66:41:0309030</t>
  </si>
  <si>
    <t>66:41:0309031</t>
  </si>
  <si>
    <t>66:41:0309033</t>
  </si>
  <si>
    <t>66:41:0309034</t>
  </si>
  <si>
    <t>66:41:0309037</t>
  </si>
  <si>
    <t>66:41:0310074</t>
  </si>
  <si>
    <t>66:41:0309040</t>
  </si>
  <si>
    <t>66:41:0310062</t>
  </si>
  <si>
    <t>66:41:0310063</t>
  </si>
  <si>
    <t>66:41:0310065</t>
  </si>
  <si>
    <t>66:41:0310067</t>
  </si>
  <si>
    <t>66:41:0310068</t>
  </si>
  <si>
    <t>66:41:0310069</t>
  </si>
  <si>
    <t>66:41:0313034</t>
  </si>
  <si>
    <t>66:41:0313035</t>
  </si>
  <si>
    <t>66:41:0313036</t>
  </si>
  <si>
    <t>66:41:0313066</t>
  </si>
  <si>
    <t>66:41:0310071</t>
  </si>
  <si>
    <t>66:41:0310073</t>
  </si>
  <si>
    <t>66:41:0310078</t>
  </si>
  <si>
    <t>66:41:0310079</t>
  </si>
  <si>
    <t>66:41:0310080</t>
  </si>
  <si>
    <t>66:41:0310087</t>
  </si>
  <si>
    <t>66:41:0310088</t>
  </si>
  <si>
    <t>66:41:0310093</t>
  </si>
  <si>
    <t>66:41:0310099</t>
  </si>
  <si>
    <t>66:41:0312008</t>
  </si>
  <si>
    <t>66:41:0313016</t>
  </si>
  <si>
    <t>66:41:0313054</t>
  </si>
  <si>
    <t>66:41:0313070</t>
  </si>
  <si>
    <t>66:41:0313089</t>
  </si>
  <si>
    <t>66:41:0313090</t>
  </si>
  <si>
    <t>66:41:0313111</t>
  </si>
  <si>
    <t>66:41:0512010</t>
  </si>
  <si>
    <t>66:41:0313073</t>
  </si>
  <si>
    <t>66:41:0512005</t>
  </si>
  <si>
    <t>66:41:0512006</t>
  </si>
  <si>
    <t>66:41:0512014</t>
  </si>
  <si>
    <t>66:41:0512019</t>
  </si>
  <si>
    <t>66:41:0512024</t>
  </si>
  <si>
    <t>66:41:0512033</t>
  </si>
  <si>
    <t>66:41:0307027</t>
  </si>
  <si>
    <t>66:58:2902061</t>
  </si>
  <si>
    <t>66:41:0307005</t>
  </si>
  <si>
    <t>66:41:0307010</t>
  </si>
  <si>
    <t>66:41:0307011</t>
  </si>
  <si>
    <t>66:41:0307012</t>
  </si>
  <si>
    <t>66:41:0307016</t>
  </si>
  <si>
    <t>66:41:0309001</t>
  </si>
  <si>
    <t>66:41:0309002</t>
  </si>
  <si>
    <t>66:41:0309016</t>
  </si>
  <si>
    <t>66:41:0309019</t>
  </si>
  <si>
    <t>66:41:0309099</t>
  </si>
  <si>
    <t>66:41:0313061</t>
  </si>
  <si>
    <t>66:41:0312010</t>
  </si>
  <si>
    <t>66:41:0310086</t>
  </si>
  <si>
    <t>66:41:0312001</t>
  </si>
  <si>
    <t>66:41:0312002</t>
  </si>
  <si>
    <t>66:41:0312003</t>
  </si>
  <si>
    <t>66:41:0312004</t>
  </si>
  <si>
    <t>66:41:0312005</t>
  </si>
  <si>
    <t>66:41:0312007</t>
  </si>
  <si>
    <t>66:41:0312009</t>
  </si>
  <si>
    <t>66:41:0312011</t>
  </si>
  <si>
    <t>66:41:0312901</t>
  </si>
  <si>
    <t>66:41:0313052</t>
  </si>
  <si>
    <t>66:41:0313053</t>
  </si>
  <si>
    <t>66:41:0313069</t>
  </si>
  <si>
    <t>66:41:0313067</t>
  </si>
  <si>
    <t>66:41:0313068</t>
  </si>
  <si>
    <t>66:41:0313072</t>
  </si>
  <si>
    <t>66:41:0313081</t>
  </si>
  <si>
    <t>66:41:0512004</t>
  </si>
  <si>
    <t>66:41:0516018</t>
  </si>
  <si>
    <t>66:41:0516014</t>
  </si>
  <si>
    <t>66:41:0313082</t>
  </si>
  <si>
    <t>66:41:0516004</t>
  </si>
  <si>
    <t>66:41:0516007</t>
  </si>
  <si>
    <t>66:41:0516009</t>
  </si>
  <si>
    <t>66:41:0516012</t>
  </si>
  <si>
    <t>66:41:0516013</t>
  </si>
  <si>
    <t>66:41:0516015</t>
  </si>
  <si>
    <t>66:41:0516016</t>
  </si>
  <si>
    <t>66:41:0516008</t>
  </si>
  <si>
    <t>66:41:0516001</t>
  </si>
  <si>
    <t>66:41:0516002</t>
  </si>
  <si>
    <t>66:41:0516003</t>
  </si>
  <si>
    <t>66:41:0516005</t>
  </si>
  <si>
    <t>66:41:0516006</t>
  </si>
  <si>
    <t>66:41:0516010</t>
  </si>
  <si>
    <t>66:41:0516011</t>
  </si>
  <si>
    <t>66:41:0516017</t>
  </si>
  <si>
    <t>66:41:0516019</t>
  </si>
  <si>
    <t>66:41:0516020</t>
  </si>
  <si>
    <t>66:41:0516901</t>
  </si>
  <si>
    <t>66:41:0313049</t>
  </si>
  <si>
    <t>66:41:0313050</t>
  </si>
  <si>
    <t>66:41:0313051</t>
  </si>
  <si>
    <t>66:41:0313058</t>
  </si>
  <si>
    <t>66:41:0313059</t>
  </si>
  <si>
    <t>66:41:0313060</t>
  </si>
  <si>
    <t>66:41:0313064</t>
  </si>
  <si>
    <t>66:41:0313065</t>
  </si>
  <si>
    <t>66:41:0313076</t>
  </si>
  <si>
    <t>66:41:0313077</t>
  </si>
  <si>
    <t>66:41:0313078</t>
  </si>
  <si>
    <t>66:41:0313079</t>
  </si>
  <si>
    <t>66:41:0313080</t>
  </si>
  <si>
    <t>66:41:0313101</t>
  </si>
  <si>
    <t>66:58:2902036</t>
  </si>
  <si>
    <t>66:58:2301003</t>
  </si>
  <si>
    <t>66:58:2301001</t>
  </si>
  <si>
    <t>66:58:2301002</t>
  </si>
  <si>
    <t>66:58:2301004</t>
  </si>
  <si>
    <t>66:58:2301005</t>
  </si>
  <si>
    <t>66:58:2902032</t>
  </si>
  <si>
    <t>66:58:2902033</t>
  </si>
  <si>
    <t>66:58:2902034</t>
  </si>
  <si>
    <t>66:58:2902035</t>
  </si>
  <si>
    <t>66:58:2902057</t>
  </si>
  <si>
    <t>66:58:2902044</t>
  </si>
  <si>
    <t>66:58:2902045</t>
  </si>
  <si>
    <t>66:58:2902046</t>
  </si>
  <si>
    <t>66:58:2902047</t>
  </si>
  <si>
    <t>66:58:2902048</t>
  </si>
  <si>
    <t>66:58:2902049</t>
  </si>
  <si>
    <t>66:58:2902053</t>
  </si>
  <si>
    <t>66:58:2902054</t>
  </si>
  <si>
    <t>66:58:2902055</t>
  </si>
  <si>
    <t>66:58:2902056</t>
  </si>
  <si>
    <t>66:58:2902058</t>
  </si>
  <si>
    <t>66:58:2902059</t>
  </si>
  <si>
    <t>66:58:2902040</t>
  </si>
  <si>
    <t>66:58:2902031</t>
  </si>
  <si>
    <t>66:58:2902038</t>
  </si>
  <si>
    <t>66:58:2902039</t>
  </si>
  <si>
    <t>66:58:2902041</t>
  </si>
  <si>
    <t>66:58:2902042</t>
  </si>
  <si>
    <t>66:58:2902043</t>
  </si>
  <si>
    <t>66:58:2902051</t>
  </si>
  <si>
    <t>66:58:2902052</t>
  </si>
  <si>
    <t>66:41:0313047</t>
  </si>
  <si>
    <t>66:41:0313048</t>
  </si>
  <si>
    <t>66:41:0313055</t>
  </si>
  <si>
    <t>66:41:0313056</t>
  </si>
  <si>
    <t>66:41:0313057</t>
  </si>
  <si>
    <t>66:41:0313062</t>
  </si>
  <si>
    <t>66:41:0313063</t>
  </si>
  <si>
    <t>66:41:0313075</t>
  </si>
  <si>
    <t>66:41:0512043</t>
  </si>
  <si>
    <t>66:40:0101036</t>
  </si>
  <si>
    <t>66:40:0101019</t>
  </si>
  <si>
    <t>66:40:0101023</t>
  </si>
  <si>
    <t>66:40:0101027</t>
  </si>
  <si>
    <t>66:40:0101028</t>
  </si>
  <si>
    <t>66:40:0101029</t>
  </si>
  <si>
    <t>66:40:0101030</t>
  </si>
  <si>
    <t>66:40:0101031</t>
  </si>
  <si>
    <t>66:40:0101032</t>
  </si>
  <si>
    <t>66:40:0101033</t>
  </si>
  <si>
    <t>66:40:0101034</t>
  </si>
  <si>
    <t>66:40:0101035</t>
  </si>
  <si>
    <t>66:21:1001001</t>
  </si>
  <si>
    <t>66:21:1401002</t>
  </si>
  <si>
    <t>66:40:0101005</t>
  </si>
  <si>
    <t>66:40:0101014</t>
  </si>
  <si>
    <t>66:40:0101015</t>
  </si>
  <si>
    <t>66:40:0101016</t>
  </si>
  <si>
    <t>66:40:0101020</t>
  </si>
  <si>
    <t>66:40:0101021</t>
  </si>
  <si>
    <t>66:40:0101022</t>
  </si>
  <si>
    <t>66:40:0101026</t>
  </si>
  <si>
    <t>66:40:0101037</t>
  </si>
  <si>
    <t>66:40:0101038</t>
  </si>
  <si>
    <t>66:40:0101039</t>
  </si>
  <si>
    <t>66:21:1301013</t>
  </si>
  <si>
    <t>66:40:0101008</t>
  </si>
  <si>
    <t>66:40:0101001</t>
  </si>
  <si>
    <t>66:40:0101002</t>
  </si>
  <si>
    <t>66:40:0101006</t>
  </si>
  <si>
    <t>66:40:0101007</t>
  </si>
  <si>
    <t>66:40:0101009</t>
  </si>
  <si>
    <t>66:40:0101010</t>
  </si>
  <si>
    <t>66:40:0101011</t>
  </si>
  <si>
    <t>66:40:0101012</t>
  </si>
  <si>
    <t>66:40:0101013</t>
  </si>
  <si>
    <t>66:40:0101017</t>
  </si>
  <si>
    <t>66:40:0101018</t>
  </si>
  <si>
    <t>66:40:0101024</t>
  </si>
  <si>
    <t>66:40:0101025</t>
  </si>
  <si>
    <t>66:40:0101040</t>
  </si>
  <si>
    <t>66:21:1301016</t>
  </si>
  <si>
    <t>66:40:0101003</t>
  </si>
  <si>
    <t>66:40:0101004</t>
  </si>
  <si>
    <t>66:21:0701001</t>
  </si>
  <si>
    <t>66:21:0801001</t>
  </si>
  <si>
    <t>66:36:3102009</t>
  </si>
  <si>
    <t>66:36:3102001</t>
  </si>
  <si>
    <t>66:36:3102003</t>
  </si>
  <si>
    <t>66:36:3102004</t>
  </si>
  <si>
    <t>66:36:3102006</t>
  </si>
  <si>
    <t>66:36:3102007</t>
  </si>
  <si>
    <t>66:36:3102008</t>
  </si>
  <si>
    <t>66:36:3102010</t>
  </si>
  <si>
    <t>66:36:3101007</t>
  </si>
  <si>
    <t>66:36:1701001</t>
  </si>
  <si>
    <t>66:36:1701002</t>
  </si>
  <si>
    <t>66:36:1701003</t>
  </si>
  <si>
    <t>66:36:1701004</t>
  </si>
  <si>
    <t>66:36:1701005</t>
  </si>
  <si>
    <t>66:36:1701006</t>
  </si>
  <si>
    <t>66:36:3101003</t>
  </si>
  <si>
    <t>66:36:3101004</t>
  </si>
  <si>
    <t>66:36:3101005</t>
  </si>
  <si>
    <t>66:36:3101006</t>
  </si>
  <si>
    <t>66:36:3101016</t>
  </si>
  <si>
    <t>66:36:3102002</t>
  </si>
  <si>
    <t>66:58:0102001</t>
  </si>
  <si>
    <t>66:58:0101001</t>
  </si>
  <si>
    <t>66:58:0101002</t>
  </si>
  <si>
    <t>66:58:0101003</t>
  </si>
  <si>
    <t>66:58:0101004</t>
  </si>
  <si>
    <t>66:58:0101005</t>
  </si>
  <si>
    <t>66:58:0101006</t>
  </si>
  <si>
    <t>66:58:0101007</t>
  </si>
  <si>
    <t>66:41:0209077</t>
  </si>
  <si>
    <t>66:41:0209110</t>
  </si>
  <si>
    <t>66:41:0209115</t>
  </si>
  <si>
    <t>66:41:0209209</t>
  </si>
  <si>
    <t>66:41:0210053</t>
  </si>
  <si>
    <t>66:41:0210088</t>
  </si>
  <si>
    <t>66:41:0210091</t>
  </si>
  <si>
    <t>66:41:0307002</t>
  </si>
  <si>
    <t>66:41:0307003</t>
  </si>
  <si>
    <t>66:41:0312006</t>
  </si>
  <si>
    <t>66:41:0210003</t>
  </si>
  <si>
    <t>66:41:0209083</t>
  </si>
  <si>
    <t>66:41:0209084</t>
  </si>
  <si>
    <t>66:41:0209094</t>
  </si>
  <si>
    <t>66:41:0210002</t>
  </si>
  <si>
    <t>66:41:0210013</t>
  </si>
  <si>
    <t>66:41:0210014</t>
  </si>
  <si>
    <t>66:41:0210016</t>
  </si>
  <si>
    <t>66:41:0210020</t>
  </si>
  <si>
    <t>66:41:0210029</t>
  </si>
  <si>
    <t>66:41:0210085</t>
  </si>
  <si>
    <t>66:41:0210062</t>
  </si>
  <si>
    <t>66:41:0210021</t>
  </si>
  <si>
    <t>66:41:0210051</t>
  </si>
  <si>
    <t>66:41:0210052</t>
  </si>
  <si>
    <t>66:41:0210063</t>
  </si>
  <si>
    <t>66:41:0210064</t>
  </si>
  <si>
    <t>66:41:0210065</t>
  </si>
  <si>
    <t>66:41:0210066</t>
  </si>
  <si>
    <t>66:41:0210084</t>
  </si>
  <si>
    <t>66:41:0210086</t>
  </si>
  <si>
    <t>66:41:0210902</t>
  </si>
  <si>
    <t>66:41:0210040</t>
  </si>
  <si>
    <t>66:41:0209095</t>
  </si>
  <si>
    <t>66:41:0210030</t>
  </si>
  <si>
    <t>66:41:0210036</t>
  </si>
  <si>
    <t>66:41:0210039</t>
  </si>
  <si>
    <t>66:41:0210041</t>
  </si>
  <si>
    <t>66:41:0210042</t>
  </si>
  <si>
    <t>66:41:0210043</t>
  </si>
  <si>
    <t>66:41:0210048</t>
  </si>
  <si>
    <t>66:41:0210049</t>
  </si>
  <si>
    <t>66:41:0210050</t>
  </si>
  <si>
    <t>66:41:0209059</t>
  </si>
  <si>
    <t>66:41:0209043</t>
  </si>
  <si>
    <t>66:41:0209044</t>
  </si>
  <si>
    <t>66:41:0209045</t>
  </si>
  <si>
    <t>66:41:0209046</t>
  </si>
  <si>
    <t>66:41:0209047</t>
  </si>
  <si>
    <t>66:41:0209058</t>
  </si>
  <si>
    <t>66:41:0209060</t>
  </si>
  <si>
    <t>66:41:0209061</t>
  </si>
  <si>
    <t>66:41:0209062</t>
  </si>
  <si>
    <t>66:41:0209079</t>
  </si>
  <si>
    <t>66:41:0209080</t>
  </si>
  <si>
    <t>66:41:0209081</t>
  </si>
  <si>
    <t>66:41:0209082</t>
  </si>
  <si>
    <t>66:41:0209105</t>
  </si>
  <si>
    <t>66:41:0210023</t>
  </si>
  <si>
    <t>66:41:0209093</t>
  </si>
  <si>
    <t>66:41:0210001</t>
  </si>
  <si>
    <t>66:41:0210005</t>
  </si>
  <si>
    <t>66:41:0210006</t>
  </si>
  <si>
    <t>66:41:0210007</t>
  </si>
  <si>
    <t>66:41:0210009</t>
  </si>
  <si>
    <t>66:41:0210010</t>
  </si>
  <si>
    <t>66:41:0210011</t>
  </si>
  <si>
    <t>66:41:0210012</t>
  </si>
  <si>
    <t>66:41:0210038</t>
  </si>
  <si>
    <t>66:41:0210015</t>
  </si>
  <si>
    <t>66:41:0209103</t>
  </si>
  <si>
    <t>66:41:0210008</t>
  </si>
  <si>
    <t>66:41:0210017</t>
  </si>
  <si>
    <t>66:41:0210019</t>
  </si>
  <si>
    <t>66:41:0210022</t>
  </si>
  <si>
    <t>66:41:0210026</t>
  </si>
  <si>
    <t>66:41:0210034</t>
  </si>
  <si>
    <t>66:41:0210035</t>
  </si>
  <si>
    <t>66:41:0210037</t>
  </si>
  <si>
    <t>66:41:0210045</t>
  </si>
  <si>
    <t>66:41:0210054</t>
  </si>
  <si>
    <t>66:41:0210104</t>
  </si>
  <si>
    <t>66:41:0210901</t>
  </si>
  <si>
    <t>66:41:0210004</t>
  </si>
  <si>
    <t>66:41:0210044</t>
  </si>
  <si>
    <t>66:41:0210046</t>
  </si>
  <si>
    <t>66:41:0210047</t>
  </si>
  <si>
    <t>66:41:0210058</t>
  </si>
  <si>
    <t>66:41:0210059</t>
  </si>
  <si>
    <t>66:41:0210060</t>
  </si>
  <si>
    <t>66:41:0210061</t>
  </si>
  <si>
    <t>66:41:0210067</t>
  </si>
  <si>
    <t>66:41:0210068</t>
  </si>
  <si>
    <t>66:41:0210071</t>
  </si>
  <si>
    <t>66:41:0210092</t>
  </si>
  <si>
    <t>66:41:0210106</t>
  </si>
  <si>
    <t>66:41:0210087</t>
  </si>
  <si>
    <t>66:41:0210077</t>
  </si>
  <si>
    <t>66:41:0209114</t>
  </si>
  <si>
    <t>66:41:0209208</t>
  </si>
  <si>
    <t>66:41:0210070</t>
  </si>
  <si>
    <t>66:41:0210072</t>
  </si>
  <si>
    <t>66:41:0210073</t>
  </si>
  <si>
    <t>66:41:0210074</t>
  </si>
  <si>
    <t>66:41:0210079</t>
  </si>
  <si>
    <t>66:41:0210082</t>
  </si>
  <si>
    <t>66:41:0210903</t>
  </si>
  <si>
    <t>66:41:0307001</t>
  </si>
  <si>
    <t>66:41:0209092</t>
  </si>
  <si>
    <t>66:41:0209091</t>
  </si>
  <si>
    <t>66:41:0209102</t>
  </si>
  <si>
    <t>66:41:0210018</t>
  </si>
  <si>
    <t>66:41:0210105</t>
  </si>
  <si>
    <t>66:41:0209035</t>
  </si>
  <si>
    <t>66:41:0209207</t>
  </si>
  <si>
    <t>66:58:2902067</t>
  </si>
  <si>
    <t>66:58:2902060</t>
  </si>
  <si>
    <t>66:58:2902074</t>
  </si>
  <si>
    <t>66:58:2902075</t>
  </si>
  <si>
    <t>66:58:2902076</t>
  </si>
  <si>
    <t>66:58:2902077</t>
  </si>
  <si>
    <t>66:58:2902078</t>
  </si>
  <si>
    <t>66:58:2902079</t>
  </si>
  <si>
    <t>66:58:2902080</t>
  </si>
  <si>
    <t>66:58:2902081</t>
  </si>
  <si>
    <t>66:58:2902082</t>
  </si>
  <si>
    <t>66:41:0313037</t>
  </si>
  <si>
    <t>66:41:0313038</t>
  </si>
  <si>
    <t>66:41:0313039</t>
  </si>
  <si>
    <t>66:41:0313040</t>
  </si>
  <si>
    <t>66:41:0313041</t>
  </si>
  <si>
    <t>66:41:0313042</t>
  </si>
  <si>
    <t>66:41:0313044</t>
  </si>
  <si>
    <t>66:58:2101001</t>
  </si>
  <si>
    <t>66:58:2101002</t>
  </si>
  <si>
    <t>66:58:2101003</t>
  </si>
  <si>
    <t>66:58:2101004</t>
  </si>
  <si>
    <t>66:58:2101005</t>
  </si>
  <si>
    <t>66:58:2601001</t>
  </si>
  <si>
    <t>66:58:2902062</t>
  </si>
  <si>
    <t>66:58:2902066</t>
  </si>
  <si>
    <t>66:58:2902073</t>
  </si>
  <si>
    <t>66:21:1401001</t>
  </si>
  <si>
    <t>66:58:2501001</t>
  </si>
  <si>
    <t>66:58:2902063</t>
  </si>
  <si>
    <t>66:58:2902064</t>
  </si>
  <si>
    <t>66:58:2902065</t>
  </si>
  <si>
    <t>66:58:2902068</t>
  </si>
  <si>
    <t>66:58:2902072</t>
  </si>
  <si>
    <t>66:21:0301001</t>
  </si>
  <si>
    <t>66:21:0101094</t>
  </si>
  <si>
    <t>66:21:0101041</t>
  </si>
  <si>
    <t>66:21:0101042</t>
  </si>
  <si>
    <t>66:21:0101053</t>
  </si>
  <si>
    <t>66:21:0101065</t>
  </si>
  <si>
    <t>66:21:0101072</t>
  </si>
  <si>
    <t>66:21:0101077</t>
  </si>
  <si>
    <t>66:21:0101092</t>
  </si>
  <si>
    <t>66:21:0101093</t>
  </si>
  <si>
    <t>66:21:1301001</t>
  </si>
  <si>
    <t>66:21:1301006</t>
  </si>
  <si>
    <t>66:21:1301007</t>
  </si>
  <si>
    <t>66:21:1301008</t>
  </si>
  <si>
    <t>66:58:2902069</t>
  </si>
  <si>
    <t>66:58:2902070</t>
  </si>
  <si>
    <t>66:58:2902071</t>
  </si>
  <si>
    <t>66:21:0101006</t>
  </si>
  <si>
    <t>66:21:0101009</t>
  </si>
  <si>
    <t>66:21:0101018</t>
  </si>
  <si>
    <t>66:21:0101025</t>
  </si>
  <si>
    <t>66:21:0101026</t>
  </si>
  <si>
    <t>66:21:0101027</t>
  </si>
  <si>
    <t>66:21:0101036</t>
  </si>
  <si>
    <t>66:21:1301009</t>
  </si>
  <si>
    <t>66:21:0101063</t>
  </si>
  <si>
    <t>66:21:0101071</t>
  </si>
  <si>
    <t>66:21:1301010</t>
  </si>
  <si>
    <t>66:21:1301011</t>
  </si>
  <si>
    <t>66:21:1301012</t>
  </si>
  <si>
    <t>66:21:0101035</t>
  </si>
  <si>
    <t>66:21:0101024</t>
  </si>
  <si>
    <t>66:21:0101010</t>
  </si>
  <si>
    <t>66:21:0101016</t>
  </si>
  <si>
    <t>66:21:0101017</t>
  </si>
  <si>
    <t>66:21:0101033</t>
  </si>
  <si>
    <t>66:21:0101034</t>
  </si>
  <si>
    <t>66:21:0101038</t>
  </si>
  <si>
    <t>66:21:0101039</t>
  </si>
  <si>
    <t>66:21:0101040</t>
  </si>
  <si>
    <t>66:21:0101050</t>
  </si>
  <si>
    <t>66:21:0101051</t>
  </si>
  <si>
    <t>66:21:0101052</t>
  </si>
  <si>
    <t>66:21:0101061</t>
  </si>
  <si>
    <t>66:21:0101062</t>
  </si>
  <si>
    <t>66:21:0101064</t>
  </si>
  <si>
    <t>66:21:0101003</t>
  </si>
  <si>
    <t>66:21:0101002</t>
  </si>
  <si>
    <t>66:21:0101004</t>
  </si>
  <si>
    <t>66:21:0101005</t>
  </si>
  <si>
    <t>66:21:0101043</t>
  </si>
  <si>
    <t>66:21:0101015</t>
  </si>
  <si>
    <t>66:21:0101008</t>
  </si>
  <si>
    <t>66:21:0101014</t>
  </si>
  <si>
    <t>66:21:0101022</t>
  </si>
  <si>
    <t>66:21:0101023</t>
  </si>
  <si>
    <t>66:21:0101030</t>
  </si>
  <si>
    <t>66:21:0101031</t>
  </si>
  <si>
    <t>66:21:0101032</t>
  </si>
  <si>
    <t>66:21:0101037</t>
  </si>
  <si>
    <t>66:21:0101044</t>
  </si>
  <si>
    <t>66:21:0101045</t>
  </si>
  <si>
    <t>66:21:0101046</t>
  </si>
  <si>
    <t>66:21:0101048</t>
  </si>
  <si>
    <t>66:21:0101049</t>
  </si>
  <si>
    <t>66:21:0101056</t>
  </si>
  <si>
    <t>66:21:0101057</t>
  </si>
  <si>
    <t>66:21:0101058</t>
  </si>
  <si>
    <t>66:21:0101060</t>
  </si>
  <si>
    <t>66:21:0101059</t>
  </si>
  <si>
    <t>66:21:0101067</t>
  </si>
  <si>
    <t>66:21:0101068</t>
  </si>
  <si>
    <t>66:21:0101069</t>
  </si>
  <si>
    <t>66:21:0101070</t>
  </si>
  <si>
    <t>66:21:0101075</t>
  </si>
  <si>
    <t>66:21:0101076</t>
  </si>
  <si>
    <t>66:21:0101082</t>
  </si>
  <si>
    <t>66:59:0201002</t>
  </si>
  <si>
    <t>66:59:0201001</t>
  </si>
  <si>
    <t>66:59:0201003</t>
  </si>
  <si>
    <t>66:59:0201004</t>
  </si>
  <si>
    <t>66:59:0202001</t>
  </si>
  <si>
    <t>66:59:0206001</t>
  </si>
  <si>
    <t>66:59:0206002</t>
  </si>
  <si>
    <t>66:59:0206003</t>
  </si>
  <si>
    <t>66:59:0216001</t>
  </si>
  <si>
    <t>66:59:0217003</t>
  </si>
  <si>
    <t>66:59:0203002</t>
  </si>
  <si>
    <t>66:59:0203001</t>
  </si>
  <si>
    <t>66:59:0203003</t>
  </si>
  <si>
    <t>66:59:0205001</t>
  </si>
  <si>
    <t>66:59:0211002</t>
  </si>
  <si>
    <t>66:59:0216002</t>
  </si>
  <si>
    <t>66:59:0217012</t>
  </si>
  <si>
    <t>66:59:0217015</t>
  </si>
  <si>
    <t>66:59:0217016</t>
  </si>
  <si>
    <t>66:21:1401004</t>
  </si>
  <si>
    <t>66:21:1401005</t>
  </si>
  <si>
    <t>66:59:0204002</t>
  </si>
  <si>
    <t>66:59:0101019</t>
  </si>
  <si>
    <t>66:59:0101005</t>
  </si>
  <si>
    <t>66:59:0101006</t>
  </si>
  <si>
    <t>66:59:0101014</t>
  </si>
  <si>
    <t>66:59:0101016</t>
  </si>
  <si>
    <t>66:59:0101017</t>
  </si>
  <si>
    <t>66:59:0101018</t>
  </si>
  <si>
    <t>66:59:0101020</t>
  </si>
  <si>
    <t>66:59:0204001</t>
  </si>
  <si>
    <t>66:59:0209001</t>
  </si>
  <si>
    <t>66:59:0209002</t>
  </si>
  <si>
    <t>66:59:0209003</t>
  </si>
  <si>
    <t>66:59:0217011</t>
  </si>
  <si>
    <t>66:59:0217013</t>
  </si>
  <si>
    <t>66:59:0217014</t>
  </si>
  <si>
    <t>66:59:0101010</t>
  </si>
  <si>
    <t>66:59:0101013</t>
  </si>
  <si>
    <t>66:59:0101015</t>
  </si>
  <si>
    <t>66:59:0101021</t>
  </si>
  <si>
    <t>66:59:0101022</t>
  </si>
  <si>
    <t>66:59:0101023</t>
  </si>
  <si>
    <t>66:59:0101025</t>
  </si>
  <si>
    <t>66:59:0101026</t>
  </si>
  <si>
    <t>66:59:0101029</t>
  </si>
  <si>
    <t>66:59:0210001</t>
  </si>
  <si>
    <t>66:59:0210002</t>
  </si>
  <si>
    <t>66:59:0210003</t>
  </si>
  <si>
    <t>66:21:1302003</t>
  </si>
  <si>
    <t>66:59:0217001</t>
  </si>
  <si>
    <t>66:59:0217004</t>
  </si>
  <si>
    <t>66:21:1301014</t>
  </si>
  <si>
    <t>66:21:1301015</t>
  </si>
  <si>
    <t>66:21:1302001</t>
  </si>
  <si>
    <t>66:21:1302002</t>
  </si>
  <si>
    <t>66:21:1302004</t>
  </si>
  <si>
    <t>66:21:1402001</t>
  </si>
  <si>
    <t>66:21:1402002</t>
  </si>
  <si>
    <t>66:21:1402003</t>
  </si>
  <si>
    <t>66:21:1701001</t>
  </si>
  <si>
    <t>66:21:1701002</t>
  </si>
  <si>
    <t>66:59:0101027</t>
  </si>
  <si>
    <t>66:59:0102006</t>
  </si>
  <si>
    <t>66:59:0102008</t>
  </si>
  <si>
    <t>66:59:0102009</t>
  </si>
  <si>
    <t>66:59:0102013</t>
  </si>
  <si>
    <t>66:59:0102014</t>
  </si>
  <si>
    <t>66:59:0102015</t>
  </si>
  <si>
    <t>66:59:0102023</t>
  </si>
  <si>
    <t>66:59:0211001</t>
  </si>
  <si>
    <t>66:59:0211003</t>
  </si>
  <si>
    <t>66:59:0212001</t>
  </si>
  <si>
    <t>66:59:0212002</t>
  </si>
  <si>
    <t>66:59:0217017</t>
  </si>
  <si>
    <t>66:59:0101001</t>
  </si>
  <si>
    <t>66:59:0101002</t>
  </si>
  <si>
    <t>66:59:0101003</t>
  </si>
  <si>
    <t>66:59:0101004</t>
  </si>
  <si>
    <t>66:59:0101007</t>
  </si>
  <si>
    <t>66:59:0101008</t>
  </si>
  <si>
    <t>66:59:0101009</t>
  </si>
  <si>
    <t>66:59:0101011</t>
  </si>
  <si>
    <t>66:59:0101012</t>
  </si>
  <si>
    <t>66:59:0101024</t>
  </si>
  <si>
    <t>66:59:0101028</t>
  </si>
  <si>
    <t>66:59:0102001</t>
  </si>
  <si>
    <t>66:59:0215001</t>
  </si>
  <si>
    <t>66:59:0215002</t>
  </si>
  <si>
    <t>66:59:0217007</t>
  </si>
  <si>
    <t>66:21:1301003</t>
  </si>
  <si>
    <t>66:59:0214009</t>
  </si>
  <si>
    <t>66:59:0214001</t>
  </si>
  <si>
    <t>66:59:0214002</t>
  </si>
  <si>
    <t>66:59:0214003</t>
  </si>
  <si>
    <t>66:59:0214004</t>
  </si>
  <si>
    <t>66:59:0214006</t>
  </si>
  <si>
    <t>66:59:0214007</t>
  </si>
  <si>
    <t>66:59:0214008</t>
  </si>
  <si>
    <t>66:59:0214011</t>
  </si>
  <si>
    <t>66:59:0214012</t>
  </si>
  <si>
    <t>66:59:0217005</t>
  </si>
  <si>
    <t>66:21:1601001</t>
  </si>
  <si>
    <t>66:21:1601002</t>
  </si>
  <si>
    <t>66:21:1601003</t>
  </si>
  <si>
    <t>66:59:0103003</t>
  </si>
  <si>
    <t>66:59:0102019</t>
  </si>
  <si>
    <t>66:59:0102005</t>
  </si>
  <si>
    <t>66:59:0102010</t>
  </si>
  <si>
    <t>66:59:0102011</t>
  </si>
  <si>
    <t>66:59:0102012</t>
  </si>
  <si>
    <t>66:59:0102016</t>
  </si>
  <si>
    <t>66:59:0102017</t>
  </si>
  <si>
    <t>66:59:0102020</t>
  </si>
  <si>
    <t>66:59:0102030</t>
  </si>
  <si>
    <t>66:59:0103001</t>
  </si>
  <si>
    <t>66:59:0103002</t>
  </si>
  <si>
    <t>66:59:0103004</t>
  </si>
  <si>
    <t>66:59:0103005</t>
  </si>
  <si>
    <t>66:59:0208001</t>
  </si>
  <si>
    <t>66:59:0102027</t>
  </si>
  <si>
    <t>66:59:0102007</t>
  </si>
  <si>
    <t>66:59:0102002</t>
  </si>
  <si>
    <t>66:59:0102003</t>
  </si>
  <si>
    <t>66:59:0102004</t>
  </si>
  <si>
    <t>66:59:0102018</t>
  </si>
  <si>
    <t>66:59:0102028</t>
  </si>
  <si>
    <t>66:59:0102029</t>
  </si>
  <si>
    <t>66:59:0207001</t>
  </si>
  <si>
    <t>66:59:0207002</t>
  </si>
  <si>
    <t>66:59:0207003</t>
  </si>
  <si>
    <t>66:59:0217006</t>
  </si>
  <si>
    <t>66:59:0217008</t>
  </si>
  <si>
    <t>66:59:0217009</t>
  </si>
  <si>
    <t>66:59:0217010</t>
  </si>
  <si>
    <t>66:21:1205002</t>
  </si>
  <si>
    <t>66:21:1301005</t>
  </si>
  <si>
    <t>66:59:0102021</t>
  </si>
  <si>
    <t>66:59:0102022</t>
  </si>
  <si>
    <t>66:59:0102024</t>
  </si>
  <si>
    <t>66:59:0102025</t>
  </si>
  <si>
    <t>66:59:0102026</t>
  </si>
  <si>
    <t>66:59:0213001</t>
  </si>
  <si>
    <t>66:59:0217002</t>
  </si>
  <si>
    <t>66:21:1205003</t>
  </si>
  <si>
    <t>66:59:0214005</t>
  </si>
  <si>
    <t>66:59:0214010</t>
  </si>
  <si>
    <t>66:21:1204003</t>
  </si>
  <si>
    <t>66:21:1205001</t>
  </si>
  <si>
    <t>66:21:1301002</t>
  </si>
  <si>
    <t>66:21:1301004</t>
  </si>
  <si>
    <t>66:21:1501001</t>
  </si>
  <si>
    <t>66:21:1501002</t>
  </si>
  <si>
    <t>66:21:1501003</t>
  </si>
  <si>
    <t>66:21:1801001</t>
  </si>
  <si>
    <t>66:21:1801002</t>
  </si>
  <si>
    <t>66:58:2902010</t>
  </si>
  <si>
    <t>66:58:0110001</t>
  </si>
  <si>
    <t>66:58:0110002</t>
  </si>
  <si>
    <t>66:58:2902011</t>
  </si>
  <si>
    <t>66:58:2902012</t>
  </si>
  <si>
    <t>66:58:2902013</t>
  </si>
  <si>
    <t>66:58:2902014</t>
  </si>
  <si>
    <t>66:58:2902015</t>
  </si>
  <si>
    <t>66:58:2902016</t>
  </si>
  <si>
    <t>66:58:2902017</t>
  </si>
  <si>
    <t>66:58:2902018</t>
  </si>
  <si>
    <t>66:58:2902020</t>
  </si>
  <si>
    <t>66:58:2902021</t>
  </si>
  <si>
    <t>66:58:2902022</t>
  </si>
  <si>
    <t>66:58:2902023</t>
  </si>
  <si>
    <t>66:58:2904001</t>
  </si>
  <si>
    <t>66:58:2902019</t>
  </si>
  <si>
    <t>66:58:2902024</t>
  </si>
  <si>
    <t>66:58:2902027</t>
  </si>
  <si>
    <t>66:58:2902029</t>
  </si>
  <si>
    <t>66:58:0110008</t>
  </si>
  <si>
    <t>66:58:2902001</t>
  </si>
  <si>
    <t>66:58:2902009</t>
  </si>
  <si>
    <t>66:58:2903001</t>
  </si>
  <si>
    <t>66:58:2902007</t>
  </si>
  <si>
    <t>66:58:0110004</t>
  </si>
  <si>
    <t>66:58:0109003</t>
  </si>
  <si>
    <t>66:58:0110003</t>
  </si>
  <si>
    <t>66:58:0110005</t>
  </si>
  <si>
    <t>66:58:0110006</t>
  </si>
  <si>
    <t>66:58:0110007</t>
  </si>
  <si>
    <t>66:58:0116001</t>
  </si>
  <si>
    <t>66:58:0117001</t>
  </si>
  <si>
    <t>66:58:0117002</t>
  </si>
  <si>
    <t>66:58:0117003</t>
  </si>
  <si>
    <t>66:58:0117004</t>
  </si>
  <si>
    <t>66:58:2902004</t>
  </si>
  <si>
    <t>66:58:2902005</t>
  </si>
  <si>
    <t>66:58:2902006</t>
  </si>
  <si>
    <t>66:58:2902008</t>
  </si>
  <si>
    <t>66:58:0113011</t>
  </si>
  <si>
    <t>66:58:0116002</t>
  </si>
  <si>
    <t>66:58:0116003</t>
  </si>
  <si>
    <t>66:58:0116004</t>
  </si>
  <si>
    <t>66:58:0118006</t>
  </si>
  <si>
    <t>66:58:0118010</t>
  </si>
  <si>
    <t>66:58:0119004</t>
  </si>
  <si>
    <t>66:58:0119005</t>
  </si>
  <si>
    <t>66:58:0119009</t>
  </si>
  <si>
    <t>66:58:0120001</t>
  </si>
  <si>
    <t>66:58:0120002</t>
  </si>
  <si>
    <t>66:58:0120003</t>
  </si>
  <si>
    <t>66:58:0120004</t>
  </si>
  <si>
    <t>66:58:0120005</t>
  </si>
  <si>
    <t>66:58:0120006</t>
  </si>
  <si>
    <t>66:58:0120007</t>
  </si>
  <si>
    <t>66:58:0120008</t>
  </si>
  <si>
    <t>66:58:0120009</t>
  </si>
  <si>
    <t>66:58:0120010</t>
  </si>
  <si>
    <t>66:58:0108003</t>
  </si>
  <si>
    <t>66:58:0103001</t>
  </si>
  <si>
    <t>66:58:0103003</t>
  </si>
  <si>
    <t>66:58:0107001</t>
  </si>
  <si>
    <t>66:58:0107002</t>
  </si>
  <si>
    <t>66:58:0107003</t>
  </si>
  <si>
    <t>66:58:0107004</t>
  </si>
  <si>
    <t>66:58:0108001</t>
  </si>
  <si>
    <t>66:58:0108002</t>
  </si>
  <si>
    <t>66:58:0108004</t>
  </si>
  <si>
    <t>66:58:0108005</t>
  </si>
  <si>
    <t>66:58:0108006</t>
  </si>
  <si>
    <t>66:58:0109001</t>
  </si>
  <si>
    <t>66:58:0109002</t>
  </si>
  <si>
    <t>66:58:0118008</t>
  </si>
  <si>
    <t>66:58:0111013</t>
  </si>
  <si>
    <t>66:58:0111014</t>
  </si>
  <si>
    <t>66:58:0119001</t>
  </si>
  <si>
    <t>66:58:0119002</t>
  </si>
  <si>
    <t>66:58:0119003</t>
  </si>
  <si>
    <t>66:58:0119006</t>
  </si>
  <si>
    <t>66:58:0119007</t>
  </si>
  <si>
    <t>66:58:0119008</t>
  </si>
  <si>
    <t>66:58:0120011</t>
  </si>
  <si>
    <t>66:58:0120012</t>
  </si>
  <si>
    <t>66:58:0120013</t>
  </si>
  <si>
    <t>66:58:0120014</t>
  </si>
  <si>
    <t>66:58:0120015</t>
  </si>
  <si>
    <t>66:58:0120016</t>
  </si>
  <si>
    <t>66:58:2902025</t>
  </si>
  <si>
    <t>66:58:2902026</t>
  </si>
  <si>
    <t>66:21:0101001</t>
  </si>
  <si>
    <t>66:58:0105003</t>
  </si>
  <si>
    <t>66:58:0102003</t>
  </si>
  <si>
    <t>66:58:0102002</t>
  </si>
  <si>
    <t>66:58:0102004</t>
  </si>
  <si>
    <t>66:58:0102005</t>
  </si>
  <si>
    <t>66:58:0103002</t>
  </si>
  <si>
    <t>66:58:0104006</t>
  </si>
  <si>
    <t>66:58:0105001</t>
  </si>
  <si>
    <t>66:58:0105002</t>
  </si>
  <si>
    <t>66:58:0105004</t>
  </si>
  <si>
    <t>66:58:0106001</t>
  </si>
  <si>
    <t>66:58:0114001</t>
  </si>
  <si>
    <t>66:58:0115001</t>
  </si>
  <si>
    <t>66:58:2902002</t>
  </si>
  <si>
    <t>66:58:2902003</t>
  </si>
  <si>
    <t>66:58:0118003</t>
  </si>
  <si>
    <t>66:58:0113006</t>
  </si>
  <si>
    <t>66:58:0111006</t>
  </si>
  <si>
    <t>66:58:0112003</t>
  </si>
  <si>
    <t>66:58:0112004</t>
  </si>
  <si>
    <t>66:58:0113001</t>
  </si>
  <si>
    <t>66:58:0113005</t>
  </si>
  <si>
    <t>66:58:0113007</t>
  </si>
  <si>
    <t>66:58:0113008</t>
  </si>
  <si>
    <t>66:58:0113009</t>
  </si>
  <si>
    <t>66:58:0113010</t>
  </si>
  <si>
    <t>66:58:0118001</t>
  </si>
  <si>
    <t>66:58:0118002</t>
  </si>
  <si>
    <t>66:58:0118004</t>
  </si>
  <si>
    <t>66:58:0118005</t>
  </si>
  <si>
    <t>66:58:0118007</t>
  </si>
  <si>
    <t>66:58:0118009</t>
  </si>
  <si>
    <t>66:58:0104001</t>
  </si>
  <si>
    <t>66:58:0104002</t>
  </si>
  <si>
    <t>66:58:0104003</t>
  </si>
  <si>
    <t>66:58:0104004</t>
  </si>
  <si>
    <t>66:58:0104005</t>
  </si>
  <si>
    <t>66:58:0104007</t>
  </si>
  <si>
    <t>66:58:0104008</t>
  </si>
  <si>
    <t>66:58:0104009</t>
  </si>
  <si>
    <t>66:58:0111001</t>
  </si>
  <si>
    <t>66:58:0112001</t>
  </si>
  <si>
    <t>66:58:0113002</t>
  </si>
  <si>
    <t>66:58:0113003</t>
  </si>
  <si>
    <t>66:58:0113004</t>
  </si>
  <si>
    <t>66:58:2901012</t>
  </si>
  <si>
    <t>66:58:0111012</t>
  </si>
  <si>
    <t>66:58:0111002</t>
  </si>
  <si>
    <t>66:58:0111003</t>
  </si>
  <si>
    <t>66:58:0111004</t>
  </si>
  <si>
    <t>66:58:0111005</t>
  </si>
  <si>
    <t>66:58:0111007</t>
  </si>
  <si>
    <t>66:58:0111008</t>
  </si>
  <si>
    <t>66:58:0111009</t>
  </si>
  <si>
    <t>66:58:0111010</t>
  </si>
  <si>
    <t>66:58:0111011</t>
  </si>
  <si>
    <t>66:58:0112002</t>
  </si>
  <si>
    <t>66:58:2901010</t>
  </si>
  <si>
    <t>66:58:2901011</t>
  </si>
  <si>
    <t>66:58:2901013</t>
  </si>
  <si>
    <t>66:58:2901014</t>
  </si>
  <si>
    <t>66:58:2901006</t>
  </si>
  <si>
    <t>66:58:2901007</t>
  </si>
  <si>
    <t>66:58:2901008</t>
  </si>
  <si>
    <t>66:58:2901009</t>
  </si>
  <si>
    <t>66:58:0201001</t>
  </si>
  <si>
    <t>66:21:0101083</t>
  </si>
  <si>
    <t>66:21:0101007</t>
  </si>
  <si>
    <t>66:21:0101011</t>
  </si>
  <si>
    <t>66:21:0101012</t>
  </si>
  <si>
    <t>66:21:0101013</t>
  </si>
  <si>
    <t>66:21:0101019</t>
  </si>
  <si>
    <t>66:21:0101020</t>
  </si>
  <si>
    <t>66:21:0101021</t>
  </si>
  <si>
    <t>66:21:0101028</t>
  </si>
  <si>
    <t>66:21:0101029</t>
  </si>
  <si>
    <t>66:21:0101047</t>
  </si>
  <si>
    <t>66:21:0101084</t>
  </si>
  <si>
    <t>66:21:0101085</t>
  </si>
  <si>
    <t>66:21:0101086</t>
  </si>
  <si>
    <t>66:21:1204007</t>
  </si>
  <si>
    <t>66:21:0101054</t>
  </si>
  <si>
    <t>66:21:0101055</t>
  </si>
  <si>
    <t>66:21:0101066</t>
  </si>
  <si>
    <t>66:21:0101073</t>
  </si>
  <si>
    <t>66:21:0101074</t>
  </si>
  <si>
    <t>66:21:0101079</t>
  </si>
  <si>
    <t>66:21:0101080</t>
  </si>
  <si>
    <t>66:21:0101081</t>
  </si>
  <si>
    <t>66:21:0101087</t>
  </si>
  <si>
    <t>66:21:0101088</t>
  </si>
  <si>
    <t>66:21:0101089</t>
  </si>
  <si>
    <t>66:21:0101090</t>
  </si>
  <si>
    <t>66:21:0101091</t>
  </si>
  <si>
    <t>66:21:0601001</t>
  </si>
  <si>
    <t>66:21:1203001</t>
  </si>
  <si>
    <t>66:21:1203002</t>
  </si>
  <si>
    <t>66:21:1204005</t>
  </si>
  <si>
    <t>66:21:1204006</t>
  </si>
  <si>
    <t>66:21:0901001</t>
  </si>
  <si>
    <t>66:58:2901005</t>
  </si>
  <si>
    <t>66:58:1301001</t>
  </si>
  <si>
    <t>66:58:1301002</t>
  </si>
  <si>
    <t>66:58:1301003</t>
  </si>
  <si>
    <t>66:58:1301005</t>
  </si>
  <si>
    <t>66:58:2901003</t>
  </si>
  <si>
    <t>66:58:2901004</t>
  </si>
  <si>
    <t>66:58:1501001</t>
  </si>
  <si>
    <t>66:58:1301004</t>
  </si>
  <si>
    <t>66:58:1301006</t>
  </si>
  <si>
    <t>66:58:1301007</t>
  </si>
  <si>
    <t>66:58:1301008</t>
  </si>
  <si>
    <t>66:58:1301009</t>
  </si>
  <si>
    <t>66:58:1601001</t>
  </si>
  <si>
    <t>66:58:1601002</t>
  </si>
  <si>
    <t>66:58:1601003</t>
  </si>
  <si>
    <t>66:58:1801001</t>
  </si>
  <si>
    <t>66:58:2401001</t>
  </si>
  <si>
    <t>66:58:2803002</t>
  </si>
  <si>
    <t>66:58:2803005</t>
  </si>
  <si>
    <t>66:21:1204004</t>
  </si>
  <si>
    <t>66:21:0201001</t>
  </si>
  <si>
    <t>66:58:2803010</t>
  </si>
  <si>
    <t>66:58:2803011</t>
  </si>
  <si>
    <t>66:21:0401001</t>
  </si>
  <si>
    <t>66:21:0501001</t>
  </si>
  <si>
    <t>66:21:1202001</t>
  </si>
  <si>
    <t>66:21:1202002</t>
  </si>
  <si>
    <t>66:21:1202003</t>
  </si>
  <si>
    <t>66:21:1202004</t>
  </si>
  <si>
    <t>66:21:1202005</t>
  </si>
  <si>
    <t>66:21:1204001</t>
  </si>
  <si>
    <t>66:21:1204008</t>
  </si>
  <si>
    <t>66:21:1204009</t>
  </si>
  <si>
    <t>66:58:2803003</t>
  </si>
  <si>
    <t>66:58:2803004</t>
  </si>
  <si>
    <t>66:58:2901002</t>
  </si>
  <si>
    <t>66:58:2803001</t>
  </si>
  <si>
    <t>66:58:1201005</t>
  </si>
  <si>
    <t>66:58:1201002</t>
  </si>
  <si>
    <t>66:58:1201003</t>
  </si>
  <si>
    <t>66:58:1201006</t>
  </si>
  <si>
    <t>66:58:1401001</t>
  </si>
  <si>
    <t>66:58:1401002</t>
  </si>
  <si>
    <t>66:58:1401003</t>
  </si>
  <si>
    <t>66:58:1501002</t>
  </si>
  <si>
    <t>66:58:1501003</t>
  </si>
  <si>
    <t>66:58:1501004</t>
  </si>
  <si>
    <t>66:58:1501005</t>
  </si>
  <si>
    <t>66:58:1701001</t>
  </si>
  <si>
    <t>66:58:1701002</t>
  </si>
  <si>
    <t>66:58:1701003</t>
  </si>
  <si>
    <t>66:58:2803022</t>
  </si>
  <si>
    <t>66:58:2803007</t>
  </si>
  <si>
    <t>66:58:2803006</t>
  </si>
  <si>
    <t>66:58:2803008</t>
  </si>
  <si>
    <t>66:58:2803009</t>
  </si>
  <si>
    <t>66:58:2803012</t>
  </si>
  <si>
    <t>66:58:2803013</t>
  </si>
  <si>
    <t>66:58:2803014</t>
  </si>
  <si>
    <t>66:58:2803015</t>
  </si>
  <si>
    <t>66:58:2803016</t>
  </si>
  <si>
    <t>66:58:2803017</t>
  </si>
  <si>
    <t>66:58:2803018</t>
  </si>
  <si>
    <t>66:58:2803019</t>
  </si>
  <si>
    <t>66:58:2803020</t>
  </si>
  <si>
    <t>66:58:2803021</t>
  </si>
  <si>
    <t>66:58:3101001</t>
  </si>
  <si>
    <t>66:58:2803025</t>
  </si>
  <si>
    <t>66:58:1201001</t>
  </si>
  <si>
    <t>66:58:1201004</t>
  </si>
  <si>
    <t>66:58:2001001</t>
  </si>
  <si>
    <t>66:58:2802005</t>
  </si>
  <si>
    <t>66:21:1201004</t>
  </si>
  <si>
    <t>66:21:1201003</t>
  </si>
  <si>
    <t>66:21:1201001</t>
  </si>
  <si>
    <t>66:21:1201002</t>
  </si>
  <si>
    <t>66:21:1201005</t>
  </si>
  <si>
    <t>66:21:1201006</t>
  </si>
  <si>
    <t>66:21:1201007</t>
  </si>
  <si>
    <t>66:21:1201008</t>
  </si>
  <si>
    <t>66:21:1204002</t>
  </si>
  <si>
    <t>66:58:2803024</t>
  </si>
  <si>
    <t>66:58:2803023</t>
  </si>
  <si>
    <t>66:58:2803026</t>
  </si>
  <si>
    <t>66:58:2803027</t>
  </si>
  <si>
    <t>66:58:2803028</t>
  </si>
  <si>
    <t>66:58:2803029</t>
  </si>
  <si>
    <t>66:58:2803030</t>
  </si>
  <si>
    <t>66:58:2803031</t>
  </si>
  <si>
    <t>66:58:2803032</t>
  </si>
  <si>
    <t>66:58:2803033</t>
  </si>
  <si>
    <t>66:58:2803034</t>
  </si>
  <si>
    <t>66:58:2803035</t>
  </si>
  <si>
    <t>66:58:2803036</t>
  </si>
  <si>
    <t>66:58:2803037</t>
  </si>
  <si>
    <t>66:58:2803038</t>
  </si>
  <si>
    <t>66:58:0801001</t>
  </si>
  <si>
    <t>66:58:0801002</t>
  </si>
  <si>
    <t>66:58:0801003</t>
  </si>
  <si>
    <t>66:58:0901001</t>
  </si>
  <si>
    <t>66:58:0901002</t>
  </si>
  <si>
    <t>66:58:0901003</t>
  </si>
  <si>
    <t>66:58:0901004</t>
  </si>
  <si>
    <t>66:58:1001001</t>
  </si>
  <si>
    <t>66:58:2802002</t>
  </si>
  <si>
    <t>66:58:2802003</t>
  </si>
  <si>
    <t>66:58:2802004</t>
  </si>
  <si>
    <t>66:58:1101009</t>
  </si>
  <si>
    <t>66:58:1101002</t>
  </si>
  <si>
    <t>66:58:1101001</t>
  </si>
  <si>
    <t>66:58:0901005</t>
  </si>
  <si>
    <t>66:58:1001002</t>
  </si>
  <si>
    <t>66:58:1101003</t>
  </si>
  <si>
    <t>66:58:1101004</t>
  </si>
  <si>
    <t>66:58:1101005</t>
  </si>
  <si>
    <t>66:58:1101006</t>
  </si>
  <si>
    <t>66:58:1101007</t>
  </si>
  <si>
    <t>66:58:1101008</t>
  </si>
  <si>
    <t>66:58:1101010</t>
  </si>
  <si>
    <t>66:58:1101011</t>
  </si>
  <si>
    <t>66:58:1101012</t>
  </si>
  <si>
    <t>66:58:2701001</t>
  </si>
  <si>
    <t>66:58:0701002</t>
  </si>
  <si>
    <t>66:58:0701003</t>
  </si>
  <si>
    <t>66:58:0701004</t>
  </si>
  <si>
    <t>66:58:0701005</t>
  </si>
  <si>
    <t>66:58:0701006</t>
  </si>
  <si>
    <t>66:58:0701008</t>
  </si>
  <si>
    <t>66:58:0701009</t>
  </si>
  <si>
    <t>66:58:2802001</t>
  </si>
  <si>
    <t>66:58:2901001</t>
  </si>
  <si>
    <t>66:58:1901001</t>
  </si>
  <si>
    <t>66:58:2802006</t>
  </si>
  <si>
    <t>66:58:0701007</t>
  </si>
  <si>
    <t>66:58:2801001</t>
  </si>
  <si>
    <t>66:58:3001001</t>
  </si>
  <si>
    <t>66:58:0701001</t>
  </si>
  <si>
    <t>66:58:0301001</t>
  </si>
  <si>
    <t>66:58:0401001</t>
  </si>
  <si>
    <t>66:58:0501001</t>
  </si>
  <si>
    <t>66:58:0501002</t>
  </si>
  <si>
    <t>66:58:0601001</t>
  </si>
  <si>
    <t>66:58:0601002</t>
  </si>
  <si>
    <t>66:41:0000000</t>
  </si>
  <si>
    <t>sw_3</t>
  </si>
  <si>
    <t>расчетные коэффициенты по модели</t>
  </si>
  <si>
    <t>!!! Расчет функции по расстоянию до 20 знаков и соответстующие графики в файле 20_modul.xlsx !!!</t>
  </si>
  <si>
    <t>коэффициент по расстоянию</t>
  </si>
  <si>
    <t>!!! В данный файл вставлены только результирующие расчетные формулы !!!</t>
  </si>
  <si>
    <t>коэффициент по площади</t>
  </si>
  <si>
    <r>
      <t>-0,00000000000000018x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charset val="204"/>
        <scheme val="minor"/>
      </rPr>
      <t xml:space="preserve"> + 0,00000000001213529x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charset val="204"/>
        <scheme val="minor"/>
      </rPr>
      <t xml:space="preserve"> - 0,00000011429507157x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+ 0,00020471790205693x + 0,89389209437225900</t>
    </r>
  </si>
  <si>
    <t>граничные значения</t>
  </si>
  <si>
    <t>площадь, кв.м.</t>
  </si>
  <si>
    <t>исходная функция (желтая)</t>
  </si>
  <si>
    <t>экспонированная функция (синяя)</t>
  </si>
  <si>
    <t>аппроксимирующая функция (серая)</t>
  </si>
  <si>
    <t>контроьные значения аппроксимирующей</t>
  </si>
  <si>
    <t xml:space="preserve"> график в отчет</t>
  </si>
  <si>
    <t>график в отчет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</si>
  <si>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безразличия)+0,962501568438211)))))*0,7145)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</si>
  <si>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безразличия)+0,962501568438211)))))*0,6392)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</si>
</sst>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0"/>
    <numFmt numFmtId="165" formatCode="0.00000000"/>
    <numFmt numFmtId="166" formatCode="0.0000"/>
    <numFmt numFmtId="167" formatCode="0.00000"/>
    <numFmt numFmtId="168" formatCode="0.00000000000000000000"/>
  </numFmts>
  <fonts count="2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i/>
      <sz val="8"/>
      <color rgb="FF000000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i/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rgb="FF595959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6" fillId="0" borderId="0"/>
  </cellStyleXfs>
  <cellXfs count="200">
    <xf numFmtId="0" fontId="0" fillId="0" borderId="0" xfId="0"/>
    <xf numFmtId="0" fontId="3" fillId="0" borderId="0" xfId="1" applyFont="1" applyAlignment="1">
      <alignment horizontal="left" vertical="center" wrapText="1"/>
    </xf>
    <xf numFmtId="0" fontId="3" fillId="2" borderId="0" xfId="2" applyFont="1" applyFill="1" applyAlignment="1">
      <alignment horizontal="left" vertical="center" wrapText="1"/>
    </xf>
    <xf numFmtId="0" fontId="3" fillId="2" borderId="0" xfId="3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vertical="center" wrapText="1"/>
    </xf>
    <xf numFmtId="1" fontId="3" fillId="0" borderId="1" xfId="0" applyNumberFormat="1" applyFont="1" applyFill="1" applyBorder="1" applyAlignment="1">
      <alignment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 wrapText="1"/>
    </xf>
    <xf numFmtId="0" fontId="0" fillId="7" borderId="0" xfId="0" applyFill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3" fillId="0" borderId="1" xfId="5" applyFont="1" applyFill="1" applyBorder="1" applyAlignment="1">
      <alignment horizontal="left" vertical="center" wrapText="1"/>
    </xf>
    <xf numFmtId="4" fontId="3" fillId="0" borderId="1" xfId="5" applyNumberFormat="1" applyFont="1" applyFill="1" applyBorder="1" applyAlignment="1">
      <alignment horizontal="left" vertical="center" wrapText="1"/>
    </xf>
    <xf numFmtId="1" fontId="8" fillId="0" borderId="0" xfId="0" applyNumberFormat="1" applyFont="1" applyFill="1" applyBorder="1"/>
    <xf numFmtId="0" fontId="3" fillId="4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7" fillId="0" borderId="0" xfId="0" applyFont="1" applyFill="1" applyAlignment="1">
      <alignment vertical="top" wrapText="1"/>
    </xf>
    <xf numFmtId="0" fontId="7" fillId="8" borderId="0" xfId="0" applyFont="1" applyFill="1" applyAlignment="1">
      <alignment horizontal="center" vertical="top" wrapText="1"/>
    </xf>
    <xf numFmtId="0" fontId="3" fillId="0" borderId="0" xfId="6" applyFont="1" applyAlignment="1">
      <alignment horizontal="left" vertical="center" wrapText="1"/>
    </xf>
    <xf numFmtId="0" fontId="3" fillId="0" borderId="0" xfId="7" applyFont="1" applyAlignment="1">
      <alignment horizontal="left" vertical="center" wrapText="1"/>
    </xf>
    <xf numFmtId="0" fontId="3" fillId="9" borderId="0" xfId="8" applyFont="1" applyFill="1" applyAlignment="1">
      <alignment horizontal="left" vertical="center" wrapText="1"/>
    </xf>
    <xf numFmtId="0" fontId="9" fillId="9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 wrapText="1"/>
    </xf>
    <xf numFmtId="4" fontId="10" fillId="9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vertical="top" wrapText="1"/>
    </xf>
    <xf numFmtId="1" fontId="10" fillId="9" borderId="0" xfId="0" applyNumberFormat="1" applyFont="1" applyFill="1" applyAlignment="1">
      <alignment horizontal="center" vertical="center" wrapText="1"/>
    </xf>
    <xf numFmtId="0" fontId="0" fillId="0" borderId="0" xfId="0" applyFill="1" applyBorder="1"/>
    <xf numFmtId="0" fontId="3" fillId="0" borderId="0" xfId="2" applyFont="1" applyAlignment="1">
      <alignment horizontal="center" wrapText="1"/>
    </xf>
    <xf numFmtId="0" fontId="11" fillId="3" borderId="0" xfId="0" applyFont="1" applyFill="1" applyAlignment="1">
      <alignment vertical="top" wrapText="1"/>
    </xf>
    <xf numFmtId="0" fontId="13" fillId="3" borderId="0" xfId="9" applyFont="1" applyFill="1" applyAlignment="1">
      <alignment horizontal="center" vertical="center" wrapText="1"/>
    </xf>
    <xf numFmtId="0" fontId="6" fillId="10" borderId="0" xfId="10" applyFont="1" applyFill="1" applyAlignment="1">
      <alignment vertical="top" wrapText="1"/>
    </xf>
    <xf numFmtId="0" fontId="6" fillId="10" borderId="0" xfId="10" quotePrefix="1" applyFont="1" applyFill="1" applyAlignment="1">
      <alignment vertical="top" wrapText="1"/>
    </xf>
    <xf numFmtId="0" fontId="1" fillId="10" borderId="0" xfId="10" applyFill="1"/>
    <xf numFmtId="0" fontId="1" fillId="0" borderId="0" xfId="6"/>
    <xf numFmtId="0" fontId="8" fillId="0" borderId="0" xfId="0" applyFont="1" applyFill="1" applyBorder="1"/>
    <xf numFmtId="0" fontId="0" fillId="0" borderId="0" xfId="0" applyBorder="1"/>
    <xf numFmtId="164" fontId="8" fillId="0" borderId="0" xfId="0" applyNumberFormat="1" applyFont="1" applyFill="1" applyBorder="1"/>
    <xf numFmtId="4" fontId="14" fillId="0" borderId="0" xfId="0" applyNumberFormat="1" applyFont="1" applyAlignment="1">
      <alignment wrapText="1"/>
    </xf>
    <xf numFmtId="49" fontId="8" fillId="0" borderId="0" xfId="0" applyNumberFormat="1" applyFont="1" applyFill="1" applyBorder="1"/>
    <xf numFmtId="0" fontId="14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2" xfId="0" applyNumberFormat="1" applyFont="1" applyFill="1" applyBorder="1" applyAlignment="1">
      <alignment horizontal="center" vertical="center" wrapText="1"/>
    </xf>
    <xf numFmtId="166" fontId="3" fillId="10" borderId="1" xfId="0" applyNumberFormat="1" applyFont="1" applyFill="1" applyBorder="1" applyAlignment="1">
      <alignment horizontal="center" vertical="center" wrapText="1"/>
    </xf>
    <xf numFmtId="166" fontId="3" fillId="0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/>
    </xf>
    <xf numFmtId="166" fontId="15" fillId="2" borderId="5" xfId="0" applyNumberFormat="1" applyFont="1" applyFill="1" applyBorder="1" applyAlignment="1">
      <alignment vertical="center"/>
    </xf>
    <xf numFmtId="166" fontId="15" fillId="4" borderId="6" xfId="0" applyNumberFormat="1" applyFont="1" applyFill="1" applyBorder="1" applyAlignment="1">
      <alignment vertical="center"/>
    </xf>
    <xf numFmtId="166" fontId="15" fillId="0" borderId="7" xfId="0" applyNumberFormat="1" applyFont="1" applyFill="1" applyBorder="1" applyAlignment="1">
      <alignment vertical="center"/>
    </xf>
    <xf numFmtId="0" fontId="15" fillId="0" borderId="0" xfId="0" applyFont="1"/>
    <xf numFmtId="166" fontId="15" fillId="2" borderId="1" xfId="0" applyNumberFormat="1" applyFont="1" applyFill="1" applyBorder="1" applyAlignment="1">
      <alignment vertical="center"/>
    </xf>
    <xf numFmtId="0" fontId="15" fillId="0" borderId="6" xfId="0" applyFont="1" applyFill="1" applyBorder="1" applyAlignment="1">
      <alignment vertical="center"/>
    </xf>
    <xf numFmtId="0" fontId="15" fillId="0" borderId="6" xfId="0" applyFont="1" applyFill="1" applyBorder="1" applyAlignment="1">
      <alignment vertical="center" wrapText="1"/>
    </xf>
    <xf numFmtId="165" fontId="15" fillId="2" borderId="1" xfId="0" applyNumberFormat="1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8" xfId="0" applyFont="1" applyFill="1" applyBorder="1" applyAlignment="1">
      <alignment vertical="center"/>
    </xf>
    <xf numFmtId="0" fontId="15" fillId="0" borderId="8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 wrapText="1"/>
    </xf>
    <xf numFmtId="165" fontId="15" fillId="2" borderId="6" xfId="0" applyNumberFormat="1" applyFont="1" applyFill="1" applyBorder="1" applyAlignment="1">
      <alignment vertical="center"/>
    </xf>
    <xf numFmtId="0" fontId="15" fillId="0" borderId="5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center"/>
    </xf>
    <xf numFmtId="166" fontId="15" fillId="2" borderId="4" xfId="0" applyNumberFormat="1" applyFont="1" applyFill="1" applyBorder="1" applyAlignment="1">
      <alignment vertical="center"/>
    </xf>
    <xf numFmtId="0" fontId="15" fillId="0" borderId="10" xfId="0" applyFont="1" applyFill="1" applyBorder="1" applyAlignment="1">
      <alignment vertical="center" wrapText="1"/>
    </xf>
    <xf numFmtId="166" fontId="15" fillId="4" borderId="8" xfId="0" applyNumberFormat="1" applyFont="1" applyFill="1" applyBorder="1" applyAlignment="1">
      <alignment vertical="center"/>
    </xf>
    <xf numFmtId="166" fontId="15" fillId="0" borderId="11" xfId="0" applyNumberFormat="1" applyFont="1" applyFill="1" applyBorder="1" applyAlignment="1">
      <alignment vertical="center"/>
    </xf>
    <xf numFmtId="0" fontId="15" fillId="0" borderId="1" xfId="0" applyFont="1" applyFill="1" applyBorder="1" applyAlignment="1">
      <alignment horizontal="center"/>
    </xf>
    <xf numFmtId="0" fontId="15" fillId="0" borderId="1" xfId="0" applyFont="1" applyFill="1" applyBorder="1"/>
    <xf numFmtId="0" fontId="15" fillId="0" borderId="0" xfId="0" applyFont="1" applyFill="1"/>
    <xf numFmtId="0" fontId="16" fillId="0" borderId="1" xfId="11" applyFont="1" applyFill="1" applyBorder="1" applyAlignment="1">
      <alignment horizontal="center"/>
    </xf>
    <xf numFmtId="165" fontId="15" fillId="9" borderId="1" xfId="0" applyNumberFormat="1" applyFont="1" applyFill="1" applyBorder="1" applyAlignment="1">
      <alignment vertical="center"/>
    </xf>
    <xf numFmtId="165" fontId="15" fillId="10" borderId="1" xfId="0" applyNumberFormat="1" applyFont="1" applyFill="1" applyBorder="1" applyAlignment="1">
      <alignment vertical="center"/>
    </xf>
    <xf numFmtId="166" fontId="17" fillId="10" borderId="1" xfId="0" applyNumberFormat="1" applyFont="1" applyFill="1" applyBorder="1" applyAlignment="1">
      <alignment horizontal="center" vertical="top" wrapText="1"/>
    </xf>
    <xf numFmtId="0" fontId="18" fillId="4" borderId="6" xfId="0" applyFont="1" applyFill="1" applyBorder="1" applyAlignment="1">
      <alignment horizontal="center" vertical="center" wrapText="1"/>
    </xf>
    <xf numFmtId="166" fontId="15" fillId="10" borderId="7" xfId="0" applyNumberFormat="1" applyFont="1" applyFill="1" applyBorder="1" applyAlignment="1">
      <alignment vertical="center" wrapText="1"/>
    </xf>
    <xf numFmtId="0" fontId="15" fillId="0" borderId="6" xfId="0" applyFont="1" applyFill="1" applyBorder="1" applyAlignment="1"/>
    <xf numFmtId="166" fontId="15" fillId="0" borderId="6" xfId="0" applyNumberFormat="1" applyFont="1" applyFill="1" applyBorder="1" applyAlignment="1"/>
    <xf numFmtId="166" fontId="17" fillId="11" borderId="1" xfId="0" applyNumberFormat="1" applyFont="1" applyFill="1" applyBorder="1" applyAlignment="1">
      <alignment horizontal="left" vertical="top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 wrapText="1"/>
    </xf>
    <xf numFmtId="167" fontId="15" fillId="10" borderId="7" xfId="0" applyNumberFormat="1" applyFont="1" applyFill="1" applyBorder="1" applyAlignment="1">
      <alignment vertical="center"/>
    </xf>
    <xf numFmtId="0" fontId="15" fillId="0" borderId="12" xfId="0" applyFont="1" applyFill="1" applyBorder="1" applyAlignment="1">
      <alignment horizontal="center"/>
    </xf>
    <xf numFmtId="0" fontId="15" fillId="0" borderId="6" xfId="0" applyFont="1" applyFill="1" applyBorder="1"/>
    <xf numFmtId="165" fontId="15" fillId="0" borderId="12" xfId="0" applyNumberFormat="1" applyFont="1" applyFill="1" applyBorder="1"/>
    <xf numFmtId="166" fontId="15" fillId="0" borderId="12" xfId="0" applyNumberFormat="1" applyFont="1" applyFill="1" applyBorder="1"/>
    <xf numFmtId="166" fontId="15" fillId="4" borderId="6" xfId="0" applyNumberFormat="1" applyFont="1" applyFill="1" applyBorder="1"/>
    <xf numFmtId="0" fontId="15" fillId="0" borderId="12" xfId="0" applyFont="1" applyFill="1" applyBorder="1"/>
    <xf numFmtId="166" fontId="15" fillId="0" borderId="6" xfId="0" applyNumberFormat="1" applyFont="1" applyFill="1" applyBorder="1"/>
    <xf numFmtId="166" fontId="15" fillId="0" borderId="7" xfId="0" applyNumberFormat="1" applyFont="1" applyFill="1" applyBorder="1"/>
    <xf numFmtId="0" fontId="15" fillId="0" borderId="13" xfId="0" applyFont="1" applyFill="1" applyBorder="1" applyAlignment="1">
      <alignment horizontal="center"/>
    </xf>
    <xf numFmtId="165" fontId="15" fillId="0" borderId="13" xfId="0" applyNumberFormat="1" applyFont="1" applyFill="1" applyBorder="1"/>
    <xf numFmtId="166" fontId="15" fillId="0" borderId="13" xfId="0" applyNumberFormat="1" applyFont="1" applyFill="1" applyBorder="1"/>
    <xf numFmtId="166" fontId="15" fillId="4" borderId="9" xfId="0" applyNumberFormat="1" applyFont="1" applyFill="1" applyBorder="1"/>
    <xf numFmtId="0" fontId="15" fillId="0" borderId="13" xfId="0" applyFont="1" applyFill="1" applyBorder="1"/>
    <xf numFmtId="166" fontId="15" fillId="0" borderId="9" xfId="0" applyNumberFormat="1" applyFont="1" applyFill="1" applyBorder="1"/>
    <xf numFmtId="166" fontId="15" fillId="0" borderId="14" xfId="0" applyNumberFormat="1" applyFont="1" applyFill="1" applyBorder="1"/>
    <xf numFmtId="0" fontId="2" fillId="12" borderId="0" xfId="0" applyFont="1" applyFill="1"/>
    <xf numFmtId="0" fontId="0" fillId="12" borderId="0" xfId="0" applyFill="1"/>
    <xf numFmtId="0" fontId="0" fillId="0" borderId="12" xfId="0" applyBorder="1"/>
    <xf numFmtId="0" fontId="0" fillId="13" borderId="12" xfId="0" applyFill="1" applyBorder="1" applyAlignment="1"/>
    <xf numFmtId="0" fontId="0" fillId="13" borderId="0" xfId="0" applyFill="1" applyBorder="1" applyAlignment="1"/>
    <xf numFmtId="0" fontId="0" fillId="0" borderId="15" xfId="0" applyBorder="1"/>
    <xf numFmtId="0" fontId="0" fillId="13" borderId="16" xfId="0" applyFill="1" applyBorder="1" applyAlignment="1"/>
    <xf numFmtId="0" fontId="0" fillId="13" borderId="17" xfId="0" applyFill="1" applyBorder="1" applyAlignment="1"/>
    <xf numFmtId="0" fontId="10" fillId="0" borderId="18" xfId="0" applyFont="1" applyBorder="1"/>
    <xf numFmtId="0" fontId="10" fillId="0" borderId="0" xfId="0" applyFont="1" applyBorder="1"/>
    <xf numFmtId="0" fontId="10" fillId="0" borderId="19" xfId="0" applyFont="1" applyBorder="1"/>
    <xf numFmtId="0" fontId="0" fillId="0" borderId="18" xfId="0" applyBorder="1"/>
    <xf numFmtId="0" fontId="0" fillId="0" borderId="19" xfId="0" applyBorder="1"/>
    <xf numFmtId="0" fontId="10" fillId="10" borderId="20" xfId="0" applyFont="1" applyFill="1" applyBorder="1" applyAlignment="1">
      <alignment horizontal="center" wrapText="1"/>
    </xf>
    <xf numFmtId="0" fontId="19" fillId="10" borderId="12" xfId="0" applyFont="1" applyFill="1" applyBorder="1" applyAlignment="1">
      <alignment horizontal="center"/>
    </xf>
    <xf numFmtId="0" fontId="19" fillId="10" borderId="0" xfId="0" applyFont="1" applyFill="1" applyBorder="1" applyAlignment="1">
      <alignment horizontal="center"/>
    </xf>
    <xf numFmtId="0" fontId="19" fillId="10" borderId="3" xfId="0" applyFont="1" applyFill="1" applyBorder="1" applyAlignment="1">
      <alignment horizontal="center"/>
    </xf>
    <xf numFmtId="0" fontId="0" fillId="0" borderId="3" xfId="0" applyBorder="1"/>
    <xf numFmtId="0" fontId="0" fillId="0" borderId="22" xfId="0" applyBorder="1"/>
    <xf numFmtId="0" fontId="0" fillId="0" borderId="23" xfId="0" applyBorder="1"/>
    <xf numFmtId="0" fontId="0" fillId="13" borderId="0" xfId="0" applyFill="1" applyBorder="1" applyAlignment="1">
      <alignment horizontal="center"/>
    </xf>
    <xf numFmtId="0" fontId="0" fillId="0" borderId="18" xfId="0" applyBorder="1" applyAlignment="1"/>
    <xf numFmtId="0" fontId="0" fillId="0" borderId="0" xfId="0" applyBorder="1" applyAlignment="1"/>
    <xf numFmtId="0" fontId="10" fillId="0" borderId="28" xfId="0" applyFont="1" applyBorder="1"/>
    <xf numFmtId="0" fontId="10" fillId="0" borderId="1" xfId="0" applyFont="1" applyBorder="1"/>
    <xf numFmtId="0" fontId="20" fillId="0" borderId="1" xfId="0" applyFont="1" applyBorder="1"/>
    <xf numFmtId="0" fontId="10" fillId="0" borderId="2" xfId="0" applyFont="1" applyBorder="1"/>
    <xf numFmtId="0" fontId="10" fillId="0" borderId="2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/>
    <xf numFmtId="0" fontId="20" fillId="0" borderId="0" xfId="0" applyFont="1"/>
    <xf numFmtId="0" fontId="6" fillId="0" borderId="0" xfId="6" quotePrefix="1" applyFont="1" applyAlignment="1">
      <alignment vertical="top" wrapText="1"/>
    </xf>
    <xf numFmtId="0" fontId="0" fillId="0" borderId="30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28" xfId="0" applyBorder="1"/>
    <xf numFmtId="0" fontId="0" fillId="0" borderId="1" xfId="0" applyBorder="1"/>
    <xf numFmtId="0" fontId="0" fillId="0" borderId="29" xfId="0" applyBorder="1"/>
    <xf numFmtId="0" fontId="0" fillId="0" borderId="0" xfId="0" applyFill="1" applyBorder="1" applyAlignment="1">
      <alignment vertical="center"/>
    </xf>
    <xf numFmtId="0" fontId="19" fillId="10" borderId="1" xfId="0" applyFont="1" applyFill="1" applyBorder="1" applyAlignment="1">
      <alignment horizontal="center"/>
    </xf>
    <xf numFmtId="0" fontId="1" fillId="12" borderId="0" xfId="0" applyFont="1" applyFill="1"/>
    <xf numFmtId="0" fontId="1" fillId="0" borderId="0" xfId="0" applyFont="1" applyFill="1"/>
    <xf numFmtId="166" fontId="0" fillId="0" borderId="0" xfId="0" applyNumberFormat="1"/>
    <xf numFmtId="0" fontId="0" fillId="10" borderId="30" xfId="0" applyFill="1" applyBorder="1"/>
    <xf numFmtId="0" fontId="0" fillId="0" borderId="13" xfId="0" applyFill="1" applyBorder="1"/>
    <xf numFmtId="0" fontId="19" fillId="10" borderId="28" xfId="0" applyFont="1" applyFill="1" applyBorder="1" applyAlignment="1">
      <alignment horizontal="center"/>
    </xf>
    <xf numFmtId="0" fontId="0" fillId="0" borderId="31" xfId="0" applyFill="1" applyBorder="1"/>
    <xf numFmtId="0" fontId="0" fillId="0" borderId="32" xfId="0" applyBorder="1"/>
    <xf numFmtId="0" fontId="0" fillId="14" borderId="0" xfId="0" applyFill="1" applyBorder="1"/>
    <xf numFmtId="49" fontId="0" fillId="13" borderId="0" xfId="0" applyNumberFormat="1" applyFill="1" applyBorder="1" applyAlignment="1">
      <alignment wrapText="1"/>
    </xf>
    <xf numFmtId="168" fontId="0" fillId="0" borderId="0" xfId="0" applyNumberFormat="1"/>
    <xf numFmtId="168" fontId="18" fillId="0" borderId="0" xfId="0" applyNumberFormat="1" applyFont="1"/>
    <xf numFmtId="0" fontId="2" fillId="0" borderId="0" xfId="0" applyFont="1"/>
    <xf numFmtId="0" fontId="21" fillId="10" borderId="0" xfId="0" applyFont="1" applyFill="1"/>
    <xf numFmtId="166" fontId="22" fillId="0" borderId="0" xfId="0" applyNumberFormat="1" applyFont="1" applyFill="1"/>
    <xf numFmtId="168" fontId="24" fillId="0" borderId="0" xfId="0" applyNumberFormat="1" applyFont="1"/>
    <xf numFmtId="0" fontId="18" fillId="0" borderId="0" xfId="0" applyFont="1" applyAlignment="1">
      <alignment wrapText="1"/>
    </xf>
    <xf numFmtId="0" fontId="25" fillId="0" borderId="0" xfId="0" applyFont="1" applyAlignment="1">
      <alignment horizontal="center" vertical="center" readingOrder="1"/>
    </xf>
    <xf numFmtId="0" fontId="0" fillId="0" borderId="0" xfId="0" applyFill="1"/>
    <xf numFmtId="0" fontId="18" fillId="10" borderId="1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3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15" fillId="0" borderId="6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18" fillId="10" borderId="10" xfId="0" applyFont="1" applyFill="1" applyBorder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9" fillId="10" borderId="2" xfId="0" applyFont="1" applyFill="1" applyBorder="1" applyAlignment="1">
      <alignment horizontal="center"/>
    </xf>
    <xf numFmtId="0" fontId="19" fillId="10" borderId="21" xfId="0" applyFont="1" applyFill="1" applyBorder="1" applyAlignment="1">
      <alignment horizontal="center"/>
    </xf>
    <xf numFmtId="0" fontId="19" fillId="10" borderId="4" xfId="0" applyFont="1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0" fillId="13" borderId="25" xfId="0" applyFill="1" applyBorder="1" applyAlignment="1">
      <alignment horizontal="center"/>
    </xf>
    <xf numFmtId="0" fontId="0" fillId="13" borderId="26" xfId="0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0" fillId="14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2">
    <cellStyle name="Обычный" xfId="0" builtinId="0"/>
    <cellStyle name="Обычный 10" xfId="8"/>
    <cellStyle name="Обычный 12" xfId="6"/>
    <cellStyle name="Обычный 14 2" xfId="2"/>
    <cellStyle name="Обычный 15" xfId="7"/>
    <cellStyle name="Обычный 17" xfId="4"/>
    <cellStyle name="Обычный 19" xfId="1"/>
    <cellStyle name="Обычный 2" xfId="9"/>
    <cellStyle name="Обычный 20" xfId="10"/>
    <cellStyle name="Обычный 22" xfId="3"/>
    <cellStyle name="Обычный 3" xfId="5"/>
    <cellStyle name="Обычный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'количественные факторы'!$A$9:$A$88</c:f>
              <c:numCache>
                <c:formatCode>General</c:formatCode>
                <c:ptCount val="8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</c:numCache>
            </c:numRef>
          </c:xVal>
          <c:yVal>
            <c:numRef>
              <c:f>'количественные факторы'!$C$9:$C$88</c:f>
              <c:numCache>
                <c:formatCode>General</c:formatCode>
                <c:ptCount val="80"/>
                <c:pt idx="0">
                  <c:v>0.90917758867864051</c:v>
                </c:pt>
                <c:pt idx="1">
                  <c:v>0.90917758867864051</c:v>
                </c:pt>
                <c:pt idx="2">
                  <c:v>0.90917758867864051</c:v>
                </c:pt>
                <c:pt idx="3">
                  <c:v>0.91985224732353377</c:v>
                </c:pt>
                <c:pt idx="4">
                  <c:v>0.92970391057157775</c:v>
                </c:pt>
                <c:pt idx="5">
                  <c:v>0.93877256169266754</c:v>
                </c:pt>
                <c:pt idx="6">
                  <c:v>0.9470945904617829</c:v>
                </c:pt>
                <c:pt idx="7">
                  <c:v>0.95470326164600794</c:v>
                </c:pt>
                <c:pt idx="8">
                  <c:v>0.96162910809653346</c:v>
                </c:pt>
                <c:pt idx="9">
                  <c:v>0.96790026293098608</c:v>
                </c:pt>
                <c:pt idx="10">
                  <c:v>0.9735427421111067</c:v>
                </c:pt>
                <c:pt idx="11">
                  <c:v>0.97858068632187867</c:v>
                </c:pt>
                <c:pt idx="12">
                  <c:v>0.983036569229782</c:v>
                </c:pt>
                <c:pt idx="13">
                  <c:v>0.98693137779077933</c:v>
                </c:pt>
                <c:pt idx="14">
                  <c:v>0.99028476918604813</c:v>
                </c:pt>
                <c:pt idx="15">
                  <c:v>0.99311520810800169</c:v>
                </c:pt>
                <c:pt idx="16">
                  <c:v>0.99544008744405432</c:v>
                </c:pt>
                <c:pt idx="17">
                  <c:v>0.99727583486899207</c:v>
                </c:pt>
                <c:pt idx="18">
                  <c:v>0.99863800742736253</c:v>
                </c:pt>
                <c:pt idx="19">
                  <c:v>0.99954137584142799</c:v>
                </c:pt>
                <c:pt idx="20">
                  <c:v>1.0000000000000011</c:v>
                </c:pt>
                <c:pt idx="21">
                  <c:v>1.0000272968551853</c:v>
                </c:pt>
                <c:pt idx="22">
                  <c:v>0.99963610176708873</c:v>
                </c:pt>
                <c:pt idx="23">
                  <c:v>0.99883872418275599</c:v>
                </c:pt>
                <c:pt idx="24">
                  <c:v>0.99764699840843041</c:v>
                </c:pt>
                <c:pt idx="25">
                  <c:v>0.99607233012876761</c:v>
                </c:pt>
                <c:pt idx="26">
                  <c:v>0.99412573923877978</c:v>
                </c:pt>
                <c:pt idx="27">
                  <c:v>0.99181789948088539</c:v>
                </c:pt>
                <c:pt idx="28">
                  <c:v>0.98915917531795461</c:v>
                </c:pt>
                <c:pt idx="29">
                  <c:v>0.98615965642159631</c:v>
                </c:pt>
                <c:pt idx="30">
                  <c:v>0.98282919011149117</c:v>
                </c:pt>
                <c:pt idx="31">
                  <c:v>0.97917741204497033</c:v>
                </c:pt>
                <c:pt idx="32">
                  <c:v>0.97521377542518517</c:v>
                </c:pt>
                <c:pt idx="33">
                  <c:v>0.97094757897018624</c:v>
                </c:pt>
                <c:pt idx="34">
                  <c:v>0.96638799386329832</c:v>
                </c:pt>
                <c:pt idx="35">
                  <c:v>0.96154408988670292</c:v>
                </c:pt>
                <c:pt idx="36">
                  <c:v>0.95642486092460666</c:v>
                </c:pt>
                <c:pt idx="37">
                  <c:v>0.95103925000933021</c:v>
                </c:pt>
                <c:pt idx="38">
                  <c:v>0.94539617407271848</c:v>
                </c:pt>
                <c:pt idx="39">
                  <c:v>0.93950454855611376</c:v>
                </c:pt>
                <c:pt idx="40">
                  <c:v>0.93337331202443685</c:v>
                </c:pt>
                <c:pt idx="41">
                  <c:v>0.92701145092342907</c:v>
                </c:pt>
                <c:pt idx="42">
                  <c:v>0.9204280246135359</c:v>
                </c:pt>
                <c:pt idx="43">
                  <c:v>0.91363219080902014</c:v>
                </c:pt>
                <c:pt idx="44">
                  <c:v>0.90663323154639996</c:v>
                </c:pt>
                <c:pt idx="45">
                  <c:v>0.89944057980196068</c:v>
                </c:pt>
                <c:pt idx="46">
                  <c:v>0.89206384687356399</c:v>
                </c:pt>
                <c:pt idx="47">
                  <c:v>0.8845128506369665</c:v>
                </c:pt>
                <c:pt idx="48">
                  <c:v>0.87679764478098043</c:v>
                </c:pt>
                <c:pt idx="49">
                  <c:v>0.86892854911863371</c:v>
                </c:pt>
                <c:pt idx="50">
                  <c:v>0.86091618106252821</c:v>
                </c:pt>
                <c:pt idx="51">
                  <c:v>0.85277148834129213</c:v>
                </c:pt>
                <c:pt idx="52">
                  <c:v>0.84450578301971591</c:v>
                </c:pt>
                <c:pt idx="53">
                  <c:v>0.83613077686708337</c:v>
                </c:pt>
                <c:pt idx="54">
                  <c:v>0.82765861809552432</c:v>
                </c:pt>
                <c:pt idx="55">
                  <c:v>0.81910192946188676</c:v>
                </c:pt>
                <c:pt idx="56">
                  <c:v>0.81047384769158315</c:v>
                </c:pt>
                <c:pt idx="57">
                  <c:v>0.80178806413981707</c:v>
                </c:pt>
                <c:pt idx="58">
                  <c:v>0.79305886655320357</c:v>
                </c:pt>
                <c:pt idx="59">
                  <c:v>0.78430118173155872</c:v>
                </c:pt>
                <c:pt idx="60">
                  <c:v>0.77553061881403018</c:v>
                </c:pt>
                <c:pt idx="61">
                  <c:v>0.76676351282418742</c:v>
                </c:pt>
                <c:pt idx="62">
                  <c:v>0.75801696800372964</c:v>
                </c:pt>
                <c:pt idx="63">
                  <c:v>0.74930890034277875</c:v>
                </c:pt>
                <c:pt idx="64">
                  <c:v>0.74065807857540356</c:v>
                </c:pt>
                <c:pt idx="65">
                  <c:v>0.73208416275168464</c:v>
                </c:pt>
                <c:pt idx="66">
                  <c:v>0.72360773932282363</c:v>
                </c:pt>
                <c:pt idx="67">
                  <c:v>0.71525035148518334</c:v>
                </c:pt>
                <c:pt idx="68">
                  <c:v>0.70703452332611227</c:v>
                </c:pt>
                <c:pt idx="69">
                  <c:v>0.6989837761043064</c:v>
                </c:pt>
                <c:pt idx="70">
                  <c:v>0.69112263478833269</c:v>
                </c:pt>
                <c:pt idx="71">
                  <c:v>0.68347662277979826</c:v>
                </c:pt>
                <c:pt idx="72">
                  <c:v>0.67607224257708476</c:v>
                </c:pt>
                <c:pt idx="73">
                  <c:v>0.66893694000981641</c:v>
                </c:pt>
                <c:pt idx="74">
                  <c:v>0.66209904961532229</c:v>
                </c:pt>
                <c:pt idx="75">
                  <c:v>0.65558771876149879</c:v>
                </c:pt>
                <c:pt idx="76">
                  <c:v>0.64943280827309358</c:v>
                </c:pt>
                <c:pt idx="77">
                  <c:v>0.64366476761840707</c:v>
                </c:pt>
                <c:pt idx="78">
                  <c:v>0.63831448318618089</c:v>
                </c:pt>
                <c:pt idx="79">
                  <c:v>0.63341309884799035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'количественные факторы'!$A$9:$A$88</c:f>
              <c:numCache>
                <c:formatCode>General</c:formatCode>
                <c:ptCount val="8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</c:numCache>
            </c:numRef>
          </c:xVal>
          <c:yVal>
            <c:numRef>
              <c:f>'количественные факторы'!$B$9:$B$88</c:f>
              <c:numCache>
                <c:formatCode>General</c:formatCode>
                <c:ptCount val="80"/>
                <c:pt idx="0">
                  <c:v>0.82522277104920294</c:v>
                </c:pt>
                <c:pt idx="1">
                  <c:v>0.82522277104920294</c:v>
                </c:pt>
                <c:pt idx="2">
                  <c:v>0.82522277104920294</c:v>
                </c:pt>
                <c:pt idx="3">
                  <c:v>0.84488760487426895</c:v>
                </c:pt>
                <c:pt idx="4">
                  <c:v>0.86324358968992487</c:v>
                </c:pt>
                <c:pt idx="5">
                  <c:v>0.88031653936692977</c:v>
                </c:pt>
                <c:pt idx="6">
                  <c:v>0.89613226777604249</c:v>
                </c:pt>
                <c:pt idx="7">
                  <c:v>0.9107165887880222</c:v>
                </c:pt>
                <c:pt idx="8">
                  <c:v>0.92409531627362784</c:v>
                </c:pt>
                <c:pt idx="9">
                  <c:v>0.93629426410361838</c:v>
                </c:pt>
                <c:pt idx="10">
                  <c:v>0.94733924614875287</c:v>
                </c:pt>
                <c:pt idx="11">
                  <c:v>0.95725607627979059</c:v>
                </c:pt>
                <c:pt idx="12">
                  <c:v>0.96607056836749017</c:v>
                </c:pt>
                <c:pt idx="13">
                  <c:v>0.97380853628261077</c:v>
                </c:pt>
                <c:pt idx="14">
                  <c:v>0.98049579389591146</c:v>
                </c:pt>
                <c:pt idx="15">
                  <c:v>0.9861581550781513</c:v>
                </c:pt>
                <c:pt idx="16">
                  <c:v>0.99082143370008913</c:v>
                </c:pt>
                <c:pt idx="17">
                  <c:v>0.99451144363248423</c:v>
                </c:pt>
                <c:pt idx="18">
                  <c:v>0.99725399874609555</c:v>
                </c:pt>
                <c:pt idx="19">
                  <c:v>0.99907491291168182</c:v>
                </c:pt>
                <c:pt idx="20">
                  <c:v>1.0000000000000024</c:v>
                </c:pt>
                <c:pt idx="21">
                  <c:v>1.0000550738818161</c:v>
                </c:pt>
                <c:pt idx="22">
                  <c:v>0.99926594842788219</c:v>
                </c:pt>
                <c:pt idx="23">
                  <c:v>0.99765843750895944</c:v>
                </c:pt>
                <c:pt idx="24">
                  <c:v>0.99525835499580717</c:v>
                </c:pt>
                <c:pt idx="25">
                  <c:v>0.99209151475918411</c:v>
                </c:pt>
                <c:pt idx="26">
                  <c:v>0.98818373066984933</c:v>
                </c:pt>
                <c:pt idx="27">
                  <c:v>0.98356081659856176</c:v>
                </c:pt>
                <c:pt idx="28">
                  <c:v>0.9782485864160807</c:v>
                </c:pt>
                <c:pt idx="29">
                  <c:v>0.97227285399316488</c:v>
                </c:pt>
                <c:pt idx="30">
                  <c:v>0.96565943320057379</c:v>
                </c:pt>
                <c:pt idx="31">
                  <c:v>0.95843413790906584</c:v>
                </c:pt>
                <c:pt idx="32">
                  <c:v>0.95062278198940042</c:v>
                </c:pt>
                <c:pt idx="33">
                  <c:v>0.94225117931233648</c:v>
                </c:pt>
                <c:pt idx="34">
                  <c:v>0.93334514374863298</c:v>
                </c:pt>
                <c:pt idx="35">
                  <c:v>0.92393048916904896</c:v>
                </c:pt>
                <c:pt idx="36">
                  <c:v>0.91403302944434373</c:v>
                </c:pt>
                <c:pt idx="37">
                  <c:v>0.90367857844527588</c:v>
                </c:pt>
                <c:pt idx="38">
                  <c:v>0.89289295004260449</c:v>
                </c:pt>
                <c:pt idx="39">
                  <c:v>0.88170195810708885</c:v>
                </c:pt>
                <c:pt idx="40">
                  <c:v>0.87013141650948789</c:v>
                </c:pt>
                <c:pt idx="41">
                  <c:v>0.85820713912056057</c:v>
                </c:pt>
                <c:pt idx="42">
                  <c:v>0.84595493981106562</c:v>
                </c:pt>
                <c:pt idx="43">
                  <c:v>0.83340063245176266</c:v>
                </c:pt>
                <c:pt idx="44">
                  <c:v>0.82057003091341041</c:v>
                </c:pt>
                <c:pt idx="45">
                  <c:v>0.8074889490667676</c:v>
                </c:pt>
                <c:pt idx="46">
                  <c:v>0.79418320078259375</c:v>
                </c:pt>
                <c:pt idx="47">
                  <c:v>0.78067859993164779</c:v>
                </c:pt>
                <c:pt idx="48">
                  <c:v>0.76700096038468846</c:v>
                </c:pt>
                <c:pt idx="49">
                  <c:v>0.75317609601247471</c:v>
                </c:pt>
                <c:pt idx="50">
                  <c:v>0.73922982068576626</c:v>
                </c:pt>
                <c:pt idx="51">
                  <c:v>0.7251879482753214</c:v>
                </c:pt>
                <c:pt idx="52">
                  <c:v>0.71107629265189942</c:v>
                </c:pt>
                <c:pt idx="53">
                  <c:v>0.69692066768625904</c:v>
                </c:pt>
                <c:pt idx="54">
                  <c:v>0.68274688724915988</c:v>
                </c:pt>
                <c:pt idx="55">
                  <c:v>0.66858076521136067</c:v>
                </c:pt>
                <c:pt idx="56">
                  <c:v>0.65444811544362058</c:v>
                </c:pt>
                <c:pt idx="57">
                  <c:v>0.64037475181669823</c:v>
                </c:pt>
                <c:pt idx="58">
                  <c:v>0.6263864882013529</c:v>
                </c:pt>
                <c:pt idx="59">
                  <c:v>0.61250913846834354</c:v>
                </c:pt>
                <c:pt idx="60">
                  <c:v>0.59876851648842955</c:v>
                </c:pt>
                <c:pt idx="61">
                  <c:v>0.58519043613236954</c:v>
                </c:pt>
                <c:pt idx="62">
                  <c:v>0.57180071127092247</c:v>
                </c:pt>
                <c:pt idx="63">
                  <c:v>0.55862515577484717</c:v>
                </c:pt>
                <c:pt idx="64">
                  <c:v>0.5456895835149036</c:v>
                </c:pt>
                <c:pt idx="65">
                  <c:v>0.53301980836184981</c:v>
                </c:pt>
                <c:pt idx="66">
                  <c:v>0.52064164418644532</c:v>
                </c:pt>
                <c:pt idx="67">
                  <c:v>0.50858090485944896</c:v>
                </c:pt>
                <c:pt idx="68">
                  <c:v>0.49686340425162007</c:v>
                </c:pt>
                <c:pt idx="69">
                  <c:v>0.48551495623371699</c:v>
                </c:pt>
                <c:pt idx="70">
                  <c:v>0.47456137467649934</c:v>
                </c:pt>
                <c:pt idx="71">
                  <c:v>0.46402847345072584</c:v>
                </c:pt>
                <c:pt idx="72">
                  <c:v>0.45394206642715584</c:v>
                </c:pt>
                <c:pt idx="73">
                  <c:v>0.4443279674765484</c:v>
                </c:pt>
                <c:pt idx="74">
                  <c:v>0.43521199046966164</c:v>
                </c:pt>
                <c:pt idx="75">
                  <c:v>0.42661994927725622</c:v>
                </c:pt>
                <c:pt idx="76">
                  <c:v>0.41857765777008871</c:v>
                </c:pt>
                <c:pt idx="77">
                  <c:v>0.41111092981892045</c:v>
                </c:pt>
                <c:pt idx="78">
                  <c:v>0.40424557929450999</c:v>
                </c:pt>
                <c:pt idx="79">
                  <c:v>0.39800742006761564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DBB-4332-A823-8456F578AE7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8.1528662420382161E-2"/>
                  <c:y val="-0.45705551657028581"/>
                </c:manualLayout>
              </c:layout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'количественные факторы'!$E$9:$E$28</c:f>
              <c:numCache>
                <c:formatCode>General</c:formatCode>
                <c:ptCount val="20"/>
                <c:pt idx="0">
                  <c:v>50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  <c:pt idx="6">
                  <c:v>1250</c:v>
                </c:pt>
                <c:pt idx="7">
                  <c:v>1500</c:v>
                </c:pt>
                <c:pt idx="8">
                  <c:v>1750</c:v>
                </c:pt>
                <c:pt idx="9">
                  <c:v>2000</c:v>
                </c:pt>
                <c:pt idx="10">
                  <c:v>2250</c:v>
                </c:pt>
                <c:pt idx="11">
                  <c:v>2500</c:v>
                </c:pt>
                <c:pt idx="12">
                  <c:v>2750</c:v>
                </c:pt>
                <c:pt idx="13">
                  <c:v>3000</c:v>
                </c:pt>
                <c:pt idx="14">
                  <c:v>3250</c:v>
                </c:pt>
                <c:pt idx="15">
                  <c:v>3500</c:v>
                </c:pt>
                <c:pt idx="16">
                  <c:v>3750</c:v>
                </c:pt>
                <c:pt idx="17">
                  <c:v>4000</c:v>
                </c:pt>
                <c:pt idx="18">
                  <c:v>5000</c:v>
                </c:pt>
                <c:pt idx="19">
                  <c:v>6000</c:v>
                </c:pt>
              </c:numCache>
            </c:numRef>
          </c:xVal>
          <c:yVal>
            <c:numRef>
              <c:f>'количественные факторы'!$F$9:$F$28</c:f>
              <c:numCache>
                <c:formatCode>General</c:formatCode>
                <c:ptCount val="20"/>
                <c:pt idx="0">
                  <c:v>0.90917758867864051</c:v>
                </c:pt>
                <c:pt idx="1">
                  <c:v>0.90917758867864051</c:v>
                </c:pt>
                <c:pt idx="2">
                  <c:v>0.92970391057157775</c:v>
                </c:pt>
                <c:pt idx="3">
                  <c:v>0.96790026293098608</c:v>
                </c:pt>
                <c:pt idx="4">
                  <c:v>0.99028476918604813</c:v>
                </c:pt>
                <c:pt idx="5">
                  <c:v>0.99954137584142799</c:v>
                </c:pt>
                <c:pt idx="6">
                  <c:v>0.99764699840843041</c:v>
                </c:pt>
                <c:pt idx="7">
                  <c:v>0.98615965642159631</c:v>
                </c:pt>
                <c:pt idx="8">
                  <c:v>0.96638799386329832</c:v>
                </c:pt>
                <c:pt idx="9">
                  <c:v>0.93950454855611376</c:v>
                </c:pt>
                <c:pt idx="10">
                  <c:v>0.90663323154639996</c:v>
                </c:pt>
                <c:pt idx="11">
                  <c:v>0.86892854911863371</c:v>
                </c:pt>
                <c:pt idx="12">
                  <c:v>0.82765861809552432</c:v>
                </c:pt>
                <c:pt idx="13">
                  <c:v>0.78430118173155872</c:v>
                </c:pt>
                <c:pt idx="14">
                  <c:v>0.74065807857540356</c:v>
                </c:pt>
                <c:pt idx="15">
                  <c:v>0.6989837761043064</c:v>
                </c:pt>
                <c:pt idx="16">
                  <c:v>0.66209904961532229</c:v>
                </c:pt>
                <c:pt idx="17">
                  <c:v>0.63341309884799035</c:v>
                </c:pt>
                <c:pt idx="18">
                  <c:v>0.45</c:v>
                </c:pt>
                <c:pt idx="19">
                  <c:v>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DA6-4164-806E-3021D2F4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75150320"/>
        <c:axId val="-675146512"/>
      </c:scatterChart>
      <c:valAx>
        <c:axId val="-67515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75146512"/>
        <c:crosses val="autoZero"/>
        <c:crossBetween val="midCat"/>
      </c:valAx>
      <c:valAx>
        <c:axId val="-67514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7515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площади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'количественные факторы'!$A$9:$A$88</c:f>
              <c:numCache>
                <c:formatCode>General</c:formatCode>
                <c:ptCount val="8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</c:numCache>
            </c:numRef>
          </c:xVal>
          <c:yVal>
            <c:numRef>
              <c:f>'количественные факторы'!$C$9:$C$88</c:f>
              <c:numCache>
                <c:formatCode>General</c:formatCode>
                <c:ptCount val="80"/>
                <c:pt idx="0">
                  <c:v>0.90917758867864051</c:v>
                </c:pt>
                <c:pt idx="1">
                  <c:v>0.90917758867864051</c:v>
                </c:pt>
                <c:pt idx="2">
                  <c:v>0.90917758867864051</c:v>
                </c:pt>
                <c:pt idx="3">
                  <c:v>0.91985224732353377</c:v>
                </c:pt>
                <c:pt idx="4">
                  <c:v>0.92970391057157775</c:v>
                </c:pt>
                <c:pt idx="5">
                  <c:v>0.93877256169266754</c:v>
                </c:pt>
                <c:pt idx="6">
                  <c:v>0.9470945904617829</c:v>
                </c:pt>
                <c:pt idx="7">
                  <c:v>0.95470326164600794</c:v>
                </c:pt>
                <c:pt idx="8">
                  <c:v>0.96162910809653346</c:v>
                </c:pt>
                <c:pt idx="9">
                  <c:v>0.96790026293098608</c:v>
                </c:pt>
                <c:pt idx="10">
                  <c:v>0.9735427421111067</c:v>
                </c:pt>
                <c:pt idx="11">
                  <c:v>0.97858068632187867</c:v>
                </c:pt>
                <c:pt idx="12">
                  <c:v>0.983036569229782</c:v>
                </c:pt>
                <c:pt idx="13">
                  <c:v>0.98693137779077933</c:v>
                </c:pt>
                <c:pt idx="14">
                  <c:v>0.99028476918604813</c:v>
                </c:pt>
                <c:pt idx="15">
                  <c:v>0.99311520810800169</c:v>
                </c:pt>
                <c:pt idx="16">
                  <c:v>0.99544008744405432</c:v>
                </c:pt>
                <c:pt idx="17">
                  <c:v>0.99727583486899207</c:v>
                </c:pt>
                <c:pt idx="18">
                  <c:v>0.99863800742736253</c:v>
                </c:pt>
                <c:pt idx="19">
                  <c:v>0.99954137584142799</c:v>
                </c:pt>
                <c:pt idx="20">
                  <c:v>1.0000000000000011</c:v>
                </c:pt>
                <c:pt idx="21">
                  <c:v>1.0000272968551853</c:v>
                </c:pt>
                <c:pt idx="22">
                  <c:v>0.99963610176708873</c:v>
                </c:pt>
                <c:pt idx="23">
                  <c:v>0.99883872418275599</c:v>
                </c:pt>
                <c:pt idx="24">
                  <c:v>0.99764699840843041</c:v>
                </c:pt>
                <c:pt idx="25">
                  <c:v>0.99607233012876761</c:v>
                </c:pt>
                <c:pt idx="26">
                  <c:v>0.99412573923877978</c:v>
                </c:pt>
                <c:pt idx="27">
                  <c:v>0.99181789948088539</c:v>
                </c:pt>
                <c:pt idx="28">
                  <c:v>0.98915917531795461</c:v>
                </c:pt>
                <c:pt idx="29">
                  <c:v>0.98615965642159631</c:v>
                </c:pt>
                <c:pt idx="30">
                  <c:v>0.98282919011149117</c:v>
                </c:pt>
                <c:pt idx="31">
                  <c:v>0.97917741204497033</c:v>
                </c:pt>
                <c:pt idx="32">
                  <c:v>0.97521377542518517</c:v>
                </c:pt>
                <c:pt idx="33">
                  <c:v>0.97094757897018624</c:v>
                </c:pt>
                <c:pt idx="34">
                  <c:v>0.96638799386329832</c:v>
                </c:pt>
                <c:pt idx="35">
                  <c:v>0.96154408988670292</c:v>
                </c:pt>
                <c:pt idx="36">
                  <c:v>0.95642486092460666</c:v>
                </c:pt>
                <c:pt idx="37">
                  <c:v>0.95103925000933021</c:v>
                </c:pt>
                <c:pt idx="38">
                  <c:v>0.94539617407271848</c:v>
                </c:pt>
                <c:pt idx="39">
                  <c:v>0.93950454855611376</c:v>
                </c:pt>
                <c:pt idx="40">
                  <c:v>0.93337331202443685</c:v>
                </c:pt>
                <c:pt idx="41">
                  <c:v>0.92701145092342907</c:v>
                </c:pt>
                <c:pt idx="42">
                  <c:v>0.9204280246135359</c:v>
                </c:pt>
                <c:pt idx="43">
                  <c:v>0.91363219080902014</c:v>
                </c:pt>
                <c:pt idx="44">
                  <c:v>0.90663323154639996</c:v>
                </c:pt>
                <c:pt idx="45">
                  <c:v>0.89944057980196068</c:v>
                </c:pt>
                <c:pt idx="46">
                  <c:v>0.89206384687356399</c:v>
                </c:pt>
                <c:pt idx="47">
                  <c:v>0.8845128506369665</c:v>
                </c:pt>
                <c:pt idx="48">
                  <c:v>0.87679764478098043</c:v>
                </c:pt>
                <c:pt idx="49">
                  <c:v>0.86892854911863371</c:v>
                </c:pt>
                <c:pt idx="50">
                  <c:v>0.86091618106252821</c:v>
                </c:pt>
                <c:pt idx="51">
                  <c:v>0.85277148834129213</c:v>
                </c:pt>
                <c:pt idx="52">
                  <c:v>0.84450578301971591</c:v>
                </c:pt>
                <c:pt idx="53">
                  <c:v>0.83613077686708337</c:v>
                </c:pt>
                <c:pt idx="54">
                  <c:v>0.82765861809552432</c:v>
                </c:pt>
                <c:pt idx="55">
                  <c:v>0.81910192946188676</c:v>
                </c:pt>
                <c:pt idx="56">
                  <c:v>0.81047384769158315</c:v>
                </c:pt>
                <c:pt idx="57">
                  <c:v>0.80178806413981707</c:v>
                </c:pt>
                <c:pt idx="58">
                  <c:v>0.79305886655320357</c:v>
                </c:pt>
                <c:pt idx="59">
                  <c:v>0.78430118173155872</c:v>
                </c:pt>
                <c:pt idx="60">
                  <c:v>0.77553061881403018</c:v>
                </c:pt>
                <c:pt idx="61">
                  <c:v>0.76676351282418742</c:v>
                </c:pt>
                <c:pt idx="62">
                  <c:v>0.75801696800372964</c:v>
                </c:pt>
                <c:pt idx="63">
                  <c:v>0.74930890034277875</c:v>
                </c:pt>
                <c:pt idx="64">
                  <c:v>0.74065807857540356</c:v>
                </c:pt>
                <c:pt idx="65">
                  <c:v>0.73208416275168464</c:v>
                </c:pt>
                <c:pt idx="66">
                  <c:v>0.72360773932282363</c:v>
                </c:pt>
                <c:pt idx="67">
                  <c:v>0.71525035148518334</c:v>
                </c:pt>
                <c:pt idx="68">
                  <c:v>0.70703452332611227</c:v>
                </c:pt>
                <c:pt idx="69">
                  <c:v>0.6989837761043064</c:v>
                </c:pt>
                <c:pt idx="70">
                  <c:v>0.69112263478833269</c:v>
                </c:pt>
                <c:pt idx="71">
                  <c:v>0.68347662277979826</c:v>
                </c:pt>
                <c:pt idx="72">
                  <c:v>0.67607224257708476</c:v>
                </c:pt>
                <c:pt idx="73">
                  <c:v>0.66893694000981641</c:v>
                </c:pt>
                <c:pt idx="74">
                  <c:v>0.66209904961532229</c:v>
                </c:pt>
                <c:pt idx="75">
                  <c:v>0.65558771876149879</c:v>
                </c:pt>
                <c:pt idx="76">
                  <c:v>0.64943280827309358</c:v>
                </c:pt>
                <c:pt idx="77">
                  <c:v>0.64366476761840707</c:v>
                </c:pt>
                <c:pt idx="78">
                  <c:v>0.63831448318618089</c:v>
                </c:pt>
                <c:pt idx="79">
                  <c:v>0.63341309884799035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5.9616100434998071E-2"/>
                  <c:y val="0.12832528889410166"/>
                </c:manualLayout>
              </c:layout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'количественные факторы'!$E$9:$E$28</c:f>
              <c:numCache>
                <c:formatCode>General</c:formatCode>
                <c:ptCount val="20"/>
                <c:pt idx="0">
                  <c:v>50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  <c:pt idx="6">
                  <c:v>1250</c:v>
                </c:pt>
                <c:pt idx="7">
                  <c:v>1500</c:v>
                </c:pt>
                <c:pt idx="8">
                  <c:v>1750</c:v>
                </c:pt>
                <c:pt idx="9">
                  <c:v>2000</c:v>
                </c:pt>
                <c:pt idx="10">
                  <c:v>2250</c:v>
                </c:pt>
                <c:pt idx="11">
                  <c:v>2500</c:v>
                </c:pt>
                <c:pt idx="12">
                  <c:v>2750</c:v>
                </c:pt>
                <c:pt idx="13">
                  <c:v>3000</c:v>
                </c:pt>
                <c:pt idx="14">
                  <c:v>3250</c:v>
                </c:pt>
                <c:pt idx="15">
                  <c:v>3500</c:v>
                </c:pt>
                <c:pt idx="16">
                  <c:v>3750</c:v>
                </c:pt>
                <c:pt idx="17">
                  <c:v>4000</c:v>
                </c:pt>
                <c:pt idx="18">
                  <c:v>5000</c:v>
                </c:pt>
                <c:pt idx="19">
                  <c:v>6000</c:v>
                </c:pt>
              </c:numCache>
            </c:numRef>
          </c:xVal>
          <c:yVal>
            <c:numRef>
              <c:f>'количественные факторы'!$F$9:$F$28</c:f>
              <c:numCache>
                <c:formatCode>General</c:formatCode>
                <c:ptCount val="20"/>
                <c:pt idx="0">
                  <c:v>0.90917758867864051</c:v>
                </c:pt>
                <c:pt idx="1">
                  <c:v>0.90917758867864051</c:v>
                </c:pt>
                <c:pt idx="2">
                  <c:v>0.92970391057157775</c:v>
                </c:pt>
                <c:pt idx="3">
                  <c:v>0.96790026293098608</c:v>
                </c:pt>
                <c:pt idx="4">
                  <c:v>0.99028476918604813</c:v>
                </c:pt>
                <c:pt idx="5">
                  <c:v>0.99954137584142799</c:v>
                </c:pt>
                <c:pt idx="6">
                  <c:v>0.99764699840843041</c:v>
                </c:pt>
                <c:pt idx="7">
                  <c:v>0.98615965642159631</c:v>
                </c:pt>
                <c:pt idx="8">
                  <c:v>0.96638799386329832</c:v>
                </c:pt>
                <c:pt idx="9">
                  <c:v>0.93950454855611376</c:v>
                </c:pt>
                <c:pt idx="10">
                  <c:v>0.90663323154639996</c:v>
                </c:pt>
                <c:pt idx="11">
                  <c:v>0.86892854911863371</c:v>
                </c:pt>
                <c:pt idx="12">
                  <c:v>0.82765861809552432</c:v>
                </c:pt>
                <c:pt idx="13">
                  <c:v>0.78430118173155872</c:v>
                </c:pt>
                <c:pt idx="14">
                  <c:v>0.74065807857540356</c:v>
                </c:pt>
                <c:pt idx="15">
                  <c:v>0.6989837761043064</c:v>
                </c:pt>
                <c:pt idx="16">
                  <c:v>0.66209904961532229</c:v>
                </c:pt>
                <c:pt idx="17">
                  <c:v>0.63341309884799035</c:v>
                </c:pt>
                <c:pt idx="18">
                  <c:v>0.45</c:v>
                </c:pt>
                <c:pt idx="19">
                  <c:v>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DE-4B33-A77E-91C8B7C9D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75143792"/>
        <c:axId val="-675143248"/>
      </c:scatterChart>
      <c:valAx>
        <c:axId val="-67514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75143248"/>
        <c:crosses val="autoZero"/>
        <c:crossBetween val="midCat"/>
      </c:valAx>
      <c:valAx>
        <c:axId val="-67514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7514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7</xdr:row>
      <xdr:rowOff>76200</xdr:rowOff>
    </xdr:from>
    <xdr:to>
      <xdr:col>18</xdr:col>
      <xdr:colOff>190500</xdr:colOff>
      <xdr:row>26</xdr:row>
      <xdr:rowOff>90487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542925</xdr:colOff>
      <xdr:row>28</xdr:row>
      <xdr:rowOff>180975</xdr:rowOff>
    </xdr:from>
    <xdr:to>
      <xdr:col>19</xdr:col>
      <xdr:colOff>38100</xdr:colOff>
      <xdr:row>50</xdr:row>
      <xdr:rowOff>14287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Z6"/>
  <sheetViews>
    <sheetView tabSelected="1" workbookViewId="0">
      <selection sqref="A1:XFD6"/>
    </sheetView>
  </sheetViews>
  <sheetFormatPr defaultRowHeight="15" x14ac:dyDescent="0.25"/>
  <cols>
    <col min="43" max="43" width="14" customWidth="1"/>
    <col min="54" max="54" width="12.7109375" customWidth="1"/>
    <col min="60" max="60" width="13.7109375" customWidth="1"/>
    <col min="68" max="68" width="20" customWidth="1"/>
    <col min="79" max="79" width="14.28515625" customWidth="1"/>
    <col min="80" max="80" width="13" customWidth="1"/>
    <col min="81" max="81" width="14" customWidth="1"/>
    <col min="82" max="82" width="17" customWidth="1"/>
    <col min="83" max="83" width="17.7109375" customWidth="1"/>
    <col min="84" max="84" width="10.28515625" customWidth="1"/>
    <col min="85" max="85" width="14.5703125" customWidth="1"/>
    <col min="86" max="86" width="8.42578125" customWidth="1"/>
    <col min="87" max="87" width="13.7109375" customWidth="1"/>
    <col min="88" max="88" width="9.28515625" customWidth="1"/>
    <col min="89" max="89" width="14.85546875" customWidth="1"/>
    <col min="90" max="90" width="7" customWidth="1"/>
    <col min="91" max="91" width="14.7109375" customWidth="1"/>
    <col min="92" max="92" width="7.5703125" customWidth="1"/>
    <col min="93" max="93" width="13.28515625" customWidth="1"/>
    <col min="94" max="94" width="8" customWidth="1"/>
    <col min="95" max="95" width="17.5703125" customWidth="1"/>
    <col min="96" max="96" width="8.140625" customWidth="1"/>
    <col min="97" max="98" width="18.5703125" customWidth="1"/>
    <col min="100" max="100" width="16" customWidth="1"/>
    <col min="101" max="101" width="16.85546875" customWidth="1"/>
    <col min="102" max="102" width="19.28515625" customWidth="1"/>
    <col min="106" max="106" width="15.5703125" customWidth="1"/>
    <col min="107" max="107" width="13.42578125" customWidth="1"/>
    <col min="108" max="108" width="16.7109375" customWidth="1"/>
    <col min="109" max="109" width="15.5703125" customWidth="1"/>
    <col min="111" max="111" width="20.28515625" customWidth="1"/>
    <col min="112" max="112" width="10.28515625" customWidth="1"/>
    <col min="117" max="117" width="17.7109375" customWidth="1"/>
    <col min="118" max="119" width="16.5703125" customWidth="1"/>
    <col min="125" max="125" width="13.28515625" customWidth="1"/>
    <col min="126" max="126" width="13.85546875" customWidth="1"/>
  </cols>
  <sheetData>
    <row r="1" spans="1:130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3" t="s">
        <v>41</v>
      </c>
      <c r="AQ1" s="4" t="s">
        <v>42</v>
      </c>
      <c r="AR1" s="4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5" t="s">
        <v>49</v>
      </c>
      <c r="AY1" s="5" t="s">
        <v>50</v>
      </c>
      <c r="AZ1" s="4" t="s">
        <v>51</v>
      </c>
      <c r="BA1" s="171" t="s">
        <v>1</v>
      </c>
      <c r="BB1" s="171"/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  <c r="BN1" s="171"/>
      <c r="BO1" s="171"/>
      <c r="BP1" s="171"/>
      <c r="BQ1" s="171"/>
      <c r="BR1" s="171" t="s">
        <v>52</v>
      </c>
      <c r="BS1" s="171"/>
      <c r="BT1" s="171"/>
      <c r="BU1" s="171"/>
      <c r="BV1" s="6" t="s">
        <v>53</v>
      </c>
      <c r="BW1" s="171" t="s">
        <v>54</v>
      </c>
      <c r="BX1" s="172" t="s">
        <v>55</v>
      </c>
      <c r="BY1" s="173"/>
      <c r="BZ1" s="7">
        <v>0.91</v>
      </c>
      <c r="CA1" s="8"/>
      <c r="CB1" s="174"/>
      <c r="CC1" s="174"/>
      <c r="CD1" s="171" t="s">
        <v>1</v>
      </c>
      <c r="CE1" s="171"/>
      <c r="CF1" s="171"/>
      <c r="CG1" s="171"/>
      <c r="CH1" s="171"/>
      <c r="CI1" s="171"/>
      <c r="CJ1" s="171"/>
      <c r="CK1" s="171"/>
      <c r="CL1" s="171"/>
      <c r="CM1" s="171"/>
      <c r="CN1" s="171"/>
      <c r="CO1" s="171"/>
      <c r="CP1" s="171"/>
      <c r="CQ1" s="171"/>
      <c r="CR1" s="171"/>
      <c r="CS1" s="171"/>
      <c r="CT1" s="171"/>
      <c r="CU1" s="171"/>
      <c r="CV1" s="171" t="s">
        <v>52</v>
      </c>
      <c r="CW1" s="171"/>
      <c r="CX1" s="171"/>
      <c r="CY1" s="171"/>
      <c r="CZ1" s="6" t="s">
        <v>53</v>
      </c>
      <c r="DA1" s="171" t="s">
        <v>54</v>
      </c>
      <c r="DB1" s="172" t="s">
        <v>55</v>
      </c>
      <c r="DC1" s="173"/>
      <c r="DD1" s="7">
        <v>0.91</v>
      </c>
      <c r="DE1" s="8"/>
      <c r="DF1" s="9" t="s">
        <v>56</v>
      </c>
      <c r="DG1" s="10"/>
      <c r="DH1" s="11" t="s">
        <v>30</v>
      </c>
      <c r="DI1" s="12" t="s">
        <v>57</v>
      </c>
      <c r="DJ1" s="13" t="s">
        <v>58</v>
      </c>
      <c r="DK1" t="s">
        <v>59</v>
      </c>
      <c r="DL1" s="14" t="s">
        <v>60</v>
      </c>
      <c r="DM1" s="5" t="s">
        <v>61</v>
      </c>
      <c r="DN1" s="175"/>
      <c r="DO1" s="175"/>
      <c r="DP1" s="175"/>
      <c r="DQ1" s="175"/>
      <c r="DR1" s="175"/>
      <c r="DS1" s="175"/>
      <c r="DT1" s="175"/>
      <c r="DU1" s="175"/>
      <c r="DV1" s="175"/>
      <c r="DW1" s="175"/>
      <c r="DX1" s="175"/>
      <c r="DY1" s="175"/>
      <c r="DZ1" s="175"/>
    </row>
    <row r="2" spans="1:130" ht="24.95" customHeight="1" x14ac:dyDescent="0.25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1" t="s">
        <v>75</v>
      </c>
      <c r="O2" s="1" t="s">
        <v>76</v>
      </c>
      <c r="P2" s="1" t="s">
        <v>77</v>
      </c>
      <c r="Q2" s="1" t="s">
        <v>78</v>
      </c>
      <c r="R2" s="1" t="s">
        <v>79</v>
      </c>
      <c r="S2" s="1" t="s">
        <v>80</v>
      </c>
      <c r="T2" s="1" t="s">
        <v>81</v>
      </c>
      <c r="U2" s="1" t="s">
        <v>82</v>
      </c>
      <c r="V2" s="1" t="s">
        <v>83</v>
      </c>
      <c r="W2" s="1" t="s">
        <v>84</v>
      </c>
      <c r="X2" s="1" t="s">
        <v>85</v>
      </c>
      <c r="Y2" s="1" t="s">
        <v>86</v>
      </c>
      <c r="Z2" s="1" t="s">
        <v>87</v>
      </c>
      <c r="AA2" s="1" t="s">
        <v>88</v>
      </c>
      <c r="AB2" s="1" t="s">
        <v>89</v>
      </c>
      <c r="AC2" s="1" t="s">
        <v>90</v>
      </c>
      <c r="AD2" s="1" t="s">
        <v>91</v>
      </c>
      <c r="AE2" s="1" t="s">
        <v>92</v>
      </c>
      <c r="AF2" s="1" t="s">
        <v>93</v>
      </c>
      <c r="AG2" s="1" t="s">
        <v>94</v>
      </c>
      <c r="AH2" s="1" t="s">
        <v>95</v>
      </c>
      <c r="AI2" s="1" t="s">
        <v>96</v>
      </c>
      <c r="AJ2" s="1" t="s">
        <v>97</v>
      </c>
      <c r="AK2" s="1" t="s">
        <v>98</v>
      </c>
      <c r="AL2" s="1" t="s">
        <v>99</v>
      </c>
      <c r="AM2" s="1" t="s">
        <v>100</v>
      </c>
      <c r="AN2" s="1" t="s">
        <v>101</v>
      </c>
      <c r="AO2" s="1" t="s">
        <v>102</v>
      </c>
      <c r="AP2" s="1" t="s">
        <v>103</v>
      </c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109</v>
      </c>
      <c r="AW2" s="1" t="s">
        <v>110</v>
      </c>
      <c r="AX2" s="5" t="s">
        <v>111</v>
      </c>
      <c r="AY2" s="5" t="s">
        <v>112</v>
      </c>
      <c r="AZ2" s="15"/>
      <c r="BA2" s="171"/>
      <c r="BB2" s="6" t="s">
        <v>113</v>
      </c>
      <c r="BC2" s="16" t="s">
        <v>114</v>
      </c>
      <c r="BD2" s="6" t="s">
        <v>5</v>
      </c>
      <c r="BE2" s="16" t="s">
        <v>115</v>
      </c>
      <c r="BF2" s="6" t="s">
        <v>6</v>
      </c>
      <c r="BG2" s="16" t="s">
        <v>116</v>
      </c>
      <c r="BH2" s="6" t="s">
        <v>8</v>
      </c>
      <c r="BI2" s="16" t="s">
        <v>117</v>
      </c>
      <c r="BJ2" s="6" t="s">
        <v>7</v>
      </c>
      <c r="BK2" s="16" t="s">
        <v>118</v>
      </c>
      <c r="BL2" s="6" t="s">
        <v>10</v>
      </c>
      <c r="BM2" s="16" t="s">
        <v>119</v>
      </c>
      <c r="BN2" s="6" t="s">
        <v>120</v>
      </c>
      <c r="BO2" s="16" t="s">
        <v>121</v>
      </c>
      <c r="BP2" s="6" t="s">
        <v>12</v>
      </c>
      <c r="BQ2" s="16" t="s">
        <v>122</v>
      </c>
      <c r="BR2" s="17" t="s">
        <v>3</v>
      </c>
      <c r="BS2" s="16" t="s">
        <v>123</v>
      </c>
      <c r="BT2" s="6" t="s">
        <v>13</v>
      </c>
      <c r="BU2" s="16" t="s">
        <v>124</v>
      </c>
      <c r="BV2" s="6"/>
      <c r="BW2" s="171"/>
      <c r="BX2" s="6" t="s">
        <v>125</v>
      </c>
      <c r="BY2" s="6" t="s">
        <v>126</v>
      </c>
      <c r="BZ2" s="18" t="s">
        <v>127</v>
      </c>
      <c r="CA2" s="19" t="s">
        <v>128</v>
      </c>
      <c r="CB2" s="176" t="s">
        <v>129</v>
      </c>
      <c r="CC2" s="176"/>
      <c r="CD2" s="171"/>
      <c r="CE2" s="6" t="s">
        <v>113</v>
      </c>
      <c r="CF2" s="16" t="s">
        <v>114</v>
      </c>
      <c r="CG2" s="6" t="s">
        <v>5</v>
      </c>
      <c r="CH2" s="16" t="s">
        <v>115</v>
      </c>
      <c r="CI2" s="6" t="s">
        <v>6</v>
      </c>
      <c r="CJ2" s="16" t="s">
        <v>116</v>
      </c>
      <c r="CK2" s="6" t="s">
        <v>8</v>
      </c>
      <c r="CL2" s="16" t="s">
        <v>117</v>
      </c>
      <c r="CM2" s="6" t="s">
        <v>7</v>
      </c>
      <c r="CN2" s="16" t="s">
        <v>118</v>
      </c>
      <c r="CO2" s="6" t="s">
        <v>10</v>
      </c>
      <c r="CP2" s="16" t="s">
        <v>119</v>
      </c>
      <c r="CQ2" s="6" t="s">
        <v>120</v>
      </c>
      <c r="CR2" s="16" t="s">
        <v>121</v>
      </c>
      <c r="CS2" s="6" t="s">
        <v>130</v>
      </c>
      <c r="CT2" s="6" t="s">
        <v>12</v>
      </c>
      <c r="CU2" s="16" t="s">
        <v>122</v>
      </c>
      <c r="CV2" s="17" t="s">
        <v>3</v>
      </c>
      <c r="CW2" s="16" t="s">
        <v>123</v>
      </c>
      <c r="CX2" s="6" t="s">
        <v>13</v>
      </c>
      <c r="CY2" s="16" t="s">
        <v>124</v>
      </c>
      <c r="CZ2" s="6"/>
      <c r="DA2" s="171"/>
      <c r="DB2" s="6" t="s">
        <v>125</v>
      </c>
      <c r="DC2" s="6" t="s">
        <v>126</v>
      </c>
      <c r="DD2" s="18" t="s">
        <v>127</v>
      </c>
      <c r="DE2" s="19" t="s">
        <v>128</v>
      </c>
      <c r="DF2" s="20">
        <v>8020</v>
      </c>
      <c r="DG2" s="21"/>
      <c r="DH2" s="22"/>
      <c r="DI2" s="22"/>
      <c r="DJ2" s="22"/>
      <c r="DK2" s="22"/>
      <c r="DL2" s="22"/>
      <c r="DM2" s="22"/>
      <c r="DN2" s="23"/>
      <c r="DO2" s="24" t="s">
        <v>131</v>
      </c>
      <c r="DP2" s="23"/>
      <c r="DQ2" s="23"/>
      <c r="DR2" s="23"/>
      <c r="DS2" s="23"/>
      <c r="DT2" s="23"/>
      <c r="DU2" s="177" t="s">
        <v>132</v>
      </c>
      <c r="DV2" s="177"/>
      <c r="DW2" s="23"/>
      <c r="DX2" s="23"/>
      <c r="DY2" s="23"/>
    </row>
    <row r="3" spans="1:130" ht="24.95" customHeight="1" x14ac:dyDescent="0.25">
      <c r="A3" s="25" t="s">
        <v>133</v>
      </c>
      <c r="B3" s="25" t="s">
        <v>133</v>
      </c>
      <c r="C3" s="25" t="s">
        <v>133</v>
      </c>
      <c r="D3" s="25" t="s">
        <v>133</v>
      </c>
      <c r="E3" s="25" t="s">
        <v>133</v>
      </c>
      <c r="F3" s="25" t="s">
        <v>133</v>
      </c>
      <c r="G3" s="25" t="s">
        <v>133</v>
      </c>
      <c r="H3" s="25" t="s">
        <v>133</v>
      </c>
      <c r="I3" s="25" t="s">
        <v>133</v>
      </c>
      <c r="J3" s="25" t="s">
        <v>133</v>
      </c>
      <c r="K3" s="25" t="s">
        <v>133</v>
      </c>
      <c r="L3" s="25" t="s">
        <v>133</v>
      </c>
      <c r="M3" s="25" t="s">
        <v>133</v>
      </c>
      <c r="N3" s="25" t="s">
        <v>133</v>
      </c>
      <c r="O3" s="25" t="s">
        <v>133</v>
      </c>
      <c r="P3" s="25" t="s">
        <v>133</v>
      </c>
      <c r="Q3" s="25" t="s">
        <v>133</v>
      </c>
      <c r="R3" s="25" t="s">
        <v>133</v>
      </c>
      <c r="S3" s="25" t="s">
        <v>133</v>
      </c>
      <c r="T3" s="25" t="s">
        <v>133</v>
      </c>
      <c r="U3" s="25" t="s">
        <v>133</v>
      </c>
      <c r="V3" s="25" t="s">
        <v>133</v>
      </c>
      <c r="W3" s="25" t="s">
        <v>133</v>
      </c>
      <c r="X3" s="25" t="s">
        <v>133</v>
      </c>
      <c r="Y3" s="25" t="s">
        <v>133</v>
      </c>
      <c r="Z3" s="25" t="s">
        <v>133</v>
      </c>
      <c r="AA3" s="25" t="s">
        <v>133</v>
      </c>
      <c r="AB3" s="25" t="s">
        <v>133</v>
      </c>
      <c r="AC3" s="25" t="s">
        <v>133</v>
      </c>
      <c r="AD3" s="25" t="s">
        <v>133</v>
      </c>
      <c r="AE3" s="25" t="s">
        <v>133</v>
      </c>
      <c r="AF3" s="25" t="s">
        <v>133</v>
      </c>
      <c r="AG3" s="25" t="s">
        <v>133</v>
      </c>
      <c r="AH3" s="25" t="s">
        <v>133</v>
      </c>
      <c r="AI3" s="25" t="s">
        <v>133</v>
      </c>
      <c r="AJ3" s="25" t="s">
        <v>133</v>
      </c>
      <c r="AK3" s="25" t="s">
        <v>133</v>
      </c>
      <c r="AL3" s="25" t="s">
        <v>133</v>
      </c>
      <c r="AM3" s="25" t="s">
        <v>133</v>
      </c>
      <c r="AN3" s="25" t="s">
        <v>133</v>
      </c>
      <c r="AO3" s="25" t="s">
        <v>133</v>
      </c>
      <c r="AP3" s="25" t="s">
        <v>133</v>
      </c>
      <c r="AQ3" s="25" t="s">
        <v>133</v>
      </c>
      <c r="AR3" s="25" t="s">
        <v>133</v>
      </c>
      <c r="AS3" s="25" t="s">
        <v>133</v>
      </c>
      <c r="AT3" s="25" t="s">
        <v>133</v>
      </c>
      <c r="AU3" s="25" t="s">
        <v>133</v>
      </c>
      <c r="AV3" s="25" t="s">
        <v>133</v>
      </c>
      <c r="AW3" s="25" t="s">
        <v>133</v>
      </c>
      <c r="AX3" s="25" t="s">
        <v>133</v>
      </c>
      <c r="AY3" s="25" t="s">
        <v>133</v>
      </c>
      <c r="AZ3" s="26" t="s">
        <v>134</v>
      </c>
      <c r="BA3" s="27" t="s">
        <v>63</v>
      </c>
      <c r="BB3" s="28" t="s">
        <v>66</v>
      </c>
      <c r="BC3" s="29"/>
      <c r="BD3" s="30" t="s">
        <v>67</v>
      </c>
      <c r="BE3" s="29"/>
      <c r="BF3" s="30" t="s">
        <v>68</v>
      </c>
      <c r="BG3" s="29"/>
      <c r="BH3" s="28" t="s">
        <v>70</v>
      </c>
      <c r="BI3" s="29"/>
      <c r="BJ3" s="28" t="s">
        <v>69</v>
      </c>
      <c r="BK3" s="29"/>
      <c r="BL3" s="30" t="s">
        <v>72</v>
      </c>
      <c r="BM3" s="29"/>
      <c r="BN3" s="30" t="s">
        <v>73</v>
      </c>
      <c r="BO3" s="29"/>
      <c r="BP3" s="30" t="s">
        <v>74</v>
      </c>
      <c r="BQ3" s="29"/>
      <c r="BR3" s="30" t="s">
        <v>65</v>
      </c>
      <c r="BS3" s="30" t="s">
        <v>135</v>
      </c>
      <c r="BT3" s="30" t="s">
        <v>75</v>
      </c>
      <c r="BU3" s="29"/>
      <c r="BV3" s="29"/>
      <c r="BW3" s="29"/>
      <c r="BX3" s="30" t="s">
        <v>136</v>
      </c>
      <c r="BY3" s="30"/>
      <c r="BZ3" s="29" t="s">
        <v>78</v>
      </c>
      <c r="CA3" s="31" t="s">
        <v>79</v>
      </c>
      <c r="CB3" s="32" t="s">
        <v>137</v>
      </c>
      <c r="CC3" s="32" t="s">
        <v>138</v>
      </c>
      <c r="CD3" s="27" t="s">
        <v>63</v>
      </c>
      <c r="CE3" s="28" t="s">
        <v>66</v>
      </c>
      <c r="CF3" s="29"/>
      <c r="CG3" s="30" t="s">
        <v>67</v>
      </c>
      <c r="CH3" s="29"/>
      <c r="CI3" s="30" t="s">
        <v>68</v>
      </c>
      <c r="CJ3" s="29"/>
      <c r="CK3" s="28" t="s">
        <v>70</v>
      </c>
      <c r="CL3" s="29"/>
      <c r="CM3" s="28" t="s">
        <v>69</v>
      </c>
      <c r="CN3" s="29"/>
      <c r="CO3" s="30" t="s">
        <v>72</v>
      </c>
      <c r="CP3" s="29"/>
      <c r="CQ3" s="30" t="s">
        <v>73</v>
      </c>
      <c r="CR3" s="29"/>
      <c r="CS3" s="30"/>
      <c r="CT3" s="30" t="s">
        <v>74</v>
      </c>
      <c r="CU3" s="29"/>
      <c r="CV3" s="30" t="s">
        <v>65</v>
      </c>
      <c r="CW3" s="30" t="s">
        <v>135</v>
      </c>
      <c r="CX3" s="30" t="s">
        <v>75</v>
      </c>
      <c r="CY3" s="29"/>
      <c r="CZ3" s="29"/>
      <c r="DA3" s="29"/>
      <c r="DB3" s="30" t="s">
        <v>136</v>
      </c>
      <c r="DC3" s="30"/>
      <c r="DD3" s="29" t="s">
        <v>78</v>
      </c>
      <c r="DE3" s="31" t="s">
        <v>79</v>
      </c>
      <c r="DF3" s="33" t="s">
        <v>56</v>
      </c>
      <c r="DG3" s="30" t="s">
        <v>80</v>
      </c>
      <c r="DH3" s="34" t="s">
        <v>92</v>
      </c>
      <c r="DI3" s="34" t="s">
        <v>103</v>
      </c>
      <c r="DJ3" s="34" t="s">
        <v>139</v>
      </c>
      <c r="DK3" s="35" t="s">
        <v>140</v>
      </c>
      <c r="DL3" s="14" t="s">
        <v>141</v>
      </c>
      <c r="DM3" s="5" t="s">
        <v>102</v>
      </c>
      <c r="DN3" s="36" t="s">
        <v>142</v>
      </c>
      <c r="DO3" s="36" t="s">
        <v>143</v>
      </c>
      <c r="DP3" s="37" t="s">
        <v>144</v>
      </c>
      <c r="DQ3" s="37" t="s">
        <v>145</v>
      </c>
      <c r="DR3" s="37" t="s">
        <v>146</v>
      </c>
      <c r="DS3" s="37" t="s">
        <v>147</v>
      </c>
      <c r="DT3" s="37" t="s">
        <v>14</v>
      </c>
      <c r="DU3" s="37" t="s">
        <v>148</v>
      </c>
      <c r="DV3" s="37" t="s">
        <v>149</v>
      </c>
      <c r="DW3" s="37" t="s">
        <v>150</v>
      </c>
      <c r="DX3" s="37" t="s">
        <v>151</v>
      </c>
      <c r="DY3" s="37" t="s">
        <v>152</v>
      </c>
      <c r="DZ3" s="37" t="s">
        <v>153</v>
      </c>
    </row>
    <row r="4" spans="1:130" ht="24.95" customHeight="1" x14ac:dyDescent="0.25">
      <c r="A4" s="38"/>
      <c r="B4" s="39"/>
      <c r="C4" s="39"/>
      <c r="D4" s="38"/>
      <c r="E4" s="40"/>
      <c r="F4" s="40"/>
      <c r="G4" s="40"/>
      <c r="H4" s="40"/>
      <c r="I4" s="40"/>
      <c r="J4" s="39"/>
      <c r="K4" s="40"/>
      <c r="L4" s="40"/>
      <c r="M4" s="40"/>
      <c r="N4" s="40"/>
      <c r="O4" s="38"/>
      <c r="P4" s="38"/>
      <c r="Q4" s="38"/>
      <c r="R4" s="38"/>
      <c r="S4" s="38"/>
      <c r="T4" s="38"/>
      <c r="U4" s="38"/>
      <c r="V4" s="38"/>
      <c r="W4" s="38"/>
      <c r="X4" s="38"/>
      <c r="Y4" s="40"/>
      <c r="Z4" s="40"/>
      <c r="AA4" s="40"/>
      <c r="AB4" s="39"/>
      <c r="AC4" s="38"/>
      <c r="AD4" s="38"/>
      <c r="AE4" s="38"/>
      <c r="AF4" s="40"/>
      <c r="AG4" s="40"/>
      <c r="AH4" s="38"/>
      <c r="AI4" s="38"/>
      <c r="AJ4" s="38"/>
      <c r="AK4" s="38"/>
      <c r="AL4" s="38"/>
      <c r="AM4" s="38"/>
      <c r="AN4" s="38"/>
      <c r="AO4" s="38"/>
      <c r="AP4" s="39"/>
      <c r="AQ4" s="38"/>
      <c r="AR4" s="39"/>
      <c r="AS4" s="38"/>
      <c r="AT4" s="38"/>
      <c r="AU4" s="40"/>
      <c r="AV4" s="40"/>
      <c r="AW4" s="40"/>
      <c r="AX4" s="40"/>
      <c r="AY4" s="40"/>
      <c r="AZ4" s="41">
        <f>IF(OR(AR4="13:021",AR4="13:011"),IF(AV4="Коттеджные_поселки","13:031",AR4),IF(OR(AR4="02:010",AR4="02:011",AR4="02:020",AR4="02:021",AR4="02:023"),IF(AV4="Коттеджные_поселки","02:019",AR4),AR4))</f>
        <v>0</v>
      </c>
      <c r="BA4" s="42">
        <f>B4</f>
        <v>0</v>
      </c>
      <c r="BB4" s="42">
        <f>E4</f>
        <v>0</v>
      </c>
      <c r="BC4" s="42" t="e">
        <f>VLOOKUP(BB4,модули!$L$27:'модули'!$M$37,2,FALSE)</f>
        <v>#N/A</v>
      </c>
      <c r="BD4" s="42">
        <f>F4</f>
        <v>0</v>
      </c>
      <c r="BE4" s="42" t="e">
        <f>VLOOKUP(BD4,модули!$B$7:'модули'!$D$18,3,FALSE)</f>
        <v>#N/A</v>
      </c>
      <c r="BF4" s="42">
        <f>G4</f>
        <v>0</v>
      </c>
      <c r="BG4" s="42" t="e">
        <f>VLOOKUP(BF4,модули!$F$7:'модули'!$H$18,3,FALSE)</f>
        <v>#N/A</v>
      </c>
      <c r="BH4" s="42">
        <f>I4</f>
        <v>0</v>
      </c>
      <c r="BI4" s="42" t="e">
        <f>VLOOKUP(BH4,модули!$J$7:'модули'!$L$18,3,FALSE)</f>
        <v>#N/A</v>
      </c>
      <c r="BJ4" s="42">
        <f>H4</f>
        <v>0</v>
      </c>
      <c r="BK4" s="42" t="e">
        <f>VLOOKUP(BJ4,модули!$N$7:'модули'!$P$18,3,FALSE)</f>
        <v>#N/A</v>
      </c>
      <c r="BL4" s="42">
        <f>K4</f>
        <v>0</v>
      </c>
      <c r="BM4" s="42" t="e">
        <f>VLOOKUP(BL4,модули!$R$7:'модули'!$T$16,3,FALSE)</f>
        <v>#N/A</v>
      </c>
      <c r="BN4" s="42">
        <f>L4</f>
        <v>0</v>
      </c>
      <c r="BO4" s="42" t="e">
        <f>VLOOKUP(BN4,модули!$V$7:'модули'!$X$17,3,FALSE)</f>
        <v>#N/A</v>
      </c>
      <c r="BP4" s="42">
        <f>M4</f>
        <v>0</v>
      </c>
      <c r="BQ4" s="43" t="e">
        <f>VLOOKUP(BP4,модули!$B$27:'модули'!$D$90,3,FALSE)</f>
        <v>#N/A</v>
      </c>
      <c r="BR4" s="42">
        <f>D4</f>
        <v>0</v>
      </c>
      <c r="BS4">
        <f>ROUND(IF(BR4&lt;модули!$A$99,модули!$B$99,IF(BR4&gt;модули!$A$100,модули!$B$100,( ( -0.00000000000000024*BR4^4 + 0.00000000001297181*BR4^3- 0.00000011794827687*BR4^2 + 0.00020947190264916*BR4 + 0.892271997522451)))),4)</f>
        <v>0.89229999999999998</v>
      </c>
      <c r="BT4" s="42">
        <f>N4</f>
        <v>0</v>
      </c>
      <c r="BU4">
        <f>ROUND(EXP(LN(IF(BT4&lt;модули!$H$99,модули!$I$99,IF(BT4&gt;модули!$H$100,модули!$I$100,((9.167685587011E-08*(BT4)^4+0.000015289662956704*(BT4)^3-0.00161875861673315*(BT4)^2+0.0151997782316484*(BT4)+0.962501568438211)))))*модули!$K$98),4)</f>
        <v>1</v>
      </c>
      <c r="BV4" s="42">
        <f>коэффициенты!$G$2</f>
        <v>501.25900000000001</v>
      </c>
      <c r="BW4" s="42" t="e">
        <f>BG4*BE4*BI4*BK4*BM4*BO4*BC4*BQ4*BS4*BU4*BV4</f>
        <v>#N/A</v>
      </c>
      <c r="BX4" s="42" t="s">
        <v>154</v>
      </c>
      <c r="BY4" s="42">
        <f>$DD$1</f>
        <v>0.91</v>
      </c>
      <c r="BZ4" s="44" t="e">
        <f>ROUND(BY4*BW4,2)</f>
        <v>#N/A</v>
      </c>
      <c r="CA4" s="44" t="e">
        <f>ROUND(BZ4*BR4,2)</f>
        <v>#N/A</v>
      </c>
      <c r="CB4" s="45" t="str">
        <f>IF(Q4="","Новый объект",IF(AN4=AT4,CA4-R4,"Объект пришел из другой модели"))</f>
        <v>Новый объект</v>
      </c>
      <c r="CC4" s="45" t="str">
        <f>IF(AU4="",IF(AG4&lt;&gt;"","ОСПАРИВАНИЕ",IF(AX4&lt;&gt;"","СУД",IF(Y4="","",Y4))),AU4)</f>
        <v/>
      </c>
      <c r="CD4" s="42">
        <f>B4</f>
        <v>0</v>
      </c>
      <c r="CE4" s="42">
        <f>IF(AI4="ГОТОВ",E4,IF(AP4=AZ4,E4,IF(OR(AP4="02:010",AP4="02:011",AP4="02:020",AP4="02:021",AP4="02:023",AP4="02:030",AP4="02:031",AP4="02:019"),IF(OR(AZ4="02:010",AZ4="02:011",AZ4="02:020",AZ4="02:021",AZ4="02:023",AZ4="02:030",AZ4="02:031",AZ4="02:019"),E4,VLOOKUP(AZ4,модули!$K$27:$L$37,2,0)),IF(OR(AP4="13:021",AP4="13:011"),IF(OR(AZ4="13:021",AZ4="13:011"),E4,VLOOKUP(AZ4,модули!$K$27:$L$37,2,0)),VLOOKUP('расчетОО '!AZ4,модули!$K$27:$L$37,2,0)))))</f>
        <v>0</v>
      </c>
      <c r="CF4" s="42" t="e">
        <f>VLOOKUP(CE4,модули!$L$27:'модули'!$M$37,2,FALSE)</f>
        <v>#N/A</v>
      </c>
      <c r="CG4" s="42" t="str">
        <f>IF(F4="",IF(AZ4="13:011","Отсутствие газоснабжения",IF(AZ4="13:021","Отсутствие газоснабжения",IF(U4="наличие","Наличие газоснабжения",IF(U4="пересечение","Возможность подключения газоснабжения","Отсутствие газоснабжения")))),F4)</f>
        <v>Отсутствие газоснабжения</v>
      </c>
      <c r="CH4" s="42">
        <f>VLOOKUP(CG4,модули!$B$7:'модули'!$D$18,3,FALSE)</f>
        <v>1</v>
      </c>
      <c r="CI4" s="42" t="str">
        <f>IF(G4="",IF(V4="отсутствие","Отсутствие электроснабжения","Наличие электроснабжения"),G4)</f>
        <v>Наличие электроснабжения</v>
      </c>
      <c r="CJ4" s="42">
        <f>VLOOKUP(CI4,модули!$F$7:'модули'!$H$18,3,FALSE)</f>
        <v>1.2297</v>
      </c>
      <c r="CK4" s="42" t="s">
        <v>155</v>
      </c>
      <c r="CL4" s="42">
        <f>VLOOKUP(CK4,модули!$J$7:'модули'!$L$18,3,FALSE)</f>
        <v>1</v>
      </c>
      <c r="CM4" s="42" t="s">
        <v>156</v>
      </c>
      <c r="CN4" s="42">
        <f>VLOOKUP(CM4,модули!$N$7:'модули'!$P$18,3,FALSE)</f>
        <v>1</v>
      </c>
      <c r="CO4" s="42" t="str">
        <f>IF(K4="Наличие ЛЭП","Наличие ЛЭП","Отсутствие ЛЭП")</f>
        <v>Отсутствие ЛЭП</v>
      </c>
      <c r="CP4" s="42">
        <f>VLOOKUP(CO4,модули!$R$7:'модули'!$T$16,3,FALSE)</f>
        <v>1</v>
      </c>
      <c r="CQ4" s="42" t="str">
        <f>IF(L4="Отсутствие подъезда","Отсутствие подъезда","Наличие подъезда")</f>
        <v>Наличие подъезда</v>
      </c>
      <c r="CR4" s="42">
        <f>VLOOKUP(CQ4,модули!$V$7:'модули'!$X$17,3,FALSE)</f>
        <v>1.2423</v>
      </c>
      <c r="CS4" s="42" t="e">
        <f>IFERROR(IF(M4="",IF(P4="",VLOOKUP(C4,модули!$F$48:$G$7038,2,0),P4),M4),VLOOKUP(AB4,модули!$T$26:$U$39,2,0))</f>
        <v>#N/A</v>
      </c>
      <c r="CT4" s="42" t="e">
        <f>IFERROR(VLOOKUP(CS4,модули!$A$27:$B$90,2,0),CS4)</f>
        <v>#N/A</v>
      </c>
      <c r="CU4" s="43" t="e">
        <f>VLOOKUP(CT4,модули!$B$27:'модули'!$D$90,3,FALSE)</f>
        <v>#N/A</v>
      </c>
      <c r="CV4" s="42">
        <f>T4</f>
        <v>0</v>
      </c>
      <c r="CW4">
        <f>ROUND(IF(CV4&lt;модули!$A$99,модули!$B$99,IF(CV4&gt;модули!$A$100,модули!$B$100,( ( -0.00000000000000024*CV4^4 + 0.00000000001297181*CV4^3- 0.00000011794827687*CV4^2 + 0.00020947190264916*CV4 + 0.892271997522451)))),4)</f>
        <v>0.89229999999999998</v>
      </c>
      <c r="CX4" s="42" t="e">
        <f>IF(N4="",IF(O4="",VLOOKUP(CS4,модули!$F$27:$G$90,2,0),O4),N4)</f>
        <v>#N/A</v>
      </c>
      <c r="CY4" t="e">
        <f>ROUND(EXP(LN(IF(CX4&lt;модули!$H$99,модули!$I$99,IF(CX4&gt;модули!$H$100,модули!$I$100,((9.167685587011E-08*(CX4)^4+0.000015289662956704*(CX4)^3-0.00161875861673315*(CX4)^2+0.0151997782316484*(CX4)+0.962501568438211)))))*модули!$K$98),4)</f>
        <v>#N/A</v>
      </c>
      <c r="CZ4" s="42">
        <f>коэффициенты!$G$2</f>
        <v>501.25900000000001</v>
      </c>
      <c r="DA4" s="42" t="e">
        <f>CJ4*CH4*CL4*CN4*CP4*CR4*CF4*CU4*CW4*CY4*CZ4</f>
        <v>#N/A</v>
      </c>
      <c r="DB4" s="42" t="s">
        <v>154</v>
      </c>
      <c r="DC4" s="42">
        <f>$DD$1</f>
        <v>0.91</v>
      </c>
      <c r="DD4" s="44" t="e">
        <f>ROUND(DC4*DA4,2)</f>
        <v>#N/A</v>
      </c>
      <c r="DE4" s="44" t="e">
        <f>ROUND(DD4*CV4,2)</f>
        <v>#N/A</v>
      </c>
      <c r="DF4" s="20">
        <f>$DF$2</f>
        <v>8020</v>
      </c>
      <c r="DG4" s="46" t="s">
        <v>157</v>
      </c>
      <c r="DH4" t="e">
        <f>IF(OR(DE4&lt;0,DE4=0),"ОТРИЦАТЕЛЬНОЕ ЗНАЧЕНИЕ",IF(DN4=0,"Пересчет не требуется","Готов"))</f>
        <v>#N/A</v>
      </c>
      <c r="DI4">
        <f>IF(AI4="ГОТОВ",AR4,AZ4)</f>
        <v>0</v>
      </c>
      <c r="DJ4" t="s">
        <v>158</v>
      </c>
      <c r="DK4">
        <f>13</f>
        <v>13</v>
      </c>
      <c r="DL4" t="e">
        <f>VLOOKUP(DI4,'справочник впр'!$A$3:$B$271,2,0)</f>
        <v>#N/A</v>
      </c>
      <c r="DM4" s="5">
        <f>AQ4</f>
        <v>0</v>
      </c>
      <c r="DN4" s="45" t="str">
        <f>IF(ISBLANK(Q4),"Новый объект",IF(DF4=AN4,ABS(DE4-R4),"Объект из другой модели"))</f>
        <v>Новый объект</v>
      </c>
      <c r="DO4" s="45" t="str">
        <f>IF(DN4="Объект из другой модели",IF(OR(DD4&lt;19,DD4&gt;1914),"Отклонение УПКС","УПКС в допустимом интервале"),IF(DN4&lt;1000000,"Изменение менее 1 млн","Внимание!Изменение более 1млн"))</f>
        <v>Внимание!Изменение более 1млн</v>
      </c>
      <c r="DP4" s="47" t="str">
        <f>IF(M4="","Новое значение",IF(M4=CT4,"Осталось предыдущее значение ЦФ","ИЗМЕНЕНИЕ"))</f>
        <v>Новое значение</v>
      </c>
      <c r="DQ4" s="47" t="str">
        <f>IF(G4="","Новое значение",IF(CI4=G4,"Осталось предыдущее значение ЦФ","ИЗМЕНЕНИЕ"))</f>
        <v>Новое значение</v>
      </c>
      <c r="DR4" s="47" t="str">
        <f>IF(F4="","Новое значение",IF(CG4=F4,"Осталось предыдущее значение ЦФ","ИЗМЕНЕНИЕ"))</f>
        <v>Новое значение</v>
      </c>
      <c r="DS4" s="47" t="str">
        <f>IF(AJ4="не готов","ИЗМЕНЕНИЕ","Осталось предыдущее значение ЦФ")</f>
        <v>Осталось предыдущее значение ЦФ</v>
      </c>
      <c r="DT4" s="47" t="str">
        <f>IF(N4="","Новое значение",IF(CX4=N4,"Осталось предыдущее значение ЦФ","ИЗМЕНЕНИЕ"))</f>
        <v>Новое значение</v>
      </c>
      <c r="DU4" s="47" t="str">
        <f>IF(E4="","Новое значение",IF(CE4=E4,"Осталось предыдущее значение ЦФ","ИЗМЕНЕНИЕ"))</f>
        <v>Новое значение</v>
      </c>
      <c r="DV4" s="47" t="str">
        <f>IF(AI4="ГОТОВ",IF(AP4=AR4,"Осталось предыдущее значение ЦФ","ИЗМЕНЕНИЕ"),IF(AP4=AZ4,"Осталось предыдущее значение ЦФ","ИЗМЕНЕНИЕ"))</f>
        <v>Осталось предыдущее значение ЦФ</v>
      </c>
      <c r="DW4" s="47" t="str">
        <f>IF(I4="","Новое значение",IF(CK4=I4,"Осталось предыдущее значение ЦФ","ИЗМЕНЕНИЕ"))</f>
        <v>Новое значение</v>
      </c>
      <c r="DX4" s="47" t="str">
        <f>IF(H4="","Новое значение",IF(CM4=H4,"Осталось предыдущее значение ЦФ","ИЗМЕНЕНИЕ"))</f>
        <v>Новое значение</v>
      </c>
      <c r="DY4" s="47" t="str">
        <f>IF(K4="","Новое значение",IF(CO4=K4,"Осталось предыдущее значение ЦФ","ИЗМЕНЕНИЕ"))</f>
        <v>Новое значение</v>
      </c>
      <c r="DZ4" s="47" t="str">
        <f>IF(L4="","Новое значение",IF(CQ4=L4,"Осталось предыдущее значение ЦФ","ИЗМЕНЕНИЕ"))</f>
        <v>Новое значение</v>
      </c>
    </row>
    <row r="5" spans="1:130" ht="24.95" customHeight="1" x14ac:dyDescent="0.25">
      <c r="AZ5" s="41">
        <f>IF(OR(AR5="13:021",AR5="13:011"),IF(AV5="Коттеджные_поселки","13:031",AR5),IF(OR(AR5="02:010",AR5="02:011",AR5="02:020",AR5="02:021",AR5="02:023"),IF(AV5="Коттеджные_поселки","02:019",AR5),AR5))</f>
        <v>0</v>
      </c>
      <c r="BA5" s="42">
        <f>B5</f>
        <v>0</v>
      </c>
      <c r="BB5" s="42">
        <f>E5</f>
        <v>0</v>
      </c>
      <c r="BC5" s="42" t="e">
        <f>VLOOKUP(BB5,модули!$L$27:'модули'!$M$37,2,FALSE)</f>
        <v>#N/A</v>
      </c>
      <c r="BD5" s="42">
        <f>F5</f>
        <v>0</v>
      </c>
      <c r="BE5" s="42" t="e">
        <f>VLOOKUP(BD5,модули!$B$7:'модули'!$D$18,3,FALSE)</f>
        <v>#N/A</v>
      </c>
      <c r="BF5" s="42">
        <f>G5</f>
        <v>0</v>
      </c>
      <c r="BG5" s="42" t="e">
        <f>VLOOKUP(BF5,модули!$F$7:'модули'!$H$18,3,FALSE)</f>
        <v>#N/A</v>
      </c>
      <c r="BH5" s="42">
        <f>I5</f>
        <v>0</v>
      </c>
      <c r="BI5" s="42" t="e">
        <f>VLOOKUP(BH5,модули!$J$7:'модули'!$L$18,3,FALSE)</f>
        <v>#N/A</v>
      </c>
      <c r="BJ5" s="42">
        <f>H5</f>
        <v>0</v>
      </c>
      <c r="BK5" s="42" t="e">
        <f>VLOOKUP(BJ5,модули!$N$7:'модули'!$P$18,3,FALSE)</f>
        <v>#N/A</v>
      </c>
      <c r="BL5" s="42">
        <f>K5</f>
        <v>0</v>
      </c>
      <c r="BM5" s="42" t="e">
        <f>VLOOKUP(BL5,модули!$R$7:'модули'!$T$16,3,FALSE)</f>
        <v>#N/A</v>
      </c>
      <c r="BN5" s="42">
        <f>L5</f>
        <v>0</v>
      </c>
      <c r="BO5" s="42" t="e">
        <f>VLOOKUP(BN5,модули!$V$7:'модули'!$X$17,3,FALSE)</f>
        <v>#N/A</v>
      </c>
      <c r="BP5" s="42">
        <f>M5</f>
        <v>0</v>
      </c>
      <c r="BQ5" s="43" t="e">
        <f>VLOOKUP(BP5,модули!$B$27:'модули'!$D$90,3,FALSE)</f>
        <v>#N/A</v>
      </c>
      <c r="BR5" s="42">
        <f>D5</f>
        <v>0</v>
      </c>
      <c r="BS5">
        <f>ROUND(IF(BR5&lt;модули!$A$99,модули!$B$99,IF(BR5&gt;модули!$A$100,модули!$B$100,( ( -0.00000000000000024*BR5^4 + 0.00000000001297181*BR5^3- 0.00000011794827687*BR5^2 + 0.00020947190264916*BR5 + 0.892271997522451)))),4)</f>
        <v>0.89229999999999998</v>
      </c>
      <c r="BT5" s="42">
        <f>N5</f>
        <v>0</v>
      </c>
      <c r="BU5">
        <f>ROUND(EXP(LN(IF(BT5&lt;модули!$H$99,модули!$I$99,IF(BT5&gt;модули!$H$100,модули!$I$100,((9.167685587011E-08*(BT5)^4+0.000015289662956704*(BT5)^3-0.00161875861673315*(BT5)^2+0.0151997782316484*(BT5)+0.962501568438211)))))*модули!$K$98),4)</f>
        <v>1</v>
      </c>
      <c r="BV5" s="42">
        <f>коэффициенты!$G$2</f>
        <v>501.25900000000001</v>
      </c>
      <c r="BW5" s="42" t="e">
        <f>BG5*BE5*BI5*BK5*BM5*BO5*BC5*BQ5*BS5*BU5*BV5</f>
        <v>#N/A</v>
      </c>
      <c r="BX5" s="42" t="s">
        <v>154</v>
      </c>
      <c r="BY5" s="42">
        <f>$DD$1</f>
        <v>0.91</v>
      </c>
      <c r="BZ5" s="44" t="e">
        <f>ROUND(BY5*BW5,2)</f>
        <v>#N/A</v>
      </c>
      <c r="CA5" s="44" t="e">
        <f>ROUND(BZ5*BR5,2)</f>
        <v>#N/A</v>
      </c>
      <c r="CB5" s="45" t="str">
        <f>IF(Q5="","Новый объект",IF(AN5=AT5,CA5-R5,"Объект пришел из другой модели"))</f>
        <v>Новый объект</v>
      </c>
      <c r="CC5" s="45" t="str">
        <f>IF(AU5="",IF(AG5&lt;&gt;"","ОСПАРИВАНИЕ",IF(AX5&lt;&gt;"","СУД",IF(Y5="","",Y5))),AU5)</f>
        <v/>
      </c>
      <c r="CD5" s="42">
        <f>B5</f>
        <v>0</v>
      </c>
      <c r="CE5" s="42">
        <f>IF(AI5="ГОТОВ",E5,IF(AP5=AZ5,E5,IF(OR(AP5="02:010",AP5="02:011",AP5="02:020",AP5="02:021",AP5="02:023",AP5="02:030",AP5="02:031",AP5="02:019"),IF(OR(AZ5="02:010",AZ5="02:011",AZ5="02:020",AZ5="02:021",AZ5="02:023",AZ5="02:030",AZ5="02:031",AZ5="02:019"),E5,VLOOKUP(AZ5,модули!$K$27:$L$37,2,0)),IF(OR(AP5="13:021",AP5="13:011"),IF(OR(AZ5="13:021",AZ5="13:011"),E5,VLOOKUP(AZ5,модули!$K$27:$L$37,2,0)),VLOOKUP('расчетОО '!AZ5,модули!$K$27:$L$37,2,0)))))</f>
        <v>0</v>
      </c>
      <c r="CF5" s="42" t="e">
        <f>VLOOKUP(CE5,модули!$L$27:'модули'!$M$37,2,FALSE)</f>
        <v>#N/A</v>
      </c>
      <c r="CG5" s="42" t="str">
        <f>IF(F5="",IF(AZ5="13:011","Отсутствие газоснабжения",IF(AZ5="13:021","Отсутствие газоснабжения",IF(U5="наличие","Наличие газоснабжения",IF(U5="пересечение","Возможность подключения газоснабжения","Отсутствие газоснабжения")))),F5)</f>
        <v>Отсутствие газоснабжения</v>
      </c>
      <c r="CH5" s="42">
        <f>VLOOKUP(CG5,модули!$B$7:'модули'!$D$18,3,FALSE)</f>
        <v>1</v>
      </c>
      <c r="CI5" s="42" t="str">
        <f>IF(G5="",IF(V5="отсутствие","Отсутствие электроснабжения","Наличие электроснабжения"),G5)</f>
        <v>Наличие электроснабжения</v>
      </c>
      <c r="CJ5" s="42">
        <f>VLOOKUP(CI5,модули!$F$7:'модули'!$H$18,3,FALSE)</f>
        <v>1.2297</v>
      </c>
      <c r="CK5" s="42" t="s">
        <v>155</v>
      </c>
      <c r="CL5" s="42">
        <f>VLOOKUP(CK5,модули!$J$7:'модули'!$L$18,3,FALSE)</f>
        <v>1</v>
      </c>
      <c r="CM5" s="42" t="s">
        <v>156</v>
      </c>
      <c r="CN5" s="42">
        <f>VLOOKUP(CM5,модули!$N$7:'модули'!$P$18,3,FALSE)</f>
        <v>1</v>
      </c>
      <c r="CO5" s="42" t="str">
        <f>IF(K5="Наличие ЛЭП","Наличие ЛЭП","Отсутствие ЛЭП")</f>
        <v>Отсутствие ЛЭП</v>
      </c>
      <c r="CP5" s="42">
        <f>VLOOKUP(CO5,модули!$R$7:'модули'!$T$16,3,FALSE)</f>
        <v>1</v>
      </c>
      <c r="CQ5" s="42" t="str">
        <f>IF(L5="Отсутствие подъезда","Отсутствие подъезда","Наличие подъезда")</f>
        <v>Наличие подъезда</v>
      </c>
      <c r="CR5" s="42">
        <f>VLOOKUP(CQ5,модули!$V$7:'модули'!$X$17,3,FALSE)</f>
        <v>1.2423</v>
      </c>
      <c r="CS5" s="42" t="e">
        <f>IFERROR(IF(M5="",IF(P5="",VLOOKUP(C5,модули!$F$48:$G$7038,2,0),P5),M5),VLOOKUP(AB5,модули!$T$26:$U$39,2,0))</f>
        <v>#N/A</v>
      </c>
      <c r="CT5" s="42" t="e">
        <f>IFERROR(VLOOKUP(CS5,модули!$A$27:$B$90,2,0),CS5)</f>
        <v>#N/A</v>
      </c>
      <c r="CU5" s="43" t="e">
        <f>VLOOKUP(CT5,модули!$B$27:'модули'!$D$90,3,FALSE)</f>
        <v>#N/A</v>
      </c>
      <c r="CV5" s="42">
        <f>T5</f>
        <v>0</v>
      </c>
      <c r="CW5">
        <f>ROUND(IF(CV5&lt;модули!$A$99,модули!$B$99,IF(CV5&gt;модули!$A$100,модули!$B$100,( ( -0.00000000000000024*CV5^4 + 0.00000000001297181*CV5^3- 0.00000011794827687*CV5^2 + 0.00020947190264916*CV5 + 0.892271997522451)))),4)</f>
        <v>0.89229999999999998</v>
      </c>
      <c r="CX5" s="42" t="e">
        <f>IF(N5="",IF(O5="",VLOOKUP(CS5,модули!$F$27:$G$90,2,0),O5),N5)</f>
        <v>#N/A</v>
      </c>
      <c r="CY5" t="e">
        <f>ROUND(EXP(LN(IF(CX5&lt;модули!$H$99,модули!$I$99,IF(CX5&gt;модули!$H$100,модули!$I$100,((9.167685587011E-08*(CX5)^4+0.000015289662956704*(CX5)^3-0.00161875861673315*(CX5)^2+0.0151997782316484*(CX5)+0.962501568438211)))))*модули!$K$98),4)</f>
        <v>#N/A</v>
      </c>
      <c r="CZ5" s="42">
        <f>коэффициенты!$G$2</f>
        <v>501.25900000000001</v>
      </c>
      <c r="DA5" s="42" t="e">
        <f>CJ5*CH5*CL5*CN5*CP5*CR5*CF5*CU5*CW5*CY5*CZ5</f>
        <v>#N/A</v>
      </c>
      <c r="DB5" s="42" t="s">
        <v>154</v>
      </c>
      <c r="DC5" s="42">
        <f>$DD$1</f>
        <v>0.91</v>
      </c>
      <c r="DD5" s="44" t="e">
        <f>ROUND(DC5*DA5,2)</f>
        <v>#N/A</v>
      </c>
      <c r="DE5" s="44" t="e">
        <f>ROUND(DD5*CV5,2)</f>
        <v>#N/A</v>
      </c>
      <c r="DF5" s="20">
        <f>$DF$2</f>
        <v>8020</v>
      </c>
      <c r="DG5" s="46" t="s">
        <v>157</v>
      </c>
      <c r="DH5" t="e">
        <f>IF(OR(DE5&lt;0,DE5=0),"ОТРИЦАТЕЛЬНОЕ ЗНАЧЕНИЕ",IF(DN5=0,"Пересчет не требуется","Готов"))</f>
        <v>#N/A</v>
      </c>
      <c r="DI5">
        <f>IF(AI5="ГОТОВ",AR5,AZ5)</f>
        <v>0</v>
      </c>
      <c r="DJ5" t="s">
        <v>158</v>
      </c>
      <c r="DK5">
        <f>13</f>
        <v>13</v>
      </c>
      <c r="DL5" t="e">
        <f>VLOOKUP(DI5,'справочник впр'!$A$3:$B$271,2,0)</f>
        <v>#N/A</v>
      </c>
      <c r="DM5" s="5">
        <f>AQ5</f>
        <v>0</v>
      </c>
      <c r="DN5" s="45" t="str">
        <f>IF(ISBLANK(Q5),"Новый объект",IF(DF5=AN5,ABS(DE5-R5),"Объект из другой модели"))</f>
        <v>Новый объект</v>
      </c>
      <c r="DO5" s="45" t="str">
        <f>IF(DN5="Объект из другой модели",IF(OR(DD5&lt;19,DD5&gt;1914),"Отклонение УПКС","УПКС в допустимом интервале"),IF(DN5&lt;1000000,"Изменение менее 1 млн","Внимание!Изменение более 1млн"))</f>
        <v>Внимание!Изменение более 1млн</v>
      </c>
      <c r="DP5" s="47" t="str">
        <f>IF(M5="","Новое значение",IF(M5=CT5,"Осталось предыдущее значение ЦФ","ИЗМЕНЕНИЕ"))</f>
        <v>Новое значение</v>
      </c>
      <c r="DQ5" s="47" t="str">
        <f>IF(G5="","Новое значение",IF(CI5=G5,"Осталось предыдущее значение ЦФ","ИЗМЕНЕНИЕ"))</f>
        <v>Новое значение</v>
      </c>
      <c r="DR5" s="47" t="str">
        <f>IF(F5="","Новое значение",IF(CG5=F5,"Осталось предыдущее значение ЦФ","ИЗМЕНЕНИЕ"))</f>
        <v>Новое значение</v>
      </c>
      <c r="DS5" s="47" t="str">
        <f>IF(AJ5="не готов","ИЗМЕНЕНИЕ","Осталось предыдущее значение ЦФ")</f>
        <v>Осталось предыдущее значение ЦФ</v>
      </c>
      <c r="DT5" s="47" t="str">
        <f>IF(N5="","Новое значение",IF(CX5=N5,"Осталось предыдущее значение ЦФ","ИЗМЕНЕНИЕ"))</f>
        <v>Новое значение</v>
      </c>
      <c r="DU5" s="47" t="str">
        <f>IF(E5="","Новое значение",IF(CE5=E5,"Осталось предыдущее значение ЦФ","ИЗМЕНЕНИЕ"))</f>
        <v>Новое значение</v>
      </c>
      <c r="DV5" s="47" t="str">
        <f>IF(AI5="ГОТОВ",IF(AP5=AR5,"Осталось предыдущее значение ЦФ","ИЗМЕНЕНИЕ"),IF(AP5=AZ5,"Осталось предыдущее значение ЦФ","ИЗМЕНЕНИЕ"))</f>
        <v>Осталось предыдущее значение ЦФ</v>
      </c>
      <c r="DW5" s="47" t="str">
        <f>IF(I5="","Новое значение",IF(CK5=I5,"Осталось предыдущее значение ЦФ","ИЗМЕНЕНИЕ"))</f>
        <v>Новое значение</v>
      </c>
      <c r="DX5" s="47" t="str">
        <f>IF(H5="","Новое значение",IF(CM5=H5,"Осталось предыдущее значение ЦФ","ИЗМЕНЕНИЕ"))</f>
        <v>Новое значение</v>
      </c>
      <c r="DY5" s="47" t="str">
        <f>IF(K5="","Новое значение",IF(CO5=K5,"Осталось предыдущее значение ЦФ","ИЗМЕНЕНИЕ"))</f>
        <v>Новое значение</v>
      </c>
      <c r="DZ5" s="47" t="str">
        <f>IF(L5="","Новое значение",IF(CQ5=L5,"Осталось предыдущее значение ЦФ","ИЗМЕНЕНИЕ"))</f>
        <v>Новое значение</v>
      </c>
    </row>
    <row r="6" spans="1:130" ht="24.95" customHeight="1" x14ac:dyDescent="0.25">
      <c r="A6" t="s">
        <v>159</v>
      </c>
      <c r="AZ6" s="41">
        <f>IF(OR(AR6="13:021",AR6="13:011"),IF(AV6="Коттеджные_поселки","13:031",AR6),IF(OR(AR6="02:010",AR6="02:011",AR6="02:020",AR6="02:021",AR6="02:023"),IF(AV6="Коттеджные_поселки","02:019",AR6),AR6))</f>
        <v>0</v>
      </c>
      <c r="BA6" s="42">
        <f>B6</f>
        <v>0</v>
      </c>
      <c r="BB6" s="42">
        <f>E6</f>
        <v>0</v>
      </c>
      <c r="BC6" s="42" t="e">
        <f>VLOOKUP(BB6,модули!$L$27:'модули'!$M$37,2,FALSE)</f>
        <v>#N/A</v>
      </c>
      <c r="BD6" s="42">
        <f>F6</f>
        <v>0</v>
      </c>
      <c r="BE6" s="42" t="e">
        <f>VLOOKUP(BD6,модули!$B$7:'модули'!$D$18,3,FALSE)</f>
        <v>#N/A</v>
      </c>
      <c r="BF6" s="42">
        <f>G6</f>
        <v>0</v>
      </c>
      <c r="BG6" s="42" t="e">
        <f>VLOOKUP(BF6,модули!$F$7:'модули'!$H$18,3,FALSE)</f>
        <v>#N/A</v>
      </c>
      <c r="BH6" s="42">
        <f>I6</f>
        <v>0</v>
      </c>
      <c r="BI6" s="42" t="e">
        <f>VLOOKUP(BH6,модули!$J$7:'модули'!$L$18,3,FALSE)</f>
        <v>#N/A</v>
      </c>
      <c r="BJ6" s="42">
        <f>H6</f>
        <v>0</v>
      </c>
      <c r="BK6" s="42" t="e">
        <f>VLOOKUP(BJ6,модули!$N$7:'модули'!$P$18,3,FALSE)</f>
        <v>#N/A</v>
      </c>
      <c r="BL6" s="42">
        <f>K6</f>
        <v>0</v>
      </c>
      <c r="BM6" s="42" t="e">
        <f>VLOOKUP(BL6,модули!$R$7:'модули'!$T$16,3,FALSE)</f>
        <v>#N/A</v>
      </c>
      <c r="BN6" s="42">
        <f>L6</f>
        <v>0</v>
      </c>
      <c r="BO6" s="42" t="e">
        <f>VLOOKUP(BN6,модули!$V$7:'модули'!$X$17,3,FALSE)</f>
        <v>#N/A</v>
      </c>
      <c r="BP6" s="42">
        <f>M6</f>
        <v>0</v>
      </c>
      <c r="BQ6" s="43" t="e">
        <f>VLOOKUP(BP6,модули!$B$27:'модули'!$D$90,3,FALSE)</f>
        <v>#N/A</v>
      </c>
      <c r="BR6" s="42">
        <f>D6</f>
        <v>0</v>
      </c>
      <c r="BS6">
        <f>ROUND(IF(BR6&lt;модули!$A$99,модули!$B$99,IF(BR6&gt;модули!$A$100,модули!$B$100,( ( -0.00000000000000024*BR6^4 + 0.00000000001297181*BR6^3- 0.00000011794827687*BR6^2 + 0.00020947190264916*BR6 + 0.892271997522451)))),4)</f>
        <v>0.89229999999999998</v>
      </c>
      <c r="BT6" s="42">
        <f>N6</f>
        <v>0</v>
      </c>
      <c r="BU6">
        <f>ROUND(EXP(LN(IF(BT6&lt;модули!$H$99,модули!$I$99,IF(BT6&gt;модули!$H$100,модули!$I$100,((9.167685587011E-08*(BT6)^4+0.000015289662956704*(BT6)^3-0.00161875861673315*(BT6)^2+0.0151997782316484*(BT6)+0.962501568438211)))))*модули!$K$98),4)</f>
        <v>1</v>
      </c>
      <c r="BV6" s="42">
        <f>коэффициенты!$G$2</f>
        <v>501.25900000000001</v>
      </c>
      <c r="BW6" s="42" t="e">
        <f>BG6*BE6*BI6*BK6*BM6*BO6*BC6*BQ6*BS6*BU6*BV6</f>
        <v>#N/A</v>
      </c>
      <c r="BX6" s="42" t="s">
        <v>154</v>
      </c>
      <c r="BY6" s="42">
        <f>$DD$1</f>
        <v>0.91</v>
      </c>
      <c r="BZ6" s="44" t="e">
        <f>ROUND(BY6*BW6,2)</f>
        <v>#N/A</v>
      </c>
      <c r="CA6" s="44" t="e">
        <f>ROUND(BZ6*BR6,2)</f>
        <v>#N/A</v>
      </c>
      <c r="CB6" s="45" t="str">
        <f>IF(Q6="","Новый объект",IF(AN6=AT6,CA6-R6,"Объект пришел из другой модели"))</f>
        <v>Новый объект</v>
      </c>
      <c r="CC6" s="45" t="str">
        <f>IF(AU6="",IF(AG6&lt;&gt;"","ОСПАРИВАНИЕ",IF(AX6&lt;&gt;"","СУД",IF(Y6="","",Y6))),AU6)</f>
        <v/>
      </c>
      <c r="CD6" s="42">
        <f>B6</f>
        <v>0</v>
      </c>
      <c r="CE6" s="42">
        <f>IF(AI6="ГОТОВ",E6,IF(AP6=AZ6,E6,IF(OR(AP6="02:010",AP6="02:011",AP6="02:020",AP6="02:021",AP6="02:023",AP6="02:030",AP6="02:031",AP6="02:019"),IF(OR(AZ6="02:010",AZ6="02:011",AZ6="02:020",AZ6="02:021",AZ6="02:023",AZ6="02:030",AZ6="02:031",AZ6="02:019"),E6,VLOOKUP(AZ6,модули!$K$27:$L$37,2,0)),IF(OR(AP6="13:021",AP6="13:011"),IF(OR(AZ6="13:021",AZ6="13:011"),E6,VLOOKUP(AZ6,модули!$K$27:$L$37,2,0)),VLOOKUP('расчетОО '!AZ6,модули!$K$27:$L$37,2,0)))))</f>
        <v>0</v>
      </c>
      <c r="CF6" s="42" t="e">
        <f>VLOOKUP(CE6,модули!$L$27:'модули'!$M$37,2,FALSE)</f>
        <v>#N/A</v>
      </c>
      <c r="CG6" s="42" t="str">
        <f>IF(F6="",IF(AZ6="13:011","Отсутствие газоснабжения",IF(AZ6="13:021","Отсутствие газоснабжения",IF(U6="наличие","Наличие газоснабжения",IF(U6="пересечение","Возможность подключения газоснабжения","Отсутствие газоснабжения")))),F6)</f>
        <v>Отсутствие газоснабжения</v>
      </c>
      <c r="CH6" s="42">
        <f>VLOOKUP(CG6,модули!$B$7:'модули'!$D$18,3,FALSE)</f>
        <v>1</v>
      </c>
      <c r="CI6" s="42" t="str">
        <f>IF(G6="",IF(V6="отсутствие","Отсутствие электроснабжения","Наличие электроснабжения"),G6)</f>
        <v>Наличие электроснабжения</v>
      </c>
      <c r="CJ6" s="42">
        <f>VLOOKUP(CI6,модули!$F$7:'модули'!$H$18,3,FALSE)</f>
        <v>1.2297</v>
      </c>
      <c r="CK6" s="42" t="s">
        <v>155</v>
      </c>
      <c r="CL6" s="42">
        <f>VLOOKUP(CK6,модули!$J$7:'модули'!$L$18,3,FALSE)</f>
        <v>1</v>
      </c>
      <c r="CM6" s="42" t="s">
        <v>156</v>
      </c>
      <c r="CN6" s="42">
        <f>VLOOKUP(CM6,модули!$N$7:'модули'!$P$18,3,FALSE)</f>
        <v>1</v>
      </c>
      <c r="CO6" s="42" t="str">
        <f>IF(K6="Наличие ЛЭП","Наличие ЛЭП","Отсутствие ЛЭП")</f>
        <v>Отсутствие ЛЭП</v>
      </c>
      <c r="CP6" s="42">
        <f>VLOOKUP(CO6,модули!$R$7:'модули'!$T$16,3,FALSE)</f>
        <v>1</v>
      </c>
      <c r="CQ6" s="42" t="str">
        <f>IF(L6="Отсутствие подъезда","Отсутствие подъезда","Наличие подъезда")</f>
        <v>Наличие подъезда</v>
      </c>
      <c r="CR6" s="42">
        <f>VLOOKUP(CQ6,модули!$V$7:'модули'!$X$17,3,FALSE)</f>
        <v>1.2423</v>
      </c>
      <c r="CS6" s="42" t="e">
        <f>IFERROR(IF(M6="",IF(P6="",VLOOKUP(C6,модули!$F$48:$G$7038,2,0),P6),M6),VLOOKUP(AB6,модули!$T$26:$U$39,2,0))</f>
        <v>#N/A</v>
      </c>
      <c r="CT6" s="42" t="e">
        <f>IFERROR(VLOOKUP(CS6,модули!$A$27:$B$90,2,0),CS6)</f>
        <v>#N/A</v>
      </c>
      <c r="CU6" s="43" t="e">
        <f>VLOOKUP(CT6,модули!$B$27:'модули'!$D$90,3,FALSE)</f>
        <v>#N/A</v>
      </c>
      <c r="CV6" s="42">
        <f>T6</f>
        <v>0</v>
      </c>
      <c r="CW6">
        <f>ROUND(IF(CV6&lt;модули!$A$99,модули!$B$99,IF(CV6&gt;модули!$A$100,модули!$B$100,( ( -0.00000000000000024*CV6^4 + 0.00000000001297181*CV6^3- 0.00000011794827687*CV6^2 + 0.00020947190264916*CV6 + 0.892271997522451)))),4)</f>
        <v>0.89229999999999998</v>
      </c>
      <c r="CX6" s="42" t="e">
        <f>IF(N6="",IF(O6="",VLOOKUP(CS6,модули!$F$27:$G$90,2,0),O6),N6)</f>
        <v>#N/A</v>
      </c>
      <c r="CY6" t="e">
        <f>ROUND(EXP(LN(IF(CX6&lt;модули!$H$99,модули!$I$99,IF(CX6&gt;модули!$H$100,модули!$I$100,((9.167685587011E-08*(CX6)^4+0.000015289662956704*(CX6)^3-0.00161875861673315*(CX6)^2+0.0151997782316484*(CX6)+0.962501568438211)))))*модули!$K$98),4)</f>
        <v>#N/A</v>
      </c>
      <c r="CZ6" s="42">
        <f>коэффициенты!$G$2</f>
        <v>501.25900000000001</v>
      </c>
      <c r="DA6" s="42" t="e">
        <f>CJ6*CH6*CL6*CN6*CP6*CR6*CF6*CU6*CW6*CY6*CZ6</f>
        <v>#N/A</v>
      </c>
      <c r="DB6" s="42" t="s">
        <v>154</v>
      </c>
      <c r="DC6" s="42">
        <f>$DD$1</f>
        <v>0.91</v>
      </c>
      <c r="DD6" s="44" t="e">
        <f>ROUND(DC6*DA6,2)</f>
        <v>#N/A</v>
      </c>
      <c r="DE6" s="44" t="e">
        <f>ROUND(DD6*CV6,2)</f>
        <v>#N/A</v>
      </c>
      <c r="DF6" s="20">
        <f>$DF$2</f>
        <v>8020</v>
      </c>
      <c r="DG6" s="46" t="s">
        <v>157</v>
      </c>
      <c r="DH6" t="e">
        <f>IF(OR(DE6&lt;0,DE6=0),"ОТРИЦАТЕЛЬНОЕ ЗНАЧЕНИЕ",IF(DN6=0,"Пересчет не требуется","Готов"))</f>
        <v>#N/A</v>
      </c>
      <c r="DI6">
        <f>IF(AI6="ГОТОВ",AR6,AZ6)</f>
        <v>0</v>
      </c>
      <c r="DJ6" t="s">
        <v>158</v>
      </c>
      <c r="DK6">
        <f>13</f>
        <v>13</v>
      </c>
      <c r="DL6" t="e">
        <f>VLOOKUP(DI6,'справочник впр'!$A$3:$B$271,2,0)</f>
        <v>#N/A</v>
      </c>
      <c r="DM6" s="5">
        <f>AQ6</f>
        <v>0</v>
      </c>
      <c r="DN6" s="45" t="str">
        <f>IF(ISBLANK(Q6),"Новый объект",IF(DF6=AN6,ABS(DE6-R6),"Объект из другой модели"))</f>
        <v>Новый объект</v>
      </c>
      <c r="DO6" s="45" t="str">
        <f>IF(DN6="Объект из другой модели",IF(OR(DD6&lt;19,DD6&gt;1914),"Отклонение УПКС","УПКС в допустимом интервале"),IF(DN6&lt;1000000,"Изменение менее 1 млн","Внимание!Изменение более 1млн"))</f>
        <v>Внимание!Изменение более 1млн</v>
      </c>
      <c r="DP6" s="47" t="str">
        <f>IF(M6="","Новое значение",IF(M6=CT6,"Осталось предыдущее значение ЦФ","ИЗМЕНЕНИЕ"))</f>
        <v>Новое значение</v>
      </c>
      <c r="DQ6" s="47" t="str">
        <f>IF(G6="","Новое значение",IF(CI6=G6,"Осталось предыдущее значение ЦФ","ИЗМЕНЕНИЕ"))</f>
        <v>Новое значение</v>
      </c>
      <c r="DR6" s="47" t="str">
        <f>IF(F6="","Новое значение",IF(CG6=F6,"Осталось предыдущее значение ЦФ","ИЗМЕНЕНИЕ"))</f>
        <v>Новое значение</v>
      </c>
      <c r="DS6" s="47" t="str">
        <f>IF(AJ6="не готов","ИЗМЕНЕНИЕ","Осталось предыдущее значение ЦФ")</f>
        <v>Осталось предыдущее значение ЦФ</v>
      </c>
      <c r="DT6" s="47" t="str">
        <f>IF(N6="","Новое значение",IF(CX6=N6,"Осталось предыдущее значение ЦФ","ИЗМЕНЕНИЕ"))</f>
        <v>Новое значение</v>
      </c>
      <c r="DU6" s="47" t="str">
        <f>IF(E6="","Новое значение",IF(CE6=E6,"Осталось предыдущее значение ЦФ","ИЗМЕНЕНИЕ"))</f>
        <v>Новое значение</v>
      </c>
      <c r="DV6" s="47" t="str">
        <f>IF(AI6="ГОТОВ",IF(AP6=AR6,"Осталось предыдущее значение ЦФ","ИЗМЕНЕНИЕ"),IF(AP6=AZ6,"Осталось предыдущее значение ЦФ","ИЗМЕНЕНИЕ"))</f>
        <v>Осталось предыдущее значение ЦФ</v>
      </c>
      <c r="DW6" s="47" t="str">
        <f>IF(I6="","Новое значение",IF(CK6=I6,"Осталось предыдущее значение ЦФ","ИЗМЕНЕНИЕ"))</f>
        <v>Новое значение</v>
      </c>
      <c r="DX6" s="47" t="str">
        <f>IF(H6="","Новое значение",IF(CM6=H6,"Осталось предыдущее значение ЦФ","ИЗМЕНЕНИЕ"))</f>
        <v>Новое значение</v>
      </c>
      <c r="DY6" s="47" t="str">
        <f>IF(K6="","Новое значение",IF(CO6=K6,"Осталось предыдущее значение ЦФ","ИЗМЕНЕНИЕ"))</f>
        <v>Новое значение</v>
      </c>
      <c r="DZ6" s="47" t="str">
        <f>IF(L6="","Новое значение",IF(CQ6=L6,"Осталось предыдущее значение ЦФ","ИЗМЕНЕНИЕ"))</f>
        <v>Новое значение</v>
      </c>
    </row>
  </sheetData>
  <mergeCells count="30">
    <mergeCell ref="CX1:CY1"/>
    <mergeCell ref="DA1:DA2"/>
    <mergeCell ref="DB1:DC1"/>
    <mergeCell ref="DN1:DZ1"/>
    <mergeCell ref="CB2:CC2"/>
    <mergeCell ref="DU2:DV2"/>
    <mergeCell ref="CK1:CL1"/>
    <mergeCell ref="CM1:CN1"/>
    <mergeCell ref="CO1:CP1"/>
    <mergeCell ref="CQ1:CR1"/>
    <mergeCell ref="CS1:CU1"/>
    <mergeCell ref="CV1:CW1"/>
    <mergeCell ref="CI1:CJ1"/>
    <mergeCell ref="BX1:BY1"/>
    <mergeCell ref="CB1:CC1"/>
    <mergeCell ref="CD1:CD2"/>
    <mergeCell ref="CE1:CF1"/>
    <mergeCell ref="CG1:CH1"/>
    <mergeCell ref="BW1:BW2"/>
    <mergeCell ref="BA1:BA2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P87"/>
  <sheetViews>
    <sheetView workbookViewId="0">
      <selection sqref="A1:P87"/>
    </sheetView>
  </sheetViews>
  <sheetFormatPr defaultRowHeight="15" x14ac:dyDescent="0.25"/>
  <cols>
    <col min="2" max="2" width="17.28515625" customWidth="1"/>
    <col min="3" max="3" width="14.28515625" customWidth="1"/>
    <col min="5" max="5" width="23.28515625" customWidth="1"/>
    <col min="6" max="6" width="22" customWidth="1"/>
    <col min="7" max="9" width="15.7109375" customWidth="1"/>
    <col min="10" max="10" width="12.85546875" customWidth="1"/>
    <col min="11" max="11" width="11.85546875" customWidth="1"/>
    <col min="12" max="12" width="13.42578125" customWidth="1"/>
    <col min="13" max="13" width="14.85546875" customWidth="1"/>
    <col min="14" max="14" width="0" hidden="1" customWidth="1"/>
    <col min="16" max="16" width="0" hidden="1" customWidth="1"/>
  </cols>
  <sheetData>
    <row r="1" spans="1:16" ht="57.75" customHeight="1" x14ac:dyDescent="0.25">
      <c r="A1" s="48" t="s">
        <v>160</v>
      </c>
      <c r="B1" s="48" t="s">
        <v>161</v>
      </c>
      <c r="C1" s="48" t="s">
        <v>162</v>
      </c>
      <c r="D1" s="48" t="s">
        <v>163</v>
      </c>
      <c r="E1" s="48" t="s">
        <v>164</v>
      </c>
      <c r="F1" s="49" t="s">
        <v>165</v>
      </c>
      <c r="G1" s="50" t="s">
        <v>166</v>
      </c>
      <c r="H1" s="51" t="s">
        <v>167</v>
      </c>
      <c r="I1" s="52" t="s">
        <v>168</v>
      </c>
      <c r="J1" s="48" t="s">
        <v>169</v>
      </c>
      <c r="K1" s="48" t="s">
        <v>170</v>
      </c>
      <c r="L1" s="48" t="s">
        <v>171</v>
      </c>
      <c r="M1" s="48" t="s">
        <v>172</v>
      </c>
      <c r="N1" s="53"/>
      <c r="O1" s="48" t="s">
        <v>173</v>
      </c>
      <c r="P1" s="54" t="s">
        <v>174</v>
      </c>
    </row>
    <row r="2" spans="1:16" ht="15" customHeight="1" x14ac:dyDescent="0.25">
      <c r="A2" s="55"/>
      <c r="B2" s="56"/>
      <c r="C2" s="56"/>
      <c r="D2" s="55"/>
      <c r="E2" s="56"/>
      <c r="F2">
        <v>6.2171229480000001</v>
      </c>
      <c r="G2" s="57">
        <f t="shared" ref="G2:G65" si="0">ROUND(EXP(F2),4)</f>
        <v>501.25900000000001</v>
      </c>
      <c r="H2" s="58"/>
      <c r="I2" s="59"/>
      <c r="J2" s="56"/>
      <c r="K2" s="56"/>
      <c r="L2" s="56"/>
      <c r="M2" s="56"/>
      <c r="N2" s="60"/>
      <c r="O2" s="56"/>
      <c r="P2" s="61"/>
    </row>
    <row r="3" spans="1:16" ht="30.75" customHeight="1" x14ac:dyDescent="0.25">
      <c r="A3" s="62">
        <v>8020</v>
      </c>
      <c r="B3" s="63" t="s">
        <v>175</v>
      </c>
      <c r="C3" s="62" t="s">
        <v>176</v>
      </c>
      <c r="D3" s="55" t="s">
        <v>177</v>
      </c>
      <c r="E3" s="63" t="s">
        <v>178</v>
      </c>
      <c r="F3" s="64">
        <v>0</v>
      </c>
      <c r="G3" s="57">
        <f t="shared" si="0"/>
        <v>1</v>
      </c>
      <c r="H3" s="58"/>
      <c r="I3" s="59"/>
      <c r="J3" s="56"/>
      <c r="K3" s="56"/>
      <c r="L3" s="56"/>
      <c r="M3" s="56"/>
      <c r="N3" s="65"/>
      <c r="O3" s="178" t="s">
        <v>114</v>
      </c>
      <c r="P3" s="61">
        <f>F3</f>
        <v>0</v>
      </c>
    </row>
    <row r="4" spans="1:16" ht="25.5" customHeight="1" x14ac:dyDescent="0.25">
      <c r="A4" s="66">
        <v>8020</v>
      </c>
      <c r="B4" s="67"/>
      <c r="C4" s="66"/>
      <c r="D4" s="55" t="s">
        <v>179</v>
      </c>
      <c r="E4" s="63" t="s">
        <v>180</v>
      </c>
      <c r="F4">
        <v>9.8466460000000006E-2</v>
      </c>
      <c r="G4" s="57">
        <f t="shared" si="0"/>
        <v>1.1034999999999999</v>
      </c>
      <c r="H4" s="58"/>
      <c r="I4" s="59"/>
      <c r="J4" s="56"/>
      <c r="K4" s="56"/>
      <c r="L4" s="56"/>
      <c r="M4" s="56"/>
      <c r="N4" s="65"/>
      <c r="O4" s="180"/>
      <c r="P4" s="61">
        <f>F4</f>
        <v>9.8466460000000006E-2</v>
      </c>
    </row>
    <row r="5" spans="1:16" ht="25.5" customHeight="1" x14ac:dyDescent="0.25">
      <c r="A5" s="62">
        <v>8020</v>
      </c>
      <c r="B5" s="68"/>
      <c r="C5" s="69"/>
      <c r="D5" s="55" t="s">
        <v>181</v>
      </c>
      <c r="E5" s="63" t="s">
        <v>182</v>
      </c>
      <c r="F5">
        <v>0.33946031110000002</v>
      </c>
      <c r="G5" s="57">
        <f t="shared" si="0"/>
        <v>1.4041999999999999</v>
      </c>
      <c r="H5" s="58"/>
      <c r="I5" s="59"/>
      <c r="J5" s="56"/>
      <c r="K5" s="56"/>
      <c r="L5" s="56"/>
      <c r="M5" s="56"/>
      <c r="N5" s="65"/>
      <c r="O5" s="179"/>
      <c r="P5" s="61">
        <f>F5</f>
        <v>0.33946031110000002</v>
      </c>
    </row>
    <row r="6" spans="1:16" ht="15" customHeight="1" x14ac:dyDescent="0.25">
      <c r="A6" s="66">
        <v>8020</v>
      </c>
      <c r="B6" s="63" t="s">
        <v>146</v>
      </c>
      <c r="C6" s="62" t="s">
        <v>176</v>
      </c>
      <c r="D6" s="70" t="s">
        <v>183</v>
      </c>
      <c r="E6" s="63" t="s">
        <v>20</v>
      </c>
      <c r="F6">
        <v>0.35394829439999997</v>
      </c>
      <c r="G6" s="57">
        <f t="shared" si="0"/>
        <v>1.4247000000000001</v>
      </c>
      <c r="H6" s="58"/>
      <c r="I6" s="59"/>
      <c r="J6" s="56"/>
      <c r="K6" s="56"/>
      <c r="L6" s="56"/>
      <c r="M6" s="56"/>
      <c r="N6" s="65"/>
      <c r="O6" s="178" t="s">
        <v>115</v>
      </c>
      <c r="P6" s="61">
        <f>F6</f>
        <v>0.35394829439999997</v>
      </c>
    </row>
    <row r="7" spans="1:16" ht="29.25" customHeight="1" x14ac:dyDescent="0.25">
      <c r="A7" s="62">
        <v>8020</v>
      </c>
      <c r="B7" s="67"/>
      <c r="C7" s="66"/>
      <c r="D7" s="70" t="s">
        <v>184</v>
      </c>
      <c r="E7" s="63" t="s">
        <v>185</v>
      </c>
      <c r="F7">
        <v>0.3172708682</v>
      </c>
      <c r="G7" s="57">
        <f t="shared" si="0"/>
        <v>1.3734</v>
      </c>
      <c r="H7" s="58"/>
      <c r="I7" s="59"/>
      <c r="J7" s="56"/>
      <c r="K7" s="56"/>
      <c r="L7" s="56"/>
      <c r="M7" s="56"/>
      <c r="N7" s="65"/>
      <c r="O7" s="180"/>
      <c r="P7" s="61">
        <f>F7</f>
        <v>0.3172708682</v>
      </c>
    </row>
    <row r="8" spans="1:16" ht="12.75" customHeight="1" x14ac:dyDescent="0.25">
      <c r="A8" s="66">
        <v>8020</v>
      </c>
      <c r="B8" s="68"/>
      <c r="C8" s="69"/>
      <c r="D8" s="70" t="s">
        <v>186</v>
      </c>
      <c r="E8" s="63" t="s">
        <v>187</v>
      </c>
      <c r="F8" s="64">
        <f>ROUND(P8,4)</f>
        <v>0</v>
      </c>
      <c r="G8" s="57">
        <f t="shared" si="0"/>
        <v>1</v>
      </c>
      <c r="H8" s="58"/>
      <c r="I8" s="59"/>
      <c r="J8" s="56"/>
      <c r="K8" s="56"/>
      <c r="L8" s="56"/>
      <c r="M8" s="56"/>
      <c r="N8" s="65"/>
      <c r="O8" s="179"/>
      <c r="P8" s="61"/>
    </row>
    <row r="9" spans="1:16" ht="25.5" customHeight="1" x14ac:dyDescent="0.25">
      <c r="A9" s="62">
        <v>8020</v>
      </c>
      <c r="B9" s="63" t="s">
        <v>145</v>
      </c>
      <c r="C9" s="62" t="s">
        <v>176</v>
      </c>
      <c r="D9" s="70" t="s">
        <v>183</v>
      </c>
      <c r="E9" s="63" t="s">
        <v>21</v>
      </c>
      <c r="F9">
        <v>0.2067946812</v>
      </c>
      <c r="G9" s="57">
        <f t="shared" si="0"/>
        <v>1.2297</v>
      </c>
      <c r="H9" s="58"/>
      <c r="I9" s="59"/>
      <c r="J9" s="56"/>
      <c r="K9" s="56"/>
      <c r="L9" s="56"/>
      <c r="M9" s="56"/>
      <c r="N9" s="65"/>
      <c r="O9" s="178" t="s">
        <v>116</v>
      </c>
      <c r="P9" s="61">
        <f t="shared" ref="P9:P19" si="1">F9</f>
        <v>0.2067946812</v>
      </c>
    </row>
    <row r="10" spans="1:16" ht="27.75" customHeight="1" x14ac:dyDescent="0.25">
      <c r="A10" s="66">
        <v>8020</v>
      </c>
      <c r="B10" s="67"/>
      <c r="C10" s="66"/>
      <c r="D10" s="70" t="s">
        <v>184</v>
      </c>
      <c r="E10" s="63" t="s">
        <v>188</v>
      </c>
      <c r="F10">
        <v>9.5905143299999995E-2</v>
      </c>
      <c r="G10" s="57">
        <f t="shared" si="0"/>
        <v>1.1007</v>
      </c>
      <c r="H10" s="58"/>
      <c r="I10" s="59"/>
      <c r="J10" s="56"/>
      <c r="K10" s="56"/>
      <c r="L10" s="56"/>
      <c r="M10" s="56"/>
      <c r="N10" s="65"/>
      <c r="O10" s="180"/>
      <c r="P10" s="61">
        <f t="shared" si="1"/>
        <v>9.5905143299999995E-2</v>
      </c>
    </row>
    <row r="11" spans="1:16" ht="25.5" customHeight="1" x14ac:dyDescent="0.25">
      <c r="A11" s="62">
        <v>8020</v>
      </c>
      <c r="B11" s="67"/>
      <c r="C11" s="66"/>
      <c r="D11" s="70" t="s">
        <v>186</v>
      </c>
      <c r="E11" s="63" t="s">
        <v>189</v>
      </c>
      <c r="F11" s="71">
        <v>0</v>
      </c>
      <c r="G11" s="57">
        <f t="shared" si="0"/>
        <v>1</v>
      </c>
      <c r="H11" s="58"/>
      <c r="I11" s="59"/>
      <c r="J11" s="62"/>
      <c r="K11" s="62"/>
      <c r="L11" s="62"/>
      <c r="M11" s="62"/>
      <c r="N11" s="65"/>
      <c r="O11" s="179"/>
      <c r="P11" s="61">
        <f t="shared" si="1"/>
        <v>0</v>
      </c>
    </row>
    <row r="12" spans="1:16" ht="21.75" customHeight="1" x14ac:dyDescent="0.25">
      <c r="A12" s="66">
        <v>8020</v>
      </c>
      <c r="B12" s="72" t="s">
        <v>150</v>
      </c>
      <c r="C12" s="62" t="s">
        <v>176</v>
      </c>
      <c r="D12" s="70" t="s">
        <v>183</v>
      </c>
      <c r="E12" s="63" t="s">
        <v>23</v>
      </c>
      <c r="F12">
        <v>0.1552098371</v>
      </c>
      <c r="G12" s="57">
        <f t="shared" si="0"/>
        <v>1.1678999999999999</v>
      </c>
      <c r="H12" s="58"/>
      <c r="I12" s="59"/>
      <c r="J12" s="56"/>
      <c r="K12" s="56"/>
      <c r="L12" s="56"/>
      <c r="M12" s="56"/>
      <c r="N12" s="73"/>
      <c r="O12" s="178" t="s">
        <v>117</v>
      </c>
      <c r="P12" s="74">
        <f t="shared" si="1"/>
        <v>0.1552098371</v>
      </c>
    </row>
    <row r="13" spans="1:16" ht="25.5" customHeight="1" x14ac:dyDescent="0.25">
      <c r="A13" s="62">
        <v>8020</v>
      </c>
      <c r="B13" s="75"/>
      <c r="C13" s="69"/>
      <c r="D13" s="70" t="s">
        <v>186</v>
      </c>
      <c r="E13" s="63" t="s">
        <v>155</v>
      </c>
      <c r="F13" s="64">
        <v>0</v>
      </c>
      <c r="G13" s="57">
        <f t="shared" si="0"/>
        <v>1</v>
      </c>
      <c r="H13" s="58"/>
      <c r="I13" s="59"/>
      <c r="J13" s="56"/>
      <c r="K13" s="56"/>
      <c r="L13" s="56"/>
      <c r="M13" s="56"/>
      <c r="N13" s="73"/>
      <c r="O13" s="179"/>
      <c r="P13" s="74">
        <f t="shared" si="1"/>
        <v>0</v>
      </c>
    </row>
    <row r="14" spans="1:16" ht="23.25" customHeight="1" x14ac:dyDescent="0.25">
      <c r="A14" s="66">
        <v>8020</v>
      </c>
      <c r="B14" s="67" t="s">
        <v>151</v>
      </c>
      <c r="C14" s="62" t="s">
        <v>176</v>
      </c>
      <c r="D14" s="70" t="s">
        <v>183</v>
      </c>
      <c r="E14" s="63" t="s">
        <v>22</v>
      </c>
      <c r="F14">
        <v>9.5564567599999997E-2</v>
      </c>
      <c r="G14" s="57">
        <f t="shared" si="0"/>
        <v>1.1003000000000001</v>
      </c>
      <c r="H14" s="76"/>
      <c r="I14" s="77"/>
      <c r="J14" s="69"/>
      <c r="K14" s="69"/>
      <c r="L14" s="69"/>
      <c r="M14" s="69"/>
      <c r="N14" s="65"/>
      <c r="O14" s="178" t="s">
        <v>118</v>
      </c>
      <c r="P14" s="74">
        <f t="shared" si="1"/>
        <v>9.5564567599999997E-2</v>
      </c>
    </row>
    <row r="15" spans="1:16" ht="24" customHeight="1" x14ac:dyDescent="0.25">
      <c r="A15" s="62">
        <v>8020</v>
      </c>
      <c r="B15" s="68"/>
      <c r="C15" s="69"/>
      <c r="D15" s="70" t="s">
        <v>186</v>
      </c>
      <c r="E15" s="63" t="s">
        <v>156</v>
      </c>
      <c r="F15" s="64">
        <v>0</v>
      </c>
      <c r="G15" s="57">
        <f t="shared" si="0"/>
        <v>1</v>
      </c>
      <c r="H15" s="58"/>
      <c r="I15" s="59"/>
      <c r="J15" s="56"/>
      <c r="K15" s="56"/>
      <c r="L15" s="56"/>
      <c r="M15" s="56"/>
      <c r="N15" s="65"/>
      <c r="O15" s="179"/>
      <c r="P15" s="74">
        <f t="shared" si="1"/>
        <v>0</v>
      </c>
    </row>
    <row r="16" spans="1:16" ht="21.75" customHeight="1" x14ac:dyDescent="0.25">
      <c r="A16" s="66">
        <v>8020</v>
      </c>
      <c r="B16" s="67" t="s">
        <v>152</v>
      </c>
      <c r="C16" s="62" t="s">
        <v>176</v>
      </c>
      <c r="D16" s="70" t="s">
        <v>183</v>
      </c>
      <c r="E16" s="63" t="s">
        <v>190</v>
      </c>
      <c r="F16">
        <v>-1.2283471319999999</v>
      </c>
      <c r="G16" s="57">
        <f t="shared" si="0"/>
        <v>0.2928</v>
      </c>
      <c r="H16" s="58"/>
      <c r="I16" s="59"/>
      <c r="J16" s="56"/>
      <c r="K16" s="56"/>
      <c r="L16" s="56"/>
      <c r="M16" s="56"/>
      <c r="N16" s="65"/>
      <c r="O16" s="178" t="s">
        <v>119</v>
      </c>
      <c r="P16" s="74">
        <f t="shared" si="1"/>
        <v>-1.2283471319999999</v>
      </c>
    </row>
    <row r="17" spans="1:16" ht="21.75" customHeight="1" x14ac:dyDescent="0.25">
      <c r="A17" s="62">
        <v>8020</v>
      </c>
      <c r="B17" s="68"/>
      <c r="C17" s="69"/>
      <c r="D17" s="70" t="s">
        <v>186</v>
      </c>
      <c r="E17" s="63" t="s">
        <v>191</v>
      </c>
      <c r="F17" s="64">
        <v>0</v>
      </c>
      <c r="G17" s="57">
        <f t="shared" si="0"/>
        <v>1</v>
      </c>
      <c r="H17" s="58"/>
      <c r="I17" s="59"/>
      <c r="J17" s="56"/>
      <c r="K17" s="56"/>
      <c r="L17" s="56"/>
      <c r="M17" s="56"/>
      <c r="N17" s="65"/>
      <c r="O17" s="179"/>
      <c r="P17" s="74">
        <f t="shared" si="1"/>
        <v>0</v>
      </c>
    </row>
    <row r="18" spans="1:16" ht="24" customHeight="1" x14ac:dyDescent="0.25">
      <c r="A18" s="66">
        <v>8020</v>
      </c>
      <c r="B18" s="67" t="s">
        <v>192</v>
      </c>
      <c r="C18" s="62" t="s">
        <v>176</v>
      </c>
      <c r="D18" s="70" t="s">
        <v>183</v>
      </c>
      <c r="E18" s="63" t="s">
        <v>153</v>
      </c>
      <c r="F18">
        <v>0.21695848879999999</v>
      </c>
      <c r="G18" s="57">
        <f t="shared" si="0"/>
        <v>1.2423</v>
      </c>
      <c r="H18" s="58"/>
      <c r="I18" s="59"/>
      <c r="J18" s="56"/>
      <c r="K18" s="56"/>
      <c r="L18" s="56"/>
      <c r="M18" s="56"/>
      <c r="N18" s="65"/>
      <c r="O18" s="178" t="s">
        <v>121</v>
      </c>
      <c r="P18" s="74">
        <f t="shared" si="1"/>
        <v>0.21695848879999999</v>
      </c>
    </row>
    <row r="19" spans="1:16" ht="18" customHeight="1" x14ac:dyDescent="0.25">
      <c r="A19" s="62">
        <v>8020</v>
      </c>
      <c r="B19" s="67"/>
      <c r="C19" s="66"/>
      <c r="D19" s="70" t="s">
        <v>186</v>
      </c>
      <c r="E19" s="63" t="s">
        <v>193</v>
      </c>
      <c r="F19" s="64">
        <v>0</v>
      </c>
      <c r="G19" s="57">
        <f t="shared" si="0"/>
        <v>1</v>
      </c>
      <c r="H19" s="58"/>
      <c r="I19" s="59"/>
      <c r="J19" s="56"/>
      <c r="K19" s="56"/>
      <c r="L19" s="56"/>
      <c r="M19" s="56"/>
      <c r="N19" s="65"/>
      <c r="O19" s="179"/>
      <c r="P19" s="74">
        <f t="shared" si="1"/>
        <v>0</v>
      </c>
    </row>
    <row r="20" spans="1:16" ht="21" customHeight="1" x14ac:dyDescent="0.25">
      <c r="A20" s="66">
        <v>8020</v>
      </c>
      <c r="B20" s="67" t="s">
        <v>194</v>
      </c>
      <c r="C20" s="62" t="s">
        <v>176</v>
      </c>
      <c r="D20" s="78" t="s">
        <v>195</v>
      </c>
      <c r="E20" s="63" t="s">
        <v>196</v>
      </c>
      <c r="F20" s="64">
        <v>0</v>
      </c>
      <c r="G20" s="57">
        <f t="shared" si="0"/>
        <v>1</v>
      </c>
      <c r="H20" s="58"/>
      <c r="I20" s="59"/>
      <c r="J20" s="56"/>
      <c r="K20" s="56"/>
      <c r="L20" s="56"/>
      <c r="M20" s="56"/>
      <c r="N20" s="65"/>
      <c r="O20" s="178" t="s">
        <v>122</v>
      </c>
      <c r="P20" s="61">
        <f>F20</f>
        <v>0</v>
      </c>
    </row>
    <row r="21" spans="1:16" ht="12.75" customHeight="1" x14ac:dyDescent="0.25">
      <c r="A21" s="62">
        <v>8020</v>
      </c>
      <c r="B21" s="66"/>
      <c r="C21" s="66"/>
      <c r="D21" s="78" t="s">
        <v>197</v>
      </c>
      <c r="E21" s="63" t="s">
        <v>198</v>
      </c>
      <c r="F21" s="64">
        <v>-0.4526668116</v>
      </c>
      <c r="G21" s="57">
        <f t="shared" si="0"/>
        <v>0.63590000000000002</v>
      </c>
      <c r="H21" s="58"/>
      <c r="I21" s="59"/>
      <c r="J21" s="79"/>
      <c r="K21" s="79"/>
      <c r="L21" s="79"/>
      <c r="M21" s="79"/>
      <c r="N21" s="80"/>
      <c r="O21" s="180"/>
      <c r="P21" s="61">
        <f>F21</f>
        <v>-0.4526668116</v>
      </c>
    </row>
    <row r="22" spans="1:16" ht="12.75" customHeight="1" x14ac:dyDescent="0.25">
      <c r="A22" s="66">
        <v>8020</v>
      </c>
      <c r="B22" s="66"/>
      <c r="C22" s="66"/>
      <c r="D22" s="78" t="s">
        <v>199</v>
      </c>
      <c r="E22" s="63" t="s">
        <v>200</v>
      </c>
      <c r="F22" s="64">
        <v>-0.41739421300000001</v>
      </c>
      <c r="G22" s="57">
        <f t="shared" si="0"/>
        <v>0.65880000000000005</v>
      </c>
      <c r="H22" s="58"/>
      <c r="I22" s="59"/>
      <c r="J22" s="79"/>
      <c r="K22" s="79"/>
      <c r="L22" s="79"/>
      <c r="M22" s="79"/>
      <c r="N22" s="80"/>
      <c r="O22" s="180"/>
      <c r="P22" s="61">
        <f>F22</f>
        <v>-0.41739421300000001</v>
      </c>
    </row>
    <row r="23" spans="1:16" ht="12.75" customHeight="1" x14ac:dyDescent="0.25">
      <c r="A23" s="62">
        <v>8020</v>
      </c>
      <c r="B23" s="66"/>
      <c r="C23" s="66"/>
      <c r="D23" s="78" t="s">
        <v>201</v>
      </c>
      <c r="E23" s="79" t="s">
        <v>202</v>
      </c>
      <c r="F23" s="64">
        <v>-1.4929497749</v>
      </c>
      <c r="G23" s="57">
        <f t="shared" si="0"/>
        <v>0.22470000000000001</v>
      </c>
      <c r="H23" s="58"/>
      <c r="I23" s="59"/>
      <c r="J23" s="79"/>
      <c r="K23" s="79"/>
      <c r="L23" s="79"/>
      <c r="M23" s="79"/>
      <c r="N23" s="80"/>
      <c r="O23" s="180"/>
      <c r="P23" s="61">
        <f>F23</f>
        <v>-1.4929497749</v>
      </c>
    </row>
    <row r="24" spans="1:16" ht="12.75" customHeight="1" x14ac:dyDescent="0.25">
      <c r="A24" s="66">
        <v>8020</v>
      </c>
      <c r="B24" s="66"/>
      <c r="C24" s="66"/>
      <c r="D24" s="78" t="s">
        <v>203</v>
      </c>
      <c r="E24" s="79" t="s">
        <v>204</v>
      </c>
      <c r="F24" s="64">
        <v>-1.5559249892</v>
      </c>
      <c r="G24" s="57">
        <f t="shared" si="0"/>
        <v>0.21099999999999999</v>
      </c>
      <c r="H24" s="58"/>
      <c r="I24" s="59"/>
      <c r="J24" s="79"/>
      <c r="K24" s="79"/>
      <c r="L24" s="79"/>
      <c r="M24" s="79"/>
      <c r="N24" s="80"/>
      <c r="O24" s="180"/>
      <c r="P24" s="61"/>
    </row>
    <row r="25" spans="1:16" ht="12.75" customHeight="1" x14ac:dyDescent="0.25">
      <c r="A25" s="62">
        <v>8020</v>
      </c>
      <c r="B25" s="66"/>
      <c r="C25" s="66"/>
      <c r="D25" s="78" t="s">
        <v>205</v>
      </c>
      <c r="E25" s="79" t="s">
        <v>206</v>
      </c>
      <c r="F25" s="64">
        <v>-0.93615191750000004</v>
      </c>
      <c r="G25" s="57">
        <f t="shared" si="0"/>
        <v>0.3921</v>
      </c>
      <c r="H25" s="58"/>
      <c r="I25" s="59"/>
      <c r="J25" s="79"/>
      <c r="K25" s="79"/>
      <c r="L25" s="79"/>
      <c r="M25" s="79"/>
      <c r="N25" s="80"/>
      <c r="O25" s="180"/>
      <c r="P25" s="61"/>
    </row>
    <row r="26" spans="1:16" ht="12.75" customHeight="1" x14ac:dyDescent="0.25">
      <c r="A26" s="66">
        <v>8020</v>
      </c>
      <c r="B26" s="66"/>
      <c r="C26" s="66"/>
      <c r="D26" s="78" t="s">
        <v>207</v>
      </c>
      <c r="E26" s="79" t="s">
        <v>208</v>
      </c>
      <c r="F26" s="64">
        <v>-0.88111084829999997</v>
      </c>
      <c r="G26" s="57">
        <f t="shared" si="0"/>
        <v>0.4143</v>
      </c>
      <c r="H26" s="58"/>
      <c r="I26" s="59"/>
      <c r="J26" s="79"/>
      <c r="K26" s="79"/>
      <c r="L26" s="79"/>
      <c r="M26" s="79"/>
      <c r="N26" s="80"/>
      <c r="O26" s="180"/>
      <c r="P26" s="61"/>
    </row>
    <row r="27" spans="1:16" ht="12.75" customHeight="1" x14ac:dyDescent="0.25">
      <c r="A27" s="62">
        <v>8020</v>
      </c>
      <c r="B27" s="66"/>
      <c r="C27" s="66"/>
      <c r="D27" s="78" t="s">
        <v>209</v>
      </c>
      <c r="E27" s="79" t="s">
        <v>210</v>
      </c>
      <c r="F27" s="64">
        <v>-0.98013796549999999</v>
      </c>
      <c r="G27" s="57">
        <f t="shared" si="0"/>
        <v>0.37530000000000002</v>
      </c>
      <c r="H27" s="58"/>
      <c r="I27" s="59"/>
      <c r="J27" s="79"/>
      <c r="K27" s="79"/>
      <c r="L27" s="79"/>
      <c r="M27" s="79"/>
      <c r="N27" s="80"/>
      <c r="O27" s="180"/>
      <c r="P27" s="61"/>
    </row>
    <row r="28" spans="1:16" ht="12.75" customHeight="1" x14ac:dyDescent="0.25">
      <c r="A28" s="66">
        <v>8020</v>
      </c>
      <c r="B28" s="66"/>
      <c r="C28" s="66"/>
      <c r="D28" s="78" t="s">
        <v>211</v>
      </c>
      <c r="E28" s="79" t="s">
        <v>212</v>
      </c>
      <c r="F28" s="64">
        <v>-1.177492508</v>
      </c>
      <c r="G28" s="57">
        <f t="shared" si="0"/>
        <v>0.30809999999999998</v>
      </c>
      <c r="H28" s="58"/>
      <c r="I28" s="59"/>
      <c r="J28" s="79"/>
      <c r="K28" s="79"/>
      <c r="L28" s="79"/>
      <c r="M28" s="79"/>
      <c r="N28" s="80"/>
      <c r="O28" s="180"/>
      <c r="P28" s="61"/>
    </row>
    <row r="29" spans="1:16" ht="12.75" customHeight="1" x14ac:dyDescent="0.25">
      <c r="A29" s="62">
        <v>8020</v>
      </c>
      <c r="B29" s="66"/>
      <c r="C29" s="66"/>
      <c r="D29" s="78" t="s">
        <v>213</v>
      </c>
      <c r="E29" s="79" t="s">
        <v>214</v>
      </c>
      <c r="F29" s="64">
        <v>-1.0831564083</v>
      </c>
      <c r="G29" s="57">
        <f t="shared" si="0"/>
        <v>0.33850000000000002</v>
      </c>
      <c r="H29" s="58"/>
      <c r="I29" s="59"/>
      <c r="J29" s="79"/>
      <c r="K29" s="79"/>
      <c r="L29" s="79"/>
      <c r="M29" s="79"/>
      <c r="N29" s="80"/>
      <c r="O29" s="180"/>
      <c r="P29" s="61"/>
    </row>
    <row r="30" spans="1:16" ht="12.75" customHeight="1" x14ac:dyDescent="0.25">
      <c r="A30" s="66">
        <v>8020</v>
      </c>
      <c r="B30" s="66"/>
      <c r="C30" s="66"/>
      <c r="D30" s="78" t="s">
        <v>215</v>
      </c>
      <c r="E30" s="79" t="s">
        <v>216</v>
      </c>
      <c r="F30" s="64">
        <v>-1.4544215573999999</v>
      </c>
      <c r="G30" s="57">
        <f t="shared" si="0"/>
        <v>0.23350000000000001</v>
      </c>
      <c r="H30" s="58"/>
      <c r="I30" s="59"/>
      <c r="J30" s="79"/>
      <c r="K30" s="79"/>
      <c r="L30" s="79"/>
      <c r="M30" s="79"/>
      <c r="N30" s="80"/>
      <c r="O30" s="180"/>
      <c r="P30" s="61"/>
    </row>
    <row r="31" spans="1:16" ht="12.75" customHeight="1" x14ac:dyDescent="0.25">
      <c r="A31" s="62">
        <v>8020</v>
      </c>
      <c r="B31" s="66"/>
      <c r="C31" s="66"/>
      <c r="D31" s="78" t="s">
        <v>217</v>
      </c>
      <c r="E31" s="79" t="s">
        <v>218</v>
      </c>
      <c r="F31" s="64">
        <v>-1.4080490300999999</v>
      </c>
      <c r="G31" s="57">
        <f t="shared" si="0"/>
        <v>0.24460000000000001</v>
      </c>
      <c r="H31" s="58"/>
      <c r="I31" s="59"/>
      <c r="J31" s="79"/>
      <c r="K31" s="79"/>
      <c r="L31" s="79"/>
      <c r="M31" s="79"/>
      <c r="N31" s="80"/>
      <c r="O31" s="180"/>
      <c r="P31" s="61"/>
    </row>
    <row r="32" spans="1:16" ht="12.75" customHeight="1" x14ac:dyDescent="0.25">
      <c r="A32" s="66">
        <v>8020</v>
      </c>
      <c r="B32" s="66"/>
      <c r="C32" s="66"/>
      <c r="D32" s="78" t="s">
        <v>219</v>
      </c>
      <c r="E32" s="79" t="s">
        <v>220</v>
      </c>
      <c r="F32" s="64">
        <v>-1.4703159716</v>
      </c>
      <c r="G32" s="57">
        <f t="shared" si="0"/>
        <v>0.22989999999999999</v>
      </c>
      <c r="H32" s="58"/>
      <c r="I32" s="59"/>
      <c r="J32" s="79"/>
      <c r="K32" s="79"/>
      <c r="L32" s="79"/>
      <c r="M32" s="79"/>
      <c r="N32" s="80"/>
      <c r="O32" s="180"/>
      <c r="P32" s="61"/>
    </row>
    <row r="33" spans="1:16" ht="12.75" customHeight="1" x14ac:dyDescent="0.25">
      <c r="A33" s="62">
        <v>8020</v>
      </c>
      <c r="B33" s="66"/>
      <c r="C33" s="66"/>
      <c r="D33" s="78" t="s">
        <v>221</v>
      </c>
      <c r="E33" s="79" t="s">
        <v>222</v>
      </c>
      <c r="F33" s="64">
        <v>-1.6546604546000001</v>
      </c>
      <c r="G33" s="57">
        <f t="shared" si="0"/>
        <v>0.19120000000000001</v>
      </c>
      <c r="H33" s="58"/>
      <c r="I33" s="59"/>
      <c r="J33" s="79"/>
      <c r="K33" s="79"/>
      <c r="L33" s="79"/>
      <c r="M33" s="79"/>
      <c r="N33" s="80"/>
      <c r="O33" s="180"/>
      <c r="P33" s="61"/>
    </row>
    <row r="34" spans="1:16" ht="12.75" customHeight="1" x14ac:dyDescent="0.25">
      <c r="A34" s="66">
        <v>8020</v>
      </c>
      <c r="B34" s="66"/>
      <c r="C34" s="66"/>
      <c r="D34" s="78" t="s">
        <v>223</v>
      </c>
      <c r="E34" s="79" t="s">
        <v>224</v>
      </c>
      <c r="F34" s="64">
        <v>-0.19647319990000001</v>
      </c>
      <c r="G34" s="57">
        <f t="shared" si="0"/>
        <v>0.8216</v>
      </c>
      <c r="H34" s="58"/>
      <c r="I34" s="59"/>
      <c r="J34" s="79"/>
      <c r="K34" s="79"/>
      <c r="L34" s="79"/>
      <c r="M34" s="79"/>
      <c r="N34" s="80"/>
      <c r="O34" s="180"/>
      <c r="P34" s="61"/>
    </row>
    <row r="35" spans="1:16" ht="12.75" customHeight="1" x14ac:dyDescent="0.25">
      <c r="A35" s="62">
        <v>8020</v>
      </c>
      <c r="B35" s="66"/>
      <c r="C35" s="66"/>
      <c r="D35" s="78" t="s">
        <v>225</v>
      </c>
      <c r="E35" s="79" t="s">
        <v>226</v>
      </c>
      <c r="F35" s="64">
        <v>-0.88179076180000004</v>
      </c>
      <c r="G35" s="57">
        <f t="shared" si="0"/>
        <v>0.41399999999999998</v>
      </c>
      <c r="H35" s="58"/>
      <c r="I35" s="59"/>
      <c r="J35" s="79"/>
      <c r="K35" s="79"/>
      <c r="L35" s="79"/>
      <c r="M35" s="79"/>
      <c r="N35" s="80"/>
      <c r="O35" s="180"/>
      <c r="P35" s="61"/>
    </row>
    <row r="36" spans="1:16" ht="12.75" customHeight="1" x14ac:dyDescent="0.25">
      <c r="A36" s="66">
        <v>8020</v>
      </c>
      <c r="B36" s="66"/>
      <c r="C36" s="66"/>
      <c r="D36" s="78" t="s">
        <v>227</v>
      </c>
      <c r="E36" s="79" t="s">
        <v>228</v>
      </c>
      <c r="F36" s="64">
        <v>-1.2420744204</v>
      </c>
      <c r="G36" s="57">
        <f t="shared" si="0"/>
        <v>0.2888</v>
      </c>
      <c r="H36" s="58"/>
      <c r="I36" s="59"/>
      <c r="J36" s="79"/>
      <c r="K36" s="79"/>
      <c r="L36" s="79"/>
      <c r="M36" s="79"/>
      <c r="N36" s="80"/>
      <c r="O36" s="180"/>
      <c r="P36" s="61"/>
    </row>
    <row r="37" spans="1:16" ht="12.75" customHeight="1" x14ac:dyDescent="0.25">
      <c r="A37" s="62">
        <v>8020</v>
      </c>
      <c r="B37" s="66"/>
      <c r="C37" s="66"/>
      <c r="D37" s="78" t="s">
        <v>229</v>
      </c>
      <c r="E37" s="79" t="s">
        <v>230</v>
      </c>
      <c r="F37" s="64">
        <v>-1.17632979</v>
      </c>
      <c r="G37" s="57">
        <f t="shared" si="0"/>
        <v>0.30840000000000001</v>
      </c>
      <c r="H37" s="58"/>
      <c r="I37" s="59"/>
      <c r="J37" s="79"/>
      <c r="K37" s="79"/>
      <c r="L37" s="79"/>
      <c r="M37" s="79"/>
      <c r="N37" s="80"/>
      <c r="O37" s="180"/>
      <c r="P37" s="61"/>
    </row>
    <row r="38" spans="1:16" ht="12.75" customHeight="1" x14ac:dyDescent="0.25">
      <c r="A38" s="66">
        <v>8020</v>
      </c>
      <c r="B38" s="66"/>
      <c r="C38" s="66"/>
      <c r="D38" s="78" t="s">
        <v>231</v>
      </c>
      <c r="E38" s="79" t="s">
        <v>232</v>
      </c>
      <c r="F38" s="64">
        <v>-0.73829418560000004</v>
      </c>
      <c r="G38" s="57">
        <f t="shared" si="0"/>
        <v>0.47789999999999999</v>
      </c>
      <c r="H38" s="58"/>
      <c r="I38" s="59"/>
      <c r="J38" s="79"/>
      <c r="K38" s="79"/>
      <c r="L38" s="79"/>
      <c r="M38" s="79"/>
      <c r="N38" s="80"/>
      <c r="O38" s="180"/>
      <c r="P38" s="61"/>
    </row>
    <row r="39" spans="1:16" ht="12.75" customHeight="1" x14ac:dyDescent="0.25">
      <c r="A39" s="62">
        <v>8020</v>
      </c>
      <c r="B39" s="66"/>
      <c r="C39" s="66"/>
      <c r="D39" s="78" t="s">
        <v>233</v>
      </c>
      <c r="E39" s="79" t="s">
        <v>234</v>
      </c>
      <c r="F39" s="64">
        <v>-0.68769521680000001</v>
      </c>
      <c r="G39" s="57">
        <f t="shared" si="0"/>
        <v>0.50270000000000004</v>
      </c>
      <c r="H39" s="58"/>
      <c r="I39" s="59"/>
      <c r="J39" s="79"/>
      <c r="K39" s="79"/>
      <c r="L39" s="79"/>
      <c r="M39" s="79"/>
      <c r="N39" s="80"/>
      <c r="O39" s="180"/>
      <c r="P39" s="61"/>
    </row>
    <row r="40" spans="1:16" ht="12.75" customHeight="1" x14ac:dyDescent="0.25">
      <c r="A40" s="66">
        <v>8020</v>
      </c>
      <c r="B40" s="66"/>
      <c r="C40" s="66"/>
      <c r="D40" s="81" t="s">
        <v>235</v>
      </c>
      <c r="E40" s="79" t="s">
        <v>236</v>
      </c>
      <c r="F40" s="64">
        <v>-0.65899009590000002</v>
      </c>
      <c r="G40" s="57">
        <f t="shared" si="0"/>
        <v>0.51739999999999997</v>
      </c>
      <c r="H40" s="58"/>
      <c r="I40" s="59"/>
      <c r="J40" s="79"/>
      <c r="K40" s="79"/>
      <c r="L40" s="79"/>
      <c r="M40" s="79"/>
      <c r="N40" s="80"/>
      <c r="O40" s="180"/>
      <c r="P40" s="61"/>
    </row>
    <row r="41" spans="1:16" ht="12.75" customHeight="1" x14ac:dyDescent="0.25">
      <c r="A41" s="62">
        <v>8020</v>
      </c>
      <c r="B41" s="66"/>
      <c r="C41" s="66"/>
      <c r="D41" s="81" t="s">
        <v>237</v>
      </c>
      <c r="E41" s="79" t="s">
        <v>238</v>
      </c>
      <c r="F41" s="64">
        <v>0.31961613280000001</v>
      </c>
      <c r="G41" s="57">
        <f t="shared" si="0"/>
        <v>1.3766</v>
      </c>
      <c r="H41" s="58"/>
      <c r="I41" s="59"/>
      <c r="J41" s="79"/>
      <c r="K41" s="79"/>
      <c r="L41" s="79"/>
      <c r="M41" s="79"/>
      <c r="N41" s="80"/>
      <c r="O41" s="180"/>
      <c r="P41" s="61"/>
    </row>
    <row r="42" spans="1:16" ht="12.75" customHeight="1" x14ac:dyDescent="0.25">
      <c r="A42" s="66">
        <v>8020</v>
      </c>
      <c r="B42" s="66"/>
      <c r="C42" s="66"/>
      <c r="D42" s="81" t="s">
        <v>239</v>
      </c>
      <c r="E42" s="79" t="s">
        <v>240</v>
      </c>
      <c r="F42" s="64">
        <v>-1.1281432451</v>
      </c>
      <c r="G42" s="57">
        <f t="shared" si="0"/>
        <v>0.3236</v>
      </c>
      <c r="H42" s="58"/>
      <c r="I42" s="59"/>
      <c r="J42" s="79"/>
      <c r="K42" s="79"/>
      <c r="L42" s="79"/>
      <c r="M42" s="79"/>
      <c r="N42" s="80"/>
      <c r="O42" s="180"/>
      <c r="P42" s="61"/>
    </row>
    <row r="43" spans="1:16" ht="12.75" customHeight="1" x14ac:dyDescent="0.25">
      <c r="A43" s="62">
        <v>8020</v>
      </c>
      <c r="B43" s="66"/>
      <c r="C43" s="66"/>
      <c r="D43" s="81" t="s">
        <v>241</v>
      </c>
      <c r="E43" s="79" t="s">
        <v>242</v>
      </c>
      <c r="F43" s="64">
        <v>-1.5067298926999999</v>
      </c>
      <c r="G43" s="57">
        <f t="shared" si="0"/>
        <v>0.22159999999999999</v>
      </c>
      <c r="H43" s="58"/>
      <c r="I43" s="59"/>
      <c r="J43" s="79"/>
      <c r="K43" s="79"/>
      <c r="L43" s="79"/>
      <c r="M43" s="79"/>
      <c r="N43" s="80"/>
      <c r="O43" s="180"/>
      <c r="P43" s="61"/>
    </row>
    <row r="44" spans="1:16" ht="12.75" customHeight="1" x14ac:dyDescent="0.25">
      <c r="A44" s="66">
        <v>8020</v>
      </c>
      <c r="B44" s="66"/>
      <c r="C44" s="66"/>
      <c r="D44" s="81" t="s">
        <v>243</v>
      </c>
      <c r="E44" s="79" t="s">
        <v>244</v>
      </c>
      <c r="F44" s="64">
        <v>-1.7288932179000001</v>
      </c>
      <c r="G44" s="57">
        <f t="shared" si="0"/>
        <v>0.17749999999999999</v>
      </c>
      <c r="H44" s="58"/>
      <c r="I44" s="59"/>
      <c r="J44" s="79"/>
      <c r="K44" s="79"/>
      <c r="L44" s="79"/>
      <c r="M44" s="79"/>
      <c r="N44" s="80"/>
      <c r="O44" s="180"/>
      <c r="P44" s="61"/>
    </row>
    <row r="45" spans="1:16" ht="12.75" customHeight="1" x14ac:dyDescent="0.25">
      <c r="A45" s="62">
        <v>8020</v>
      </c>
      <c r="B45" s="66"/>
      <c r="C45" s="66"/>
      <c r="D45" s="81" t="s">
        <v>245</v>
      </c>
      <c r="E45" s="79" t="s">
        <v>246</v>
      </c>
      <c r="F45" s="64">
        <v>0.1354773987</v>
      </c>
      <c r="G45" s="57">
        <f t="shared" si="0"/>
        <v>1.1451</v>
      </c>
      <c r="H45" s="58"/>
      <c r="I45" s="59"/>
      <c r="J45" s="79"/>
      <c r="K45" s="79"/>
      <c r="L45" s="79"/>
      <c r="M45" s="79"/>
      <c r="N45" s="80"/>
      <c r="O45" s="180"/>
      <c r="P45" s="61"/>
    </row>
    <row r="46" spans="1:16" ht="12.75" customHeight="1" x14ac:dyDescent="0.25">
      <c r="A46" s="66">
        <v>8020</v>
      </c>
      <c r="B46" s="66"/>
      <c r="C46" s="66"/>
      <c r="D46" s="78" t="s">
        <v>247</v>
      </c>
      <c r="E46" s="79" t="s">
        <v>248</v>
      </c>
      <c r="F46" s="64">
        <v>-1.2604046512</v>
      </c>
      <c r="G46" s="57">
        <f t="shared" si="0"/>
        <v>0.28349999999999997</v>
      </c>
      <c r="H46" s="58"/>
      <c r="I46" s="59"/>
      <c r="J46" s="79"/>
      <c r="K46" s="79"/>
      <c r="L46" s="79"/>
      <c r="M46" s="79"/>
      <c r="N46" s="80"/>
      <c r="O46" s="180"/>
      <c r="P46" s="61"/>
    </row>
    <row r="47" spans="1:16" ht="12.75" customHeight="1" x14ac:dyDescent="0.25">
      <c r="A47" s="62">
        <v>8020</v>
      </c>
      <c r="B47" s="66"/>
      <c r="C47" s="66"/>
      <c r="D47" s="78" t="s">
        <v>249</v>
      </c>
      <c r="E47" s="79" t="s">
        <v>250</v>
      </c>
      <c r="F47" s="64">
        <v>-0.41761483710000002</v>
      </c>
      <c r="G47" s="57">
        <f t="shared" si="0"/>
        <v>0.65859999999999996</v>
      </c>
      <c r="H47" s="58"/>
      <c r="I47" s="59"/>
      <c r="J47" s="79"/>
      <c r="K47" s="79"/>
      <c r="L47" s="79"/>
      <c r="M47" s="79"/>
      <c r="N47" s="80"/>
      <c r="O47" s="180"/>
      <c r="P47" s="61"/>
    </row>
    <row r="48" spans="1:16" ht="12.75" customHeight="1" x14ac:dyDescent="0.25">
      <c r="A48" s="66">
        <v>8020</v>
      </c>
      <c r="B48" s="66"/>
      <c r="C48" s="66"/>
      <c r="D48" s="78" t="s">
        <v>251</v>
      </c>
      <c r="E48" s="79" t="s">
        <v>252</v>
      </c>
      <c r="F48" s="64">
        <v>-1.5022759323999999</v>
      </c>
      <c r="G48" s="57">
        <f t="shared" si="0"/>
        <v>0.22259999999999999</v>
      </c>
      <c r="H48" s="58"/>
      <c r="I48" s="59"/>
      <c r="J48" s="79"/>
      <c r="K48" s="79"/>
      <c r="L48" s="79"/>
      <c r="M48" s="79"/>
      <c r="N48" s="80"/>
      <c r="O48" s="180"/>
      <c r="P48" s="61"/>
    </row>
    <row r="49" spans="1:16" ht="12.75" customHeight="1" x14ac:dyDescent="0.25">
      <c r="A49" s="62">
        <v>8020</v>
      </c>
      <c r="B49" s="66"/>
      <c r="C49" s="66"/>
      <c r="D49" s="78" t="s">
        <v>253</v>
      </c>
      <c r="E49" s="79" t="s">
        <v>254</v>
      </c>
      <c r="F49" s="64">
        <v>0.24850877069999999</v>
      </c>
      <c r="G49" s="57">
        <f t="shared" si="0"/>
        <v>1.2821</v>
      </c>
      <c r="H49" s="58"/>
      <c r="I49" s="59"/>
      <c r="J49" s="79"/>
      <c r="K49" s="79"/>
      <c r="L49" s="79"/>
      <c r="M49" s="79"/>
      <c r="N49" s="80"/>
      <c r="O49" s="180"/>
      <c r="P49" s="61"/>
    </row>
    <row r="50" spans="1:16" ht="12.75" customHeight="1" x14ac:dyDescent="0.25">
      <c r="A50" s="66">
        <v>8020</v>
      </c>
      <c r="B50" s="66"/>
      <c r="C50" s="66"/>
      <c r="D50" s="78" t="s">
        <v>255</v>
      </c>
      <c r="E50" s="79" t="s">
        <v>256</v>
      </c>
      <c r="F50" s="64">
        <v>0.26227613319999998</v>
      </c>
      <c r="G50" s="57">
        <f t="shared" si="0"/>
        <v>1.2999000000000001</v>
      </c>
      <c r="H50" s="58"/>
      <c r="I50" s="59"/>
      <c r="J50" s="79"/>
      <c r="K50" s="79"/>
      <c r="L50" s="79"/>
      <c r="M50" s="79"/>
      <c r="N50" s="80"/>
      <c r="O50" s="180"/>
      <c r="P50" s="61"/>
    </row>
    <row r="51" spans="1:16" ht="12.75" customHeight="1" x14ac:dyDescent="0.25">
      <c r="A51" s="62">
        <v>8020</v>
      </c>
      <c r="B51" s="66"/>
      <c r="C51" s="66"/>
      <c r="D51" s="78" t="s">
        <v>257</v>
      </c>
      <c r="E51" s="79" t="s">
        <v>258</v>
      </c>
      <c r="F51" s="82">
        <v>-0.35883871070000001</v>
      </c>
      <c r="G51" s="57">
        <f t="shared" si="0"/>
        <v>0.69850000000000001</v>
      </c>
      <c r="H51" s="58"/>
      <c r="I51" s="59"/>
      <c r="J51" s="79"/>
      <c r="K51" s="79"/>
      <c r="L51" s="79"/>
      <c r="M51" s="79"/>
      <c r="N51" s="80"/>
      <c r="O51" s="180"/>
      <c r="P51" s="61"/>
    </row>
    <row r="52" spans="1:16" ht="12.75" customHeight="1" x14ac:dyDescent="0.25">
      <c r="A52" s="66">
        <v>8020</v>
      </c>
      <c r="B52" s="66"/>
      <c r="C52" s="66"/>
      <c r="D52" s="78" t="s">
        <v>259</v>
      </c>
      <c r="E52" s="79" t="s">
        <v>260</v>
      </c>
      <c r="F52" s="82">
        <v>-0.93236359420000003</v>
      </c>
      <c r="G52" s="57">
        <f t="shared" si="0"/>
        <v>0.39360000000000001</v>
      </c>
      <c r="H52" s="58"/>
      <c r="I52" s="59"/>
      <c r="J52" s="79"/>
      <c r="K52" s="79"/>
      <c r="L52" s="79"/>
      <c r="M52" s="79"/>
      <c r="N52" s="80"/>
      <c r="O52" s="180"/>
      <c r="P52" s="61"/>
    </row>
    <row r="53" spans="1:16" ht="12.75" customHeight="1" x14ac:dyDescent="0.25">
      <c r="A53" s="62">
        <v>8020</v>
      </c>
      <c r="B53" s="66"/>
      <c r="C53" s="66"/>
      <c r="D53" s="78" t="s">
        <v>261</v>
      </c>
      <c r="E53" s="79" t="s">
        <v>262</v>
      </c>
      <c r="F53" s="82">
        <v>-0.70521818459999996</v>
      </c>
      <c r="G53" s="57">
        <f t="shared" si="0"/>
        <v>0.49399999999999999</v>
      </c>
      <c r="H53" s="58"/>
      <c r="I53" s="59"/>
      <c r="J53" s="79"/>
      <c r="K53" s="79"/>
      <c r="L53" s="79"/>
      <c r="M53" s="79"/>
      <c r="N53" s="80"/>
      <c r="O53" s="180"/>
      <c r="P53" s="61"/>
    </row>
    <row r="54" spans="1:16" ht="12.75" customHeight="1" x14ac:dyDescent="0.25">
      <c r="A54" s="66">
        <v>8020</v>
      </c>
      <c r="B54" s="66"/>
      <c r="C54" s="66"/>
      <c r="D54" s="78" t="s">
        <v>263</v>
      </c>
      <c r="E54" s="79" t="s">
        <v>264</v>
      </c>
      <c r="F54" s="82">
        <v>-0.50380998099999996</v>
      </c>
      <c r="G54" s="57">
        <f t="shared" si="0"/>
        <v>0.60419999999999996</v>
      </c>
      <c r="H54" s="58"/>
      <c r="I54" s="59"/>
      <c r="J54" s="79"/>
      <c r="K54" s="79"/>
      <c r="L54" s="79"/>
      <c r="M54" s="79"/>
      <c r="N54" s="80"/>
      <c r="O54" s="180"/>
      <c r="P54" s="61"/>
    </row>
    <row r="55" spans="1:16" ht="12.75" customHeight="1" x14ac:dyDescent="0.25">
      <c r="A55" s="62">
        <v>8020</v>
      </c>
      <c r="B55" s="66"/>
      <c r="C55" s="66"/>
      <c r="D55" s="78" t="s">
        <v>265</v>
      </c>
      <c r="E55" s="79" t="s">
        <v>266</v>
      </c>
      <c r="F55" s="82">
        <v>-1.0001886902999999</v>
      </c>
      <c r="G55" s="57">
        <f t="shared" si="0"/>
        <v>0.36780000000000002</v>
      </c>
      <c r="H55" s="58"/>
      <c r="I55" s="59"/>
      <c r="J55" s="79"/>
      <c r="K55" s="79"/>
      <c r="L55" s="79"/>
      <c r="M55" s="79"/>
      <c r="N55" s="80"/>
      <c r="O55" s="180"/>
      <c r="P55" s="61"/>
    </row>
    <row r="56" spans="1:16" ht="12.75" customHeight="1" x14ac:dyDescent="0.25">
      <c r="A56" s="66">
        <v>8020</v>
      </c>
      <c r="B56" s="66"/>
      <c r="C56" s="66"/>
      <c r="D56" s="78" t="s">
        <v>267</v>
      </c>
      <c r="E56" s="79" t="s">
        <v>268</v>
      </c>
      <c r="F56" s="82">
        <v>-0.39115791579999998</v>
      </c>
      <c r="G56" s="57">
        <f t="shared" si="0"/>
        <v>0.67630000000000001</v>
      </c>
      <c r="H56" s="58"/>
      <c r="I56" s="59"/>
      <c r="J56" s="79"/>
      <c r="K56" s="79"/>
      <c r="L56" s="79"/>
      <c r="M56" s="79"/>
      <c r="N56" s="80"/>
      <c r="O56" s="180"/>
      <c r="P56" s="61"/>
    </row>
    <row r="57" spans="1:16" ht="12.75" customHeight="1" x14ac:dyDescent="0.25">
      <c r="A57" s="62">
        <v>8020</v>
      </c>
      <c r="B57" s="66"/>
      <c r="C57" s="66"/>
      <c r="D57" s="78" t="s">
        <v>269</v>
      </c>
      <c r="E57" s="79" t="s">
        <v>270</v>
      </c>
      <c r="F57" s="82">
        <v>-0.50582387070000001</v>
      </c>
      <c r="G57" s="57">
        <f t="shared" si="0"/>
        <v>0.60299999999999998</v>
      </c>
      <c r="H57" s="58"/>
      <c r="I57" s="59"/>
      <c r="J57" s="79"/>
      <c r="K57" s="79"/>
      <c r="L57" s="79"/>
      <c r="M57" s="79"/>
      <c r="N57" s="80"/>
      <c r="O57" s="180"/>
      <c r="P57" s="61"/>
    </row>
    <row r="58" spans="1:16" ht="12.75" customHeight="1" x14ac:dyDescent="0.25">
      <c r="A58" s="66">
        <v>8020</v>
      </c>
      <c r="B58" s="66"/>
      <c r="C58" s="66"/>
      <c r="D58" s="78" t="s">
        <v>271</v>
      </c>
      <c r="E58" s="79" t="s">
        <v>272</v>
      </c>
      <c r="F58" s="82">
        <v>-0.33864111400000002</v>
      </c>
      <c r="G58" s="57">
        <f t="shared" si="0"/>
        <v>0.7127</v>
      </c>
      <c r="H58" s="58"/>
      <c r="I58" s="59"/>
      <c r="J58" s="79"/>
      <c r="K58" s="79"/>
      <c r="L58" s="79"/>
      <c r="M58" s="79"/>
      <c r="N58" s="80"/>
      <c r="O58" s="180"/>
      <c r="P58" s="61"/>
    </row>
    <row r="59" spans="1:16" ht="12.75" customHeight="1" x14ac:dyDescent="0.25">
      <c r="A59" s="62">
        <v>8020</v>
      </c>
      <c r="B59" s="66"/>
      <c r="C59" s="66"/>
      <c r="D59" s="78" t="s">
        <v>273</v>
      </c>
      <c r="E59" s="79" t="s">
        <v>274</v>
      </c>
      <c r="F59" s="82">
        <v>-0.3430911136</v>
      </c>
      <c r="G59" s="57">
        <f t="shared" si="0"/>
        <v>0.70960000000000001</v>
      </c>
      <c r="H59" s="58"/>
      <c r="I59" s="59"/>
      <c r="J59" s="79"/>
      <c r="K59" s="79"/>
      <c r="L59" s="79"/>
      <c r="M59" s="79"/>
      <c r="N59" s="80"/>
      <c r="O59" s="180"/>
      <c r="P59" s="61"/>
    </row>
    <row r="60" spans="1:16" ht="12.75" customHeight="1" x14ac:dyDescent="0.25">
      <c r="A60" s="66">
        <v>8020</v>
      </c>
      <c r="B60" s="66"/>
      <c r="C60" s="66"/>
      <c r="D60" s="78" t="s">
        <v>275</v>
      </c>
      <c r="E60" s="79" t="s">
        <v>276</v>
      </c>
      <c r="F60" s="82">
        <v>-0.1562303854</v>
      </c>
      <c r="G60" s="57">
        <f t="shared" si="0"/>
        <v>0.85540000000000005</v>
      </c>
      <c r="H60" s="58"/>
      <c r="I60" s="59"/>
      <c r="J60" s="79"/>
      <c r="K60" s="79"/>
      <c r="L60" s="79"/>
      <c r="M60" s="79"/>
      <c r="N60" s="80"/>
      <c r="O60" s="180"/>
      <c r="P60" s="61"/>
    </row>
    <row r="61" spans="1:16" ht="12.75" customHeight="1" x14ac:dyDescent="0.25">
      <c r="A61" s="62">
        <v>8020</v>
      </c>
      <c r="B61" s="66"/>
      <c r="C61" s="66"/>
      <c r="D61" s="78" t="s">
        <v>277</v>
      </c>
      <c r="E61" s="79" t="s">
        <v>278</v>
      </c>
      <c r="F61" s="82">
        <v>-0.39938370090000003</v>
      </c>
      <c r="G61" s="57">
        <f t="shared" si="0"/>
        <v>0.67069999999999996</v>
      </c>
      <c r="H61" s="58"/>
      <c r="I61" s="59"/>
      <c r="J61" s="79"/>
      <c r="K61" s="79"/>
      <c r="L61" s="79"/>
      <c r="M61" s="79"/>
      <c r="N61" s="80"/>
      <c r="O61" s="180"/>
      <c r="P61" s="61"/>
    </row>
    <row r="62" spans="1:16" ht="12.75" customHeight="1" x14ac:dyDescent="0.25">
      <c r="A62" s="66">
        <v>8020</v>
      </c>
      <c r="B62" s="66"/>
      <c r="C62" s="66"/>
      <c r="D62" s="78" t="s">
        <v>279</v>
      </c>
      <c r="E62" s="79" t="s">
        <v>280</v>
      </c>
      <c r="F62" s="82">
        <v>-0.44128844319999999</v>
      </c>
      <c r="G62" s="57">
        <f t="shared" si="0"/>
        <v>0.64319999999999999</v>
      </c>
      <c r="H62" s="58"/>
      <c r="I62" s="59"/>
      <c r="J62" s="79"/>
      <c r="K62" s="79"/>
      <c r="L62" s="79"/>
      <c r="M62" s="79"/>
      <c r="N62" s="80"/>
      <c r="O62" s="180"/>
      <c r="P62" s="61"/>
    </row>
    <row r="63" spans="1:16" ht="12.75" customHeight="1" x14ac:dyDescent="0.25">
      <c r="A63" s="62">
        <v>8020</v>
      </c>
      <c r="B63" s="66"/>
      <c r="C63" s="66"/>
      <c r="D63" s="78" t="s">
        <v>281</v>
      </c>
      <c r="E63" s="79" t="s">
        <v>282</v>
      </c>
      <c r="F63" s="82">
        <v>-0.35499490280000001</v>
      </c>
      <c r="G63" s="57">
        <f t="shared" si="0"/>
        <v>0.70120000000000005</v>
      </c>
      <c r="H63" s="58"/>
      <c r="I63" s="59"/>
      <c r="J63" s="79"/>
      <c r="K63" s="79"/>
      <c r="L63" s="79"/>
      <c r="M63" s="79"/>
      <c r="N63" s="80"/>
      <c r="O63" s="180"/>
      <c r="P63" s="61"/>
    </row>
    <row r="64" spans="1:16" ht="12.75" customHeight="1" x14ac:dyDescent="0.25">
      <c r="A64" s="66">
        <v>8020</v>
      </c>
      <c r="B64" s="66"/>
      <c r="C64" s="66"/>
      <c r="D64" s="78" t="s">
        <v>283</v>
      </c>
      <c r="E64" s="79" t="s">
        <v>284</v>
      </c>
      <c r="F64" s="82">
        <v>5.1859096200000003E-2</v>
      </c>
      <c r="G64" s="57">
        <f t="shared" si="0"/>
        <v>1.0531999999999999</v>
      </c>
      <c r="H64" s="58"/>
      <c r="I64" s="59"/>
      <c r="J64" s="79"/>
      <c r="K64" s="79"/>
      <c r="L64" s="79"/>
      <c r="M64" s="79"/>
      <c r="N64" s="80"/>
      <c r="O64" s="180"/>
      <c r="P64" s="61"/>
    </row>
    <row r="65" spans="1:16" ht="12.75" customHeight="1" x14ac:dyDescent="0.25">
      <c r="A65" s="62">
        <v>8020</v>
      </c>
      <c r="B65" s="66"/>
      <c r="C65" s="66"/>
      <c r="D65" s="78" t="s">
        <v>285</v>
      </c>
      <c r="E65" s="79" t="s">
        <v>286</v>
      </c>
      <c r="F65" s="82">
        <v>-1.1667829579</v>
      </c>
      <c r="G65" s="57">
        <f t="shared" si="0"/>
        <v>0.31140000000000001</v>
      </c>
      <c r="H65" s="58"/>
      <c r="I65" s="59"/>
      <c r="J65" s="79"/>
      <c r="K65" s="79"/>
      <c r="L65" s="79"/>
      <c r="M65" s="79"/>
      <c r="N65" s="80"/>
      <c r="O65" s="180"/>
      <c r="P65" s="61"/>
    </row>
    <row r="66" spans="1:16" ht="12.75" customHeight="1" x14ac:dyDescent="0.25">
      <c r="A66" s="66">
        <v>8020</v>
      </c>
      <c r="B66" s="66"/>
      <c r="C66" s="66"/>
      <c r="D66" s="78" t="s">
        <v>287</v>
      </c>
      <c r="E66" s="79" t="s">
        <v>288</v>
      </c>
      <c r="F66" s="83">
        <f>F69</f>
        <v>-0.75060315209999995</v>
      </c>
      <c r="G66" s="57">
        <f t="shared" ref="G66:G83" si="2">ROUND(EXP(F66),4)</f>
        <v>0.47210000000000002</v>
      </c>
      <c r="H66" s="58"/>
      <c r="I66" s="59"/>
      <c r="J66" s="79"/>
      <c r="K66" s="79"/>
      <c r="L66" s="79"/>
      <c r="M66" s="79"/>
      <c r="N66" s="80"/>
      <c r="O66" s="180"/>
      <c r="P66" s="61"/>
    </row>
    <row r="67" spans="1:16" ht="12.75" customHeight="1" x14ac:dyDescent="0.25">
      <c r="A67" s="62">
        <v>8020</v>
      </c>
      <c r="B67" s="66"/>
      <c r="C67" s="66"/>
      <c r="D67" s="78" t="s">
        <v>289</v>
      </c>
      <c r="E67" s="79" t="s">
        <v>290</v>
      </c>
      <c r="F67" s="83">
        <f>F69</f>
        <v>-0.75060315209999995</v>
      </c>
      <c r="G67" s="57">
        <f t="shared" si="2"/>
        <v>0.47210000000000002</v>
      </c>
      <c r="H67" s="58"/>
      <c r="I67" s="59"/>
      <c r="J67" s="79"/>
      <c r="K67" s="79"/>
      <c r="L67" s="79"/>
      <c r="M67" s="79"/>
      <c r="N67" s="80"/>
      <c r="O67" s="180"/>
      <c r="P67" s="61"/>
    </row>
    <row r="68" spans="1:16" ht="12.75" customHeight="1" x14ac:dyDescent="0.25">
      <c r="A68" s="66">
        <v>8020</v>
      </c>
      <c r="B68" s="66"/>
      <c r="C68" s="66"/>
      <c r="D68" s="78" t="s">
        <v>291</v>
      </c>
      <c r="E68" s="79" t="s">
        <v>292</v>
      </c>
      <c r="F68" s="83">
        <f>F65</f>
        <v>-1.1667829579</v>
      </c>
      <c r="G68" s="57">
        <f t="shared" si="2"/>
        <v>0.31140000000000001</v>
      </c>
      <c r="H68" s="58"/>
      <c r="I68" s="59"/>
      <c r="J68" s="79"/>
      <c r="K68" s="79"/>
      <c r="L68" s="79"/>
      <c r="M68" s="79"/>
      <c r="N68" s="80"/>
      <c r="O68" s="180"/>
      <c r="P68" s="61"/>
    </row>
    <row r="69" spans="1:16" ht="12.75" customHeight="1" x14ac:dyDescent="0.25">
      <c r="A69" s="62">
        <v>8020</v>
      </c>
      <c r="B69" s="66"/>
      <c r="C69" s="66"/>
      <c r="D69" s="78" t="s">
        <v>293</v>
      </c>
      <c r="E69" s="79" t="s">
        <v>294</v>
      </c>
      <c r="F69" s="82">
        <v>-0.75060315209999995</v>
      </c>
      <c r="G69" s="57">
        <f t="shared" si="2"/>
        <v>0.47210000000000002</v>
      </c>
      <c r="H69" s="58"/>
      <c r="I69" s="59"/>
      <c r="J69" s="79"/>
      <c r="K69" s="79"/>
      <c r="L69" s="79"/>
      <c r="M69" s="79"/>
      <c r="N69" s="80"/>
      <c r="O69" s="180"/>
      <c r="P69" s="61"/>
    </row>
    <row r="70" spans="1:16" ht="12.75" customHeight="1" x14ac:dyDescent="0.25">
      <c r="A70" s="66">
        <v>8020</v>
      </c>
      <c r="B70" s="66"/>
      <c r="C70" s="66"/>
      <c r="D70" s="78" t="s">
        <v>295</v>
      </c>
      <c r="E70" s="79" t="s">
        <v>296</v>
      </c>
      <c r="F70" s="82">
        <v>4.8848821600000002E-2</v>
      </c>
      <c r="G70" s="57">
        <f t="shared" si="2"/>
        <v>1.0501</v>
      </c>
      <c r="H70" s="58"/>
      <c r="I70" s="59"/>
      <c r="J70" s="79"/>
      <c r="K70" s="79"/>
      <c r="L70" s="79"/>
      <c r="M70" s="79"/>
      <c r="N70" s="80"/>
      <c r="O70" s="180"/>
      <c r="P70" s="61"/>
    </row>
    <row r="71" spans="1:16" ht="12.75" customHeight="1" x14ac:dyDescent="0.25">
      <c r="A71" s="62">
        <v>8020</v>
      </c>
      <c r="B71" s="66"/>
      <c r="C71" s="66"/>
      <c r="D71" s="78" t="s">
        <v>297</v>
      </c>
      <c r="E71" s="79" t="s">
        <v>298</v>
      </c>
      <c r="F71" s="82">
        <v>-1.0133746675999999</v>
      </c>
      <c r="G71" s="57">
        <f t="shared" si="2"/>
        <v>0.36299999999999999</v>
      </c>
      <c r="H71" s="58"/>
      <c r="I71" s="59"/>
      <c r="J71" s="79"/>
      <c r="K71" s="79"/>
      <c r="L71" s="79"/>
      <c r="M71" s="79"/>
      <c r="N71" s="80"/>
      <c r="O71" s="180"/>
      <c r="P71" s="61"/>
    </row>
    <row r="72" spans="1:16" ht="12.75" customHeight="1" x14ac:dyDescent="0.25">
      <c r="A72" s="66">
        <v>8020</v>
      </c>
      <c r="B72" s="66"/>
      <c r="C72" s="66"/>
      <c r="D72" s="78" t="s">
        <v>299</v>
      </c>
      <c r="E72" s="79" t="s">
        <v>300</v>
      </c>
      <c r="F72" s="82">
        <v>-0.6704476788</v>
      </c>
      <c r="G72" s="57">
        <f t="shared" si="2"/>
        <v>0.51149999999999995</v>
      </c>
      <c r="H72" s="58"/>
      <c r="I72" s="59"/>
      <c r="J72" s="79"/>
      <c r="K72" s="79"/>
      <c r="L72" s="79"/>
      <c r="M72" s="79"/>
      <c r="N72" s="80"/>
      <c r="O72" s="180"/>
      <c r="P72" s="61"/>
    </row>
    <row r="73" spans="1:16" ht="12.75" customHeight="1" x14ac:dyDescent="0.25">
      <c r="A73" s="62">
        <v>8020</v>
      </c>
      <c r="B73" s="66"/>
      <c r="C73" s="66"/>
      <c r="D73" s="78" t="s">
        <v>301</v>
      </c>
      <c r="E73" s="79" t="s">
        <v>302</v>
      </c>
      <c r="F73" s="83">
        <f>F74</f>
        <v>-1.0036577815000001</v>
      </c>
      <c r="G73" s="57">
        <f t="shared" si="2"/>
        <v>0.36649999999999999</v>
      </c>
      <c r="H73" s="58"/>
      <c r="I73" s="59"/>
      <c r="J73" s="79"/>
      <c r="K73" s="79"/>
      <c r="L73" s="79"/>
      <c r="M73" s="79"/>
      <c r="N73" s="80"/>
      <c r="O73" s="180"/>
      <c r="P73" s="61"/>
    </row>
    <row r="74" spans="1:16" ht="12.75" customHeight="1" x14ac:dyDescent="0.25">
      <c r="A74" s="66">
        <v>8020</v>
      </c>
      <c r="B74" s="66"/>
      <c r="C74" s="66"/>
      <c r="D74" s="78" t="s">
        <v>303</v>
      </c>
      <c r="E74" s="79" t="s">
        <v>304</v>
      </c>
      <c r="F74" s="82">
        <v>-1.0036577815000001</v>
      </c>
      <c r="G74" s="57">
        <f t="shared" si="2"/>
        <v>0.36649999999999999</v>
      </c>
      <c r="H74" s="58"/>
      <c r="I74" s="59"/>
      <c r="J74" s="79"/>
      <c r="K74" s="79"/>
      <c r="L74" s="79"/>
      <c r="M74" s="79"/>
      <c r="N74" s="80"/>
      <c r="O74" s="180"/>
      <c r="P74" s="61"/>
    </row>
    <row r="75" spans="1:16" ht="12.75" customHeight="1" x14ac:dyDescent="0.25">
      <c r="A75" s="62">
        <v>8020</v>
      </c>
      <c r="B75" s="66"/>
      <c r="C75" s="66"/>
      <c r="D75" s="78" t="s">
        <v>305</v>
      </c>
      <c r="E75" s="79" t="s">
        <v>306</v>
      </c>
      <c r="F75" s="82">
        <v>-1.5278123536999999</v>
      </c>
      <c r="G75" s="57">
        <f t="shared" si="2"/>
        <v>0.217</v>
      </c>
      <c r="H75" s="58"/>
      <c r="I75" s="59"/>
      <c r="J75" s="79"/>
      <c r="K75" s="79"/>
      <c r="L75" s="79"/>
      <c r="M75" s="79"/>
      <c r="N75" s="80"/>
      <c r="O75" s="180"/>
      <c r="P75" s="61"/>
    </row>
    <row r="76" spans="1:16" ht="12.75" customHeight="1" x14ac:dyDescent="0.25">
      <c r="A76" s="66">
        <v>8020</v>
      </c>
      <c r="B76" s="66"/>
      <c r="C76" s="66"/>
      <c r="D76" s="78" t="s">
        <v>307</v>
      </c>
      <c r="E76" s="79" t="s">
        <v>308</v>
      </c>
      <c r="F76" s="82">
        <v>-0.90086530760000005</v>
      </c>
      <c r="G76" s="57">
        <f t="shared" si="2"/>
        <v>0.40620000000000001</v>
      </c>
      <c r="H76" s="58"/>
      <c r="I76" s="59"/>
      <c r="J76" s="79"/>
      <c r="K76" s="79"/>
      <c r="L76" s="79"/>
      <c r="M76" s="79"/>
      <c r="N76" s="80"/>
      <c r="O76" s="180"/>
      <c r="P76" s="61"/>
    </row>
    <row r="77" spans="1:16" ht="12.75" customHeight="1" x14ac:dyDescent="0.25">
      <c r="A77" s="62">
        <v>8020</v>
      </c>
      <c r="B77" s="66"/>
      <c r="C77" s="66"/>
      <c r="D77" s="78" t="s">
        <v>309</v>
      </c>
      <c r="E77" s="79" t="s">
        <v>310</v>
      </c>
      <c r="F77" s="83">
        <f>F71</f>
        <v>-1.0133746675999999</v>
      </c>
      <c r="G77" s="57">
        <f t="shared" si="2"/>
        <v>0.36299999999999999</v>
      </c>
      <c r="H77" s="58"/>
      <c r="I77" s="59"/>
      <c r="J77" s="79"/>
      <c r="K77" s="79"/>
      <c r="L77" s="79"/>
      <c r="M77" s="79"/>
      <c r="N77" s="80"/>
      <c r="O77" s="180"/>
      <c r="P77" s="61"/>
    </row>
    <row r="78" spans="1:16" ht="12.75" customHeight="1" x14ac:dyDescent="0.25">
      <c r="A78" s="66">
        <v>8020</v>
      </c>
      <c r="B78" s="66"/>
      <c r="C78" s="66"/>
      <c r="D78" s="78" t="s">
        <v>311</v>
      </c>
      <c r="E78" s="79" t="s">
        <v>312</v>
      </c>
      <c r="F78" s="64">
        <v>-0.59974430580000004</v>
      </c>
      <c r="G78" s="57">
        <f t="shared" si="2"/>
        <v>0.54900000000000004</v>
      </c>
      <c r="H78" s="58"/>
      <c r="I78" s="59"/>
      <c r="J78" s="79"/>
      <c r="K78" s="79"/>
      <c r="L78" s="79"/>
      <c r="M78" s="79"/>
      <c r="N78" s="80"/>
      <c r="O78" s="180"/>
      <c r="P78" s="61"/>
    </row>
    <row r="79" spans="1:16" ht="12.75" customHeight="1" x14ac:dyDescent="0.25">
      <c r="A79" s="62">
        <v>8020</v>
      </c>
      <c r="B79" s="66"/>
      <c r="C79" s="66"/>
      <c r="D79" s="78" t="s">
        <v>313</v>
      </c>
      <c r="E79" s="79" t="s">
        <v>314</v>
      </c>
      <c r="F79" s="64">
        <v>0.29854691709999998</v>
      </c>
      <c r="G79" s="57">
        <f t="shared" si="2"/>
        <v>1.3479000000000001</v>
      </c>
      <c r="H79" s="58"/>
      <c r="I79" s="59"/>
      <c r="J79" s="79"/>
      <c r="K79" s="79"/>
      <c r="L79" s="79"/>
      <c r="M79" s="79"/>
      <c r="N79" s="80"/>
      <c r="O79" s="180"/>
      <c r="P79" s="61"/>
    </row>
    <row r="80" spans="1:16" ht="12.75" customHeight="1" x14ac:dyDescent="0.25">
      <c r="A80" s="66">
        <v>8020</v>
      </c>
      <c r="B80" s="66"/>
      <c r="C80" s="66"/>
      <c r="D80" s="78" t="s">
        <v>315</v>
      </c>
      <c r="E80" s="79" t="s">
        <v>316</v>
      </c>
      <c r="F80" s="64">
        <v>-0.98085767040000005</v>
      </c>
      <c r="G80" s="57">
        <f t="shared" si="2"/>
        <v>0.375</v>
      </c>
      <c r="H80" s="58"/>
      <c r="I80" s="59"/>
      <c r="J80" s="79"/>
      <c r="K80" s="79"/>
      <c r="L80" s="79"/>
      <c r="M80" s="79"/>
      <c r="N80" s="80"/>
      <c r="O80" s="180"/>
      <c r="P80" s="61"/>
    </row>
    <row r="81" spans="1:16" ht="12.75" customHeight="1" x14ac:dyDescent="0.25">
      <c r="A81" s="62">
        <v>8020</v>
      </c>
      <c r="B81" s="66"/>
      <c r="C81" s="66"/>
      <c r="D81" s="78" t="s">
        <v>317</v>
      </c>
      <c r="E81" s="79" t="s">
        <v>318</v>
      </c>
      <c r="F81" s="64">
        <v>-1.65680325E-2</v>
      </c>
      <c r="G81" s="57">
        <f t="shared" si="2"/>
        <v>0.98360000000000003</v>
      </c>
      <c r="H81" s="58"/>
      <c r="I81" s="59"/>
      <c r="J81" s="79"/>
      <c r="K81" s="79"/>
      <c r="L81" s="79"/>
      <c r="M81" s="79"/>
      <c r="N81" s="80"/>
      <c r="O81" s="180"/>
      <c r="P81" s="61"/>
    </row>
    <row r="82" spans="1:16" ht="12.75" customHeight="1" x14ac:dyDescent="0.25">
      <c r="A82" s="66">
        <v>8020</v>
      </c>
      <c r="B82" s="66"/>
      <c r="C82" s="66"/>
      <c r="D82" s="78" t="s">
        <v>319</v>
      </c>
      <c r="E82" s="79" t="s">
        <v>320</v>
      </c>
      <c r="F82" s="64">
        <v>-1.4193964132000001</v>
      </c>
      <c r="G82" s="57">
        <f t="shared" si="2"/>
        <v>0.2419</v>
      </c>
      <c r="H82" s="58"/>
      <c r="I82" s="59"/>
      <c r="J82" s="79"/>
      <c r="K82" s="79"/>
      <c r="L82" s="79"/>
      <c r="M82" s="79"/>
      <c r="N82" s="80"/>
      <c r="O82" s="180"/>
      <c r="P82" s="61"/>
    </row>
    <row r="83" spans="1:16" ht="12.75" customHeight="1" x14ac:dyDescent="0.25">
      <c r="A83" s="62">
        <v>8020</v>
      </c>
      <c r="B83" s="66"/>
      <c r="C83" s="66"/>
      <c r="D83" s="78" t="s">
        <v>321</v>
      </c>
      <c r="E83" s="79" t="s">
        <v>322</v>
      </c>
      <c r="F83" s="64">
        <v>-0.49227635139999998</v>
      </c>
      <c r="G83" s="57">
        <f t="shared" si="2"/>
        <v>0.61119999999999997</v>
      </c>
      <c r="H83" s="58"/>
      <c r="I83" s="59"/>
      <c r="J83" s="79"/>
      <c r="K83" s="79"/>
      <c r="L83" s="79"/>
      <c r="M83" s="79"/>
      <c r="N83" s="80"/>
      <c r="O83" s="180"/>
      <c r="P83" s="61"/>
    </row>
    <row r="84" spans="1:16" ht="102.75" customHeight="1" x14ac:dyDescent="0.25">
      <c r="A84" s="66">
        <v>8020</v>
      </c>
      <c r="B84" s="55" t="s">
        <v>52</v>
      </c>
      <c r="C84" s="55" t="s">
        <v>323</v>
      </c>
      <c r="D84" s="84"/>
      <c r="E84" s="181" t="s">
        <v>324</v>
      </c>
      <c r="F84" s="182"/>
      <c r="G84" s="183"/>
      <c r="H84" s="85"/>
      <c r="I84" s="86" t="s">
        <v>325</v>
      </c>
      <c r="J84" s="87">
        <f>модули!A99</f>
        <v>0</v>
      </c>
      <c r="K84" s="87">
        <f>модули!A100</f>
        <v>6000</v>
      </c>
      <c r="L84" s="87">
        <f>модули!B99</f>
        <v>0.89229999999999998</v>
      </c>
      <c r="M84" s="88">
        <f>модули!B100</f>
        <v>0.39379999999999998</v>
      </c>
      <c r="N84" s="80"/>
      <c r="O84" s="55" t="s">
        <v>123</v>
      </c>
      <c r="P84" s="89"/>
    </row>
    <row r="85" spans="1:16" ht="108.75" customHeight="1" x14ac:dyDescent="0.25">
      <c r="A85" s="62">
        <v>8020</v>
      </c>
      <c r="B85" s="90" t="s">
        <v>14</v>
      </c>
      <c r="C85" s="91" t="s">
        <v>323</v>
      </c>
      <c r="D85" s="84"/>
      <c r="E85" s="184" t="s">
        <v>326</v>
      </c>
      <c r="F85" s="185"/>
      <c r="G85" s="186"/>
      <c r="H85" s="92"/>
      <c r="I85" s="93">
        <f>'количественные факторы'!B2</f>
        <v>0.71448643076157303</v>
      </c>
      <c r="J85" s="87">
        <f>модули!H99</f>
        <v>5</v>
      </c>
      <c r="K85" s="87">
        <f>модули!H100</f>
        <v>27.5</v>
      </c>
      <c r="L85" s="87">
        <f>модули!L99</f>
        <v>1.0000000000590388</v>
      </c>
      <c r="M85" s="88">
        <f>ROUND(модули!L100,4)</f>
        <v>0.63249999999999995</v>
      </c>
      <c r="N85" s="80"/>
      <c r="O85" s="91" t="s">
        <v>124</v>
      </c>
      <c r="P85" s="89"/>
    </row>
    <row r="86" spans="1:16" ht="25.5" customHeight="1" x14ac:dyDescent="0.25">
      <c r="A86" s="180">
        <v>8020</v>
      </c>
      <c r="B86" s="94" t="s">
        <v>327</v>
      </c>
      <c r="C86" s="187" t="s">
        <v>328</v>
      </c>
      <c r="D86" s="94"/>
      <c r="E86" s="95" t="s">
        <v>154</v>
      </c>
      <c r="F86" s="96"/>
      <c r="G86" s="97" t="e">
        <f>'расчетОО '!#REF!</f>
        <v>#REF!</v>
      </c>
      <c r="H86" s="98"/>
      <c r="I86" s="97"/>
      <c r="J86" s="99"/>
      <c r="K86" s="99"/>
      <c r="L86" s="99"/>
      <c r="M86" s="100"/>
      <c r="N86" s="100"/>
      <c r="O86" s="189" t="s">
        <v>329</v>
      </c>
      <c r="P86" s="101"/>
    </row>
    <row r="87" spans="1:16" ht="15.75" customHeight="1" x14ac:dyDescent="0.25">
      <c r="A87" s="180"/>
      <c r="B87" s="102"/>
      <c r="C87" s="188"/>
      <c r="D87" s="102"/>
      <c r="E87" s="95" t="s">
        <v>330</v>
      </c>
      <c r="F87" s="103"/>
      <c r="G87" s="104">
        <v>1</v>
      </c>
      <c r="H87" s="105"/>
      <c r="I87" s="104"/>
      <c r="J87" s="106"/>
      <c r="K87" s="106"/>
      <c r="L87" s="106"/>
      <c r="M87" s="107"/>
      <c r="N87" s="107"/>
      <c r="O87" s="190"/>
      <c r="P87" s="108"/>
    </row>
  </sheetData>
  <mergeCells count="13">
    <mergeCell ref="O18:O19"/>
    <mergeCell ref="O20:O83"/>
    <mergeCell ref="E84:G84"/>
    <mergeCell ref="E85:G85"/>
    <mergeCell ref="A86:A87"/>
    <mergeCell ref="C86:C87"/>
    <mergeCell ref="O86:O87"/>
    <mergeCell ref="O16:O17"/>
    <mergeCell ref="O3:O5"/>
    <mergeCell ref="O6:O8"/>
    <mergeCell ref="O9:O11"/>
    <mergeCell ref="O12:O13"/>
    <mergeCell ref="O14:O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271"/>
  <sheetViews>
    <sheetView workbookViewId="0">
      <selection sqref="A1:B271"/>
    </sheetView>
  </sheetViews>
  <sheetFormatPr defaultRowHeight="15" x14ac:dyDescent="0.25"/>
  <sheetData>
    <row r="1" spans="1:2" ht="15" customHeight="1" x14ac:dyDescent="0.25">
      <c r="A1" t="s">
        <v>103</v>
      </c>
      <c r="B1" t="s">
        <v>141</v>
      </c>
    </row>
    <row r="2" spans="1:2" ht="15" customHeight="1" x14ac:dyDescent="0.25">
      <c r="A2" t="s">
        <v>331</v>
      </c>
      <c r="B2" t="s">
        <v>332</v>
      </c>
    </row>
    <row r="3" spans="1:2" ht="15" customHeight="1" x14ac:dyDescent="0.25">
      <c r="A3" t="s">
        <v>333</v>
      </c>
      <c r="B3" t="s">
        <v>334</v>
      </c>
    </row>
    <row r="4" spans="1:2" ht="15" customHeight="1" x14ac:dyDescent="0.25">
      <c r="A4" t="s">
        <v>335</v>
      </c>
      <c r="B4" t="s">
        <v>336</v>
      </c>
    </row>
    <row r="5" spans="1:2" ht="15" customHeight="1" x14ac:dyDescent="0.25">
      <c r="A5" t="s">
        <v>337</v>
      </c>
      <c r="B5" t="s">
        <v>338</v>
      </c>
    </row>
    <row r="6" spans="1:2" ht="15" customHeight="1" x14ac:dyDescent="0.25">
      <c r="A6" t="s">
        <v>339</v>
      </c>
      <c r="B6" t="s">
        <v>340</v>
      </c>
    </row>
    <row r="7" spans="1:2" ht="15" customHeight="1" x14ac:dyDescent="0.25">
      <c r="A7" t="s">
        <v>341</v>
      </c>
      <c r="B7" t="s">
        <v>342</v>
      </c>
    </row>
    <row r="8" spans="1:2" ht="15" customHeight="1" x14ac:dyDescent="0.25">
      <c r="A8" t="s">
        <v>343</v>
      </c>
      <c r="B8" t="s">
        <v>344</v>
      </c>
    </row>
    <row r="9" spans="1:2" ht="15" customHeight="1" x14ac:dyDescent="0.25">
      <c r="A9" t="s">
        <v>345</v>
      </c>
      <c r="B9" t="s">
        <v>346</v>
      </c>
    </row>
    <row r="10" spans="1:2" ht="15" customHeight="1" x14ac:dyDescent="0.25">
      <c r="A10" t="s">
        <v>347</v>
      </c>
      <c r="B10" t="s">
        <v>348</v>
      </c>
    </row>
    <row r="11" spans="1:2" ht="15" customHeight="1" x14ac:dyDescent="0.25">
      <c r="A11" t="s">
        <v>349</v>
      </c>
      <c r="B11" t="s">
        <v>350</v>
      </c>
    </row>
    <row r="12" spans="1:2" ht="15" customHeight="1" x14ac:dyDescent="0.25">
      <c r="A12" t="s">
        <v>351</v>
      </c>
      <c r="B12" t="s">
        <v>352</v>
      </c>
    </row>
    <row r="13" spans="1:2" ht="15" customHeight="1" x14ac:dyDescent="0.25">
      <c r="A13" t="s">
        <v>353</v>
      </c>
      <c r="B13" t="s">
        <v>354</v>
      </c>
    </row>
    <row r="14" spans="1:2" ht="15" customHeight="1" x14ac:dyDescent="0.25">
      <c r="A14" t="s">
        <v>355</v>
      </c>
      <c r="B14" t="s">
        <v>356</v>
      </c>
    </row>
    <row r="15" spans="1:2" ht="15" customHeight="1" x14ac:dyDescent="0.25">
      <c r="A15" t="s">
        <v>357</v>
      </c>
      <c r="B15" t="s">
        <v>358</v>
      </c>
    </row>
    <row r="16" spans="1:2" ht="15" customHeight="1" x14ac:dyDescent="0.25">
      <c r="A16" t="s">
        <v>359</v>
      </c>
      <c r="B16" t="s">
        <v>360</v>
      </c>
    </row>
    <row r="17" spans="1:2" ht="15" customHeight="1" x14ac:dyDescent="0.25">
      <c r="A17" t="s">
        <v>361</v>
      </c>
      <c r="B17" t="s">
        <v>362</v>
      </c>
    </row>
    <row r="18" spans="1:2" ht="15" customHeight="1" x14ac:dyDescent="0.25">
      <c r="A18" t="s">
        <v>363</v>
      </c>
      <c r="B18" t="s">
        <v>364</v>
      </c>
    </row>
    <row r="19" spans="1:2" ht="15" customHeight="1" x14ac:dyDescent="0.25">
      <c r="A19" t="s">
        <v>365</v>
      </c>
      <c r="B19" t="s">
        <v>366</v>
      </c>
    </row>
    <row r="20" spans="1:2" ht="15" customHeight="1" x14ac:dyDescent="0.25">
      <c r="A20" t="s">
        <v>367</v>
      </c>
      <c r="B20" t="s">
        <v>368</v>
      </c>
    </row>
    <row r="21" spans="1:2" ht="15" customHeight="1" x14ac:dyDescent="0.25">
      <c r="A21" t="s">
        <v>369</v>
      </c>
      <c r="B21" t="s">
        <v>370</v>
      </c>
    </row>
    <row r="22" spans="1:2" ht="15" customHeight="1" x14ac:dyDescent="0.25">
      <c r="A22" t="s">
        <v>371</v>
      </c>
      <c r="B22" t="s">
        <v>372</v>
      </c>
    </row>
    <row r="23" spans="1:2" ht="15" customHeight="1" x14ac:dyDescent="0.25">
      <c r="A23" t="s">
        <v>373</v>
      </c>
      <c r="B23" t="s">
        <v>374</v>
      </c>
    </row>
    <row r="24" spans="1:2" ht="15" customHeight="1" x14ac:dyDescent="0.25">
      <c r="A24" t="s">
        <v>375</v>
      </c>
      <c r="B24" t="s">
        <v>376</v>
      </c>
    </row>
    <row r="25" spans="1:2" ht="15" customHeight="1" x14ac:dyDescent="0.25">
      <c r="A25" t="s">
        <v>377</v>
      </c>
      <c r="B25" t="s">
        <v>378</v>
      </c>
    </row>
    <row r="26" spans="1:2" ht="15" customHeight="1" x14ac:dyDescent="0.25">
      <c r="A26" t="s">
        <v>379</v>
      </c>
      <c r="B26" t="s">
        <v>380</v>
      </c>
    </row>
    <row r="27" spans="1:2" ht="15" customHeight="1" x14ac:dyDescent="0.25">
      <c r="A27" t="s">
        <v>381</v>
      </c>
      <c r="B27" t="s">
        <v>382</v>
      </c>
    </row>
    <row r="28" spans="1:2" ht="15" customHeight="1" x14ac:dyDescent="0.25">
      <c r="A28" t="s">
        <v>383</v>
      </c>
      <c r="B28" t="s">
        <v>384</v>
      </c>
    </row>
    <row r="29" spans="1:2" ht="15" customHeight="1" x14ac:dyDescent="0.25">
      <c r="A29" t="s">
        <v>385</v>
      </c>
      <c r="B29" t="s">
        <v>386</v>
      </c>
    </row>
    <row r="30" spans="1:2" ht="15" customHeight="1" x14ac:dyDescent="0.25">
      <c r="A30" t="s">
        <v>387</v>
      </c>
      <c r="B30" t="s">
        <v>388</v>
      </c>
    </row>
    <row r="31" spans="1:2" ht="15" customHeight="1" x14ac:dyDescent="0.25">
      <c r="A31" t="s">
        <v>389</v>
      </c>
      <c r="B31" t="s">
        <v>390</v>
      </c>
    </row>
    <row r="32" spans="1:2" ht="15" customHeight="1" x14ac:dyDescent="0.25">
      <c r="A32" t="s">
        <v>391</v>
      </c>
      <c r="B32" t="s">
        <v>392</v>
      </c>
    </row>
    <row r="33" spans="1:2" ht="15" customHeight="1" x14ac:dyDescent="0.25">
      <c r="A33" t="s">
        <v>393</v>
      </c>
      <c r="B33" t="s">
        <v>394</v>
      </c>
    </row>
    <row r="34" spans="1:2" ht="15" customHeight="1" x14ac:dyDescent="0.25">
      <c r="A34" t="s">
        <v>395</v>
      </c>
      <c r="B34" t="s">
        <v>396</v>
      </c>
    </row>
    <row r="35" spans="1:2" ht="15" customHeight="1" x14ac:dyDescent="0.25">
      <c r="A35" t="s">
        <v>397</v>
      </c>
      <c r="B35" t="s">
        <v>398</v>
      </c>
    </row>
    <row r="36" spans="1:2" ht="15" customHeight="1" x14ac:dyDescent="0.25">
      <c r="A36" t="s">
        <v>399</v>
      </c>
      <c r="B36" t="s">
        <v>400</v>
      </c>
    </row>
    <row r="37" spans="1:2" ht="15" customHeight="1" x14ac:dyDescent="0.25">
      <c r="A37" t="s">
        <v>401</v>
      </c>
      <c r="B37" t="s">
        <v>402</v>
      </c>
    </row>
    <row r="38" spans="1:2" ht="15" customHeight="1" x14ac:dyDescent="0.25">
      <c r="A38" t="s">
        <v>403</v>
      </c>
      <c r="B38" t="s">
        <v>404</v>
      </c>
    </row>
    <row r="39" spans="1:2" ht="15" customHeight="1" x14ac:dyDescent="0.25">
      <c r="A39" t="s">
        <v>405</v>
      </c>
      <c r="B39" t="s">
        <v>406</v>
      </c>
    </row>
    <row r="40" spans="1:2" ht="15" customHeight="1" x14ac:dyDescent="0.25">
      <c r="A40" t="s">
        <v>407</v>
      </c>
      <c r="B40" t="s">
        <v>408</v>
      </c>
    </row>
    <row r="41" spans="1:2" ht="15" customHeight="1" x14ac:dyDescent="0.25">
      <c r="A41" t="s">
        <v>409</v>
      </c>
      <c r="B41" t="s">
        <v>410</v>
      </c>
    </row>
    <row r="42" spans="1:2" ht="15" customHeight="1" x14ac:dyDescent="0.25">
      <c r="A42" t="s">
        <v>411</v>
      </c>
      <c r="B42" t="s">
        <v>412</v>
      </c>
    </row>
    <row r="43" spans="1:2" ht="15" customHeight="1" x14ac:dyDescent="0.25">
      <c r="A43" t="s">
        <v>413</v>
      </c>
      <c r="B43" t="s">
        <v>414</v>
      </c>
    </row>
    <row r="44" spans="1:2" ht="15" customHeight="1" x14ac:dyDescent="0.25">
      <c r="A44" t="s">
        <v>415</v>
      </c>
      <c r="B44" t="s">
        <v>416</v>
      </c>
    </row>
    <row r="45" spans="1:2" ht="15" customHeight="1" x14ac:dyDescent="0.25">
      <c r="A45" t="s">
        <v>417</v>
      </c>
      <c r="B45" t="s">
        <v>418</v>
      </c>
    </row>
    <row r="46" spans="1:2" ht="15" customHeight="1" x14ac:dyDescent="0.25">
      <c r="A46" t="s">
        <v>419</v>
      </c>
      <c r="B46" t="s">
        <v>420</v>
      </c>
    </row>
    <row r="47" spans="1:2" ht="15" customHeight="1" x14ac:dyDescent="0.25">
      <c r="A47" t="s">
        <v>421</v>
      </c>
      <c r="B47" t="s">
        <v>422</v>
      </c>
    </row>
    <row r="48" spans="1:2" ht="15" customHeight="1" x14ac:dyDescent="0.25">
      <c r="A48" t="s">
        <v>423</v>
      </c>
      <c r="B48" t="s">
        <v>424</v>
      </c>
    </row>
    <row r="49" spans="1:2" ht="15" customHeight="1" x14ac:dyDescent="0.25">
      <c r="A49" t="s">
        <v>425</v>
      </c>
      <c r="B49" t="s">
        <v>426</v>
      </c>
    </row>
    <row r="50" spans="1:2" ht="15" customHeight="1" x14ac:dyDescent="0.25">
      <c r="A50" t="s">
        <v>427</v>
      </c>
      <c r="B50" t="s">
        <v>428</v>
      </c>
    </row>
    <row r="51" spans="1:2" ht="15" customHeight="1" x14ac:dyDescent="0.25">
      <c r="A51" t="s">
        <v>429</v>
      </c>
      <c r="B51" t="s">
        <v>430</v>
      </c>
    </row>
    <row r="52" spans="1:2" ht="15" customHeight="1" x14ac:dyDescent="0.25">
      <c r="A52" t="s">
        <v>431</v>
      </c>
      <c r="B52" t="s">
        <v>432</v>
      </c>
    </row>
    <row r="53" spans="1:2" ht="15" customHeight="1" x14ac:dyDescent="0.25">
      <c r="A53" t="s">
        <v>433</v>
      </c>
      <c r="B53" t="s">
        <v>434</v>
      </c>
    </row>
    <row r="54" spans="1:2" ht="15" customHeight="1" x14ac:dyDescent="0.25">
      <c r="A54" t="s">
        <v>435</v>
      </c>
      <c r="B54" t="s">
        <v>436</v>
      </c>
    </row>
    <row r="55" spans="1:2" ht="15" customHeight="1" x14ac:dyDescent="0.25">
      <c r="A55" t="s">
        <v>437</v>
      </c>
      <c r="B55" t="s">
        <v>438</v>
      </c>
    </row>
    <row r="56" spans="1:2" ht="15" customHeight="1" x14ac:dyDescent="0.25">
      <c r="A56" t="s">
        <v>439</v>
      </c>
      <c r="B56" t="s">
        <v>440</v>
      </c>
    </row>
    <row r="57" spans="1:2" ht="15" customHeight="1" x14ac:dyDescent="0.25">
      <c r="A57" t="s">
        <v>441</v>
      </c>
      <c r="B57" t="s">
        <v>442</v>
      </c>
    </row>
    <row r="58" spans="1:2" ht="15" customHeight="1" x14ac:dyDescent="0.25">
      <c r="A58" t="s">
        <v>443</v>
      </c>
      <c r="B58" t="s">
        <v>444</v>
      </c>
    </row>
    <row r="59" spans="1:2" ht="15" customHeight="1" x14ac:dyDescent="0.25">
      <c r="A59" t="s">
        <v>445</v>
      </c>
      <c r="B59" t="s">
        <v>446</v>
      </c>
    </row>
    <row r="60" spans="1:2" ht="15" customHeight="1" x14ac:dyDescent="0.25">
      <c r="A60" t="s">
        <v>447</v>
      </c>
      <c r="B60" t="s">
        <v>448</v>
      </c>
    </row>
    <row r="61" spans="1:2" ht="15" customHeight="1" x14ac:dyDescent="0.25">
      <c r="A61" t="s">
        <v>449</v>
      </c>
      <c r="B61" t="s">
        <v>450</v>
      </c>
    </row>
    <row r="62" spans="1:2" ht="15" customHeight="1" x14ac:dyDescent="0.25">
      <c r="A62" t="s">
        <v>451</v>
      </c>
      <c r="B62" t="s">
        <v>452</v>
      </c>
    </row>
    <row r="63" spans="1:2" ht="15" customHeight="1" x14ac:dyDescent="0.25">
      <c r="A63" t="s">
        <v>453</v>
      </c>
      <c r="B63" t="s">
        <v>454</v>
      </c>
    </row>
    <row r="64" spans="1:2" ht="15" customHeight="1" x14ac:dyDescent="0.25">
      <c r="A64" t="s">
        <v>455</v>
      </c>
      <c r="B64" t="s">
        <v>456</v>
      </c>
    </row>
    <row r="65" spans="1:2" ht="15" customHeight="1" x14ac:dyDescent="0.25">
      <c r="A65" t="s">
        <v>457</v>
      </c>
      <c r="B65" t="s">
        <v>458</v>
      </c>
    </row>
    <row r="66" spans="1:2" ht="15" customHeight="1" x14ac:dyDescent="0.25">
      <c r="A66" t="s">
        <v>459</v>
      </c>
      <c r="B66" t="s">
        <v>460</v>
      </c>
    </row>
    <row r="67" spans="1:2" ht="15" customHeight="1" x14ac:dyDescent="0.25">
      <c r="A67" t="s">
        <v>461</v>
      </c>
      <c r="B67" t="s">
        <v>462</v>
      </c>
    </row>
    <row r="68" spans="1:2" ht="15" customHeight="1" x14ac:dyDescent="0.25">
      <c r="A68" t="s">
        <v>463</v>
      </c>
      <c r="B68" t="s">
        <v>464</v>
      </c>
    </row>
    <row r="69" spans="1:2" ht="15" customHeight="1" x14ac:dyDescent="0.25">
      <c r="A69" t="s">
        <v>465</v>
      </c>
      <c r="B69" t="s">
        <v>466</v>
      </c>
    </row>
    <row r="70" spans="1:2" ht="15" customHeight="1" x14ac:dyDescent="0.25">
      <c r="A70" t="s">
        <v>467</v>
      </c>
      <c r="B70" t="s">
        <v>468</v>
      </c>
    </row>
    <row r="71" spans="1:2" ht="15" customHeight="1" x14ac:dyDescent="0.25">
      <c r="A71" t="s">
        <v>469</v>
      </c>
      <c r="B71" t="s">
        <v>470</v>
      </c>
    </row>
    <row r="72" spans="1:2" ht="15" customHeight="1" x14ac:dyDescent="0.25">
      <c r="A72" t="s">
        <v>471</v>
      </c>
      <c r="B72" t="s">
        <v>472</v>
      </c>
    </row>
    <row r="73" spans="1:2" ht="15" customHeight="1" x14ac:dyDescent="0.25">
      <c r="A73" t="s">
        <v>473</v>
      </c>
      <c r="B73" t="s">
        <v>474</v>
      </c>
    </row>
    <row r="74" spans="1:2" ht="15" customHeight="1" x14ac:dyDescent="0.25">
      <c r="A74" t="s">
        <v>475</v>
      </c>
      <c r="B74" t="s">
        <v>476</v>
      </c>
    </row>
    <row r="75" spans="1:2" ht="15" customHeight="1" x14ac:dyDescent="0.25">
      <c r="A75" t="s">
        <v>477</v>
      </c>
      <c r="B75" t="s">
        <v>478</v>
      </c>
    </row>
    <row r="76" spans="1:2" ht="15" customHeight="1" x14ac:dyDescent="0.25">
      <c r="A76" t="s">
        <v>479</v>
      </c>
      <c r="B76" t="s">
        <v>480</v>
      </c>
    </row>
    <row r="77" spans="1:2" ht="15" customHeight="1" x14ac:dyDescent="0.25">
      <c r="A77" t="s">
        <v>481</v>
      </c>
      <c r="B77" t="s">
        <v>482</v>
      </c>
    </row>
    <row r="78" spans="1:2" ht="15" customHeight="1" x14ac:dyDescent="0.25">
      <c r="A78" t="s">
        <v>483</v>
      </c>
      <c r="B78" t="s">
        <v>484</v>
      </c>
    </row>
    <row r="79" spans="1:2" ht="15" customHeight="1" x14ac:dyDescent="0.25">
      <c r="A79" t="s">
        <v>485</v>
      </c>
      <c r="B79" t="s">
        <v>486</v>
      </c>
    </row>
    <row r="80" spans="1:2" ht="15" customHeight="1" x14ac:dyDescent="0.25">
      <c r="A80" t="s">
        <v>487</v>
      </c>
      <c r="B80" t="s">
        <v>488</v>
      </c>
    </row>
    <row r="81" spans="1:2" ht="15" customHeight="1" x14ac:dyDescent="0.25">
      <c r="A81" t="s">
        <v>489</v>
      </c>
      <c r="B81" t="s">
        <v>490</v>
      </c>
    </row>
    <row r="82" spans="1:2" ht="15" customHeight="1" x14ac:dyDescent="0.25">
      <c r="A82" t="s">
        <v>491</v>
      </c>
      <c r="B82" t="s">
        <v>492</v>
      </c>
    </row>
    <row r="83" spans="1:2" ht="15" customHeight="1" x14ac:dyDescent="0.25">
      <c r="A83" t="s">
        <v>493</v>
      </c>
      <c r="B83" t="s">
        <v>494</v>
      </c>
    </row>
    <row r="84" spans="1:2" ht="15" customHeight="1" x14ac:dyDescent="0.25">
      <c r="A84" t="s">
        <v>495</v>
      </c>
      <c r="B84" t="s">
        <v>496</v>
      </c>
    </row>
    <row r="85" spans="1:2" ht="15" customHeight="1" x14ac:dyDescent="0.25">
      <c r="A85" t="s">
        <v>497</v>
      </c>
      <c r="B85" t="s">
        <v>498</v>
      </c>
    </row>
    <row r="86" spans="1:2" ht="15" customHeight="1" x14ac:dyDescent="0.25">
      <c r="A86" t="s">
        <v>499</v>
      </c>
      <c r="B86" t="s">
        <v>500</v>
      </c>
    </row>
    <row r="87" spans="1:2" ht="15" customHeight="1" x14ac:dyDescent="0.25">
      <c r="A87" t="s">
        <v>501</v>
      </c>
      <c r="B87" t="s">
        <v>502</v>
      </c>
    </row>
    <row r="88" spans="1:2" ht="15" customHeight="1" x14ac:dyDescent="0.25">
      <c r="A88" t="s">
        <v>503</v>
      </c>
      <c r="B88" t="s">
        <v>504</v>
      </c>
    </row>
    <row r="89" spans="1:2" ht="15" customHeight="1" x14ac:dyDescent="0.25">
      <c r="A89" t="s">
        <v>505</v>
      </c>
      <c r="B89" t="s">
        <v>506</v>
      </c>
    </row>
    <row r="90" spans="1:2" ht="15" customHeight="1" x14ac:dyDescent="0.25">
      <c r="A90" t="s">
        <v>507</v>
      </c>
      <c r="B90" t="s">
        <v>508</v>
      </c>
    </row>
    <row r="91" spans="1:2" ht="15" customHeight="1" x14ac:dyDescent="0.25">
      <c r="A91" t="s">
        <v>509</v>
      </c>
      <c r="B91" t="s">
        <v>510</v>
      </c>
    </row>
    <row r="92" spans="1:2" ht="15" customHeight="1" x14ac:dyDescent="0.25">
      <c r="A92" t="s">
        <v>511</v>
      </c>
      <c r="B92" t="s">
        <v>512</v>
      </c>
    </row>
    <row r="93" spans="1:2" ht="15" customHeight="1" x14ac:dyDescent="0.25">
      <c r="A93" t="s">
        <v>513</v>
      </c>
      <c r="B93" t="s">
        <v>514</v>
      </c>
    </row>
    <row r="94" spans="1:2" ht="15" customHeight="1" x14ac:dyDescent="0.25">
      <c r="A94" t="s">
        <v>515</v>
      </c>
      <c r="B94" t="s">
        <v>516</v>
      </c>
    </row>
    <row r="95" spans="1:2" ht="15" customHeight="1" x14ac:dyDescent="0.25">
      <c r="A95" t="s">
        <v>517</v>
      </c>
      <c r="B95" t="s">
        <v>518</v>
      </c>
    </row>
    <row r="96" spans="1:2" ht="15" customHeight="1" x14ac:dyDescent="0.25">
      <c r="A96" t="s">
        <v>519</v>
      </c>
      <c r="B96" t="s">
        <v>520</v>
      </c>
    </row>
    <row r="97" spans="1:2" ht="15" customHeight="1" x14ac:dyDescent="0.25">
      <c r="A97" t="s">
        <v>521</v>
      </c>
      <c r="B97" t="s">
        <v>522</v>
      </c>
    </row>
    <row r="98" spans="1:2" ht="15" customHeight="1" x14ac:dyDescent="0.25">
      <c r="A98" t="s">
        <v>523</v>
      </c>
      <c r="B98" t="s">
        <v>524</v>
      </c>
    </row>
    <row r="99" spans="1:2" ht="15" customHeight="1" x14ac:dyDescent="0.25">
      <c r="A99" t="s">
        <v>525</v>
      </c>
      <c r="B99" t="s">
        <v>526</v>
      </c>
    </row>
    <row r="100" spans="1:2" ht="15" customHeight="1" x14ac:dyDescent="0.25">
      <c r="A100" t="s">
        <v>527</v>
      </c>
      <c r="B100" t="s">
        <v>528</v>
      </c>
    </row>
    <row r="101" spans="1:2" ht="15" customHeight="1" x14ac:dyDescent="0.25">
      <c r="A101" t="s">
        <v>529</v>
      </c>
      <c r="B101" t="s">
        <v>530</v>
      </c>
    </row>
    <row r="102" spans="1:2" ht="15" customHeight="1" x14ac:dyDescent="0.25">
      <c r="A102" t="s">
        <v>531</v>
      </c>
      <c r="B102" t="s">
        <v>532</v>
      </c>
    </row>
    <row r="103" spans="1:2" ht="15" customHeight="1" x14ac:dyDescent="0.25">
      <c r="A103" t="s">
        <v>533</v>
      </c>
      <c r="B103" t="s">
        <v>534</v>
      </c>
    </row>
    <row r="104" spans="1:2" ht="15" customHeight="1" x14ac:dyDescent="0.25">
      <c r="A104" t="s">
        <v>535</v>
      </c>
      <c r="B104" t="s">
        <v>536</v>
      </c>
    </row>
    <row r="105" spans="1:2" ht="15" customHeight="1" x14ac:dyDescent="0.25">
      <c r="A105" t="s">
        <v>537</v>
      </c>
      <c r="B105" t="s">
        <v>538</v>
      </c>
    </row>
    <row r="106" spans="1:2" ht="15" customHeight="1" x14ac:dyDescent="0.25">
      <c r="A106" t="s">
        <v>539</v>
      </c>
      <c r="B106" t="s">
        <v>540</v>
      </c>
    </row>
    <row r="107" spans="1:2" ht="15" customHeight="1" x14ac:dyDescent="0.25">
      <c r="A107" t="s">
        <v>541</v>
      </c>
      <c r="B107" t="s">
        <v>542</v>
      </c>
    </row>
    <row r="108" spans="1:2" ht="15" customHeight="1" x14ac:dyDescent="0.25">
      <c r="A108" t="s">
        <v>543</v>
      </c>
      <c r="B108" t="s">
        <v>544</v>
      </c>
    </row>
    <row r="109" spans="1:2" ht="15" customHeight="1" x14ac:dyDescent="0.25">
      <c r="A109" t="s">
        <v>545</v>
      </c>
      <c r="B109" t="s">
        <v>546</v>
      </c>
    </row>
    <row r="110" spans="1:2" ht="15" customHeight="1" x14ac:dyDescent="0.25">
      <c r="A110" t="s">
        <v>547</v>
      </c>
      <c r="B110" t="s">
        <v>548</v>
      </c>
    </row>
    <row r="111" spans="1:2" ht="15" customHeight="1" x14ac:dyDescent="0.25">
      <c r="A111" t="s">
        <v>549</v>
      </c>
      <c r="B111" t="s">
        <v>550</v>
      </c>
    </row>
    <row r="112" spans="1:2" ht="15" customHeight="1" x14ac:dyDescent="0.25">
      <c r="A112" t="s">
        <v>551</v>
      </c>
      <c r="B112" t="s">
        <v>552</v>
      </c>
    </row>
    <row r="113" spans="1:2" ht="15" customHeight="1" x14ac:dyDescent="0.25">
      <c r="A113" t="s">
        <v>553</v>
      </c>
      <c r="B113" t="s">
        <v>554</v>
      </c>
    </row>
    <row r="114" spans="1:2" ht="15" customHeight="1" x14ac:dyDescent="0.25">
      <c r="A114" t="s">
        <v>555</v>
      </c>
      <c r="B114" t="s">
        <v>556</v>
      </c>
    </row>
    <row r="115" spans="1:2" ht="15" customHeight="1" x14ac:dyDescent="0.25">
      <c r="A115" t="s">
        <v>557</v>
      </c>
      <c r="B115" t="s">
        <v>558</v>
      </c>
    </row>
    <row r="116" spans="1:2" ht="15" customHeight="1" x14ac:dyDescent="0.25">
      <c r="A116" t="s">
        <v>559</v>
      </c>
      <c r="B116" t="s">
        <v>560</v>
      </c>
    </row>
    <row r="117" spans="1:2" ht="15" customHeight="1" x14ac:dyDescent="0.25">
      <c r="A117" t="s">
        <v>561</v>
      </c>
      <c r="B117" t="s">
        <v>562</v>
      </c>
    </row>
    <row r="118" spans="1:2" ht="15" customHeight="1" x14ac:dyDescent="0.25">
      <c r="A118" t="s">
        <v>563</v>
      </c>
      <c r="B118" t="s">
        <v>564</v>
      </c>
    </row>
    <row r="119" spans="1:2" ht="15" customHeight="1" x14ac:dyDescent="0.25">
      <c r="A119" t="s">
        <v>565</v>
      </c>
      <c r="B119" t="s">
        <v>566</v>
      </c>
    </row>
    <row r="120" spans="1:2" ht="15" customHeight="1" x14ac:dyDescent="0.25">
      <c r="A120" t="s">
        <v>567</v>
      </c>
      <c r="B120" t="s">
        <v>568</v>
      </c>
    </row>
    <row r="121" spans="1:2" ht="15" customHeight="1" x14ac:dyDescent="0.25">
      <c r="A121" t="s">
        <v>569</v>
      </c>
      <c r="B121" t="s">
        <v>570</v>
      </c>
    </row>
    <row r="122" spans="1:2" ht="15" customHeight="1" x14ac:dyDescent="0.25">
      <c r="A122" t="s">
        <v>571</v>
      </c>
      <c r="B122" t="s">
        <v>572</v>
      </c>
    </row>
    <row r="123" spans="1:2" ht="15" customHeight="1" x14ac:dyDescent="0.25">
      <c r="A123" t="s">
        <v>573</v>
      </c>
      <c r="B123" t="s">
        <v>574</v>
      </c>
    </row>
    <row r="124" spans="1:2" ht="15" customHeight="1" x14ac:dyDescent="0.25">
      <c r="A124" t="s">
        <v>575</v>
      </c>
      <c r="B124" t="s">
        <v>576</v>
      </c>
    </row>
    <row r="125" spans="1:2" ht="15" customHeight="1" x14ac:dyDescent="0.25">
      <c r="A125" t="s">
        <v>577</v>
      </c>
      <c r="B125" t="s">
        <v>578</v>
      </c>
    </row>
    <row r="126" spans="1:2" ht="15" customHeight="1" x14ac:dyDescent="0.25">
      <c r="A126" t="s">
        <v>579</v>
      </c>
      <c r="B126" t="s">
        <v>580</v>
      </c>
    </row>
    <row r="127" spans="1:2" ht="15" customHeight="1" x14ac:dyDescent="0.25">
      <c r="A127" t="s">
        <v>581</v>
      </c>
      <c r="B127" t="s">
        <v>582</v>
      </c>
    </row>
    <row r="128" spans="1:2" ht="15" customHeight="1" x14ac:dyDescent="0.25">
      <c r="A128" t="s">
        <v>583</v>
      </c>
      <c r="B128" t="s">
        <v>584</v>
      </c>
    </row>
    <row r="129" spans="1:2" ht="15" customHeight="1" x14ac:dyDescent="0.25">
      <c r="A129" t="s">
        <v>585</v>
      </c>
      <c r="B129" t="s">
        <v>586</v>
      </c>
    </row>
    <row r="130" spans="1:2" ht="15" customHeight="1" x14ac:dyDescent="0.25">
      <c r="A130" t="s">
        <v>587</v>
      </c>
      <c r="B130" t="s">
        <v>588</v>
      </c>
    </row>
    <row r="131" spans="1:2" ht="15" customHeight="1" x14ac:dyDescent="0.25">
      <c r="A131" t="s">
        <v>589</v>
      </c>
      <c r="B131" t="s">
        <v>590</v>
      </c>
    </row>
    <row r="132" spans="1:2" ht="15" customHeight="1" x14ac:dyDescent="0.25">
      <c r="A132" t="s">
        <v>591</v>
      </c>
      <c r="B132" t="s">
        <v>592</v>
      </c>
    </row>
    <row r="133" spans="1:2" ht="15" customHeight="1" x14ac:dyDescent="0.25">
      <c r="A133" t="s">
        <v>593</v>
      </c>
      <c r="B133" t="s">
        <v>594</v>
      </c>
    </row>
    <row r="134" spans="1:2" ht="15" customHeight="1" x14ac:dyDescent="0.25">
      <c r="A134" t="s">
        <v>595</v>
      </c>
      <c r="B134" t="s">
        <v>596</v>
      </c>
    </row>
    <row r="135" spans="1:2" ht="15" customHeight="1" x14ac:dyDescent="0.25">
      <c r="A135" t="s">
        <v>597</v>
      </c>
      <c r="B135" t="s">
        <v>598</v>
      </c>
    </row>
    <row r="136" spans="1:2" ht="15" customHeight="1" x14ac:dyDescent="0.25">
      <c r="A136" t="s">
        <v>599</v>
      </c>
      <c r="B136" t="s">
        <v>600</v>
      </c>
    </row>
    <row r="137" spans="1:2" ht="15" customHeight="1" x14ac:dyDescent="0.25">
      <c r="A137" t="s">
        <v>601</v>
      </c>
      <c r="B137" t="s">
        <v>602</v>
      </c>
    </row>
    <row r="138" spans="1:2" ht="15" customHeight="1" x14ac:dyDescent="0.25">
      <c r="A138" t="s">
        <v>603</v>
      </c>
      <c r="B138" t="s">
        <v>604</v>
      </c>
    </row>
    <row r="139" spans="1:2" ht="15" customHeight="1" x14ac:dyDescent="0.25">
      <c r="A139" t="s">
        <v>605</v>
      </c>
      <c r="B139" t="s">
        <v>606</v>
      </c>
    </row>
    <row r="140" spans="1:2" ht="15" customHeight="1" x14ac:dyDescent="0.25">
      <c r="A140" t="s">
        <v>607</v>
      </c>
      <c r="B140" t="s">
        <v>608</v>
      </c>
    </row>
    <row r="141" spans="1:2" ht="15" customHeight="1" x14ac:dyDescent="0.25">
      <c r="A141" t="s">
        <v>609</v>
      </c>
      <c r="B141" t="s">
        <v>610</v>
      </c>
    </row>
    <row r="142" spans="1:2" ht="15" customHeight="1" x14ac:dyDescent="0.25">
      <c r="A142" t="s">
        <v>611</v>
      </c>
      <c r="B142" t="s">
        <v>612</v>
      </c>
    </row>
    <row r="143" spans="1:2" ht="15" customHeight="1" x14ac:dyDescent="0.25">
      <c r="A143" t="s">
        <v>613</v>
      </c>
      <c r="B143" t="s">
        <v>614</v>
      </c>
    </row>
    <row r="144" spans="1:2" ht="15" customHeight="1" x14ac:dyDescent="0.25">
      <c r="A144" t="s">
        <v>615</v>
      </c>
      <c r="B144" t="s">
        <v>616</v>
      </c>
    </row>
    <row r="145" spans="1:2" ht="15" customHeight="1" x14ac:dyDescent="0.25">
      <c r="A145" t="s">
        <v>617</v>
      </c>
      <c r="B145" t="s">
        <v>618</v>
      </c>
    </row>
    <row r="146" spans="1:2" ht="15" customHeight="1" x14ac:dyDescent="0.25">
      <c r="A146" t="s">
        <v>619</v>
      </c>
      <c r="B146" t="s">
        <v>620</v>
      </c>
    </row>
    <row r="147" spans="1:2" ht="15" customHeight="1" x14ac:dyDescent="0.25">
      <c r="A147" t="s">
        <v>621</v>
      </c>
      <c r="B147" t="s">
        <v>622</v>
      </c>
    </row>
    <row r="148" spans="1:2" ht="15" customHeight="1" x14ac:dyDescent="0.25">
      <c r="A148" t="s">
        <v>623</v>
      </c>
      <c r="B148" t="s">
        <v>624</v>
      </c>
    </row>
    <row r="149" spans="1:2" ht="15" customHeight="1" x14ac:dyDescent="0.25">
      <c r="A149" t="s">
        <v>625</v>
      </c>
      <c r="B149" t="s">
        <v>626</v>
      </c>
    </row>
    <row r="150" spans="1:2" ht="15" customHeight="1" x14ac:dyDescent="0.25">
      <c r="A150" t="s">
        <v>627</v>
      </c>
      <c r="B150" t="s">
        <v>628</v>
      </c>
    </row>
    <row r="151" spans="1:2" ht="15" customHeight="1" x14ac:dyDescent="0.25">
      <c r="A151" t="s">
        <v>629</v>
      </c>
      <c r="B151" t="s">
        <v>630</v>
      </c>
    </row>
    <row r="152" spans="1:2" ht="15" customHeight="1" x14ac:dyDescent="0.25">
      <c r="A152" t="s">
        <v>631</v>
      </c>
      <c r="B152" t="s">
        <v>632</v>
      </c>
    </row>
    <row r="153" spans="1:2" ht="15" customHeight="1" x14ac:dyDescent="0.25">
      <c r="A153" t="s">
        <v>633</v>
      </c>
      <c r="B153" t="s">
        <v>634</v>
      </c>
    </row>
    <row r="154" spans="1:2" ht="15" customHeight="1" x14ac:dyDescent="0.25">
      <c r="A154" t="s">
        <v>635</v>
      </c>
      <c r="B154" t="s">
        <v>636</v>
      </c>
    </row>
    <row r="155" spans="1:2" ht="15" customHeight="1" x14ac:dyDescent="0.25">
      <c r="A155" t="s">
        <v>637</v>
      </c>
      <c r="B155" t="s">
        <v>638</v>
      </c>
    </row>
    <row r="156" spans="1:2" ht="15" customHeight="1" x14ac:dyDescent="0.25">
      <c r="A156" t="s">
        <v>639</v>
      </c>
      <c r="B156" t="s">
        <v>640</v>
      </c>
    </row>
    <row r="157" spans="1:2" ht="15" customHeight="1" x14ac:dyDescent="0.25">
      <c r="A157" t="s">
        <v>641</v>
      </c>
      <c r="B157" t="s">
        <v>642</v>
      </c>
    </row>
    <row r="158" spans="1:2" ht="15" customHeight="1" x14ac:dyDescent="0.25">
      <c r="A158" t="s">
        <v>643</v>
      </c>
      <c r="B158" t="s">
        <v>644</v>
      </c>
    </row>
    <row r="159" spans="1:2" ht="15" customHeight="1" x14ac:dyDescent="0.25">
      <c r="A159" t="s">
        <v>645</v>
      </c>
      <c r="B159" t="s">
        <v>646</v>
      </c>
    </row>
    <row r="160" spans="1:2" ht="15" customHeight="1" x14ac:dyDescent="0.25">
      <c r="A160" t="s">
        <v>647</v>
      </c>
      <c r="B160" t="s">
        <v>648</v>
      </c>
    </row>
    <row r="161" spans="1:2" ht="15" customHeight="1" x14ac:dyDescent="0.25">
      <c r="A161" t="s">
        <v>649</v>
      </c>
      <c r="B161" t="s">
        <v>650</v>
      </c>
    </row>
    <row r="162" spans="1:2" ht="15" customHeight="1" x14ac:dyDescent="0.25">
      <c r="A162" t="s">
        <v>651</v>
      </c>
      <c r="B162" t="s">
        <v>652</v>
      </c>
    </row>
    <row r="163" spans="1:2" ht="15" customHeight="1" x14ac:dyDescent="0.25">
      <c r="A163" t="s">
        <v>653</v>
      </c>
      <c r="B163" t="s">
        <v>654</v>
      </c>
    </row>
    <row r="164" spans="1:2" ht="15" customHeight="1" x14ac:dyDescent="0.25">
      <c r="A164" t="s">
        <v>655</v>
      </c>
      <c r="B164" t="s">
        <v>656</v>
      </c>
    </row>
    <row r="165" spans="1:2" ht="15" customHeight="1" x14ac:dyDescent="0.25">
      <c r="A165" t="s">
        <v>657</v>
      </c>
      <c r="B165" t="s">
        <v>658</v>
      </c>
    </row>
    <row r="166" spans="1:2" ht="15" customHeight="1" x14ac:dyDescent="0.25">
      <c r="A166" t="s">
        <v>659</v>
      </c>
      <c r="B166" t="s">
        <v>660</v>
      </c>
    </row>
    <row r="167" spans="1:2" ht="15" customHeight="1" x14ac:dyDescent="0.25">
      <c r="A167" t="s">
        <v>661</v>
      </c>
      <c r="B167" t="s">
        <v>662</v>
      </c>
    </row>
    <row r="168" spans="1:2" ht="15" customHeight="1" x14ac:dyDescent="0.25">
      <c r="A168" t="s">
        <v>663</v>
      </c>
      <c r="B168" t="s">
        <v>664</v>
      </c>
    </row>
    <row r="169" spans="1:2" ht="15" customHeight="1" x14ac:dyDescent="0.25">
      <c r="A169" t="s">
        <v>665</v>
      </c>
      <c r="B169" t="s">
        <v>666</v>
      </c>
    </row>
    <row r="170" spans="1:2" ht="15" customHeight="1" x14ac:dyDescent="0.25">
      <c r="A170" t="s">
        <v>667</v>
      </c>
      <c r="B170" t="s">
        <v>668</v>
      </c>
    </row>
    <row r="171" spans="1:2" ht="15" customHeight="1" x14ac:dyDescent="0.25">
      <c r="A171" t="s">
        <v>669</v>
      </c>
      <c r="B171" t="s">
        <v>670</v>
      </c>
    </row>
    <row r="172" spans="1:2" ht="15" customHeight="1" x14ac:dyDescent="0.25">
      <c r="A172" t="s">
        <v>671</v>
      </c>
      <c r="B172" t="s">
        <v>672</v>
      </c>
    </row>
    <row r="173" spans="1:2" ht="15" customHeight="1" x14ac:dyDescent="0.25">
      <c r="A173" t="s">
        <v>673</v>
      </c>
      <c r="B173" t="s">
        <v>674</v>
      </c>
    </row>
    <row r="174" spans="1:2" ht="15" customHeight="1" x14ac:dyDescent="0.25">
      <c r="A174" t="s">
        <v>675</v>
      </c>
      <c r="B174" t="s">
        <v>676</v>
      </c>
    </row>
    <row r="175" spans="1:2" ht="15" customHeight="1" x14ac:dyDescent="0.25">
      <c r="A175" t="s">
        <v>677</v>
      </c>
      <c r="B175" t="s">
        <v>678</v>
      </c>
    </row>
    <row r="176" spans="1:2" ht="15" customHeight="1" x14ac:dyDescent="0.25">
      <c r="A176" t="s">
        <v>679</v>
      </c>
      <c r="B176" t="s">
        <v>680</v>
      </c>
    </row>
    <row r="177" spans="1:2" ht="15" customHeight="1" x14ac:dyDescent="0.25">
      <c r="A177" t="s">
        <v>681</v>
      </c>
      <c r="B177" t="s">
        <v>682</v>
      </c>
    </row>
    <row r="178" spans="1:2" ht="15" customHeight="1" x14ac:dyDescent="0.25">
      <c r="A178" t="s">
        <v>683</v>
      </c>
      <c r="B178" t="s">
        <v>684</v>
      </c>
    </row>
    <row r="179" spans="1:2" ht="15" customHeight="1" x14ac:dyDescent="0.25">
      <c r="A179" t="s">
        <v>685</v>
      </c>
      <c r="B179" t="s">
        <v>686</v>
      </c>
    </row>
    <row r="180" spans="1:2" ht="15" customHeight="1" x14ac:dyDescent="0.25">
      <c r="A180" t="s">
        <v>687</v>
      </c>
      <c r="B180" t="s">
        <v>688</v>
      </c>
    </row>
    <row r="181" spans="1:2" ht="15" customHeight="1" x14ac:dyDescent="0.25">
      <c r="A181" t="s">
        <v>689</v>
      </c>
      <c r="B181" t="s">
        <v>690</v>
      </c>
    </row>
    <row r="182" spans="1:2" ht="15" customHeight="1" x14ac:dyDescent="0.25">
      <c r="A182" t="s">
        <v>691</v>
      </c>
      <c r="B182" t="s">
        <v>692</v>
      </c>
    </row>
    <row r="183" spans="1:2" ht="15" customHeight="1" x14ac:dyDescent="0.25">
      <c r="A183" t="s">
        <v>693</v>
      </c>
      <c r="B183" t="s">
        <v>694</v>
      </c>
    </row>
    <row r="184" spans="1:2" ht="15" customHeight="1" x14ac:dyDescent="0.25">
      <c r="A184" t="s">
        <v>695</v>
      </c>
      <c r="B184" t="s">
        <v>696</v>
      </c>
    </row>
    <row r="185" spans="1:2" ht="15" customHeight="1" x14ac:dyDescent="0.25">
      <c r="A185" t="s">
        <v>697</v>
      </c>
      <c r="B185" t="s">
        <v>698</v>
      </c>
    </row>
    <row r="186" spans="1:2" ht="15" customHeight="1" x14ac:dyDescent="0.25">
      <c r="A186" t="s">
        <v>699</v>
      </c>
      <c r="B186" t="s">
        <v>700</v>
      </c>
    </row>
    <row r="187" spans="1:2" ht="15" customHeight="1" x14ac:dyDescent="0.25">
      <c r="A187" t="s">
        <v>701</v>
      </c>
      <c r="B187" t="s">
        <v>702</v>
      </c>
    </row>
    <row r="188" spans="1:2" ht="15" customHeight="1" x14ac:dyDescent="0.25">
      <c r="A188" t="s">
        <v>703</v>
      </c>
      <c r="B188" t="s">
        <v>704</v>
      </c>
    </row>
    <row r="189" spans="1:2" ht="15" customHeight="1" x14ac:dyDescent="0.25">
      <c r="A189" t="s">
        <v>705</v>
      </c>
      <c r="B189" t="s">
        <v>706</v>
      </c>
    </row>
    <row r="190" spans="1:2" ht="15" customHeight="1" x14ac:dyDescent="0.25">
      <c r="A190" t="s">
        <v>707</v>
      </c>
      <c r="B190" t="s">
        <v>708</v>
      </c>
    </row>
    <row r="191" spans="1:2" ht="15" customHeight="1" x14ac:dyDescent="0.25">
      <c r="A191" t="s">
        <v>709</v>
      </c>
      <c r="B191" t="s">
        <v>710</v>
      </c>
    </row>
    <row r="192" spans="1:2" ht="15" customHeight="1" x14ac:dyDescent="0.25">
      <c r="A192" t="s">
        <v>711</v>
      </c>
      <c r="B192" t="s">
        <v>712</v>
      </c>
    </row>
    <row r="193" spans="1:2" ht="15" customHeight="1" x14ac:dyDescent="0.25">
      <c r="A193" t="s">
        <v>713</v>
      </c>
      <c r="B193" t="s">
        <v>714</v>
      </c>
    </row>
    <row r="194" spans="1:2" ht="15" customHeight="1" x14ac:dyDescent="0.25">
      <c r="A194" t="s">
        <v>715</v>
      </c>
      <c r="B194" t="s">
        <v>716</v>
      </c>
    </row>
    <row r="195" spans="1:2" ht="15" customHeight="1" x14ac:dyDescent="0.25">
      <c r="A195" t="s">
        <v>717</v>
      </c>
      <c r="B195" t="s">
        <v>718</v>
      </c>
    </row>
    <row r="196" spans="1:2" ht="15" customHeight="1" x14ac:dyDescent="0.25">
      <c r="A196" t="s">
        <v>719</v>
      </c>
      <c r="B196" t="s">
        <v>720</v>
      </c>
    </row>
    <row r="197" spans="1:2" ht="15" customHeight="1" x14ac:dyDescent="0.25">
      <c r="A197" t="s">
        <v>721</v>
      </c>
      <c r="B197" t="s">
        <v>722</v>
      </c>
    </row>
    <row r="198" spans="1:2" ht="15" customHeight="1" x14ac:dyDescent="0.25">
      <c r="A198" t="s">
        <v>723</v>
      </c>
      <c r="B198" t="s">
        <v>724</v>
      </c>
    </row>
    <row r="199" spans="1:2" ht="15" customHeight="1" x14ac:dyDescent="0.25">
      <c r="A199" t="s">
        <v>725</v>
      </c>
      <c r="B199" t="s">
        <v>726</v>
      </c>
    </row>
    <row r="200" spans="1:2" ht="15" customHeight="1" x14ac:dyDescent="0.25">
      <c r="A200" t="s">
        <v>727</v>
      </c>
      <c r="B200" t="s">
        <v>728</v>
      </c>
    </row>
    <row r="201" spans="1:2" ht="15" customHeight="1" x14ac:dyDescent="0.25">
      <c r="A201" t="s">
        <v>729</v>
      </c>
      <c r="B201" t="s">
        <v>730</v>
      </c>
    </row>
    <row r="202" spans="1:2" ht="15" customHeight="1" x14ac:dyDescent="0.25">
      <c r="A202" t="s">
        <v>731</v>
      </c>
      <c r="B202" t="s">
        <v>732</v>
      </c>
    </row>
    <row r="203" spans="1:2" ht="15" customHeight="1" x14ac:dyDescent="0.25">
      <c r="A203" t="s">
        <v>733</v>
      </c>
      <c r="B203" t="s">
        <v>734</v>
      </c>
    </row>
    <row r="204" spans="1:2" ht="15" customHeight="1" x14ac:dyDescent="0.25">
      <c r="A204" t="s">
        <v>735</v>
      </c>
      <c r="B204" t="s">
        <v>736</v>
      </c>
    </row>
    <row r="205" spans="1:2" ht="15" customHeight="1" x14ac:dyDescent="0.25">
      <c r="A205" t="s">
        <v>737</v>
      </c>
      <c r="B205" t="s">
        <v>738</v>
      </c>
    </row>
    <row r="206" spans="1:2" ht="15" customHeight="1" x14ac:dyDescent="0.25">
      <c r="A206" t="s">
        <v>739</v>
      </c>
      <c r="B206" t="s">
        <v>740</v>
      </c>
    </row>
    <row r="207" spans="1:2" ht="15" customHeight="1" x14ac:dyDescent="0.25">
      <c r="A207" t="s">
        <v>741</v>
      </c>
      <c r="B207" t="s">
        <v>742</v>
      </c>
    </row>
    <row r="208" spans="1:2" ht="15" customHeight="1" x14ac:dyDescent="0.25">
      <c r="A208" t="s">
        <v>743</v>
      </c>
      <c r="B208" t="s">
        <v>744</v>
      </c>
    </row>
    <row r="209" spans="1:2" ht="15" customHeight="1" x14ac:dyDescent="0.25">
      <c r="A209" t="s">
        <v>745</v>
      </c>
      <c r="B209" t="s">
        <v>746</v>
      </c>
    </row>
    <row r="210" spans="1:2" ht="15" customHeight="1" x14ac:dyDescent="0.25">
      <c r="A210" t="s">
        <v>747</v>
      </c>
      <c r="B210" t="s">
        <v>748</v>
      </c>
    </row>
    <row r="211" spans="1:2" ht="15" customHeight="1" x14ac:dyDescent="0.25">
      <c r="A211" t="s">
        <v>749</v>
      </c>
      <c r="B211" t="s">
        <v>750</v>
      </c>
    </row>
    <row r="212" spans="1:2" ht="15" customHeight="1" x14ac:dyDescent="0.25">
      <c r="A212" t="s">
        <v>751</v>
      </c>
      <c r="B212" t="s">
        <v>752</v>
      </c>
    </row>
    <row r="213" spans="1:2" ht="15" customHeight="1" x14ac:dyDescent="0.25">
      <c r="A213" t="s">
        <v>753</v>
      </c>
      <c r="B213" t="s">
        <v>754</v>
      </c>
    </row>
    <row r="214" spans="1:2" ht="15" customHeight="1" x14ac:dyDescent="0.25">
      <c r="A214" t="s">
        <v>755</v>
      </c>
      <c r="B214" t="s">
        <v>756</v>
      </c>
    </row>
    <row r="215" spans="1:2" ht="15" customHeight="1" x14ac:dyDescent="0.25">
      <c r="A215" t="s">
        <v>757</v>
      </c>
      <c r="B215" t="s">
        <v>758</v>
      </c>
    </row>
    <row r="216" spans="1:2" ht="15" customHeight="1" x14ac:dyDescent="0.25">
      <c r="A216" t="s">
        <v>759</v>
      </c>
      <c r="B216" t="s">
        <v>760</v>
      </c>
    </row>
    <row r="217" spans="1:2" ht="15" customHeight="1" x14ac:dyDescent="0.25">
      <c r="A217" t="s">
        <v>761</v>
      </c>
      <c r="B217" t="s">
        <v>762</v>
      </c>
    </row>
    <row r="218" spans="1:2" ht="15" customHeight="1" x14ac:dyDescent="0.25">
      <c r="A218" t="s">
        <v>763</v>
      </c>
      <c r="B218" t="s">
        <v>764</v>
      </c>
    </row>
    <row r="219" spans="1:2" ht="15" customHeight="1" x14ac:dyDescent="0.25">
      <c r="A219" t="s">
        <v>765</v>
      </c>
      <c r="B219" t="s">
        <v>766</v>
      </c>
    </row>
    <row r="220" spans="1:2" ht="15" customHeight="1" x14ac:dyDescent="0.25">
      <c r="A220" t="s">
        <v>767</v>
      </c>
      <c r="B220" t="s">
        <v>768</v>
      </c>
    </row>
    <row r="221" spans="1:2" ht="15" customHeight="1" x14ac:dyDescent="0.25">
      <c r="A221" t="s">
        <v>769</v>
      </c>
      <c r="B221" t="s">
        <v>770</v>
      </c>
    </row>
    <row r="222" spans="1:2" ht="15" customHeight="1" x14ac:dyDescent="0.25">
      <c r="A222" t="s">
        <v>771</v>
      </c>
      <c r="B222" t="s">
        <v>772</v>
      </c>
    </row>
    <row r="223" spans="1:2" ht="15" customHeight="1" x14ac:dyDescent="0.25">
      <c r="A223" t="s">
        <v>773</v>
      </c>
      <c r="B223" t="s">
        <v>774</v>
      </c>
    </row>
    <row r="224" spans="1:2" ht="15" customHeight="1" x14ac:dyDescent="0.25">
      <c r="A224" t="s">
        <v>775</v>
      </c>
      <c r="B224" t="s">
        <v>776</v>
      </c>
    </row>
    <row r="225" spans="1:2" ht="15" customHeight="1" x14ac:dyDescent="0.25">
      <c r="A225" t="s">
        <v>777</v>
      </c>
      <c r="B225" t="s">
        <v>778</v>
      </c>
    </row>
    <row r="226" spans="1:2" ht="15" customHeight="1" x14ac:dyDescent="0.25">
      <c r="A226" t="s">
        <v>779</v>
      </c>
      <c r="B226" t="s">
        <v>780</v>
      </c>
    </row>
    <row r="227" spans="1:2" ht="15" customHeight="1" x14ac:dyDescent="0.25">
      <c r="A227" t="s">
        <v>781</v>
      </c>
      <c r="B227" t="s">
        <v>782</v>
      </c>
    </row>
    <row r="228" spans="1:2" ht="15" customHeight="1" x14ac:dyDescent="0.25">
      <c r="A228" t="s">
        <v>783</v>
      </c>
      <c r="B228" t="s">
        <v>784</v>
      </c>
    </row>
    <row r="229" spans="1:2" ht="15" customHeight="1" x14ac:dyDescent="0.25">
      <c r="A229" t="s">
        <v>785</v>
      </c>
      <c r="B229" t="s">
        <v>786</v>
      </c>
    </row>
    <row r="230" spans="1:2" ht="15" customHeight="1" x14ac:dyDescent="0.25">
      <c r="A230" t="s">
        <v>787</v>
      </c>
      <c r="B230" t="s">
        <v>788</v>
      </c>
    </row>
    <row r="231" spans="1:2" ht="15" customHeight="1" x14ac:dyDescent="0.25">
      <c r="A231" t="s">
        <v>789</v>
      </c>
      <c r="B231" t="s">
        <v>790</v>
      </c>
    </row>
    <row r="232" spans="1:2" ht="15" customHeight="1" x14ac:dyDescent="0.25">
      <c r="A232" t="s">
        <v>791</v>
      </c>
      <c r="B232" t="s">
        <v>792</v>
      </c>
    </row>
    <row r="233" spans="1:2" ht="15" customHeight="1" x14ac:dyDescent="0.25">
      <c r="A233" t="s">
        <v>793</v>
      </c>
      <c r="B233" t="s">
        <v>794</v>
      </c>
    </row>
    <row r="234" spans="1:2" ht="15" customHeight="1" x14ac:dyDescent="0.25">
      <c r="A234" t="s">
        <v>795</v>
      </c>
      <c r="B234" t="s">
        <v>796</v>
      </c>
    </row>
    <row r="235" spans="1:2" ht="15" customHeight="1" x14ac:dyDescent="0.25">
      <c r="A235" t="s">
        <v>797</v>
      </c>
      <c r="B235" t="s">
        <v>798</v>
      </c>
    </row>
    <row r="236" spans="1:2" ht="15" customHeight="1" x14ac:dyDescent="0.25">
      <c r="A236" t="s">
        <v>799</v>
      </c>
      <c r="B236" t="s">
        <v>800</v>
      </c>
    </row>
    <row r="237" spans="1:2" ht="15" customHeight="1" x14ac:dyDescent="0.25">
      <c r="A237" t="s">
        <v>801</v>
      </c>
      <c r="B237" t="s">
        <v>802</v>
      </c>
    </row>
    <row r="238" spans="1:2" ht="15" customHeight="1" x14ac:dyDescent="0.25">
      <c r="A238" t="s">
        <v>803</v>
      </c>
      <c r="B238" t="s">
        <v>804</v>
      </c>
    </row>
    <row r="239" spans="1:2" ht="15" customHeight="1" x14ac:dyDescent="0.25">
      <c r="A239" t="s">
        <v>805</v>
      </c>
      <c r="B239" t="s">
        <v>806</v>
      </c>
    </row>
    <row r="240" spans="1:2" ht="15" customHeight="1" x14ac:dyDescent="0.25">
      <c r="A240" t="s">
        <v>807</v>
      </c>
      <c r="B240" t="s">
        <v>808</v>
      </c>
    </row>
    <row r="241" spans="1:2" ht="15" customHeight="1" x14ac:dyDescent="0.25">
      <c r="A241" t="s">
        <v>809</v>
      </c>
      <c r="B241" t="s">
        <v>810</v>
      </c>
    </row>
    <row r="242" spans="1:2" ht="15" customHeight="1" x14ac:dyDescent="0.25">
      <c r="A242" t="s">
        <v>811</v>
      </c>
      <c r="B242" t="s">
        <v>812</v>
      </c>
    </row>
    <row r="243" spans="1:2" ht="15" customHeight="1" x14ac:dyDescent="0.25">
      <c r="A243" t="s">
        <v>813</v>
      </c>
      <c r="B243" t="s">
        <v>814</v>
      </c>
    </row>
    <row r="244" spans="1:2" ht="15" customHeight="1" x14ac:dyDescent="0.25">
      <c r="A244" t="s">
        <v>815</v>
      </c>
      <c r="B244" t="s">
        <v>816</v>
      </c>
    </row>
    <row r="245" spans="1:2" ht="15" customHeight="1" x14ac:dyDescent="0.25">
      <c r="A245" t="s">
        <v>817</v>
      </c>
      <c r="B245" t="s">
        <v>818</v>
      </c>
    </row>
    <row r="246" spans="1:2" ht="15" customHeight="1" x14ac:dyDescent="0.25">
      <c r="A246" t="s">
        <v>819</v>
      </c>
      <c r="B246" t="s">
        <v>820</v>
      </c>
    </row>
    <row r="247" spans="1:2" ht="15" customHeight="1" x14ac:dyDescent="0.25">
      <c r="A247" t="s">
        <v>821</v>
      </c>
      <c r="B247" t="s">
        <v>822</v>
      </c>
    </row>
    <row r="248" spans="1:2" ht="15" customHeight="1" x14ac:dyDescent="0.25">
      <c r="A248" t="s">
        <v>823</v>
      </c>
      <c r="B248" t="s">
        <v>824</v>
      </c>
    </row>
    <row r="249" spans="1:2" ht="15" customHeight="1" x14ac:dyDescent="0.25">
      <c r="A249" t="s">
        <v>825</v>
      </c>
      <c r="B249" t="s">
        <v>826</v>
      </c>
    </row>
    <row r="250" spans="1:2" ht="15" customHeight="1" x14ac:dyDescent="0.25">
      <c r="A250" t="s">
        <v>827</v>
      </c>
      <c r="B250" t="s">
        <v>828</v>
      </c>
    </row>
    <row r="251" spans="1:2" ht="15" customHeight="1" x14ac:dyDescent="0.25">
      <c r="A251" t="s">
        <v>829</v>
      </c>
      <c r="B251" t="s">
        <v>830</v>
      </c>
    </row>
    <row r="252" spans="1:2" ht="15" customHeight="1" x14ac:dyDescent="0.25">
      <c r="A252" t="s">
        <v>831</v>
      </c>
      <c r="B252" t="s">
        <v>832</v>
      </c>
    </row>
    <row r="253" spans="1:2" ht="15" customHeight="1" x14ac:dyDescent="0.25">
      <c r="A253" t="s">
        <v>833</v>
      </c>
      <c r="B253" t="s">
        <v>834</v>
      </c>
    </row>
    <row r="254" spans="1:2" ht="15" customHeight="1" x14ac:dyDescent="0.25">
      <c r="A254" t="s">
        <v>835</v>
      </c>
      <c r="B254" t="s">
        <v>836</v>
      </c>
    </row>
    <row r="255" spans="1:2" ht="15" customHeight="1" x14ac:dyDescent="0.25">
      <c r="A255" t="s">
        <v>837</v>
      </c>
      <c r="B255" t="s">
        <v>838</v>
      </c>
    </row>
    <row r="256" spans="1:2" ht="15" customHeight="1" x14ac:dyDescent="0.25">
      <c r="A256" t="s">
        <v>839</v>
      </c>
      <c r="B256" t="s">
        <v>840</v>
      </c>
    </row>
    <row r="257" spans="1:2" ht="15" customHeight="1" x14ac:dyDescent="0.25">
      <c r="A257" t="s">
        <v>841</v>
      </c>
      <c r="B257" t="s">
        <v>842</v>
      </c>
    </row>
    <row r="258" spans="1:2" ht="15" customHeight="1" x14ac:dyDescent="0.25">
      <c r="A258" t="s">
        <v>843</v>
      </c>
      <c r="B258" t="s">
        <v>844</v>
      </c>
    </row>
    <row r="259" spans="1:2" ht="15" customHeight="1" x14ac:dyDescent="0.25">
      <c r="A259" t="s">
        <v>845</v>
      </c>
      <c r="B259" t="s">
        <v>846</v>
      </c>
    </row>
    <row r="260" spans="1:2" ht="15" customHeight="1" x14ac:dyDescent="0.25">
      <c r="A260" t="s">
        <v>847</v>
      </c>
      <c r="B260" t="s">
        <v>848</v>
      </c>
    </row>
    <row r="261" spans="1:2" ht="15" customHeight="1" x14ac:dyDescent="0.25">
      <c r="A261" t="s">
        <v>849</v>
      </c>
      <c r="B261" t="s">
        <v>850</v>
      </c>
    </row>
    <row r="262" spans="1:2" ht="15" customHeight="1" x14ac:dyDescent="0.25">
      <c r="A262" t="s">
        <v>851</v>
      </c>
      <c r="B262" t="s">
        <v>852</v>
      </c>
    </row>
    <row r="263" spans="1:2" ht="15" customHeight="1" x14ac:dyDescent="0.25">
      <c r="A263" t="s">
        <v>853</v>
      </c>
      <c r="B263" t="s">
        <v>854</v>
      </c>
    </row>
    <row r="264" spans="1:2" ht="15" customHeight="1" x14ac:dyDescent="0.25">
      <c r="A264" t="s">
        <v>855</v>
      </c>
      <c r="B264" t="s">
        <v>856</v>
      </c>
    </row>
    <row r="265" spans="1:2" ht="15" customHeight="1" x14ac:dyDescent="0.25">
      <c r="A265" t="s">
        <v>857</v>
      </c>
      <c r="B265" t="s">
        <v>858</v>
      </c>
    </row>
    <row r="266" spans="1:2" ht="15" customHeight="1" x14ac:dyDescent="0.25">
      <c r="A266" t="s">
        <v>859</v>
      </c>
      <c r="B266" t="s">
        <v>860</v>
      </c>
    </row>
    <row r="267" spans="1:2" ht="15" customHeight="1" x14ac:dyDescent="0.25">
      <c r="A267" t="s">
        <v>861</v>
      </c>
      <c r="B267" t="s">
        <v>862</v>
      </c>
    </row>
    <row r="268" spans="1:2" ht="15" customHeight="1" x14ac:dyDescent="0.25">
      <c r="A268" t="s">
        <v>863</v>
      </c>
      <c r="B268" t="s">
        <v>864</v>
      </c>
    </row>
    <row r="269" spans="1:2" ht="15" customHeight="1" x14ac:dyDescent="0.25">
      <c r="A269" t="s">
        <v>865</v>
      </c>
      <c r="B269" t="s">
        <v>866</v>
      </c>
    </row>
    <row r="270" spans="1:2" ht="15" customHeight="1" x14ac:dyDescent="0.25">
      <c r="A270" t="s">
        <v>867</v>
      </c>
      <c r="B270" t="s">
        <v>868</v>
      </c>
    </row>
    <row r="271" spans="1:2" ht="15" customHeight="1" x14ac:dyDescent="0.25">
      <c r="A271" t="s">
        <v>869</v>
      </c>
      <c r="B271" t="s">
        <v>870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J1"/>
  <sheetViews>
    <sheetView workbookViewId="0">
      <selection sqref="A1:AJ1"/>
    </sheetView>
  </sheetViews>
  <sheetFormatPr defaultRowHeight="15" x14ac:dyDescent="0.25"/>
  <sheetData>
    <row r="1" spans="1:36" ht="26.25" customHeight="1" x14ac:dyDescent="0.25">
      <c r="A1" s="27" t="s">
        <v>63</v>
      </c>
      <c r="B1" s="28" t="s">
        <v>66</v>
      </c>
      <c r="C1" s="29"/>
      <c r="D1" s="30" t="s">
        <v>67</v>
      </c>
      <c r="E1" s="29"/>
      <c r="F1" s="30" t="s">
        <v>68</v>
      </c>
      <c r="G1" s="29"/>
      <c r="H1" s="28" t="s">
        <v>70</v>
      </c>
      <c r="I1" s="29"/>
      <c r="J1" s="28" t="s">
        <v>69</v>
      </c>
      <c r="K1" s="29"/>
      <c r="L1" s="30" t="s">
        <v>72</v>
      </c>
      <c r="M1" s="29"/>
      <c r="N1" s="30" t="s">
        <v>73</v>
      </c>
      <c r="O1" s="29"/>
      <c r="P1" s="30"/>
      <c r="Q1" s="30" t="s">
        <v>74</v>
      </c>
      <c r="R1" s="29"/>
      <c r="S1" s="30" t="s">
        <v>65</v>
      </c>
      <c r="T1" s="30" t="s">
        <v>135</v>
      </c>
      <c r="U1" s="30" t="s">
        <v>75</v>
      </c>
      <c r="V1" s="30" t="s">
        <v>871</v>
      </c>
      <c r="W1" s="29"/>
      <c r="X1" s="29"/>
      <c r="Y1" s="30" t="s">
        <v>136</v>
      </c>
      <c r="Z1" s="30"/>
      <c r="AA1" s="29" t="s">
        <v>78</v>
      </c>
      <c r="AB1" s="31" t="s">
        <v>79</v>
      </c>
      <c r="AC1" s="33" t="s">
        <v>56</v>
      </c>
      <c r="AD1" s="30" t="s">
        <v>80</v>
      </c>
      <c r="AE1" s="34" t="s">
        <v>92</v>
      </c>
      <c r="AF1" s="34" t="s">
        <v>103</v>
      </c>
      <c r="AG1" s="34" t="s">
        <v>139</v>
      </c>
      <c r="AH1" s="35" t="s">
        <v>140</v>
      </c>
      <c r="AI1" s="14" t="s">
        <v>141</v>
      </c>
      <c r="AJ1" s="5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G1"/>
  <sheetViews>
    <sheetView workbookViewId="0">
      <selection sqref="A1:G1"/>
    </sheetView>
  </sheetViews>
  <sheetFormatPr defaultRowHeight="15" x14ac:dyDescent="0.25"/>
  <cols>
    <col min="1" max="1" width="19.28515625" customWidth="1"/>
  </cols>
  <sheetData>
    <row r="1" spans="1:7" ht="26.25" customHeight="1" x14ac:dyDescent="0.25">
      <c r="A1" s="27" t="s">
        <v>63</v>
      </c>
      <c r="B1" s="34" t="s">
        <v>92</v>
      </c>
      <c r="C1" s="34" t="s">
        <v>103</v>
      </c>
      <c r="D1" s="34" t="s">
        <v>139</v>
      </c>
      <c r="E1" s="35" t="s">
        <v>140</v>
      </c>
      <c r="F1" s="14" t="s">
        <v>141</v>
      </c>
      <c r="G1" s="5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B1"/>
  <sheetViews>
    <sheetView workbookViewId="0">
      <selection sqref="A1:B1"/>
    </sheetView>
  </sheetViews>
  <sheetFormatPr defaultRowHeight="15" x14ac:dyDescent="0.25"/>
  <sheetData>
    <row r="1" spans="1:2" ht="25.5" customHeight="1" x14ac:dyDescent="0.25">
      <c r="A1" s="5" t="s">
        <v>63</v>
      </c>
      <c r="B1" s="5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X7017"/>
  <sheetViews>
    <sheetView workbookViewId="0">
      <selection sqref="A1:X7017"/>
    </sheetView>
  </sheetViews>
  <sheetFormatPr defaultRowHeight="15" x14ac:dyDescent="0.25"/>
  <cols>
    <col min="1" max="1" width="22.28515625" customWidth="1"/>
    <col min="2" max="2" width="24" customWidth="1"/>
    <col min="3" max="3" width="23" customWidth="1"/>
    <col min="4" max="4" width="23.5703125" customWidth="1"/>
    <col min="5" max="6" width="31.7109375" customWidth="1"/>
    <col min="7" max="7" width="13.42578125" customWidth="1"/>
    <col min="8" max="8" width="16.85546875" customWidth="1"/>
    <col min="9" max="9" width="23" customWidth="1"/>
    <col min="10" max="10" width="19.140625" customWidth="1"/>
    <col min="11" max="11" width="13.42578125" customWidth="1"/>
    <col min="12" max="12" width="19.28515625" customWidth="1"/>
    <col min="13" max="13" width="13.140625" customWidth="1"/>
    <col min="14" max="14" width="26.140625" customWidth="1"/>
    <col min="16" max="16" width="18.5703125" customWidth="1"/>
    <col min="17" max="17" width="26.5703125" customWidth="1"/>
    <col min="18" max="18" width="24.85546875" customWidth="1"/>
    <col min="20" max="20" width="14.5703125" customWidth="1"/>
    <col min="21" max="21" width="22.5703125" customWidth="1"/>
    <col min="22" max="22" width="21.140625" customWidth="1"/>
  </cols>
  <sheetData>
    <row r="1" spans="1:24" ht="15" customHeight="1" x14ac:dyDescent="0.25"/>
    <row r="2" spans="1:24" ht="15" customHeight="1" x14ac:dyDescent="0.25">
      <c r="A2" s="109" t="s">
        <v>872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</row>
    <row r="3" spans="1:24" ht="15.75" customHeight="1" thickBot="1" x14ac:dyDescent="0.3"/>
    <row r="4" spans="1:24" ht="15" customHeight="1" x14ac:dyDescent="0.25">
      <c r="A4" s="111" t="s">
        <v>5</v>
      </c>
      <c r="B4" s="112"/>
      <c r="C4" s="112"/>
      <c r="D4" s="112"/>
      <c r="E4" s="111" t="s">
        <v>6</v>
      </c>
      <c r="F4" s="112"/>
      <c r="G4" s="112"/>
      <c r="H4" s="112"/>
      <c r="I4" s="111" t="s">
        <v>8</v>
      </c>
      <c r="J4" s="112"/>
      <c r="K4" s="111"/>
      <c r="L4" s="111"/>
      <c r="M4" s="111" t="s">
        <v>7</v>
      </c>
      <c r="N4" s="112"/>
      <c r="O4" s="112"/>
      <c r="P4" s="112"/>
      <c r="Q4" s="111" t="s">
        <v>10</v>
      </c>
      <c r="R4" s="112"/>
      <c r="S4" s="112"/>
      <c r="T4" s="113"/>
      <c r="U4" s="114" t="s">
        <v>873</v>
      </c>
      <c r="V4" s="115"/>
      <c r="W4" s="116"/>
      <c r="X4" s="113"/>
    </row>
    <row r="5" spans="1:24" ht="11.25" customHeight="1" x14ac:dyDescent="0.25">
      <c r="A5" s="117" t="s">
        <v>874</v>
      </c>
      <c r="B5" s="118" t="s">
        <v>875</v>
      </c>
      <c r="C5" s="118"/>
      <c r="D5" s="118"/>
      <c r="E5" s="117" t="s">
        <v>874</v>
      </c>
      <c r="F5" s="118" t="s">
        <v>875</v>
      </c>
      <c r="G5" s="118"/>
      <c r="H5" s="118"/>
      <c r="I5" s="117" t="s">
        <v>874</v>
      </c>
      <c r="J5" s="118" t="s">
        <v>875</v>
      </c>
      <c r="K5" s="118"/>
      <c r="L5" s="118"/>
      <c r="M5" s="117" t="s">
        <v>874</v>
      </c>
      <c r="N5" s="118" t="s">
        <v>875</v>
      </c>
      <c r="O5" s="118"/>
      <c r="P5" s="118"/>
      <c r="Q5" s="117" t="s">
        <v>875</v>
      </c>
      <c r="R5" s="118"/>
      <c r="S5" s="118"/>
      <c r="T5" s="118"/>
      <c r="U5" s="117" t="s">
        <v>874</v>
      </c>
      <c r="V5" s="118" t="s">
        <v>875</v>
      </c>
      <c r="W5" s="119"/>
      <c r="X5" s="118"/>
    </row>
    <row r="6" spans="1:24" ht="15" customHeight="1" x14ac:dyDescent="0.25">
      <c r="A6" s="120"/>
      <c r="B6" s="43"/>
      <c r="C6" s="43"/>
      <c r="D6" s="43"/>
      <c r="E6" s="120"/>
      <c r="F6" s="43"/>
      <c r="G6" s="43"/>
      <c r="H6" s="43"/>
      <c r="I6" s="120"/>
      <c r="J6" s="43"/>
      <c r="K6" s="43"/>
      <c r="L6" s="43"/>
      <c r="M6" s="120"/>
      <c r="N6" s="43"/>
      <c r="O6" s="43"/>
      <c r="P6" s="43"/>
      <c r="Q6" s="120"/>
      <c r="R6" s="43"/>
      <c r="S6" s="43"/>
      <c r="T6" s="43"/>
      <c r="U6" s="120"/>
      <c r="V6" s="43"/>
      <c r="W6" s="121"/>
      <c r="X6" s="43"/>
    </row>
    <row r="7" spans="1:24" ht="15" customHeight="1" x14ac:dyDescent="0.25">
      <c r="A7" s="120" t="s">
        <v>876</v>
      </c>
      <c r="B7" s="43" t="s">
        <v>877</v>
      </c>
      <c r="C7" s="43" t="s">
        <v>878</v>
      </c>
      <c r="D7" s="43"/>
      <c r="E7" s="120" t="s">
        <v>876</v>
      </c>
      <c r="F7" s="43" t="s">
        <v>877</v>
      </c>
      <c r="G7" s="43" t="s">
        <v>878</v>
      </c>
      <c r="H7" s="43"/>
      <c r="I7" s="120" t="s">
        <v>876</v>
      </c>
      <c r="J7" s="43" t="s">
        <v>877</v>
      </c>
      <c r="K7" s="43" t="s">
        <v>878</v>
      </c>
      <c r="L7" s="43"/>
      <c r="M7" s="120" t="s">
        <v>876</v>
      </c>
      <c r="N7" s="43" t="s">
        <v>877</v>
      </c>
      <c r="O7" s="43" t="s">
        <v>878</v>
      </c>
      <c r="P7" s="43"/>
      <c r="Q7" s="120" t="s">
        <v>879</v>
      </c>
      <c r="R7" s="43" t="s">
        <v>877</v>
      </c>
      <c r="S7" s="43" t="s">
        <v>878</v>
      </c>
      <c r="T7" s="43"/>
      <c r="U7" s="120" t="s">
        <v>879</v>
      </c>
      <c r="V7" s="43" t="s">
        <v>877</v>
      </c>
      <c r="W7" s="43" t="s">
        <v>878</v>
      </c>
      <c r="X7" s="43"/>
    </row>
    <row r="8" spans="1:24" ht="15" customHeight="1" x14ac:dyDescent="0.25">
      <c r="A8" s="120" t="s">
        <v>880</v>
      </c>
      <c r="B8" s="43" t="s">
        <v>20</v>
      </c>
      <c r="C8" s="43" t="s">
        <v>183</v>
      </c>
      <c r="D8" s="43">
        <f>коэффициенты!G6</f>
        <v>1.4247000000000001</v>
      </c>
      <c r="E8" s="120" t="s">
        <v>880</v>
      </c>
      <c r="F8" s="43" t="s">
        <v>21</v>
      </c>
      <c r="G8" s="43" t="s">
        <v>183</v>
      </c>
      <c r="H8" s="43">
        <f>коэффициенты!G9</f>
        <v>1.2297</v>
      </c>
      <c r="I8" s="120" t="s">
        <v>880</v>
      </c>
      <c r="J8" s="43" t="s">
        <v>23</v>
      </c>
      <c r="K8" s="43" t="s">
        <v>183</v>
      </c>
      <c r="L8" s="43">
        <f>коэффициенты!G12</f>
        <v>1.1678999999999999</v>
      </c>
      <c r="M8" s="120" t="s">
        <v>880</v>
      </c>
      <c r="N8" s="43" t="s">
        <v>22</v>
      </c>
      <c r="O8" s="43" t="s">
        <v>183</v>
      </c>
      <c r="P8" s="43">
        <f>коэффициенты!G14</f>
        <v>1.1003000000000001</v>
      </c>
      <c r="Q8" s="120" t="s">
        <v>190</v>
      </c>
      <c r="R8" s="43" t="s">
        <v>190</v>
      </c>
      <c r="S8" s="43" t="s">
        <v>183</v>
      </c>
      <c r="T8" s="43">
        <f>коэффициенты!G16</f>
        <v>0.2928</v>
      </c>
      <c r="U8" s="120" t="s">
        <v>881</v>
      </c>
      <c r="V8" s="43" t="s">
        <v>153</v>
      </c>
      <c r="W8" s="43" t="s">
        <v>183</v>
      </c>
      <c r="X8" s="43">
        <f>коэффициенты!G18</f>
        <v>1.2423</v>
      </c>
    </row>
    <row r="9" spans="1:24" ht="15.75" customHeight="1" x14ac:dyDescent="0.25">
      <c r="A9" s="120" t="s">
        <v>882</v>
      </c>
      <c r="B9" s="43" t="s">
        <v>20</v>
      </c>
      <c r="C9" s="43" t="s">
        <v>183</v>
      </c>
      <c r="D9" s="43">
        <f>коэффициенты!G6</f>
        <v>1.4247000000000001</v>
      </c>
      <c r="E9" s="120" t="s">
        <v>882</v>
      </c>
      <c r="F9" s="43" t="s">
        <v>21</v>
      </c>
      <c r="G9" s="43" t="s">
        <v>183</v>
      </c>
      <c r="H9" s="43">
        <f>коэффициенты!G9</f>
        <v>1.2297</v>
      </c>
      <c r="I9" s="120" t="s">
        <v>882</v>
      </c>
      <c r="J9" s="43" t="s">
        <v>23</v>
      </c>
      <c r="K9" s="43" t="s">
        <v>183</v>
      </c>
      <c r="L9" s="43">
        <f>коэффициенты!G12</f>
        <v>1.1678999999999999</v>
      </c>
      <c r="M9" s="120" t="s">
        <v>882</v>
      </c>
      <c r="N9" s="43" t="s">
        <v>22</v>
      </c>
      <c r="O9" s="43" t="s">
        <v>183</v>
      </c>
      <c r="P9" s="43">
        <f>коэффициенты!G14</f>
        <v>1.1003000000000001</v>
      </c>
      <c r="Q9" s="120" t="s">
        <v>882</v>
      </c>
      <c r="R9" s="43" t="s">
        <v>190</v>
      </c>
      <c r="S9" s="43" t="s">
        <v>183</v>
      </c>
      <c r="T9" s="43">
        <f>коэффициенты!G16</f>
        <v>0.2928</v>
      </c>
      <c r="U9" s="120" t="s">
        <v>883</v>
      </c>
      <c r="V9" s="43" t="s">
        <v>153</v>
      </c>
      <c r="W9" s="43" t="s">
        <v>183</v>
      </c>
      <c r="X9" s="43">
        <f>коэффициенты!G18</f>
        <v>1.2423</v>
      </c>
    </row>
    <row r="10" spans="1:24" ht="15" customHeight="1" x14ac:dyDescent="0.25">
      <c r="A10" s="120" t="s">
        <v>884</v>
      </c>
      <c r="B10" s="43" t="s">
        <v>20</v>
      </c>
      <c r="C10" s="43" t="s">
        <v>183</v>
      </c>
      <c r="D10" s="43">
        <f>коэффициенты!G6</f>
        <v>1.4247000000000001</v>
      </c>
      <c r="E10" s="120" t="s">
        <v>884</v>
      </c>
      <c r="F10" s="43" t="s">
        <v>21</v>
      </c>
      <c r="G10" s="43" t="s">
        <v>183</v>
      </c>
      <c r="H10" s="43">
        <f>коэффициенты!G9</f>
        <v>1.2297</v>
      </c>
      <c r="I10" s="120" t="s">
        <v>884</v>
      </c>
      <c r="J10" s="43" t="s">
        <v>23</v>
      </c>
      <c r="K10" s="43" t="s">
        <v>183</v>
      </c>
      <c r="L10" s="43">
        <f>коэффициенты!G12</f>
        <v>1.1678999999999999</v>
      </c>
      <c r="M10" s="120" t="s">
        <v>884</v>
      </c>
      <c r="N10" s="43" t="s">
        <v>22</v>
      </c>
      <c r="O10" s="43" t="s">
        <v>183</v>
      </c>
      <c r="P10" s="43">
        <f>коэффициенты!G14</f>
        <v>1.1003000000000001</v>
      </c>
      <c r="Q10" s="120" t="s">
        <v>884</v>
      </c>
      <c r="R10" s="43" t="s">
        <v>190</v>
      </c>
      <c r="S10" s="43" t="s">
        <v>183</v>
      </c>
      <c r="T10" s="43">
        <f>коэффициенты!G16</f>
        <v>0.2928</v>
      </c>
      <c r="U10" s="120" t="s">
        <v>885</v>
      </c>
      <c r="V10" s="43" t="s">
        <v>153</v>
      </c>
      <c r="W10" s="43" t="s">
        <v>183</v>
      </c>
      <c r="X10" s="43">
        <f>коэффициенты!G18</f>
        <v>1.2423</v>
      </c>
    </row>
    <row r="11" spans="1:24" ht="15" customHeight="1" x14ac:dyDescent="0.25">
      <c r="A11" s="120" t="s">
        <v>886</v>
      </c>
      <c r="B11" s="43" t="s">
        <v>20</v>
      </c>
      <c r="C11" s="43" t="s">
        <v>183</v>
      </c>
      <c r="D11" s="43">
        <f>коэффициенты!G6</f>
        <v>1.4247000000000001</v>
      </c>
      <c r="E11" s="120" t="s">
        <v>886</v>
      </c>
      <c r="F11" s="43" t="s">
        <v>21</v>
      </c>
      <c r="G11" s="43" t="s">
        <v>183</v>
      </c>
      <c r="H11" s="43">
        <f>коэффициенты!G9</f>
        <v>1.2297</v>
      </c>
      <c r="I11" s="120" t="s">
        <v>886</v>
      </c>
      <c r="J11" s="43" t="s">
        <v>23</v>
      </c>
      <c r="K11" s="43" t="s">
        <v>183</v>
      </c>
      <c r="L11" s="43">
        <f>коэффициенты!G12</f>
        <v>1.1678999999999999</v>
      </c>
      <c r="M11" s="120" t="s">
        <v>886</v>
      </c>
      <c r="N11" s="43" t="s">
        <v>22</v>
      </c>
      <c r="O11" s="43" t="s">
        <v>183</v>
      </c>
      <c r="P11" s="43">
        <f>коэффициенты!G14</f>
        <v>1.1003000000000001</v>
      </c>
      <c r="Q11" s="120" t="s">
        <v>886</v>
      </c>
      <c r="R11" s="43" t="s">
        <v>190</v>
      </c>
      <c r="S11" s="43" t="s">
        <v>183</v>
      </c>
      <c r="T11" s="43">
        <f>коэффициенты!G16</f>
        <v>0.2928</v>
      </c>
      <c r="U11" s="120" t="s">
        <v>887</v>
      </c>
      <c r="V11" s="43" t="s">
        <v>153</v>
      </c>
      <c r="W11" s="43" t="s">
        <v>183</v>
      </c>
      <c r="X11" s="43">
        <f>коэффициенты!G18</f>
        <v>1.2423</v>
      </c>
    </row>
    <row r="12" spans="1:24" ht="15" customHeight="1" x14ac:dyDescent="0.25">
      <c r="A12" s="120" t="s">
        <v>888</v>
      </c>
      <c r="B12" s="43" t="s">
        <v>187</v>
      </c>
      <c r="C12" s="43" t="s">
        <v>186</v>
      </c>
      <c r="D12" s="43">
        <f>коэффициенты!G8</f>
        <v>1</v>
      </c>
      <c r="E12" s="120" t="s">
        <v>888</v>
      </c>
      <c r="F12" s="43" t="s">
        <v>189</v>
      </c>
      <c r="G12" s="43" t="s">
        <v>186</v>
      </c>
      <c r="H12" s="43">
        <f>коэффициенты!G11</f>
        <v>1</v>
      </c>
      <c r="I12" s="120" t="s">
        <v>888</v>
      </c>
      <c r="J12" s="43" t="s">
        <v>155</v>
      </c>
      <c r="K12" s="43" t="s">
        <v>186</v>
      </c>
      <c r="L12" s="43">
        <f>коэффициенты!G13</f>
        <v>1</v>
      </c>
      <c r="M12" s="120" t="s">
        <v>888</v>
      </c>
      <c r="N12" s="43" t="s">
        <v>156</v>
      </c>
      <c r="O12" s="43" t="s">
        <v>186</v>
      </c>
      <c r="P12" s="43">
        <f>коэффициенты!G15</f>
        <v>1</v>
      </c>
      <c r="Q12" s="120" t="s">
        <v>888</v>
      </c>
      <c r="R12" s="43" t="s">
        <v>191</v>
      </c>
      <c r="S12" s="43" t="s">
        <v>183</v>
      </c>
      <c r="T12" s="43">
        <f>коэффициенты!G17</f>
        <v>1</v>
      </c>
      <c r="U12" s="120" t="s">
        <v>886</v>
      </c>
      <c r="V12" s="43" t="s">
        <v>153</v>
      </c>
      <c r="W12" s="43" t="s">
        <v>183</v>
      </c>
      <c r="X12" s="43">
        <f>коэффициенты!G18</f>
        <v>1.2423</v>
      </c>
    </row>
    <row r="13" spans="1:24" ht="15" customHeight="1" x14ac:dyDescent="0.25">
      <c r="A13" s="120" t="s">
        <v>889</v>
      </c>
      <c r="B13" s="43" t="s">
        <v>187</v>
      </c>
      <c r="C13" s="43" t="s">
        <v>186</v>
      </c>
      <c r="D13" s="43">
        <f>коэффициенты!G8</f>
        <v>1</v>
      </c>
      <c r="E13" s="120" t="s">
        <v>889</v>
      </c>
      <c r="F13" s="43" t="s">
        <v>189</v>
      </c>
      <c r="G13" s="43" t="s">
        <v>186</v>
      </c>
      <c r="H13" s="43">
        <f>коэффициенты!G11</f>
        <v>1</v>
      </c>
      <c r="I13" s="120" t="s">
        <v>889</v>
      </c>
      <c r="J13" s="43" t="s">
        <v>155</v>
      </c>
      <c r="K13" s="43" t="s">
        <v>186</v>
      </c>
      <c r="L13" s="43">
        <f>коэффициенты!G13</f>
        <v>1</v>
      </c>
      <c r="M13" s="120" t="s">
        <v>889</v>
      </c>
      <c r="N13" s="43" t="s">
        <v>156</v>
      </c>
      <c r="O13" s="43" t="s">
        <v>186</v>
      </c>
      <c r="P13" s="43">
        <f>коэффициенты!G15</f>
        <v>1</v>
      </c>
      <c r="Q13" s="120" t="s">
        <v>889</v>
      </c>
      <c r="R13" s="43" t="s">
        <v>191</v>
      </c>
      <c r="S13" s="43" t="s">
        <v>186</v>
      </c>
      <c r="T13" s="43">
        <f>коэффициенты!G17</f>
        <v>1</v>
      </c>
      <c r="U13" s="120" t="s">
        <v>888</v>
      </c>
      <c r="V13" s="43" t="s">
        <v>193</v>
      </c>
      <c r="W13" s="43" t="s">
        <v>186</v>
      </c>
      <c r="X13" s="43">
        <f>коэффициенты!G19</f>
        <v>1</v>
      </c>
    </row>
    <row r="14" spans="1:24" ht="15" customHeight="1" x14ac:dyDescent="0.25">
      <c r="A14" s="120" t="s">
        <v>890</v>
      </c>
      <c r="B14" s="43" t="s">
        <v>187</v>
      </c>
      <c r="C14" s="43" t="s">
        <v>186</v>
      </c>
      <c r="D14" s="43">
        <f>коэффициенты!G8</f>
        <v>1</v>
      </c>
      <c r="E14" s="120" t="s">
        <v>890</v>
      </c>
      <c r="F14" s="43" t="s">
        <v>189</v>
      </c>
      <c r="G14" s="43" t="s">
        <v>186</v>
      </c>
      <c r="H14" s="43">
        <f>коэффициенты!G11</f>
        <v>1</v>
      </c>
      <c r="I14" s="120" t="s">
        <v>890</v>
      </c>
      <c r="J14" s="43" t="s">
        <v>155</v>
      </c>
      <c r="K14" s="43" t="s">
        <v>186</v>
      </c>
      <c r="L14" s="43">
        <f>коэффициенты!G13</f>
        <v>1</v>
      </c>
      <c r="M14" s="120" t="s">
        <v>890</v>
      </c>
      <c r="N14" s="43" t="s">
        <v>156</v>
      </c>
      <c r="O14" s="43" t="s">
        <v>186</v>
      </c>
      <c r="P14" s="43">
        <f>коэффициенты!G15</f>
        <v>1</v>
      </c>
      <c r="Q14" s="120" t="s">
        <v>191</v>
      </c>
      <c r="R14" s="43" t="s">
        <v>191</v>
      </c>
      <c r="S14" s="43" t="s">
        <v>186</v>
      </c>
      <c r="T14" s="43">
        <f>коэффициенты!G17</f>
        <v>1</v>
      </c>
      <c r="U14" s="120" t="s">
        <v>889</v>
      </c>
      <c r="V14" s="43" t="s">
        <v>193</v>
      </c>
      <c r="W14" s="43" t="s">
        <v>186</v>
      </c>
      <c r="X14" s="43">
        <f>коэффициенты!G19</f>
        <v>1</v>
      </c>
    </row>
    <row r="15" spans="1:24" ht="15" customHeight="1" x14ac:dyDescent="0.25">
      <c r="A15" s="120" t="s">
        <v>891</v>
      </c>
      <c r="B15" s="43" t="s">
        <v>187</v>
      </c>
      <c r="C15" s="43" t="s">
        <v>186</v>
      </c>
      <c r="D15" s="43">
        <f>коэффициенты!G8</f>
        <v>1</v>
      </c>
      <c r="E15" s="120" t="s">
        <v>891</v>
      </c>
      <c r="F15" s="43" t="s">
        <v>189</v>
      </c>
      <c r="G15" s="43" t="s">
        <v>186</v>
      </c>
      <c r="H15" s="43">
        <f>коэффициенты!G11</f>
        <v>1</v>
      </c>
      <c r="I15" s="120" t="s">
        <v>891</v>
      </c>
      <c r="J15" s="43" t="s">
        <v>155</v>
      </c>
      <c r="K15" s="43" t="s">
        <v>186</v>
      </c>
      <c r="L15" s="43">
        <f>коэффициенты!G13</f>
        <v>1</v>
      </c>
      <c r="M15" s="120" t="s">
        <v>891</v>
      </c>
      <c r="N15" s="43" t="s">
        <v>156</v>
      </c>
      <c r="O15" s="43" t="s">
        <v>186</v>
      </c>
      <c r="P15" s="43">
        <f>коэффициенты!G15</f>
        <v>1</v>
      </c>
      <c r="Q15" s="120"/>
      <c r="R15" s="43" t="s">
        <v>191</v>
      </c>
      <c r="S15" s="43" t="s">
        <v>186</v>
      </c>
      <c r="T15" s="43">
        <f>коэффициенты!G17</f>
        <v>1</v>
      </c>
      <c r="U15" s="120" t="s">
        <v>890</v>
      </c>
      <c r="V15" s="43" t="s">
        <v>193</v>
      </c>
      <c r="W15" s="43" t="s">
        <v>186</v>
      </c>
      <c r="X15" s="43">
        <f>коэффициенты!G19</f>
        <v>1</v>
      </c>
    </row>
    <row r="16" spans="1:24" ht="15" customHeight="1" x14ac:dyDescent="0.25">
      <c r="A16" s="120" t="s">
        <v>892</v>
      </c>
      <c r="B16" s="34" t="s">
        <v>185</v>
      </c>
      <c r="C16" s="34" t="s">
        <v>184</v>
      </c>
      <c r="D16" s="34">
        <f>коэффициенты!G7</f>
        <v>1.3734</v>
      </c>
      <c r="E16" s="120" t="s">
        <v>893</v>
      </c>
      <c r="F16" s="34" t="s">
        <v>188</v>
      </c>
      <c r="G16" s="43" t="s">
        <v>184</v>
      </c>
      <c r="H16" s="43">
        <f>коэффициенты!G9</f>
        <v>1.2297</v>
      </c>
      <c r="I16" s="120">
        <v>0</v>
      </c>
      <c r="J16" s="43" t="s">
        <v>155</v>
      </c>
      <c r="K16" s="43" t="s">
        <v>186</v>
      </c>
      <c r="L16" s="43">
        <f>коэффициенты!G13</f>
        <v>1</v>
      </c>
      <c r="M16" s="120">
        <v>0</v>
      </c>
      <c r="N16" s="43" t="s">
        <v>156</v>
      </c>
      <c r="O16" s="43" t="s">
        <v>186</v>
      </c>
      <c r="P16" s="43">
        <f>коэффициенты!G15</f>
        <v>1</v>
      </c>
      <c r="Q16" s="120">
        <v>0</v>
      </c>
      <c r="R16" s="43" t="s">
        <v>191</v>
      </c>
      <c r="S16" s="43" t="s">
        <v>186</v>
      </c>
      <c r="T16" s="43">
        <f>коэффициенты!G17</f>
        <v>1</v>
      </c>
      <c r="U16" s="120" t="s">
        <v>891</v>
      </c>
      <c r="V16" s="43" t="s">
        <v>193</v>
      </c>
      <c r="W16" s="43" t="s">
        <v>186</v>
      </c>
      <c r="X16" s="43">
        <f>коэффициенты!G19</f>
        <v>1</v>
      </c>
    </row>
    <row r="17" spans="1:24" ht="15" customHeight="1" x14ac:dyDescent="0.25">
      <c r="A17" s="120" t="s">
        <v>894</v>
      </c>
      <c r="B17" s="34" t="s">
        <v>185</v>
      </c>
      <c r="C17" s="34" t="s">
        <v>184</v>
      </c>
      <c r="D17" s="34">
        <f>коэффициенты!G7</f>
        <v>1.3734</v>
      </c>
      <c r="E17" s="120" t="s">
        <v>895</v>
      </c>
      <c r="F17" s="34" t="s">
        <v>188</v>
      </c>
      <c r="G17" s="43" t="s">
        <v>184</v>
      </c>
      <c r="H17" s="43">
        <f>коэффициенты!G9</f>
        <v>1.2297</v>
      </c>
      <c r="I17" s="120"/>
      <c r="J17" s="43" t="s">
        <v>155</v>
      </c>
      <c r="K17" s="43" t="s">
        <v>186</v>
      </c>
      <c r="L17" s="43">
        <f>коэффициенты!G13</f>
        <v>1</v>
      </c>
      <c r="M17" s="120"/>
      <c r="N17" s="43" t="s">
        <v>156</v>
      </c>
      <c r="O17" s="43" t="s">
        <v>186</v>
      </c>
      <c r="P17" s="43">
        <f>коэффициенты!G15</f>
        <v>1</v>
      </c>
      <c r="Q17" s="120"/>
      <c r="R17" s="43"/>
      <c r="S17" s="43"/>
      <c r="T17" s="43"/>
      <c r="U17" s="120">
        <v>0</v>
      </c>
      <c r="V17" s="43" t="s">
        <v>153</v>
      </c>
      <c r="W17" s="43" t="s">
        <v>183</v>
      </c>
      <c r="X17" s="43">
        <f>коэффициенты!G18</f>
        <v>1.2423</v>
      </c>
    </row>
    <row r="18" spans="1:24" ht="15" customHeight="1" x14ac:dyDescent="0.25">
      <c r="A18" s="120">
        <v>0</v>
      </c>
      <c r="B18" s="43" t="s">
        <v>187</v>
      </c>
      <c r="C18" s="43" t="s">
        <v>186</v>
      </c>
      <c r="D18" s="43">
        <f>коэффициенты!G8</f>
        <v>1</v>
      </c>
      <c r="E18" s="120">
        <v>0</v>
      </c>
      <c r="F18" s="43" t="s">
        <v>189</v>
      </c>
      <c r="G18" s="43" t="s">
        <v>186</v>
      </c>
      <c r="H18" s="43">
        <f>коэффициенты!G11</f>
        <v>1</v>
      </c>
      <c r="I18" s="120"/>
      <c r="J18" s="43" t="s">
        <v>155</v>
      </c>
      <c r="K18" s="43" t="s">
        <v>186</v>
      </c>
      <c r="L18" s="43">
        <f>коэффициенты!G13</f>
        <v>1</v>
      </c>
      <c r="M18" s="120"/>
      <c r="N18" s="43" t="s">
        <v>156</v>
      </c>
      <c r="O18" s="43" t="s">
        <v>186</v>
      </c>
      <c r="P18" s="43">
        <f>коэффициенты!G15</f>
        <v>1</v>
      </c>
      <c r="Q18" s="120"/>
      <c r="R18" s="43"/>
      <c r="S18" s="43"/>
      <c r="T18" s="43"/>
      <c r="U18" s="120"/>
      <c r="V18" s="43" t="s">
        <v>153</v>
      </c>
      <c r="W18" s="43" t="s">
        <v>183</v>
      </c>
      <c r="X18" s="43">
        <f>коэффициенты!G18</f>
        <v>1.2423</v>
      </c>
    </row>
    <row r="19" spans="1:24" ht="23.25" customHeight="1" x14ac:dyDescent="0.25">
      <c r="A19" s="122" t="s">
        <v>896</v>
      </c>
      <c r="B19" s="191" t="s">
        <v>897</v>
      </c>
      <c r="C19" s="192"/>
      <c r="D19" s="123"/>
      <c r="E19" s="122" t="s">
        <v>896</v>
      </c>
      <c r="F19" s="191" t="s">
        <v>897</v>
      </c>
      <c r="G19" s="192"/>
      <c r="H19" s="123"/>
      <c r="I19" s="122" t="s">
        <v>896</v>
      </c>
      <c r="J19" s="191" t="s">
        <v>897</v>
      </c>
      <c r="K19" s="192"/>
      <c r="L19" s="123"/>
      <c r="M19" s="122" t="s">
        <v>896</v>
      </c>
      <c r="N19" s="191" t="s">
        <v>897</v>
      </c>
      <c r="O19" s="192"/>
      <c r="P19" s="123"/>
      <c r="Q19" s="122" t="s">
        <v>896</v>
      </c>
      <c r="R19" s="191" t="s">
        <v>897</v>
      </c>
      <c r="S19" s="192"/>
      <c r="T19" s="124"/>
      <c r="U19" s="122" t="s">
        <v>896</v>
      </c>
      <c r="V19" s="191" t="s">
        <v>897</v>
      </c>
      <c r="W19" s="192"/>
      <c r="X19" s="125"/>
    </row>
    <row r="20" spans="1:24" ht="15.75" customHeight="1" thickBot="1" x14ac:dyDescent="0.3">
      <c r="A20" s="126"/>
      <c r="B20" s="126" t="str">
        <f>IF(A20=$A$17,$B$17,IF(A20=$A$16,$B$16,IF(A20=$A$8,$B$8,IF(A20=$A$9,$B$9,IF(A20=$A$10,$B$10,IF(A20=$A$11,$B$11,IF(A20=$A$12,$B$12,IF(A20=$A$13,$B$13,IF(A20=$A$14,$B$14,IF(A20=$A$15,$B$15,IF(A20=$A$18,B$18,$B$7)))))))))))</f>
        <v>Отсутствие газоснабжения</v>
      </c>
      <c r="C20" s="126" t="str">
        <f>VLOOKUP(B20,$B$7:$C$18,2,FALSE)</f>
        <v>NO</v>
      </c>
      <c r="D20" s="126">
        <f>VLOOKUP(B20,$B$7:$D$18,3,FALSE)</f>
        <v>1</v>
      </c>
      <c r="E20" s="126" t="s">
        <v>892</v>
      </c>
      <c r="F20" s="126" t="str">
        <f>IF(E20=$E$16,$F$17,IF(E20=$E$15,$F$16,IF(E20=$E$7,$F$8,IF(E20=$E$8,$F$9,IF(E20=$E$9,$F$10,IF(E20=$E$10,$F$11,IF(E20=$E$11,$F$12,IF(E20=$E$12,$F$13,IF(E20=$E$13,$F$14,IF(E20=$E$14,$F$15,IF(E20=$E$17,F$18,$F$7)))))))))))</f>
        <v>Ошибка определения</v>
      </c>
      <c r="G20" s="126" t="str">
        <f>VLOOKUP(F20,$F$7:$G$18,2,FALSE)</f>
        <v>!MST!</v>
      </c>
      <c r="H20" s="126">
        <f>VLOOKUP(F20,$F$7:$H$18,3,FALSE)</f>
        <v>0</v>
      </c>
      <c r="I20" s="126" t="s">
        <v>880</v>
      </c>
      <c r="J20" s="126" t="str">
        <f>IF(I20=$I$8,$J$8,IF(I20=$I$9,$J$9,IF(I20=$I$10,$J$10,IF(I20=$I$11,$J$11,IF(I20=$I$12,$J$12,IF(I20=$I$13,$J$13,IF(I20=$I$14,$J$14,IF(I20=$I$15,$J$15,IF(I20=$I$18,J$18,$J$7)))))))))</f>
        <v>Наличие водоснабжения</v>
      </c>
      <c r="K20" s="126" t="str">
        <f>VLOOKUP(J20,$J$7:$K$18,2,FALSE)</f>
        <v>YS</v>
      </c>
      <c r="L20" s="126">
        <f>VLOOKUP(J20,$J$7:$L$18,3,FALSE)</f>
        <v>1.1678999999999999</v>
      </c>
      <c r="M20" s="126" t="s">
        <v>892</v>
      </c>
      <c r="N20" s="126" t="str">
        <f>IF(M20=$M$8,$N$8,IF(M20=$M$9,$N$9,IF(M20=$M$10,$N$10,IF(M20=$M$11,$N$11,IF(M20=$M$12,$N$12,IF(M20=$M$13,$N$13,IF(M20=$M$14,$N$14,IF(M20=$M$15,$N$15,IF(M20=$M$18,N$18,$N$7)))))))))</f>
        <v>Ошибка определения</v>
      </c>
      <c r="O20" s="126" t="str">
        <f>VLOOKUP(N20,$N$7:$O$18,2,FALSE)</f>
        <v>!MST!</v>
      </c>
      <c r="P20" s="126">
        <f>VLOOKUP(N20,$N$7:$P$18,3,FALSE)</f>
        <v>0</v>
      </c>
      <c r="Q20" s="126"/>
      <c r="R20" s="126" t="str">
        <f>IF(Q20=$Q$8,$R$8,IF(Q20=$Q$9,$R$9,IF(Q20=$Q$10,$R$10,IF(Q20=$Q$11,$R$11,IF(Q20=$Q$12,$R$12,IF(Q20=$Q$13,$R$13,IF(Q20=$Q$14,$R$14,IF(Q20=$Q$15,$R$15,IF(Q20=$Q$16,R$16,$R$7)))))))))</f>
        <v>Отсутствие ЛЭП</v>
      </c>
      <c r="S20" s="126" t="str">
        <f>VLOOKUP(R20,$R$7:$S$16,2,FALSE)</f>
        <v>YS</v>
      </c>
      <c r="T20" s="126">
        <f>VLOOKUP(R20,$R$7:$T$16,3,FALSE)</f>
        <v>1</v>
      </c>
      <c r="V20" s="127" t="str">
        <f>IF(U20=$U$7,$V$7,IF(U20=$U$8,$V$8,IF(U20=$U$9,$V$9,IF(U20=$U$10,$V$10,IF(U20=$U$11,$V$11,IF(U20=$U$12,$V$12,IF(U20=$U$13,$V$13,IF(U20=$U$14,$V$14,IF(U20=$U$15,$V$15,IF(U20=$U$16,$V$16,IF(U20=$U$17,V$17,$V$7)))))))))))</f>
        <v>Наличие подъезда</v>
      </c>
      <c r="W20" s="128" t="str">
        <f>VLOOKUP(V20,$V$7:$W$17,2,FALSE)</f>
        <v>YS</v>
      </c>
      <c r="X20" s="128">
        <f>VLOOKUP(V20,$V$7:$X$17,3,FALSE)</f>
        <v>1.2423</v>
      </c>
    </row>
    <row r="21" spans="1:24" ht="15" customHeight="1" x14ac:dyDescent="0.25">
      <c r="S21" s="120"/>
      <c r="T21" s="43"/>
      <c r="V21" s="43"/>
      <c r="W21" s="43"/>
      <c r="X21" s="43"/>
    </row>
    <row r="22" spans="1:24" ht="15" customHeight="1" x14ac:dyDescent="0.25">
      <c r="A22" s="109" t="s">
        <v>898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</row>
    <row r="23" spans="1:24" ht="15.75" customHeight="1" thickBot="1" x14ac:dyDescent="0.3"/>
    <row r="24" spans="1:24" ht="15" customHeight="1" x14ac:dyDescent="0.25">
      <c r="A24" s="194" t="str">
        <f xml:space="preserve">  коэффициенты!B20</f>
        <v>Зона влияния ИЖС</v>
      </c>
      <c r="B24" s="195"/>
      <c r="C24" s="195"/>
      <c r="D24" s="196"/>
      <c r="E24" s="194" t="s">
        <v>899</v>
      </c>
      <c r="F24" s="195"/>
      <c r="G24" s="197"/>
      <c r="H24" s="129"/>
      <c r="J24" s="198" t="str">
        <f xml:space="preserve">  коэффициенты!B3</f>
        <v>Вид разрешенного использования</v>
      </c>
      <c r="K24" s="198"/>
      <c r="L24" s="198"/>
      <c r="M24" s="198"/>
    </row>
    <row r="25" spans="1:24" ht="15" customHeight="1" x14ac:dyDescent="0.25">
      <c r="A25" s="130"/>
      <c r="B25" s="131"/>
      <c r="C25" s="43"/>
      <c r="D25" s="131"/>
      <c r="E25" s="130"/>
      <c r="F25" s="43"/>
      <c r="G25" s="121"/>
      <c r="J25" s="199"/>
      <c r="K25" s="199"/>
      <c r="L25" s="199"/>
      <c r="M25" s="199"/>
      <c r="Q25" t="s">
        <v>900</v>
      </c>
      <c r="R25" t="s">
        <v>901</v>
      </c>
      <c r="T25" t="s">
        <v>902</v>
      </c>
      <c r="U25" t="s">
        <v>903</v>
      </c>
    </row>
    <row r="26" spans="1:24" ht="15" customHeight="1" x14ac:dyDescent="0.25">
      <c r="A26" s="132" t="str">
        <f xml:space="preserve">  коэффициенты!D1</f>
        <v>Градации (код)</v>
      </c>
      <c r="B26" s="133" t="str">
        <f xml:space="preserve">  коэффициенты!E1</f>
        <v>Возможные градации (описание)</v>
      </c>
      <c r="C26" s="134"/>
      <c r="D26" s="135" t="str">
        <f xml:space="preserve">  коэффициенты!G1</f>
        <v>Значение градации</v>
      </c>
      <c r="E26" s="136" t="s">
        <v>904</v>
      </c>
      <c r="F26" s="137" t="s">
        <v>905</v>
      </c>
      <c r="G26" s="138" t="s">
        <v>904</v>
      </c>
      <c r="H26" s="139"/>
      <c r="I26" s="140" t="s">
        <v>906</v>
      </c>
      <c r="J26" s="140" t="str">
        <f xml:space="preserve">  коэффициенты!D1</f>
        <v>Градации (код)</v>
      </c>
      <c r="K26" s="140" t="s">
        <v>907</v>
      </c>
      <c r="L26" s="140" t="str">
        <f xml:space="preserve">  коэффициенты!E1</f>
        <v>Возможные градации (описание)</v>
      </c>
      <c r="M26" s="140" t="str">
        <f xml:space="preserve">  коэффициенты!G1</f>
        <v>Значение градации</v>
      </c>
      <c r="N26" s="141"/>
      <c r="O26" s="141"/>
      <c r="P26" s="141"/>
      <c r="Q26" t="s">
        <v>908</v>
      </c>
      <c r="R26" t="s">
        <v>221</v>
      </c>
      <c r="T26" s="142" t="s">
        <v>909</v>
      </c>
      <c r="U26" t="s">
        <v>223</v>
      </c>
      <c r="V26" s="141"/>
      <c r="W26" s="141"/>
      <c r="X26" s="141"/>
    </row>
    <row r="27" spans="1:24" ht="15" customHeight="1" x14ac:dyDescent="0.25">
      <c r="A27" s="143" t="str">
        <f>коэффициенты!D20</f>
        <v>aram_1</v>
      </c>
      <c r="B27" s="144" t="str">
        <f>коэффициенты!E20</f>
        <v>Арамильский_1</v>
      </c>
      <c r="C27" s="43" t="str">
        <f>B27</f>
        <v>Арамильский_1</v>
      </c>
      <c r="D27" s="145">
        <f>коэффициенты!G20</f>
        <v>1</v>
      </c>
      <c r="E27" s="146">
        <v>5.0016920000000002</v>
      </c>
      <c r="F27" s="147" t="s">
        <v>195</v>
      </c>
      <c r="G27" s="148">
        <v>5.0016920000000002</v>
      </c>
      <c r="I27" t="s">
        <v>840</v>
      </c>
      <c r="J27" s="43" t="s">
        <v>181</v>
      </c>
      <c r="K27" t="s">
        <v>839</v>
      </c>
      <c r="L27" t="str">
        <f xml:space="preserve">  коэффициенты!E5</f>
        <v>Индивидуальные поселения</v>
      </c>
      <c r="M27" s="43">
        <f>ROUND(  коэффициенты!G5,4)</f>
        <v>1.4041999999999999</v>
      </c>
      <c r="Q27" t="s">
        <v>910</v>
      </c>
      <c r="R27" t="s">
        <v>221</v>
      </c>
      <c r="T27" t="s">
        <v>911</v>
      </c>
      <c r="U27" t="s">
        <v>235</v>
      </c>
    </row>
    <row r="28" spans="1:24" ht="15" customHeight="1" x14ac:dyDescent="0.25">
      <c r="A28" s="143" t="str">
        <f>коэффициенты!D21</f>
        <v>aram_2</v>
      </c>
      <c r="B28" s="144" t="str">
        <f>коэффициенты!E21</f>
        <v>Арамильский_2</v>
      </c>
      <c r="C28" s="43" t="str">
        <f t="shared" ref="C28:C90" si="0">B28</f>
        <v>Арамильский_2</v>
      </c>
      <c r="D28" s="145">
        <f>коэффициенты!G21</f>
        <v>0.63590000000000002</v>
      </c>
      <c r="E28" s="146">
        <v>5</v>
      </c>
      <c r="F28" s="147" t="s">
        <v>197</v>
      </c>
      <c r="G28" s="148">
        <v>5</v>
      </c>
      <c r="I28" t="s">
        <v>912</v>
      </c>
      <c r="J28" s="43" t="s">
        <v>181</v>
      </c>
      <c r="K28" t="s">
        <v>841</v>
      </c>
      <c r="L28" t="str">
        <f xml:space="preserve">  коэффициенты!E5</f>
        <v>Индивидуальные поселения</v>
      </c>
      <c r="M28">
        <f>ROUND(  коэффициенты!G5,4)</f>
        <v>1.4041999999999999</v>
      </c>
      <c r="Q28" t="s">
        <v>913</v>
      </c>
      <c r="R28" t="s">
        <v>201</v>
      </c>
      <c r="T28" t="s">
        <v>914</v>
      </c>
      <c r="U28" t="s">
        <v>277</v>
      </c>
    </row>
    <row r="29" spans="1:24" ht="15" customHeight="1" x14ac:dyDescent="0.25">
      <c r="A29" s="143" t="str">
        <f>коэффициенты!D22</f>
        <v>Belo_1</v>
      </c>
      <c r="B29" s="144" t="str">
        <f>коэффициенты!E22</f>
        <v>Белоярский_1</v>
      </c>
      <c r="C29" s="43" t="str">
        <f t="shared" si="0"/>
        <v>Белоярский_1</v>
      </c>
      <c r="D29" s="145">
        <f>коэффициенты!G22</f>
        <v>0.65880000000000005</v>
      </c>
      <c r="E29" s="146">
        <v>5.2800159999999998</v>
      </c>
      <c r="F29" s="147" t="s">
        <v>199</v>
      </c>
      <c r="G29" s="148">
        <v>5.2800159999999998</v>
      </c>
      <c r="I29" t="s">
        <v>866</v>
      </c>
      <c r="J29" s="43" t="s">
        <v>181</v>
      </c>
      <c r="K29" t="s">
        <v>865</v>
      </c>
      <c r="L29" t="str">
        <f xml:space="preserve">  коэффициенты!E5</f>
        <v>Индивидуальные поселения</v>
      </c>
      <c r="M29">
        <f>ROUND(  коэффициенты!G5,4)</f>
        <v>1.4041999999999999</v>
      </c>
      <c r="Q29" t="s">
        <v>915</v>
      </c>
      <c r="R29" t="s">
        <v>221</v>
      </c>
      <c r="T29" t="s">
        <v>916</v>
      </c>
      <c r="U29" t="s">
        <v>311</v>
      </c>
    </row>
    <row r="30" spans="1:24" ht="15" customHeight="1" x14ac:dyDescent="0.25">
      <c r="A30" s="143" t="str">
        <f>коэффициенты!D23</f>
        <v>Belo_10</v>
      </c>
      <c r="B30" s="144" t="str">
        <f>коэффициенты!E23</f>
        <v>Белоярский_10</v>
      </c>
      <c r="C30" s="43" t="str">
        <f t="shared" si="0"/>
        <v>Белоярский_10</v>
      </c>
      <c r="D30" s="145">
        <f>коэффициенты!G23</f>
        <v>0.22470000000000001</v>
      </c>
      <c r="E30" s="146">
        <v>5.9595229999999999</v>
      </c>
      <c r="F30" s="147" t="s">
        <v>201</v>
      </c>
      <c r="G30" s="148">
        <v>5.9595229999999999</v>
      </c>
      <c r="I30" t="s">
        <v>848</v>
      </c>
      <c r="J30" s="43" t="s">
        <v>181</v>
      </c>
      <c r="K30" t="s">
        <v>847</v>
      </c>
      <c r="L30" t="str">
        <f xml:space="preserve">  коэффициенты!E5</f>
        <v>Индивидуальные поселения</v>
      </c>
      <c r="M30">
        <f>ROUND(  коэффициенты!G5,4)</f>
        <v>1.4041999999999999</v>
      </c>
      <c r="Q30" t="s">
        <v>917</v>
      </c>
      <c r="R30" t="s">
        <v>201</v>
      </c>
      <c r="T30" t="s">
        <v>918</v>
      </c>
      <c r="U30" t="s">
        <v>199</v>
      </c>
    </row>
    <row r="31" spans="1:24" ht="15" customHeight="1" x14ac:dyDescent="0.25">
      <c r="A31" s="143" t="str">
        <f>коэффициенты!D24</f>
        <v>Belo_11</v>
      </c>
      <c r="B31" s="144" t="str">
        <f>коэффициенты!E24</f>
        <v>Белоярский_11</v>
      </c>
      <c r="C31" s="43" t="str">
        <f t="shared" si="0"/>
        <v>Белоярский_11</v>
      </c>
      <c r="D31" s="145">
        <f>коэффициенты!G24</f>
        <v>0.21099999999999999</v>
      </c>
      <c r="E31" s="146">
        <v>5.0604420000000001</v>
      </c>
      <c r="F31" s="147" t="s">
        <v>203</v>
      </c>
      <c r="G31" s="148">
        <v>5.0604420000000001</v>
      </c>
      <c r="I31" t="s">
        <v>852</v>
      </c>
      <c r="J31" s="43" t="s">
        <v>181</v>
      </c>
      <c r="K31" t="s">
        <v>851</v>
      </c>
      <c r="L31" t="str">
        <f xml:space="preserve">  коэффициенты!E5</f>
        <v>Индивидуальные поселения</v>
      </c>
      <c r="M31">
        <f>ROUND(  коэффициенты!G5,4)</f>
        <v>1.4041999999999999</v>
      </c>
      <c r="Q31" t="s">
        <v>919</v>
      </c>
      <c r="R31" t="s">
        <v>201</v>
      </c>
      <c r="T31" t="s">
        <v>920</v>
      </c>
      <c r="U31" t="s">
        <v>229</v>
      </c>
    </row>
    <row r="32" spans="1:24" ht="15" customHeight="1" x14ac:dyDescent="0.25">
      <c r="A32" s="143" t="str">
        <f>коэффициенты!D25</f>
        <v>Belo_12</v>
      </c>
      <c r="B32" s="144" t="str">
        <f>коэффициенты!E25</f>
        <v>Белоярский_12</v>
      </c>
      <c r="C32" s="43" t="str">
        <f t="shared" si="0"/>
        <v>Белоярский_12</v>
      </c>
      <c r="D32" s="145">
        <f>коэффициенты!G25</f>
        <v>0.3921</v>
      </c>
      <c r="E32" s="146">
        <v>5.0008080000000001</v>
      </c>
      <c r="F32" s="147" t="s">
        <v>205</v>
      </c>
      <c r="G32" s="148">
        <v>5.0008080000000001</v>
      </c>
      <c r="I32" t="s">
        <v>921</v>
      </c>
      <c r="J32" s="43" t="s">
        <v>181</v>
      </c>
      <c r="K32" t="s">
        <v>853</v>
      </c>
      <c r="L32" t="str">
        <f xml:space="preserve">  коэффициенты!E5</f>
        <v>Индивидуальные поселения</v>
      </c>
      <c r="M32">
        <f>ROUND(  коэффициенты!G5,4)</f>
        <v>1.4041999999999999</v>
      </c>
      <c r="Q32" t="s">
        <v>922</v>
      </c>
      <c r="R32" t="s">
        <v>201</v>
      </c>
      <c r="T32" t="s">
        <v>923</v>
      </c>
      <c r="U32" t="s">
        <v>309</v>
      </c>
    </row>
    <row r="33" spans="1:21" ht="15" customHeight="1" x14ac:dyDescent="0.25">
      <c r="A33" s="143" t="str">
        <f>коэффициенты!D26</f>
        <v>Belo_2</v>
      </c>
      <c r="B33" s="144" t="str">
        <f>коэффициенты!E26</f>
        <v>Белоярский_2</v>
      </c>
      <c r="C33" s="43" t="str">
        <f t="shared" si="0"/>
        <v>Белоярский_2</v>
      </c>
      <c r="D33" s="145">
        <f>коэффициенты!G26</f>
        <v>0.4143</v>
      </c>
      <c r="E33" s="146">
        <v>5.0012220000000003</v>
      </c>
      <c r="F33" s="147" t="s">
        <v>207</v>
      </c>
      <c r="G33" s="148">
        <v>5.0012220000000003</v>
      </c>
      <c r="I33" t="s">
        <v>924</v>
      </c>
      <c r="J33" s="43" t="s">
        <v>181</v>
      </c>
      <c r="K33" t="s">
        <v>849</v>
      </c>
      <c r="L33" t="str">
        <f xml:space="preserve">  коэффициенты!E5</f>
        <v>Индивидуальные поселения</v>
      </c>
      <c r="M33">
        <f>ROUND(  коэффициенты!G5,4)</f>
        <v>1.4041999999999999</v>
      </c>
      <c r="Q33" t="s">
        <v>925</v>
      </c>
      <c r="R33" t="s">
        <v>201</v>
      </c>
      <c r="T33" t="s">
        <v>926</v>
      </c>
      <c r="U33" t="s">
        <v>195</v>
      </c>
    </row>
    <row r="34" spans="1:21" ht="15" customHeight="1" x14ac:dyDescent="0.25">
      <c r="A34" s="143" t="str">
        <f>коэффициенты!D27</f>
        <v>Belo_3</v>
      </c>
      <c r="B34" s="144" t="str">
        <f>коэффициенты!E27</f>
        <v>Белоярский_3</v>
      </c>
      <c r="C34" s="43" t="str">
        <f t="shared" si="0"/>
        <v>Белоярский_3</v>
      </c>
      <c r="D34" s="145">
        <f>коэффициенты!G27</f>
        <v>0.37530000000000002</v>
      </c>
      <c r="E34" s="146">
        <v>5</v>
      </c>
      <c r="F34" s="147" t="s">
        <v>209</v>
      </c>
      <c r="G34" s="148">
        <v>5</v>
      </c>
      <c r="I34" t="s">
        <v>927</v>
      </c>
      <c r="J34" s="43" t="s">
        <v>181</v>
      </c>
      <c r="K34" t="s">
        <v>863</v>
      </c>
      <c r="L34" t="str">
        <f xml:space="preserve">  коэффициенты!E5</f>
        <v>Индивидуальные поселения</v>
      </c>
      <c r="M34">
        <f>ROUND(  коэффициенты!G5,4)</f>
        <v>1.4041999999999999</v>
      </c>
      <c r="Q34" t="s">
        <v>928</v>
      </c>
      <c r="R34" t="s">
        <v>201</v>
      </c>
      <c r="T34" t="s">
        <v>929</v>
      </c>
      <c r="U34" t="s">
        <v>227</v>
      </c>
    </row>
    <row r="35" spans="1:21" ht="15" customHeight="1" x14ac:dyDescent="0.25">
      <c r="A35" s="143" t="str">
        <f>коэффициенты!D28</f>
        <v>Belo_4</v>
      </c>
      <c r="B35" s="144" t="str">
        <f>коэффициенты!E28</f>
        <v>Белоярский_4</v>
      </c>
      <c r="C35" s="43" t="str">
        <f t="shared" si="0"/>
        <v>Белоярский_4</v>
      </c>
      <c r="D35" s="145">
        <f>коэффициенты!G28</f>
        <v>0.30809999999999998</v>
      </c>
      <c r="E35" s="146">
        <v>5</v>
      </c>
      <c r="F35" s="147" t="s">
        <v>211</v>
      </c>
      <c r="G35" s="148">
        <v>5</v>
      </c>
      <c r="I35" t="s">
        <v>930</v>
      </c>
      <c r="J35" s="43" t="s">
        <v>177</v>
      </c>
      <c r="K35" t="s">
        <v>857</v>
      </c>
      <c r="L35" s="149" t="str">
        <f xml:space="preserve">  коэффициенты!E3</f>
        <v>Садовые объединения</v>
      </c>
      <c r="M35">
        <f>ROUND(  коэффициенты!G3,4)</f>
        <v>1</v>
      </c>
      <c r="Q35" t="s">
        <v>931</v>
      </c>
      <c r="R35" t="s">
        <v>201</v>
      </c>
      <c r="T35" t="s">
        <v>932</v>
      </c>
      <c r="U35" t="s">
        <v>313</v>
      </c>
    </row>
    <row r="36" spans="1:21" ht="15" customHeight="1" x14ac:dyDescent="0.25">
      <c r="A36" s="143" t="str">
        <f>коэффициенты!D29</f>
        <v>Belo_5</v>
      </c>
      <c r="B36" s="144" t="str">
        <f>коэффициенты!E29</f>
        <v>Белоярский_5</v>
      </c>
      <c r="C36" s="43" t="str">
        <f t="shared" si="0"/>
        <v>Белоярский_5</v>
      </c>
      <c r="D36" s="145">
        <f>коэффициенты!G29</f>
        <v>0.33850000000000002</v>
      </c>
      <c r="E36" s="146">
        <v>5</v>
      </c>
      <c r="F36" s="147" t="s">
        <v>213</v>
      </c>
      <c r="G36" s="148">
        <v>5</v>
      </c>
      <c r="I36" t="s">
        <v>933</v>
      </c>
      <c r="J36" s="43" t="s">
        <v>177</v>
      </c>
      <c r="K36" t="s">
        <v>855</v>
      </c>
      <c r="L36" s="149" t="str">
        <f xml:space="preserve">  коэффициенты!E3</f>
        <v>Садовые объединения</v>
      </c>
      <c r="M36">
        <f>ROUND(  коэффициенты!G3,4)</f>
        <v>1</v>
      </c>
      <c r="Q36" t="s">
        <v>934</v>
      </c>
      <c r="R36" t="s">
        <v>221</v>
      </c>
      <c r="T36" t="s">
        <v>935</v>
      </c>
      <c r="U36" t="s">
        <v>936</v>
      </c>
    </row>
    <row r="37" spans="1:21" ht="15" customHeight="1" x14ac:dyDescent="0.25">
      <c r="A37" s="143" t="str">
        <f>коэффициенты!D30</f>
        <v>Belo_6</v>
      </c>
      <c r="B37" s="144" t="str">
        <f>коэффициенты!E30</f>
        <v>Белоярский_6</v>
      </c>
      <c r="C37" s="43" t="str">
        <f t="shared" si="0"/>
        <v>Белоярский_6</v>
      </c>
      <c r="D37" s="145">
        <f>коэффициенты!G30</f>
        <v>0.23350000000000001</v>
      </c>
      <c r="E37" s="146">
        <v>5.1784100000000004</v>
      </c>
      <c r="F37" s="147" t="s">
        <v>215</v>
      </c>
      <c r="G37" s="148">
        <v>5.1784100000000004</v>
      </c>
      <c r="I37" t="s">
        <v>937</v>
      </c>
      <c r="J37" s="43" t="s">
        <v>179</v>
      </c>
      <c r="K37" t="s">
        <v>861</v>
      </c>
      <c r="L37" s="149" t="str">
        <f xml:space="preserve">  коэффициенты!E4</f>
        <v>Дачные и коттеджные объединения</v>
      </c>
      <c r="M37">
        <f>ROUND(  коэффициенты!G4,4)</f>
        <v>1.1034999999999999</v>
      </c>
      <c r="Q37" t="s">
        <v>938</v>
      </c>
      <c r="R37" t="s">
        <v>221</v>
      </c>
      <c r="T37" t="s">
        <v>939</v>
      </c>
      <c r="U37" t="s">
        <v>253</v>
      </c>
    </row>
    <row r="38" spans="1:21" ht="15" customHeight="1" x14ac:dyDescent="0.25">
      <c r="A38" s="143" t="str">
        <f>коэффициенты!D31</f>
        <v>Belo_7</v>
      </c>
      <c r="B38" s="144" t="str">
        <f>коэффициенты!E31</f>
        <v>Белоярский_7</v>
      </c>
      <c r="C38" s="43" t="str">
        <f t="shared" si="0"/>
        <v>Белоярский_7</v>
      </c>
      <c r="D38" s="145">
        <f>коэффициенты!G31</f>
        <v>0.24460000000000001</v>
      </c>
      <c r="E38" s="146">
        <v>5.5794579999999998</v>
      </c>
      <c r="F38" s="147" t="s">
        <v>217</v>
      </c>
      <c r="G38" s="148">
        <v>5.5794579999999998</v>
      </c>
      <c r="K38" s="150" t="s">
        <v>896</v>
      </c>
      <c r="L38" s="191" t="s">
        <v>897</v>
      </c>
      <c r="M38" s="193"/>
      <c r="Q38" t="s">
        <v>940</v>
      </c>
      <c r="R38" t="s">
        <v>201</v>
      </c>
      <c r="T38" t="s">
        <v>941</v>
      </c>
      <c r="U38" t="s">
        <v>319</v>
      </c>
    </row>
    <row r="39" spans="1:21" ht="15" customHeight="1" x14ac:dyDescent="0.25">
      <c r="A39" s="143" t="str">
        <f>коэффициенты!D32</f>
        <v>Belo_8</v>
      </c>
      <c r="B39" s="144" t="str">
        <f>коэффициенты!E32</f>
        <v>Белоярский_8</v>
      </c>
      <c r="C39" s="43" t="str">
        <f t="shared" si="0"/>
        <v>Белоярский_8</v>
      </c>
      <c r="D39" s="145">
        <f>коэффициенты!G32</f>
        <v>0.22989999999999999</v>
      </c>
      <c r="E39" s="146">
        <v>5.3031800000000002</v>
      </c>
      <c r="F39" s="147" t="s">
        <v>219</v>
      </c>
      <c r="G39" s="148">
        <v>5.3031800000000002</v>
      </c>
      <c r="K39" t="s">
        <v>861</v>
      </c>
      <c r="L39" s="43" t="str">
        <f>VLOOKUP(K39,$K$27:$L$37,2,FALSE)</f>
        <v>Дачные и коттеджные объединения</v>
      </c>
      <c r="M39" s="43">
        <f>VLOOKUP(L39,$L$27:$M$37,2,FALSE)</f>
        <v>1.1034999999999999</v>
      </c>
      <c r="Q39" t="s">
        <v>942</v>
      </c>
      <c r="R39" t="s">
        <v>201</v>
      </c>
      <c r="T39" t="s">
        <v>943</v>
      </c>
      <c r="U39" t="s">
        <v>247</v>
      </c>
    </row>
    <row r="40" spans="1:21" ht="15" customHeight="1" x14ac:dyDescent="0.25">
      <c r="A40" s="143" t="str">
        <f>коэффициенты!D33</f>
        <v>Belo_9</v>
      </c>
      <c r="B40" s="144" t="str">
        <f>коэффициенты!E33</f>
        <v>Белоярский_9</v>
      </c>
      <c r="C40" s="43" t="str">
        <f t="shared" si="0"/>
        <v>Белоярский_9</v>
      </c>
      <c r="D40" s="145">
        <f>коэффициенты!G33</f>
        <v>0.19120000000000001</v>
      </c>
      <c r="E40" s="146">
        <v>8.4892389999999995</v>
      </c>
      <c r="F40" s="147" t="s">
        <v>221</v>
      </c>
      <c r="G40" s="148">
        <v>8.4892389999999995</v>
      </c>
      <c r="K40" s="43" t="s">
        <v>179</v>
      </c>
      <c r="L40" s="149" t="str">
        <f>VLOOKUP(K40,$J$27:$L$37,3,FALSE)</f>
        <v>Дачные и коттеджные объединения</v>
      </c>
      <c r="M40">
        <f>VLOOKUP(K40,$J$27:$M$37,4,FALSE)</f>
        <v>1.1034999999999999</v>
      </c>
      <c r="Q40" t="s">
        <v>944</v>
      </c>
      <c r="R40" t="s">
        <v>201</v>
      </c>
    </row>
    <row r="41" spans="1:21" ht="15" customHeight="1" x14ac:dyDescent="0.25">
      <c r="A41" s="143" t="str">
        <f>коэффициенты!D34</f>
        <v>berz_1</v>
      </c>
      <c r="B41" s="144" t="str">
        <f>коэффициенты!E34</f>
        <v>Березовский_1</v>
      </c>
      <c r="C41" s="43" t="str">
        <f t="shared" si="0"/>
        <v>Березовский_1</v>
      </c>
      <c r="D41" s="145">
        <f>коэффициенты!G34</f>
        <v>0.8216</v>
      </c>
      <c r="E41" s="146">
        <v>6.6826150000000002</v>
      </c>
      <c r="F41" s="147" t="s">
        <v>223</v>
      </c>
      <c r="G41" s="148">
        <v>6.6826150000000002</v>
      </c>
      <c r="Q41" t="s">
        <v>945</v>
      </c>
      <c r="R41" t="s">
        <v>201</v>
      </c>
    </row>
    <row r="42" spans="1:21" ht="15" customHeight="1" x14ac:dyDescent="0.25">
      <c r="A42" s="143" t="s">
        <v>946</v>
      </c>
      <c r="B42" s="144" t="str">
        <f>коэффициенты!E35</f>
        <v>Березовский_2</v>
      </c>
      <c r="C42" s="43" t="str">
        <f t="shared" si="0"/>
        <v>Березовский_2</v>
      </c>
      <c r="D42" s="145">
        <f>коэффициенты!G35</f>
        <v>0.41399999999999998</v>
      </c>
      <c r="E42" s="146">
        <v>8.0010340000000006</v>
      </c>
      <c r="F42" s="147" t="s">
        <v>946</v>
      </c>
      <c r="G42" s="148">
        <v>8.0010340000000006</v>
      </c>
      <c r="Q42" t="s">
        <v>947</v>
      </c>
      <c r="R42" t="s">
        <v>201</v>
      </c>
    </row>
    <row r="43" spans="1:21" ht="15" customHeight="1" x14ac:dyDescent="0.25">
      <c r="A43" s="143" t="str">
        <f>коэффициенты!D36</f>
        <v>degt_1</v>
      </c>
      <c r="B43" s="144" t="str">
        <f>коэффициенты!E36</f>
        <v>Дегтярский_1</v>
      </c>
      <c r="C43" s="43" t="str">
        <f t="shared" si="0"/>
        <v>Дегтярский_1</v>
      </c>
      <c r="D43" s="145">
        <f>коэффициенты!G36</f>
        <v>0.2888</v>
      </c>
      <c r="E43" s="146">
        <v>5.2157249999999999</v>
      </c>
      <c r="F43" s="147" t="s">
        <v>227</v>
      </c>
      <c r="G43" s="148">
        <v>5.2157249999999999</v>
      </c>
      <c r="Q43" t="s">
        <v>948</v>
      </c>
      <c r="R43" t="s">
        <v>201</v>
      </c>
    </row>
    <row r="44" spans="1:21" ht="15" customHeight="1" x14ac:dyDescent="0.25">
      <c r="A44" s="143" t="str">
        <f>коэффициенты!D37</f>
        <v>pole_1</v>
      </c>
      <c r="B44" s="144" t="str">
        <f>коэффициенты!E37</f>
        <v>Полевской_1</v>
      </c>
      <c r="C44" s="43" t="str">
        <f t="shared" si="0"/>
        <v>Полевской_1</v>
      </c>
      <c r="D44" s="145">
        <f>коэффициенты!G37</f>
        <v>0.30840000000000001</v>
      </c>
      <c r="E44" s="146">
        <v>8.0994089999999996</v>
      </c>
      <c r="F44" s="147" t="s">
        <v>229</v>
      </c>
      <c r="G44" s="148">
        <v>8.0994089999999996</v>
      </c>
      <c r="Q44" t="s">
        <v>949</v>
      </c>
      <c r="R44" t="s">
        <v>201</v>
      </c>
    </row>
    <row r="45" spans="1:21" ht="15" customHeight="1" x14ac:dyDescent="0.25">
      <c r="A45" s="143" t="str">
        <f>коэффициенты!D38</f>
        <v>pole_2</v>
      </c>
      <c r="B45" s="144" t="str">
        <f>коэффициенты!E38</f>
        <v>Полевской_2</v>
      </c>
      <c r="C45" s="43" t="str">
        <f t="shared" si="0"/>
        <v>Полевской_2</v>
      </c>
      <c r="D45" s="145">
        <f>коэффициенты!G38</f>
        <v>0.47789999999999999</v>
      </c>
      <c r="E45" s="146">
        <v>6.1646190000000001</v>
      </c>
      <c r="F45" s="147" t="s">
        <v>231</v>
      </c>
      <c r="G45" s="148">
        <v>6.1646190000000001</v>
      </c>
      <c r="Q45" t="s">
        <v>950</v>
      </c>
      <c r="R45" t="s">
        <v>201</v>
      </c>
    </row>
    <row r="46" spans="1:21" ht="15" customHeight="1" x14ac:dyDescent="0.25">
      <c r="A46" s="143" t="str">
        <f>коэффициенты!D39</f>
        <v>pole_3</v>
      </c>
      <c r="B46" s="144" t="str">
        <f>коэффициенты!E39</f>
        <v>Полевской_3</v>
      </c>
      <c r="C46" s="43" t="str">
        <f t="shared" si="0"/>
        <v>Полевской_3</v>
      </c>
      <c r="D46" s="145">
        <f>коэффициенты!G39</f>
        <v>0.50270000000000004</v>
      </c>
      <c r="E46" s="146">
        <v>5.1305319999999996</v>
      </c>
      <c r="F46" s="147" t="s">
        <v>233</v>
      </c>
      <c r="G46" s="148">
        <v>5.1305319999999996</v>
      </c>
      <c r="Q46" t="s">
        <v>951</v>
      </c>
      <c r="R46" t="s">
        <v>201</v>
      </c>
    </row>
    <row r="47" spans="1:21" ht="15" customHeight="1" x14ac:dyDescent="0.25">
      <c r="A47" s="143" t="str">
        <f>коэффициенты!D40</f>
        <v>purl_1</v>
      </c>
      <c r="B47" s="144" t="str">
        <f>коэффициенты!E40</f>
        <v>Первоуральск_1</v>
      </c>
      <c r="C47" s="43" t="str">
        <f t="shared" si="0"/>
        <v>Первоуральск_1</v>
      </c>
      <c r="D47" s="145">
        <f>коэффициенты!G40</f>
        <v>0.51739999999999997</v>
      </c>
      <c r="E47" s="146">
        <v>5.2471290000000002</v>
      </c>
      <c r="F47" s="147" t="s">
        <v>235</v>
      </c>
      <c r="G47" s="148">
        <v>5.2471290000000002</v>
      </c>
      <c r="Q47" t="s">
        <v>952</v>
      </c>
      <c r="R47" t="s">
        <v>201</v>
      </c>
    </row>
    <row r="48" spans="1:21" ht="15" customHeight="1" x14ac:dyDescent="0.25">
      <c r="A48" s="143" t="str">
        <f>коэффициенты!D41</f>
        <v>purl_2</v>
      </c>
      <c r="B48" s="144" t="str">
        <f>коэффициенты!E41</f>
        <v>Первоуральск_2</v>
      </c>
      <c r="C48" s="43" t="str">
        <f t="shared" si="0"/>
        <v>Первоуральск_2</v>
      </c>
      <c r="D48" s="145">
        <f>коэффициенты!G41</f>
        <v>1.3766</v>
      </c>
      <c r="E48" s="146">
        <v>5.9671060000000002</v>
      </c>
      <c r="F48" s="147" t="s">
        <v>237</v>
      </c>
      <c r="G48" s="148">
        <v>5.9671060000000002</v>
      </c>
      <c r="Q48" t="s">
        <v>953</v>
      </c>
      <c r="R48" t="s">
        <v>201</v>
      </c>
    </row>
    <row r="49" spans="1:18" ht="15" customHeight="1" x14ac:dyDescent="0.25">
      <c r="A49" s="143" t="str">
        <f>коэффициенты!D42</f>
        <v>purl_3</v>
      </c>
      <c r="B49" s="144" t="str">
        <f>коэффициенты!E42</f>
        <v>Первоуральск_3</v>
      </c>
      <c r="C49" s="43" t="str">
        <f t="shared" si="0"/>
        <v>Первоуральск_3</v>
      </c>
      <c r="D49" s="145">
        <f>коэффициенты!G42</f>
        <v>0.3236</v>
      </c>
      <c r="E49" s="146">
        <v>5.8269820000000001</v>
      </c>
      <c r="F49" s="147" t="s">
        <v>239</v>
      </c>
      <c r="G49" s="148">
        <v>5.8269820000000001</v>
      </c>
      <c r="Q49" t="s">
        <v>954</v>
      </c>
      <c r="R49" t="s">
        <v>201</v>
      </c>
    </row>
    <row r="50" spans="1:18" ht="15" customHeight="1" x14ac:dyDescent="0.25">
      <c r="A50" s="143" t="str">
        <f>коэффициенты!D43</f>
        <v>purl_4</v>
      </c>
      <c r="B50" s="144" t="str">
        <f>коэффициенты!E43</f>
        <v>Первоуральск_4</v>
      </c>
      <c r="C50" s="43" t="str">
        <f t="shared" si="0"/>
        <v>Первоуральск_4</v>
      </c>
      <c r="D50" s="145">
        <f>коэффициенты!G43</f>
        <v>0.22159999999999999</v>
      </c>
      <c r="E50" s="146">
        <v>6.3166710000000004</v>
      </c>
      <c r="F50" s="147" t="s">
        <v>241</v>
      </c>
      <c r="G50" s="148">
        <v>6.3166710000000004</v>
      </c>
      <c r="Q50" t="s">
        <v>955</v>
      </c>
      <c r="R50" t="s">
        <v>201</v>
      </c>
    </row>
    <row r="51" spans="1:18" ht="15" customHeight="1" x14ac:dyDescent="0.25">
      <c r="A51" s="143" t="str">
        <f>коэффициенты!D44</f>
        <v>purl_5</v>
      </c>
      <c r="B51" s="144" t="str">
        <f>коэффициенты!E44</f>
        <v>Первоуральск_5</v>
      </c>
      <c r="C51" s="43" t="str">
        <f t="shared" si="0"/>
        <v>Первоуральск_5</v>
      </c>
      <c r="D51" s="145">
        <f>коэффициенты!G44</f>
        <v>0.17749999999999999</v>
      </c>
      <c r="E51" s="146">
        <v>7.273847</v>
      </c>
      <c r="F51" s="147" t="s">
        <v>243</v>
      </c>
      <c r="G51" s="148">
        <v>7.273847</v>
      </c>
      <c r="Q51" t="s">
        <v>956</v>
      </c>
      <c r="R51" t="s">
        <v>201</v>
      </c>
    </row>
    <row r="52" spans="1:18" ht="15" customHeight="1" x14ac:dyDescent="0.25">
      <c r="A52" s="143" t="str">
        <f>коэффициенты!D45</f>
        <v>purl_6</v>
      </c>
      <c r="B52" s="144" t="str">
        <f>коэффициенты!E45</f>
        <v>Первоуральск_6</v>
      </c>
      <c r="C52" s="43" t="str">
        <f t="shared" si="0"/>
        <v>Первоуральск_6</v>
      </c>
      <c r="D52" s="145">
        <f>коэффициенты!G45</f>
        <v>1.1451</v>
      </c>
      <c r="E52" s="146">
        <v>9.0048739999999992</v>
      </c>
      <c r="F52" s="147" t="s">
        <v>245</v>
      </c>
      <c r="G52" s="148">
        <v>9.0048739999999992</v>
      </c>
      <c r="Q52" t="s">
        <v>957</v>
      </c>
      <c r="R52" t="s">
        <v>201</v>
      </c>
    </row>
    <row r="53" spans="1:18" ht="15" customHeight="1" x14ac:dyDescent="0.25">
      <c r="A53" s="143" t="str">
        <f>коэффициенты!D46</f>
        <v>revd_1</v>
      </c>
      <c r="B53" s="144" t="str">
        <f>коэффициенты!E46</f>
        <v>Ревдинский_1</v>
      </c>
      <c r="C53" s="43" t="str">
        <f t="shared" si="0"/>
        <v>Ревдинский_1</v>
      </c>
      <c r="D53" s="145">
        <f>коэффициенты!G46</f>
        <v>0.28349999999999997</v>
      </c>
      <c r="E53" s="146">
        <v>5.0717100000000004</v>
      </c>
      <c r="F53" s="147" t="s">
        <v>247</v>
      </c>
      <c r="G53" s="148">
        <v>5.0717100000000004</v>
      </c>
      <c r="Q53" t="s">
        <v>958</v>
      </c>
      <c r="R53" t="s">
        <v>201</v>
      </c>
    </row>
    <row r="54" spans="1:18" ht="15" customHeight="1" x14ac:dyDescent="0.25">
      <c r="A54" s="143" t="str">
        <f>коэффициенты!D47</f>
        <v>revd_2</v>
      </c>
      <c r="B54" s="144" t="str">
        <f>коэффициенты!E47</f>
        <v>Ревдинский_2</v>
      </c>
      <c r="C54" s="43" t="str">
        <f t="shared" si="0"/>
        <v>Ревдинский_2</v>
      </c>
      <c r="D54" s="145">
        <f>коэффициенты!G47</f>
        <v>0.65859999999999996</v>
      </c>
      <c r="E54" s="146">
        <v>5</v>
      </c>
      <c r="F54" s="147" t="s">
        <v>249</v>
      </c>
      <c r="G54" s="148">
        <v>5</v>
      </c>
      <c r="Q54" t="s">
        <v>959</v>
      </c>
      <c r="R54" t="s">
        <v>201</v>
      </c>
    </row>
    <row r="55" spans="1:18" ht="15" customHeight="1" x14ac:dyDescent="0.25">
      <c r="A55" s="143" t="str">
        <f>коэффициенты!D48</f>
        <v>revd_3</v>
      </c>
      <c r="B55" s="144" t="str">
        <f>коэффициенты!E48</f>
        <v>Ревдинский_3</v>
      </c>
      <c r="C55" s="43" t="str">
        <f t="shared" si="0"/>
        <v>Ревдинский_3</v>
      </c>
      <c r="D55" s="145">
        <f>коэффициенты!G48</f>
        <v>0.22259999999999999</v>
      </c>
      <c r="E55" s="146">
        <v>11.245514</v>
      </c>
      <c r="F55" s="147" t="s">
        <v>251</v>
      </c>
      <c r="G55" s="148">
        <v>11.245514</v>
      </c>
      <c r="Q55" t="s">
        <v>960</v>
      </c>
      <c r="R55" t="s">
        <v>201</v>
      </c>
    </row>
    <row r="56" spans="1:18" ht="15" customHeight="1" x14ac:dyDescent="0.25">
      <c r="A56" s="143" t="str">
        <f>коэффициенты!D49</f>
        <v>surl_1</v>
      </c>
      <c r="B56" s="144" t="str">
        <f>коэффициенты!E49</f>
        <v>Среднеуральский_1</v>
      </c>
      <c r="C56" s="43" t="str">
        <f t="shared" si="0"/>
        <v>Среднеуральский_1</v>
      </c>
      <c r="D56" s="145">
        <f>коэффициенты!G49</f>
        <v>1.2821</v>
      </c>
      <c r="E56" s="146">
        <v>5.1156579999999998</v>
      </c>
      <c r="F56" s="147" t="s">
        <v>253</v>
      </c>
      <c r="G56" s="148">
        <v>5.1156579999999998</v>
      </c>
      <c r="Q56" t="s">
        <v>961</v>
      </c>
      <c r="R56" t="s">
        <v>201</v>
      </c>
    </row>
    <row r="57" spans="1:18" ht="15" customHeight="1" x14ac:dyDescent="0.25">
      <c r="A57" s="143" t="str">
        <f>коэффициенты!D50</f>
        <v>surl_2</v>
      </c>
      <c r="B57" s="144" t="str">
        <f>коэффициенты!E50</f>
        <v>Среднеуральский_2</v>
      </c>
      <c r="C57" s="43" t="str">
        <f t="shared" si="0"/>
        <v>Среднеуральский_2</v>
      </c>
      <c r="D57" s="145">
        <f>коэффициенты!G50</f>
        <v>1.2999000000000001</v>
      </c>
      <c r="E57" s="146">
        <v>5</v>
      </c>
      <c r="F57" s="147" t="s">
        <v>255</v>
      </c>
      <c r="G57" s="148">
        <v>5</v>
      </c>
      <c r="Q57" t="s">
        <v>962</v>
      </c>
      <c r="R57" t="s">
        <v>201</v>
      </c>
    </row>
    <row r="58" spans="1:18" ht="15" customHeight="1" x14ac:dyDescent="0.25">
      <c r="A58" s="143" t="str">
        <f>коэффициенты!D51</f>
        <v>sysr_1</v>
      </c>
      <c r="B58" s="144" t="str">
        <f>коэффициенты!E51</f>
        <v>Сысертский_1</v>
      </c>
      <c r="C58" s="43" t="str">
        <f t="shared" si="0"/>
        <v>Сысертский_1</v>
      </c>
      <c r="D58" s="145">
        <f>коэффициенты!G51</f>
        <v>0.69850000000000001</v>
      </c>
      <c r="E58" s="146">
        <v>5</v>
      </c>
      <c r="F58" s="147" t="s">
        <v>257</v>
      </c>
      <c r="G58" s="148">
        <v>5</v>
      </c>
      <c r="Q58" t="s">
        <v>963</v>
      </c>
      <c r="R58" t="s">
        <v>201</v>
      </c>
    </row>
    <row r="59" spans="1:18" ht="15" customHeight="1" x14ac:dyDescent="0.25">
      <c r="A59" s="143" t="str">
        <f>коэффициенты!D52</f>
        <v>sysr_10</v>
      </c>
      <c r="B59" s="144" t="str">
        <f>коэффициенты!E52</f>
        <v>Сысертский_10</v>
      </c>
      <c r="C59" s="43" t="str">
        <f t="shared" si="0"/>
        <v>Сысертский_10</v>
      </c>
      <c r="D59" s="145">
        <f>коэффициенты!G52</f>
        <v>0.39360000000000001</v>
      </c>
      <c r="E59" s="146">
        <v>5</v>
      </c>
      <c r="F59" s="147" t="s">
        <v>259</v>
      </c>
      <c r="G59" s="148">
        <v>5</v>
      </c>
      <c r="Q59" t="s">
        <v>964</v>
      </c>
      <c r="R59" t="s">
        <v>203</v>
      </c>
    </row>
    <row r="60" spans="1:18" ht="15" customHeight="1" x14ac:dyDescent="0.25">
      <c r="A60" s="143" t="str">
        <f>коэффициенты!D53</f>
        <v>sysr_11</v>
      </c>
      <c r="B60" s="144" t="str">
        <f>коэффициенты!E53</f>
        <v>Сысертский_11</v>
      </c>
      <c r="C60" s="43" t="str">
        <f t="shared" si="0"/>
        <v>Сысертский_11</v>
      </c>
      <c r="D60" s="145">
        <f>коэффициенты!G53</f>
        <v>0.49399999999999999</v>
      </c>
      <c r="E60" s="146">
        <v>5</v>
      </c>
      <c r="F60" s="147" t="s">
        <v>261</v>
      </c>
      <c r="G60" s="148">
        <v>5</v>
      </c>
      <c r="Q60" t="s">
        <v>965</v>
      </c>
      <c r="R60" t="s">
        <v>203</v>
      </c>
    </row>
    <row r="61" spans="1:18" ht="15" customHeight="1" x14ac:dyDescent="0.25">
      <c r="A61" s="143" t="str">
        <f>коэффициенты!D54</f>
        <v>sysr_12</v>
      </c>
      <c r="B61" s="144" t="str">
        <f>коэффициенты!E54</f>
        <v>Сысертский_12</v>
      </c>
      <c r="C61" s="43" t="str">
        <f t="shared" si="0"/>
        <v>Сысертский_12</v>
      </c>
      <c r="D61" s="145">
        <f>коэффициенты!G54</f>
        <v>0.60419999999999996</v>
      </c>
      <c r="E61" s="146">
        <v>5</v>
      </c>
      <c r="F61" s="147" t="s">
        <v>263</v>
      </c>
      <c r="G61" s="148">
        <v>5</v>
      </c>
      <c r="Q61" t="s">
        <v>966</v>
      </c>
      <c r="R61" t="s">
        <v>203</v>
      </c>
    </row>
    <row r="62" spans="1:18" ht="15" customHeight="1" x14ac:dyDescent="0.25">
      <c r="A62" s="143" t="str">
        <f>коэффициенты!D55</f>
        <v>sysr_13</v>
      </c>
      <c r="B62" s="144" t="str">
        <f>коэффициенты!E55</f>
        <v>Сысертский_13</v>
      </c>
      <c r="C62" s="43" t="str">
        <f t="shared" si="0"/>
        <v>Сысертский_13</v>
      </c>
      <c r="D62" s="145">
        <f>коэффициенты!G55</f>
        <v>0.36780000000000002</v>
      </c>
      <c r="E62" s="146">
        <v>5</v>
      </c>
      <c r="F62" s="147" t="s">
        <v>265</v>
      </c>
      <c r="G62" s="148">
        <v>5</v>
      </c>
      <c r="Q62" t="s">
        <v>967</v>
      </c>
      <c r="R62" t="s">
        <v>203</v>
      </c>
    </row>
    <row r="63" spans="1:18" ht="15" customHeight="1" x14ac:dyDescent="0.25">
      <c r="A63" s="143" t="str">
        <f>коэффициенты!D56</f>
        <v>sysr_14</v>
      </c>
      <c r="B63" s="144" t="str">
        <f>коэффициенты!E56</f>
        <v>Сысертский_14</v>
      </c>
      <c r="C63" s="43" t="str">
        <f t="shared" si="0"/>
        <v>Сысертский_14</v>
      </c>
      <c r="D63" s="145">
        <f>коэффициенты!G56</f>
        <v>0.67630000000000001</v>
      </c>
      <c r="E63" s="146">
        <v>5</v>
      </c>
      <c r="F63" s="147" t="s">
        <v>267</v>
      </c>
      <c r="G63" s="148">
        <v>5</v>
      </c>
      <c r="Q63" t="s">
        <v>968</v>
      </c>
      <c r="R63" t="s">
        <v>203</v>
      </c>
    </row>
    <row r="64" spans="1:18" ht="15" customHeight="1" x14ac:dyDescent="0.25">
      <c r="A64" s="143" t="str">
        <f>коэффициенты!D57</f>
        <v>sysr_15</v>
      </c>
      <c r="B64" s="144" t="str">
        <f>коэффициенты!E57</f>
        <v>Сысертский_15</v>
      </c>
      <c r="C64" s="43" t="str">
        <f t="shared" si="0"/>
        <v>Сысертский_15</v>
      </c>
      <c r="D64" s="145">
        <f>коэффициенты!G57</f>
        <v>0.60299999999999998</v>
      </c>
      <c r="E64" s="146">
        <v>5</v>
      </c>
      <c r="F64" s="147" t="s">
        <v>269</v>
      </c>
      <c r="G64" s="148">
        <v>5</v>
      </c>
      <c r="Q64" t="s">
        <v>969</v>
      </c>
      <c r="R64" t="s">
        <v>203</v>
      </c>
    </row>
    <row r="65" spans="1:21" ht="15" customHeight="1" x14ac:dyDescent="0.25">
      <c r="A65" s="143" t="str">
        <f>коэффициенты!D58</f>
        <v>sysr_16</v>
      </c>
      <c r="B65" s="144" t="str">
        <f>коэффициенты!E58</f>
        <v>Сысертский_16</v>
      </c>
      <c r="C65" s="43" t="str">
        <f t="shared" si="0"/>
        <v>Сысертский_16</v>
      </c>
      <c r="D65" s="145">
        <f>коэффициенты!G58</f>
        <v>0.7127</v>
      </c>
      <c r="E65" s="146">
        <v>5</v>
      </c>
      <c r="F65" s="147" t="s">
        <v>271</v>
      </c>
      <c r="G65" s="148">
        <v>5</v>
      </c>
      <c r="Q65" t="s">
        <v>970</v>
      </c>
      <c r="R65" t="s">
        <v>203</v>
      </c>
    </row>
    <row r="66" spans="1:21" ht="15" customHeight="1" x14ac:dyDescent="0.25">
      <c r="A66" s="143" t="str">
        <f>коэффициенты!D59</f>
        <v>sysr_17</v>
      </c>
      <c r="B66" s="144" t="str">
        <f>коэффициенты!E59</f>
        <v>Сысертский_17</v>
      </c>
      <c r="C66" s="43" t="str">
        <f t="shared" si="0"/>
        <v>Сысертский_17</v>
      </c>
      <c r="D66" s="145">
        <f>коэффициенты!G59</f>
        <v>0.70960000000000001</v>
      </c>
      <c r="E66" s="146">
        <v>5</v>
      </c>
      <c r="F66" s="147" t="s">
        <v>273</v>
      </c>
      <c r="G66" s="148">
        <v>5</v>
      </c>
      <c r="Q66" t="s">
        <v>971</v>
      </c>
      <c r="R66" t="s">
        <v>203</v>
      </c>
    </row>
    <row r="67" spans="1:21" ht="15" customHeight="1" x14ac:dyDescent="0.25">
      <c r="A67" s="143" t="str">
        <f>коэффициенты!D60</f>
        <v>sysr_18</v>
      </c>
      <c r="B67" s="144" t="str">
        <f>коэффициенты!E60</f>
        <v>Сысертский_18</v>
      </c>
      <c r="C67" s="43" t="str">
        <f t="shared" si="0"/>
        <v>Сысертский_18</v>
      </c>
      <c r="D67" s="145">
        <f>коэффициенты!G60</f>
        <v>0.85540000000000005</v>
      </c>
      <c r="E67" s="146">
        <v>5.0126879999999998</v>
      </c>
      <c r="F67" s="147" t="s">
        <v>275</v>
      </c>
      <c r="G67" s="148">
        <v>5.0126879999999998</v>
      </c>
      <c r="Q67" t="s">
        <v>972</v>
      </c>
      <c r="R67" t="s">
        <v>203</v>
      </c>
    </row>
    <row r="68" spans="1:21" ht="15" customHeight="1" x14ac:dyDescent="0.25">
      <c r="A68" s="143" t="str">
        <f>коэффициенты!D61</f>
        <v>sysr_19</v>
      </c>
      <c r="B68" s="144" t="str">
        <f>коэффициенты!E61</f>
        <v>Сысертский_19</v>
      </c>
      <c r="C68" s="43" t="str">
        <f t="shared" si="0"/>
        <v>Сысертский_19</v>
      </c>
      <c r="D68" s="145">
        <f>коэффициенты!G61</f>
        <v>0.67069999999999996</v>
      </c>
      <c r="E68" s="146">
        <v>5.9524900000000001</v>
      </c>
      <c r="F68" s="147" t="s">
        <v>277</v>
      </c>
      <c r="G68" s="148">
        <v>5.9524900000000001</v>
      </c>
      <c r="Q68" t="s">
        <v>973</v>
      </c>
      <c r="R68" t="s">
        <v>203</v>
      </c>
    </row>
    <row r="69" spans="1:21" ht="15" customHeight="1" x14ac:dyDescent="0.25">
      <c r="A69" s="143" t="str">
        <f>коэффициенты!D62</f>
        <v>sysr_2</v>
      </c>
      <c r="B69" s="144" t="str">
        <f>коэффициенты!E62</f>
        <v>Сысертский_2</v>
      </c>
      <c r="C69" s="43" t="str">
        <f t="shared" si="0"/>
        <v>Сысертский_2</v>
      </c>
      <c r="D69" s="145">
        <f>коэффициенты!G62</f>
        <v>0.64319999999999999</v>
      </c>
      <c r="E69" s="146">
        <v>5</v>
      </c>
      <c r="F69" s="147" t="s">
        <v>279</v>
      </c>
      <c r="G69" s="148">
        <v>5</v>
      </c>
      <c r="Q69" t="s">
        <v>974</v>
      </c>
      <c r="R69" t="s">
        <v>219</v>
      </c>
    </row>
    <row r="70" spans="1:21" ht="15" customHeight="1" x14ac:dyDescent="0.25">
      <c r="A70" s="143" t="str">
        <f>коэффициенты!D63</f>
        <v>sysr_20</v>
      </c>
      <c r="B70" s="144" t="str">
        <f>коэффициенты!E63</f>
        <v>Сысертский_20</v>
      </c>
      <c r="C70" s="43" t="str">
        <f t="shared" si="0"/>
        <v>Сысертский_20</v>
      </c>
      <c r="D70" s="145">
        <f>коэффициенты!G63</f>
        <v>0.70120000000000005</v>
      </c>
      <c r="E70" s="146">
        <v>5</v>
      </c>
      <c r="F70" s="147" t="s">
        <v>281</v>
      </c>
      <c r="G70" s="148">
        <v>5</v>
      </c>
      <c r="Q70" t="s">
        <v>975</v>
      </c>
      <c r="R70" t="s">
        <v>219</v>
      </c>
    </row>
    <row r="71" spans="1:21" ht="15" customHeight="1" x14ac:dyDescent="0.25">
      <c r="A71" s="143" t="str">
        <f>коэффициенты!D64</f>
        <v>sysr_21</v>
      </c>
      <c r="B71" s="144" t="str">
        <f>коэффициенты!E64</f>
        <v>Сысертский_21</v>
      </c>
      <c r="C71" s="43" t="str">
        <f t="shared" si="0"/>
        <v>Сысертский_21</v>
      </c>
      <c r="D71" s="145">
        <f>коэффициенты!G64</f>
        <v>1.0531999999999999</v>
      </c>
      <c r="E71" s="146">
        <v>5.0349190000000004</v>
      </c>
      <c r="F71" s="147" t="s">
        <v>283</v>
      </c>
      <c r="G71" s="148">
        <v>5.0349190000000004</v>
      </c>
      <c r="Q71" t="s">
        <v>976</v>
      </c>
      <c r="R71" t="s">
        <v>219</v>
      </c>
      <c r="S71" s="151"/>
      <c r="T71" s="151"/>
      <c r="U71" s="151"/>
    </row>
    <row r="72" spans="1:21" ht="15" customHeight="1" x14ac:dyDescent="0.25">
      <c r="A72" s="143" t="str">
        <f>коэффициенты!D65</f>
        <v>sysr_22</v>
      </c>
      <c r="B72" s="144" t="str">
        <f>коэффициенты!E65</f>
        <v>Сысертский_22</v>
      </c>
      <c r="C72" s="43" t="str">
        <f t="shared" si="0"/>
        <v>Сысертский_22</v>
      </c>
      <c r="D72" s="145">
        <f>коэффициенты!G65</f>
        <v>0.31140000000000001</v>
      </c>
      <c r="E72" s="146">
        <v>5.1270020000000001</v>
      </c>
      <c r="F72" s="147" t="s">
        <v>285</v>
      </c>
      <c r="G72" s="148">
        <v>5.1270020000000001</v>
      </c>
      <c r="Q72" t="s">
        <v>977</v>
      </c>
      <c r="R72" t="s">
        <v>221</v>
      </c>
    </row>
    <row r="73" spans="1:21" ht="15" customHeight="1" x14ac:dyDescent="0.25">
      <c r="A73" s="143" t="str">
        <f>коэффициенты!D66</f>
        <v>sysr_23</v>
      </c>
      <c r="B73" s="144" t="str">
        <f>коэффициенты!E66</f>
        <v>Сысертский_23</v>
      </c>
      <c r="C73" s="43" t="str">
        <f t="shared" si="0"/>
        <v>Сысертский_23</v>
      </c>
      <c r="D73" s="145">
        <f>коэффициенты!G66</f>
        <v>0.47210000000000002</v>
      </c>
      <c r="E73" s="146">
        <v>5</v>
      </c>
      <c r="F73" s="147" t="s">
        <v>287</v>
      </c>
      <c r="G73" s="148">
        <v>5</v>
      </c>
      <c r="Q73" t="s">
        <v>978</v>
      </c>
      <c r="R73" t="s">
        <v>221</v>
      </c>
      <c r="S73" s="152"/>
      <c r="T73" s="152"/>
      <c r="U73" s="152"/>
    </row>
    <row r="74" spans="1:21" ht="15" customHeight="1" x14ac:dyDescent="0.25">
      <c r="A74" s="143" t="str">
        <f>коэффициенты!D67</f>
        <v>sysr_24</v>
      </c>
      <c r="B74" s="144" t="str">
        <f>коэффициенты!E67</f>
        <v>Сысертский_24</v>
      </c>
      <c r="C74" s="43" t="str">
        <f t="shared" si="0"/>
        <v>Сысертский_24</v>
      </c>
      <c r="D74" s="145">
        <f>коэффициенты!G67</f>
        <v>0.47210000000000002</v>
      </c>
      <c r="E74" s="146">
        <v>5</v>
      </c>
      <c r="F74" s="147" t="s">
        <v>289</v>
      </c>
      <c r="G74" s="148">
        <v>5</v>
      </c>
      <c r="Q74" t="s">
        <v>979</v>
      </c>
      <c r="R74" t="s">
        <v>221</v>
      </c>
    </row>
    <row r="75" spans="1:21" ht="15" customHeight="1" x14ac:dyDescent="0.25">
      <c r="A75" s="143" t="str">
        <f>коэффициенты!D68</f>
        <v>sysr_25</v>
      </c>
      <c r="B75" s="144" t="str">
        <f>коэффициенты!E68</f>
        <v>Сысертский_25</v>
      </c>
      <c r="C75" s="43" t="str">
        <f t="shared" si="0"/>
        <v>Сысертский_25</v>
      </c>
      <c r="D75" s="145">
        <f>коэффициенты!G68</f>
        <v>0.31140000000000001</v>
      </c>
      <c r="E75" s="146">
        <v>5</v>
      </c>
      <c r="F75" s="147" t="s">
        <v>291</v>
      </c>
      <c r="G75" s="148">
        <v>5</v>
      </c>
      <c r="Q75" t="s">
        <v>980</v>
      </c>
      <c r="R75" t="s">
        <v>221</v>
      </c>
      <c r="S75" s="113" t="s">
        <v>981</v>
      </c>
      <c r="T75" s="113" t="s">
        <v>982</v>
      </c>
      <c r="U75" s="113" t="s">
        <v>983</v>
      </c>
    </row>
    <row r="76" spans="1:21" ht="15" customHeight="1" x14ac:dyDescent="0.25">
      <c r="A76" s="143" t="str">
        <f>коэффициенты!D69</f>
        <v>sysr_26</v>
      </c>
      <c r="B76" s="144" t="str">
        <f>коэффициенты!E69</f>
        <v>Сысертский_26</v>
      </c>
      <c r="C76" s="43" t="str">
        <f t="shared" si="0"/>
        <v>Сысертский_26</v>
      </c>
      <c r="D76" s="145">
        <f>коэффициенты!G69</f>
        <v>0.47210000000000002</v>
      </c>
      <c r="E76" s="146">
        <v>6.1598470000000001</v>
      </c>
      <c r="F76" s="147" t="s">
        <v>293</v>
      </c>
      <c r="G76" s="148">
        <v>6.1598470000000001</v>
      </c>
      <c r="Q76" t="s">
        <v>984</v>
      </c>
      <c r="R76" t="s">
        <v>221</v>
      </c>
      <c r="S76" s="43"/>
      <c r="U76" s="43" t="s">
        <v>985</v>
      </c>
    </row>
    <row r="77" spans="1:21" ht="15" customHeight="1" x14ac:dyDescent="0.25">
      <c r="A77" s="143" t="str">
        <f>коэффициенты!D70</f>
        <v>sysr_3</v>
      </c>
      <c r="B77" s="144" t="str">
        <f>коэффициенты!E70</f>
        <v>Сысертский_3</v>
      </c>
      <c r="C77" s="43" t="str">
        <f t="shared" si="0"/>
        <v>Сысертский_3</v>
      </c>
      <c r="D77" s="145">
        <f>коэффициенты!G70</f>
        <v>1.0501</v>
      </c>
      <c r="E77" s="146">
        <v>5.034567</v>
      </c>
      <c r="F77" s="147" t="s">
        <v>295</v>
      </c>
      <c r="G77" s="148">
        <v>5.034567</v>
      </c>
      <c r="Q77" t="s">
        <v>986</v>
      </c>
      <c r="R77" t="s">
        <v>221</v>
      </c>
      <c r="S77" s="43">
        <v>5</v>
      </c>
      <c r="T77" s="153">
        <f>(9.167685587011E-08*(S77)^4+0.0000152896622956704*(S77)^3-0.00161875861673315*(S77)^2+0.0151997782316484*(S77)+0.962501568438211)</f>
        <v>1.0000000000000018</v>
      </c>
      <c r="U77">
        <f>LN(T77)</f>
        <v>1.7763568394002489E-15</v>
      </c>
    </row>
    <row r="78" spans="1:21" ht="15" customHeight="1" x14ac:dyDescent="0.25">
      <c r="A78" s="143" t="str">
        <f>коэффициенты!D71</f>
        <v>sysr_4</v>
      </c>
      <c r="B78" s="144" t="str">
        <f>коэффициенты!E71</f>
        <v>Сысертский_4</v>
      </c>
      <c r="C78" s="43" t="str">
        <f t="shared" si="0"/>
        <v>Сысертский_4</v>
      </c>
      <c r="D78" s="145">
        <f>коэффициенты!G71</f>
        <v>0.36299999999999999</v>
      </c>
      <c r="E78" s="146">
        <v>5</v>
      </c>
      <c r="F78" s="147" t="s">
        <v>297</v>
      </c>
      <c r="G78" s="148">
        <v>5</v>
      </c>
      <c r="Q78" t="s">
        <v>987</v>
      </c>
      <c r="R78" t="s">
        <v>215</v>
      </c>
      <c r="S78" s="43">
        <v>27.5</v>
      </c>
      <c r="T78" s="153">
        <f>(9.167685587011E-08*(S78)^4+0.0000152896622956704*(S78)^3-0.00161875861673315*(S78)^2+0.0151997782316484*(S78)+0.962501568438211)</f>
        <v>0.52671774453726927</v>
      </c>
      <c r="U78">
        <f>LN(T78)</f>
        <v>-0.64109046303319772</v>
      </c>
    </row>
    <row r="79" spans="1:21" ht="15" customHeight="1" x14ac:dyDescent="0.25">
      <c r="A79" s="143" t="str">
        <f>коэффициенты!D72</f>
        <v>sysr_5</v>
      </c>
      <c r="B79" s="144" t="str">
        <f>коэффициенты!E72</f>
        <v>Сысертский_5</v>
      </c>
      <c r="C79" s="43" t="str">
        <f t="shared" si="0"/>
        <v>Сысертский_5</v>
      </c>
      <c r="D79" s="145">
        <f>коэффициенты!G72</f>
        <v>0.51149999999999995</v>
      </c>
      <c r="E79" s="146">
        <v>5.0000470000000004</v>
      </c>
      <c r="F79" s="147" t="s">
        <v>299</v>
      </c>
      <c r="G79" s="148">
        <v>5.0000470000000004</v>
      </c>
      <c r="Q79" t="s">
        <v>988</v>
      </c>
      <c r="R79" t="s">
        <v>215</v>
      </c>
      <c r="U79" s="43"/>
    </row>
    <row r="80" spans="1:21" ht="15" customHeight="1" x14ac:dyDescent="0.25">
      <c r="A80" s="143" t="str">
        <f>коэффициенты!D73</f>
        <v>sysr_6</v>
      </c>
      <c r="B80" s="144" t="str">
        <f>коэффициенты!E73</f>
        <v>Сысертский_6</v>
      </c>
      <c r="C80" s="43" t="str">
        <f t="shared" si="0"/>
        <v>Сысертский_6</v>
      </c>
      <c r="D80" s="145">
        <f>коэффициенты!G73</f>
        <v>0.36649999999999999</v>
      </c>
      <c r="E80" s="146">
        <v>5</v>
      </c>
      <c r="F80" s="147" t="s">
        <v>301</v>
      </c>
      <c r="G80" s="148">
        <v>5</v>
      </c>
      <c r="Q80" t="s">
        <v>989</v>
      </c>
      <c r="R80" t="s">
        <v>215</v>
      </c>
      <c r="S80" s="150" t="s">
        <v>896</v>
      </c>
      <c r="T80" s="191" t="s">
        <v>897</v>
      </c>
      <c r="U80" s="193"/>
    </row>
    <row r="81" spans="1:24" ht="15" customHeight="1" x14ac:dyDescent="0.25">
      <c r="A81" s="143" t="str">
        <f>коэффициенты!D74</f>
        <v>sysr_7</v>
      </c>
      <c r="B81" s="144" t="str">
        <f>коэффициенты!E74</f>
        <v>Сысертский_7</v>
      </c>
      <c r="C81" s="43" t="str">
        <f t="shared" si="0"/>
        <v>Сысертский_7</v>
      </c>
      <c r="D81" s="145">
        <f>коэффициенты!G74</f>
        <v>0.36649999999999999</v>
      </c>
      <c r="E81" s="146">
        <v>5</v>
      </c>
      <c r="F81" s="147" t="s">
        <v>303</v>
      </c>
      <c r="G81" s="148">
        <v>5</v>
      </c>
      <c r="Q81" t="s">
        <v>990</v>
      </c>
      <c r="R81" t="s">
        <v>215</v>
      </c>
      <c r="S81" s="43">
        <v>7.07</v>
      </c>
      <c r="T81">
        <f>ROUND((EXP(LN(IF(S81&lt;$H$99,$I$99,IF(S81&gt;$H$100,$I$100,(((9.167685587011E-08*(S81)^4+0.0000152896622956704*(S81)^3-0.00161875861673315*(S81)^2+0.0151997782316484*(S81)+0.962501568438211))))))*$K$98)),4)</f>
        <v>0.99619999999999997</v>
      </c>
    </row>
    <row r="82" spans="1:24" ht="15" customHeight="1" x14ac:dyDescent="0.25">
      <c r="A82" s="143" t="str">
        <f>коэффициенты!D75</f>
        <v>sysr_8</v>
      </c>
      <c r="B82" s="144" t="str">
        <f>коэффициенты!E75</f>
        <v>Сысертский_8</v>
      </c>
      <c r="C82" s="43" t="str">
        <f t="shared" si="0"/>
        <v>Сысертский_8</v>
      </c>
      <c r="D82" s="145">
        <f>коэффициенты!G75</f>
        <v>0.217</v>
      </c>
      <c r="E82" s="146">
        <v>5</v>
      </c>
      <c r="F82" s="147" t="s">
        <v>305</v>
      </c>
      <c r="G82" s="148">
        <v>5</v>
      </c>
      <c r="Q82" t="s">
        <v>991</v>
      </c>
      <c r="R82" t="s">
        <v>215</v>
      </c>
    </row>
    <row r="83" spans="1:24" ht="15" customHeight="1" x14ac:dyDescent="0.25">
      <c r="A83" s="143" t="str">
        <f>коэффициенты!D76</f>
        <v>sysr_9</v>
      </c>
      <c r="B83" s="144" t="str">
        <f>коэффициенты!E76</f>
        <v>Сысертский_9</v>
      </c>
      <c r="C83" s="43" t="str">
        <f t="shared" si="0"/>
        <v>Сысертский_9</v>
      </c>
      <c r="D83" s="145">
        <f>коэффициенты!G76</f>
        <v>0.40620000000000001</v>
      </c>
      <c r="E83" s="146">
        <v>5</v>
      </c>
      <c r="F83" s="147" t="s">
        <v>307</v>
      </c>
      <c r="G83" s="148">
        <v>5</v>
      </c>
      <c r="Q83" t="s">
        <v>992</v>
      </c>
      <c r="R83" t="s">
        <v>215</v>
      </c>
    </row>
    <row r="84" spans="1:24" ht="15" customHeight="1" x14ac:dyDescent="0.25">
      <c r="A84" s="143" t="str">
        <f>коэффициенты!D77</f>
        <v>urls_1</v>
      </c>
      <c r="B84" s="144" t="str">
        <f>коэффициенты!E77</f>
        <v>Уральский_1</v>
      </c>
      <c r="C84" s="43" t="str">
        <f t="shared" si="0"/>
        <v>Уральский_1</v>
      </c>
      <c r="D84" s="145">
        <f>коэффициенты!G77</f>
        <v>0.36299999999999999</v>
      </c>
      <c r="E84" s="146">
        <v>5</v>
      </c>
      <c r="F84" s="147" t="s">
        <v>309</v>
      </c>
      <c r="G84" s="148">
        <v>5</v>
      </c>
      <c r="Q84" t="s">
        <v>993</v>
      </c>
      <c r="R84" t="s">
        <v>215</v>
      </c>
    </row>
    <row r="85" spans="1:24" ht="15" customHeight="1" x14ac:dyDescent="0.25">
      <c r="A85" s="143" t="str">
        <f>коэффициенты!D78</f>
        <v>vdbr_1</v>
      </c>
      <c r="B85" s="144" t="str">
        <f>коэффициенты!E78</f>
        <v>Верхне-Дуброво_1</v>
      </c>
      <c r="C85" s="43" t="str">
        <f t="shared" si="0"/>
        <v>Верхне-Дуброво_1</v>
      </c>
      <c r="D85" s="145">
        <f>коэффициенты!G78</f>
        <v>0.54900000000000004</v>
      </c>
      <c r="E85" s="146">
        <v>5</v>
      </c>
      <c r="F85" s="147" t="s">
        <v>311</v>
      </c>
      <c r="G85" s="148">
        <v>5</v>
      </c>
      <c r="Q85" t="s">
        <v>994</v>
      </c>
      <c r="R85" t="s">
        <v>215</v>
      </c>
      <c r="S85" s="43"/>
    </row>
    <row r="86" spans="1:24" ht="15" customHeight="1" x14ac:dyDescent="0.25">
      <c r="A86" s="143" t="str">
        <f>коэффициенты!D79</f>
        <v>vpsh_1</v>
      </c>
      <c r="B86" s="144" t="str">
        <f>коэффициенты!E79</f>
        <v>ВерхнеПышминский_1</v>
      </c>
      <c r="C86" s="43" t="str">
        <f t="shared" si="0"/>
        <v>ВерхнеПышминский_1</v>
      </c>
      <c r="D86" s="145">
        <f>коэффициенты!G79</f>
        <v>1.3479000000000001</v>
      </c>
      <c r="E86" s="146">
        <v>6.0545109999999998</v>
      </c>
      <c r="F86" s="147" t="s">
        <v>313</v>
      </c>
      <c r="G86" s="148">
        <v>6.0545109999999998</v>
      </c>
      <c r="Q86" t="s">
        <v>995</v>
      </c>
      <c r="R86" t="s">
        <v>215</v>
      </c>
    </row>
    <row r="87" spans="1:24" ht="15" customHeight="1" x14ac:dyDescent="0.25">
      <c r="A87" s="143" t="str">
        <f>коэффициенты!D80</f>
        <v>vpsh_2</v>
      </c>
      <c r="B87" s="144" t="str">
        <f>коэффициенты!E80</f>
        <v>ВерхнеПышминский_2</v>
      </c>
      <c r="C87" s="43" t="str">
        <f t="shared" si="0"/>
        <v>ВерхнеПышминский_2</v>
      </c>
      <c r="D87" s="145">
        <f>коэффициенты!G80</f>
        <v>0.375</v>
      </c>
      <c r="E87" s="146">
        <v>8.136533</v>
      </c>
      <c r="F87" s="147" t="s">
        <v>315</v>
      </c>
      <c r="G87" s="148">
        <v>8.136533</v>
      </c>
      <c r="Q87" t="s">
        <v>996</v>
      </c>
      <c r="R87" t="s">
        <v>215</v>
      </c>
    </row>
    <row r="88" spans="1:24" ht="15" customHeight="1" x14ac:dyDescent="0.25">
      <c r="A88" s="143" t="str">
        <f>коэффициенты!D81</f>
        <v>vpsh_3</v>
      </c>
      <c r="B88" s="144" t="str">
        <f>коэффициенты!E81</f>
        <v>ВерхнеПышминский_3</v>
      </c>
      <c r="C88" s="43" t="str">
        <f t="shared" si="0"/>
        <v>ВерхнеПышминский_3</v>
      </c>
      <c r="D88" s="145">
        <f>коэффициенты!G81</f>
        <v>0.98360000000000003</v>
      </c>
      <c r="E88" s="146">
        <v>5.957821</v>
      </c>
      <c r="F88" s="147" t="s">
        <v>317</v>
      </c>
      <c r="G88" s="148">
        <v>5.957821</v>
      </c>
      <c r="Q88" t="s">
        <v>997</v>
      </c>
      <c r="R88" t="s">
        <v>215</v>
      </c>
    </row>
    <row r="89" spans="1:24" ht="15" customHeight="1" x14ac:dyDescent="0.25">
      <c r="A89" s="143" t="str">
        <f>коэффициенты!D82</f>
        <v>zare_1</v>
      </c>
      <c r="B89" s="144" t="str">
        <f>коэффициенты!E82</f>
        <v>Заречный_1</v>
      </c>
      <c r="C89" s="43" t="str">
        <f t="shared" si="0"/>
        <v>Заречный_1</v>
      </c>
      <c r="D89" s="145">
        <f>коэффициенты!G82</f>
        <v>0.2419</v>
      </c>
      <c r="E89" s="146">
        <v>6.4313339999999997</v>
      </c>
      <c r="F89" s="147" t="s">
        <v>321</v>
      </c>
      <c r="G89" s="148">
        <v>5.1994119999999997</v>
      </c>
      <c r="Q89" t="s">
        <v>998</v>
      </c>
      <c r="R89" t="s">
        <v>215</v>
      </c>
    </row>
    <row r="90" spans="1:24" ht="15" customHeight="1" x14ac:dyDescent="0.25">
      <c r="A90" s="143" t="str">
        <f>коэффициенты!D83</f>
        <v>vpsh_4</v>
      </c>
      <c r="B90" s="144" t="str">
        <f>коэффициенты!E83</f>
        <v>ВерхнеПышминский_4</v>
      </c>
      <c r="C90" s="43" t="str">
        <f t="shared" si="0"/>
        <v>ВерхнеПышминский_4</v>
      </c>
      <c r="D90" s="145">
        <f>коэффициенты!G83</f>
        <v>0.61119999999999997</v>
      </c>
      <c r="E90" s="146">
        <v>5.1994119999999997</v>
      </c>
      <c r="F90" s="147" t="s">
        <v>319</v>
      </c>
      <c r="G90" s="148">
        <v>6.4313339999999997</v>
      </c>
      <c r="Q90" t="s">
        <v>999</v>
      </c>
      <c r="R90" t="s">
        <v>215</v>
      </c>
    </row>
    <row r="91" spans="1:24" ht="15" customHeight="1" x14ac:dyDescent="0.25">
      <c r="A91" s="154" t="s">
        <v>1000</v>
      </c>
      <c r="B91" s="145"/>
      <c r="C91" s="155"/>
      <c r="D91" s="155"/>
      <c r="E91" s="120"/>
      <c r="F91" s="43"/>
      <c r="G91" s="121"/>
      <c r="Q91" t="s">
        <v>1001</v>
      </c>
      <c r="R91" t="s">
        <v>215</v>
      </c>
    </row>
    <row r="92" spans="1:24" ht="15" customHeight="1" x14ac:dyDescent="0.25">
      <c r="A92" s="143" t="s">
        <v>1002</v>
      </c>
      <c r="B92" s="145" t="s">
        <v>1003</v>
      </c>
      <c r="C92" s="144" t="s">
        <v>258</v>
      </c>
      <c r="D92" s="155"/>
      <c r="E92" s="120"/>
      <c r="F92" s="43"/>
      <c r="G92" s="121"/>
      <c r="Q92" t="s">
        <v>1004</v>
      </c>
      <c r="R92" t="s">
        <v>215</v>
      </c>
    </row>
    <row r="93" spans="1:24" ht="15" customHeight="1" x14ac:dyDescent="0.25">
      <c r="A93" s="156" t="s">
        <v>896</v>
      </c>
      <c r="B93" s="191" t="s">
        <v>897</v>
      </c>
      <c r="C93" s="193"/>
      <c r="D93" s="43"/>
      <c r="E93" s="120"/>
      <c r="F93" s="43"/>
      <c r="G93" s="121"/>
      <c r="Q93" t="s">
        <v>1005</v>
      </c>
      <c r="R93" t="s">
        <v>319</v>
      </c>
    </row>
    <row r="94" spans="1:24" ht="15.75" customHeight="1" thickBot="1" x14ac:dyDescent="0.3">
      <c r="A94" s="157" t="s">
        <v>1002</v>
      </c>
      <c r="B94" s="158" t="str">
        <f>VLOOKUP(A94,$A$27:$B$92,2,FALSE)</f>
        <v>Юг</v>
      </c>
      <c r="C94" s="158" t="str">
        <f>VLOOKUP(B94,$B$27:$C$92,2,FALSE)</f>
        <v>Сысертский_1</v>
      </c>
      <c r="D94" s="158">
        <f>VLOOKUP(C94,$B$27:$D$90,3,FALSE)</f>
        <v>0.69850000000000001</v>
      </c>
      <c r="E94" s="157" t="s">
        <v>320</v>
      </c>
      <c r="F94" s="158"/>
      <c r="G94" s="128">
        <f>VLOOKUP(E94,$B$27:$G$90,6,FALSE)</f>
        <v>5.1994119999999997</v>
      </c>
      <c r="Q94" t="s">
        <v>1006</v>
      </c>
      <c r="R94" t="s">
        <v>319</v>
      </c>
    </row>
    <row r="95" spans="1:24" ht="15" customHeight="1" x14ac:dyDescent="0.25">
      <c r="A95" s="109" t="s">
        <v>1007</v>
      </c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t="s">
        <v>1008</v>
      </c>
      <c r="R95" t="s">
        <v>319</v>
      </c>
      <c r="V95" s="151"/>
      <c r="W95" s="151"/>
      <c r="X95" s="151"/>
    </row>
    <row r="96" spans="1:24" ht="15" customHeight="1" x14ac:dyDescent="0.25">
      <c r="Q96" t="s">
        <v>1009</v>
      </c>
      <c r="R96" t="s">
        <v>319</v>
      </c>
    </row>
    <row r="97" spans="1:18" ht="15" customHeight="1" x14ac:dyDescent="0.25">
      <c r="A97" s="113" t="s">
        <v>1010</v>
      </c>
      <c r="B97" s="159" t="s">
        <v>1011</v>
      </c>
      <c r="C97" s="113"/>
      <c r="D97" s="160"/>
      <c r="E97" s="160"/>
      <c r="H97" s="113" t="s">
        <v>981</v>
      </c>
      <c r="I97" s="113" t="s">
        <v>982</v>
      </c>
      <c r="J97" s="113" t="s">
        <v>983</v>
      </c>
      <c r="K97" s="160" t="s">
        <v>1012</v>
      </c>
      <c r="L97" s="160" t="s">
        <v>1013</v>
      </c>
      <c r="Q97" t="s">
        <v>1014</v>
      </c>
      <c r="R97" t="s">
        <v>319</v>
      </c>
    </row>
    <row r="98" spans="1:18" ht="15" customHeight="1" x14ac:dyDescent="0.25">
      <c r="A98" s="43"/>
      <c r="C98" s="43"/>
      <c r="D98" s="43"/>
      <c r="H98" s="43"/>
      <c r="J98" s="43" t="s">
        <v>985</v>
      </c>
      <c r="K98">
        <f>'количественные факторы'!B2</f>
        <v>0.71448643076157303</v>
      </c>
      <c r="L98" s="43"/>
      <c r="M98" s="43"/>
      <c r="Q98" t="s">
        <v>1015</v>
      </c>
      <c r="R98" t="s">
        <v>319</v>
      </c>
    </row>
    <row r="99" spans="1:18" ht="15" customHeight="1" x14ac:dyDescent="0.25">
      <c r="A99" s="43">
        <v>0</v>
      </c>
      <c r="B99">
        <f>ROUND(((( ( -0.00000000000000024*A99^4 + 0.00000000001297181*A99^3- 0.00000011794827687*A99^2 + 0.00020947190264916*A99 + 0.892271997522451)))),4)</f>
        <v>0.89229999999999998</v>
      </c>
      <c r="C99" s="43" t="s">
        <v>1016</v>
      </c>
      <c r="F99" s="43"/>
      <c r="G99" s="43"/>
      <c r="H99" s="43">
        <v>5</v>
      </c>
      <c r="I99" s="161">
        <f>(9.167685587011E-08*(H99)^4+0.000015289662956704*(H99)^3-0.00161875861673315*(H99)^2+0.0151997782316484*(H99)+0.962501568438211)</f>
        <v>1.000000000082631</v>
      </c>
      <c r="J99">
        <f>LN(I99)</f>
        <v>8.2631013139572433E-11</v>
      </c>
      <c r="K99">
        <f>J99*$K$98</f>
        <v>5.903873764830575E-11</v>
      </c>
      <c r="L99">
        <f>EXP(K99)</f>
        <v>1.0000000000590388</v>
      </c>
      <c r="M99" s="43" t="s">
        <v>1016</v>
      </c>
      <c r="Q99" t="s">
        <v>1017</v>
      </c>
      <c r="R99" t="s">
        <v>319</v>
      </c>
    </row>
    <row r="100" spans="1:18" ht="15" customHeight="1" x14ac:dyDescent="0.25">
      <c r="A100" s="43">
        <v>6000</v>
      </c>
      <c r="B100">
        <f>ROUND(((( ( -0.00000000000000024*A100^4 + 0.00000000001297181*A100^3- 0.00000011794827687*A100^2 + 0.00020947190264916*A100 + 0.892271997522451)))),4)</f>
        <v>0.39379999999999998</v>
      </c>
      <c r="C100" s="43" t="s">
        <v>1018</v>
      </c>
      <c r="F100" s="43"/>
      <c r="G100" s="43"/>
      <c r="H100" s="43">
        <v>27.5</v>
      </c>
      <c r="I100">
        <f>(9.167685587011E-08*(H100)^4+0.000015289662956704*(H100)^3-0.00161875861673315*(H100)^2+0.0151997782316484*(H100)+0.962501568438211)</f>
        <v>0.52671775828470246</v>
      </c>
      <c r="J100">
        <f>LN(I100)</f>
        <v>-0.64109043693300816</v>
      </c>
      <c r="K100">
        <f>J100*$K$98</f>
        <v>-0.45805041807964231</v>
      </c>
      <c r="L100">
        <f>EXP(K100)</f>
        <v>0.63251558518227935</v>
      </c>
      <c r="M100" s="43" t="s">
        <v>1018</v>
      </c>
      <c r="Q100" t="s">
        <v>1019</v>
      </c>
      <c r="R100" t="s">
        <v>319</v>
      </c>
    </row>
    <row r="101" spans="1:18" ht="15" customHeight="1" x14ac:dyDescent="0.25">
      <c r="A101" s="150" t="s">
        <v>896</v>
      </c>
      <c r="B101" s="191" t="s">
        <v>897</v>
      </c>
      <c r="C101" s="193"/>
      <c r="D101" s="124"/>
      <c r="E101" s="124"/>
      <c r="J101" s="43"/>
      <c r="Q101" t="s">
        <v>1020</v>
      </c>
      <c r="R101" t="s">
        <v>319</v>
      </c>
    </row>
    <row r="102" spans="1:18" ht="15" customHeight="1" x14ac:dyDescent="0.25">
      <c r="A102" s="43">
        <v>976000</v>
      </c>
      <c r="B102">
        <f>ROUND(IF(A102&lt;$A$99,$B$99,IF(A102&gt;$A$100,$B$100,( ( -0.00000000000000024*A102^4 + 0.00000000001297181*A102^3- 0.00000011794827687*A102^2 + 0.00020947190264916*A102 + 0.892271997522451)))),4)</f>
        <v>0.39379999999999998</v>
      </c>
      <c r="C102" s="43"/>
      <c r="D102" s="43"/>
      <c r="E102" s="43"/>
      <c r="H102" s="150" t="s">
        <v>896</v>
      </c>
      <c r="I102" s="191" t="s">
        <v>897</v>
      </c>
      <c r="J102" s="193"/>
      <c r="Q102" t="s">
        <v>1021</v>
      </c>
      <c r="R102" t="s">
        <v>319</v>
      </c>
    </row>
    <row r="103" spans="1:18" ht="15" customHeight="1" x14ac:dyDescent="0.25">
      <c r="B103">
        <f>( -0.00000000000000024*A102^4 + 0.00000000001297181*A102^3- 0.00000011794827687*A102^2 + 0.00020947190264916*A102 + 0.892271997522451)</f>
        <v>-205828322.30180019</v>
      </c>
      <c r="H103" s="43">
        <v>5.0999999999999996</v>
      </c>
      <c r="I103">
        <f>ROUND((EXP(LN(IF(H103&lt;$H$99,$I$99,IF(H103&gt;$H$100,$I$100,((9.167685587011E-08*(H103)^4+0.000015289662956704*(H103)^3-0.00161875861673315*(H103)^2+0.0151997782316484*(H103)+0.962501568438211)))))*$K$98)),4)</f>
        <v>1</v>
      </c>
      <c r="Q103" t="s">
        <v>1022</v>
      </c>
      <c r="R103" t="s">
        <v>319</v>
      </c>
    </row>
    <row r="104" spans="1:18" ht="15" customHeight="1" x14ac:dyDescent="0.25">
      <c r="Q104" t="s">
        <v>1023</v>
      </c>
      <c r="R104" t="s">
        <v>319</v>
      </c>
    </row>
    <row r="105" spans="1:18" ht="15" customHeight="1" x14ac:dyDescent="0.25">
      <c r="Q105" t="s">
        <v>1024</v>
      </c>
      <c r="R105" t="s">
        <v>319</v>
      </c>
    </row>
    <row r="106" spans="1:18" ht="15" customHeight="1" x14ac:dyDescent="0.25">
      <c r="A106" t="s">
        <v>1025</v>
      </c>
      <c r="Q106" t="s">
        <v>1026</v>
      </c>
      <c r="R106" t="s">
        <v>319</v>
      </c>
    </row>
    <row r="107" spans="1:18" ht="15" customHeight="1" x14ac:dyDescent="0.25">
      <c r="H107" s="43"/>
      <c r="Q107" t="s">
        <v>1027</v>
      </c>
      <c r="R107" t="s">
        <v>319</v>
      </c>
    </row>
    <row r="108" spans="1:18" ht="15" customHeight="1" x14ac:dyDescent="0.25">
      <c r="Q108" t="s">
        <v>1028</v>
      </c>
      <c r="R108" t="s">
        <v>221</v>
      </c>
    </row>
    <row r="109" spans="1:18" ht="15" customHeight="1" x14ac:dyDescent="0.25">
      <c r="A109" t="s">
        <v>1029</v>
      </c>
      <c r="Q109" t="s">
        <v>1030</v>
      </c>
      <c r="R109" t="s">
        <v>221</v>
      </c>
    </row>
    <row r="110" spans="1:18" ht="15" customHeight="1" x14ac:dyDescent="0.25">
      <c r="Q110" t="s">
        <v>1031</v>
      </c>
      <c r="R110" t="s">
        <v>221</v>
      </c>
    </row>
    <row r="111" spans="1:18" ht="15" customHeight="1" x14ac:dyDescent="0.25">
      <c r="Q111" t="s">
        <v>1032</v>
      </c>
      <c r="R111" t="s">
        <v>221</v>
      </c>
    </row>
    <row r="112" spans="1:18" ht="15" customHeight="1" x14ac:dyDescent="0.25">
      <c r="Q112" t="s">
        <v>1033</v>
      </c>
      <c r="R112" t="s">
        <v>215</v>
      </c>
    </row>
    <row r="113" spans="1:18" ht="15" customHeight="1" x14ac:dyDescent="0.25">
      <c r="A113" s="162"/>
      <c r="Q113" t="s">
        <v>1034</v>
      </c>
      <c r="R113" t="s">
        <v>319</v>
      </c>
    </row>
    <row r="114" spans="1:18" ht="15" customHeight="1" x14ac:dyDescent="0.25">
      <c r="A114" s="162"/>
      <c r="Q114" t="s">
        <v>1035</v>
      </c>
      <c r="R114" t="s">
        <v>319</v>
      </c>
    </row>
    <row r="115" spans="1:18" ht="15" customHeight="1" x14ac:dyDescent="0.25">
      <c r="A115" s="162"/>
      <c r="Q115" t="s">
        <v>1036</v>
      </c>
      <c r="R115" t="s">
        <v>319</v>
      </c>
    </row>
    <row r="116" spans="1:18" ht="15" customHeight="1" x14ac:dyDescent="0.25">
      <c r="A116" s="162"/>
      <c r="Q116" t="s">
        <v>1037</v>
      </c>
      <c r="R116" t="s">
        <v>319</v>
      </c>
    </row>
    <row r="117" spans="1:18" ht="15" customHeight="1" x14ac:dyDescent="0.25">
      <c r="A117" s="162"/>
      <c r="Q117" t="s">
        <v>1038</v>
      </c>
      <c r="R117" t="s">
        <v>215</v>
      </c>
    </row>
    <row r="118" spans="1:18" ht="15" customHeight="1" x14ac:dyDescent="0.25">
      <c r="Q118" t="s">
        <v>1039</v>
      </c>
      <c r="R118" t="s">
        <v>215</v>
      </c>
    </row>
    <row r="119" spans="1:18" ht="15" customHeight="1" x14ac:dyDescent="0.25">
      <c r="Q119" t="s">
        <v>1040</v>
      </c>
      <c r="R119" t="s">
        <v>215</v>
      </c>
    </row>
    <row r="120" spans="1:18" ht="15" customHeight="1" x14ac:dyDescent="0.25">
      <c r="Q120" t="s">
        <v>1041</v>
      </c>
      <c r="R120" t="s">
        <v>215</v>
      </c>
    </row>
    <row r="121" spans="1:18" ht="15" customHeight="1" x14ac:dyDescent="0.25">
      <c r="Q121" t="s">
        <v>1042</v>
      </c>
      <c r="R121" t="s">
        <v>215</v>
      </c>
    </row>
    <row r="122" spans="1:18" ht="15" customHeight="1" x14ac:dyDescent="0.25">
      <c r="Q122" t="s">
        <v>1043</v>
      </c>
      <c r="R122" t="s">
        <v>215</v>
      </c>
    </row>
    <row r="123" spans="1:18" ht="15" customHeight="1" x14ac:dyDescent="0.25">
      <c r="Q123" t="s">
        <v>1044</v>
      </c>
      <c r="R123" t="s">
        <v>319</v>
      </c>
    </row>
    <row r="124" spans="1:18" ht="15" customHeight="1" x14ac:dyDescent="0.25">
      <c r="Q124" t="s">
        <v>1045</v>
      </c>
      <c r="R124" t="s">
        <v>319</v>
      </c>
    </row>
    <row r="125" spans="1:18" ht="15" customHeight="1" x14ac:dyDescent="0.25">
      <c r="Q125" t="s">
        <v>1046</v>
      </c>
      <c r="R125" t="s">
        <v>319</v>
      </c>
    </row>
    <row r="126" spans="1:18" ht="15" customHeight="1" x14ac:dyDescent="0.25">
      <c r="Q126" t="s">
        <v>1047</v>
      </c>
      <c r="R126" t="s">
        <v>319</v>
      </c>
    </row>
    <row r="127" spans="1:18" ht="15" customHeight="1" x14ac:dyDescent="0.25">
      <c r="Q127" t="s">
        <v>1048</v>
      </c>
      <c r="R127" t="s">
        <v>319</v>
      </c>
    </row>
    <row r="128" spans="1:18" ht="15" customHeight="1" x14ac:dyDescent="0.25">
      <c r="Q128" t="s">
        <v>1049</v>
      </c>
      <c r="R128" t="s">
        <v>319</v>
      </c>
    </row>
    <row r="129" spans="17:18" ht="15" customHeight="1" x14ac:dyDescent="0.25">
      <c r="Q129" t="s">
        <v>1050</v>
      </c>
      <c r="R129" t="s">
        <v>319</v>
      </c>
    </row>
    <row r="130" spans="17:18" ht="15" customHeight="1" x14ac:dyDescent="0.25">
      <c r="Q130" t="s">
        <v>1051</v>
      </c>
      <c r="R130" t="s">
        <v>319</v>
      </c>
    </row>
    <row r="131" spans="17:18" ht="15" customHeight="1" x14ac:dyDescent="0.25">
      <c r="Q131" t="s">
        <v>1052</v>
      </c>
      <c r="R131" t="s">
        <v>319</v>
      </c>
    </row>
    <row r="132" spans="17:18" ht="15" customHeight="1" x14ac:dyDescent="0.25">
      <c r="Q132" t="s">
        <v>1053</v>
      </c>
      <c r="R132" t="s">
        <v>319</v>
      </c>
    </row>
    <row r="133" spans="17:18" ht="15" customHeight="1" x14ac:dyDescent="0.25">
      <c r="Q133" t="s">
        <v>1054</v>
      </c>
      <c r="R133" t="s">
        <v>319</v>
      </c>
    </row>
    <row r="134" spans="17:18" ht="15" customHeight="1" x14ac:dyDescent="0.25">
      <c r="Q134" t="s">
        <v>1055</v>
      </c>
      <c r="R134" t="s">
        <v>319</v>
      </c>
    </row>
    <row r="135" spans="17:18" ht="15" customHeight="1" x14ac:dyDescent="0.25">
      <c r="Q135" t="s">
        <v>1056</v>
      </c>
      <c r="R135" t="s">
        <v>319</v>
      </c>
    </row>
    <row r="136" spans="17:18" ht="15" customHeight="1" x14ac:dyDescent="0.25">
      <c r="Q136" t="s">
        <v>1057</v>
      </c>
      <c r="R136" t="s">
        <v>319</v>
      </c>
    </row>
    <row r="137" spans="17:18" ht="15" customHeight="1" x14ac:dyDescent="0.25">
      <c r="Q137" t="s">
        <v>1058</v>
      </c>
      <c r="R137" t="s">
        <v>319</v>
      </c>
    </row>
    <row r="138" spans="17:18" ht="15" customHeight="1" x14ac:dyDescent="0.25">
      <c r="Q138" t="s">
        <v>1059</v>
      </c>
      <c r="R138" t="s">
        <v>319</v>
      </c>
    </row>
    <row r="139" spans="17:18" ht="15" customHeight="1" x14ac:dyDescent="0.25">
      <c r="Q139" t="s">
        <v>1060</v>
      </c>
      <c r="R139" t="s">
        <v>221</v>
      </c>
    </row>
    <row r="140" spans="17:18" ht="15" customHeight="1" x14ac:dyDescent="0.25">
      <c r="Q140" t="s">
        <v>1061</v>
      </c>
      <c r="R140" t="s">
        <v>221</v>
      </c>
    </row>
    <row r="141" spans="17:18" ht="15" customHeight="1" x14ac:dyDescent="0.25">
      <c r="Q141" t="s">
        <v>1062</v>
      </c>
      <c r="R141" t="s">
        <v>221</v>
      </c>
    </row>
    <row r="142" spans="17:18" ht="15" customHeight="1" x14ac:dyDescent="0.25">
      <c r="Q142" t="s">
        <v>1063</v>
      </c>
      <c r="R142" t="s">
        <v>319</v>
      </c>
    </row>
    <row r="143" spans="17:18" ht="15" customHeight="1" x14ac:dyDescent="0.25">
      <c r="Q143" t="s">
        <v>1064</v>
      </c>
      <c r="R143" t="s">
        <v>319</v>
      </c>
    </row>
    <row r="144" spans="17:18" ht="15" customHeight="1" x14ac:dyDescent="0.25">
      <c r="Q144" t="s">
        <v>1065</v>
      </c>
      <c r="R144" t="s">
        <v>319</v>
      </c>
    </row>
    <row r="145" spans="17:18" ht="15" customHeight="1" x14ac:dyDescent="0.25">
      <c r="Q145" t="s">
        <v>1066</v>
      </c>
      <c r="R145" t="s">
        <v>319</v>
      </c>
    </row>
    <row r="146" spans="17:18" ht="15" customHeight="1" x14ac:dyDescent="0.25">
      <c r="Q146" t="s">
        <v>1067</v>
      </c>
      <c r="R146" t="s">
        <v>319</v>
      </c>
    </row>
    <row r="147" spans="17:18" ht="15" customHeight="1" x14ac:dyDescent="0.25">
      <c r="Q147" t="s">
        <v>1068</v>
      </c>
      <c r="R147" t="s">
        <v>319</v>
      </c>
    </row>
    <row r="148" spans="17:18" ht="15" customHeight="1" x14ac:dyDescent="0.25">
      <c r="Q148" t="s">
        <v>1069</v>
      </c>
      <c r="R148" t="s">
        <v>319</v>
      </c>
    </row>
    <row r="149" spans="17:18" ht="15" customHeight="1" x14ac:dyDescent="0.25">
      <c r="Q149" t="s">
        <v>1070</v>
      </c>
      <c r="R149" t="s">
        <v>319</v>
      </c>
    </row>
    <row r="150" spans="17:18" ht="15" customHeight="1" x14ac:dyDescent="0.25">
      <c r="Q150" t="s">
        <v>1071</v>
      </c>
      <c r="R150" t="s">
        <v>319</v>
      </c>
    </row>
    <row r="151" spans="17:18" ht="15" customHeight="1" x14ac:dyDescent="0.25">
      <c r="Q151" t="s">
        <v>1072</v>
      </c>
      <c r="R151" t="s">
        <v>319</v>
      </c>
    </row>
    <row r="152" spans="17:18" ht="15" customHeight="1" x14ac:dyDescent="0.25">
      <c r="Q152" t="s">
        <v>1073</v>
      </c>
      <c r="R152" t="s">
        <v>319</v>
      </c>
    </row>
    <row r="153" spans="17:18" ht="15" customHeight="1" x14ac:dyDescent="0.25">
      <c r="Q153" t="s">
        <v>1074</v>
      </c>
      <c r="R153" t="s">
        <v>319</v>
      </c>
    </row>
    <row r="154" spans="17:18" ht="15" customHeight="1" x14ac:dyDescent="0.25">
      <c r="Q154" t="s">
        <v>1075</v>
      </c>
      <c r="R154" t="s">
        <v>319</v>
      </c>
    </row>
    <row r="155" spans="17:18" ht="15" customHeight="1" x14ac:dyDescent="0.25">
      <c r="Q155" t="s">
        <v>1076</v>
      </c>
      <c r="R155" t="s">
        <v>319</v>
      </c>
    </row>
    <row r="156" spans="17:18" ht="15" customHeight="1" x14ac:dyDescent="0.25">
      <c r="Q156" t="s">
        <v>1077</v>
      </c>
      <c r="R156" t="s">
        <v>319</v>
      </c>
    </row>
    <row r="157" spans="17:18" ht="15" customHeight="1" x14ac:dyDescent="0.25">
      <c r="Q157" t="s">
        <v>1078</v>
      </c>
      <c r="R157" t="s">
        <v>319</v>
      </c>
    </row>
    <row r="158" spans="17:18" ht="15" customHeight="1" x14ac:dyDescent="0.25">
      <c r="Q158" t="s">
        <v>1079</v>
      </c>
      <c r="R158" t="s">
        <v>319</v>
      </c>
    </row>
    <row r="159" spans="17:18" ht="15" customHeight="1" x14ac:dyDescent="0.25">
      <c r="Q159" t="s">
        <v>1080</v>
      </c>
      <c r="R159" t="s">
        <v>319</v>
      </c>
    </row>
    <row r="160" spans="17:18" ht="15" customHeight="1" x14ac:dyDescent="0.25">
      <c r="Q160" t="s">
        <v>1081</v>
      </c>
      <c r="R160" t="s">
        <v>319</v>
      </c>
    </row>
    <row r="161" spans="17:18" ht="15" customHeight="1" x14ac:dyDescent="0.25">
      <c r="Q161" t="s">
        <v>1082</v>
      </c>
      <c r="R161" t="s">
        <v>319</v>
      </c>
    </row>
    <row r="162" spans="17:18" ht="15" customHeight="1" x14ac:dyDescent="0.25">
      <c r="Q162" t="s">
        <v>1083</v>
      </c>
      <c r="R162" t="s">
        <v>319</v>
      </c>
    </row>
    <row r="163" spans="17:18" ht="15" customHeight="1" x14ac:dyDescent="0.25">
      <c r="Q163" t="s">
        <v>1084</v>
      </c>
      <c r="R163" t="s">
        <v>319</v>
      </c>
    </row>
    <row r="164" spans="17:18" ht="15" customHeight="1" x14ac:dyDescent="0.25">
      <c r="Q164" t="s">
        <v>1085</v>
      </c>
      <c r="R164" t="s">
        <v>319</v>
      </c>
    </row>
    <row r="165" spans="17:18" ht="15" customHeight="1" x14ac:dyDescent="0.25">
      <c r="Q165" t="s">
        <v>1086</v>
      </c>
      <c r="R165" t="s">
        <v>319</v>
      </c>
    </row>
    <row r="166" spans="17:18" ht="15" customHeight="1" x14ac:dyDescent="0.25">
      <c r="Q166" t="s">
        <v>1087</v>
      </c>
      <c r="R166" t="s">
        <v>946</v>
      </c>
    </row>
    <row r="167" spans="17:18" ht="15" customHeight="1" x14ac:dyDescent="0.25">
      <c r="Q167" t="s">
        <v>1088</v>
      </c>
      <c r="R167" t="s">
        <v>946</v>
      </c>
    </row>
    <row r="168" spans="17:18" ht="15" customHeight="1" x14ac:dyDescent="0.25">
      <c r="Q168" t="s">
        <v>1089</v>
      </c>
      <c r="R168" t="s">
        <v>946</v>
      </c>
    </row>
    <row r="169" spans="17:18" ht="15" customHeight="1" x14ac:dyDescent="0.25">
      <c r="Q169" t="s">
        <v>1090</v>
      </c>
      <c r="R169" t="s">
        <v>946</v>
      </c>
    </row>
    <row r="170" spans="17:18" ht="15" customHeight="1" x14ac:dyDescent="0.25">
      <c r="Q170" t="s">
        <v>1091</v>
      </c>
      <c r="R170" t="s">
        <v>946</v>
      </c>
    </row>
    <row r="171" spans="17:18" ht="15" customHeight="1" x14ac:dyDescent="0.25">
      <c r="Q171" t="s">
        <v>1092</v>
      </c>
      <c r="R171" t="s">
        <v>946</v>
      </c>
    </row>
    <row r="172" spans="17:18" ht="15" customHeight="1" x14ac:dyDescent="0.25">
      <c r="Q172" t="s">
        <v>1093</v>
      </c>
      <c r="R172" t="s">
        <v>946</v>
      </c>
    </row>
    <row r="173" spans="17:18" ht="15" customHeight="1" x14ac:dyDescent="0.25">
      <c r="Q173" t="s">
        <v>1094</v>
      </c>
      <c r="R173" t="s">
        <v>946</v>
      </c>
    </row>
    <row r="174" spans="17:18" ht="15" customHeight="1" x14ac:dyDescent="0.25">
      <c r="Q174" t="s">
        <v>1095</v>
      </c>
      <c r="R174" t="s">
        <v>946</v>
      </c>
    </row>
    <row r="175" spans="17:18" ht="15" customHeight="1" x14ac:dyDescent="0.25">
      <c r="Q175" t="s">
        <v>1096</v>
      </c>
      <c r="R175" t="s">
        <v>946</v>
      </c>
    </row>
    <row r="176" spans="17:18" ht="15" customHeight="1" x14ac:dyDescent="0.25">
      <c r="Q176" t="s">
        <v>1097</v>
      </c>
      <c r="R176" t="s">
        <v>946</v>
      </c>
    </row>
    <row r="177" spans="17:18" ht="15" customHeight="1" x14ac:dyDescent="0.25">
      <c r="Q177" t="s">
        <v>1098</v>
      </c>
      <c r="R177" t="s">
        <v>946</v>
      </c>
    </row>
    <row r="178" spans="17:18" ht="15" customHeight="1" x14ac:dyDescent="0.25">
      <c r="Q178" t="s">
        <v>1099</v>
      </c>
      <c r="R178" t="s">
        <v>946</v>
      </c>
    </row>
    <row r="179" spans="17:18" ht="15" customHeight="1" x14ac:dyDescent="0.25">
      <c r="Q179" t="s">
        <v>1100</v>
      </c>
      <c r="R179" t="s">
        <v>946</v>
      </c>
    </row>
    <row r="180" spans="17:18" ht="15" customHeight="1" x14ac:dyDescent="0.25">
      <c r="Q180" t="s">
        <v>1101</v>
      </c>
      <c r="R180" t="s">
        <v>946</v>
      </c>
    </row>
    <row r="181" spans="17:18" ht="15" customHeight="1" x14ac:dyDescent="0.25">
      <c r="Q181" t="s">
        <v>1102</v>
      </c>
      <c r="R181" t="s">
        <v>946</v>
      </c>
    </row>
    <row r="182" spans="17:18" ht="15" customHeight="1" x14ac:dyDescent="0.25">
      <c r="Q182" t="s">
        <v>1103</v>
      </c>
      <c r="R182" t="s">
        <v>946</v>
      </c>
    </row>
    <row r="183" spans="17:18" ht="15" customHeight="1" x14ac:dyDescent="0.25">
      <c r="Q183" t="s">
        <v>1104</v>
      </c>
      <c r="R183" t="s">
        <v>311</v>
      </c>
    </row>
    <row r="184" spans="17:18" ht="15" customHeight="1" x14ac:dyDescent="0.25">
      <c r="Q184" t="s">
        <v>1105</v>
      </c>
      <c r="R184" t="s">
        <v>311</v>
      </c>
    </row>
    <row r="185" spans="17:18" ht="15" customHeight="1" x14ac:dyDescent="0.25">
      <c r="Q185" t="s">
        <v>1106</v>
      </c>
      <c r="R185" t="s">
        <v>319</v>
      </c>
    </row>
    <row r="186" spans="17:18" ht="15" customHeight="1" x14ac:dyDescent="0.25">
      <c r="Q186" t="s">
        <v>1107</v>
      </c>
      <c r="R186" t="s">
        <v>223</v>
      </c>
    </row>
    <row r="187" spans="17:18" ht="15" customHeight="1" x14ac:dyDescent="0.25">
      <c r="Q187" t="s">
        <v>1108</v>
      </c>
      <c r="R187" t="s">
        <v>223</v>
      </c>
    </row>
    <row r="188" spans="17:18" ht="15" customHeight="1" x14ac:dyDescent="0.25">
      <c r="Q188" t="s">
        <v>1109</v>
      </c>
      <c r="R188" t="s">
        <v>223</v>
      </c>
    </row>
    <row r="189" spans="17:18" ht="15" customHeight="1" x14ac:dyDescent="0.25">
      <c r="Q189" t="s">
        <v>1110</v>
      </c>
      <c r="R189" t="s">
        <v>223</v>
      </c>
    </row>
    <row r="190" spans="17:18" ht="15" customHeight="1" x14ac:dyDescent="0.25">
      <c r="Q190" t="s">
        <v>1111</v>
      </c>
      <c r="R190" t="s">
        <v>223</v>
      </c>
    </row>
    <row r="191" spans="17:18" ht="15" customHeight="1" x14ac:dyDescent="0.25">
      <c r="Q191" t="s">
        <v>1112</v>
      </c>
      <c r="R191" t="s">
        <v>946</v>
      </c>
    </row>
    <row r="192" spans="17:18" ht="15" customHeight="1" x14ac:dyDescent="0.25">
      <c r="Q192" t="s">
        <v>1113</v>
      </c>
      <c r="R192" t="s">
        <v>946</v>
      </c>
    </row>
    <row r="193" spans="17:18" ht="15" customHeight="1" x14ac:dyDescent="0.25">
      <c r="Q193" t="s">
        <v>1114</v>
      </c>
      <c r="R193" t="s">
        <v>946</v>
      </c>
    </row>
    <row r="194" spans="17:18" ht="15" customHeight="1" x14ac:dyDescent="0.25">
      <c r="Q194" t="s">
        <v>1115</v>
      </c>
      <c r="R194" t="s">
        <v>946</v>
      </c>
    </row>
    <row r="195" spans="17:18" ht="15" customHeight="1" x14ac:dyDescent="0.25">
      <c r="Q195" t="s">
        <v>1116</v>
      </c>
      <c r="R195" t="s">
        <v>946</v>
      </c>
    </row>
    <row r="196" spans="17:18" ht="15" customHeight="1" x14ac:dyDescent="0.25">
      <c r="Q196" t="s">
        <v>1117</v>
      </c>
      <c r="R196" t="s">
        <v>946</v>
      </c>
    </row>
    <row r="197" spans="17:18" ht="15" customHeight="1" x14ac:dyDescent="0.25">
      <c r="Q197" t="s">
        <v>1118</v>
      </c>
      <c r="R197" t="s">
        <v>946</v>
      </c>
    </row>
    <row r="198" spans="17:18" ht="15" customHeight="1" x14ac:dyDescent="0.25">
      <c r="Q198" t="s">
        <v>1119</v>
      </c>
      <c r="R198" t="s">
        <v>946</v>
      </c>
    </row>
    <row r="199" spans="17:18" ht="15" customHeight="1" x14ac:dyDescent="0.25">
      <c r="Q199" t="s">
        <v>1120</v>
      </c>
      <c r="R199" t="s">
        <v>946</v>
      </c>
    </row>
    <row r="200" spans="17:18" ht="15" customHeight="1" x14ac:dyDescent="0.25">
      <c r="Q200" t="s">
        <v>1121</v>
      </c>
      <c r="R200" t="s">
        <v>946</v>
      </c>
    </row>
    <row r="201" spans="17:18" ht="15" customHeight="1" x14ac:dyDescent="0.25">
      <c r="Q201" t="s">
        <v>1122</v>
      </c>
      <c r="R201" t="s">
        <v>946</v>
      </c>
    </row>
    <row r="202" spans="17:18" ht="15" customHeight="1" x14ac:dyDescent="0.25">
      <c r="Q202" t="s">
        <v>1123</v>
      </c>
      <c r="R202" t="s">
        <v>946</v>
      </c>
    </row>
    <row r="203" spans="17:18" ht="15" customHeight="1" x14ac:dyDescent="0.25">
      <c r="Q203" t="s">
        <v>1124</v>
      </c>
      <c r="R203" t="s">
        <v>946</v>
      </c>
    </row>
    <row r="204" spans="17:18" ht="15" customHeight="1" x14ac:dyDescent="0.25">
      <c r="Q204" t="s">
        <v>1125</v>
      </c>
      <c r="R204" t="s">
        <v>946</v>
      </c>
    </row>
    <row r="205" spans="17:18" ht="15" customHeight="1" x14ac:dyDescent="0.25">
      <c r="Q205" t="s">
        <v>1126</v>
      </c>
      <c r="R205" t="s">
        <v>946</v>
      </c>
    </row>
    <row r="206" spans="17:18" ht="15" customHeight="1" x14ac:dyDescent="0.25">
      <c r="Q206" t="s">
        <v>1127</v>
      </c>
      <c r="R206" t="s">
        <v>946</v>
      </c>
    </row>
    <row r="207" spans="17:18" ht="15" customHeight="1" x14ac:dyDescent="0.25">
      <c r="Q207" t="s">
        <v>1128</v>
      </c>
      <c r="R207" t="s">
        <v>946</v>
      </c>
    </row>
    <row r="208" spans="17:18" ht="15" customHeight="1" x14ac:dyDescent="0.25">
      <c r="Q208" t="s">
        <v>1129</v>
      </c>
      <c r="R208" t="s">
        <v>946</v>
      </c>
    </row>
    <row r="209" spans="17:18" ht="15" customHeight="1" x14ac:dyDescent="0.25">
      <c r="Q209" t="s">
        <v>1130</v>
      </c>
      <c r="R209" t="s">
        <v>946</v>
      </c>
    </row>
    <row r="210" spans="17:18" ht="15" customHeight="1" x14ac:dyDescent="0.25">
      <c r="Q210" t="s">
        <v>1131</v>
      </c>
      <c r="R210" t="s">
        <v>946</v>
      </c>
    </row>
    <row r="211" spans="17:18" ht="15" customHeight="1" x14ac:dyDescent="0.25">
      <c r="Q211" t="s">
        <v>1132</v>
      </c>
      <c r="R211" t="s">
        <v>946</v>
      </c>
    </row>
    <row r="212" spans="17:18" ht="15" customHeight="1" x14ac:dyDescent="0.25">
      <c r="Q212" t="s">
        <v>1133</v>
      </c>
      <c r="R212" t="s">
        <v>946</v>
      </c>
    </row>
    <row r="213" spans="17:18" ht="15" customHeight="1" x14ac:dyDescent="0.25">
      <c r="Q213" t="s">
        <v>1134</v>
      </c>
      <c r="R213" t="s">
        <v>946</v>
      </c>
    </row>
    <row r="214" spans="17:18" ht="15" customHeight="1" x14ac:dyDescent="0.25">
      <c r="Q214" t="s">
        <v>1135</v>
      </c>
      <c r="R214" t="s">
        <v>946</v>
      </c>
    </row>
    <row r="215" spans="17:18" ht="15" customHeight="1" x14ac:dyDescent="0.25">
      <c r="Q215" t="s">
        <v>1136</v>
      </c>
      <c r="R215" t="s">
        <v>946</v>
      </c>
    </row>
    <row r="216" spans="17:18" ht="15" customHeight="1" x14ac:dyDescent="0.25">
      <c r="Q216" t="s">
        <v>1137</v>
      </c>
      <c r="R216" t="s">
        <v>946</v>
      </c>
    </row>
    <row r="217" spans="17:18" ht="15" customHeight="1" x14ac:dyDescent="0.25">
      <c r="Q217" t="s">
        <v>1138</v>
      </c>
      <c r="R217" t="s">
        <v>946</v>
      </c>
    </row>
    <row r="218" spans="17:18" ht="15" customHeight="1" x14ac:dyDescent="0.25">
      <c r="Q218" t="s">
        <v>1139</v>
      </c>
      <c r="R218" t="s">
        <v>946</v>
      </c>
    </row>
    <row r="219" spans="17:18" ht="15" customHeight="1" x14ac:dyDescent="0.25">
      <c r="Q219" t="s">
        <v>1140</v>
      </c>
      <c r="R219" t="s">
        <v>946</v>
      </c>
    </row>
    <row r="220" spans="17:18" ht="15" customHeight="1" x14ac:dyDescent="0.25">
      <c r="Q220" t="s">
        <v>1141</v>
      </c>
      <c r="R220" t="s">
        <v>946</v>
      </c>
    </row>
    <row r="221" spans="17:18" ht="15" customHeight="1" x14ac:dyDescent="0.25">
      <c r="Q221" t="s">
        <v>1142</v>
      </c>
      <c r="R221" t="s">
        <v>946</v>
      </c>
    </row>
    <row r="222" spans="17:18" ht="15" customHeight="1" x14ac:dyDescent="0.25">
      <c r="Q222" t="s">
        <v>1143</v>
      </c>
      <c r="R222" t="s">
        <v>946</v>
      </c>
    </row>
    <row r="223" spans="17:18" ht="15" customHeight="1" x14ac:dyDescent="0.25">
      <c r="Q223" t="s">
        <v>1144</v>
      </c>
      <c r="R223" t="s">
        <v>946</v>
      </c>
    </row>
    <row r="224" spans="17:18" ht="15" customHeight="1" x14ac:dyDescent="0.25">
      <c r="Q224" t="s">
        <v>1145</v>
      </c>
      <c r="R224" t="s">
        <v>946</v>
      </c>
    </row>
    <row r="225" spans="17:18" ht="15" customHeight="1" x14ac:dyDescent="0.25">
      <c r="Q225" t="s">
        <v>1146</v>
      </c>
      <c r="R225" t="s">
        <v>946</v>
      </c>
    </row>
    <row r="226" spans="17:18" ht="15" customHeight="1" x14ac:dyDescent="0.25">
      <c r="Q226" t="s">
        <v>1147</v>
      </c>
      <c r="R226" t="s">
        <v>946</v>
      </c>
    </row>
    <row r="227" spans="17:18" ht="15" customHeight="1" x14ac:dyDescent="0.25">
      <c r="Q227" t="s">
        <v>1148</v>
      </c>
      <c r="R227" t="s">
        <v>946</v>
      </c>
    </row>
    <row r="228" spans="17:18" ht="15" customHeight="1" x14ac:dyDescent="0.25">
      <c r="Q228" t="s">
        <v>1149</v>
      </c>
      <c r="R228" t="s">
        <v>946</v>
      </c>
    </row>
    <row r="229" spans="17:18" ht="15" customHeight="1" x14ac:dyDescent="0.25">
      <c r="Q229" t="s">
        <v>1150</v>
      </c>
      <c r="R229" t="s">
        <v>946</v>
      </c>
    </row>
    <row r="230" spans="17:18" ht="15" customHeight="1" x14ac:dyDescent="0.25">
      <c r="Q230" t="s">
        <v>1151</v>
      </c>
      <c r="R230" t="s">
        <v>946</v>
      </c>
    </row>
    <row r="231" spans="17:18" ht="15" customHeight="1" x14ac:dyDescent="0.25">
      <c r="Q231" t="s">
        <v>1152</v>
      </c>
      <c r="R231" t="s">
        <v>315</v>
      </c>
    </row>
    <row r="232" spans="17:18" ht="15" customHeight="1" x14ac:dyDescent="0.25">
      <c r="Q232" t="s">
        <v>1153</v>
      </c>
      <c r="R232" t="s">
        <v>315</v>
      </c>
    </row>
    <row r="233" spans="17:18" ht="15" customHeight="1" x14ac:dyDescent="0.25">
      <c r="Q233" t="s">
        <v>1154</v>
      </c>
      <c r="R233" t="s">
        <v>315</v>
      </c>
    </row>
    <row r="234" spans="17:18" ht="15" customHeight="1" x14ac:dyDescent="0.25">
      <c r="Q234" t="s">
        <v>1155</v>
      </c>
      <c r="R234" t="s">
        <v>946</v>
      </c>
    </row>
    <row r="235" spans="17:18" ht="15" customHeight="1" x14ac:dyDescent="0.25">
      <c r="Q235" t="s">
        <v>1156</v>
      </c>
      <c r="R235" t="s">
        <v>946</v>
      </c>
    </row>
    <row r="236" spans="17:18" ht="15" customHeight="1" x14ac:dyDescent="0.25">
      <c r="Q236" t="s">
        <v>1157</v>
      </c>
      <c r="R236" t="s">
        <v>946</v>
      </c>
    </row>
    <row r="237" spans="17:18" ht="15" customHeight="1" x14ac:dyDescent="0.25">
      <c r="Q237" t="s">
        <v>1158</v>
      </c>
      <c r="R237" t="s">
        <v>946</v>
      </c>
    </row>
    <row r="238" spans="17:18" ht="15" customHeight="1" x14ac:dyDescent="0.25">
      <c r="Q238" t="s">
        <v>1159</v>
      </c>
      <c r="R238" t="s">
        <v>946</v>
      </c>
    </row>
    <row r="239" spans="17:18" ht="15" customHeight="1" x14ac:dyDescent="0.25">
      <c r="Q239" t="s">
        <v>1160</v>
      </c>
      <c r="R239" t="s">
        <v>946</v>
      </c>
    </row>
    <row r="240" spans="17:18" ht="15" customHeight="1" x14ac:dyDescent="0.25">
      <c r="Q240" t="s">
        <v>1161</v>
      </c>
      <c r="R240" t="s">
        <v>946</v>
      </c>
    </row>
    <row r="241" spans="17:18" ht="15" customHeight="1" x14ac:dyDescent="0.25">
      <c r="Q241" t="s">
        <v>1162</v>
      </c>
      <c r="R241" t="s">
        <v>946</v>
      </c>
    </row>
    <row r="242" spans="17:18" ht="15" customHeight="1" x14ac:dyDescent="0.25">
      <c r="Q242" t="s">
        <v>1163</v>
      </c>
      <c r="R242" t="s">
        <v>946</v>
      </c>
    </row>
    <row r="243" spans="17:18" ht="15" customHeight="1" x14ac:dyDescent="0.25">
      <c r="Q243" t="s">
        <v>1164</v>
      </c>
      <c r="R243" t="s">
        <v>946</v>
      </c>
    </row>
    <row r="244" spans="17:18" ht="15" customHeight="1" x14ac:dyDescent="0.25">
      <c r="Q244" t="s">
        <v>1165</v>
      </c>
      <c r="R244" t="s">
        <v>946</v>
      </c>
    </row>
    <row r="245" spans="17:18" ht="15" customHeight="1" x14ac:dyDescent="0.25">
      <c r="Q245" t="s">
        <v>1166</v>
      </c>
      <c r="R245" t="s">
        <v>946</v>
      </c>
    </row>
    <row r="246" spans="17:18" ht="15" customHeight="1" x14ac:dyDescent="0.25">
      <c r="Q246" t="s">
        <v>1167</v>
      </c>
      <c r="R246" t="s">
        <v>946</v>
      </c>
    </row>
    <row r="247" spans="17:18" ht="15" customHeight="1" x14ac:dyDescent="0.25">
      <c r="Q247" t="s">
        <v>1168</v>
      </c>
      <c r="R247" t="s">
        <v>946</v>
      </c>
    </row>
    <row r="248" spans="17:18" ht="15" customHeight="1" x14ac:dyDescent="0.25">
      <c r="Q248" t="s">
        <v>1169</v>
      </c>
      <c r="R248" t="s">
        <v>946</v>
      </c>
    </row>
    <row r="249" spans="17:18" ht="15" customHeight="1" x14ac:dyDescent="0.25">
      <c r="Q249" t="s">
        <v>1170</v>
      </c>
      <c r="R249" t="s">
        <v>946</v>
      </c>
    </row>
    <row r="250" spans="17:18" ht="15" customHeight="1" x14ac:dyDescent="0.25">
      <c r="Q250" t="s">
        <v>1171</v>
      </c>
      <c r="R250" t="s">
        <v>946</v>
      </c>
    </row>
    <row r="251" spans="17:18" ht="15" customHeight="1" x14ac:dyDescent="0.25">
      <c r="Q251" t="s">
        <v>1172</v>
      </c>
      <c r="R251" t="s">
        <v>946</v>
      </c>
    </row>
    <row r="252" spans="17:18" ht="15" customHeight="1" x14ac:dyDescent="0.25">
      <c r="Q252" t="s">
        <v>1173</v>
      </c>
      <c r="R252" t="s">
        <v>946</v>
      </c>
    </row>
    <row r="253" spans="17:18" ht="15" customHeight="1" x14ac:dyDescent="0.25">
      <c r="Q253" t="s">
        <v>1174</v>
      </c>
      <c r="R253" t="s">
        <v>946</v>
      </c>
    </row>
    <row r="254" spans="17:18" ht="15" customHeight="1" x14ac:dyDescent="0.25">
      <c r="Q254" t="s">
        <v>1175</v>
      </c>
      <c r="R254" t="s">
        <v>946</v>
      </c>
    </row>
    <row r="255" spans="17:18" ht="15" customHeight="1" x14ac:dyDescent="0.25">
      <c r="Q255" t="s">
        <v>1176</v>
      </c>
      <c r="R255" t="s">
        <v>946</v>
      </c>
    </row>
    <row r="256" spans="17:18" ht="15" customHeight="1" x14ac:dyDescent="0.25">
      <c r="Q256" t="s">
        <v>1177</v>
      </c>
      <c r="R256" t="s">
        <v>946</v>
      </c>
    </row>
    <row r="257" spans="17:18" ht="15" customHeight="1" x14ac:dyDescent="0.25">
      <c r="Q257" t="s">
        <v>1178</v>
      </c>
      <c r="R257" t="s">
        <v>946</v>
      </c>
    </row>
    <row r="258" spans="17:18" ht="15" customHeight="1" x14ac:dyDescent="0.25">
      <c r="Q258" t="s">
        <v>1179</v>
      </c>
      <c r="R258" t="s">
        <v>946</v>
      </c>
    </row>
    <row r="259" spans="17:18" ht="15" customHeight="1" x14ac:dyDescent="0.25">
      <c r="Q259" t="s">
        <v>1180</v>
      </c>
      <c r="R259" t="s">
        <v>946</v>
      </c>
    </row>
    <row r="260" spans="17:18" ht="15" customHeight="1" x14ac:dyDescent="0.25">
      <c r="Q260" t="s">
        <v>1181</v>
      </c>
      <c r="R260" t="s">
        <v>946</v>
      </c>
    </row>
    <row r="261" spans="17:18" ht="15" customHeight="1" x14ac:dyDescent="0.25">
      <c r="Q261" t="s">
        <v>1182</v>
      </c>
      <c r="R261" t="s">
        <v>946</v>
      </c>
    </row>
    <row r="262" spans="17:18" ht="15" customHeight="1" x14ac:dyDescent="0.25">
      <c r="Q262" t="s">
        <v>1183</v>
      </c>
      <c r="R262" t="s">
        <v>313</v>
      </c>
    </row>
    <row r="263" spans="17:18" ht="15" customHeight="1" x14ac:dyDescent="0.25">
      <c r="Q263" t="s">
        <v>1184</v>
      </c>
      <c r="R263" t="s">
        <v>313</v>
      </c>
    </row>
    <row r="264" spans="17:18" ht="15" customHeight="1" x14ac:dyDescent="0.25">
      <c r="Q264" t="s">
        <v>1185</v>
      </c>
      <c r="R264" t="s">
        <v>946</v>
      </c>
    </row>
    <row r="265" spans="17:18" ht="15" customHeight="1" x14ac:dyDescent="0.25">
      <c r="Q265" t="s">
        <v>1186</v>
      </c>
      <c r="R265" t="s">
        <v>946</v>
      </c>
    </row>
    <row r="266" spans="17:18" ht="15" customHeight="1" x14ac:dyDescent="0.25">
      <c r="Q266" t="s">
        <v>1187</v>
      </c>
      <c r="R266" t="s">
        <v>946</v>
      </c>
    </row>
    <row r="267" spans="17:18" ht="15" customHeight="1" x14ac:dyDescent="0.25">
      <c r="Q267" t="s">
        <v>1188</v>
      </c>
      <c r="R267" t="s">
        <v>946</v>
      </c>
    </row>
    <row r="268" spans="17:18" ht="15" customHeight="1" x14ac:dyDescent="0.25">
      <c r="Q268" t="s">
        <v>1189</v>
      </c>
      <c r="R268" t="s">
        <v>946</v>
      </c>
    </row>
    <row r="269" spans="17:18" ht="15" customHeight="1" x14ac:dyDescent="0.25">
      <c r="Q269" t="s">
        <v>1190</v>
      </c>
      <c r="R269" t="s">
        <v>946</v>
      </c>
    </row>
    <row r="270" spans="17:18" ht="15" customHeight="1" x14ac:dyDescent="0.25">
      <c r="Q270" t="s">
        <v>1191</v>
      </c>
      <c r="R270" t="s">
        <v>946</v>
      </c>
    </row>
    <row r="271" spans="17:18" ht="15" customHeight="1" x14ac:dyDescent="0.25">
      <c r="Q271" t="s">
        <v>1192</v>
      </c>
      <c r="R271" t="s">
        <v>946</v>
      </c>
    </row>
    <row r="272" spans="17:18" ht="15" customHeight="1" x14ac:dyDescent="0.25">
      <c r="Q272" t="s">
        <v>1193</v>
      </c>
      <c r="R272" t="s">
        <v>946</v>
      </c>
    </row>
    <row r="273" spans="17:18" ht="15" customHeight="1" x14ac:dyDescent="0.25">
      <c r="Q273" t="s">
        <v>1194</v>
      </c>
      <c r="R273" t="s">
        <v>946</v>
      </c>
    </row>
    <row r="274" spans="17:18" ht="15" customHeight="1" x14ac:dyDescent="0.25">
      <c r="Q274" t="s">
        <v>1195</v>
      </c>
      <c r="R274" t="s">
        <v>946</v>
      </c>
    </row>
    <row r="275" spans="17:18" ht="15" customHeight="1" x14ac:dyDescent="0.25">
      <c r="Q275" t="s">
        <v>1196</v>
      </c>
      <c r="R275" t="s">
        <v>946</v>
      </c>
    </row>
    <row r="276" spans="17:18" ht="15" customHeight="1" x14ac:dyDescent="0.25">
      <c r="Q276" t="s">
        <v>1197</v>
      </c>
      <c r="R276" t="s">
        <v>946</v>
      </c>
    </row>
    <row r="277" spans="17:18" ht="15" customHeight="1" x14ac:dyDescent="0.25">
      <c r="Q277" t="s">
        <v>1198</v>
      </c>
      <c r="R277" t="s">
        <v>946</v>
      </c>
    </row>
    <row r="278" spans="17:18" ht="15" customHeight="1" x14ac:dyDescent="0.25">
      <c r="Q278" t="s">
        <v>1199</v>
      </c>
      <c r="R278" t="s">
        <v>946</v>
      </c>
    </row>
    <row r="279" spans="17:18" ht="15" customHeight="1" x14ac:dyDescent="0.25">
      <c r="Q279" t="s">
        <v>1200</v>
      </c>
      <c r="R279" t="s">
        <v>313</v>
      </c>
    </row>
    <row r="280" spans="17:18" ht="15" customHeight="1" x14ac:dyDescent="0.25">
      <c r="Q280" t="s">
        <v>1201</v>
      </c>
      <c r="R280" t="s">
        <v>313</v>
      </c>
    </row>
    <row r="281" spans="17:18" ht="15" customHeight="1" x14ac:dyDescent="0.25">
      <c r="Q281" t="s">
        <v>1202</v>
      </c>
      <c r="R281" t="s">
        <v>313</v>
      </c>
    </row>
    <row r="282" spans="17:18" ht="15" customHeight="1" x14ac:dyDescent="0.25">
      <c r="Q282" t="s">
        <v>1203</v>
      </c>
      <c r="R282" t="s">
        <v>946</v>
      </c>
    </row>
    <row r="283" spans="17:18" ht="15" customHeight="1" x14ac:dyDescent="0.25">
      <c r="Q283" t="s">
        <v>1204</v>
      </c>
      <c r="R283" t="s">
        <v>946</v>
      </c>
    </row>
    <row r="284" spans="17:18" ht="15" customHeight="1" x14ac:dyDescent="0.25">
      <c r="Q284" t="s">
        <v>1205</v>
      </c>
      <c r="R284" t="s">
        <v>946</v>
      </c>
    </row>
    <row r="285" spans="17:18" ht="15" customHeight="1" x14ac:dyDescent="0.25">
      <c r="Q285" t="s">
        <v>1206</v>
      </c>
      <c r="R285" t="s">
        <v>946</v>
      </c>
    </row>
    <row r="286" spans="17:18" ht="15" customHeight="1" x14ac:dyDescent="0.25">
      <c r="Q286" t="s">
        <v>1207</v>
      </c>
      <c r="R286" t="s">
        <v>946</v>
      </c>
    </row>
    <row r="287" spans="17:18" ht="15" customHeight="1" x14ac:dyDescent="0.25">
      <c r="Q287" t="s">
        <v>1208</v>
      </c>
      <c r="R287" t="s">
        <v>946</v>
      </c>
    </row>
    <row r="288" spans="17:18" ht="15" customHeight="1" x14ac:dyDescent="0.25">
      <c r="Q288" t="s">
        <v>1209</v>
      </c>
      <c r="R288" t="s">
        <v>946</v>
      </c>
    </row>
    <row r="289" spans="17:18" ht="15" customHeight="1" x14ac:dyDescent="0.25">
      <c r="Q289" t="s">
        <v>1210</v>
      </c>
      <c r="R289" t="s">
        <v>946</v>
      </c>
    </row>
    <row r="290" spans="17:18" ht="15" customHeight="1" x14ac:dyDescent="0.25">
      <c r="Q290" t="s">
        <v>1211</v>
      </c>
      <c r="R290" t="s">
        <v>946</v>
      </c>
    </row>
    <row r="291" spans="17:18" ht="15" customHeight="1" x14ac:dyDescent="0.25">
      <c r="Q291" t="s">
        <v>1212</v>
      </c>
      <c r="R291" t="s">
        <v>946</v>
      </c>
    </row>
    <row r="292" spans="17:18" ht="15" customHeight="1" x14ac:dyDescent="0.25">
      <c r="Q292" t="s">
        <v>1213</v>
      </c>
      <c r="R292" t="s">
        <v>946</v>
      </c>
    </row>
    <row r="293" spans="17:18" ht="15" customHeight="1" x14ac:dyDescent="0.25">
      <c r="Q293" t="s">
        <v>1214</v>
      </c>
      <c r="R293" t="s">
        <v>946</v>
      </c>
    </row>
    <row r="294" spans="17:18" ht="15" customHeight="1" x14ac:dyDescent="0.25">
      <c r="Q294" t="s">
        <v>1215</v>
      </c>
      <c r="R294" t="s">
        <v>946</v>
      </c>
    </row>
    <row r="295" spans="17:18" ht="15" customHeight="1" x14ac:dyDescent="0.25">
      <c r="Q295" t="s">
        <v>1216</v>
      </c>
      <c r="R295" t="s">
        <v>946</v>
      </c>
    </row>
    <row r="296" spans="17:18" ht="15" customHeight="1" x14ac:dyDescent="0.25">
      <c r="Q296" t="s">
        <v>1217</v>
      </c>
      <c r="R296" t="s">
        <v>223</v>
      </c>
    </row>
    <row r="297" spans="17:18" ht="15" customHeight="1" x14ac:dyDescent="0.25">
      <c r="Q297" t="s">
        <v>1218</v>
      </c>
      <c r="R297" t="s">
        <v>313</v>
      </c>
    </row>
    <row r="298" spans="17:18" ht="15" customHeight="1" x14ac:dyDescent="0.25">
      <c r="Q298" t="s">
        <v>1219</v>
      </c>
      <c r="R298" t="s">
        <v>946</v>
      </c>
    </row>
    <row r="299" spans="17:18" ht="15" customHeight="1" x14ac:dyDescent="0.25">
      <c r="Q299" t="s">
        <v>1220</v>
      </c>
      <c r="R299" t="s">
        <v>321</v>
      </c>
    </row>
    <row r="300" spans="17:18" ht="15" customHeight="1" x14ac:dyDescent="0.25">
      <c r="Q300" t="s">
        <v>1221</v>
      </c>
      <c r="R300" t="s">
        <v>321</v>
      </c>
    </row>
    <row r="301" spans="17:18" ht="15" customHeight="1" x14ac:dyDescent="0.25">
      <c r="Q301" t="s">
        <v>1222</v>
      </c>
      <c r="R301" t="s">
        <v>321</v>
      </c>
    </row>
    <row r="302" spans="17:18" ht="15" customHeight="1" x14ac:dyDescent="0.25">
      <c r="Q302" t="s">
        <v>1223</v>
      </c>
      <c r="R302" t="s">
        <v>321</v>
      </c>
    </row>
    <row r="303" spans="17:18" ht="15" customHeight="1" x14ac:dyDescent="0.25">
      <c r="Q303" t="s">
        <v>1224</v>
      </c>
      <c r="R303" t="s">
        <v>321</v>
      </c>
    </row>
    <row r="304" spans="17:18" ht="15" customHeight="1" x14ac:dyDescent="0.25">
      <c r="Q304" t="s">
        <v>1225</v>
      </c>
      <c r="R304" t="s">
        <v>321</v>
      </c>
    </row>
    <row r="305" spans="17:18" ht="15" customHeight="1" x14ac:dyDescent="0.25">
      <c r="Q305" t="s">
        <v>1226</v>
      </c>
      <c r="R305" t="s">
        <v>321</v>
      </c>
    </row>
    <row r="306" spans="17:18" ht="15" customHeight="1" x14ac:dyDescent="0.25">
      <c r="Q306" t="s">
        <v>1227</v>
      </c>
      <c r="R306" t="s">
        <v>321</v>
      </c>
    </row>
    <row r="307" spans="17:18" ht="15" customHeight="1" x14ac:dyDescent="0.25">
      <c r="Q307" t="s">
        <v>1228</v>
      </c>
      <c r="R307" t="s">
        <v>946</v>
      </c>
    </row>
    <row r="308" spans="17:18" ht="15" customHeight="1" x14ac:dyDescent="0.25">
      <c r="Q308" t="s">
        <v>1229</v>
      </c>
      <c r="R308" t="s">
        <v>946</v>
      </c>
    </row>
    <row r="309" spans="17:18" ht="15" customHeight="1" x14ac:dyDescent="0.25">
      <c r="Q309" t="s">
        <v>1230</v>
      </c>
      <c r="R309" t="s">
        <v>946</v>
      </c>
    </row>
    <row r="310" spans="17:18" ht="15" customHeight="1" x14ac:dyDescent="0.25">
      <c r="Q310" t="s">
        <v>1231</v>
      </c>
      <c r="R310" t="s">
        <v>946</v>
      </c>
    </row>
    <row r="311" spans="17:18" ht="15" customHeight="1" x14ac:dyDescent="0.25">
      <c r="Q311" t="s">
        <v>1232</v>
      </c>
      <c r="R311" t="s">
        <v>946</v>
      </c>
    </row>
    <row r="312" spans="17:18" ht="15" customHeight="1" x14ac:dyDescent="0.25">
      <c r="Q312" t="s">
        <v>1233</v>
      </c>
      <c r="R312" t="s">
        <v>946</v>
      </c>
    </row>
    <row r="313" spans="17:18" ht="15" customHeight="1" x14ac:dyDescent="0.25">
      <c r="Q313" t="s">
        <v>1234</v>
      </c>
      <c r="R313" t="s">
        <v>946</v>
      </c>
    </row>
    <row r="314" spans="17:18" ht="15" customHeight="1" x14ac:dyDescent="0.25">
      <c r="Q314" t="s">
        <v>1235</v>
      </c>
      <c r="R314" t="s">
        <v>946</v>
      </c>
    </row>
    <row r="315" spans="17:18" ht="15" customHeight="1" x14ac:dyDescent="0.25">
      <c r="Q315" t="s">
        <v>1236</v>
      </c>
      <c r="R315" t="s">
        <v>946</v>
      </c>
    </row>
    <row r="316" spans="17:18" ht="15" customHeight="1" x14ac:dyDescent="0.25">
      <c r="Q316" t="s">
        <v>1237</v>
      </c>
      <c r="R316" t="s">
        <v>313</v>
      </c>
    </row>
    <row r="317" spans="17:18" ht="15" customHeight="1" x14ac:dyDescent="0.25">
      <c r="Q317" t="s">
        <v>1238</v>
      </c>
      <c r="R317" t="s">
        <v>313</v>
      </c>
    </row>
    <row r="318" spans="17:18" ht="15" customHeight="1" x14ac:dyDescent="0.25">
      <c r="Q318" t="s">
        <v>1239</v>
      </c>
      <c r="R318" t="s">
        <v>313</v>
      </c>
    </row>
    <row r="319" spans="17:18" ht="15" customHeight="1" x14ac:dyDescent="0.25">
      <c r="Q319" t="s">
        <v>1240</v>
      </c>
      <c r="R319" t="s">
        <v>313</v>
      </c>
    </row>
    <row r="320" spans="17:18" ht="15" customHeight="1" x14ac:dyDescent="0.25">
      <c r="Q320" t="s">
        <v>1241</v>
      </c>
      <c r="R320" t="s">
        <v>946</v>
      </c>
    </row>
    <row r="321" spans="17:18" ht="15" customHeight="1" x14ac:dyDescent="0.25">
      <c r="Q321" t="s">
        <v>1242</v>
      </c>
      <c r="R321" t="s">
        <v>946</v>
      </c>
    </row>
    <row r="322" spans="17:18" ht="15" customHeight="1" x14ac:dyDescent="0.25">
      <c r="Q322" t="s">
        <v>1243</v>
      </c>
      <c r="R322" t="s">
        <v>321</v>
      </c>
    </row>
    <row r="323" spans="17:18" ht="15" customHeight="1" x14ac:dyDescent="0.25">
      <c r="Q323" t="s">
        <v>1244</v>
      </c>
      <c r="R323" t="s">
        <v>321</v>
      </c>
    </row>
    <row r="324" spans="17:18" ht="15" customHeight="1" x14ac:dyDescent="0.25">
      <c r="Q324" t="s">
        <v>1245</v>
      </c>
      <c r="R324" t="s">
        <v>321</v>
      </c>
    </row>
    <row r="325" spans="17:18" ht="15" customHeight="1" x14ac:dyDescent="0.25">
      <c r="Q325" t="s">
        <v>1246</v>
      </c>
      <c r="R325" t="s">
        <v>321</v>
      </c>
    </row>
    <row r="326" spans="17:18" ht="15" customHeight="1" x14ac:dyDescent="0.25">
      <c r="Q326" t="s">
        <v>1247</v>
      </c>
      <c r="R326" t="s">
        <v>321</v>
      </c>
    </row>
    <row r="327" spans="17:18" ht="15" customHeight="1" x14ac:dyDescent="0.25">
      <c r="Q327" t="s">
        <v>1248</v>
      </c>
      <c r="R327" t="s">
        <v>321</v>
      </c>
    </row>
    <row r="328" spans="17:18" ht="15" customHeight="1" x14ac:dyDescent="0.25">
      <c r="Q328" t="s">
        <v>1249</v>
      </c>
      <c r="R328" t="s">
        <v>321</v>
      </c>
    </row>
    <row r="329" spans="17:18" ht="15" customHeight="1" x14ac:dyDescent="0.25">
      <c r="Q329" t="s">
        <v>1250</v>
      </c>
      <c r="R329" t="s">
        <v>321</v>
      </c>
    </row>
    <row r="330" spans="17:18" ht="15" customHeight="1" x14ac:dyDescent="0.25">
      <c r="Q330" t="s">
        <v>1251</v>
      </c>
      <c r="R330" t="s">
        <v>321</v>
      </c>
    </row>
    <row r="331" spans="17:18" ht="15" customHeight="1" x14ac:dyDescent="0.25">
      <c r="Q331" t="s">
        <v>1252</v>
      </c>
      <c r="R331" t="s">
        <v>321</v>
      </c>
    </row>
    <row r="332" spans="17:18" ht="15" customHeight="1" x14ac:dyDescent="0.25">
      <c r="Q332" t="s">
        <v>1253</v>
      </c>
      <c r="R332" t="s">
        <v>321</v>
      </c>
    </row>
    <row r="333" spans="17:18" ht="15" customHeight="1" x14ac:dyDescent="0.25">
      <c r="Q333" t="s">
        <v>1254</v>
      </c>
      <c r="R333" t="s">
        <v>321</v>
      </c>
    </row>
    <row r="334" spans="17:18" ht="15" customHeight="1" x14ac:dyDescent="0.25">
      <c r="Q334" t="s">
        <v>1255</v>
      </c>
      <c r="R334" t="s">
        <v>313</v>
      </c>
    </row>
    <row r="335" spans="17:18" ht="15" customHeight="1" x14ac:dyDescent="0.25">
      <c r="Q335" t="s">
        <v>1256</v>
      </c>
      <c r="R335" t="s">
        <v>313</v>
      </c>
    </row>
    <row r="336" spans="17:18" ht="15" customHeight="1" x14ac:dyDescent="0.25">
      <c r="Q336" t="s">
        <v>1257</v>
      </c>
      <c r="R336" t="s">
        <v>313</v>
      </c>
    </row>
    <row r="337" spans="17:18" ht="15" customHeight="1" x14ac:dyDescent="0.25">
      <c r="Q337" t="s">
        <v>1258</v>
      </c>
      <c r="R337" t="s">
        <v>321</v>
      </c>
    </row>
    <row r="338" spans="17:18" ht="15" customHeight="1" x14ac:dyDescent="0.25">
      <c r="Q338" t="s">
        <v>1259</v>
      </c>
      <c r="R338" t="s">
        <v>946</v>
      </c>
    </row>
    <row r="339" spans="17:18" ht="15" customHeight="1" x14ac:dyDescent="0.25">
      <c r="Q339" t="s">
        <v>1260</v>
      </c>
      <c r="R339" t="s">
        <v>946</v>
      </c>
    </row>
    <row r="340" spans="17:18" ht="15" customHeight="1" x14ac:dyDescent="0.25">
      <c r="Q340" t="s">
        <v>1261</v>
      </c>
      <c r="R340" t="s">
        <v>946</v>
      </c>
    </row>
    <row r="341" spans="17:18" ht="15" customHeight="1" x14ac:dyDescent="0.25">
      <c r="Q341" t="s">
        <v>1262</v>
      </c>
      <c r="R341" t="s">
        <v>321</v>
      </c>
    </row>
    <row r="342" spans="17:18" ht="15" customHeight="1" x14ac:dyDescent="0.25">
      <c r="Q342" t="s">
        <v>1263</v>
      </c>
      <c r="R342" t="s">
        <v>321</v>
      </c>
    </row>
    <row r="343" spans="17:18" ht="15" customHeight="1" x14ac:dyDescent="0.25">
      <c r="Q343" t="s">
        <v>1264</v>
      </c>
      <c r="R343" t="s">
        <v>321</v>
      </c>
    </row>
    <row r="344" spans="17:18" ht="15" customHeight="1" x14ac:dyDescent="0.25">
      <c r="Q344" t="s">
        <v>1265</v>
      </c>
      <c r="R344" t="s">
        <v>321</v>
      </c>
    </row>
    <row r="345" spans="17:18" ht="15" customHeight="1" x14ac:dyDescent="0.25">
      <c r="Q345" t="s">
        <v>1266</v>
      </c>
      <c r="R345" t="s">
        <v>321</v>
      </c>
    </row>
    <row r="346" spans="17:18" ht="15" customHeight="1" x14ac:dyDescent="0.25">
      <c r="Q346" t="s">
        <v>1267</v>
      </c>
      <c r="R346" t="s">
        <v>321</v>
      </c>
    </row>
    <row r="347" spans="17:18" ht="15" customHeight="1" x14ac:dyDescent="0.25">
      <c r="Q347" t="s">
        <v>1268</v>
      </c>
      <c r="R347" t="s">
        <v>321</v>
      </c>
    </row>
    <row r="348" spans="17:18" ht="15" customHeight="1" x14ac:dyDescent="0.25">
      <c r="Q348" t="s">
        <v>1269</v>
      </c>
      <c r="R348" t="s">
        <v>321</v>
      </c>
    </row>
    <row r="349" spans="17:18" ht="15" customHeight="1" x14ac:dyDescent="0.25">
      <c r="Q349" t="s">
        <v>1270</v>
      </c>
      <c r="R349" t="s">
        <v>321</v>
      </c>
    </row>
    <row r="350" spans="17:18" ht="15" customHeight="1" x14ac:dyDescent="0.25">
      <c r="Q350" t="s">
        <v>1271</v>
      </c>
      <c r="R350" t="s">
        <v>321</v>
      </c>
    </row>
    <row r="351" spans="17:18" ht="15" customHeight="1" x14ac:dyDescent="0.25">
      <c r="Q351" t="s">
        <v>1272</v>
      </c>
      <c r="R351" t="s">
        <v>321</v>
      </c>
    </row>
    <row r="352" spans="17:18" ht="15" customHeight="1" x14ac:dyDescent="0.25">
      <c r="Q352" t="s">
        <v>1273</v>
      </c>
      <c r="R352" t="s">
        <v>313</v>
      </c>
    </row>
    <row r="353" spans="17:18" ht="15" customHeight="1" x14ac:dyDescent="0.25">
      <c r="Q353" t="s">
        <v>1274</v>
      </c>
      <c r="R353" t="s">
        <v>313</v>
      </c>
    </row>
    <row r="354" spans="17:18" ht="15" customHeight="1" x14ac:dyDescent="0.25">
      <c r="Q354" t="s">
        <v>1275</v>
      </c>
      <c r="R354" t="s">
        <v>313</v>
      </c>
    </row>
    <row r="355" spans="17:18" ht="15" customHeight="1" x14ac:dyDescent="0.25">
      <c r="Q355" t="s">
        <v>1276</v>
      </c>
      <c r="R355" t="s">
        <v>313</v>
      </c>
    </row>
    <row r="356" spans="17:18" ht="15" customHeight="1" x14ac:dyDescent="0.25">
      <c r="Q356" t="s">
        <v>1277</v>
      </c>
      <c r="R356" t="s">
        <v>313</v>
      </c>
    </row>
    <row r="357" spans="17:18" ht="15" customHeight="1" x14ac:dyDescent="0.25">
      <c r="Q357" t="s">
        <v>1278</v>
      </c>
      <c r="R357" t="s">
        <v>313</v>
      </c>
    </row>
    <row r="358" spans="17:18" ht="15" customHeight="1" x14ac:dyDescent="0.25">
      <c r="Q358" t="s">
        <v>1279</v>
      </c>
      <c r="R358" t="s">
        <v>313</v>
      </c>
    </row>
    <row r="359" spans="17:18" ht="15" customHeight="1" x14ac:dyDescent="0.25">
      <c r="Q359" t="s">
        <v>1280</v>
      </c>
      <c r="R359" t="s">
        <v>313</v>
      </c>
    </row>
    <row r="360" spans="17:18" ht="15" customHeight="1" x14ac:dyDescent="0.25">
      <c r="Q360" t="s">
        <v>1281</v>
      </c>
      <c r="R360" t="s">
        <v>313</v>
      </c>
    </row>
    <row r="361" spans="17:18" ht="15" customHeight="1" x14ac:dyDescent="0.25">
      <c r="Q361" t="s">
        <v>1282</v>
      </c>
      <c r="R361" t="s">
        <v>313</v>
      </c>
    </row>
    <row r="362" spans="17:18" ht="15" customHeight="1" x14ac:dyDescent="0.25">
      <c r="Q362" t="s">
        <v>1283</v>
      </c>
      <c r="R362" t="s">
        <v>313</v>
      </c>
    </row>
    <row r="363" spans="17:18" ht="15" customHeight="1" x14ac:dyDescent="0.25">
      <c r="Q363" t="s">
        <v>1284</v>
      </c>
      <c r="R363" t="s">
        <v>313</v>
      </c>
    </row>
    <row r="364" spans="17:18" ht="15" customHeight="1" x14ac:dyDescent="0.25">
      <c r="Q364" t="s">
        <v>1285</v>
      </c>
      <c r="R364" t="s">
        <v>313</v>
      </c>
    </row>
    <row r="365" spans="17:18" ht="15" customHeight="1" x14ac:dyDescent="0.25">
      <c r="Q365" t="s">
        <v>1286</v>
      </c>
      <c r="R365" t="s">
        <v>313</v>
      </c>
    </row>
    <row r="366" spans="17:18" ht="15" customHeight="1" x14ac:dyDescent="0.25">
      <c r="Q366" t="s">
        <v>1287</v>
      </c>
      <c r="R366" t="s">
        <v>313</v>
      </c>
    </row>
    <row r="367" spans="17:18" ht="15" customHeight="1" x14ac:dyDescent="0.25">
      <c r="Q367" t="s">
        <v>1288</v>
      </c>
      <c r="R367" t="s">
        <v>313</v>
      </c>
    </row>
    <row r="368" spans="17:18" ht="15" customHeight="1" x14ac:dyDescent="0.25">
      <c r="Q368" t="s">
        <v>1289</v>
      </c>
      <c r="R368" t="s">
        <v>313</v>
      </c>
    </row>
    <row r="369" spans="17:18" ht="15" customHeight="1" x14ac:dyDescent="0.25">
      <c r="Q369" t="s">
        <v>1290</v>
      </c>
      <c r="R369" t="s">
        <v>313</v>
      </c>
    </row>
    <row r="370" spans="17:18" ht="15" customHeight="1" x14ac:dyDescent="0.25">
      <c r="Q370" t="s">
        <v>1291</v>
      </c>
      <c r="R370" t="s">
        <v>313</v>
      </c>
    </row>
    <row r="371" spans="17:18" ht="15" customHeight="1" x14ac:dyDescent="0.25">
      <c r="Q371" t="s">
        <v>1292</v>
      </c>
      <c r="R371" t="s">
        <v>313</v>
      </c>
    </row>
    <row r="372" spans="17:18" ht="15" customHeight="1" x14ac:dyDescent="0.25">
      <c r="Q372" t="s">
        <v>1293</v>
      </c>
      <c r="R372" t="s">
        <v>313</v>
      </c>
    </row>
    <row r="373" spans="17:18" ht="15" customHeight="1" x14ac:dyDescent="0.25">
      <c r="Q373" t="s">
        <v>1294</v>
      </c>
      <c r="R373" t="s">
        <v>313</v>
      </c>
    </row>
    <row r="374" spans="17:18" ht="15" customHeight="1" x14ac:dyDescent="0.25">
      <c r="Q374" t="s">
        <v>1295</v>
      </c>
      <c r="R374" t="s">
        <v>313</v>
      </c>
    </row>
    <row r="375" spans="17:18" ht="15" customHeight="1" x14ac:dyDescent="0.25">
      <c r="Q375" t="s">
        <v>1296</v>
      </c>
      <c r="R375" t="s">
        <v>313</v>
      </c>
    </row>
    <row r="376" spans="17:18" ht="15" customHeight="1" x14ac:dyDescent="0.25">
      <c r="Q376" t="s">
        <v>1297</v>
      </c>
      <c r="R376" t="s">
        <v>313</v>
      </c>
    </row>
    <row r="377" spans="17:18" ht="15" customHeight="1" x14ac:dyDescent="0.25">
      <c r="Q377" t="s">
        <v>1298</v>
      </c>
      <c r="R377" t="s">
        <v>313</v>
      </c>
    </row>
    <row r="378" spans="17:18" ht="15" customHeight="1" x14ac:dyDescent="0.25">
      <c r="Q378" t="s">
        <v>1299</v>
      </c>
      <c r="R378" t="s">
        <v>313</v>
      </c>
    </row>
    <row r="379" spans="17:18" ht="15" customHeight="1" x14ac:dyDescent="0.25">
      <c r="Q379" t="s">
        <v>1300</v>
      </c>
      <c r="R379" t="s">
        <v>313</v>
      </c>
    </row>
    <row r="380" spans="17:18" ht="15" customHeight="1" x14ac:dyDescent="0.25">
      <c r="Q380" t="s">
        <v>1301</v>
      </c>
      <c r="R380" t="s">
        <v>313</v>
      </c>
    </row>
    <row r="381" spans="17:18" ht="15" customHeight="1" x14ac:dyDescent="0.25">
      <c r="Q381" t="s">
        <v>1302</v>
      </c>
      <c r="R381" t="s">
        <v>313</v>
      </c>
    </row>
    <row r="382" spans="17:18" ht="15" customHeight="1" x14ac:dyDescent="0.25">
      <c r="Q382" t="s">
        <v>1303</v>
      </c>
      <c r="R382" t="s">
        <v>313</v>
      </c>
    </row>
    <row r="383" spans="17:18" ht="15" customHeight="1" x14ac:dyDescent="0.25">
      <c r="Q383" t="s">
        <v>1304</v>
      </c>
      <c r="R383" t="s">
        <v>313</v>
      </c>
    </row>
    <row r="384" spans="17:18" ht="15" customHeight="1" x14ac:dyDescent="0.25">
      <c r="Q384" t="s">
        <v>1305</v>
      </c>
      <c r="R384" t="s">
        <v>313</v>
      </c>
    </row>
    <row r="385" spans="17:18" ht="15" customHeight="1" x14ac:dyDescent="0.25">
      <c r="Q385" t="s">
        <v>1306</v>
      </c>
      <c r="R385" t="s">
        <v>313</v>
      </c>
    </row>
    <row r="386" spans="17:18" ht="15" customHeight="1" x14ac:dyDescent="0.25">
      <c r="Q386" t="s">
        <v>1307</v>
      </c>
      <c r="R386" t="s">
        <v>313</v>
      </c>
    </row>
    <row r="387" spans="17:18" ht="15" customHeight="1" x14ac:dyDescent="0.25">
      <c r="Q387" t="s">
        <v>1308</v>
      </c>
      <c r="R387" t="s">
        <v>313</v>
      </c>
    </row>
    <row r="388" spans="17:18" ht="15" customHeight="1" x14ac:dyDescent="0.25">
      <c r="Q388" t="s">
        <v>1309</v>
      </c>
      <c r="R388" t="s">
        <v>313</v>
      </c>
    </row>
    <row r="389" spans="17:18" ht="15" customHeight="1" x14ac:dyDescent="0.25">
      <c r="Q389" t="s">
        <v>1310</v>
      </c>
      <c r="R389" t="s">
        <v>313</v>
      </c>
    </row>
    <row r="390" spans="17:18" ht="15" customHeight="1" x14ac:dyDescent="0.25">
      <c r="Q390" t="s">
        <v>1311</v>
      </c>
      <c r="R390" t="s">
        <v>313</v>
      </c>
    </row>
    <row r="391" spans="17:18" ht="15" customHeight="1" x14ac:dyDescent="0.25">
      <c r="Q391" t="s">
        <v>1312</v>
      </c>
      <c r="R391" t="s">
        <v>313</v>
      </c>
    </row>
    <row r="392" spans="17:18" ht="15" customHeight="1" x14ac:dyDescent="0.25">
      <c r="Q392" t="s">
        <v>1313</v>
      </c>
      <c r="R392" t="s">
        <v>313</v>
      </c>
    </row>
    <row r="393" spans="17:18" ht="15" customHeight="1" x14ac:dyDescent="0.25">
      <c r="Q393" t="s">
        <v>1314</v>
      </c>
      <c r="R393" t="s">
        <v>313</v>
      </c>
    </row>
    <row r="394" spans="17:18" ht="15" customHeight="1" x14ac:dyDescent="0.25">
      <c r="Q394" t="s">
        <v>1315</v>
      </c>
      <c r="R394" t="s">
        <v>313</v>
      </c>
    </row>
    <row r="395" spans="17:18" ht="15" customHeight="1" x14ac:dyDescent="0.25">
      <c r="Q395" t="s">
        <v>1316</v>
      </c>
      <c r="R395" t="s">
        <v>313</v>
      </c>
    </row>
    <row r="396" spans="17:18" ht="15" customHeight="1" x14ac:dyDescent="0.25">
      <c r="Q396" t="s">
        <v>1317</v>
      </c>
      <c r="R396" t="s">
        <v>313</v>
      </c>
    </row>
    <row r="397" spans="17:18" ht="15" customHeight="1" x14ac:dyDescent="0.25">
      <c r="Q397" t="s">
        <v>1318</v>
      </c>
      <c r="R397" t="s">
        <v>313</v>
      </c>
    </row>
    <row r="398" spans="17:18" ht="15" customHeight="1" x14ac:dyDescent="0.25">
      <c r="Q398" t="s">
        <v>1319</v>
      </c>
      <c r="R398" t="s">
        <v>313</v>
      </c>
    </row>
    <row r="399" spans="17:18" ht="15" customHeight="1" x14ac:dyDescent="0.25">
      <c r="Q399" t="s">
        <v>1320</v>
      </c>
      <c r="R399" t="s">
        <v>313</v>
      </c>
    </row>
    <row r="400" spans="17:18" ht="15" customHeight="1" x14ac:dyDescent="0.25">
      <c r="Q400" t="s">
        <v>1321</v>
      </c>
      <c r="R400" t="s">
        <v>313</v>
      </c>
    </row>
    <row r="401" spans="17:18" ht="15" customHeight="1" x14ac:dyDescent="0.25">
      <c r="Q401" t="s">
        <v>1322</v>
      </c>
      <c r="R401" t="s">
        <v>313</v>
      </c>
    </row>
    <row r="402" spans="17:18" ht="15" customHeight="1" x14ac:dyDescent="0.25">
      <c r="Q402" t="s">
        <v>1323</v>
      </c>
      <c r="R402" t="s">
        <v>313</v>
      </c>
    </row>
    <row r="403" spans="17:18" ht="15" customHeight="1" x14ac:dyDescent="0.25">
      <c r="Q403" t="s">
        <v>1324</v>
      </c>
      <c r="R403" t="s">
        <v>313</v>
      </c>
    </row>
    <row r="404" spans="17:18" ht="15" customHeight="1" x14ac:dyDescent="0.25">
      <c r="Q404" t="s">
        <v>1325</v>
      </c>
      <c r="R404" t="s">
        <v>321</v>
      </c>
    </row>
    <row r="405" spans="17:18" ht="15" customHeight="1" x14ac:dyDescent="0.25">
      <c r="Q405" t="s">
        <v>1326</v>
      </c>
      <c r="R405" t="s">
        <v>315</v>
      </c>
    </row>
    <row r="406" spans="17:18" ht="15" customHeight="1" x14ac:dyDescent="0.25">
      <c r="Q406" t="s">
        <v>1327</v>
      </c>
      <c r="R406" t="s">
        <v>315</v>
      </c>
    </row>
    <row r="407" spans="17:18" ht="15" customHeight="1" x14ac:dyDescent="0.25">
      <c r="Q407" t="s">
        <v>1328</v>
      </c>
      <c r="R407" t="s">
        <v>315</v>
      </c>
    </row>
    <row r="408" spans="17:18" ht="15" customHeight="1" x14ac:dyDescent="0.25">
      <c r="Q408" t="s">
        <v>1329</v>
      </c>
      <c r="R408" t="s">
        <v>321</v>
      </c>
    </row>
    <row r="409" spans="17:18" ht="15" customHeight="1" x14ac:dyDescent="0.25">
      <c r="Q409" t="s">
        <v>1330</v>
      </c>
      <c r="R409" t="s">
        <v>321</v>
      </c>
    </row>
    <row r="410" spans="17:18" ht="15" customHeight="1" x14ac:dyDescent="0.25">
      <c r="Q410" t="s">
        <v>1331</v>
      </c>
      <c r="R410" t="s">
        <v>321</v>
      </c>
    </row>
    <row r="411" spans="17:18" ht="15" customHeight="1" x14ac:dyDescent="0.25">
      <c r="Q411" t="s">
        <v>1332</v>
      </c>
      <c r="R411" t="s">
        <v>321</v>
      </c>
    </row>
    <row r="412" spans="17:18" ht="15" customHeight="1" x14ac:dyDescent="0.25">
      <c r="Q412" t="s">
        <v>1333</v>
      </c>
      <c r="R412" t="s">
        <v>321</v>
      </c>
    </row>
    <row r="413" spans="17:18" ht="15" customHeight="1" x14ac:dyDescent="0.25">
      <c r="Q413" t="s">
        <v>1334</v>
      </c>
      <c r="R413" t="s">
        <v>313</v>
      </c>
    </row>
    <row r="414" spans="17:18" ht="15" customHeight="1" x14ac:dyDescent="0.25">
      <c r="Q414" t="s">
        <v>1335</v>
      </c>
      <c r="R414" t="s">
        <v>313</v>
      </c>
    </row>
    <row r="415" spans="17:18" ht="15" customHeight="1" x14ac:dyDescent="0.25">
      <c r="Q415" t="s">
        <v>1336</v>
      </c>
      <c r="R415" t="s">
        <v>313</v>
      </c>
    </row>
    <row r="416" spans="17:18" ht="15" customHeight="1" x14ac:dyDescent="0.25">
      <c r="Q416" t="s">
        <v>1337</v>
      </c>
      <c r="R416" t="s">
        <v>313</v>
      </c>
    </row>
    <row r="417" spans="17:18" ht="15" customHeight="1" x14ac:dyDescent="0.25">
      <c r="Q417" t="s">
        <v>1338</v>
      </c>
      <c r="R417" t="s">
        <v>313</v>
      </c>
    </row>
    <row r="418" spans="17:18" ht="15" customHeight="1" x14ac:dyDescent="0.25">
      <c r="Q418" t="s">
        <v>1339</v>
      </c>
      <c r="R418" t="s">
        <v>313</v>
      </c>
    </row>
    <row r="419" spans="17:18" ht="15" customHeight="1" x14ac:dyDescent="0.25">
      <c r="Q419" t="s">
        <v>1340</v>
      </c>
      <c r="R419" t="s">
        <v>313</v>
      </c>
    </row>
    <row r="420" spans="17:18" ht="15" customHeight="1" x14ac:dyDescent="0.25">
      <c r="Q420" t="s">
        <v>1341</v>
      </c>
      <c r="R420" t="s">
        <v>313</v>
      </c>
    </row>
    <row r="421" spans="17:18" ht="15" customHeight="1" x14ac:dyDescent="0.25">
      <c r="Q421" t="s">
        <v>1342</v>
      </c>
      <c r="R421" t="s">
        <v>313</v>
      </c>
    </row>
    <row r="422" spans="17:18" ht="15" customHeight="1" x14ac:dyDescent="0.25">
      <c r="Q422" t="s">
        <v>1343</v>
      </c>
      <c r="R422" t="s">
        <v>313</v>
      </c>
    </row>
    <row r="423" spans="17:18" ht="15" customHeight="1" x14ac:dyDescent="0.25">
      <c r="Q423" t="s">
        <v>1344</v>
      </c>
      <c r="R423" t="s">
        <v>313</v>
      </c>
    </row>
    <row r="424" spans="17:18" ht="15" customHeight="1" x14ac:dyDescent="0.25">
      <c r="Q424" t="s">
        <v>1345</v>
      </c>
      <c r="R424" t="s">
        <v>313</v>
      </c>
    </row>
    <row r="425" spans="17:18" ht="15" customHeight="1" x14ac:dyDescent="0.25">
      <c r="Q425" t="s">
        <v>1346</v>
      </c>
      <c r="R425" t="s">
        <v>313</v>
      </c>
    </row>
    <row r="426" spans="17:18" ht="15" customHeight="1" x14ac:dyDescent="0.25">
      <c r="Q426" t="s">
        <v>1347</v>
      </c>
      <c r="R426" t="s">
        <v>313</v>
      </c>
    </row>
    <row r="427" spans="17:18" ht="15" customHeight="1" x14ac:dyDescent="0.25">
      <c r="Q427" t="s">
        <v>1348</v>
      </c>
      <c r="R427" t="s">
        <v>313</v>
      </c>
    </row>
    <row r="428" spans="17:18" ht="15" customHeight="1" x14ac:dyDescent="0.25">
      <c r="Q428" t="s">
        <v>1349</v>
      </c>
      <c r="R428" t="s">
        <v>313</v>
      </c>
    </row>
    <row r="429" spans="17:18" ht="15" customHeight="1" x14ac:dyDescent="0.25">
      <c r="Q429" t="s">
        <v>1350</v>
      </c>
      <c r="R429" t="s">
        <v>313</v>
      </c>
    </row>
    <row r="430" spans="17:18" ht="15" customHeight="1" x14ac:dyDescent="0.25">
      <c r="Q430" t="s">
        <v>1351</v>
      </c>
      <c r="R430" t="s">
        <v>313</v>
      </c>
    </row>
    <row r="431" spans="17:18" ht="15" customHeight="1" x14ac:dyDescent="0.25">
      <c r="Q431" t="s">
        <v>1352</v>
      </c>
      <c r="R431" t="s">
        <v>313</v>
      </c>
    </row>
    <row r="432" spans="17:18" ht="15" customHeight="1" x14ac:dyDescent="0.25">
      <c r="Q432" t="s">
        <v>1353</v>
      </c>
      <c r="R432" t="s">
        <v>313</v>
      </c>
    </row>
    <row r="433" spans="17:18" ht="15" customHeight="1" x14ac:dyDescent="0.25">
      <c r="Q433" t="s">
        <v>1354</v>
      </c>
      <c r="R433" t="s">
        <v>313</v>
      </c>
    </row>
    <row r="434" spans="17:18" ht="15" customHeight="1" x14ac:dyDescent="0.25">
      <c r="Q434" t="s">
        <v>1355</v>
      </c>
      <c r="R434" t="s">
        <v>313</v>
      </c>
    </row>
    <row r="435" spans="17:18" ht="15" customHeight="1" x14ac:dyDescent="0.25">
      <c r="Q435" t="s">
        <v>1356</v>
      </c>
      <c r="R435" t="s">
        <v>313</v>
      </c>
    </row>
    <row r="436" spans="17:18" ht="15" customHeight="1" x14ac:dyDescent="0.25">
      <c r="Q436" t="s">
        <v>1357</v>
      </c>
      <c r="R436" t="s">
        <v>313</v>
      </c>
    </row>
    <row r="437" spans="17:18" ht="15" customHeight="1" x14ac:dyDescent="0.25">
      <c r="Q437" t="s">
        <v>1358</v>
      </c>
      <c r="R437" t="s">
        <v>313</v>
      </c>
    </row>
    <row r="438" spans="17:18" ht="15" customHeight="1" x14ac:dyDescent="0.25">
      <c r="Q438" t="s">
        <v>1359</v>
      </c>
      <c r="R438" t="s">
        <v>313</v>
      </c>
    </row>
    <row r="439" spans="17:18" ht="15" customHeight="1" x14ac:dyDescent="0.25">
      <c r="Q439" t="s">
        <v>1360</v>
      </c>
      <c r="R439" t="s">
        <v>313</v>
      </c>
    </row>
    <row r="440" spans="17:18" ht="15" customHeight="1" x14ac:dyDescent="0.25">
      <c r="Q440" t="s">
        <v>1361</v>
      </c>
      <c r="R440" t="s">
        <v>313</v>
      </c>
    </row>
    <row r="441" spans="17:18" ht="15" customHeight="1" x14ac:dyDescent="0.25">
      <c r="Q441" t="s">
        <v>1362</v>
      </c>
      <c r="R441" t="s">
        <v>313</v>
      </c>
    </row>
    <row r="442" spans="17:18" ht="15" customHeight="1" x14ac:dyDescent="0.25">
      <c r="Q442" t="s">
        <v>1363</v>
      </c>
      <c r="R442" t="s">
        <v>313</v>
      </c>
    </row>
    <row r="443" spans="17:18" ht="15" customHeight="1" x14ac:dyDescent="0.25">
      <c r="Q443" t="s">
        <v>1364</v>
      </c>
      <c r="R443" t="s">
        <v>313</v>
      </c>
    </row>
    <row r="444" spans="17:18" ht="15" customHeight="1" x14ac:dyDescent="0.25">
      <c r="Q444" t="s">
        <v>1365</v>
      </c>
      <c r="R444" t="s">
        <v>313</v>
      </c>
    </row>
    <row r="445" spans="17:18" ht="15" customHeight="1" x14ac:dyDescent="0.25">
      <c r="Q445" t="s">
        <v>1366</v>
      </c>
      <c r="R445" t="s">
        <v>313</v>
      </c>
    </row>
    <row r="446" spans="17:18" ht="15" customHeight="1" x14ac:dyDescent="0.25">
      <c r="Q446" t="s">
        <v>1367</v>
      </c>
      <c r="R446" t="s">
        <v>313</v>
      </c>
    </row>
    <row r="447" spans="17:18" ht="15" customHeight="1" x14ac:dyDescent="0.25">
      <c r="Q447" t="s">
        <v>1368</v>
      </c>
      <c r="R447" t="s">
        <v>313</v>
      </c>
    </row>
    <row r="448" spans="17:18" ht="15" customHeight="1" x14ac:dyDescent="0.25">
      <c r="Q448" t="s">
        <v>1369</v>
      </c>
      <c r="R448" t="s">
        <v>313</v>
      </c>
    </row>
    <row r="449" spans="17:18" ht="15" customHeight="1" x14ac:dyDescent="0.25">
      <c r="Q449" t="s">
        <v>1370</v>
      </c>
      <c r="R449" t="s">
        <v>313</v>
      </c>
    </row>
    <row r="450" spans="17:18" ht="15" customHeight="1" x14ac:dyDescent="0.25">
      <c r="Q450" t="s">
        <v>1371</v>
      </c>
      <c r="R450" t="s">
        <v>313</v>
      </c>
    </row>
    <row r="451" spans="17:18" ht="15" customHeight="1" x14ac:dyDescent="0.25">
      <c r="Q451" t="s">
        <v>1372</v>
      </c>
      <c r="R451" t="s">
        <v>313</v>
      </c>
    </row>
    <row r="452" spans="17:18" ht="15" customHeight="1" x14ac:dyDescent="0.25">
      <c r="Q452" t="s">
        <v>1373</v>
      </c>
      <c r="R452" t="s">
        <v>313</v>
      </c>
    </row>
    <row r="453" spans="17:18" ht="15" customHeight="1" x14ac:dyDescent="0.25">
      <c r="Q453" t="s">
        <v>1374</v>
      </c>
      <c r="R453" t="s">
        <v>313</v>
      </c>
    </row>
    <row r="454" spans="17:18" ht="15" customHeight="1" x14ac:dyDescent="0.25">
      <c r="Q454" t="s">
        <v>1375</v>
      </c>
      <c r="R454" t="s">
        <v>313</v>
      </c>
    </row>
    <row r="455" spans="17:18" ht="15" customHeight="1" x14ac:dyDescent="0.25">
      <c r="Q455" t="s">
        <v>1376</v>
      </c>
      <c r="R455" t="s">
        <v>313</v>
      </c>
    </row>
    <row r="456" spans="17:18" ht="15" customHeight="1" x14ac:dyDescent="0.25">
      <c r="Q456" t="s">
        <v>1377</v>
      </c>
      <c r="R456" t="s">
        <v>313</v>
      </c>
    </row>
    <row r="457" spans="17:18" ht="15" customHeight="1" x14ac:dyDescent="0.25">
      <c r="Q457" t="s">
        <v>1378</v>
      </c>
      <c r="R457" t="s">
        <v>313</v>
      </c>
    </row>
    <row r="458" spans="17:18" ht="15" customHeight="1" x14ac:dyDescent="0.25">
      <c r="Q458" t="s">
        <v>1379</v>
      </c>
      <c r="R458" t="s">
        <v>313</v>
      </c>
    </row>
    <row r="459" spans="17:18" ht="15" customHeight="1" x14ac:dyDescent="0.25">
      <c r="Q459" t="s">
        <v>1380</v>
      </c>
      <c r="R459" t="s">
        <v>313</v>
      </c>
    </row>
    <row r="460" spans="17:18" ht="15" customHeight="1" x14ac:dyDescent="0.25">
      <c r="Q460" t="s">
        <v>1381</v>
      </c>
      <c r="R460" t="s">
        <v>313</v>
      </c>
    </row>
    <row r="461" spans="17:18" ht="15" customHeight="1" x14ac:dyDescent="0.25">
      <c r="Q461" t="s">
        <v>1382</v>
      </c>
      <c r="R461" t="s">
        <v>313</v>
      </c>
    </row>
    <row r="462" spans="17:18" ht="15" customHeight="1" x14ac:dyDescent="0.25">
      <c r="Q462" t="s">
        <v>1383</v>
      </c>
      <c r="R462" t="s">
        <v>313</v>
      </c>
    </row>
    <row r="463" spans="17:18" ht="15" customHeight="1" x14ac:dyDescent="0.25">
      <c r="Q463" t="s">
        <v>1384</v>
      </c>
      <c r="R463" t="s">
        <v>313</v>
      </c>
    </row>
    <row r="464" spans="17:18" ht="15" customHeight="1" x14ac:dyDescent="0.25">
      <c r="Q464" t="s">
        <v>1385</v>
      </c>
      <c r="R464" t="s">
        <v>313</v>
      </c>
    </row>
    <row r="465" spans="17:18" ht="15" customHeight="1" x14ac:dyDescent="0.25">
      <c r="Q465" t="s">
        <v>1386</v>
      </c>
      <c r="R465" t="s">
        <v>313</v>
      </c>
    </row>
    <row r="466" spans="17:18" ht="15" customHeight="1" x14ac:dyDescent="0.25">
      <c r="Q466" t="s">
        <v>1387</v>
      </c>
      <c r="R466" t="s">
        <v>313</v>
      </c>
    </row>
    <row r="467" spans="17:18" ht="15" customHeight="1" x14ac:dyDescent="0.25">
      <c r="Q467" t="s">
        <v>1388</v>
      </c>
      <c r="R467" t="s">
        <v>313</v>
      </c>
    </row>
    <row r="468" spans="17:18" ht="15" customHeight="1" x14ac:dyDescent="0.25">
      <c r="Q468" t="s">
        <v>1389</v>
      </c>
      <c r="R468" t="s">
        <v>313</v>
      </c>
    </row>
    <row r="469" spans="17:18" ht="15" customHeight="1" x14ac:dyDescent="0.25">
      <c r="Q469" t="s">
        <v>1390</v>
      </c>
      <c r="R469" t="s">
        <v>313</v>
      </c>
    </row>
    <row r="470" spans="17:18" ht="15" customHeight="1" x14ac:dyDescent="0.25">
      <c r="Q470" t="s">
        <v>1391</v>
      </c>
      <c r="R470" t="s">
        <v>313</v>
      </c>
    </row>
    <row r="471" spans="17:18" ht="15" customHeight="1" x14ac:dyDescent="0.25">
      <c r="Q471" t="s">
        <v>1392</v>
      </c>
      <c r="R471" t="s">
        <v>313</v>
      </c>
    </row>
    <row r="472" spans="17:18" ht="15" customHeight="1" x14ac:dyDescent="0.25">
      <c r="Q472" t="s">
        <v>1393</v>
      </c>
      <c r="R472" t="s">
        <v>313</v>
      </c>
    </row>
    <row r="473" spans="17:18" ht="15" customHeight="1" x14ac:dyDescent="0.25">
      <c r="Q473" t="s">
        <v>1394</v>
      </c>
      <c r="R473" t="s">
        <v>313</v>
      </c>
    </row>
    <row r="474" spans="17:18" ht="15" customHeight="1" x14ac:dyDescent="0.25">
      <c r="Q474" t="s">
        <v>1395</v>
      </c>
      <c r="R474" t="s">
        <v>313</v>
      </c>
    </row>
    <row r="475" spans="17:18" ht="15" customHeight="1" x14ac:dyDescent="0.25">
      <c r="Q475" t="s">
        <v>1396</v>
      </c>
      <c r="R475" t="s">
        <v>313</v>
      </c>
    </row>
    <row r="476" spans="17:18" ht="15" customHeight="1" x14ac:dyDescent="0.25">
      <c r="Q476" t="s">
        <v>1397</v>
      </c>
      <c r="R476" t="s">
        <v>313</v>
      </c>
    </row>
    <row r="477" spans="17:18" ht="15" customHeight="1" x14ac:dyDescent="0.25">
      <c r="Q477" t="s">
        <v>1398</v>
      </c>
      <c r="R477" t="s">
        <v>313</v>
      </c>
    </row>
    <row r="478" spans="17:18" ht="15" customHeight="1" x14ac:dyDescent="0.25">
      <c r="Q478" t="s">
        <v>1399</v>
      </c>
      <c r="R478" t="s">
        <v>313</v>
      </c>
    </row>
    <row r="479" spans="17:18" ht="15" customHeight="1" x14ac:dyDescent="0.25">
      <c r="Q479" t="s">
        <v>1400</v>
      </c>
      <c r="R479" t="s">
        <v>313</v>
      </c>
    </row>
    <row r="480" spans="17:18" ht="15" customHeight="1" x14ac:dyDescent="0.25">
      <c r="Q480" t="s">
        <v>1401</v>
      </c>
      <c r="R480" t="s">
        <v>313</v>
      </c>
    </row>
    <row r="481" spans="17:18" ht="15" customHeight="1" x14ac:dyDescent="0.25">
      <c r="Q481" t="s">
        <v>1402</v>
      </c>
      <c r="R481" t="s">
        <v>313</v>
      </c>
    </row>
    <row r="482" spans="17:18" ht="15" customHeight="1" x14ac:dyDescent="0.25">
      <c r="Q482" t="s">
        <v>1403</v>
      </c>
      <c r="R482" t="s">
        <v>313</v>
      </c>
    </row>
    <row r="483" spans="17:18" ht="15" customHeight="1" x14ac:dyDescent="0.25">
      <c r="Q483" t="s">
        <v>1404</v>
      </c>
      <c r="R483" t="s">
        <v>313</v>
      </c>
    </row>
    <row r="484" spans="17:18" ht="15" customHeight="1" x14ac:dyDescent="0.25">
      <c r="Q484" t="s">
        <v>1405</v>
      </c>
      <c r="R484" t="s">
        <v>313</v>
      </c>
    </row>
    <row r="485" spans="17:18" ht="15" customHeight="1" x14ac:dyDescent="0.25">
      <c r="Q485" t="s">
        <v>1406</v>
      </c>
      <c r="R485" t="s">
        <v>313</v>
      </c>
    </row>
    <row r="486" spans="17:18" ht="15" customHeight="1" x14ac:dyDescent="0.25">
      <c r="Q486" t="s">
        <v>1407</v>
      </c>
      <c r="R486" t="s">
        <v>313</v>
      </c>
    </row>
    <row r="487" spans="17:18" ht="15" customHeight="1" x14ac:dyDescent="0.25">
      <c r="Q487" t="s">
        <v>1408</v>
      </c>
      <c r="R487" t="s">
        <v>313</v>
      </c>
    </row>
    <row r="488" spans="17:18" ht="15" customHeight="1" x14ac:dyDescent="0.25">
      <c r="Q488" t="s">
        <v>1409</v>
      </c>
      <c r="R488" t="s">
        <v>313</v>
      </c>
    </row>
    <row r="489" spans="17:18" ht="15" customHeight="1" x14ac:dyDescent="0.25">
      <c r="Q489" t="s">
        <v>1410</v>
      </c>
      <c r="R489" t="s">
        <v>313</v>
      </c>
    </row>
    <row r="490" spans="17:18" ht="15" customHeight="1" x14ac:dyDescent="0.25">
      <c r="Q490" t="s">
        <v>1411</v>
      </c>
      <c r="R490" t="s">
        <v>313</v>
      </c>
    </row>
    <row r="491" spans="17:18" ht="15" customHeight="1" x14ac:dyDescent="0.25">
      <c r="Q491" t="s">
        <v>1412</v>
      </c>
      <c r="R491" t="s">
        <v>313</v>
      </c>
    </row>
    <row r="492" spans="17:18" ht="15" customHeight="1" x14ac:dyDescent="0.25">
      <c r="Q492" t="s">
        <v>1413</v>
      </c>
      <c r="R492" t="s">
        <v>313</v>
      </c>
    </row>
    <row r="493" spans="17:18" ht="15" customHeight="1" x14ac:dyDescent="0.25">
      <c r="Q493" t="s">
        <v>1414</v>
      </c>
      <c r="R493" t="s">
        <v>313</v>
      </c>
    </row>
    <row r="494" spans="17:18" ht="15" customHeight="1" x14ac:dyDescent="0.25">
      <c r="Q494" t="s">
        <v>1415</v>
      </c>
      <c r="R494" t="s">
        <v>313</v>
      </c>
    </row>
    <row r="495" spans="17:18" ht="15" customHeight="1" x14ac:dyDescent="0.25">
      <c r="Q495" t="s">
        <v>1416</v>
      </c>
      <c r="R495" t="s">
        <v>313</v>
      </c>
    </row>
    <row r="496" spans="17:18" ht="15" customHeight="1" x14ac:dyDescent="0.25">
      <c r="Q496" t="s">
        <v>1417</v>
      </c>
      <c r="R496" t="s">
        <v>313</v>
      </c>
    </row>
    <row r="497" spans="17:18" ht="15" customHeight="1" x14ac:dyDescent="0.25">
      <c r="Q497" t="s">
        <v>1418</v>
      </c>
      <c r="R497" t="s">
        <v>313</v>
      </c>
    </row>
    <row r="498" spans="17:18" ht="15" customHeight="1" x14ac:dyDescent="0.25">
      <c r="Q498" t="s">
        <v>1419</v>
      </c>
      <c r="R498" t="s">
        <v>313</v>
      </c>
    </row>
    <row r="499" spans="17:18" ht="15" customHeight="1" x14ac:dyDescent="0.25">
      <c r="Q499" t="s">
        <v>1420</v>
      </c>
      <c r="R499" t="s">
        <v>313</v>
      </c>
    </row>
    <row r="500" spans="17:18" ht="15" customHeight="1" x14ac:dyDescent="0.25">
      <c r="Q500" t="s">
        <v>1421</v>
      </c>
      <c r="R500" t="s">
        <v>313</v>
      </c>
    </row>
    <row r="501" spans="17:18" ht="15" customHeight="1" x14ac:dyDescent="0.25">
      <c r="Q501" t="s">
        <v>1422</v>
      </c>
      <c r="R501" t="s">
        <v>313</v>
      </c>
    </row>
    <row r="502" spans="17:18" ht="15" customHeight="1" x14ac:dyDescent="0.25">
      <c r="Q502" t="s">
        <v>1423</v>
      </c>
      <c r="R502" t="s">
        <v>315</v>
      </c>
    </row>
    <row r="503" spans="17:18" ht="15" customHeight="1" x14ac:dyDescent="0.25">
      <c r="Q503" t="s">
        <v>1424</v>
      </c>
      <c r="R503" t="s">
        <v>315</v>
      </c>
    </row>
    <row r="504" spans="17:18" ht="15" customHeight="1" x14ac:dyDescent="0.25">
      <c r="Q504" t="s">
        <v>1425</v>
      </c>
      <c r="R504" t="s">
        <v>315</v>
      </c>
    </row>
    <row r="505" spans="17:18" ht="15" customHeight="1" x14ac:dyDescent="0.25">
      <c r="Q505" t="s">
        <v>1426</v>
      </c>
      <c r="R505" t="s">
        <v>315</v>
      </c>
    </row>
    <row r="506" spans="17:18" ht="15" customHeight="1" x14ac:dyDescent="0.25">
      <c r="Q506" t="s">
        <v>1427</v>
      </c>
      <c r="R506" t="s">
        <v>315</v>
      </c>
    </row>
    <row r="507" spans="17:18" ht="15" customHeight="1" x14ac:dyDescent="0.25">
      <c r="Q507" t="s">
        <v>1428</v>
      </c>
      <c r="R507" t="s">
        <v>315</v>
      </c>
    </row>
    <row r="508" spans="17:18" ht="15" customHeight="1" x14ac:dyDescent="0.25">
      <c r="Q508" t="s">
        <v>1429</v>
      </c>
      <c r="R508" t="s">
        <v>315</v>
      </c>
    </row>
    <row r="509" spans="17:18" ht="15" customHeight="1" x14ac:dyDescent="0.25">
      <c r="Q509" t="s">
        <v>1430</v>
      </c>
      <c r="R509" t="s">
        <v>315</v>
      </c>
    </row>
    <row r="510" spans="17:18" ht="15" customHeight="1" x14ac:dyDescent="0.25">
      <c r="Q510" t="s">
        <v>1431</v>
      </c>
      <c r="R510" t="s">
        <v>315</v>
      </c>
    </row>
    <row r="511" spans="17:18" ht="15" customHeight="1" x14ac:dyDescent="0.25">
      <c r="Q511" t="s">
        <v>1432</v>
      </c>
      <c r="R511" t="s">
        <v>315</v>
      </c>
    </row>
    <row r="512" spans="17:18" ht="15" customHeight="1" x14ac:dyDescent="0.25">
      <c r="Q512" t="s">
        <v>1433</v>
      </c>
      <c r="R512" t="s">
        <v>315</v>
      </c>
    </row>
    <row r="513" spans="17:18" ht="15" customHeight="1" x14ac:dyDescent="0.25">
      <c r="Q513" t="s">
        <v>1434</v>
      </c>
      <c r="R513" t="s">
        <v>315</v>
      </c>
    </row>
    <row r="514" spans="17:18" ht="15" customHeight="1" x14ac:dyDescent="0.25">
      <c r="Q514" t="s">
        <v>1435</v>
      </c>
      <c r="R514" t="s">
        <v>315</v>
      </c>
    </row>
    <row r="515" spans="17:18" ht="15" customHeight="1" x14ac:dyDescent="0.25">
      <c r="Q515" t="s">
        <v>1436</v>
      </c>
      <c r="R515" t="s">
        <v>315</v>
      </c>
    </row>
    <row r="516" spans="17:18" ht="15" customHeight="1" x14ac:dyDescent="0.25">
      <c r="Q516" t="s">
        <v>1437</v>
      </c>
      <c r="R516" t="s">
        <v>315</v>
      </c>
    </row>
    <row r="517" spans="17:18" ht="15" customHeight="1" x14ac:dyDescent="0.25">
      <c r="Q517" t="s">
        <v>1438</v>
      </c>
      <c r="R517" t="s">
        <v>315</v>
      </c>
    </row>
    <row r="518" spans="17:18" ht="15" customHeight="1" x14ac:dyDescent="0.25">
      <c r="Q518" t="s">
        <v>1439</v>
      </c>
      <c r="R518" t="s">
        <v>315</v>
      </c>
    </row>
    <row r="519" spans="17:18" ht="15" customHeight="1" x14ac:dyDescent="0.25">
      <c r="Q519" t="s">
        <v>1440</v>
      </c>
      <c r="R519" t="s">
        <v>315</v>
      </c>
    </row>
    <row r="520" spans="17:18" ht="15" customHeight="1" x14ac:dyDescent="0.25">
      <c r="Q520" t="s">
        <v>1441</v>
      </c>
      <c r="R520" t="s">
        <v>315</v>
      </c>
    </row>
    <row r="521" spans="17:18" ht="15" customHeight="1" x14ac:dyDescent="0.25">
      <c r="Q521" t="s">
        <v>1442</v>
      </c>
      <c r="R521" t="s">
        <v>315</v>
      </c>
    </row>
    <row r="522" spans="17:18" ht="15" customHeight="1" x14ac:dyDescent="0.25">
      <c r="Q522" t="s">
        <v>1443</v>
      </c>
      <c r="R522" t="s">
        <v>315</v>
      </c>
    </row>
    <row r="523" spans="17:18" ht="15" customHeight="1" x14ac:dyDescent="0.25">
      <c r="Q523" t="s">
        <v>1444</v>
      </c>
      <c r="R523" t="s">
        <v>315</v>
      </c>
    </row>
    <row r="524" spans="17:18" ht="15" customHeight="1" x14ac:dyDescent="0.25">
      <c r="Q524" t="s">
        <v>1445</v>
      </c>
      <c r="R524" t="s">
        <v>315</v>
      </c>
    </row>
    <row r="525" spans="17:18" ht="15" customHeight="1" x14ac:dyDescent="0.25">
      <c r="Q525" t="s">
        <v>1446</v>
      </c>
      <c r="R525" t="s">
        <v>315</v>
      </c>
    </row>
    <row r="526" spans="17:18" ht="15" customHeight="1" x14ac:dyDescent="0.25">
      <c r="Q526" t="s">
        <v>1447</v>
      </c>
      <c r="R526" t="s">
        <v>315</v>
      </c>
    </row>
    <row r="527" spans="17:18" ht="15" customHeight="1" x14ac:dyDescent="0.25">
      <c r="Q527" t="s">
        <v>1448</v>
      </c>
      <c r="R527" t="s">
        <v>315</v>
      </c>
    </row>
    <row r="528" spans="17:18" ht="15" customHeight="1" x14ac:dyDescent="0.25">
      <c r="Q528" t="s">
        <v>1449</v>
      </c>
      <c r="R528" t="s">
        <v>315</v>
      </c>
    </row>
    <row r="529" spans="17:18" ht="15" customHeight="1" x14ac:dyDescent="0.25">
      <c r="Q529" t="s">
        <v>1450</v>
      </c>
      <c r="R529" t="s">
        <v>315</v>
      </c>
    </row>
    <row r="530" spans="17:18" ht="15" customHeight="1" x14ac:dyDescent="0.25">
      <c r="Q530" t="s">
        <v>1451</v>
      </c>
      <c r="R530" t="s">
        <v>315</v>
      </c>
    </row>
    <row r="531" spans="17:18" ht="15" customHeight="1" x14ac:dyDescent="0.25">
      <c r="Q531" t="s">
        <v>1452</v>
      </c>
      <c r="R531" t="s">
        <v>315</v>
      </c>
    </row>
    <row r="532" spans="17:18" ht="15" customHeight="1" x14ac:dyDescent="0.25">
      <c r="Q532" t="s">
        <v>1453</v>
      </c>
      <c r="R532" t="s">
        <v>315</v>
      </c>
    </row>
    <row r="533" spans="17:18" ht="15" customHeight="1" x14ac:dyDescent="0.25">
      <c r="Q533" t="s">
        <v>1454</v>
      </c>
      <c r="R533" t="s">
        <v>315</v>
      </c>
    </row>
    <row r="534" spans="17:18" ht="15" customHeight="1" x14ac:dyDescent="0.25">
      <c r="Q534" t="s">
        <v>1455</v>
      </c>
      <c r="R534" t="s">
        <v>315</v>
      </c>
    </row>
    <row r="535" spans="17:18" ht="15" customHeight="1" x14ac:dyDescent="0.25">
      <c r="Q535" t="s">
        <v>1456</v>
      </c>
      <c r="R535" t="s">
        <v>315</v>
      </c>
    </row>
    <row r="536" spans="17:18" ht="15" customHeight="1" x14ac:dyDescent="0.25">
      <c r="Q536" t="s">
        <v>1457</v>
      </c>
      <c r="R536" t="s">
        <v>315</v>
      </c>
    </row>
    <row r="537" spans="17:18" ht="15" customHeight="1" x14ac:dyDescent="0.25">
      <c r="Q537" t="s">
        <v>1458</v>
      </c>
      <c r="R537" t="s">
        <v>315</v>
      </c>
    </row>
    <row r="538" spans="17:18" ht="15" customHeight="1" x14ac:dyDescent="0.25">
      <c r="Q538" t="s">
        <v>1459</v>
      </c>
      <c r="R538" t="s">
        <v>315</v>
      </c>
    </row>
    <row r="539" spans="17:18" ht="15" customHeight="1" x14ac:dyDescent="0.25">
      <c r="Q539" t="s">
        <v>1460</v>
      </c>
      <c r="R539" t="s">
        <v>315</v>
      </c>
    </row>
    <row r="540" spans="17:18" ht="15" customHeight="1" x14ac:dyDescent="0.25">
      <c r="Q540" t="s">
        <v>1461</v>
      </c>
      <c r="R540" t="s">
        <v>315</v>
      </c>
    </row>
    <row r="541" spans="17:18" ht="15" customHeight="1" x14ac:dyDescent="0.25">
      <c r="Q541" t="s">
        <v>1462</v>
      </c>
      <c r="R541" t="s">
        <v>315</v>
      </c>
    </row>
    <row r="542" spans="17:18" ht="15" customHeight="1" x14ac:dyDescent="0.25">
      <c r="Q542" t="s">
        <v>1463</v>
      </c>
      <c r="R542" t="s">
        <v>315</v>
      </c>
    </row>
    <row r="543" spans="17:18" ht="15" customHeight="1" x14ac:dyDescent="0.25">
      <c r="Q543" t="s">
        <v>1464</v>
      </c>
      <c r="R543" t="s">
        <v>315</v>
      </c>
    </row>
    <row r="544" spans="17:18" ht="15" customHeight="1" x14ac:dyDescent="0.25">
      <c r="Q544" t="s">
        <v>1465</v>
      </c>
      <c r="R544" t="s">
        <v>315</v>
      </c>
    </row>
    <row r="545" spans="17:18" ht="15" customHeight="1" x14ac:dyDescent="0.25">
      <c r="Q545" t="s">
        <v>1466</v>
      </c>
      <c r="R545" t="s">
        <v>315</v>
      </c>
    </row>
    <row r="546" spans="17:18" ht="15" customHeight="1" x14ac:dyDescent="0.25">
      <c r="Q546" t="s">
        <v>1467</v>
      </c>
      <c r="R546" t="s">
        <v>315</v>
      </c>
    </row>
    <row r="547" spans="17:18" ht="15" customHeight="1" x14ac:dyDescent="0.25">
      <c r="Q547" t="s">
        <v>1468</v>
      </c>
      <c r="R547" t="s">
        <v>315</v>
      </c>
    </row>
    <row r="548" spans="17:18" ht="15" customHeight="1" x14ac:dyDescent="0.25">
      <c r="Q548" t="s">
        <v>1469</v>
      </c>
      <c r="R548" t="s">
        <v>315</v>
      </c>
    </row>
    <row r="549" spans="17:18" ht="15" customHeight="1" x14ac:dyDescent="0.25">
      <c r="Q549" t="s">
        <v>1470</v>
      </c>
      <c r="R549" t="s">
        <v>315</v>
      </c>
    </row>
    <row r="550" spans="17:18" ht="15" customHeight="1" x14ac:dyDescent="0.25">
      <c r="Q550" t="s">
        <v>1471</v>
      </c>
      <c r="R550" t="s">
        <v>315</v>
      </c>
    </row>
    <row r="551" spans="17:18" ht="15" customHeight="1" x14ac:dyDescent="0.25">
      <c r="Q551" t="s">
        <v>1472</v>
      </c>
      <c r="R551" t="s">
        <v>315</v>
      </c>
    </row>
    <row r="552" spans="17:18" ht="15" customHeight="1" x14ac:dyDescent="0.25">
      <c r="Q552" t="s">
        <v>1473</v>
      </c>
      <c r="R552" t="s">
        <v>315</v>
      </c>
    </row>
    <row r="553" spans="17:18" ht="15" customHeight="1" x14ac:dyDescent="0.25">
      <c r="Q553" t="s">
        <v>1474</v>
      </c>
      <c r="R553" t="s">
        <v>315</v>
      </c>
    </row>
    <row r="554" spans="17:18" ht="15" customHeight="1" x14ac:dyDescent="0.25">
      <c r="Q554" t="s">
        <v>1475</v>
      </c>
      <c r="R554" t="s">
        <v>315</v>
      </c>
    </row>
    <row r="555" spans="17:18" ht="15" customHeight="1" x14ac:dyDescent="0.25">
      <c r="Q555" t="s">
        <v>1476</v>
      </c>
      <c r="R555" t="s">
        <v>315</v>
      </c>
    </row>
    <row r="556" spans="17:18" ht="15" customHeight="1" x14ac:dyDescent="0.25">
      <c r="Q556" t="s">
        <v>1477</v>
      </c>
      <c r="R556" t="s">
        <v>315</v>
      </c>
    </row>
    <row r="557" spans="17:18" ht="15" customHeight="1" x14ac:dyDescent="0.25">
      <c r="Q557" t="s">
        <v>1478</v>
      </c>
      <c r="R557" t="s">
        <v>315</v>
      </c>
    </row>
    <row r="558" spans="17:18" ht="15" customHeight="1" x14ac:dyDescent="0.25">
      <c r="Q558" t="s">
        <v>1479</v>
      </c>
      <c r="R558" t="s">
        <v>315</v>
      </c>
    </row>
    <row r="559" spans="17:18" ht="15" customHeight="1" x14ac:dyDescent="0.25">
      <c r="Q559" t="s">
        <v>1480</v>
      </c>
      <c r="R559" t="s">
        <v>315</v>
      </c>
    </row>
    <row r="560" spans="17:18" ht="15" customHeight="1" x14ac:dyDescent="0.25">
      <c r="Q560" t="s">
        <v>1481</v>
      </c>
      <c r="R560" t="s">
        <v>315</v>
      </c>
    </row>
    <row r="561" spans="17:18" ht="15" customHeight="1" x14ac:dyDescent="0.25">
      <c r="Q561" t="s">
        <v>1482</v>
      </c>
      <c r="R561" t="s">
        <v>315</v>
      </c>
    </row>
    <row r="562" spans="17:18" ht="15" customHeight="1" x14ac:dyDescent="0.25">
      <c r="Q562" t="s">
        <v>1483</v>
      </c>
      <c r="R562" t="s">
        <v>315</v>
      </c>
    </row>
    <row r="563" spans="17:18" ht="15" customHeight="1" x14ac:dyDescent="0.25">
      <c r="Q563" t="s">
        <v>1484</v>
      </c>
      <c r="R563" t="s">
        <v>315</v>
      </c>
    </row>
    <row r="564" spans="17:18" ht="15" customHeight="1" x14ac:dyDescent="0.25">
      <c r="Q564" t="s">
        <v>1485</v>
      </c>
      <c r="R564" t="s">
        <v>315</v>
      </c>
    </row>
    <row r="565" spans="17:18" ht="15" customHeight="1" x14ac:dyDescent="0.25">
      <c r="Q565" t="s">
        <v>1486</v>
      </c>
      <c r="R565" t="s">
        <v>315</v>
      </c>
    </row>
    <row r="566" spans="17:18" ht="15" customHeight="1" x14ac:dyDescent="0.25">
      <c r="Q566" t="s">
        <v>1487</v>
      </c>
      <c r="R566" t="s">
        <v>315</v>
      </c>
    </row>
    <row r="567" spans="17:18" ht="15" customHeight="1" x14ac:dyDescent="0.25">
      <c r="Q567" t="s">
        <v>1488</v>
      </c>
      <c r="R567" t="s">
        <v>315</v>
      </c>
    </row>
    <row r="568" spans="17:18" ht="15" customHeight="1" x14ac:dyDescent="0.25">
      <c r="Q568" t="s">
        <v>1489</v>
      </c>
      <c r="R568" t="s">
        <v>315</v>
      </c>
    </row>
    <row r="569" spans="17:18" ht="15" customHeight="1" x14ac:dyDescent="0.25">
      <c r="Q569" t="s">
        <v>1490</v>
      </c>
      <c r="R569" t="s">
        <v>315</v>
      </c>
    </row>
    <row r="570" spans="17:18" ht="15" customHeight="1" x14ac:dyDescent="0.25">
      <c r="Q570" t="s">
        <v>1491</v>
      </c>
      <c r="R570" t="s">
        <v>313</v>
      </c>
    </row>
    <row r="571" spans="17:18" ht="15" customHeight="1" x14ac:dyDescent="0.25">
      <c r="Q571" t="s">
        <v>1492</v>
      </c>
      <c r="R571" t="s">
        <v>313</v>
      </c>
    </row>
    <row r="572" spans="17:18" ht="15" customHeight="1" x14ac:dyDescent="0.25">
      <c r="Q572" t="s">
        <v>1493</v>
      </c>
      <c r="R572" t="s">
        <v>313</v>
      </c>
    </row>
    <row r="573" spans="17:18" ht="15" customHeight="1" x14ac:dyDescent="0.25">
      <c r="Q573" t="s">
        <v>1494</v>
      </c>
      <c r="R573" t="s">
        <v>313</v>
      </c>
    </row>
    <row r="574" spans="17:18" ht="15" customHeight="1" x14ac:dyDescent="0.25">
      <c r="Q574" t="s">
        <v>1495</v>
      </c>
      <c r="R574" t="s">
        <v>313</v>
      </c>
    </row>
    <row r="575" spans="17:18" ht="15" customHeight="1" x14ac:dyDescent="0.25">
      <c r="Q575" t="s">
        <v>1496</v>
      </c>
      <c r="R575" t="s">
        <v>313</v>
      </c>
    </row>
    <row r="576" spans="17:18" ht="15" customHeight="1" x14ac:dyDescent="0.25">
      <c r="Q576" t="s">
        <v>1497</v>
      </c>
      <c r="R576" t="s">
        <v>313</v>
      </c>
    </row>
    <row r="577" spans="17:18" ht="15" customHeight="1" x14ac:dyDescent="0.25">
      <c r="Q577" t="s">
        <v>1498</v>
      </c>
      <c r="R577" t="s">
        <v>313</v>
      </c>
    </row>
    <row r="578" spans="17:18" ht="15" customHeight="1" x14ac:dyDescent="0.25">
      <c r="Q578" t="s">
        <v>1499</v>
      </c>
      <c r="R578" t="s">
        <v>313</v>
      </c>
    </row>
    <row r="579" spans="17:18" ht="15" customHeight="1" x14ac:dyDescent="0.25">
      <c r="Q579" t="s">
        <v>1500</v>
      </c>
      <c r="R579" t="s">
        <v>313</v>
      </c>
    </row>
    <row r="580" spans="17:18" ht="15" customHeight="1" x14ac:dyDescent="0.25">
      <c r="Q580" t="s">
        <v>1501</v>
      </c>
      <c r="R580" t="s">
        <v>321</v>
      </c>
    </row>
    <row r="581" spans="17:18" ht="15" customHeight="1" x14ac:dyDescent="0.25">
      <c r="Q581" t="s">
        <v>1502</v>
      </c>
      <c r="R581" t="s">
        <v>313</v>
      </c>
    </row>
    <row r="582" spans="17:18" ht="15" customHeight="1" x14ac:dyDescent="0.25">
      <c r="Q582" t="s">
        <v>1503</v>
      </c>
      <c r="R582" t="s">
        <v>313</v>
      </c>
    </row>
    <row r="583" spans="17:18" ht="15" customHeight="1" x14ac:dyDescent="0.25">
      <c r="Q583" t="s">
        <v>1504</v>
      </c>
      <c r="R583" t="s">
        <v>321</v>
      </c>
    </row>
    <row r="584" spans="17:18" ht="15" customHeight="1" x14ac:dyDescent="0.25">
      <c r="Q584" t="s">
        <v>1505</v>
      </c>
      <c r="R584" t="s">
        <v>321</v>
      </c>
    </row>
    <row r="585" spans="17:18" ht="15" customHeight="1" x14ac:dyDescent="0.25">
      <c r="Q585" t="s">
        <v>1506</v>
      </c>
      <c r="R585" t="s">
        <v>321</v>
      </c>
    </row>
    <row r="586" spans="17:18" ht="15" customHeight="1" x14ac:dyDescent="0.25">
      <c r="Q586" t="s">
        <v>1507</v>
      </c>
      <c r="R586" t="s">
        <v>313</v>
      </c>
    </row>
    <row r="587" spans="17:18" ht="15" customHeight="1" x14ac:dyDescent="0.25">
      <c r="Q587" t="s">
        <v>1508</v>
      </c>
      <c r="R587" t="s">
        <v>313</v>
      </c>
    </row>
    <row r="588" spans="17:18" ht="15" customHeight="1" x14ac:dyDescent="0.25">
      <c r="Q588" t="s">
        <v>1509</v>
      </c>
      <c r="R588" t="s">
        <v>313</v>
      </c>
    </row>
    <row r="589" spans="17:18" ht="15" customHeight="1" x14ac:dyDescent="0.25">
      <c r="Q589" t="s">
        <v>1510</v>
      </c>
      <c r="R589" t="s">
        <v>313</v>
      </c>
    </row>
    <row r="590" spans="17:18" ht="15" customHeight="1" x14ac:dyDescent="0.25">
      <c r="Q590" t="s">
        <v>1511</v>
      </c>
      <c r="R590" t="s">
        <v>313</v>
      </c>
    </row>
    <row r="591" spans="17:18" ht="15" customHeight="1" x14ac:dyDescent="0.25">
      <c r="Q591" t="s">
        <v>1512</v>
      </c>
      <c r="R591" t="s">
        <v>315</v>
      </c>
    </row>
    <row r="592" spans="17:18" ht="15" customHeight="1" x14ac:dyDescent="0.25">
      <c r="Q592" t="s">
        <v>1513</v>
      </c>
      <c r="R592" t="s">
        <v>315</v>
      </c>
    </row>
    <row r="593" spans="17:18" ht="15" customHeight="1" x14ac:dyDescent="0.25">
      <c r="Q593" t="s">
        <v>1514</v>
      </c>
      <c r="R593" t="s">
        <v>315</v>
      </c>
    </row>
    <row r="594" spans="17:18" ht="15" customHeight="1" x14ac:dyDescent="0.25">
      <c r="Q594" t="s">
        <v>1515</v>
      </c>
      <c r="R594" t="s">
        <v>315</v>
      </c>
    </row>
    <row r="595" spans="17:18" ht="15" customHeight="1" x14ac:dyDescent="0.25">
      <c r="Q595" t="s">
        <v>1516</v>
      </c>
      <c r="R595" t="s">
        <v>315</v>
      </c>
    </row>
    <row r="596" spans="17:18" ht="15" customHeight="1" x14ac:dyDescent="0.25">
      <c r="Q596" t="s">
        <v>1517</v>
      </c>
      <c r="R596" t="s">
        <v>315</v>
      </c>
    </row>
    <row r="597" spans="17:18" ht="15" customHeight="1" x14ac:dyDescent="0.25">
      <c r="Q597" t="s">
        <v>1518</v>
      </c>
      <c r="R597" t="s">
        <v>315</v>
      </c>
    </row>
    <row r="598" spans="17:18" ht="15" customHeight="1" x14ac:dyDescent="0.25">
      <c r="Q598" t="s">
        <v>1519</v>
      </c>
      <c r="R598" t="s">
        <v>315</v>
      </c>
    </row>
    <row r="599" spans="17:18" ht="15" customHeight="1" x14ac:dyDescent="0.25">
      <c r="Q599" t="s">
        <v>1520</v>
      </c>
      <c r="R599" t="s">
        <v>315</v>
      </c>
    </row>
    <row r="600" spans="17:18" ht="15" customHeight="1" x14ac:dyDescent="0.25">
      <c r="Q600" t="s">
        <v>1521</v>
      </c>
      <c r="R600" t="s">
        <v>315</v>
      </c>
    </row>
    <row r="601" spans="17:18" ht="15" customHeight="1" x14ac:dyDescent="0.25">
      <c r="Q601" t="s">
        <v>1522</v>
      </c>
      <c r="R601" t="s">
        <v>315</v>
      </c>
    </row>
    <row r="602" spans="17:18" ht="15" customHeight="1" x14ac:dyDescent="0.25">
      <c r="Q602" t="s">
        <v>1523</v>
      </c>
      <c r="R602" t="s">
        <v>315</v>
      </c>
    </row>
    <row r="603" spans="17:18" ht="15" customHeight="1" x14ac:dyDescent="0.25">
      <c r="Q603" t="s">
        <v>1524</v>
      </c>
      <c r="R603" t="s">
        <v>313</v>
      </c>
    </row>
    <row r="604" spans="17:18" ht="15" customHeight="1" x14ac:dyDescent="0.25">
      <c r="Q604" t="s">
        <v>1525</v>
      </c>
      <c r="R604" t="s">
        <v>313</v>
      </c>
    </row>
    <row r="605" spans="17:18" ht="15" customHeight="1" x14ac:dyDescent="0.25">
      <c r="Q605" t="s">
        <v>1526</v>
      </c>
      <c r="R605" t="s">
        <v>313</v>
      </c>
    </row>
    <row r="606" spans="17:18" ht="15" customHeight="1" x14ac:dyDescent="0.25">
      <c r="Q606" t="s">
        <v>1527</v>
      </c>
      <c r="R606" t="s">
        <v>315</v>
      </c>
    </row>
    <row r="607" spans="17:18" ht="15" customHeight="1" x14ac:dyDescent="0.25">
      <c r="Q607" t="s">
        <v>1528</v>
      </c>
      <c r="R607" t="s">
        <v>313</v>
      </c>
    </row>
    <row r="608" spans="17:18" ht="15" customHeight="1" x14ac:dyDescent="0.25">
      <c r="Q608" t="s">
        <v>1529</v>
      </c>
      <c r="R608" t="s">
        <v>313</v>
      </c>
    </row>
    <row r="609" spans="17:18" ht="15" customHeight="1" x14ac:dyDescent="0.25">
      <c r="Q609" t="s">
        <v>1530</v>
      </c>
      <c r="R609" t="s">
        <v>313</v>
      </c>
    </row>
    <row r="610" spans="17:18" ht="15" customHeight="1" x14ac:dyDescent="0.25">
      <c r="Q610" t="s">
        <v>1531</v>
      </c>
      <c r="R610" t="s">
        <v>313</v>
      </c>
    </row>
    <row r="611" spans="17:18" ht="15" customHeight="1" x14ac:dyDescent="0.25">
      <c r="Q611" t="s">
        <v>1532</v>
      </c>
      <c r="R611" t="s">
        <v>313</v>
      </c>
    </row>
    <row r="612" spans="17:18" ht="15" customHeight="1" x14ac:dyDescent="0.25">
      <c r="Q612" t="s">
        <v>1533</v>
      </c>
      <c r="R612" t="s">
        <v>313</v>
      </c>
    </row>
    <row r="613" spans="17:18" ht="15" customHeight="1" x14ac:dyDescent="0.25">
      <c r="Q613" t="s">
        <v>1534</v>
      </c>
      <c r="R613" t="s">
        <v>313</v>
      </c>
    </row>
    <row r="614" spans="17:18" ht="15" customHeight="1" x14ac:dyDescent="0.25">
      <c r="Q614" t="s">
        <v>1535</v>
      </c>
      <c r="R614" t="s">
        <v>313</v>
      </c>
    </row>
    <row r="615" spans="17:18" ht="15" customHeight="1" x14ac:dyDescent="0.25">
      <c r="Q615" t="s">
        <v>1536</v>
      </c>
      <c r="R615" t="s">
        <v>313</v>
      </c>
    </row>
    <row r="616" spans="17:18" ht="15" customHeight="1" x14ac:dyDescent="0.25">
      <c r="Q616" t="s">
        <v>1537</v>
      </c>
      <c r="R616" t="s">
        <v>313</v>
      </c>
    </row>
    <row r="617" spans="17:18" ht="15" customHeight="1" x14ac:dyDescent="0.25">
      <c r="Q617" t="s">
        <v>1538</v>
      </c>
      <c r="R617" t="s">
        <v>313</v>
      </c>
    </row>
    <row r="618" spans="17:18" ht="15" customHeight="1" x14ac:dyDescent="0.25">
      <c r="Q618" t="s">
        <v>1539</v>
      </c>
      <c r="R618" t="s">
        <v>313</v>
      </c>
    </row>
    <row r="619" spans="17:18" ht="15" customHeight="1" x14ac:dyDescent="0.25">
      <c r="Q619" t="s">
        <v>1540</v>
      </c>
      <c r="R619" t="s">
        <v>313</v>
      </c>
    </row>
    <row r="620" spans="17:18" ht="15" customHeight="1" x14ac:dyDescent="0.25">
      <c r="Q620" t="s">
        <v>1541</v>
      </c>
      <c r="R620" t="s">
        <v>313</v>
      </c>
    </row>
    <row r="621" spans="17:18" ht="15" customHeight="1" x14ac:dyDescent="0.25">
      <c r="Q621" t="s">
        <v>1542</v>
      </c>
      <c r="R621" t="s">
        <v>313</v>
      </c>
    </row>
    <row r="622" spans="17:18" ht="15" customHeight="1" x14ac:dyDescent="0.25">
      <c r="Q622" t="s">
        <v>1543</v>
      </c>
      <c r="R622" t="s">
        <v>313</v>
      </c>
    </row>
    <row r="623" spans="17:18" ht="15" customHeight="1" x14ac:dyDescent="0.25">
      <c r="Q623" t="s">
        <v>1544</v>
      </c>
      <c r="R623" t="s">
        <v>313</v>
      </c>
    </row>
    <row r="624" spans="17:18" ht="15" customHeight="1" x14ac:dyDescent="0.25">
      <c r="Q624" t="s">
        <v>1545</v>
      </c>
      <c r="R624" t="s">
        <v>313</v>
      </c>
    </row>
    <row r="625" spans="17:18" ht="15" customHeight="1" x14ac:dyDescent="0.25">
      <c r="Q625" t="s">
        <v>1546</v>
      </c>
      <c r="R625" t="s">
        <v>313</v>
      </c>
    </row>
    <row r="626" spans="17:18" ht="15" customHeight="1" x14ac:dyDescent="0.25">
      <c r="Q626" t="s">
        <v>1547</v>
      </c>
      <c r="R626" t="s">
        <v>313</v>
      </c>
    </row>
    <row r="627" spans="17:18" ht="15" customHeight="1" x14ac:dyDescent="0.25">
      <c r="Q627" t="s">
        <v>1548</v>
      </c>
      <c r="R627" t="s">
        <v>313</v>
      </c>
    </row>
    <row r="628" spans="17:18" ht="15" customHeight="1" x14ac:dyDescent="0.25">
      <c r="Q628" t="s">
        <v>1549</v>
      </c>
      <c r="R628" t="s">
        <v>313</v>
      </c>
    </row>
    <row r="629" spans="17:18" ht="15" customHeight="1" x14ac:dyDescent="0.25">
      <c r="Q629" t="s">
        <v>1550</v>
      </c>
      <c r="R629" t="s">
        <v>313</v>
      </c>
    </row>
    <row r="630" spans="17:18" ht="15" customHeight="1" x14ac:dyDescent="0.25">
      <c r="Q630" t="s">
        <v>1551</v>
      </c>
      <c r="R630" t="s">
        <v>253</v>
      </c>
    </row>
    <row r="631" spans="17:18" ht="15" customHeight="1" x14ac:dyDescent="0.25">
      <c r="Q631" t="s">
        <v>1552</v>
      </c>
      <c r="R631" t="s">
        <v>253</v>
      </c>
    </row>
    <row r="632" spans="17:18" ht="15" customHeight="1" x14ac:dyDescent="0.25">
      <c r="Q632" t="s">
        <v>1553</v>
      </c>
      <c r="R632" t="s">
        <v>253</v>
      </c>
    </row>
    <row r="633" spans="17:18" ht="15" customHeight="1" x14ac:dyDescent="0.25">
      <c r="Q633" t="s">
        <v>1554</v>
      </c>
      <c r="R633" t="s">
        <v>253</v>
      </c>
    </row>
    <row r="634" spans="17:18" ht="15" customHeight="1" x14ac:dyDescent="0.25">
      <c r="Q634" t="s">
        <v>1555</v>
      </c>
      <c r="R634" t="s">
        <v>253</v>
      </c>
    </row>
    <row r="635" spans="17:18" ht="15" customHeight="1" x14ac:dyDescent="0.25">
      <c r="Q635" t="s">
        <v>1556</v>
      </c>
      <c r="R635" t="s">
        <v>1557</v>
      </c>
    </row>
    <row r="636" spans="17:18" ht="15" customHeight="1" x14ac:dyDescent="0.25">
      <c r="Q636" t="s">
        <v>1558</v>
      </c>
      <c r="R636" t="s">
        <v>1557</v>
      </c>
    </row>
    <row r="637" spans="17:18" ht="15" customHeight="1" x14ac:dyDescent="0.25">
      <c r="Q637" t="s">
        <v>1559</v>
      </c>
      <c r="R637" t="s">
        <v>1557</v>
      </c>
    </row>
    <row r="638" spans="17:18" ht="15" customHeight="1" x14ac:dyDescent="0.25">
      <c r="Q638" t="s">
        <v>1560</v>
      </c>
      <c r="R638" t="s">
        <v>219</v>
      </c>
    </row>
    <row r="639" spans="17:18" ht="15" customHeight="1" x14ac:dyDescent="0.25">
      <c r="Q639" t="s">
        <v>1561</v>
      </c>
      <c r="R639" t="s">
        <v>219</v>
      </c>
    </row>
    <row r="640" spans="17:18" ht="15" customHeight="1" x14ac:dyDescent="0.25">
      <c r="Q640" t="s">
        <v>1562</v>
      </c>
      <c r="R640" t="s">
        <v>219</v>
      </c>
    </row>
    <row r="641" spans="17:18" ht="15" customHeight="1" x14ac:dyDescent="0.25">
      <c r="Q641" t="s">
        <v>1563</v>
      </c>
      <c r="R641" t="s">
        <v>219</v>
      </c>
    </row>
    <row r="642" spans="17:18" ht="15" customHeight="1" x14ac:dyDescent="0.25">
      <c r="Q642" t="s">
        <v>1564</v>
      </c>
      <c r="R642" t="s">
        <v>219</v>
      </c>
    </row>
    <row r="643" spans="17:18" ht="15" customHeight="1" x14ac:dyDescent="0.25">
      <c r="Q643" t="s">
        <v>1565</v>
      </c>
      <c r="R643" t="s">
        <v>219</v>
      </c>
    </row>
    <row r="644" spans="17:18" ht="15" customHeight="1" x14ac:dyDescent="0.25">
      <c r="Q644" t="s">
        <v>1566</v>
      </c>
      <c r="R644" t="s">
        <v>219</v>
      </c>
    </row>
    <row r="645" spans="17:18" ht="15" customHeight="1" x14ac:dyDescent="0.25">
      <c r="Q645" t="s">
        <v>1567</v>
      </c>
      <c r="R645" t="s">
        <v>219</v>
      </c>
    </row>
    <row r="646" spans="17:18" ht="15" customHeight="1" x14ac:dyDescent="0.25">
      <c r="Q646" t="s">
        <v>1568</v>
      </c>
      <c r="R646" t="s">
        <v>219</v>
      </c>
    </row>
    <row r="647" spans="17:18" ht="15" customHeight="1" x14ac:dyDescent="0.25">
      <c r="Q647" t="s">
        <v>1569</v>
      </c>
      <c r="R647" t="s">
        <v>219</v>
      </c>
    </row>
    <row r="648" spans="17:18" ht="15" customHeight="1" x14ac:dyDescent="0.25">
      <c r="Q648" t="s">
        <v>1570</v>
      </c>
      <c r="R648" t="s">
        <v>219</v>
      </c>
    </row>
    <row r="649" spans="17:18" ht="15" customHeight="1" x14ac:dyDescent="0.25">
      <c r="Q649" t="s">
        <v>1571</v>
      </c>
      <c r="R649" t="s">
        <v>219</v>
      </c>
    </row>
    <row r="650" spans="17:18" ht="15" customHeight="1" x14ac:dyDescent="0.25">
      <c r="Q650" t="s">
        <v>1572</v>
      </c>
      <c r="R650" t="s">
        <v>219</v>
      </c>
    </row>
    <row r="651" spans="17:18" ht="15" customHeight="1" x14ac:dyDescent="0.25">
      <c r="Q651" t="s">
        <v>1573</v>
      </c>
      <c r="R651" t="s">
        <v>219</v>
      </c>
    </row>
    <row r="652" spans="17:18" ht="15" customHeight="1" x14ac:dyDescent="0.25">
      <c r="Q652" t="s">
        <v>1574</v>
      </c>
      <c r="R652" t="s">
        <v>219</v>
      </c>
    </row>
    <row r="653" spans="17:18" ht="15" customHeight="1" x14ac:dyDescent="0.25">
      <c r="Q653" t="s">
        <v>1575</v>
      </c>
      <c r="R653" t="s">
        <v>219</v>
      </c>
    </row>
    <row r="654" spans="17:18" ht="15" customHeight="1" x14ac:dyDescent="0.25">
      <c r="Q654" t="s">
        <v>1576</v>
      </c>
      <c r="R654" t="s">
        <v>219</v>
      </c>
    </row>
    <row r="655" spans="17:18" ht="15" customHeight="1" x14ac:dyDescent="0.25">
      <c r="Q655" t="s">
        <v>1577</v>
      </c>
      <c r="R655" t="s">
        <v>219</v>
      </c>
    </row>
    <row r="656" spans="17:18" ht="15" customHeight="1" x14ac:dyDescent="0.25">
      <c r="Q656" t="s">
        <v>1578</v>
      </c>
      <c r="R656" t="s">
        <v>215</v>
      </c>
    </row>
    <row r="657" spans="17:18" ht="15" customHeight="1" x14ac:dyDescent="0.25">
      <c r="Q657" t="s">
        <v>1579</v>
      </c>
      <c r="R657" t="s">
        <v>215</v>
      </c>
    </row>
    <row r="658" spans="17:18" ht="15" customHeight="1" x14ac:dyDescent="0.25">
      <c r="Q658" t="s">
        <v>1580</v>
      </c>
      <c r="R658" t="s">
        <v>215</v>
      </c>
    </row>
    <row r="659" spans="17:18" ht="15" customHeight="1" x14ac:dyDescent="0.25">
      <c r="Q659" t="s">
        <v>1581</v>
      </c>
      <c r="R659" t="s">
        <v>215</v>
      </c>
    </row>
    <row r="660" spans="17:18" ht="15" customHeight="1" x14ac:dyDescent="0.25">
      <c r="Q660" t="s">
        <v>1582</v>
      </c>
      <c r="R660" t="s">
        <v>215</v>
      </c>
    </row>
    <row r="661" spans="17:18" ht="15" customHeight="1" x14ac:dyDescent="0.25">
      <c r="Q661" t="s">
        <v>1583</v>
      </c>
      <c r="R661" t="s">
        <v>215</v>
      </c>
    </row>
    <row r="662" spans="17:18" ht="15" customHeight="1" x14ac:dyDescent="0.25">
      <c r="Q662" t="s">
        <v>1584</v>
      </c>
      <c r="R662" t="s">
        <v>215</v>
      </c>
    </row>
    <row r="663" spans="17:18" ht="15" customHeight="1" x14ac:dyDescent="0.25">
      <c r="Q663" t="s">
        <v>1585</v>
      </c>
      <c r="R663" t="s">
        <v>215</v>
      </c>
    </row>
    <row r="664" spans="17:18" ht="15" customHeight="1" x14ac:dyDescent="0.25">
      <c r="Q664" t="s">
        <v>1586</v>
      </c>
      <c r="R664" t="s">
        <v>215</v>
      </c>
    </row>
    <row r="665" spans="17:18" ht="15" customHeight="1" x14ac:dyDescent="0.25">
      <c r="Q665" t="s">
        <v>1587</v>
      </c>
      <c r="R665" t="s">
        <v>215</v>
      </c>
    </row>
    <row r="666" spans="17:18" ht="15" customHeight="1" x14ac:dyDescent="0.25">
      <c r="Q666" t="s">
        <v>1588</v>
      </c>
      <c r="R666" t="s">
        <v>215</v>
      </c>
    </row>
    <row r="667" spans="17:18" ht="15" customHeight="1" x14ac:dyDescent="0.25">
      <c r="Q667" t="s">
        <v>1589</v>
      </c>
      <c r="R667" t="s">
        <v>215</v>
      </c>
    </row>
    <row r="668" spans="17:18" ht="15" customHeight="1" x14ac:dyDescent="0.25">
      <c r="Q668" t="s">
        <v>1590</v>
      </c>
      <c r="R668" t="s">
        <v>215</v>
      </c>
    </row>
    <row r="669" spans="17:18" ht="15" customHeight="1" x14ac:dyDescent="0.25">
      <c r="Q669" t="s">
        <v>1591</v>
      </c>
      <c r="R669" t="s">
        <v>215</v>
      </c>
    </row>
    <row r="670" spans="17:18" ht="15" customHeight="1" x14ac:dyDescent="0.25">
      <c r="Q670" t="s">
        <v>1592</v>
      </c>
      <c r="R670" t="s">
        <v>215</v>
      </c>
    </row>
    <row r="671" spans="17:18" ht="15" customHeight="1" x14ac:dyDescent="0.25">
      <c r="Q671" t="s">
        <v>1593</v>
      </c>
      <c r="R671" t="s">
        <v>215</v>
      </c>
    </row>
    <row r="672" spans="17:18" ht="15" customHeight="1" x14ac:dyDescent="0.25">
      <c r="Q672" t="s">
        <v>1594</v>
      </c>
      <c r="R672" t="s">
        <v>215</v>
      </c>
    </row>
    <row r="673" spans="17:18" ht="15" customHeight="1" x14ac:dyDescent="0.25">
      <c r="Q673" t="s">
        <v>1595</v>
      </c>
      <c r="R673" t="s">
        <v>215</v>
      </c>
    </row>
    <row r="674" spans="17:18" ht="15" customHeight="1" x14ac:dyDescent="0.25">
      <c r="Q674" t="s">
        <v>1596</v>
      </c>
      <c r="R674" t="s">
        <v>215</v>
      </c>
    </row>
    <row r="675" spans="17:18" ht="15" customHeight="1" x14ac:dyDescent="0.25">
      <c r="Q675" t="s">
        <v>1597</v>
      </c>
      <c r="R675" t="s">
        <v>215</v>
      </c>
    </row>
    <row r="676" spans="17:18" ht="15" customHeight="1" x14ac:dyDescent="0.25">
      <c r="Q676" t="s">
        <v>1598</v>
      </c>
      <c r="R676" t="s">
        <v>215</v>
      </c>
    </row>
    <row r="677" spans="17:18" ht="15" customHeight="1" x14ac:dyDescent="0.25">
      <c r="Q677" t="s">
        <v>1599</v>
      </c>
      <c r="R677" t="s">
        <v>215</v>
      </c>
    </row>
    <row r="678" spans="17:18" ht="15" customHeight="1" x14ac:dyDescent="0.25">
      <c r="Q678" t="s">
        <v>1600</v>
      </c>
      <c r="R678" t="s">
        <v>215</v>
      </c>
    </row>
    <row r="679" spans="17:18" ht="15" customHeight="1" x14ac:dyDescent="0.25">
      <c r="Q679" t="s">
        <v>1601</v>
      </c>
      <c r="R679" t="s">
        <v>213</v>
      </c>
    </row>
    <row r="680" spans="17:18" ht="15" customHeight="1" x14ac:dyDescent="0.25">
      <c r="Q680" t="s">
        <v>1602</v>
      </c>
      <c r="R680" t="s">
        <v>213</v>
      </c>
    </row>
    <row r="681" spans="17:18" ht="15" customHeight="1" x14ac:dyDescent="0.25">
      <c r="Q681" t="s">
        <v>1603</v>
      </c>
      <c r="R681" t="s">
        <v>213</v>
      </c>
    </row>
    <row r="682" spans="17:18" ht="15" customHeight="1" x14ac:dyDescent="0.25">
      <c r="Q682" t="s">
        <v>1604</v>
      </c>
      <c r="R682" t="s">
        <v>215</v>
      </c>
    </row>
    <row r="683" spans="17:18" ht="15" customHeight="1" x14ac:dyDescent="0.25">
      <c r="Q683" t="s">
        <v>1605</v>
      </c>
      <c r="R683" t="s">
        <v>215</v>
      </c>
    </row>
    <row r="684" spans="17:18" ht="15" customHeight="1" x14ac:dyDescent="0.25">
      <c r="Q684" t="s">
        <v>1606</v>
      </c>
      <c r="R684" t="s">
        <v>215</v>
      </c>
    </row>
    <row r="685" spans="17:18" ht="15" customHeight="1" x14ac:dyDescent="0.25">
      <c r="Q685" t="s">
        <v>1607</v>
      </c>
      <c r="R685" t="s">
        <v>215</v>
      </c>
    </row>
    <row r="686" spans="17:18" ht="15" customHeight="1" x14ac:dyDescent="0.25">
      <c r="Q686" t="s">
        <v>1608</v>
      </c>
      <c r="R686" t="s">
        <v>203</v>
      </c>
    </row>
    <row r="687" spans="17:18" ht="15" customHeight="1" x14ac:dyDescent="0.25">
      <c r="Q687" t="s">
        <v>1609</v>
      </c>
      <c r="R687" t="s">
        <v>217</v>
      </c>
    </row>
    <row r="688" spans="17:18" ht="15" customHeight="1" x14ac:dyDescent="0.25">
      <c r="Q688" t="s">
        <v>1610</v>
      </c>
      <c r="R688" t="s">
        <v>201</v>
      </c>
    </row>
    <row r="689" spans="17:18" ht="15" customHeight="1" x14ac:dyDescent="0.25">
      <c r="Q689" t="s">
        <v>1611</v>
      </c>
      <c r="R689" t="s">
        <v>219</v>
      </c>
    </row>
    <row r="690" spans="17:18" ht="15" customHeight="1" x14ac:dyDescent="0.25">
      <c r="Q690" t="s">
        <v>1612</v>
      </c>
      <c r="R690" t="s">
        <v>219</v>
      </c>
    </row>
    <row r="691" spans="17:18" ht="15" customHeight="1" x14ac:dyDescent="0.25">
      <c r="Q691" t="s">
        <v>1613</v>
      </c>
      <c r="R691" t="s">
        <v>217</v>
      </c>
    </row>
    <row r="692" spans="17:18" ht="15" customHeight="1" x14ac:dyDescent="0.25">
      <c r="Q692" t="s">
        <v>1614</v>
      </c>
      <c r="R692" t="s">
        <v>217</v>
      </c>
    </row>
    <row r="693" spans="17:18" ht="15" customHeight="1" x14ac:dyDescent="0.25">
      <c r="Q693" t="s">
        <v>1615</v>
      </c>
      <c r="R693" t="s">
        <v>217</v>
      </c>
    </row>
    <row r="694" spans="17:18" ht="15" customHeight="1" x14ac:dyDescent="0.25">
      <c r="Q694" t="s">
        <v>1616</v>
      </c>
      <c r="R694" t="s">
        <v>217</v>
      </c>
    </row>
    <row r="695" spans="17:18" ht="15" customHeight="1" x14ac:dyDescent="0.25">
      <c r="Q695" t="s">
        <v>1617</v>
      </c>
      <c r="R695" t="s">
        <v>217</v>
      </c>
    </row>
    <row r="696" spans="17:18" ht="15" customHeight="1" x14ac:dyDescent="0.25">
      <c r="Q696" t="s">
        <v>1618</v>
      </c>
      <c r="R696" t="s">
        <v>217</v>
      </c>
    </row>
    <row r="697" spans="17:18" ht="15" customHeight="1" x14ac:dyDescent="0.25">
      <c r="Q697" t="s">
        <v>1619</v>
      </c>
      <c r="R697" t="s">
        <v>217</v>
      </c>
    </row>
    <row r="698" spans="17:18" ht="15" customHeight="1" x14ac:dyDescent="0.25">
      <c r="Q698" t="s">
        <v>1620</v>
      </c>
      <c r="R698" t="s">
        <v>217</v>
      </c>
    </row>
    <row r="699" spans="17:18" ht="15" customHeight="1" x14ac:dyDescent="0.25">
      <c r="Q699" t="s">
        <v>1621</v>
      </c>
      <c r="R699" t="s">
        <v>217</v>
      </c>
    </row>
    <row r="700" spans="17:18" ht="15" customHeight="1" x14ac:dyDescent="0.25">
      <c r="Q700" t="s">
        <v>1622</v>
      </c>
      <c r="R700" t="s">
        <v>217</v>
      </c>
    </row>
    <row r="701" spans="17:18" ht="15" customHeight="1" x14ac:dyDescent="0.25">
      <c r="Q701" t="s">
        <v>1623</v>
      </c>
      <c r="R701" t="s">
        <v>217</v>
      </c>
    </row>
    <row r="702" spans="17:18" ht="15" customHeight="1" x14ac:dyDescent="0.25">
      <c r="Q702" t="s">
        <v>1624</v>
      </c>
      <c r="R702" t="s">
        <v>217</v>
      </c>
    </row>
    <row r="703" spans="17:18" ht="15" customHeight="1" x14ac:dyDescent="0.25">
      <c r="Q703" t="s">
        <v>1625</v>
      </c>
      <c r="R703" t="s">
        <v>217</v>
      </c>
    </row>
    <row r="704" spans="17:18" ht="15" customHeight="1" x14ac:dyDescent="0.25">
      <c r="Q704" t="s">
        <v>1626</v>
      </c>
      <c r="R704" t="s">
        <v>203</v>
      </c>
    </row>
    <row r="705" spans="17:18" ht="15" customHeight="1" x14ac:dyDescent="0.25">
      <c r="Q705" t="s">
        <v>1627</v>
      </c>
      <c r="R705" t="s">
        <v>215</v>
      </c>
    </row>
    <row r="706" spans="17:18" ht="15" customHeight="1" x14ac:dyDescent="0.25">
      <c r="Q706" t="s">
        <v>1628</v>
      </c>
      <c r="R706" t="s">
        <v>215</v>
      </c>
    </row>
    <row r="707" spans="17:18" ht="15" customHeight="1" x14ac:dyDescent="0.25">
      <c r="Q707" t="s">
        <v>1629</v>
      </c>
      <c r="R707" t="s">
        <v>215</v>
      </c>
    </row>
    <row r="708" spans="17:18" ht="15" customHeight="1" x14ac:dyDescent="0.25">
      <c r="Q708" t="s">
        <v>1630</v>
      </c>
      <c r="R708" t="s">
        <v>215</v>
      </c>
    </row>
    <row r="709" spans="17:18" ht="15" customHeight="1" x14ac:dyDescent="0.25">
      <c r="Q709" t="s">
        <v>1631</v>
      </c>
      <c r="R709" t="s">
        <v>215</v>
      </c>
    </row>
    <row r="710" spans="17:18" ht="15" customHeight="1" x14ac:dyDescent="0.25">
      <c r="Q710" t="s">
        <v>1632</v>
      </c>
      <c r="R710" t="s">
        <v>215</v>
      </c>
    </row>
    <row r="711" spans="17:18" ht="15" customHeight="1" x14ac:dyDescent="0.25">
      <c r="Q711" t="s">
        <v>1633</v>
      </c>
      <c r="R711" t="s">
        <v>215</v>
      </c>
    </row>
    <row r="712" spans="17:18" ht="15" customHeight="1" x14ac:dyDescent="0.25">
      <c r="Q712" t="s">
        <v>1634</v>
      </c>
      <c r="R712" t="s">
        <v>215</v>
      </c>
    </row>
    <row r="713" spans="17:18" ht="15" customHeight="1" x14ac:dyDescent="0.25">
      <c r="Q713" t="s">
        <v>1635</v>
      </c>
      <c r="R713" t="s">
        <v>215</v>
      </c>
    </row>
    <row r="714" spans="17:18" ht="15" customHeight="1" x14ac:dyDescent="0.25">
      <c r="Q714" t="s">
        <v>1636</v>
      </c>
      <c r="R714" t="s">
        <v>215</v>
      </c>
    </row>
    <row r="715" spans="17:18" ht="15" customHeight="1" x14ac:dyDescent="0.25">
      <c r="Q715" t="s">
        <v>1637</v>
      </c>
      <c r="R715" t="s">
        <v>215</v>
      </c>
    </row>
    <row r="716" spans="17:18" ht="15" customHeight="1" x14ac:dyDescent="0.25">
      <c r="Q716" t="s">
        <v>1638</v>
      </c>
      <c r="R716" t="s">
        <v>215</v>
      </c>
    </row>
    <row r="717" spans="17:18" ht="15" customHeight="1" x14ac:dyDescent="0.25">
      <c r="Q717" t="s">
        <v>1639</v>
      </c>
      <c r="R717" t="s">
        <v>215</v>
      </c>
    </row>
    <row r="718" spans="17:18" ht="15" customHeight="1" x14ac:dyDescent="0.25">
      <c r="Q718" t="s">
        <v>1640</v>
      </c>
      <c r="R718" t="s">
        <v>215</v>
      </c>
    </row>
    <row r="719" spans="17:18" ht="15" customHeight="1" x14ac:dyDescent="0.25">
      <c r="Q719" t="s">
        <v>1641</v>
      </c>
      <c r="R719" t="s">
        <v>219</v>
      </c>
    </row>
    <row r="720" spans="17:18" ht="15" customHeight="1" x14ac:dyDescent="0.25">
      <c r="Q720" t="s">
        <v>1642</v>
      </c>
      <c r="R720" t="s">
        <v>219</v>
      </c>
    </row>
    <row r="721" spans="17:18" ht="15" customHeight="1" x14ac:dyDescent="0.25">
      <c r="Q721" t="s">
        <v>1643</v>
      </c>
      <c r="R721" t="s">
        <v>219</v>
      </c>
    </row>
    <row r="722" spans="17:18" ht="15" customHeight="1" x14ac:dyDescent="0.25">
      <c r="Q722" t="s">
        <v>1644</v>
      </c>
      <c r="R722" t="s">
        <v>219</v>
      </c>
    </row>
    <row r="723" spans="17:18" ht="15" customHeight="1" x14ac:dyDescent="0.25">
      <c r="Q723" t="s">
        <v>1645</v>
      </c>
      <c r="R723" t="s">
        <v>219</v>
      </c>
    </row>
    <row r="724" spans="17:18" ht="15" customHeight="1" x14ac:dyDescent="0.25">
      <c r="Q724" t="s">
        <v>1646</v>
      </c>
      <c r="R724" t="s">
        <v>219</v>
      </c>
    </row>
    <row r="725" spans="17:18" ht="15" customHeight="1" x14ac:dyDescent="0.25">
      <c r="Q725" t="s">
        <v>1647</v>
      </c>
      <c r="R725" t="s">
        <v>219</v>
      </c>
    </row>
    <row r="726" spans="17:18" ht="15" customHeight="1" x14ac:dyDescent="0.25">
      <c r="Q726" t="s">
        <v>1648</v>
      </c>
      <c r="R726" t="s">
        <v>219</v>
      </c>
    </row>
    <row r="727" spans="17:18" ht="15" customHeight="1" x14ac:dyDescent="0.25">
      <c r="Q727" t="s">
        <v>1649</v>
      </c>
      <c r="R727" t="s">
        <v>219</v>
      </c>
    </row>
    <row r="728" spans="17:18" ht="15" customHeight="1" x14ac:dyDescent="0.25">
      <c r="Q728" t="s">
        <v>1650</v>
      </c>
      <c r="R728" t="s">
        <v>219</v>
      </c>
    </row>
    <row r="729" spans="17:18" ht="15" customHeight="1" x14ac:dyDescent="0.25">
      <c r="Q729" t="s">
        <v>1651</v>
      </c>
      <c r="R729" t="s">
        <v>219</v>
      </c>
    </row>
    <row r="730" spans="17:18" ht="15" customHeight="1" x14ac:dyDescent="0.25">
      <c r="Q730" t="s">
        <v>1652</v>
      </c>
      <c r="R730" t="s">
        <v>219</v>
      </c>
    </row>
    <row r="731" spans="17:18" ht="15" customHeight="1" x14ac:dyDescent="0.25">
      <c r="Q731" t="s">
        <v>1653</v>
      </c>
      <c r="R731" t="s">
        <v>219</v>
      </c>
    </row>
    <row r="732" spans="17:18" ht="15" customHeight="1" x14ac:dyDescent="0.25">
      <c r="Q732" t="s">
        <v>1654</v>
      </c>
      <c r="R732" t="s">
        <v>219</v>
      </c>
    </row>
    <row r="733" spans="17:18" ht="15" customHeight="1" x14ac:dyDescent="0.25">
      <c r="Q733" t="s">
        <v>1655</v>
      </c>
      <c r="R733" t="s">
        <v>219</v>
      </c>
    </row>
    <row r="734" spans="17:18" ht="15" customHeight="1" x14ac:dyDescent="0.25">
      <c r="Q734" t="s">
        <v>1656</v>
      </c>
      <c r="R734" t="s">
        <v>219</v>
      </c>
    </row>
    <row r="735" spans="17:18" ht="15" customHeight="1" x14ac:dyDescent="0.25">
      <c r="Q735" t="s">
        <v>1657</v>
      </c>
      <c r="R735" t="s">
        <v>219</v>
      </c>
    </row>
    <row r="736" spans="17:18" ht="15" customHeight="1" x14ac:dyDescent="0.25">
      <c r="Q736" t="s">
        <v>1658</v>
      </c>
      <c r="R736" t="s">
        <v>219</v>
      </c>
    </row>
    <row r="737" spans="17:18" ht="15" customHeight="1" x14ac:dyDescent="0.25">
      <c r="Q737" t="s">
        <v>1659</v>
      </c>
      <c r="R737" t="s">
        <v>219</v>
      </c>
    </row>
    <row r="738" spans="17:18" ht="15" customHeight="1" x14ac:dyDescent="0.25">
      <c r="Q738" t="s">
        <v>1660</v>
      </c>
      <c r="R738" t="s">
        <v>219</v>
      </c>
    </row>
    <row r="739" spans="17:18" ht="15" customHeight="1" x14ac:dyDescent="0.25">
      <c r="Q739" t="s">
        <v>1661</v>
      </c>
      <c r="R739" t="s">
        <v>219</v>
      </c>
    </row>
    <row r="740" spans="17:18" ht="15" customHeight="1" x14ac:dyDescent="0.25">
      <c r="Q740" t="s">
        <v>1662</v>
      </c>
      <c r="R740" t="s">
        <v>219</v>
      </c>
    </row>
    <row r="741" spans="17:18" ht="15" customHeight="1" x14ac:dyDescent="0.25">
      <c r="Q741" t="s">
        <v>1663</v>
      </c>
      <c r="R741" t="s">
        <v>219</v>
      </c>
    </row>
    <row r="742" spans="17:18" ht="15" customHeight="1" x14ac:dyDescent="0.25">
      <c r="Q742" t="s">
        <v>1664</v>
      </c>
      <c r="R742" t="s">
        <v>219</v>
      </c>
    </row>
    <row r="743" spans="17:18" ht="15" customHeight="1" x14ac:dyDescent="0.25">
      <c r="Q743" t="s">
        <v>1665</v>
      </c>
      <c r="R743" t="s">
        <v>219</v>
      </c>
    </row>
    <row r="744" spans="17:18" ht="15" customHeight="1" x14ac:dyDescent="0.25">
      <c r="Q744" t="s">
        <v>1666</v>
      </c>
      <c r="R744" t="s">
        <v>219</v>
      </c>
    </row>
    <row r="745" spans="17:18" ht="15" customHeight="1" x14ac:dyDescent="0.25">
      <c r="Q745" t="s">
        <v>1667</v>
      </c>
      <c r="R745" t="s">
        <v>219</v>
      </c>
    </row>
    <row r="746" spans="17:18" ht="15" customHeight="1" x14ac:dyDescent="0.25">
      <c r="Q746" t="s">
        <v>1668</v>
      </c>
      <c r="R746" t="s">
        <v>219</v>
      </c>
    </row>
    <row r="747" spans="17:18" ht="15" customHeight="1" x14ac:dyDescent="0.25">
      <c r="Q747" t="s">
        <v>1669</v>
      </c>
      <c r="R747" t="s">
        <v>217</v>
      </c>
    </row>
    <row r="748" spans="17:18" ht="15" customHeight="1" x14ac:dyDescent="0.25">
      <c r="Q748" t="s">
        <v>1670</v>
      </c>
      <c r="R748" t="s">
        <v>217</v>
      </c>
    </row>
    <row r="749" spans="17:18" ht="15" customHeight="1" x14ac:dyDescent="0.25">
      <c r="Q749" t="s">
        <v>1671</v>
      </c>
      <c r="R749" t="s">
        <v>217</v>
      </c>
    </row>
    <row r="750" spans="17:18" ht="15" customHeight="1" x14ac:dyDescent="0.25">
      <c r="Q750" t="s">
        <v>1672</v>
      </c>
      <c r="R750" t="s">
        <v>217</v>
      </c>
    </row>
    <row r="751" spans="17:18" ht="15" customHeight="1" x14ac:dyDescent="0.25">
      <c r="Q751" t="s">
        <v>1673</v>
      </c>
      <c r="R751" t="s">
        <v>217</v>
      </c>
    </row>
    <row r="752" spans="17:18" ht="15" customHeight="1" x14ac:dyDescent="0.25">
      <c r="Q752" t="s">
        <v>1674</v>
      </c>
      <c r="R752" t="s">
        <v>217</v>
      </c>
    </row>
    <row r="753" spans="17:18" ht="15" customHeight="1" x14ac:dyDescent="0.25">
      <c r="Q753" t="s">
        <v>1675</v>
      </c>
      <c r="R753" t="s">
        <v>217</v>
      </c>
    </row>
    <row r="754" spans="17:18" ht="15" customHeight="1" x14ac:dyDescent="0.25">
      <c r="Q754" t="s">
        <v>1676</v>
      </c>
      <c r="R754" t="s">
        <v>217</v>
      </c>
    </row>
    <row r="755" spans="17:18" ht="15" customHeight="1" x14ac:dyDescent="0.25">
      <c r="Q755" t="s">
        <v>1677</v>
      </c>
      <c r="R755" t="s">
        <v>217</v>
      </c>
    </row>
    <row r="756" spans="17:18" ht="15" customHeight="1" x14ac:dyDescent="0.25">
      <c r="Q756" t="s">
        <v>1678</v>
      </c>
      <c r="R756" t="s">
        <v>217</v>
      </c>
    </row>
    <row r="757" spans="17:18" ht="15" customHeight="1" x14ac:dyDescent="0.25">
      <c r="Q757" t="s">
        <v>1679</v>
      </c>
      <c r="R757" t="s">
        <v>219</v>
      </c>
    </row>
    <row r="758" spans="17:18" ht="15" customHeight="1" x14ac:dyDescent="0.25">
      <c r="Q758" t="s">
        <v>1680</v>
      </c>
      <c r="R758" t="s">
        <v>219</v>
      </c>
    </row>
    <row r="759" spans="17:18" ht="15" customHeight="1" x14ac:dyDescent="0.25">
      <c r="Q759" t="s">
        <v>1681</v>
      </c>
      <c r="R759" t="s">
        <v>219</v>
      </c>
    </row>
    <row r="760" spans="17:18" ht="15" customHeight="1" x14ac:dyDescent="0.25">
      <c r="Q760" t="s">
        <v>1682</v>
      </c>
      <c r="R760" t="s">
        <v>219</v>
      </c>
    </row>
    <row r="761" spans="17:18" ht="15" customHeight="1" x14ac:dyDescent="0.25">
      <c r="Q761" t="s">
        <v>1683</v>
      </c>
      <c r="R761" t="s">
        <v>217</v>
      </c>
    </row>
    <row r="762" spans="17:18" ht="15" customHeight="1" x14ac:dyDescent="0.25">
      <c r="Q762" t="s">
        <v>1684</v>
      </c>
      <c r="R762" t="s">
        <v>219</v>
      </c>
    </row>
    <row r="763" spans="17:18" ht="15" customHeight="1" x14ac:dyDescent="0.25">
      <c r="Q763" t="s">
        <v>1685</v>
      </c>
      <c r="R763" t="s">
        <v>219</v>
      </c>
    </row>
    <row r="764" spans="17:18" ht="15" customHeight="1" x14ac:dyDescent="0.25">
      <c r="Q764" t="s">
        <v>1686</v>
      </c>
      <c r="R764" t="s">
        <v>219</v>
      </c>
    </row>
    <row r="765" spans="17:18" ht="15" customHeight="1" x14ac:dyDescent="0.25">
      <c r="Q765" t="s">
        <v>1687</v>
      </c>
      <c r="R765" t="s">
        <v>217</v>
      </c>
    </row>
    <row r="766" spans="17:18" ht="15" customHeight="1" x14ac:dyDescent="0.25">
      <c r="Q766" t="s">
        <v>1688</v>
      </c>
      <c r="R766" t="s">
        <v>217</v>
      </c>
    </row>
    <row r="767" spans="17:18" ht="15" customHeight="1" x14ac:dyDescent="0.25">
      <c r="Q767" t="s">
        <v>1689</v>
      </c>
      <c r="R767" t="s">
        <v>217</v>
      </c>
    </row>
    <row r="768" spans="17:18" ht="15" customHeight="1" x14ac:dyDescent="0.25">
      <c r="Q768" t="s">
        <v>1690</v>
      </c>
      <c r="R768" t="s">
        <v>217</v>
      </c>
    </row>
    <row r="769" spans="17:18" ht="15" customHeight="1" x14ac:dyDescent="0.25">
      <c r="Q769" t="s">
        <v>1691</v>
      </c>
      <c r="R769" t="s">
        <v>217</v>
      </c>
    </row>
    <row r="770" spans="17:18" ht="15" customHeight="1" x14ac:dyDescent="0.25">
      <c r="Q770" t="s">
        <v>1692</v>
      </c>
      <c r="R770" t="s">
        <v>217</v>
      </c>
    </row>
    <row r="771" spans="17:18" ht="15" customHeight="1" x14ac:dyDescent="0.25">
      <c r="Q771" t="s">
        <v>1693</v>
      </c>
      <c r="R771" t="s">
        <v>217</v>
      </c>
    </row>
    <row r="772" spans="17:18" ht="15" customHeight="1" x14ac:dyDescent="0.25">
      <c r="Q772" t="s">
        <v>1694</v>
      </c>
      <c r="R772" t="s">
        <v>217</v>
      </c>
    </row>
    <row r="773" spans="17:18" ht="15" customHeight="1" x14ac:dyDescent="0.25">
      <c r="Q773" t="s">
        <v>1695</v>
      </c>
      <c r="R773" t="s">
        <v>217</v>
      </c>
    </row>
    <row r="774" spans="17:18" ht="15" customHeight="1" x14ac:dyDescent="0.25">
      <c r="Q774" t="s">
        <v>1696</v>
      </c>
      <c r="R774" t="s">
        <v>217</v>
      </c>
    </row>
    <row r="775" spans="17:18" ht="15" customHeight="1" x14ac:dyDescent="0.25">
      <c r="Q775" t="s">
        <v>1697</v>
      </c>
      <c r="R775" t="s">
        <v>217</v>
      </c>
    </row>
    <row r="776" spans="17:18" ht="15" customHeight="1" x14ac:dyDescent="0.25">
      <c r="Q776" t="s">
        <v>1698</v>
      </c>
      <c r="R776" t="s">
        <v>217</v>
      </c>
    </row>
    <row r="777" spans="17:18" ht="15" customHeight="1" x14ac:dyDescent="0.25">
      <c r="Q777" t="s">
        <v>1699</v>
      </c>
      <c r="R777" t="s">
        <v>217</v>
      </c>
    </row>
    <row r="778" spans="17:18" ht="15" customHeight="1" x14ac:dyDescent="0.25">
      <c r="Q778" t="s">
        <v>1700</v>
      </c>
      <c r="R778" t="s">
        <v>217</v>
      </c>
    </row>
    <row r="779" spans="17:18" ht="15" customHeight="1" x14ac:dyDescent="0.25">
      <c r="Q779" t="s">
        <v>1701</v>
      </c>
      <c r="R779" t="s">
        <v>217</v>
      </c>
    </row>
    <row r="780" spans="17:18" ht="15" customHeight="1" x14ac:dyDescent="0.25">
      <c r="Q780" t="s">
        <v>1702</v>
      </c>
      <c r="R780" t="s">
        <v>217</v>
      </c>
    </row>
    <row r="781" spans="17:18" ht="15" customHeight="1" x14ac:dyDescent="0.25">
      <c r="Q781" t="s">
        <v>1703</v>
      </c>
      <c r="R781" t="s">
        <v>213</v>
      </c>
    </row>
    <row r="782" spans="17:18" ht="15" customHeight="1" x14ac:dyDescent="0.25">
      <c r="Q782" t="s">
        <v>1704</v>
      </c>
      <c r="R782" t="s">
        <v>213</v>
      </c>
    </row>
    <row r="783" spans="17:18" ht="15" customHeight="1" x14ac:dyDescent="0.25">
      <c r="Q783" t="s">
        <v>1705</v>
      </c>
      <c r="R783" t="s">
        <v>217</v>
      </c>
    </row>
    <row r="784" spans="17:18" ht="15" customHeight="1" x14ac:dyDescent="0.25">
      <c r="Q784" t="s">
        <v>1706</v>
      </c>
      <c r="R784" t="s">
        <v>217</v>
      </c>
    </row>
    <row r="785" spans="17:18" ht="15" customHeight="1" x14ac:dyDescent="0.25">
      <c r="Q785" t="s">
        <v>1707</v>
      </c>
      <c r="R785" t="s">
        <v>217</v>
      </c>
    </row>
    <row r="786" spans="17:18" ht="15" customHeight="1" x14ac:dyDescent="0.25">
      <c r="Q786" t="s">
        <v>1708</v>
      </c>
      <c r="R786" t="s">
        <v>217</v>
      </c>
    </row>
    <row r="787" spans="17:18" ht="15" customHeight="1" x14ac:dyDescent="0.25">
      <c r="Q787" t="s">
        <v>1709</v>
      </c>
      <c r="R787" t="s">
        <v>217</v>
      </c>
    </row>
    <row r="788" spans="17:18" ht="15" customHeight="1" x14ac:dyDescent="0.25">
      <c r="Q788" t="s">
        <v>1710</v>
      </c>
      <c r="R788" t="s">
        <v>217</v>
      </c>
    </row>
    <row r="789" spans="17:18" ht="15" customHeight="1" x14ac:dyDescent="0.25">
      <c r="Q789" t="s">
        <v>1711</v>
      </c>
      <c r="R789" t="s">
        <v>217</v>
      </c>
    </row>
    <row r="790" spans="17:18" ht="15" customHeight="1" x14ac:dyDescent="0.25">
      <c r="Q790" t="s">
        <v>1712</v>
      </c>
      <c r="R790" t="s">
        <v>217</v>
      </c>
    </row>
    <row r="791" spans="17:18" ht="15" customHeight="1" x14ac:dyDescent="0.25">
      <c r="Q791" t="s">
        <v>1713</v>
      </c>
      <c r="R791" t="s">
        <v>217</v>
      </c>
    </row>
    <row r="792" spans="17:18" ht="15" customHeight="1" x14ac:dyDescent="0.25">
      <c r="Q792" t="s">
        <v>1714</v>
      </c>
      <c r="R792" t="s">
        <v>217</v>
      </c>
    </row>
    <row r="793" spans="17:18" ht="15" customHeight="1" x14ac:dyDescent="0.25">
      <c r="Q793" t="s">
        <v>1715</v>
      </c>
      <c r="R793" t="s">
        <v>217</v>
      </c>
    </row>
    <row r="794" spans="17:18" ht="15" customHeight="1" x14ac:dyDescent="0.25">
      <c r="Q794" t="s">
        <v>1716</v>
      </c>
      <c r="R794" t="s">
        <v>217</v>
      </c>
    </row>
    <row r="795" spans="17:18" ht="15" customHeight="1" x14ac:dyDescent="0.25">
      <c r="Q795" t="s">
        <v>1717</v>
      </c>
      <c r="R795" t="s">
        <v>217</v>
      </c>
    </row>
    <row r="796" spans="17:18" ht="15" customHeight="1" x14ac:dyDescent="0.25">
      <c r="Q796" t="s">
        <v>1718</v>
      </c>
      <c r="R796" t="s">
        <v>217</v>
      </c>
    </row>
    <row r="797" spans="17:18" ht="15" customHeight="1" x14ac:dyDescent="0.25">
      <c r="Q797" t="s">
        <v>1719</v>
      </c>
      <c r="R797" t="s">
        <v>217</v>
      </c>
    </row>
    <row r="798" spans="17:18" ht="15" customHeight="1" x14ac:dyDescent="0.25">
      <c r="Q798" t="s">
        <v>1720</v>
      </c>
      <c r="R798" t="s">
        <v>217</v>
      </c>
    </row>
    <row r="799" spans="17:18" ht="15" customHeight="1" x14ac:dyDescent="0.25">
      <c r="Q799" t="s">
        <v>1721</v>
      </c>
      <c r="R799" t="s">
        <v>217</v>
      </c>
    </row>
    <row r="800" spans="17:18" ht="15" customHeight="1" x14ac:dyDescent="0.25">
      <c r="Q800" t="s">
        <v>1722</v>
      </c>
      <c r="R800" t="s">
        <v>217</v>
      </c>
    </row>
    <row r="801" spans="17:18" ht="15" customHeight="1" x14ac:dyDescent="0.25">
      <c r="Q801" t="s">
        <v>1723</v>
      </c>
      <c r="R801" t="s">
        <v>217</v>
      </c>
    </row>
    <row r="802" spans="17:18" ht="15" customHeight="1" x14ac:dyDescent="0.25">
      <c r="Q802" t="s">
        <v>1724</v>
      </c>
      <c r="R802" t="s">
        <v>217</v>
      </c>
    </row>
    <row r="803" spans="17:18" ht="15" customHeight="1" x14ac:dyDescent="0.25">
      <c r="Q803" t="s">
        <v>1725</v>
      </c>
      <c r="R803" t="s">
        <v>217</v>
      </c>
    </row>
    <row r="804" spans="17:18" ht="15" customHeight="1" x14ac:dyDescent="0.25">
      <c r="Q804" t="s">
        <v>1726</v>
      </c>
      <c r="R804" t="s">
        <v>217</v>
      </c>
    </row>
    <row r="805" spans="17:18" ht="15" customHeight="1" x14ac:dyDescent="0.25">
      <c r="Q805" t="s">
        <v>1727</v>
      </c>
      <c r="R805" t="s">
        <v>217</v>
      </c>
    </row>
    <row r="806" spans="17:18" ht="15" customHeight="1" x14ac:dyDescent="0.25">
      <c r="Q806" t="s">
        <v>1728</v>
      </c>
      <c r="R806" t="s">
        <v>217</v>
      </c>
    </row>
    <row r="807" spans="17:18" ht="15" customHeight="1" x14ac:dyDescent="0.25">
      <c r="Q807" t="s">
        <v>1729</v>
      </c>
      <c r="R807" t="s">
        <v>217</v>
      </c>
    </row>
    <row r="808" spans="17:18" ht="15" customHeight="1" x14ac:dyDescent="0.25">
      <c r="Q808" t="s">
        <v>1730</v>
      </c>
      <c r="R808" t="s">
        <v>217</v>
      </c>
    </row>
    <row r="809" spans="17:18" ht="15" customHeight="1" x14ac:dyDescent="0.25">
      <c r="Q809" t="s">
        <v>1731</v>
      </c>
      <c r="R809" t="s">
        <v>217</v>
      </c>
    </row>
    <row r="810" spans="17:18" ht="15" customHeight="1" x14ac:dyDescent="0.25">
      <c r="Q810" t="s">
        <v>1732</v>
      </c>
      <c r="R810" t="s">
        <v>217</v>
      </c>
    </row>
    <row r="811" spans="17:18" ht="15" customHeight="1" x14ac:dyDescent="0.25">
      <c r="Q811" t="s">
        <v>1733</v>
      </c>
      <c r="R811" t="s">
        <v>217</v>
      </c>
    </row>
    <row r="812" spans="17:18" ht="15" customHeight="1" x14ac:dyDescent="0.25">
      <c r="Q812" t="s">
        <v>1734</v>
      </c>
      <c r="R812" t="s">
        <v>217</v>
      </c>
    </row>
    <row r="813" spans="17:18" ht="15" customHeight="1" x14ac:dyDescent="0.25">
      <c r="Q813" t="s">
        <v>1735</v>
      </c>
      <c r="R813" t="s">
        <v>217</v>
      </c>
    </row>
    <row r="814" spans="17:18" ht="15" customHeight="1" x14ac:dyDescent="0.25">
      <c r="Q814" t="s">
        <v>1736</v>
      </c>
      <c r="R814" t="s">
        <v>217</v>
      </c>
    </row>
    <row r="815" spans="17:18" ht="15" customHeight="1" x14ac:dyDescent="0.25">
      <c r="Q815" t="s">
        <v>1737</v>
      </c>
      <c r="R815" t="s">
        <v>217</v>
      </c>
    </row>
    <row r="816" spans="17:18" ht="15" customHeight="1" x14ac:dyDescent="0.25">
      <c r="Q816" t="s">
        <v>1738</v>
      </c>
      <c r="R816" t="s">
        <v>217</v>
      </c>
    </row>
    <row r="817" spans="17:18" ht="15" customHeight="1" x14ac:dyDescent="0.25">
      <c r="Q817" t="s">
        <v>1739</v>
      </c>
      <c r="R817" t="s">
        <v>217</v>
      </c>
    </row>
    <row r="818" spans="17:18" ht="15" customHeight="1" x14ac:dyDescent="0.25">
      <c r="Q818" t="s">
        <v>1740</v>
      </c>
      <c r="R818" t="s">
        <v>217</v>
      </c>
    </row>
    <row r="819" spans="17:18" ht="15" customHeight="1" x14ac:dyDescent="0.25">
      <c r="Q819" t="s">
        <v>1741</v>
      </c>
      <c r="R819" t="s">
        <v>217</v>
      </c>
    </row>
    <row r="820" spans="17:18" ht="15" customHeight="1" x14ac:dyDescent="0.25">
      <c r="Q820" t="s">
        <v>1742</v>
      </c>
      <c r="R820" t="s">
        <v>217</v>
      </c>
    </row>
    <row r="821" spans="17:18" ht="15" customHeight="1" x14ac:dyDescent="0.25">
      <c r="Q821" t="s">
        <v>1743</v>
      </c>
      <c r="R821" t="s">
        <v>217</v>
      </c>
    </row>
    <row r="822" spans="17:18" ht="15" customHeight="1" x14ac:dyDescent="0.25">
      <c r="Q822" t="s">
        <v>1744</v>
      </c>
      <c r="R822" t="s">
        <v>217</v>
      </c>
    </row>
    <row r="823" spans="17:18" ht="15" customHeight="1" x14ac:dyDescent="0.25">
      <c r="Q823" t="s">
        <v>1745</v>
      </c>
      <c r="R823" t="s">
        <v>217</v>
      </c>
    </row>
    <row r="824" spans="17:18" ht="15" customHeight="1" x14ac:dyDescent="0.25">
      <c r="Q824" t="s">
        <v>1746</v>
      </c>
      <c r="R824" t="s">
        <v>217</v>
      </c>
    </row>
    <row r="825" spans="17:18" ht="15" customHeight="1" x14ac:dyDescent="0.25">
      <c r="Q825" t="s">
        <v>1747</v>
      </c>
      <c r="R825" t="s">
        <v>217</v>
      </c>
    </row>
    <row r="826" spans="17:18" ht="15" customHeight="1" x14ac:dyDescent="0.25">
      <c r="Q826" t="s">
        <v>1748</v>
      </c>
      <c r="R826" t="s">
        <v>217</v>
      </c>
    </row>
    <row r="827" spans="17:18" ht="15" customHeight="1" x14ac:dyDescent="0.25">
      <c r="Q827" t="s">
        <v>1749</v>
      </c>
      <c r="R827" t="s">
        <v>217</v>
      </c>
    </row>
    <row r="828" spans="17:18" ht="15" customHeight="1" x14ac:dyDescent="0.25">
      <c r="Q828" t="s">
        <v>1750</v>
      </c>
      <c r="R828" t="s">
        <v>217</v>
      </c>
    </row>
    <row r="829" spans="17:18" ht="15" customHeight="1" x14ac:dyDescent="0.25">
      <c r="Q829" t="s">
        <v>1751</v>
      </c>
      <c r="R829" t="s">
        <v>217</v>
      </c>
    </row>
    <row r="830" spans="17:18" ht="15" customHeight="1" x14ac:dyDescent="0.25">
      <c r="Q830" t="s">
        <v>1752</v>
      </c>
      <c r="R830" t="s">
        <v>217</v>
      </c>
    </row>
    <row r="831" spans="17:18" ht="15" customHeight="1" x14ac:dyDescent="0.25">
      <c r="Q831" t="s">
        <v>1753</v>
      </c>
      <c r="R831" t="s">
        <v>217</v>
      </c>
    </row>
    <row r="832" spans="17:18" ht="15" customHeight="1" x14ac:dyDescent="0.25">
      <c r="Q832" t="s">
        <v>1754</v>
      </c>
      <c r="R832" t="s">
        <v>217</v>
      </c>
    </row>
    <row r="833" spans="17:18" ht="15" customHeight="1" x14ac:dyDescent="0.25">
      <c r="Q833" t="s">
        <v>1755</v>
      </c>
      <c r="R833" t="s">
        <v>217</v>
      </c>
    </row>
    <row r="834" spans="17:18" ht="15" customHeight="1" x14ac:dyDescent="0.25">
      <c r="Q834" t="s">
        <v>1756</v>
      </c>
      <c r="R834" t="s">
        <v>217</v>
      </c>
    </row>
    <row r="835" spans="17:18" ht="15" customHeight="1" x14ac:dyDescent="0.25">
      <c r="Q835" t="s">
        <v>1757</v>
      </c>
      <c r="R835" t="s">
        <v>217</v>
      </c>
    </row>
    <row r="836" spans="17:18" ht="15" customHeight="1" x14ac:dyDescent="0.25">
      <c r="Q836" t="s">
        <v>1758</v>
      </c>
      <c r="R836" t="s">
        <v>217</v>
      </c>
    </row>
    <row r="837" spans="17:18" ht="15" customHeight="1" x14ac:dyDescent="0.25">
      <c r="Q837" t="s">
        <v>1759</v>
      </c>
      <c r="R837" t="s">
        <v>217</v>
      </c>
    </row>
    <row r="838" spans="17:18" ht="15" customHeight="1" x14ac:dyDescent="0.25">
      <c r="Q838" t="s">
        <v>1760</v>
      </c>
      <c r="R838" t="s">
        <v>217</v>
      </c>
    </row>
    <row r="839" spans="17:18" ht="15" customHeight="1" x14ac:dyDescent="0.25">
      <c r="Q839" t="s">
        <v>1761</v>
      </c>
      <c r="R839" t="s">
        <v>217</v>
      </c>
    </row>
    <row r="840" spans="17:18" ht="15" customHeight="1" x14ac:dyDescent="0.25">
      <c r="Q840" t="s">
        <v>1762</v>
      </c>
      <c r="R840" t="s">
        <v>217</v>
      </c>
    </row>
    <row r="841" spans="17:18" ht="15" customHeight="1" x14ac:dyDescent="0.25">
      <c r="Q841" t="s">
        <v>1763</v>
      </c>
      <c r="R841" t="s">
        <v>217</v>
      </c>
    </row>
    <row r="842" spans="17:18" ht="15" customHeight="1" x14ac:dyDescent="0.25">
      <c r="Q842" t="s">
        <v>1764</v>
      </c>
      <c r="R842" t="s">
        <v>217</v>
      </c>
    </row>
    <row r="843" spans="17:18" ht="15" customHeight="1" x14ac:dyDescent="0.25">
      <c r="Q843" t="s">
        <v>1765</v>
      </c>
      <c r="R843" t="s">
        <v>217</v>
      </c>
    </row>
    <row r="844" spans="17:18" ht="15" customHeight="1" x14ac:dyDescent="0.25">
      <c r="Q844" t="s">
        <v>1766</v>
      </c>
      <c r="R844" t="s">
        <v>205</v>
      </c>
    </row>
    <row r="845" spans="17:18" ht="15" customHeight="1" x14ac:dyDescent="0.25">
      <c r="Q845" t="s">
        <v>1767</v>
      </c>
      <c r="R845" t="s">
        <v>205</v>
      </c>
    </row>
    <row r="846" spans="17:18" ht="15" customHeight="1" x14ac:dyDescent="0.25">
      <c r="Q846" t="s">
        <v>1768</v>
      </c>
      <c r="R846" t="s">
        <v>217</v>
      </c>
    </row>
    <row r="847" spans="17:18" ht="15" customHeight="1" x14ac:dyDescent="0.25">
      <c r="Q847" t="s">
        <v>1769</v>
      </c>
      <c r="R847" t="s">
        <v>217</v>
      </c>
    </row>
    <row r="848" spans="17:18" ht="15" customHeight="1" x14ac:dyDescent="0.25">
      <c r="Q848" t="s">
        <v>1770</v>
      </c>
      <c r="R848" t="s">
        <v>217</v>
      </c>
    </row>
    <row r="849" spans="17:18" ht="15" customHeight="1" x14ac:dyDescent="0.25">
      <c r="Q849" t="s">
        <v>1771</v>
      </c>
      <c r="R849" t="s">
        <v>217</v>
      </c>
    </row>
    <row r="850" spans="17:18" ht="15" customHeight="1" x14ac:dyDescent="0.25">
      <c r="Q850" t="s">
        <v>1772</v>
      </c>
      <c r="R850" t="s">
        <v>217</v>
      </c>
    </row>
    <row r="851" spans="17:18" ht="15" customHeight="1" x14ac:dyDescent="0.25">
      <c r="Q851" t="s">
        <v>1773</v>
      </c>
      <c r="R851" t="s">
        <v>217</v>
      </c>
    </row>
    <row r="852" spans="17:18" ht="15" customHeight="1" x14ac:dyDescent="0.25">
      <c r="Q852" t="s">
        <v>1774</v>
      </c>
      <c r="R852" t="s">
        <v>217</v>
      </c>
    </row>
    <row r="853" spans="17:18" ht="15" customHeight="1" x14ac:dyDescent="0.25">
      <c r="Q853" t="s">
        <v>1775</v>
      </c>
      <c r="R853" t="s">
        <v>217</v>
      </c>
    </row>
    <row r="854" spans="17:18" ht="15" customHeight="1" x14ac:dyDescent="0.25">
      <c r="Q854" t="s">
        <v>1776</v>
      </c>
      <c r="R854" t="s">
        <v>217</v>
      </c>
    </row>
    <row r="855" spans="17:18" ht="15" customHeight="1" x14ac:dyDescent="0.25">
      <c r="Q855" t="s">
        <v>1777</v>
      </c>
      <c r="R855" t="s">
        <v>217</v>
      </c>
    </row>
    <row r="856" spans="17:18" ht="15" customHeight="1" x14ac:dyDescent="0.25">
      <c r="Q856" t="s">
        <v>1778</v>
      </c>
      <c r="R856" t="s">
        <v>217</v>
      </c>
    </row>
    <row r="857" spans="17:18" ht="15" customHeight="1" x14ac:dyDescent="0.25">
      <c r="Q857" t="s">
        <v>1779</v>
      </c>
      <c r="R857" t="s">
        <v>217</v>
      </c>
    </row>
    <row r="858" spans="17:18" ht="15" customHeight="1" x14ac:dyDescent="0.25">
      <c r="Q858" t="s">
        <v>1780</v>
      </c>
      <c r="R858" t="s">
        <v>205</v>
      </c>
    </row>
    <row r="859" spans="17:18" ht="15" customHeight="1" x14ac:dyDescent="0.25">
      <c r="Q859" t="s">
        <v>1781</v>
      </c>
      <c r="R859" t="s">
        <v>205</v>
      </c>
    </row>
    <row r="860" spans="17:18" ht="15" customHeight="1" x14ac:dyDescent="0.25">
      <c r="Q860" t="s">
        <v>1782</v>
      </c>
      <c r="R860" t="s">
        <v>205</v>
      </c>
    </row>
    <row r="861" spans="17:18" ht="15" customHeight="1" x14ac:dyDescent="0.25">
      <c r="Q861" t="s">
        <v>1783</v>
      </c>
      <c r="R861" t="s">
        <v>217</v>
      </c>
    </row>
    <row r="862" spans="17:18" ht="15" customHeight="1" x14ac:dyDescent="0.25">
      <c r="Q862" t="s">
        <v>1784</v>
      </c>
      <c r="R862" t="s">
        <v>217</v>
      </c>
    </row>
    <row r="863" spans="17:18" ht="15" customHeight="1" x14ac:dyDescent="0.25">
      <c r="Q863" t="s">
        <v>1785</v>
      </c>
      <c r="R863" t="s">
        <v>217</v>
      </c>
    </row>
    <row r="864" spans="17:18" ht="15" customHeight="1" x14ac:dyDescent="0.25">
      <c r="Q864" t="s">
        <v>1786</v>
      </c>
      <c r="R864" t="s">
        <v>217</v>
      </c>
    </row>
    <row r="865" spans="17:18" ht="15" customHeight="1" x14ac:dyDescent="0.25">
      <c r="Q865" t="s">
        <v>1787</v>
      </c>
      <c r="R865" t="s">
        <v>217</v>
      </c>
    </row>
    <row r="866" spans="17:18" ht="15" customHeight="1" x14ac:dyDescent="0.25">
      <c r="Q866" t="s">
        <v>1788</v>
      </c>
      <c r="R866" t="s">
        <v>217</v>
      </c>
    </row>
    <row r="867" spans="17:18" ht="15" customHeight="1" x14ac:dyDescent="0.25">
      <c r="Q867" t="s">
        <v>1789</v>
      </c>
      <c r="R867" t="s">
        <v>217</v>
      </c>
    </row>
    <row r="868" spans="17:18" ht="15" customHeight="1" x14ac:dyDescent="0.25">
      <c r="Q868" t="s">
        <v>1790</v>
      </c>
      <c r="R868" t="s">
        <v>209</v>
      </c>
    </row>
    <row r="869" spans="17:18" ht="15" customHeight="1" x14ac:dyDescent="0.25">
      <c r="Q869" t="s">
        <v>1791</v>
      </c>
      <c r="R869" t="s">
        <v>209</v>
      </c>
    </row>
    <row r="870" spans="17:18" ht="15" customHeight="1" x14ac:dyDescent="0.25">
      <c r="Q870" t="s">
        <v>1792</v>
      </c>
      <c r="R870" t="s">
        <v>209</v>
      </c>
    </row>
    <row r="871" spans="17:18" ht="15" customHeight="1" x14ac:dyDescent="0.25">
      <c r="Q871" t="s">
        <v>1793</v>
      </c>
      <c r="R871" t="s">
        <v>209</v>
      </c>
    </row>
    <row r="872" spans="17:18" ht="15" customHeight="1" x14ac:dyDescent="0.25">
      <c r="Q872" t="s">
        <v>1794</v>
      </c>
      <c r="R872" t="s">
        <v>209</v>
      </c>
    </row>
    <row r="873" spans="17:18" ht="15" customHeight="1" x14ac:dyDescent="0.25">
      <c r="Q873" t="s">
        <v>1795</v>
      </c>
      <c r="R873" t="s">
        <v>209</v>
      </c>
    </row>
    <row r="874" spans="17:18" ht="15" customHeight="1" x14ac:dyDescent="0.25">
      <c r="Q874" t="s">
        <v>1796</v>
      </c>
      <c r="R874" t="s">
        <v>211</v>
      </c>
    </row>
    <row r="875" spans="17:18" ht="15" customHeight="1" x14ac:dyDescent="0.25">
      <c r="Q875" t="s">
        <v>1797</v>
      </c>
      <c r="R875" t="s">
        <v>211</v>
      </c>
    </row>
    <row r="876" spans="17:18" ht="15" customHeight="1" x14ac:dyDescent="0.25">
      <c r="Q876" t="s">
        <v>1798</v>
      </c>
      <c r="R876" t="s">
        <v>211</v>
      </c>
    </row>
    <row r="877" spans="17:18" ht="15" customHeight="1" x14ac:dyDescent="0.25">
      <c r="Q877" t="s">
        <v>1799</v>
      </c>
      <c r="R877" t="s">
        <v>211</v>
      </c>
    </row>
    <row r="878" spans="17:18" ht="15" customHeight="1" x14ac:dyDescent="0.25">
      <c r="Q878" t="s">
        <v>1800</v>
      </c>
      <c r="R878" t="s">
        <v>211</v>
      </c>
    </row>
    <row r="879" spans="17:18" ht="15" customHeight="1" x14ac:dyDescent="0.25">
      <c r="Q879" t="s">
        <v>1801</v>
      </c>
      <c r="R879" t="s">
        <v>211</v>
      </c>
    </row>
    <row r="880" spans="17:18" ht="15" customHeight="1" x14ac:dyDescent="0.25">
      <c r="Q880" t="s">
        <v>1802</v>
      </c>
      <c r="R880" t="s">
        <v>211</v>
      </c>
    </row>
    <row r="881" spans="17:18" ht="15" customHeight="1" x14ac:dyDescent="0.25">
      <c r="Q881" t="s">
        <v>1803</v>
      </c>
      <c r="R881" t="s">
        <v>209</v>
      </c>
    </row>
    <row r="882" spans="17:18" ht="15" customHeight="1" x14ac:dyDescent="0.25">
      <c r="Q882" t="s">
        <v>1804</v>
      </c>
      <c r="R882" t="s">
        <v>211</v>
      </c>
    </row>
    <row r="883" spans="17:18" ht="15" customHeight="1" x14ac:dyDescent="0.25">
      <c r="Q883" t="s">
        <v>1805</v>
      </c>
      <c r="R883" t="s">
        <v>293</v>
      </c>
    </row>
    <row r="884" spans="17:18" ht="15" customHeight="1" x14ac:dyDescent="0.25">
      <c r="Q884" t="s">
        <v>1806</v>
      </c>
      <c r="R884" t="s">
        <v>293</v>
      </c>
    </row>
    <row r="885" spans="17:18" ht="15" customHeight="1" x14ac:dyDescent="0.25">
      <c r="Q885" t="s">
        <v>1807</v>
      </c>
      <c r="R885" t="s">
        <v>293</v>
      </c>
    </row>
    <row r="886" spans="17:18" ht="15" customHeight="1" x14ac:dyDescent="0.25">
      <c r="Q886" t="s">
        <v>1808</v>
      </c>
      <c r="R886" t="s">
        <v>293</v>
      </c>
    </row>
    <row r="887" spans="17:18" ht="15" customHeight="1" x14ac:dyDescent="0.25">
      <c r="Q887" t="s">
        <v>1809</v>
      </c>
      <c r="R887" t="s">
        <v>293</v>
      </c>
    </row>
    <row r="888" spans="17:18" ht="15" customHeight="1" x14ac:dyDescent="0.25">
      <c r="Q888" t="s">
        <v>1810</v>
      </c>
      <c r="R888" t="s">
        <v>293</v>
      </c>
    </row>
    <row r="889" spans="17:18" ht="15" customHeight="1" x14ac:dyDescent="0.25">
      <c r="Q889" t="s">
        <v>1811</v>
      </c>
      <c r="R889" t="s">
        <v>293</v>
      </c>
    </row>
    <row r="890" spans="17:18" ht="15" customHeight="1" x14ac:dyDescent="0.25">
      <c r="Q890" t="s">
        <v>1812</v>
      </c>
      <c r="R890" t="s">
        <v>293</v>
      </c>
    </row>
    <row r="891" spans="17:18" ht="15" customHeight="1" x14ac:dyDescent="0.25">
      <c r="Q891" t="s">
        <v>1813</v>
      </c>
      <c r="R891" t="s">
        <v>293</v>
      </c>
    </row>
    <row r="892" spans="17:18" ht="15" customHeight="1" x14ac:dyDescent="0.25">
      <c r="Q892" t="s">
        <v>1814</v>
      </c>
      <c r="R892" t="s">
        <v>293</v>
      </c>
    </row>
    <row r="893" spans="17:18" ht="15" customHeight="1" x14ac:dyDescent="0.25">
      <c r="Q893" t="s">
        <v>1815</v>
      </c>
      <c r="R893" t="s">
        <v>293</v>
      </c>
    </row>
    <row r="894" spans="17:18" ht="15" customHeight="1" x14ac:dyDescent="0.25">
      <c r="Q894" t="s">
        <v>1816</v>
      </c>
      <c r="R894" t="s">
        <v>293</v>
      </c>
    </row>
    <row r="895" spans="17:18" ht="15" customHeight="1" x14ac:dyDescent="0.25">
      <c r="Q895" t="s">
        <v>1817</v>
      </c>
      <c r="R895" t="s">
        <v>293</v>
      </c>
    </row>
    <row r="896" spans="17:18" ht="15" customHeight="1" x14ac:dyDescent="0.25">
      <c r="Q896" t="s">
        <v>1818</v>
      </c>
      <c r="R896" t="s">
        <v>293</v>
      </c>
    </row>
    <row r="897" spans="17:18" ht="15" customHeight="1" x14ac:dyDescent="0.25">
      <c r="Q897" t="s">
        <v>1819</v>
      </c>
      <c r="R897" t="s">
        <v>293</v>
      </c>
    </row>
    <row r="898" spans="17:18" ht="15" customHeight="1" x14ac:dyDescent="0.25">
      <c r="Q898" t="s">
        <v>1820</v>
      </c>
      <c r="R898" t="s">
        <v>293</v>
      </c>
    </row>
    <row r="899" spans="17:18" ht="15" customHeight="1" x14ac:dyDescent="0.25">
      <c r="Q899" t="s">
        <v>1821</v>
      </c>
      <c r="R899" t="s">
        <v>293</v>
      </c>
    </row>
    <row r="900" spans="17:18" ht="15" customHeight="1" x14ac:dyDescent="0.25">
      <c r="Q900" t="s">
        <v>1822</v>
      </c>
      <c r="R900" t="s">
        <v>285</v>
      </c>
    </row>
    <row r="901" spans="17:18" ht="15" customHeight="1" x14ac:dyDescent="0.25">
      <c r="Q901" t="s">
        <v>1823</v>
      </c>
      <c r="R901" t="s">
        <v>285</v>
      </c>
    </row>
    <row r="902" spans="17:18" ht="15" customHeight="1" x14ac:dyDescent="0.25">
      <c r="Q902" t="s">
        <v>1824</v>
      </c>
      <c r="R902" t="s">
        <v>285</v>
      </c>
    </row>
    <row r="903" spans="17:18" ht="15" customHeight="1" x14ac:dyDescent="0.25">
      <c r="Q903" t="s">
        <v>1825</v>
      </c>
      <c r="R903" t="s">
        <v>285</v>
      </c>
    </row>
    <row r="904" spans="17:18" ht="15" customHeight="1" x14ac:dyDescent="0.25">
      <c r="Q904" t="s">
        <v>1826</v>
      </c>
      <c r="R904" t="s">
        <v>285</v>
      </c>
    </row>
    <row r="905" spans="17:18" ht="15" customHeight="1" x14ac:dyDescent="0.25">
      <c r="Q905" t="s">
        <v>1827</v>
      </c>
      <c r="R905" t="s">
        <v>285</v>
      </c>
    </row>
    <row r="906" spans="17:18" ht="15" customHeight="1" x14ac:dyDescent="0.25">
      <c r="Q906" t="s">
        <v>1828</v>
      </c>
      <c r="R906" t="s">
        <v>285</v>
      </c>
    </row>
    <row r="907" spans="17:18" ht="15" customHeight="1" x14ac:dyDescent="0.25">
      <c r="Q907" t="s">
        <v>1829</v>
      </c>
      <c r="R907" t="s">
        <v>285</v>
      </c>
    </row>
    <row r="908" spans="17:18" ht="15" customHeight="1" x14ac:dyDescent="0.25">
      <c r="Q908" t="s">
        <v>1830</v>
      </c>
      <c r="R908" t="s">
        <v>285</v>
      </c>
    </row>
    <row r="909" spans="17:18" ht="15" customHeight="1" x14ac:dyDescent="0.25">
      <c r="Q909" t="s">
        <v>1831</v>
      </c>
      <c r="R909" t="s">
        <v>285</v>
      </c>
    </row>
    <row r="910" spans="17:18" ht="15" customHeight="1" x14ac:dyDescent="0.25">
      <c r="Q910" t="s">
        <v>1832</v>
      </c>
      <c r="R910" t="s">
        <v>285</v>
      </c>
    </row>
    <row r="911" spans="17:18" ht="15" customHeight="1" x14ac:dyDescent="0.25">
      <c r="Q911" t="s">
        <v>1833</v>
      </c>
      <c r="R911" t="s">
        <v>285</v>
      </c>
    </row>
    <row r="912" spans="17:18" ht="15" customHeight="1" x14ac:dyDescent="0.25">
      <c r="Q912" t="s">
        <v>1834</v>
      </c>
      <c r="R912" t="s">
        <v>285</v>
      </c>
    </row>
    <row r="913" spans="17:18" ht="15" customHeight="1" x14ac:dyDescent="0.25">
      <c r="Q913" t="s">
        <v>1835</v>
      </c>
      <c r="R913" t="s">
        <v>293</v>
      </c>
    </row>
    <row r="914" spans="17:18" ht="15" customHeight="1" x14ac:dyDescent="0.25">
      <c r="Q914" t="s">
        <v>1836</v>
      </c>
      <c r="R914" t="s">
        <v>293</v>
      </c>
    </row>
    <row r="915" spans="17:18" ht="15" customHeight="1" x14ac:dyDescent="0.25">
      <c r="Q915" t="s">
        <v>1837</v>
      </c>
      <c r="R915" t="s">
        <v>293</v>
      </c>
    </row>
    <row r="916" spans="17:18" ht="15" customHeight="1" x14ac:dyDescent="0.25">
      <c r="Q916" t="s">
        <v>1838</v>
      </c>
      <c r="R916" t="s">
        <v>293</v>
      </c>
    </row>
    <row r="917" spans="17:18" ht="15" customHeight="1" x14ac:dyDescent="0.25">
      <c r="Q917" t="s">
        <v>1839</v>
      </c>
      <c r="R917" t="s">
        <v>293</v>
      </c>
    </row>
    <row r="918" spans="17:18" ht="15" customHeight="1" x14ac:dyDescent="0.25">
      <c r="Q918" t="s">
        <v>1840</v>
      </c>
      <c r="R918" t="s">
        <v>293</v>
      </c>
    </row>
    <row r="919" spans="17:18" ht="15" customHeight="1" x14ac:dyDescent="0.25">
      <c r="Q919" t="s">
        <v>1841</v>
      </c>
      <c r="R919" t="s">
        <v>293</v>
      </c>
    </row>
    <row r="920" spans="17:18" ht="15" customHeight="1" x14ac:dyDescent="0.25">
      <c r="Q920" t="s">
        <v>1842</v>
      </c>
      <c r="R920" t="s">
        <v>293</v>
      </c>
    </row>
    <row r="921" spans="17:18" ht="15" customHeight="1" x14ac:dyDescent="0.25">
      <c r="Q921" t="s">
        <v>1843</v>
      </c>
      <c r="R921" t="s">
        <v>293</v>
      </c>
    </row>
    <row r="922" spans="17:18" ht="15" customHeight="1" x14ac:dyDescent="0.25">
      <c r="Q922" t="s">
        <v>1844</v>
      </c>
      <c r="R922" t="s">
        <v>293</v>
      </c>
    </row>
    <row r="923" spans="17:18" ht="15" customHeight="1" x14ac:dyDescent="0.25">
      <c r="Q923" t="s">
        <v>1845</v>
      </c>
      <c r="R923" t="s">
        <v>293</v>
      </c>
    </row>
    <row r="924" spans="17:18" ht="15" customHeight="1" x14ac:dyDescent="0.25">
      <c r="Q924" t="s">
        <v>1846</v>
      </c>
      <c r="R924" t="s">
        <v>293</v>
      </c>
    </row>
    <row r="925" spans="17:18" ht="15" customHeight="1" x14ac:dyDescent="0.25">
      <c r="Q925" t="s">
        <v>1847</v>
      </c>
      <c r="R925" t="s">
        <v>293</v>
      </c>
    </row>
    <row r="926" spans="17:18" ht="15" customHeight="1" x14ac:dyDescent="0.25">
      <c r="Q926" t="s">
        <v>1848</v>
      </c>
      <c r="R926" t="s">
        <v>293</v>
      </c>
    </row>
    <row r="927" spans="17:18" ht="15" customHeight="1" x14ac:dyDescent="0.25">
      <c r="Q927" t="s">
        <v>1849</v>
      </c>
      <c r="R927" t="s">
        <v>293</v>
      </c>
    </row>
    <row r="928" spans="17:18" ht="15" customHeight="1" x14ac:dyDescent="0.25">
      <c r="Q928" t="s">
        <v>1850</v>
      </c>
      <c r="R928" t="s">
        <v>293</v>
      </c>
    </row>
    <row r="929" spans="17:18" ht="15" customHeight="1" x14ac:dyDescent="0.25">
      <c r="Q929" t="s">
        <v>1851</v>
      </c>
      <c r="R929" t="s">
        <v>293</v>
      </c>
    </row>
    <row r="930" spans="17:18" ht="15" customHeight="1" x14ac:dyDescent="0.25">
      <c r="Q930" t="s">
        <v>1852</v>
      </c>
      <c r="R930" t="s">
        <v>293</v>
      </c>
    </row>
    <row r="931" spans="17:18" ht="15" customHeight="1" x14ac:dyDescent="0.25">
      <c r="Q931" t="s">
        <v>1853</v>
      </c>
      <c r="R931" t="s">
        <v>293</v>
      </c>
    </row>
    <row r="932" spans="17:18" ht="15" customHeight="1" x14ac:dyDescent="0.25">
      <c r="Q932" t="s">
        <v>1854</v>
      </c>
      <c r="R932" t="s">
        <v>293</v>
      </c>
    </row>
    <row r="933" spans="17:18" ht="15" customHeight="1" x14ac:dyDescent="0.25">
      <c r="Q933" t="s">
        <v>1855</v>
      </c>
      <c r="R933" t="s">
        <v>293</v>
      </c>
    </row>
    <row r="934" spans="17:18" ht="15" customHeight="1" x14ac:dyDescent="0.25">
      <c r="Q934" t="s">
        <v>1856</v>
      </c>
      <c r="R934" t="s">
        <v>293</v>
      </c>
    </row>
    <row r="935" spans="17:18" ht="15" customHeight="1" x14ac:dyDescent="0.25">
      <c r="Q935" t="s">
        <v>1857</v>
      </c>
      <c r="R935" t="s">
        <v>293</v>
      </c>
    </row>
    <row r="936" spans="17:18" ht="15" customHeight="1" x14ac:dyDescent="0.25">
      <c r="Q936" t="s">
        <v>1858</v>
      </c>
      <c r="R936" t="s">
        <v>293</v>
      </c>
    </row>
    <row r="937" spans="17:18" ht="15" customHeight="1" x14ac:dyDescent="0.25">
      <c r="Q937" t="s">
        <v>1859</v>
      </c>
      <c r="R937" t="s">
        <v>293</v>
      </c>
    </row>
    <row r="938" spans="17:18" ht="15" customHeight="1" x14ac:dyDescent="0.25">
      <c r="Q938" t="s">
        <v>1860</v>
      </c>
      <c r="R938" t="s">
        <v>293</v>
      </c>
    </row>
    <row r="939" spans="17:18" ht="15" customHeight="1" x14ac:dyDescent="0.25">
      <c r="Q939" t="s">
        <v>1861</v>
      </c>
      <c r="R939" t="s">
        <v>293</v>
      </c>
    </row>
    <row r="940" spans="17:18" ht="15" customHeight="1" x14ac:dyDescent="0.25">
      <c r="Q940" t="s">
        <v>1862</v>
      </c>
      <c r="R940" t="s">
        <v>293</v>
      </c>
    </row>
    <row r="941" spans="17:18" ht="15" customHeight="1" x14ac:dyDescent="0.25">
      <c r="Q941" t="s">
        <v>1863</v>
      </c>
      <c r="R941" t="s">
        <v>293</v>
      </c>
    </row>
    <row r="942" spans="17:18" ht="15" customHeight="1" x14ac:dyDescent="0.25">
      <c r="Q942" t="s">
        <v>1864</v>
      </c>
      <c r="R942" t="s">
        <v>293</v>
      </c>
    </row>
    <row r="943" spans="17:18" ht="15" customHeight="1" x14ac:dyDescent="0.25">
      <c r="Q943" t="s">
        <v>1865</v>
      </c>
      <c r="R943" t="s">
        <v>293</v>
      </c>
    </row>
    <row r="944" spans="17:18" ht="15" customHeight="1" x14ac:dyDescent="0.25">
      <c r="Q944" t="s">
        <v>1866</v>
      </c>
      <c r="R944" t="s">
        <v>293</v>
      </c>
    </row>
    <row r="945" spans="17:18" ht="15" customHeight="1" x14ac:dyDescent="0.25">
      <c r="Q945" t="s">
        <v>1867</v>
      </c>
      <c r="R945" t="s">
        <v>293</v>
      </c>
    </row>
    <row r="946" spans="17:18" ht="15" customHeight="1" x14ac:dyDescent="0.25">
      <c r="Q946" t="s">
        <v>1868</v>
      </c>
      <c r="R946" t="s">
        <v>293</v>
      </c>
    </row>
    <row r="947" spans="17:18" ht="15" customHeight="1" x14ac:dyDescent="0.25">
      <c r="Q947" t="s">
        <v>1869</v>
      </c>
      <c r="R947" t="s">
        <v>293</v>
      </c>
    </row>
    <row r="948" spans="17:18" ht="15" customHeight="1" x14ac:dyDescent="0.25">
      <c r="Q948" t="s">
        <v>1870</v>
      </c>
      <c r="R948" t="s">
        <v>289</v>
      </c>
    </row>
    <row r="949" spans="17:18" ht="15" customHeight="1" x14ac:dyDescent="0.25">
      <c r="Q949" t="s">
        <v>1871</v>
      </c>
      <c r="R949" t="s">
        <v>289</v>
      </c>
    </row>
    <row r="950" spans="17:18" ht="15" customHeight="1" x14ac:dyDescent="0.25">
      <c r="Q950" t="s">
        <v>1872</v>
      </c>
      <c r="R950" t="s">
        <v>289</v>
      </c>
    </row>
    <row r="951" spans="17:18" ht="15" customHeight="1" x14ac:dyDescent="0.25">
      <c r="Q951" t="s">
        <v>1873</v>
      </c>
      <c r="R951" t="s">
        <v>289</v>
      </c>
    </row>
    <row r="952" spans="17:18" ht="15" customHeight="1" x14ac:dyDescent="0.25">
      <c r="Q952" t="s">
        <v>1874</v>
      </c>
      <c r="R952" t="s">
        <v>293</v>
      </c>
    </row>
    <row r="953" spans="17:18" ht="15" customHeight="1" x14ac:dyDescent="0.25">
      <c r="Q953" t="s">
        <v>1875</v>
      </c>
      <c r="R953" t="s">
        <v>293</v>
      </c>
    </row>
    <row r="954" spans="17:18" ht="15" customHeight="1" x14ac:dyDescent="0.25">
      <c r="Q954" t="s">
        <v>1876</v>
      </c>
      <c r="R954" t="s">
        <v>293</v>
      </c>
    </row>
    <row r="955" spans="17:18" ht="15" customHeight="1" x14ac:dyDescent="0.25">
      <c r="Q955" t="s">
        <v>1877</v>
      </c>
      <c r="R955" t="s">
        <v>293</v>
      </c>
    </row>
    <row r="956" spans="17:18" ht="15" customHeight="1" x14ac:dyDescent="0.25">
      <c r="Q956" t="s">
        <v>1878</v>
      </c>
      <c r="R956" t="s">
        <v>293</v>
      </c>
    </row>
    <row r="957" spans="17:18" ht="15" customHeight="1" x14ac:dyDescent="0.25">
      <c r="Q957" t="s">
        <v>1879</v>
      </c>
      <c r="R957" t="s">
        <v>289</v>
      </c>
    </row>
    <row r="958" spans="17:18" ht="15" customHeight="1" x14ac:dyDescent="0.25">
      <c r="Q958" t="s">
        <v>1880</v>
      </c>
      <c r="R958" t="s">
        <v>289</v>
      </c>
    </row>
    <row r="959" spans="17:18" ht="15" customHeight="1" x14ac:dyDescent="0.25">
      <c r="Q959" t="s">
        <v>1881</v>
      </c>
      <c r="R959" t="s">
        <v>293</v>
      </c>
    </row>
    <row r="960" spans="17:18" ht="15" customHeight="1" x14ac:dyDescent="0.25">
      <c r="Q960" t="s">
        <v>1882</v>
      </c>
      <c r="R960" t="s">
        <v>205</v>
      </c>
    </row>
    <row r="961" spans="17:18" ht="15" customHeight="1" x14ac:dyDescent="0.25">
      <c r="Q961" t="s">
        <v>1883</v>
      </c>
      <c r="R961" t="s">
        <v>205</v>
      </c>
    </row>
    <row r="962" spans="17:18" ht="15" customHeight="1" x14ac:dyDescent="0.25">
      <c r="Q962" t="s">
        <v>1884</v>
      </c>
      <c r="R962" t="s">
        <v>205</v>
      </c>
    </row>
    <row r="963" spans="17:18" ht="15" customHeight="1" x14ac:dyDescent="0.25">
      <c r="Q963" t="s">
        <v>1885</v>
      </c>
      <c r="R963" t="s">
        <v>205</v>
      </c>
    </row>
    <row r="964" spans="17:18" ht="15" customHeight="1" x14ac:dyDescent="0.25">
      <c r="Q964" t="s">
        <v>1886</v>
      </c>
      <c r="R964" t="s">
        <v>205</v>
      </c>
    </row>
    <row r="965" spans="17:18" ht="15" customHeight="1" x14ac:dyDescent="0.25">
      <c r="Q965" t="s">
        <v>1887</v>
      </c>
      <c r="R965" t="s">
        <v>205</v>
      </c>
    </row>
    <row r="966" spans="17:18" ht="15" customHeight="1" x14ac:dyDescent="0.25">
      <c r="Q966" t="s">
        <v>1888</v>
      </c>
      <c r="R966" t="s">
        <v>205</v>
      </c>
    </row>
    <row r="967" spans="17:18" ht="15" customHeight="1" x14ac:dyDescent="0.25">
      <c r="Q967" t="s">
        <v>1889</v>
      </c>
      <c r="R967" t="s">
        <v>205</v>
      </c>
    </row>
    <row r="968" spans="17:18" ht="15" customHeight="1" x14ac:dyDescent="0.25">
      <c r="Q968" t="s">
        <v>1890</v>
      </c>
      <c r="R968" t="s">
        <v>205</v>
      </c>
    </row>
    <row r="969" spans="17:18" ht="15" customHeight="1" x14ac:dyDescent="0.25">
      <c r="Q969" t="s">
        <v>1891</v>
      </c>
      <c r="R969" t="s">
        <v>205</v>
      </c>
    </row>
    <row r="970" spans="17:18" ht="15" customHeight="1" x14ac:dyDescent="0.25">
      <c r="Q970" t="s">
        <v>1892</v>
      </c>
      <c r="R970" t="s">
        <v>205</v>
      </c>
    </row>
    <row r="971" spans="17:18" ht="15" customHeight="1" x14ac:dyDescent="0.25">
      <c r="Q971" t="s">
        <v>1893</v>
      </c>
      <c r="R971" t="s">
        <v>205</v>
      </c>
    </row>
    <row r="972" spans="17:18" ht="15" customHeight="1" x14ac:dyDescent="0.25">
      <c r="Q972" t="s">
        <v>1894</v>
      </c>
      <c r="R972" t="s">
        <v>205</v>
      </c>
    </row>
    <row r="973" spans="17:18" ht="15" customHeight="1" x14ac:dyDescent="0.25">
      <c r="Q973" t="s">
        <v>1895</v>
      </c>
      <c r="R973" t="s">
        <v>207</v>
      </c>
    </row>
    <row r="974" spans="17:18" ht="15" customHeight="1" x14ac:dyDescent="0.25">
      <c r="Q974" t="s">
        <v>1896</v>
      </c>
      <c r="R974" t="s">
        <v>207</v>
      </c>
    </row>
    <row r="975" spans="17:18" ht="15" customHeight="1" x14ac:dyDescent="0.25">
      <c r="Q975" t="s">
        <v>1897</v>
      </c>
      <c r="R975" t="s">
        <v>207</v>
      </c>
    </row>
    <row r="976" spans="17:18" ht="15" customHeight="1" x14ac:dyDescent="0.25">
      <c r="Q976" t="s">
        <v>1898</v>
      </c>
      <c r="R976" t="s">
        <v>207</v>
      </c>
    </row>
    <row r="977" spans="17:18" ht="15" customHeight="1" x14ac:dyDescent="0.25">
      <c r="Q977" t="s">
        <v>1899</v>
      </c>
      <c r="R977" t="s">
        <v>207</v>
      </c>
    </row>
    <row r="978" spans="17:18" ht="15" customHeight="1" x14ac:dyDescent="0.25">
      <c r="Q978" t="s">
        <v>1900</v>
      </c>
      <c r="R978" t="s">
        <v>207</v>
      </c>
    </row>
    <row r="979" spans="17:18" ht="15" customHeight="1" x14ac:dyDescent="0.25">
      <c r="Q979" t="s">
        <v>1901</v>
      </c>
      <c r="R979" t="s">
        <v>207</v>
      </c>
    </row>
    <row r="980" spans="17:18" ht="15" customHeight="1" x14ac:dyDescent="0.25">
      <c r="Q980" t="s">
        <v>1902</v>
      </c>
      <c r="R980" t="s">
        <v>207</v>
      </c>
    </row>
    <row r="981" spans="17:18" ht="15" customHeight="1" x14ac:dyDescent="0.25">
      <c r="Q981" t="s">
        <v>1903</v>
      </c>
      <c r="R981" t="s">
        <v>207</v>
      </c>
    </row>
    <row r="982" spans="17:18" ht="15" customHeight="1" x14ac:dyDescent="0.25">
      <c r="Q982" t="s">
        <v>1904</v>
      </c>
      <c r="R982" t="s">
        <v>207</v>
      </c>
    </row>
    <row r="983" spans="17:18" ht="15" customHeight="1" x14ac:dyDescent="0.25">
      <c r="Q983" t="s">
        <v>1905</v>
      </c>
      <c r="R983" t="s">
        <v>207</v>
      </c>
    </row>
    <row r="984" spans="17:18" ht="15" customHeight="1" x14ac:dyDescent="0.25">
      <c r="Q984" t="s">
        <v>1906</v>
      </c>
      <c r="R984" t="s">
        <v>207</v>
      </c>
    </row>
    <row r="985" spans="17:18" ht="15" customHeight="1" x14ac:dyDescent="0.25">
      <c r="Q985" t="s">
        <v>1907</v>
      </c>
      <c r="R985" t="s">
        <v>207</v>
      </c>
    </row>
    <row r="986" spans="17:18" ht="15" customHeight="1" x14ac:dyDescent="0.25">
      <c r="Q986" t="s">
        <v>1908</v>
      </c>
      <c r="R986" t="s">
        <v>207</v>
      </c>
    </row>
    <row r="987" spans="17:18" ht="15" customHeight="1" x14ac:dyDescent="0.25">
      <c r="Q987" t="s">
        <v>1909</v>
      </c>
      <c r="R987" t="s">
        <v>285</v>
      </c>
    </row>
    <row r="988" spans="17:18" ht="15" customHeight="1" x14ac:dyDescent="0.25">
      <c r="Q988" t="s">
        <v>1910</v>
      </c>
      <c r="R988" t="s">
        <v>277</v>
      </c>
    </row>
    <row r="989" spans="17:18" ht="15" customHeight="1" x14ac:dyDescent="0.25">
      <c r="Q989" t="s">
        <v>1911</v>
      </c>
      <c r="R989" t="s">
        <v>285</v>
      </c>
    </row>
    <row r="990" spans="17:18" ht="15" customHeight="1" x14ac:dyDescent="0.25">
      <c r="Q990" t="s">
        <v>1912</v>
      </c>
      <c r="R990" t="s">
        <v>285</v>
      </c>
    </row>
    <row r="991" spans="17:18" ht="15" customHeight="1" x14ac:dyDescent="0.25">
      <c r="Q991" t="s">
        <v>1913</v>
      </c>
      <c r="R991" t="s">
        <v>285</v>
      </c>
    </row>
    <row r="992" spans="17:18" ht="15" customHeight="1" x14ac:dyDescent="0.25">
      <c r="Q992" t="s">
        <v>1914</v>
      </c>
      <c r="R992" t="s">
        <v>285</v>
      </c>
    </row>
    <row r="993" spans="17:18" ht="15" customHeight="1" x14ac:dyDescent="0.25">
      <c r="Q993" t="s">
        <v>1915</v>
      </c>
      <c r="R993" t="s">
        <v>285</v>
      </c>
    </row>
    <row r="994" spans="17:18" ht="15" customHeight="1" x14ac:dyDescent="0.25">
      <c r="Q994" t="s">
        <v>1916</v>
      </c>
      <c r="R994" t="s">
        <v>219</v>
      </c>
    </row>
    <row r="995" spans="17:18" ht="15" customHeight="1" x14ac:dyDescent="0.25">
      <c r="Q995" t="s">
        <v>1917</v>
      </c>
      <c r="R995" t="s">
        <v>261</v>
      </c>
    </row>
    <row r="996" spans="17:18" ht="15" customHeight="1" x14ac:dyDescent="0.25">
      <c r="Q996" t="s">
        <v>1918</v>
      </c>
      <c r="R996" t="s">
        <v>261</v>
      </c>
    </row>
    <row r="997" spans="17:18" ht="15" customHeight="1" x14ac:dyDescent="0.25">
      <c r="Q997" t="s">
        <v>1919</v>
      </c>
      <c r="R997" t="s">
        <v>307</v>
      </c>
    </row>
    <row r="998" spans="17:18" ht="15" customHeight="1" x14ac:dyDescent="0.25">
      <c r="Q998" t="s">
        <v>1920</v>
      </c>
      <c r="R998" t="s">
        <v>281</v>
      </c>
    </row>
    <row r="999" spans="17:18" ht="15" customHeight="1" x14ac:dyDescent="0.25">
      <c r="Q999" t="s">
        <v>1921</v>
      </c>
      <c r="R999" t="s">
        <v>261</v>
      </c>
    </row>
    <row r="1000" spans="17:18" ht="15" customHeight="1" x14ac:dyDescent="0.25">
      <c r="Q1000" t="s">
        <v>1922</v>
      </c>
      <c r="R1000" t="s">
        <v>261</v>
      </c>
    </row>
    <row r="1001" spans="17:18" ht="15" customHeight="1" x14ac:dyDescent="0.25">
      <c r="Q1001" t="s">
        <v>1923</v>
      </c>
      <c r="R1001" t="s">
        <v>281</v>
      </c>
    </row>
    <row r="1002" spans="17:18" ht="15" customHeight="1" x14ac:dyDescent="0.25">
      <c r="Q1002" t="s">
        <v>1924</v>
      </c>
      <c r="R1002" t="s">
        <v>281</v>
      </c>
    </row>
    <row r="1003" spans="17:18" ht="15" customHeight="1" x14ac:dyDescent="0.25">
      <c r="Q1003" t="s">
        <v>1925</v>
      </c>
      <c r="R1003" t="s">
        <v>281</v>
      </c>
    </row>
    <row r="1004" spans="17:18" ht="15" customHeight="1" x14ac:dyDescent="0.25">
      <c r="Q1004" t="s">
        <v>1926</v>
      </c>
      <c r="R1004" t="s">
        <v>281</v>
      </c>
    </row>
    <row r="1005" spans="17:18" ht="15" customHeight="1" x14ac:dyDescent="0.25">
      <c r="Q1005" t="s">
        <v>1927</v>
      </c>
      <c r="R1005" t="s">
        <v>277</v>
      </c>
    </row>
    <row r="1006" spans="17:18" ht="15" customHeight="1" x14ac:dyDescent="0.25">
      <c r="Q1006" t="s">
        <v>1928</v>
      </c>
      <c r="R1006" t="s">
        <v>281</v>
      </c>
    </row>
    <row r="1007" spans="17:18" ht="15" customHeight="1" x14ac:dyDescent="0.25">
      <c r="Q1007" t="s">
        <v>1929</v>
      </c>
      <c r="R1007" t="s">
        <v>217</v>
      </c>
    </row>
    <row r="1008" spans="17:18" ht="15" customHeight="1" x14ac:dyDescent="0.25">
      <c r="Q1008" t="s">
        <v>1930</v>
      </c>
      <c r="R1008" t="s">
        <v>207</v>
      </c>
    </row>
    <row r="1009" spans="17:18" ht="15" customHeight="1" x14ac:dyDescent="0.25">
      <c r="Q1009" t="s">
        <v>1931</v>
      </c>
      <c r="R1009" t="s">
        <v>207</v>
      </c>
    </row>
    <row r="1010" spans="17:18" ht="15" customHeight="1" x14ac:dyDescent="0.25">
      <c r="Q1010" t="s">
        <v>1932</v>
      </c>
      <c r="R1010" t="s">
        <v>207</v>
      </c>
    </row>
    <row r="1011" spans="17:18" ht="15" customHeight="1" x14ac:dyDescent="0.25">
      <c r="Q1011" t="s">
        <v>1933</v>
      </c>
      <c r="R1011" t="s">
        <v>207</v>
      </c>
    </row>
    <row r="1012" spans="17:18" ht="15" customHeight="1" x14ac:dyDescent="0.25">
      <c r="Q1012" t="s">
        <v>1934</v>
      </c>
      <c r="R1012" t="s">
        <v>207</v>
      </c>
    </row>
    <row r="1013" spans="17:18" ht="15" customHeight="1" x14ac:dyDescent="0.25">
      <c r="Q1013" t="s">
        <v>1935</v>
      </c>
      <c r="R1013" t="s">
        <v>207</v>
      </c>
    </row>
    <row r="1014" spans="17:18" ht="15" customHeight="1" x14ac:dyDescent="0.25">
      <c r="Q1014" t="s">
        <v>1936</v>
      </c>
      <c r="R1014" t="s">
        <v>207</v>
      </c>
    </row>
    <row r="1015" spans="17:18" ht="15" customHeight="1" x14ac:dyDescent="0.25">
      <c r="Q1015" t="s">
        <v>1937</v>
      </c>
      <c r="R1015" t="s">
        <v>207</v>
      </c>
    </row>
    <row r="1016" spans="17:18" ht="15" customHeight="1" x14ac:dyDescent="0.25">
      <c r="Q1016" t="s">
        <v>1938</v>
      </c>
      <c r="R1016" t="s">
        <v>207</v>
      </c>
    </row>
    <row r="1017" spans="17:18" ht="15" customHeight="1" x14ac:dyDescent="0.25">
      <c r="Q1017" t="s">
        <v>1939</v>
      </c>
      <c r="R1017" t="s">
        <v>207</v>
      </c>
    </row>
    <row r="1018" spans="17:18" ht="15" customHeight="1" x14ac:dyDescent="0.25">
      <c r="Q1018" t="s">
        <v>1940</v>
      </c>
      <c r="R1018" t="s">
        <v>207</v>
      </c>
    </row>
    <row r="1019" spans="17:18" ht="15" customHeight="1" x14ac:dyDescent="0.25">
      <c r="Q1019" t="s">
        <v>1941</v>
      </c>
      <c r="R1019" t="s">
        <v>207</v>
      </c>
    </row>
    <row r="1020" spans="17:18" ht="15" customHeight="1" x14ac:dyDescent="0.25">
      <c r="Q1020" t="s">
        <v>1942</v>
      </c>
      <c r="R1020" t="s">
        <v>207</v>
      </c>
    </row>
    <row r="1021" spans="17:18" ht="15" customHeight="1" x14ac:dyDescent="0.25">
      <c r="Q1021" t="s">
        <v>1943</v>
      </c>
      <c r="R1021" t="s">
        <v>207</v>
      </c>
    </row>
    <row r="1022" spans="17:18" ht="15" customHeight="1" x14ac:dyDescent="0.25">
      <c r="Q1022" t="s">
        <v>1944</v>
      </c>
      <c r="R1022" t="s">
        <v>207</v>
      </c>
    </row>
    <row r="1023" spans="17:18" ht="15" customHeight="1" x14ac:dyDescent="0.25">
      <c r="Q1023" t="s">
        <v>1945</v>
      </c>
      <c r="R1023" t="s">
        <v>199</v>
      </c>
    </row>
    <row r="1024" spans="17:18" ht="15" customHeight="1" x14ac:dyDescent="0.25">
      <c r="Q1024" t="s">
        <v>1946</v>
      </c>
      <c r="R1024" t="s">
        <v>199</v>
      </c>
    </row>
    <row r="1025" spans="17:18" ht="15" customHeight="1" x14ac:dyDescent="0.25">
      <c r="Q1025" t="s">
        <v>1947</v>
      </c>
      <c r="R1025" t="s">
        <v>199</v>
      </c>
    </row>
    <row r="1026" spans="17:18" ht="15" customHeight="1" x14ac:dyDescent="0.25">
      <c r="Q1026" t="s">
        <v>1948</v>
      </c>
      <c r="R1026" t="s">
        <v>199</v>
      </c>
    </row>
    <row r="1027" spans="17:18" ht="15" customHeight="1" x14ac:dyDescent="0.25">
      <c r="Q1027" t="s">
        <v>1949</v>
      </c>
      <c r="R1027" t="s">
        <v>199</v>
      </c>
    </row>
    <row r="1028" spans="17:18" ht="15" customHeight="1" x14ac:dyDescent="0.25">
      <c r="Q1028" t="s">
        <v>1950</v>
      </c>
      <c r="R1028" t="s">
        <v>207</v>
      </c>
    </row>
    <row r="1029" spans="17:18" ht="15" customHeight="1" x14ac:dyDescent="0.25">
      <c r="Q1029" t="s">
        <v>1951</v>
      </c>
      <c r="R1029" t="s">
        <v>199</v>
      </c>
    </row>
    <row r="1030" spans="17:18" ht="15" customHeight="1" x14ac:dyDescent="0.25">
      <c r="Q1030" t="s">
        <v>1952</v>
      </c>
      <c r="R1030" t="s">
        <v>199</v>
      </c>
    </row>
    <row r="1031" spans="17:18" ht="15" customHeight="1" x14ac:dyDescent="0.25">
      <c r="Q1031" t="s">
        <v>1953</v>
      </c>
      <c r="R1031" t="s">
        <v>199</v>
      </c>
    </row>
    <row r="1032" spans="17:18" ht="15" customHeight="1" x14ac:dyDescent="0.25">
      <c r="Q1032" t="s">
        <v>1954</v>
      </c>
      <c r="R1032" t="s">
        <v>199</v>
      </c>
    </row>
    <row r="1033" spans="17:18" ht="15" customHeight="1" x14ac:dyDescent="0.25">
      <c r="Q1033" t="s">
        <v>1955</v>
      </c>
      <c r="R1033" t="s">
        <v>199</v>
      </c>
    </row>
    <row r="1034" spans="17:18" ht="15" customHeight="1" x14ac:dyDescent="0.25">
      <c r="Q1034" t="s">
        <v>1956</v>
      </c>
      <c r="R1034" t="s">
        <v>199</v>
      </c>
    </row>
    <row r="1035" spans="17:18" ht="15" customHeight="1" x14ac:dyDescent="0.25">
      <c r="Q1035" t="s">
        <v>1957</v>
      </c>
      <c r="R1035" t="s">
        <v>199</v>
      </c>
    </row>
    <row r="1036" spans="17:18" ht="15" customHeight="1" x14ac:dyDescent="0.25">
      <c r="Q1036" t="s">
        <v>1958</v>
      </c>
      <c r="R1036" t="s">
        <v>199</v>
      </c>
    </row>
    <row r="1037" spans="17:18" ht="15" customHeight="1" x14ac:dyDescent="0.25">
      <c r="Q1037" t="s">
        <v>1959</v>
      </c>
      <c r="R1037" t="s">
        <v>199</v>
      </c>
    </row>
    <row r="1038" spans="17:18" ht="15" customHeight="1" x14ac:dyDescent="0.25">
      <c r="Q1038" t="s">
        <v>1960</v>
      </c>
      <c r="R1038" t="s">
        <v>199</v>
      </c>
    </row>
    <row r="1039" spans="17:18" ht="15" customHeight="1" x14ac:dyDescent="0.25">
      <c r="Q1039" t="s">
        <v>1961</v>
      </c>
      <c r="R1039" t="s">
        <v>199</v>
      </c>
    </row>
    <row r="1040" spans="17:18" ht="15" customHeight="1" x14ac:dyDescent="0.25">
      <c r="Q1040" t="s">
        <v>1962</v>
      </c>
      <c r="R1040" t="s">
        <v>199</v>
      </c>
    </row>
    <row r="1041" spans="17:18" ht="15" customHeight="1" x14ac:dyDescent="0.25">
      <c r="Q1041" t="s">
        <v>1963</v>
      </c>
      <c r="R1041" t="s">
        <v>199</v>
      </c>
    </row>
    <row r="1042" spans="17:18" ht="15" customHeight="1" x14ac:dyDescent="0.25">
      <c r="Q1042" t="s">
        <v>1964</v>
      </c>
      <c r="R1042" t="s">
        <v>199</v>
      </c>
    </row>
    <row r="1043" spans="17:18" ht="15" customHeight="1" x14ac:dyDescent="0.25">
      <c r="Q1043" t="s">
        <v>1965</v>
      </c>
      <c r="R1043" t="s">
        <v>199</v>
      </c>
    </row>
    <row r="1044" spans="17:18" ht="15" customHeight="1" x14ac:dyDescent="0.25">
      <c r="Q1044" t="s">
        <v>1966</v>
      </c>
      <c r="R1044" t="s">
        <v>277</v>
      </c>
    </row>
    <row r="1045" spans="17:18" ht="15" customHeight="1" x14ac:dyDescent="0.25">
      <c r="Q1045" t="s">
        <v>1967</v>
      </c>
      <c r="R1045" t="s">
        <v>277</v>
      </c>
    </row>
    <row r="1046" spans="17:18" ht="15" customHeight="1" x14ac:dyDescent="0.25">
      <c r="Q1046" t="s">
        <v>1968</v>
      </c>
      <c r="R1046" t="s">
        <v>277</v>
      </c>
    </row>
    <row r="1047" spans="17:18" ht="15" customHeight="1" x14ac:dyDescent="0.25">
      <c r="Q1047" t="s">
        <v>1969</v>
      </c>
      <c r="R1047" t="s">
        <v>277</v>
      </c>
    </row>
    <row r="1048" spans="17:18" ht="15" customHeight="1" x14ac:dyDescent="0.25">
      <c r="Q1048" t="s">
        <v>1970</v>
      </c>
      <c r="R1048" t="s">
        <v>277</v>
      </c>
    </row>
    <row r="1049" spans="17:18" ht="15" customHeight="1" x14ac:dyDescent="0.25">
      <c r="Q1049" t="s">
        <v>1971</v>
      </c>
      <c r="R1049" t="s">
        <v>277</v>
      </c>
    </row>
    <row r="1050" spans="17:18" ht="15" customHeight="1" x14ac:dyDescent="0.25">
      <c r="Q1050" t="s">
        <v>1972</v>
      </c>
      <c r="R1050" t="s">
        <v>277</v>
      </c>
    </row>
    <row r="1051" spans="17:18" ht="15" customHeight="1" x14ac:dyDescent="0.25">
      <c r="Q1051" t="s">
        <v>1973</v>
      </c>
      <c r="R1051" t="s">
        <v>277</v>
      </c>
    </row>
    <row r="1052" spans="17:18" ht="15" customHeight="1" x14ac:dyDescent="0.25">
      <c r="Q1052" t="s">
        <v>1974</v>
      </c>
      <c r="R1052" t="s">
        <v>277</v>
      </c>
    </row>
    <row r="1053" spans="17:18" ht="15" customHeight="1" x14ac:dyDescent="0.25">
      <c r="Q1053" t="s">
        <v>1975</v>
      </c>
      <c r="R1053" t="s">
        <v>285</v>
      </c>
    </row>
    <row r="1054" spans="17:18" ht="15" customHeight="1" x14ac:dyDescent="0.25">
      <c r="Q1054" t="s">
        <v>1976</v>
      </c>
      <c r="R1054" t="s">
        <v>277</v>
      </c>
    </row>
    <row r="1055" spans="17:18" ht="15" customHeight="1" x14ac:dyDescent="0.25">
      <c r="Q1055" t="s">
        <v>1977</v>
      </c>
      <c r="R1055" t="s">
        <v>285</v>
      </c>
    </row>
    <row r="1056" spans="17:18" ht="15" customHeight="1" x14ac:dyDescent="0.25">
      <c r="Q1056" t="s">
        <v>1978</v>
      </c>
      <c r="R1056" t="s">
        <v>285</v>
      </c>
    </row>
    <row r="1057" spans="17:18" ht="15" customHeight="1" x14ac:dyDescent="0.25">
      <c r="Q1057" t="s">
        <v>1979</v>
      </c>
      <c r="R1057" t="s">
        <v>285</v>
      </c>
    </row>
    <row r="1058" spans="17:18" ht="15" customHeight="1" x14ac:dyDescent="0.25">
      <c r="Q1058" t="s">
        <v>1980</v>
      </c>
      <c r="R1058" t="s">
        <v>285</v>
      </c>
    </row>
    <row r="1059" spans="17:18" ht="15" customHeight="1" x14ac:dyDescent="0.25">
      <c r="Q1059" t="s">
        <v>1981</v>
      </c>
      <c r="R1059" t="s">
        <v>199</v>
      </c>
    </row>
    <row r="1060" spans="17:18" ht="15" customHeight="1" x14ac:dyDescent="0.25">
      <c r="Q1060" t="s">
        <v>1982</v>
      </c>
      <c r="R1060" t="s">
        <v>199</v>
      </c>
    </row>
    <row r="1061" spans="17:18" ht="15" customHeight="1" x14ac:dyDescent="0.25">
      <c r="Q1061" t="s">
        <v>1983</v>
      </c>
      <c r="R1061" t="s">
        <v>199</v>
      </c>
    </row>
    <row r="1062" spans="17:18" ht="15" customHeight="1" x14ac:dyDescent="0.25">
      <c r="Q1062" t="s">
        <v>1984</v>
      </c>
      <c r="R1062" t="s">
        <v>199</v>
      </c>
    </row>
    <row r="1063" spans="17:18" ht="15" customHeight="1" x14ac:dyDescent="0.25">
      <c r="Q1063" t="s">
        <v>1985</v>
      </c>
      <c r="R1063" t="s">
        <v>199</v>
      </c>
    </row>
    <row r="1064" spans="17:18" ht="15" customHeight="1" x14ac:dyDescent="0.25">
      <c r="Q1064" t="s">
        <v>1986</v>
      </c>
      <c r="R1064" t="s">
        <v>199</v>
      </c>
    </row>
    <row r="1065" spans="17:18" ht="15" customHeight="1" x14ac:dyDescent="0.25">
      <c r="Q1065" t="s">
        <v>1987</v>
      </c>
      <c r="R1065" t="s">
        <v>199</v>
      </c>
    </row>
    <row r="1066" spans="17:18" ht="15" customHeight="1" x14ac:dyDescent="0.25">
      <c r="Q1066" t="s">
        <v>1988</v>
      </c>
      <c r="R1066" t="s">
        <v>199</v>
      </c>
    </row>
    <row r="1067" spans="17:18" ht="15" customHeight="1" x14ac:dyDescent="0.25">
      <c r="Q1067" t="s">
        <v>1989</v>
      </c>
      <c r="R1067" t="s">
        <v>199</v>
      </c>
    </row>
    <row r="1068" spans="17:18" ht="15" customHeight="1" x14ac:dyDescent="0.25">
      <c r="Q1068" t="s">
        <v>1990</v>
      </c>
      <c r="R1068" t="s">
        <v>199</v>
      </c>
    </row>
    <row r="1069" spans="17:18" ht="15" customHeight="1" x14ac:dyDescent="0.25">
      <c r="Q1069" t="s">
        <v>1991</v>
      </c>
      <c r="R1069" t="s">
        <v>199</v>
      </c>
    </row>
    <row r="1070" spans="17:18" ht="15" customHeight="1" x14ac:dyDescent="0.25">
      <c r="Q1070" t="s">
        <v>1992</v>
      </c>
      <c r="R1070" t="s">
        <v>199</v>
      </c>
    </row>
    <row r="1071" spans="17:18" ht="15" customHeight="1" x14ac:dyDescent="0.25">
      <c r="Q1071" t="s">
        <v>1993</v>
      </c>
      <c r="R1071" t="s">
        <v>199</v>
      </c>
    </row>
    <row r="1072" spans="17:18" ht="15" customHeight="1" x14ac:dyDescent="0.25">
      <c r="Q1072" t="s">
        <v>1994</v>
      </c>
      <c r="R1072" t="s">
        <v>199</v>
      </c>
    </row>
    <row r="1073" spans="17:18" ht="15" customHeight="1" x14ac:dyDescent="0.25">
      <c r="Q1073" t="s">
        <v>1995</v>
      </c>
      <c r="R1073" t="s">
        <v>283</v>
      </c>
    </row>
    <row r="1074" spans="17:18" ht="15" customHeight="1" x14ac:dyDescent="0.25">
      <c r="Q1074" t="s">
        <v>1996</v>
      </c>
      <c r="R1074" t="s">
        <v>283</v>
      </c>
    </row>
    <row r="1075" spans="17:18" ht="15" customHeight="1" x14ac:dyDescent="0.25">
      <c r="Q1075" t="s">
        <v>1997</v>
      </c>
      <c r="R1075" t="s">
        <v>283</v>
      </c>
    </row>
    <row r="1076" spans="17:18" ht="15" customHeight="1" x14ac:dyDescent="0.25">
      <c r="Q1076" t="s">
        <v>1998</v>
      </c>
      <c r="R1076" t="s">
        <v>283</v>
      </c>
    </row>
    <row r="1077" spans="17:18" ht="15" customHeight="1" x14ac:dyDescent="0.25">
      <c r="Q1077" t="s">
        <v>1999</v>
      </c>
      <c r="R1077" t="s">
        <v>283</v>
      </c>
    </row>
    <row r="1078" spans="17:18" ht="15" customHeight="1" x14ac:dyDescent="0.25">
      <c r="Q1078" t="s">
        <v>2000</v>
      </c>
      <c r="R1078" t="s">
        <v>283</v>
      </c>
    </row>
    <row r="1079" spans="17:18" ht="15" customHeight="1" x14ac:dyDescent="0.25">
      <c r="Q1079" t="s">
        <v>2001</v>
      </c>
      <c r="R1079" t="s">
        <v>283</v>
      </c>
    </row>
    <row r="1080" spans="17:18" ht="15" customHeight="1" x14ac:dyDescent="0.25">
      <c r="Q1080" t="s">
        <v>2002</v>
      </c>
      <c r="R1080" t="s">
        <v>283</v>
      </c>
    </row>
    <row r="1081" spans="17:18" ht="15" customHeight="1" x14ac:dyDescent="0.25">
      <c r="Q1081" t="s">
        <v>2003</v>
      </c>
      <c r="R1081" t="s">
        <v>283</v>
      </c>
    </row>
    <row r="1082" spans="17:18" ht="15" customHeight="1" x14ac:dyDescent="0.25">
      <c r="Q1082" t="s">
        <v>2004</v>
      </c>
      <c r="R1082" t="s">
        <v>283</v>
      </c>
    </row>
    <row r="1083" spans="17:18" ht="15" customHeight="1" x14ac:dyDescent="0.25">
      <c r="Q1083" t="s">
        <v>2005</v>
      </c>
      <c r="R1083" t="s">
        <v>283</v>
      </c>
    </row>
    <row r="1084" spans="17:18" ht="15" customHeight="1" x14ac:dyDescent="0.25">
      <c r="Q1084" t="s">
        <v>2006</v>
      </c>
      <c r="R1084" t="s">
        <v>281</v>
      </c>
    </row>
    <row r="1085" spans="17:18" ht="15" customHeight="1" x14ac:dyDescent="0.25">
      <c r="Q1085" t="s">
        <v>2007</v>
      </c>
      <c r="R1085" t="s">
        <v>281</v>
      </c>
    </row>
    <row r="1086" spans="17:18" ht="15" customHeight="1" x14ac:dyDescent="0.25">
      <c r="Q1086" t="s">
        <v>2008</v>
      </c>
      <c r="R1086" t="s">
        <v>267</v>
      </c>
    </row>
    <row r="1087" spans="17:18" ht="15" customHeight="1" x14ac:dyDescent="0.25">
      <c r="Q1087" t="s">
        <v>2009</v>
      </c>
      <c r="R1087" t="s">
        <v>265</v>
      </c>
    </row>
    <row r="1088" spans="17:18" ht="15" customHeight="1" x14ac:dyDescent="0.25">
      <c r="Q1088" t="s">
        <v>2010</v>
      </c>
      <c r="R1088" t="s">
        <v>265</v>
      </c>
    </row>
    <row r="1089" spans="17:18" ht="15" customHeight="1" x14ac:dyDescent="0.25">
      <c r="Q1089" t="s">
        <v>2011</v>
      </c>
      <c r="R1089" t="s">
        <v>267</v>
      </c>
    </row>
    <row r="1090" spans="17:18" ht="15" customHeight="1" x14ac:dyDescent="0.25">
      <c r="Q1090" t="s">
        <v>2012</v>
      </c>
      <c r="R1090" t="s">
        <v>265</v>
      </c>
    </row>
    <row r="1091" spans="17:18" ht="15" customHeight="1" x14ac:dyDescent="0.25">
      <c r="Q1091" t="s">
        <v>2013</v>
      </c>
      <c r="R1091" t="s">
        <v>267</v>
      </c>
    </row>
    <row r="1092" spans="17:18" ht="15" customHeight="1" x14ac:dyDescent="0.25">
      <c r="Q1092" t="s">
        <v>2014</v>
      </c>
      <c r="R1092" t="s">
        <v>267</v>
      </c>
    </row>
    <row r="1093" spans="17:18" ht="15" customHeight="1" x14ac:dyDescent="0.25">
      <c r="Q1093" t="s">
        <v>2015</v>
      </c>
      <c r="R1093" t="s">
        <v>271</v>
      </c>
    </row>
    <row r="1094" spans="17:18" ht="15" customHeight="1" x14ac:dyDescent="0.25">
      <c r="Q1094" t="s">
        <v>2016</v>
      </c>
      <c r="R1094" t="s">
        <v>267</v>
      </c>
    </row>
    <row r="1095" spans="17:18" ht="15" customHeight="1" x14ac:dyDescent="0.25">
      <c r="Q1095" t="s">
        <v>2017</v>
      </c>
      <c r="R1095" t="s">
        <v>271</v>
      </c>
    </row>
    <row r="1096" spans="17:18" ht="15" customHeight="1" x14ac:dyDescent="0.25">
      <c r="Q1096" t="s">
        <v>2018</v>
      </c>
      <c r="R1096" t="s">
        <v>271</v>
      </c>
    </row>
    <row r="1097" spans="17:18" ht="15" customHeight="1" x14ac:dyDescent="0.25">
      <c r="Q1097" t="s">
        <v>2019</v>
      </c>
      <c r="R1097" t="s">
        <v>271</v>
      </c>
    </row>
    <row r="1098" spans="17:18" ht="15" customHeight="1" x14ac:dyDescent="0.25">
      <c r="Q1098" t="s">
        <v>2020</v>
      </c>
      <c r="R1098" t="s">
        <v>271</v>
      </c>
    </row>
    <row r="1099" spans="17:18" ht="15" customHeight="1" x14ac:dyDescent="0.25">
      <c r="Q1099" t="s">
        <v>2021</v>
      </c>
      <c r="R1099" t="s">
        <v>267</v>
      </c>
    </row>
    <row r="1100" spans="17:18" ht="15" customHeight="1" x14ac:dyDescent="0.25">
      <c r="Q1100" t="s">
        <v>2022</v>
      </c>
      <c r="R1100" t="s">
        <v>267</v>
      </c>
    </row>
    <row r="1101" spans="17:18" ht="15" customHeight="1" x14ac:dyDescent="0.25">
      <c r="Q1101" t="s">
        <v>2023</v>
      </c>
      <c r="R1101" t="s">
        <v>267</v>
      </c>
    </row>
    <row r="1102" spans="17:18" ht="15" customHeight="1" x14ac:dyDescent="0.25">
      <c r="Q1102" t="s">
        <v>2024</v>
      </c>
      <c r="R1102" t="s">
        <v>283</v>
      </c>
    </row>
    <row r="1103" spans="17:18" ht="15" customHeight="1" x14ac:dyDescent="0.25">
      <c r="Q1103" t="s">
        <v>2025</v>
      </c>
      <c r="R1103" t="s">
        <v>283</v>
      </c>
    </row>
    <row r="1104" spans="17:18" ht="15" customHeight="1" x14ac:dyDescent="0.25">
      <c r="Q1104" t="s">
        <v>2026</v>
      </c>
      <c r="R1104" t="s">
        <v>283</v>
      </c>
    </row>
    <row r="1105" spans="17:18" ht="15" customHeight="1" x14ac:dyDescent="0.25">
      <c r="Q1105" t="s">
        <v>2027</v>
      </c>
      <c r="R1105" t="s">
        <v>283</v>
      </c>
    </row>
    <row r="1106" spans="17:18" ht="15" customHeight="1" x14ac:dyDescent="0.25">
      <c r="Q1106" t="s">
        <v>2028</v>
      </c>
      <c r="R1106" t="s">
        <v>283</v>
      </c>
    </row>
    <row r="1107" spans="17:18" ht="15" customHeight="1" x14ac:dyDescent="0.25">
      <c r="Q1107" t="s">
        <v>2029</v>
      </c>
      <c r="R1107" t="s">
        <v>283</v>
      </c>
    </row>
    <row r="1108" spans="17:18" ht="15" customHeight="1" x14ac:dyDescent="0.25">
      <c r="Q1108" t="s">
        <v>2030</v>
      </c>
      <c r="R1108" t="s">
        <v>283</v>
      </c>
    </row>
    <row r="1109" spans="17:18" ht="15" customHeight="1" x14ac:dyDescent="0.25">
      <c r="Q1109" t="s">
        <v>2031</v>
      </c>
      <c r="R1109" t="s">
        <v>283</v>
      </c>
    </row>
    <row r="1110" spans="17:18" ht="15" customHeight="1" x14ac:dyDescent="0.25">
      <c r="Q1110" t="s">
        <v>2032</v>
      </c>
      <c r="R1110" t="s">
        <v>283</v>
      </c>
    </row>
    <row r="1111" spans="17:18" ht="15" customHeight="1" x14ac:dyDescent="0.25">
      <c r="Q1111" t="s">
        <v>2033</v>
      </c>
      <c r="R1111" t="s">
        <v>283</v>
      </c>
    </row>
    <row r="1112" spans="17:18" ht="15" customHeight="1" x14ac:dyDescent="0.25">
      <c r="Q1112" t="s">
        <v>2034</v>
      </c>
      <c r="R1112" t="s">
        <v>283</v>
      </c>
    </row>
    <row r="1113" spans="17:18" ht="15" customHeight="1" x14ac:dyDescent="0.25">
      <c r="Q1113" t="s">
        <v>2035</v>
      </c>
      <c r="R1113" t="s">
        <v>283</v>
      </c>
    </row>
    <row r="1114" spans="17:18" ht="15" customHeight="1" x14ac:dyDescent="0.25">
      <c r="Q1114" t="s">
        <v>2036</v>
      </c>
      <c r="R1114" t="s">
        <v>283</v>
      </c>
    </row>
    <row r="1115" spans="17:18" ht="15" customHeight="1" x14ac:dyDescent="0.25">
      <c r="Q1115" t="s">
        <v>2037</v>
      </c>
      <c r="R1115" t="s">
        <v>283</v>
      </c>
    </row>
    <row r="1116" spans="17:18" ht="15" customHeight="1" x14ac:dyDescent="0.25">
      <c r="Q1116" t="s">
        <v>2038</v>
      </c>
      <c r="R1116" t="s">
        <v>283</v>
      </c>
    </row>
    <row r="1117" spans="17:18" ht="15" customHeight="1" x14ac:dyDescent="0.25">
      <c r="Q1117" t="s">
        <v>2039</v>
      </c>
      <c r="R1117" t="s">
        <v>277</v>
      </c>
    </row>
    <row r="1118" spans="17:18" ht="15" customHeight="1" x14ac:dyDescent="0.25">
      <c r="Q1118" t="s">
        <v>2040</v>
      </c>
      <c r="R1118" t="s">
        <v>283</v>
      </c>
    </row>
    <row r="1119" spans="17:18" ht="15" customHeight="1" x14ac:dyDescent="0.25">
      <c r="Q1119" t="s">
        <v>2041</v>
      </c>
      <c r="R1119" t="s">
        <v>283</v>
      </c>
    </row>
    <row r="1120" spans="17:18" ht="15" customHeight="1" x14ac:dyDescent="0.25">
      <c r="Q1120" t="s">
        <v>2042</v>
      </c>
      <c r="R1120" t="s">
        <v>283</v>
      </c>
    </row>
    <row r="1121" spans="17:18" ht="15" customHeight="1" x14ac:dyDescent="0.25">
      <c r="Q1121" t="s">
        <v>2043</v>
      </c>
      <c r="R1121" t="s">
        <v>283</v>
      </c>
    </row>
    <row r="1122" spans="17:18" ht="15" customHeight="1" x14ac:dyDescent="0.25">
      <c r="Q1122" t="s">
        <v>2044</v>
      </c>
      <c r="R1122" t="s">
        <v>283</v>
      </c>
    </row>
    <row r="1123" spans="17:18" ht="15" customHeight="1" x14ac:dyDescent="0.25">
      <c r="Q1123" t="s">
        <v>2045</v>
      </c>
      <c r="R1123" t="s">
        <v>283</v>
      </c>
    </row>
    <row r="1124" spans="17:18" ht="15" customHeight="1" x14ac:dyDescent="0.25">
      <c r="Q1124" t="s">
        <v>2046</v>
      </c>
      <c r="R1124" t="s">
        <v>283</v>
      </c>
    </row>
    <row r="1125" spans="17:18" ht="15" customHeight="1" x14ac:dyDescent="0.25">
      <c r="Q1125" t="s">
        <v>2047</v>
      </c>
      <c r="R1125" t="s">
        <v>283</v>
      </c>
    </row>
    <row r="1126" spans="17:18" ht="15" customHeight="1" x14ac:dyDescent="0.25">
      <c r="Q1126" t="s">
        <v>2048</v>
      </c>
      <c r="R1126" t="s">
        <v>283</v>
      </c>
    </row>
    <row r="1127" spans="17:18" ht="15" customHeight="1" x14ac:dyDescent="0.25">
      <c r="Q1127" t="s">
        <v>2049</v>
      </c>
      <c r="R1127" t="s">
        <v>283</v>
      </c>
    </row>
    <row r="1128" spans="17:18" ht="15" customHeight="1" x14ac:dyDescent="0.25">
      <c r="Q1128" t="s">
        <v>2050</v>
      </c>
      <c r="R1128" t="s">
        <v>283</v>
      </c>
    </row>
    <row r="1129" spans="17:18" ht="15" customHeight="1" x14ac:dyDescent="0.25">
      <c r="Q1129" t="s">
        <v>2051</v>
      </c>
      <c r="R1129" t="s">
        <v>283</v>
      </c>
    </row>
    <row r="1130" spans="17:18" ht="15" customHeight="1" x14ac:dyDescent="0.25">
      <c r="Q1130" t="s">
        <v>2052</v>
      </c>
      <c r="R1130" t="s">
        <v>283</v>
      </c>
    </row>
    <row r="1131" spans="17:18" ht="15" customHeight="1" x14ac:dyDescent="0.25">
      <c r="Q1131" t="s">
        <v>2053</v>
      </c>
      <c r="R1131" t="s">
        <v>283</v>
      </c>
    </row>
    <row r="1132" spans="17:18" ht="15" customHeight="1" x14ac:dyDescent="0.25">
      <c r="Q1132" t="s">
        <v>2054</v>
      </c>
      <c r="R1132" t="s">
        <v>283</v>
      </c>
    </row>
    <row r="1133" spans="17:18" ht="15" customHeight="1" x14ac:dyDescent="0.25">
      <c r="Q1133" t="s">
        <v>2055</v>
      </c>
      <c r="R1133" t="s">
        <v>283</v>
      </c>
    </row>
    <row r="1134" spans="17:18" ht="15" customHeight="1" x14ac:dyDescent="0.25">
      <c r="Q1134" t="s">
        <v>2056</v>
      </c>
      <c r="R1134" t="s">
        <v>283</v>
      </c>
    </row>
    <row r="1135" spans="17:18" ht="15" customHeight="1" x14ac:dyDescent="0.25">
      <c r="Q1135" t="s">
        <v>2057</v>
      </c>
      <c r="R1135" t="s">
        <v>283</v>
      </c>
    </row>
    <row r="1136" spans="17:18" ht="15" customHeight="1" x14ac:dyDescent="0.25">
      <c r="Q1136" t="s">
        <v>2058</v>
      </c>
      <c r="R1136" t="s">
        <v>283</v>
      </c>
    </row>
    <row r="1137" spans="17:18" ht="15" customHeight="1" x14ac:dyDescent="0.25">
      <c r="Q1137" t="s">
        <v>2059</v>
      </c>
      <c r="R1137" t="s">
        <v>283</v>
      </c>
    </row>
    <row r="1138" spans="17:18" ht="15" customHeight="1" x14ac:dyDescent="0.25">
      <c r="Q1138" t="s">
        <v>2060</v>
      </c>
      <c r="R1138" t="s">
        <v>283</v>
      </c>
    </row>
    <row r="1139" spans="17:18" ht="15" customHeight="1" x14ac:dyDescent="0.25">
      <c r="Q1139" t="s">
        <v>2061</v>
      </c>
      <c r="R1139" t="s">
        <v>283</v>
      </c>
    </row>
    <row r="1140" spans="17:18" ht="15" customHeight="1" x14ac:dyDescent="0.25">
      <c r="Q1140" t="s">
        <v>2062</v>
      </c>
      <c r="R1140" t="s">
        <v>283</v>
      </c>
    </row>
    <row r="1141" spans="17:18" ht="15" customHeight="1" x14ac:dyDescent="0.25">
      <c r="Q1141" t="s">
        <v>2063</v>
      </c>
      <c r="R1141" t="s">
        <v>283</v>
      </c>
    </row>
    <row r="1142" spans="17:18" ht="15" customHeight="1" x14ac:dyDescent="0.25">
      <c r="Q1142" t="s">
        <v>2064</v>
      </c>
      <c r="R1142" t="s">
        <v>283</v>
      </c>
    </row>
    <row r="1143" spans="17:18" ht="15" customHeight="1" x14ac:dyDescent="0.25">
      <c r="Q1143" t="s">
        <v>2065</v>
      </c>
      <c r="R1143" t="s">
        <v>283</v>
      </c>
    </row>
    <row r="1144" spans="17:18" ht="15" customHeight="1" x14ac:dyDescent="0.25">
      <c r="Q1144" t="s">
        <v>2066</v>
      </c>
      <c r="R1144" t="s">
        <v>283</v>
      </c>
    </row>
    <row r="1145" spans="17:18" ht="15" customHeight="1" x14ac:dyDescent="0.25">
      <c r="Q1145" t="s">
        <v>2067</v>
      </c>
      <c r="R1145" t="s">
        <v>283</v>
      </c>
    </row>
    <row r="1146" spans="17:18" ht="15" customHeight="1" x14ac:dyDescent="0.25">
      <c r="Q1146" t="s">
        <v>2068</v>
      </c>
      <c r="R1146" t="s">
        <v>283</v>
      </c>
    </row>
    <row r="1147" spans="17:18" ht="15" customHeight="1" x14ac:dyDescent="0.25">
      <c r="Q1147" t="s">
        <v>2069</v>
      </c>
      <c r="R1147" t="s">
        <v>277</v>
      </c>
    </row>
    <row r="1148" spans="17:18" ht="15" customHeight="1" x14ac:dyDescent="0.25">
      <c r="Q1148" t="s">
        <v>2070</v>
      </c>
      <c r="R1148" t="s">
        <v>277</v>
      </c>
    </row>
    <row r="1149" spans="17:18" ht="15" customHeight="1" x14ac:dyDescent="0.25">
      <c r="Q1149" t="s">
        <v>2071</v>
      </c>
      <c r="R1149" t="s">
        <v>277</v>
      </c>
    </row>
    <row r="1150" spans="17:18" ht="15" customHeight="1" x14ac:dyDescent="0.25">
      <c r="Q1150" t="s">
        <v>2072</v>
      </c>
      <c r="R1150" t="s">
        <v>277</v>
      </c>
    </row>
    <row r="1151" spans="17:18" ht="15" customHeight="1" x14ac:dyDescent="0.25">
      <c r="Q1151" t="s">
        <v>2073</v>
      </c>
      <c r="R1151" t="s">
        <v>277</v>
      </c>
    </row>
    <row r="1152" spans="17:18" ht="15" customHeight="1" x14ac:dyDescent="0.25">
      <c r="Q1152" t="s">
        <v>2074</v>
      </c>
      <c r="R1152" t="s">
        <v>289</v>
      </c>
    </row>
    <row r="1153" spans="17:18" ht="15" customHeight="1" x14ac:dyDescent="0.25">
      <c r="Q1153" t="s">
        <v>2075</v>
      </c>
      <c r="R1153" t="s">
        <v>289</v>
      </c>
    </row>
    <row r="1154" spans="17:18" ht="15" customHeight="1" x14ac:dyDescent="0.25">
      <c r="Q1154" t="s">
        <v>2076</v>
      </c>
      <c r="R1154" t="s">
        <v>289</v>
      </c>
    </row>
    <row r="1155" spans="17:18" ht="15" customHeight="1" x14ac:dyDescent="0.25">
      <c r="Q1155" t="s">
        <v>2077</v>
      </c>
      <c r="R1155" t="s">
        <v>289</v>
      </c>
    </row>
    <row r="1156" spans="17:18" ht="15" customHeight="1" x14ac:dyDescent="0.25">
      <c r="Q1156" t="s">
        <v>2078</v>
      </c>
      <c r="R1156" t="s">
        <v>277</v>
      </c>
    </row>
    <row r="1157" spans="17:18" ht="15" customHeight="1" x14ac:dyDescent="0.25">
      <c r="Q1157" t="s">
        <v>2079</v>
      </c>
      <c r="R1157" t="s">
        <v>277</v>
      </c>
    </row>
    <row r="1158" spans="17:18" ht="15" customHeight="1" x14ac:dyDescent="0.25">
      <c r="Q1158" t="s">
        <v>2080</v>
      </c>
      <c r="R1158" t="s">
        <v>277</v>
      </c>
    </row>
    <row r="1159" spans="17:18" ht="15" customHeight="1" x14ac:dyDescent="0.25">
      <c r="Q1159" t="s">
        <v>2081</v>
      </c>
      <c r="R1159" t="s">
        <v>277</v>
      </c>
    </row>
    <row r="1160" spans="17:18" ht="15" customHeight="1" x14ac:dyDescent="0.25">
      <c r="Q1160" t="s">
        <v>2082</v>
      </c>
      <c r="R1160" t="s">
        <v>277</v>
      </c>
    </row>
    <row r="1161" spans="17:18" ht="15" customHeight="1" x14ac:dyDescent="0.25">
      <c r="Q1161" t="s">
        <v>2083</v>
      </c>
      <c r="R1161" t="s">
        <v>277</v>
      </c>
    </row>
    <row r="1162" spans="17:18" ht="15" customHeight="1" x14ac:dyDescent="0.25">
      <c r="Q1162" t="s">
        <v>2084</v>
      </c>
      <c r="R1162" t="s">
        <v>277</v>
      </c>
    </row>
    <row r="1163" spans="17:18" ht="15" customHeight="1" x14ac:dyDescent="0.25">
      <c r="Q1163" t="s">
        <v>2085</v>
      </c>
      <c r="R1163" t="s">
        <v>277</v>
      </c>
    </row>
    <row r="1164" spans="17:18" ht="15" customHeight="1" x14ac:dyDescent="0.25">
      <c r="Q1164" t="s">
        <v>2086</v>
      </c>
      <c r="R1164" t="s">
        <v>277</v>
      </c>
    </row>
    <row r="1165" spans="17:18" ht="15" customHeight="1" x14ac:dyDescent="0.25">
      <c r="Q1165" t="s">
        <v>2087</v>
      </c>
      <c r="R1165" t="s">
        <v>277</v>
      </c>
    </row>
    <row r="1166" spans="17:18" ht="15" customHeight="1" x14ac:dyDescent="0.25">
      <c r="Q1166" t="s">
        <v>2088</v>
      </c>
      <c r="R1166" t="s">
        <v>277</v>
      </c>
    </row>
    <row r="1167" spans="17:18" ht="15" customHeight="1" x14ac:dyDescent="0.25">
      <c r="Q1167" t="s">
        <v>2089</v>
      </c>
      <c r="R1167" t="s">
        <v>277</v>
      </c>
    </row>
    <row r="1168" spans="17:18" ht="15" customHeight="1" x14ac:dyDescent="0.25">
      <c r="Q1168" t="s">
        <v>2090</v>
      </c>
      <c r="R1168" t="s">
        <v>277</v>
      </c>
    </row>
    <row r="1169" spans="17:18" ht="15" customHeight="1" x14ac:dyDescent="0.25">
      <c r="Q1169" t="s">
        <v>2091</v>
      </c>
      <c r="R1169" t="s">
        <v>277</v>
      </c>
    </row>
    <row r="1170" spans="17:18" ht="15" customHeight="1" x14ac:dyDescent="0.25">
      <c r="Q1170" t="s">
        <v>2092</v>
      </c>
      <c r="R1170" t="s">
        <v>277</v>
      </c>
    </row>
    <row r="1171" spans="17:18" ht="15" customHeight="1" x14ac:dyDescent="0.25">
      <c r="Q1171" t="s">
        <v>2093</v>
      </c>
      <c r="R1171" t="s">
        <v>277</v>
      </c>
    </row>
    <row r="1172" spans="17:18" ht="15" customHeight="1" x14ac:dyDescent="0.25">
      <c r="Q1172" t="s">
        <v>2094</v>
      </c>
      <c r="R1172" t="s">
        <v>277</v>
      </c>
    </row>
    <row r="1173" spans="17:18" ht="15" customHeight="1" x14ac:dyDescent="0.25">
      <c r="Q1173" t="s">
        <v>2095</v>
      </c>
      <c r="R1173" t="s">
        <v>277</v>
      </c>
    </row>
    <row r="1174" spans="17:18" ht="15" customHeight="1" x14ac:dyDescent="0.25">
      <c r="Q1174" t="s">
        <v>2096</v>
      </c>
      <c r="R1174" t="s">
        <v>283</v>
      </c>
    </row>
    <row r="1175" spans="17:18" ht="15" customHeight="1" x14ac:dyDescent="0.25">
      <c r="Q1175" t="s">
        <v>2097</v>
      </c>
      <c r="R1175" t="s">
        <v>283</v>
      </c>
    </row>
    <row r="1176" spans="17:18" ht="15" customHeight="1" x14ac:dyDescent="0.25">
      <c r="Q1176" t="s">
        <v>2098</v>
      </c>
      <c r="R1176" t="s">
        <v>283</v>
      </c>
    </row>
    <row r="1177" spans="17:18" ht="15" customHeight="1" x14ac:dyDescent="0.25">
      <c r="Q1177" t="s">
        <v>2099</v>
      </c>
      <c r="R1177" t="s">
        <v>283</v>
      </c>
    </row>
    <row r="1178" spans="17:18" ht="15" customHeight="1" x14ac:dyDescent="0.25">
      <c r="Q1178" t="s">
        <v>2100</v>
      </c>
      <c r="R1178" t="s">
        <v>283</v>
      </c>
    </row>
    <row r="1179" spans="17:18" ht="15" customHeight="1" x14ac:dyDescent="0.25">
      <c r="Q1179" t="s">
        <v>2101</v>
      </c>
      <c r="R1179" t="s">
        <v>277</v>
      </c>
    </row>
    <row r="1180" spans="17:18" ht="15" customHeight="1" x14ac:dyDescent="0.25">
      <c r="Q1180" t="s">
        <v>2102</v>
      </c>
      <c r="R1180" t="s">
        <v>277</v>
      </c>
    </row>
    <row r="1181" spans="17:18" ht="15" customHeight="1" x14ac:dyDescent="0.25">
      <c r="Q1181" t="s">
        <v>2103</v>
      </c>
      <c r="R1181" t="s">
        <v>277</v>
      </c>
    </row>
    <row r="1182" spans="17:18" ht="15" customHeight="1" x14ac:dyDescent="0.25">
      <c r="Q1182" t="s">
        <v>2104</v>
      </c>
      <c r="R1182" t="s">
        <v>277</v>
      </c>
    </row>
    <row r="1183" spans="17:18" ht="15" customHeight="1" x14ac:dyDescent="0.25">
      <c r="Q1183" t="s">
        <v>2105</v>
      </c>
      <c r="R1183" t="s">
        <v>283</v>
      </c>
    </row>
    <row r="1184" spans="17:18" ht="15" customHeight="1" x14ac:dyDescent="0.25">
      <c r="Q1184" t="s">
        <v>2106</v>
      </c>
      <c r="R1184" t="s">
        <v>277</v>
      </c>
    </row>
    <row r="1185" spans="17:18" ht="15" customHeight="1" x14ac:dyDescent="0.25">
      <c r="Q1185" t="s">
        <v>2107</v>
      </c>
      <c r="R1185" t="s">
        <v>277</v>
      </c>
    </row>
    <row r="1186" spans="17:18" ht="15" customHeight="1" x14ac:dyDescent="0.25">
      <c r="Q1186" t="s">
        <v>2108</v>
      </c>
      <c r="R1186" t="s">
        <v>277</v>
      </c>
    </row>
    <row r="1187" spans="17:18" ht="15" customHeight="1" x14ac:dyDescent="0.25">
      <c r="Q1187" t="s">
        <v>2109</v>
      </c>
      <c r="R1187" t="s">
        <v>277</v>
      </c>
    </row>
    <row r="1188" spans="17:18" ht="15" customHeight="1" x14ac:dyDescent="0.25">
      <c r="Q1188" t="s">
        <v>2110</v>
      </c>
      <c r="R1188" t="s">
        <v>283</v>
      </c>
    </row>
    <row r="1189" spans="17:18" ht="15" customHeight="1" x14ac:dyDescent="0.25">
      <c r="Q1189" t="s">
        <v>2111</v>
      </c>
      <c r="R1189" t="s">
        <v>283</v>
      </c>
    </row>
    <row r="1190" spans="17:18" ht="15" customHeight="1" x14ac:dyDescent="0.25">
      <c r="Q1190" t="s">
        <v>2112</v>
      </c>
      <c r="R1190" t="s">
        <v>283</v>
      </c>
    </row>
    <row r="1191" spans="17:18" ht="15" customHeight="1" x14ac:dyDescent="0.25">
      <c r="Q1191" t="s">
        <v>2113</v>
      </c>
      <c r="R1191" t="s">
        <v>283</v>
      </c>
    </row>
    <row r="1192" spans="17:18" ht="15" customHeight="1" x14ac:dyDescent="0.25">
      <c r="Q1192" t="s">
        <v>2114</v>
      </c>
      <c r="R1192" t="s">
        <v>283</v>
      </c>
    </row>
    <row r="1193" spans="17:18" ht="15" customHeight="1" x14ac:dyDescent="0.25">
      <c r="Q1193" t="s">
        <v>2115</v>
      </c>
      <c r="R1193" t="s">
        <v>283</v>
      </c>
    </row>
    <row r="1194" spans="17:18" ht="15" customHeight="1" x14ac:dyDescent="0.25">
      <c r="Q1194" t="s">
        <v>2116</v>
      </c>
      <c r="R1194" t="s">
        <v>283</v>
      </c>
    </row>
    <row r="1195" spans="17:18" ht="15" customHeight="1" x14ac:dyDescent="0.25">
      <c r="Q1195" t="s">
        <v>2117</v>
      </c>
      <c r="R1195" t="s">
        <v>283</v>
      </c>
    </row>
    <row r="1196" spans="17:18" ht="15" customHeight="1" x14ac:dyDescent="0.25">
      <c r="Q1196" t="s">
        <v>2118</v>
      </c>
      <c r="R1196" t="s">
        <v>283</v>
      </c>
    </row>
    <row r="1197" spans="17:18" ht="15" customHeight="1" x14ac:dyDescent="0.25">
      <c r="Q1197" t="s">
        <v>2119</v>
      </c>
      <c r="R1197" t="s">
        <v>277</v>
      </c>
    </row>
    <row r="1198" spans="17:18" ht="15" customHeight="1" x14ac:dyDescent="0.25">
      <c r="Q1198" t="s">
        <v>2120</v>
      </c>
      <c r="R1198" t="s">
        <v>277</v>
      </c>
    </row>
    <row r="1199" spans="17:18" ht="15" customHeight="1" x14ac:dyDescent="0.25">
      <c r="Q1199" t="s">
        <v>2121</v>
      </c>
      <c r="R1199" t="s">
        <v>277</v>
      </c>
    </row>
    <row r="1200" spans="17:18" ht="15" customHeight="1" x14ac:dyDescent="0.25">
      <c r="Q1200" t="s">
        <v>2122</v>
      </c>
      <c r="R1200" t="s">
        <v>277</v>
      </c>
    </row>
    <row r="1201" spans="17:18" ht="15" customHeight="1" x14ac:dyDescent="0.25">
      <c r="Q1201" t="s">
        <v>2123</v>
      </c>
      <c r="R1201" t="s">
        <v>277</v>
      </c>
    </row>
    <row r="1202" spans="17:18" ht="15" customHeight="1" x14ac:dyDescent="0.25">
      <c r="Q1202" t="s">
        <v>2124</v>
      </c>
      <c r="R1202" t="s">
        <v>277</v>
      </c>
    </row>
    <row r="1203" spans="17:18" ht="15" customHeight="1" x14ac:dyDescent="0.25">
      <c r="Q1203" t="s">
        <v>2125</v>
      </c>
      <c r="R1203" t="s">
        <v>277</v>
      </c>
    </row>
    <row r="1204" spans="17:18" ht="15" customHeight="1" x14ac:dyDescent="0.25">
      <c r="Q1204" t="s">
        <v>2126</v>
      </c>
      <c r="R1204" t="s">
        <v>277</v>
      </c>
    </row>
    <row r="1205" spans="17:18" ht="15" customHeight="1" x14ac:dyDescent="0.25">
      <c r="Q1205" t="s">
        <v>2127</v>
      </c>
      <c r="R1205" t="s">
        <v>277</v>
      </c>
    </row>
    <row r="1206" spans="17:18" ht="15" customHeight="1" x14ac:dyDescent="0.25">
      <c r="Q1206" t="s">
        <v>2128</v>
      </c>
      <c r="R1206" t="s">
        <v>277</v>
      </c>
    </row>
    <row r="1207" spans="17:18" ht="15" customHeight="1" x14ac:dyDescent="0.25">
      <c r="Q1207" t="s">
        <v>2129</v>
      </c>
      <c r="R1207" t="s">
        <v>277</v>
      </c>
    </row>
    <row r="1208" spans="17:18" ht="15" customHeight="1" x14ac:dyDescent="0.25">
      <c r="Q1208" t="s">
        <v>2130</v>
      </c>
      <c r="R1208" t="s">
        <v>277</v>
      </c>
    </row>
    <row r="1209" spans="17:18" ht="15" customHeight="1" x14ac:dyDescent="0.25">
      <c r="Q1209" t="s">
        <v>2131</v>
      </c>
      <c r="R1209" t="s">
        <v>277</v>
      </c>
    </row>
    <row r="1210" spans="17:18" ht="15" customHeight="1" x14ac:dyDescent="0.25">
      <c r="Q1210" t="s">
        <v>2132</v>
      </c>
      <c r="R1210" t="s">
        <v>277</v>
      </c>
    </row>
    <row r="1211" spans="17:18" ht="15" customHeight="1" x14ac:dyDescent="0.25">
      <c r="Q1211" t="s">
        <v>2133</v>
      </c>
      <c r="R1211" t="s">
        <v>277</v>
      </c>
    </row>
    <row r="1212" spans="17:18" ht="15" customHeight="1" x14ac:dyDescent="0.25">
      <c r="Q1212" t="s">
        <v>2134</v>
      </c>
      <c r="R1212" t="s">
        <v>277</v>
      </c>
    </row>
    <row r="1213" spans="17:18" ht="15" customHeight="1" x14ac:dyDescent="0.25">
      <c r="Q1213" t="s">
        <v>2135</v>
      </c>
      <c r="R1213" t="s">
        <v>277</v>
      </c>
    </row>
    <row r="1214" spans="17:18" ht="15" customHeight="1" x14ac:dyDescent="0.25">
      <c r="Q1214" t="s">
        <v>2136</v>
      </c>
      <c r="R1214" t="s">
        <v>277</v>
      </c>
    </row>
    <row r="1215" spans="17:18" ht="15" customHeight="1" x14ac:dyDescent="0.25">
      <c r="Q1215" t="s">
        <v>2137</v>
      </c>
      <c r="R1215" t="s">
        <v>277</v>
      </c>
    </row>
    <row r="1216" spans="17:18" ht="15" customHeight="1" x14ac:dyDescent="0.25">
      <c r="Q1216" t="s">
        <v>2138</v>
      </c>
      <c r="R1216" t="s">
        <v>277</v>
      </c>
    </row>
    <row r="1217" spans="17:18" ht="15" customHeight="1" x14ac:dyDescent="0.25">
      <c r="Q1217" t="s">
        <v>2139</v>
      </c>
      <c r="R1217" t="s">
        <v>277</v>
      </c>
    </row>
    <row r="1218" spans="17:18" ht="15" customHeight="1" x14ac:dyDescent="0.25">
      <c r="Q1218" t="s">
        <v>2140</v>
      </c>
      <c r="R1218" t="s">
        <v>277</v>
      </c>
    </row>
    <row r="1219" spans="17:18" ht="15" customHeight="1" x14ac:dyDescent="0.25">
      <c r="Q1219" t="s">
        <v>2141</v>
      </c>
      <c r="R1219" t="s">
        <v>277</v>
      </c>
    </row>
    <row r="1220" spans="17:18" ht="15" customHeight="1" x14ac:dyDescent="0.25">
      <c r="Q1220" t="s">
        <v>2142</v>
      </c>
      <c r="R1220" t="s">
        <v>289</v>
      </c>
    </row>
    <row r="1221" spans="17:18" ht="15" customHeight="1" x14ac:dyDescent="0.25">
      <c r="Q1221" t="s">
        <v>2143</v>
      </c>
      <c r="R1221" t="s">
        <v>277</v>
      </c>
    </row>
    <row r="1222" spans="17:18" ht="15" customHeight="1" x14ac:dyDescent="0.25">
      <c r="Q1222" t="s">
        <v>2144</v>
      </c>
      <c r="R1222" t="s">
        <v>289</v>
      </c>
    </row>
    <row r="1223" spans="17:18" ht="15" customHeight="1" x14ac:dyDescent="0.25">
      <c r="Q1223" t="s">
        <v>2145</v>
      </c>
      <c r="R1223" t="s">
        <v>277</v>
      </c>
    </row>
    <row r="1224" spans="17:18" ht="15" customHeight="1" x14ac:dyDescent="0.25">
      <c r="Q1224" t="s">
        <v>2146</v>
      </c>
      <c r="R1224" t="s">
        <v>287</v>
      </c>
    </row>
    <row r="1225" spans="17:18" ht="15" customHeight="1" x14ac:dyDescent="0.25">
      <c r="Q1225" t="s">
        <v>2147</v>
      </c>
      <c r="R1225" t="s">
        <v>293</v>
      </c>
    </row>
    <row r="1226" spans="17:18" ht="15" customHeight="1" x14ac:dyDescent="0.25">
      <c r="Q1226" t="s">
        <v>2148</v>
      </c>
      <c r="R1226" t="s">
        <v>293</v>
      </c>
    </row>
    <row r="1227" spans="17:18" ht="15" customHeight="1" x14ac:dyDescent="0.25">
      <c r="Q1227" t="s">
        <v>2149</v>
      </c>
      <c r="R1227" t="s">
        <v>293</v>
      </c>
    </row>
    <row r="1228" spans="17:18" ht="15" customHeight="1" x14ac:dyDescent="0.25">
      <c r="Q1228" t="s">
        <v>2150</v>
      </c>
      <c r="R1228" t="s">
        <v>293</v>
      </c>
    </row>
    <row r="1229" spans="17:18" ht="15" customHeight="1" x14ac:dyDescent="0.25">
      <c r="Q1229" t="s">
        <v>2151</v>
      </c>
      <c r="R1229" t="s">
        <v>287</v>
      </c>
    </row>
    <row r="1230" spans="17:18" ht="15" customHeight="1" x14ac:dyDescent="0.25">
      <c r="Q1230" t="s">
        <v>2152</v>
      </c>
      <c r="R1230" t="s">
        <v>287</v>
      </c>
    </row>
    <row r="1231" spans="17:18" ht="15" customHeight="1" x14ac:dyDescent="0.25">
      <c r="Q1231" t="s">
        <v>2153</v>
      </c>
      <c r="R1231" t="s">
        <v>287</v>
      </c>
    </row>
    <row r="1232" spans="17:18" ht="15" customHeight="1" x14ac:dyDescent="0.25">
      <c r="Q1232" t="s">
        <v>2154</v>
      </c>
      <c r="R1232" t="s">
        <v>287</v>
      </c>
    </row>
    <row r="1233" spans="17:18" ht="15" customHeight="1" x14ac:dyDescent="0.25">
      <c r="Q1233" t="s">
        <v>2155</v>
      </c>
      <c r="R1233" t="s">
        <v>287</v>
      </c>
    </row>
    <row r="1234" spans="17:18" ht="15" customHeight="1" x14ac:dyDescent="0.25">
      <c r="Q1234" t="s">
        <v>2156</v>
      </c>
      <c r="R1234" t="s">
        <v>287</v>
      </c>
    </row>
    <row r="1235" spans="17:18" ht="15" customHeight="1" x14ac:dyDescent="0.25">
      <c r="Q1235" t="s">
        <v>2157</v>
      </c>
      <c r="R1235" t="s">
        <v>287</v>
      </c>
    </row>
    <row r="1236" spans="17:18" ht="15" customHeight="1" x14ac:dyDescent="0.25">
      <c r="Q1236" t="s">
        <v>2158</v>
      </c>
      <c r="R1236" t="s">
        <v>287</v>
      </c>
    </row>
    <row r="1237" spans="17:18" ht="15" customHeight="1" x14ac:dyDescent="0.25">
      <c r="Q1237" t="s">
        <v>2159</v>
      </c>
      <c r="R1237" t="s">
        <v>287</v>
      </c>
    </row>
    <row r="1238" spans="17:18" ht="15" customHeight="1" x14ac:dyDescent="0.25">
      <c r="Q1238" t="s">
        <v>2160</v>
      </c>
      <c r="R1238" t="s">
        <v>287</v>
      </c>
    </row>
    <row r="1239" spans="17:18" ht="15" customHeight="1" x14ac:dyDescent="0.25">
      <c r="Q1239" t="s">
        <v>2161</v>
      </c>
      <c r="R1239" t="s">
        <v>287</v>
      </c>
    </row>
    <row r="1240" spans="17:18" ht="15" customHeight="1" x14ac:dyDescent="0.25">
      <c r="Q1240" t="s">
        <v>2162</v>
      </c>
      <c r="R1240" t="s">
        <v>287</v>
      </c>
    </row>
    <row r="1241" spans="17:18" ht="15" customHeight="1" x14ac:dyDescent="0.25">
      <c r="Q1241" t="s">
        <v>2163</v>
      </c>
      <c r="R1241" t="s">
        <v>287</v>
      </c>
    </row>
    <row r="1242" spans="17:18" ht="15" customHeight="1" x14ac:dyDescent="0.25">
      <c r="Q1242" t="s">
        <v>2164</v>
      </c>
      <c r="R1242" t="s">
        <v>287</v>
      </c>
    </row>
    <row r="1243" spans="17:18" ht="15" customHeight="1" x14ac:dyDescent="0.25">
      <c r="Q1243" t="s">
        <v>2165</v>
      </c>
      <c r="R1243" t="s">
        <v>287</v>
      </c>
    </row>
    <row r="1244" spans="17:18" ht="15" customHeight="1" x14ac:dyDescent="0.25">
      <c r="Q1244" t="s">
        <v>2166</v>
      </c>
      <c r="R1244" t="s">
        <v>287</v>
      </c>
    </row>
    <row r="1245" spans="17:18" ht="15" customHeight="1" x14ac:dyDescent="0.25">
      <c r="Q1245" t="s">
        <v>2167</v>
      </c>
      <c r="R1245" t="s">
        <v>287</v>
      </c>
    </row>
    <row r="1246" spans="17:18" ht="15" customHeight="1" x14ac:dyDescent="0.25">
      <c r="Q1246" t="s">
        <v>2168</v>
      </c>
      <c r="R1246" t="s">
        <v>287</v>
      </c>
    </row>
    <row r="1247" spans="17:18" ht="15" customHeight="1" x14ac:dyDescent="0.25">
      <c r="Q1247" t="s">
        <v>2169</v>
      </c>
      <c r="R1247" t="s">
        <v>287</v>
      </c>
    </row>
    <row r="1248" spans="17:18" ht="15" customHeight="1" x14ac:dyDescent="0.25">
      <c r="Q1248" t="s">
        <v>2170</v>
      </c>
      <c r="R1248" t="s">
        <v>287</v>
      </c>
    </row>
    <row r="1249" spans="17:18" ht="15" customHeight="1" x14ac:dyDescent="0.25">
      <c r="Q1249" t="s">
        <v>2171</v>
      </c>
      <c r="R1249" t="s">
        <v>287</v>
      </c>
    </row>
    <row r="1250" spans="17:18" ht="15" customHeight="1" x14ac:dyDescent="0.25">
      <c r="Q1250" t="s">
        <v>2172</v>
      </c>
      <c r="R1250" t="s">
        <v>293</v>
      </c>
    </row>
    <row r="1251" spans="17:18" ht="15" customHeight="1" x14ac:dyDescent="0.25">
      <c r="Q1251" t="s">
        <v>2173</v>
      </c>
      <c r="R1251" t="s">
        <v>277</v>
      </c>
    </row>
    <row r="1252" spans="17:18" ht="15" customHeight="1" x14ac:dyDescent="0.25">
      <c r="Q1252" t="s">
        <v>2174</v>
      </c>
      <c r="R1252" t="s">
        <v>277</v>
      </c>
    </row>
    <row r="1253" spans="17:18" ht="15" customHeight="1" x14ac:dyDescent="0.25">
      <c r="Q1253" t="s">
        <v>2175</v>
      </c>
      <c r="R1253" t="s">
        <v>277</v>
      </c>
    </row>
    <row r="1254" spans="17:18" ht="15" customHeight="1" x14ac:dyDescent="0.25">
      <c r="Q1254" t="s">
        <v>2176</v>
      </c>
      <c r="R1254" t="s">
        <v>277</v>
      </c>
    </row>
    <row r="1255" spans="17:18" ht="15" customHeight="1" x14ac:dyDescent="0.25">
      <c r="Q1255" t="s">
        <v>2177</v>
      </c>
      <c r="R1255" t="s">
        <v>277</v>
      </c>
    </row>
    <row r="1256" spans="17:18" ht="15" customHeight="1" x14ac:dyDescent="0.25">
      <c r="Q1256" t="s">
        <v>2178</v>
      </c>
      <c r="R1256" t="s">
        <v>277</v>
      </c>
    </row>
    <row r="1257" spans="17:18" ht="15" customHeight="1" x14ac:dyDescent="0.25">
      <c r="Q1257" t="s">
        <v>2179</v>
      </c>
      <c r="R1257" t="s">
        <v>277</v>
      </c>
    </row>
    <row r="1258" spans="17:18" ht="15" customHeight="1" x14ac:dyDescent="0.25">
      <c r="Q1258" t="s">
        <v>2180</v>
      </c>
      <c r="R1258" t="s">
        <v>277</v>
      </c>
    </row>
    <row r="1259" spans="17:18" ht="15" customHeight="1" x14ac:dyDescent="0.25">
      <c r="Q1259" t="s">
        <v>2181</v>
      </c>
      <c r="R1259" t="s">
        <v>277</v>
      </c>
    </row>
    <row r="1260" spans="17:18" ht="15" customHeight="1" x14ac:dyDescent="0.25">
      <c r="Q1260" t="s">
        <v>2182</v>
      </c>
      <c r="R1260" t="s">
        <v>277</v>
      </c>
    </row>
    <row r="1261" spans="17:18" ht="15" customHeight="1" x14ac:dyDescent="0.25">
      <c r="Q1261" t="s">
        <v>2183</v>
      </c>
      <c r="R1261" t="s">
        <v>277</v>
      </c>
    </row>
    <row r="1262" spans="17:18" ht="15" customHeight="1" x14ac:dyDescent="0.25">
      <c r="Q1262" t="s">
        <v>2184</v>
      </c>
      <c r="R1262" t="s">
        <v>277</v>
      </c>
    </row>
    <row r="1263" spans="17:18" ht="15" customHeight="1" x14ac:dyDescent="0.25">
      <c r="Q1263" t="s">
        <v>2185</v>
      </c>
      <c r="R1263" t="s">
        <v>277</v>
      </c>
    </row>
    <row r="1264" spans="17:18" ht="15" customHeight="1" x14ac:dyDescent="0.25">
      <c r="Q1264" t="s">
        <v>2186</v>
      </c>
      <c r="R1264" t="s">
        <v>277</v>
      </c>
    </row>
    <row r="1265" spans="17:18" ht="15" customHeight="1" x14ac:dyDescent="0.25">
      <c r="Q1265" t="s">
        <v>2187</v>
      </c>
      <c r="R1265" t="s">
        <v>277</v>
      </c>
    </row>
    <row r="1266" spans="17:18" ht="15" customHeight="1" x14ac:dyDescent="0.25">
      <c r="Q1266" t="s">
        <v>2188</v>
      </c>
      <c r="R1266" t="s">
        <v>277</v>
      </c>
    </row>
    <row r="1267" spans="17:18" ht="15" customHeight="1" x14ac:dyDescent="0.25">
      <c r="Q1267" t="s">
        <v>2189</v>
      </c>
      <c r="R1267" t="s">
        <v>277</v>
      </c>
    </row>
    <row r="1268" spans="17:18" ht="15" customHeight="1" x14ac:dyDescent="0.25">
      <c r="Q1268" t="s">
        <v>2190</v>
      </c>
      <c r="R1268" t="s">
        <v>277</v>
      </c>
    </row>
    <row r="1269" spans="17:18" ht="15" customHeight="1" x14ac:dyDescent="0.25">
      <c r="Q1269" t="s">
        <v>2191</v>
      </c>
      <c r="R1269" t="s">
        <v>277</v>
      </c>
    </row>
    <row r="1270" spans="17:18" ht="15" customHeight="1" x14ac:dyDescent="0.25">
      <c r="Q1270" t="s">
        <v>2192</v>
      </c>
      <c r="R1270" t="s">
        <v>277</v>
      </c>
    </row>
    <row r="1271" spans="17:18" ht="15" customHeight="1" x14ac:dyDescent="0.25">
      <c r="Q1271" t="s">
        <v>2193</v>
      </c>
      <c r="R1271" t="s">
        <v>277</v>
      </c>
    </row>
    <row r="1272" spans="17:18" ht="15" customHeight="1" x14ac:dyDescent="0.25">
      <c r="Q1272" t="s">
        <v>2194</v>
      </c>
      <c r="R1272" t="s">
        <v>273</v>
      </c>
    </row>
    <row r="1273" spans="17:18" ht="15" customHeight="1" x14ac:dyDescent="0.25">
      <c r="Q1273" t="s">
        <v>2195</v>
      </c>
      <c r="R1273" t="s">
        <v>277</v>
      </c>
    </row>
    <row r="1274" spans="17:18" ht="15" customHeight="1" x14ac:dyDescent="0.25">
      <c r="Q1274" t="s">
        <v>2196</v>
      </c>
      <c r="R1274" t="s">
        <v>277</v>
      </c>
    </row>
    <row r="1275" spans="17:18" ht="15" customHeight="1" x14ac:dyDescent="0.25">
      <c r="Q1275" t="s">
        <v>2197</v>
      </c>
      <c r="R1275" t="s">
        <v>277</v>
      </c>
    </row>
    <row r="1276" spans="17:18" ht="15" customHeight="1" x14ac:dyDescent="0.25">
      <c r="Q1276" t="s">
        <v>2198</v>
      </c>
      <c r="R1276" t="s">
        <v>277</v>
      </c>
    </row>
    <row r="1277" spans="17:18" ht="15" customHeight="1" x14ac:dyDescent="0.25">
      <c r="Q1277" t="s">
        <v>2199</v>
      </c>
      <c r="R1277" t="s">
        <v>277</v>
      </c>
    </row>
    <row r="1278" spans="17:18" ht="15" customHeight="1" x14ac:dyDescent="0.25">
      <c r="Q1278" t="s">
        <v>2200</v>
      </c>
      <c r="R1278" t="s">
        <v>1002</v>
      </c>
    </row>
    <row r="1279" spans="17:18" ht="15" customHeight="1" x14ac:dyDescent="0.25">
      <c r="Q1279" t="s">
        <v>2201</v>
      </c>
      <c r="R1279" t="s">
        <v>1002</v>
      </c>
    </row>
    <row r="1280" spans="17:18" ht="15" customHeight="1" x14ac:dyDescent="0.25">
      <c r="Q1280" t="s">
        <v>2202</v>
      </c>
      <c r="R1280" t="s">
        <v>1002</v>
      </c>
    </row>
    <row r="1281" spans="17:18" ht="15" customHeight="1" x14ac:dyDescent="0.25">
      <c r="Q1281" t="s">
        <v>2203</v>
      </c>
      <c r="R1281" t="s">
        <v>1002</v>
      </c>
    </row>
    <row r="1282" spans="17:18" ht="15" customHeight="1" x14ac:dyDescent="0.25">
      <c r="Q1282" t="s">
        <v>2204</v>
      </c>
      <c r="R1282" t="s">
        <v>1002</v>
      </c>
    </row>
    <row r="1283" spans="17:18" ht="15" customHeight="1" x14ac:dyDescent="0.25">
      <c r="Q1283" t="s">
        <v>2205</v>
      </c>
      <c r="R1283" t="s">
        <v>1002</v>
      </c>
    </row>
    <row r="1284" spans="17:18" ht="15" customHeight="1" x14ac:dyDescent="0.25">
      <c r="Q1284" t="s">
        <v>2206</v>
      </c>
      <c r="R1284" t="s">
        <v>1002</v>
      </c>
    </row>
    <row r="1285" spans="17:18" ht="15" customHeight="1" x14ac:dyDescent="0.25">
      <c r="Q1285" t="s">
        <v>2207</v>
      </c>
      <c r="R1285" t="s">
        <v>1002</v>
      </c>
    </row>
    <row r="1286" spans="17:18" ht="15" customHeight="1" x14ac:dyDescent="0.25">
      <c r="Q1286" t="s">
        <v>2208</v>
      </c>
      <c r="R1286" t="s">
        <v>1002</v>
      </c>
    </row>
    <row r="1287" spans="17:18" ht="15" customHeight="1" x14ac:dyDescent="0.25">
      <c r="Q1287" t="s">
        <v>2209</v>
      </c>
      <c r="R1287" t="s">
        <v>1002</v>
      </c>
    </row>
    <row r="1288" spans="17:18" ht="15" customHeight="1" x14ac:dyDescent="0.25">
      <c r="Q1288" t="s">
        <v>2210</v>
      </c>
      <c r="R1288" t="s">
        <v>1002</v>
      </c>
    </row>
    <row r="1289" spans="17:18" ht="15" customHeight="1" x14ac:dyDescent="0.25">
      <c r="Q1289" t="s">
        <v>2211</v>
      </c>
      <c r="R1289" t="s">
        <v>1002</v>
      </c>
    </row>
    <row r="1290" spans="17:18" ht="15" customHeight="1" x14ac:dyDescent="0.25">
      <c r="Q1290" t="s">
        <v>2212</v>
      </c>
      <c r="R1290" t="s">
        <v>1002</v>
      </c>
    </row>
    <row r="1291" spans="17:18" ht="15" customHeight="1" x14ac:dyDescent="0.25">
      <c r="Q1291" t="s">
        <v>2213</v>
      </c>
      <c r="R1291" t="s">
        <v>1002</v>
      </c>
    </row>
    <row r="1292" spans="17:18" ht="15" customHeight="1" x14ac:dyDescent="0.25">
      <c r="Q1292" t="s">
        <v>2214</v>
      </c>
      <c r="R1292" t="s">
        <v>1002</v>
      </c>
    </row>
    <row r="1293" spans="17:18" ht="15" customHeight="1" x14ac:dyDescent="0.25">
      <c r="Q1293" t="s">
        <v>2215</v>
      </c>
      <c r="R1293" t="s">
        <v>275</v>
      </c>
    </row>
    <row r="1294" spans="17:18" ht="15" customHeight="1" x14ac:dyDescent="0.25">
      <c r="Q1294" t="s">
        <v>2216</v>
      </c>
      <c r="R1294" t="s">
        <v>279</v>
      </c>
    </row>
    <row r="1295" spans="17:18" ht="15" customHeight="1" x14ac:dyDescent="0.25">
      <c r="Q1295" t="s">
        <v>2217</v>
      </c>
      <c r="R1295" t="s">
        <v>936</v>
      </c>
    </row>
    <row r="1296" spans="17:18" ht="15" customHeight="1" x14ac:dyDescent="0.25">
      <c r="Q1296" t="s">
        <v>2218</v>
      </c>
      <c r="R1296" t="s">
        <v>936</v>
      </c>
    </row>
    <row r="1297" spans="17:18" ht="15" customHeight="1" x14ac:dyDescent="0.25">
      <c r="Q1297" t="s">
        <v>2219</v>
      </c>
      <c r="R1297" t="s">
        <v>936</v>
      </c>
    </row>
    <row r="1298" spans="17:18" ht="15" customHeight="1" x14ac:dyDescent="0.25">
      <c r="Q1298" t="s">
        <v>2220</v>
      </c>
      <c r="R1298" t="s">
        <v>936</v>
      </c>
    </row>
    <row r="1299" spans="17:18" ht="15" customHeight="1" x14ac:dyDescent="0.25">
      <c r="Q1299" t="s">
        <v>2221</v>
      </c>
      <c r="R1299" t="s">
        <v>936</v>
      </c>
    </row>
    <row r="1300" spans="17:18" ht="15" customHeight="1" x14ac:dyDescent="0.25">
      <c r="Q1300" t="s">
        <v>2222</v>
      </c>
      <c r="R1300" t="s">
        <v>936</v>
      </c>
    </row>
    <row r="1301" spans="17:18" ht="15" customHeight="1" x14ac:dyDescent="0.25">
      <c r="Q1301" t="s">
        <v>2223</v>
      </c>
      <c r="R1301" t="s">
        <v>936</v>
      </c>
    </row>
    <row r="1302" spans="17:18" ht="15" customHeight="1" x14ac:dyDescent="0.25">
      <c r="Q1302" t="s">
        <v>2224</v>
      </c>
      <c r="R1302" t="s">
        <v>936</v>
      </c>
    </row>
    <row r="1303" spans="17:18" ht="15" customHeight="1" x14ac:dyDescent="0.25">
      <c r="Q1303" t="s">
        <v>2225</v>
      </c>
      <c r="R1303" t="s">
        <v>936</v>
      </c>
    </row>
    <row r="1304" spans="17:18" ht="15" customHeight="1" x14ac:dyDescent="0.25">
      <c r="Q1304" t="s">
        <v>2226</v>
      </c>
      <c r="R1304" t="s">
        <v>936</v>
      </c>
    </row>
    <row r="1305" spans="17:18" ht="15" customHeight="1" x14ac:dyDescent="0.25">
      <c r="Q1305" t="s">
        <v>2227</v>
      </c>
      <c r="R1305" t="s">
        <v>936</v>
      </c>
    </row>
    <row r="1306" spans="17:18" ht="15" customHeight="1" x14ac:dyDescent="0.25">
      <c r="Q1306" t="s">
        <v>2228</v>
      </c>
      <c r="R1306" t="s">
        <v>936</v>
      </c>
    </row>
    <row r="1307" spans="17:18" ht="15" customHeight="1" x14ac:dyDescent="0.25">
      <c r="Q1307" t="s">
        <v>2229</v>
      </c>
      <c r="R1307" t="s">
        <v>936</v>
      </c>
    </row>
    <row r="1308" spans="17:18" ht="15" customHeight="1" x14ac:dyDescent="0.25">
      <c r="Q1308" t="s">
        <v>2230</v>
      </c>
      <c r="R1308" t="s">
        <v>936</v>
      </c>
    </row>
    <row r="1309" spans="17:18" ht="15" customHeight="1" x14ac:dyDescent="0.25">
      <c r="Q1309" t="s">
        <v>2231</v>
      </c>
      <c r="R1309" t="s">
        <v>275</v>
      </c>
    </row>
    <row r="1310" spans="17:18" ht="15" customHeight="1" x14ac:dyDescent="0.25">
      <c r="Q1310" t="s">
        <v>2232</v>
      </c>
      <c r="R1310" t="s">
        <v>273</v>
      </c>
    </row>
    <row r="1311" spans="17:18" ht="15" customHeight="1" x14ac:dyDescent="0.25">
      <c r="Q1311" t="s">
        <v>2233</v>
      </c>
      <c r="R1311" t="s">
        <v>275</v>
      </c>
    </row>
    <row r="1312" spans="17:18" ht="15" customHeight="1" x14ac:dyDescent="0.25">
      <c r="Q1312" t="s">
        <v>2234</v>
      </c>
      <c r="R1312" t="s">
        <v>1002</v>
      </c>
    </row>
    <row r="1313" spans="17:18" ht="15" customHeight="1" x14ac:dyDescent="0.25">
      <c r="Q1313" t="s">
        <v>2235</v>
      </c>
      <c r="R1313" t="s">
        <v>2236</v>
      </c>
    </row>
    <row r="1314" spans="17:18" ht="15" customHeight="1" x14ac:dyDescent="0.25">
      <c r="Q1314" t="s">
        <v>2237</v>
      </c>
      <c r="R1314" t="s">
        <v>2236</v>
      </c>
    </row>
    <row r="1315" spans="17:18" ht="15" customHeight="1" x14ac:dyDescent="0.25">
      <c r="Q1315" t="s">
        <v>2238</v>
      </c>
      <c r="R1315" t="s">
        <v>2236</v>
      </c>
    </row>
    <row r="1316" spans="17:18" ht="15" customHeight="1" x14ac:dyDescent="0.25">
      <c r="Q1316" t="s">
        <v>2239</v>
      </c>
      <c r="R1316" t="s">
        <v>2236</v>
      </c>
    </row>
    <row r="1317" spans="17:18" ht="15" customHeight="1" x14ac:dyDescent="0.25">
      <c r="Q1317" t="s">
        <v>2240</v>
      </c>
      <c r="R1317" t="s">
        <v>1002</v>
      </c>
    </row>
    <row r="1318" spans="17:18" ht="15" customHeight="1" x14ac:dyDescent="0.25">
      <c r="Q1318" t="s">
        <v>2241</v>
      </c>
      <c r="R1318" t="s">
        <v>1002</v>
      </c>
    </row>
    <row r="1319" spans="17:18" ht="15" customHeight="1" x14ac:dyDescent="0.25">
      <c r="Q1319" t="s">
        <v>2242</v>
      </c>
      <c r="R1319" t="s">
        <v>1002</v>
      </c>
    </row>
    <row r="1320" spans="17:18" ht="15" customHeight="1" x14ac:dyDescent="0.25">
      <c r="Q1320" t="s">
        <v>2243</v>
      </c>
      <c r="R1320" t="s">
        <v>1002</v>
      </c>
    </row>
    <row r="1321" spans="17:18" ht="15" customHeight="1" x14ac:dyDescent="0.25">
      <c r="Q1321" t="s">
        <v>2244</v>
      </c>
      <c r="R1321" t="s">
        <v>1002</v>
      </c>
    </row>
    <row r="1322" spans="17:18" ht="15" customHeight="1" x14ac:dyDescent="0.25">
      <c r="Q1322" t="s">
        <v>2245</v>
      </c>
      <c r="R1322" t="s">
        <v>1002</v>
      </c>
    </row>
    <row r="1323" spans="17:18" ht="15" customHeight="1" x14ac:dyDescent="0.25">
      <c r="Q1323" t="s">
        <v>2246</v>
      </c>
      <c r="R1323" t="s">
        <v>1002</v>
      </c>
    </row>
    <row r="1324" spans="17:18" ht="15" customHeight="1" x14ac:dyDescent="0.25">
      <c r="Q1324" t="s">
        <v>2247</v>
      </c>
      <c r="R1324" t="s">
        <v>1002</v>
      </c>
    </row>
    <row r="1325" spans="17:18" ht="15" customHeight="1" x14ac:dyDescent="0.25">
      <c r="Q1325" t="s">
        <v>2248</v>
      </c>
      <c r="R1325" t="s">
        <v>1002</v>
      </c>
    </row>
    <row r="1326" spans="17:18" ht="15" customHeight="1" x14ac:dyDescent="0.25">
      <c r="Q1326" t="s">
        <v>2249</v>
      </c>
      <c r="R1326" t="s">
        <v>1002</v>
      </c>
    </row>
    <row r="1327" spans="17:18" ht="15" customHeight="1" x14ac:dyDescent="0.25">
      <c r="Q1327" t="s">
        <v>2250</v>
      </c>
      <c r="R1327" t="s">
        <v>1002</v>
      </c>
    </row>
    <row r="1328" spans="17:18" ht="15" customHeight="1" x14ac:dyDescent="0.25">
      <c r="Q1328" t="s">
        <v>2251</v>
      </c>
      <c r="R1328" t="s">
        <v>1002</v>
      </c>
    </row>
    <row r="1329" spans="17:18" ht="15" customHeight="1" x14ac:dyDescent="0.25">
      <c r="Q1329" t="s">
        <v>2252</v>
      </c>
      <c r="R1329" t="s">
        <v>2236</v>
      </c>
    </row>
    <row r="1330" spans="17:18" ht="15" customHeight="1" x14ac:dyDescent="0.25">
      <c r="Q1330" t="s">
        <v>2253</v>
      </c>
      <c r="R1330" t="s">
        <v>277</v>
      </c>
    </row>
    <row r="1331" spans="17:18" ht="15" customHeight="1" x14ac:dyDescent="0.25">
      <c r="Q1331" t="s">
        <v>2254</v>
      </c>
      <c r="R1331" t="s">
        <v>277</v>
      </c>
    </row>
    <row r="1332" spans="17:18" ht="15" customHeight="1" x14ac:dyDescent="0.25">
      <c r="Q1332" t="s">
        <v>2255</v>
      </c>
      <c r="R1332" t="s">
        <v>277</v>
      </c>
    </row>
    <row r="1333" spans="17:18" ht="15" customHeight="1" x14ac:dyDescent="0.25">
      <c r="Q1333" t="s">
        <v>2256</v>
      </c>
      <c r="R1333" t="s">
        <v>277</v>
      </c>
    </row>
    <row r="1334" spans="17:18" ht="15" customHeight="1" x14ac:dyDescent="0.25">
      <c r="Q1334" t="s">
        <v>2257</v>
      </c>
      <c r="R1334" t="s">
        <v>277</v>
      </c>
    </row>
    <row r="1335" spans="17:18" ht="15" customHeight="1" x14ac:dyDescent="0.25">
      <c r="Q1335" t="s">
        <v>2258</v>
      </c>
      <c r="R1335" t="s">
        <v>277</v>
      </c>
    </row>
    <row r="1336" spans="17:18" ht="15" customHeight="1" x14ac:dyDescent="0.25">
      <c r="Q1336" t="s">
        <v>2259</v>
      </c>
      <c r="R1336" t="s">
        <v>287</v>
      </c>
    </row>
    <row r="1337" spans="17:18" ht="15" customHeight="1" x14ac:dyDescent="0.25">
      <c r="Q1337" t="s">
        <v>2260</v>
      </c>
      <c r="R1337" t="s">
        <v>1002</v>
      </c>
    </row>
    <row r="1338" spans="17:18" ht="15" customHeight="1" x14ac:dyDescent="0.25">
      <c r="Q1338" t="s">
        <v>2261</v>
      </c>
      <c r="R1338" t="s">
        <v>1002</v>
      </c>
    </row>
    <row r="1339" spans="17:18" ht="15" customHeight="1" x14ac:dyDescent="0.25">
      <c r="Q1339" t="s">
        <v>2262</v>
      </c>
      <c r="R1339" t="s">
        <v>1002</v>
      </c>
    </row>
    <row r="1340" spans="17:18" ht="15" customHeight="1" x14ac:dyDescent="0.25">
      <c r="Q1340" t="s">
        <v>2263</v>
      </c>
      <c r="R1340" t="s">
        <v>1002</v>
      </c>
    </row>
    <row r="1341" spans="17:18" ht="15" customHeight="1" x14ac:dyDescent="0.25">
      <c r="Q1341" t="s">
        <v>2264</v>
      </c>
      <c r="R1341" t="s">
        <v>1002</v>
      </c>
    </row>
    <row r="1342" spans="17:18" ht="15" customHeight="1" x14ac:dyDescent="0.25">
      <c r="Q1342" t="s">
        <v>2265</v>
      </c>
      <c r="R1342" t="s">
        <v>1002</v>
      </c>
    </row>
    <row r="1343" spans="17:18" ht="15" customHeight="1" x14ac:dyDescent="0.25">
      <c r="Q1343" t="s">
        <v>2266</v>
      </c>
      <c r="R1343" t="s">
        <v>1002</v>
      </c>
    </row>
    <row r="1344" spans="17:18" ht="15" customHeight="1" x14ac:dyDescent="0.25">
      <c r="Q1344" t="s">
        <v>2267</v>
      </c>
      <c r="R1344" t="s">
        <v>1002</v>
      </c>
    </row>
    <row r="1345" spans="17:18" ht="15" customHeight="1" x14ac:dyDescent="0.25">
      <c r="Q1345" t="s">
        <v>2268</v>
      </c>
      <c r="R1345" t="s">
        <v>1002</v>
      </c>
    </row>
    <row r="1346" spans="17:18" ht="15" customHeight="1" x14ac:dyDescent="0.25">
      <c r="Q1346" t="s">
        <v>2269</v>
      </c>
      <c r="R1346" t="s">
        <v>1002</v>
      </c>
    </row>
    <row r="1347" spans="17:18" ht="15" customHeight="1" x14ac:dyDescent="0.25">
      <c r="Q1347" t="s">
        <v>2270</v>
      </c>
      <c r="R1347" t="s">
        <v>1002</v>
      </c>
    </row>
    <row r="1348" spans="17:18" ht="15" customHeight="1" x14ac:dyDescent="0.25">
      <c r="Q1348" t="s">
        <v>2271</v>
      </c>
      <c r="R1348" t="s">
        <v>1002</v>
      </c>
    </row>
    <row r="1349" spans="17:18" ht="15" customHeight="1" x14ac:dyDescent="0.25">
      <c r="Q1349" t="s">
        <v>2272</v>
      </c>
      <c r="R1349" t="s">
        <v>1002</v>
      </c>
    </row>
    <row r="1350" spans="17:18" ht="15" customHeight="1" x14ac:dyDescent="0.25">
      <c r="Q1350" t="s">
        <v>2273</v>
      </c>
      <c r="R1350" t="s">
        <v>1002</v>
      </c>
    </row>
    <row r="1351" spans="17:18" ht="15" customHeight="1" x14ac:dyDescent="0.25">
      <c r="Q1351" t="s">
        <v>2274</v>
      </c>
      <c r="R1351" t="s">
        <v>1002</v>
      </c>
    </row>
    <row r="1352" spans="17:18" ht="15" customHeight="1" x14ac:dyDescent="0.25">
      <c r="Q1352" t="s">
        <v>2275</v>
      </c>
      <c r="R1352" t="s">
        <v>1002</v>
      </c>
    </row>
    <row r="1353" spans="17:18" ht="15" customHeight="1" x14ac:dyDescent="0.25">
      <c r="Q1353" t="s">
        <v>2276</v>
      </c>
      <c r="R1353" t="s">
        <v>1002</v>
      </c>
    </row>
    <row r="1354" spans="17:18" ht="15" customHeight="1" x14ac:dyDescent="0.25">
      <c r="Q1354" t="s">
        <v>2277</v>
      </c>
      <c r="R1354" t="s">
        <v>1002</v>
      </c>
    </row>
    <row r="1355" spans="17:18" ht="15" customHeight="1" x14ac:dyDescent="0.25">
      <c r="Q1355" t="s">
        <v>2278</v>
      </c>
      <c r="R1355" t="s">
        <v>1002</v>
      </c>
    </row>
    <row r="1356" spans="17:18" ht="15" customHeight="1" x14ac:dyDescent="0.25">
      <c r="Q1356" t="s">
        <v>2279</v>
      </c>
      <c r="R1356" t="s">
        <v>1002</v>
      </c>
    </row>
    <row r="1357" spans="17:18" ht="15" customHeight="1" x14ac:dyDescent="0.25">
      <c r="Q1357" t="s">
        <v>2280</v>
      </c>
      <c r="R1357" t="s">
        <v>273</v>
      </c>
    </row>
    <row r="1358" spans="17:18" ht="15" customHeight="1" x14ac:dyDescent="0.25">
      <c r="Q1358" t="s">
        <v>2281</v>
      </c>
      <c r="R1358" t="s">
        <v>273</v>
      </c>
    </row>
    <row r="1359" spans="17:18" ht="15" customHeight="1" x14ac:dyDescent="0.25">
      <c r="Q1359" t="s">
        <v>2282</v>
      </c>
      <c r="R1359" t="s">
        <v>936</v>
      </c>
    </row>
    <row r="1360" spans="17:18" ht="15" customHeight="1" x14ac:dyDescent="0.25">
      <c r="Q1360" t="s">
        <v>2283</v>
      </c>
      <c r="R1360" t="s">
        <v>936</v>
      </c>
    </row>
    <row r="1361" spans="17:18" ht="15" customHeight="1" x14ac:dyDescent="0.25">
      <c r="Q1361" t="s">
        <v>2284</v>
      </c>
      <c r="R1361" t="s">
        <v>936</v>
      </c>
    </row>
    <row r="1362" spans="17:18" ht="15" customHeight="1" x14ac:dyDescent="0.25">
      <c r="Q1362" t="s">
        <v>2285</v>
      </c>
      <c r="R1362" t="s">
        <v>936</v>
      </c>
    </row>
    <row r="1363" spans="17:18" ht="15" customHeight="1" x14ac:dyDescent="0.25">
      <c r="Q1363" t="s">
        <v>2286</v>
      </c>
      <c r="R1363" t="s">
        <v>936</v>
      </c>
    </row>
    <row r="1364" spans="17:18" ht="15" customHeight="1" x14ac:dyDescent="0.25">
      <c r="Q1364" t="s">
        <v>2287</v>
      </c>
      <c r="R1364" t="s">
        <v>936</v>
      </c>
    </row>
    <row r="1365" spans="17:18" ht="15" customHeight="1" x14ac:dyDescent="0.25">
      <c r="Q1365" t="s">
        <v>2288</v>
      </c>
      <c r="R1365" t="s">
        <v>936</v>
      </c>
    </row>
    <row r="1366" spans="17:18" ht="15" customHeight="1" x14ac:dyDescent="0.25">
      <c r="Q1366" t="s">
        <v>2289</v>
      </c>
      <c r="R1366" t="s">
        <v>936</v>
      </c>
    </row>
    <row r="1367" spans="17:18" ht="15" customHeight="1" x14ac:dyDescent="0.25">
      <c r="Q1367" t="s">
        <v>2290</v>
      </c>
      <c r="R1367" t="s">
        <v>936</v>
      </c>
    </row>
    <row r="1368" spans="17:18" ht="15" customHeight="1" x14ac:dyDescent="0.25">
      <c r="Q1368" t="s">
        <v>2291</v>
      </c>
      <c r="R1368" t="s">
        <v>273</v>
      </c>
    </row>
    <row r="1369" spans="17:18" ht="15" customHeight="1" x14ac:dyDescent="0.25">
      <c r="Q1369" t="s">
        <v>2292</v>
      </c>
      <c r="R1369" t="s">
        <v>273</v>
      </c>
    </row>
    <row r="1370" spans="17:18" ht="15" customHeight="1" x14ac:dyDescent="0.25">
      <c r="Q1370" t="s">
        <v>2293</v>
      </c>
      <c r="R1370" t="s">
        <v>273</v>
      </c>
    </row>
    <row r="1371" spans="17:18" ht="15" customHeight="1" x14ac:dyDescent="0.25">
      <c r="Q1371" t="s">
        <v>2294</v>
      </c>
      <c r="R1371" t="s">
        <v>273</v>
      </c>
    </row>
    <row r="1372" spans="17:18" ht="15" customHeight="1" x14ac:dyDescent="0.25">
      <c r="Q1372" t="s">
        <v>2295</v>
      </c>
      <c r="R1372" t="s">
        <v>273</v>
      </c>
    </row>
    <row r="1373" spans="17:18" ht="15" customHeight="1" x14ac:dyDescent="0.25">
      <c r="Q1373" t="s">
        <v>2296</v>
      </c>
      <c r="R1373" t="s">
        <v>273</v>
      </c>
    </row>
    <row r="1374" spans="17:18" ht="15" customHeight="1" x14ac:dyDescent="0.25">
      <c r="Q1374" t="s">
        <v>2297</v>
      </c>
      <c r="R1374" t="s">
        <v>273</v>
      </c>
    </row>
    <row r="1375" spans="17:18" ht="15" customHeight="1" x14ac:dyDescent="0.25">
      <c r="Q1375" t="s">
        <v>2298</v>
      </c>
      <c r="R1375" t="s">
        <v>1002</v>
      </c>
    </row>
    <row r="1376" spans="17:18" ht="15" customHeight="1" x14ac:dyDescent="0.25">
      <c r="Q1376" t="s">
        <v>2299</v>
      </c>
      <c r="R1376" t="s">
        <v>936</v>
      </c>
    </row>
    <row r="1377" spans="17:18" ht="15" customHeight="1" x14ac:dyDescent="0.25">
      <c r="Q1377" t="s">
        <v>2300</v>
      </c>
      <c r="R1377" t="s">
        <v>1002</v>
      </c>
    </row>
    <row r="1378" spans="17:18" ht="15" customHeight="1" x14ac:dyDescent="0.25">
      <c r="Q1378" t="s">
        <v>2301</v>
      </c>
      <c r="R1378" t="s">
        <v>1002</v>
      </c>
    </row>
    <row r="1379" spans="17:18" ht="15" customHeight="1" x14ac:dyDescent="0.25">
      <c r="Q1379" t="s">
        <v>2302</v>
      </c>
      <c r="R1379" t="s">
        <v>1002</v>
      </c>
    </row>
    <row r="1380" spans="17:18" ht="15" customHeight="1" x14ac:dyDescent="0.25">
      <c r="Q1380" t="s">
        <v>2303</v>
      </c>
      <c r="R1380" t="s">
        <v>1002</v>
      </c>
    </row>
    <row r="1381" spans="17:18" ht="15" customHeight="1" x14ac:dyDescent="0.25">
      <c r="Q1381" t="s">
        <v>2304</v>
      </c>
      <c r="R1381" t="s">
        <v>1002</v>
      </c>
    </row>
    <row r="1382" spans="17:18" ht="15" customHeight="1" x14ac:dyDescent="0.25">
      <c r="Q1382" t="s">
        <v>2305</v>
      </c>
      <c r="R1382" t="s">
        <v>1002</v>
      </c>
    </row>
    <row r="1383" spans="17:18" ht="15" customHeight="1" x14ac:dyDescent="0.25">
      <c r="Q1383" t="s">
        <v>2306</v>
      </c>
      <c r="R1383" t="s">
        <v>1002</v>
      </c>
    </row>
    <row r="1384" spans="17:18" ht="15" customHeight="1" x14ac:dyDescent="0.25">
      <c r="Q1384" t="s">
        <v>2307</v>
      </c>
      <c r="R1384" t="s">
        <v>2236</v>
      </c>
    </row>
    <row r="1385" spans="17:18" ht="15" customHeight="1" x14ac:dyDescent="0.25">
      <c r="Q1385" t="s">
        <v>2308</v>
      </c>
      <c r="R1385" t="s">
        <v>2236</v>
      </c>
    </row>
    <row r="1386" spans="17:18" ht="15" customHeight="1" x14ac:dyDescent="0.25">
      <c r="Q1386" t="s">
        <v>2309</v>
      </c>
      <c r="R1386" t="s">
        <v>2236</v>
      </c>
    </row>
    <row r="1387" spans="17:18" ht="15" customHeight="1" x14ac:dyDescent="0.25">
      <c r="Q1387" t="s">
        <v>2310</v>
      </c>
      <c r="R1387" t="s">
        <v>2236</v>
      </c>
    </row>
    <row r="1388" spans="17:18" ht="15" customHeight="1" x14ac:dyDescent="0.25">
      <c r="Q1388" t="s">
        <v>2311</v>
      </c>
      <c r="R1388" t="s">
        <v>2236</v>
      </c>
    </row>
    <row r="1389" spans="17:18" ht="15" customHeight="1" x14ac:dyDescent="0.25">
      <c r="Q1389" t="s">
        <v>2312</v>
      </c>
      <c r="R1389" t="s">
        <v>2236</v>
      </c>
    </row>
    <row r="1390" spans="17:18" ht="15" customHeight="1" x14ac:dyDescent="0.25">
      <c r="Q1390" t="s">
        <v>2313</v>
      </c>
      <c r="R1390" t="s">
        <v>2236</v>
      </c>
    </row>
    <row r="1391" spans="17:18" ht="15" customHeight="1" x14ac:dyDescent="0.25">
      <c r="Q1391" t="s">
        <v>2314</v>
      </c>
      <c r="R1391" t="s">
        <v>2236</v>
      </c>
    </row>
    <row r="1392" spans="17:18" ht="15" customHeight="1" x14ac:dyDescent="0.25">
      <c r="Q1392" t="s">
        <v>2315</v>
      </c>
      <c r="R1392" t="s">
        <v>2236</v>
      </c>
    </row>
    <row r="1393" spans="17:18" ht="15" customHeight="1" x14ac:dyDescent="0.25">
      <c r="Q1393" t="s">
        <v>2316</v>
      </c>
      <c r="R1393" t="s">
        <v>2236</v>
      </c>
    </row>
    <row r="1394" spans="17:18" ht="15" customHeight="1" x14ac:dyDescent="0.25">
      <c r="Q1394" t="s">
        <v>2317</v>
      </c>
      <c r="R1394" t="s">
        <v>2236</v>
      </c>
    </row>
    <row r="1395" spans="17:18" ht="15" customHeight="1" x14ac:dyDescent="0.25">
      <c r="Q1395" t="s">
        <v>2318</v>
      </c>
      <c r="R1395" t="s">
        <v>1002</v>
      </c>
    </row>
    <row r="1396" spans="17:18" ht="15" customHeight="1" x14ac:dyDescent="0.25">
      <c r="Q1396" t="s">
        <v>2319</v>
      </c>
      <c r="R1396" t="s">
        <v>1002</v>
      </c>
    </row>
    <row r="1397" spans="17:18" ht="15" customHeight="1" x14ac:dyDescent="0.25">
      <c r="Q1397" t="s">
        <v>2320</v>
      </c>
      <c r="R1397" t="s">
        <v>1002</v>
      </c>
    </row>
    <row r="1398" spans="17:18" ht="15" customHeight="1" x14ac:dyDescent="0.25">
      <c r="Q1398" t="s">
        <v>2321</v>
      </c>
      <c r="R1398" t="s">
        <v>1002</v>
      </c>
    </row>
    <row r="1399" spans="17:18" ht="15" customHeight="1" x14ac:dyDescent="0.25">
      <c r="Q1399" t="s">
        <v>2322</v>
      </c>
      <c r="R1399" t="s">
        <v>1002</v>
      </c>
    </row>
    <row r="1400" spans="17:18" ht="15" customHeight="1" x14ac:dyDescent="0.25">
      <c r="Q1400" t="s">
        <v>2323</v>
      </c>
      <c r="R1400" t="s">
        <v>1002</v>
      </c>
    </row>
    <row r="1401" spans="17:18" ht="15" customHeight="1" x14ac:dyDescent="0.25">
      <c r="Q1401" t="s">
        <v>2324</v>
      </c>
      <c r="R1401" t="s">
        <v>1002</v>
      </c>
    </row>
    <row r="1402" spans="17:18" ht="15" customHeight="1" x14ac:dyDescent="0.25">
      <c r="Q1402" t="s">
        <v>2325</v>
      </c>
      <c r="R1402" t="s">
        <v>1002</v>
      </c>
    </row>
    <row r="1403" spans="17:18" ht="15" customHeight="1" x14ac:dyDescent="0.25">
      <c r="Q1403" t="s">
        <v>2326</v>
      </c>
      <c r="R1403" t="s">
        <v>2236</v>
      </c>
    </row>
    <row r="1404" spans="17:18" ht="15" customHeight="1" x14ac:dyDescent="0.25">
      <c r="Q1404" t="s">
        <v>2327</v>
      </c>
      <c r="R1404" t="s">
        <v>2236</v>
      </c>
    </row>
    <row r="1405" spans="17:18" ht="15" customHeight="1" x14ac:dyDescent="0.25">
      <c r="Q1405" t="s">
        <v>2328</v>
      </c>
      <c r="R1405" t="s">
        <v>2236</v>
      </c>
    </row>
    <row r="1406" spans="17:18" ht="15" customHeight="1" x14ac:dyDescent="0.25">
      <c r="Q1406" t="s">
        <v>2329</v>
      </c>
      <c r="R1406" t="s">
        <v>1002</v>
      </c>
    </row>
    <row r="1407" spans="17:18" ht="15" customHeight="1" x14ac:dyDescent="0.25">
      <c r="Q1407" t="s">
        <v>2330</v>
      </c>
      <c r="R1407" t="s">
        <v>1002</v>
      </c>
    </row>
    <row r="1408" spans="17:18" ht="15" customHeight="1" x14ac:dyDescent="0.25">
      <c r="Q1408" t="s">
        <v>2331</v>
      </c>
      <c r="R1408" t="s">
        <v>1002</v>
      </c>
    </row>
    <row r="1409" spans="17:18" ht="15" customHeight="1" x14ac:dyDescent="0.25">
      <c r="Q1409" t="s">
        <v>2332</v>
      </c>
      <c r="R1409" t="s">
        <v>1002</v>
      </c>
    </row>
    <row r="1410" spans="17:18" ht="15" customHeight="1" x14ac:dyDescent="0.25">
      <c r="Q1410" t="s">
        <v>2333</v>
      </c>
      <c r="R1410" t="s">
        <v>1002</v>
      </c>
    </row>
    <row r="1411" spans="17:18" ht="15" customHeight="1" x14ac:dyDescent="0.25">
      <c r="Q1411" t="s">
        <v>2334</v>
      </c>
      <c r="R1411" t="s">
        <v>1002</v>
      </c>
    </row>
    <row r="1412" spans="17:18" ht="15" customHeight="1" x14ac:dyDescent="0.25">
      <c r="Q1412" t="s">
        <v>2335</v>
      </c>
      <c r="R1412" t="s">
        <v>1002</v>
      </c>
    </row>
    <row r="1413" spans="17:18" ht="15" customHeight="1" x14ac:dyDescent="0.25">
      <c r="Q1413" t="s">
        <v>2336</v>
      </c>
      <c r="R1413" t="s">
        <v>1002</v>
      </c>
    </row>
    <row r="1414" spans="17:18" ht="15" customHeight="1" x14ac:dyDescent="0.25">
      <c r="Q1414" t="s">
        <v>2337</v>
      </c>
      <c r="R1414" t="s">
        <v>1002</v>
      </c>
    </row>
    <row r="1415" spans="17:18" ht="15" customHeight="1" x14ac:dyDescent="0.25">
      <c r="Q1415" t="s">
        <v>2338</v>
      </c>
      <c r="R1415" t="s">
        <v>1002</v>
      </c>
    </row>
    <row r="1416" spans="17:18" ht="15" customHeight="1" x14ac:dyDescent="0.25">
      <c r="Q1416" t="s">
        <v>2339</v>
      </c>
      <c r="R1416" t="s">
        <v>2236</v>
      </c>
    </row>
    <row r="1417" spans="17:18" ht="15" customHeight="1" x14ac:dyDescent="0.25">
      <c r="Q1417" t="s">
        <v>2340</v>
      </c>
      <c r="R1417" t="s">
        <v>2236</v>
      </c>
    </row>
    <row r="1418" spans="17:18" ht="15" customHeight="1" x14ac:dyDescent="0.25">
      <c r="Q1418" t="s">
        <v>2341</v>
      </c>
      <c r="R1418" t="s">
        <v>2236</v>
      </c>
    </row>
    <row r="1419" spans="17:18" ht="15" customHeight="1" x14ac:dyDescent="0.25">
      <c r="Q1419" t="s">
        <v>2342</v>
      </c>
      <c r="R1419" t="s">
        <v>2236</v>
      </c>
    </row>
    <row r="1420" spans="17:18" ht="15" customHeight="1" x14ac:dyDescent="0.25">
      <c r="Q1420" t="s">
        <v>2343</v>
      </c>
      <c r="R1420" t="s">
        <v>2236</v>
      </c>
    </row>
    <row r="1421" spans="17:18" ht="15" customHeight="1" x14ac:dyDescent="0.25">
      <c r="Q1421" t="s">
        <v>2344</v>
      </c>
      <c r="R1421" t="s">
        <v>2236</v>
      </c>
    </row>
    <row r="1422" spans="17:18" ht="15" customHeight="1" x14ac:dyDescent="0.25">
      <c r="Q1422" t="s">
        <v>2345</v>
      </c>
      <c r="R1422" t="s">
        <v>2236</v>
      </c>
    </row>
    <row r="1423" spans="17:18" ht="15" customHeight="1" x14ac:dyDescent="0.25">
      <c r="Q1423" t="s">
        <v>2346</v>
      </c>
      <c r="R1423" t="s">
        <v>2236</v>
      </c>
    </row>
    <row r="1424" spans="17:18" ht="15" customHeight="1" x14ac:dyDescent="0.25">
      <c r="Q1424" t="s">
        <v>2347</v>
      </c>
      <c r="R1424" t="s">
        <v>2236</v>
      </c>
    </row>
    <row r="1425" spans="17:18" ht="15" customHeight="1" x14ac:dyDescent="0.25">
      <c r="Q1425" t="s">
        <v>2348</v>
      </c>
      <c r="R1425" t="s">
        <v>2236</v>
      </c>
    </row>
    <row r="1426" spans="17:18" ht="15" customHeight="1" x14ac:dyDescent="0.25">
      <c r="Q1426" t="s">
        <v>2349</v>
      </c>
      <c r="R1426" t="s">
        <v>2236</v>
      </c>
    </row>
    <row r="1427" spans="17:18" ht="15" customHeight="1" x14ac:dyDescent="0.25">
      <c r="Q1427" t="s">
        <v>2350</v>
      </c>
      <c r="R1427" t="s">
        <v>2236</v>
      </c>
    </row>
    <row r="1428" spans="17:18" ht="15" customHeight="1" x14ac:dyDescent="0.25">
      <c r="Q1428" t="s">
        <v>2351</v>
      </c>
      <c r="R1428" t="s">
        <v>2236</v>
      </c>
    </row>
    <row r="1429" spans="17:18" ht="15" customHeight="1" x14ac:dyDescent="0.25">
      <c r="Q1429" t="s">
        <v>2352</v>
      </c>
      <c r="R1429" t="s">
        <v>2236</v>
      </c>
    </row>
    <row r="1430" spans="17:18" ht="15" customHeight="1" x14ac:dyDescent="0.25">
      <c r="Q1430" t="s">
        <v>2353</v>
      </c>
      <c r="R1430" t="s">
        <v>2236</v>
      </c>
    </row>
    <row r="1431" spans="17:18" ht="15" customHeight="1" x14ac:dyDescent="0.25">
      <c r="Q1431" t="s">
        <v>2354</v>
      </c>
      <c r="R1431" t="s">
        <v>2236</v>
      </c>
    </row>
    <row r="1432" spans="17:18" ht="15" customHeight="1" x14ac:dyDescent="0.25">
      <c r="Q1432" t="s">
        <v>2355</v>
      </c>
      <c r="R1432" t="s">
        <v>2236</v>
      </c>
    </row>
    <row r="1433" spans="17:18" ht="15" customHeight="1" x14ac:dyDescent="0.25">
      <c r="Q1433" t="s">
        <v>2356</v>
      </c>
      <c r="R1433" t="s">
        <v>2236</v>
      </c>
    </row>
    <row r="1434" spans="17:18" ht="15" customHeight="1" x14ac:dyDescent="0.25">
      <c r="Q1434" t="s">
        <v>2357</v>
      </c>
      <c r="R1434" t="s">
        <v>2358</v>
      </c>
    </row>
    <row r="1435" spans="17:18" ht="15" customHeight="1" x14ac:dyDescent="0.25">
      <c r="Q1435" t="s">
        <v>2359</v>
      </c>
      <c r="R1435" t="s">
        <v>2358</v>
      </c>
    </row>
    <row r="1436" spans="17:18" ht="15" customHeight="1" x14ac:dyDescent="0.25">
      <c r="Q1436" t="s">
        <v>2360</v>
      </c>
      <c r="R1436" t="s">
        <v>2236</v>
      </c>
    </row>
    <row r="1437" spans="17:18" ht="15" customHeight="1" x14ac:dyDescent="0.25">
      <c r="Q1437" t="s">
        <v>2361</v>
      </c>
      <c r="R1437" t="s">
        <v>2236</v>
      </c>
    </row>
    <row r="1438" spans="17:18" ht="15" customHeight="1" x14ac:dyDescent="0.25">
      <c r="Q1438" t="s">
        <v>2362</v>
      </c>
      <c r="R1438" t="s">
        <v>2236</v>
      </c>
    </row>
    <row r="1439" spans="17:18" ht="15" customHeight="1" x14ac:dyDescent="0.25">
      <c r="Q1439" t="s">
        <v>2363</v>
      </c>
      <c r="R1439" t="s">
        <v>2236</v>
      </c>
    </row>
    <row r="1440" spans="17:18" ht="15" customHeight="1" x14ac:dyDescent="0.25">
      <c r="Q1440" t="s">
        <v>2364</v>
      </c>
      <c r="R1440" t="s">
        <v>2236</v>
      </c>
    </row>
    <row r="1441" spans="17:18" ht="15" customHeight="1" x14ac:dyDescent="0.25">
      <c r="Q1441" t="s">
        <v>2365</v>
      </c>
      <c r="R1441" t="s">
        <v>1002</v>
      </c>
    </row>
    <row r="1442" spans="17:18" ht="15" customHeight="1" x14ac:dyDescent="0.25">
      <c r="Q1442" t="s">
        <v>2366</v>
      </c>
      <c r="R1442" t="s">
        <v>1002</v>
      </c>
    </row>
    <row r="1443" spans="17:18" ht="15" customHeight="1" x14ac:dyDescent="0.25">
      <c r="Q1443" t="s">
        <v>2367</v>
      </c>
      <c r="R1443" t="s">
        <v>1002</v>
      </c>
    </row>
    <row r="1444" spans="17:18" ht="15" customHeight="1" x14ac:dyDescent="0.25">
      <c r="Q1444" t="s">
        <v>2368</v>
      </c>
      <c r="R1444" t="s">
        <v>1002</v>
      </c>
    </row>
    <row r="1445" spans="17:18" ht="15" customHeight="1" x14ac:dyDescent="0.25">
      <c r="Q1445" t="s">
        <v>2369</v>
      </c>
      <c r="R1445" t="s">
        <v>1002</v>
      </c>
    </row>
    <row r="1446" spans="17:18" ht="15" customHeight="1" x14ac:dyDescent="0.25">
      <c r="Q1446" t="s">
        <v>2370</v>
      </c>
      <c r="R1446" t="s">
        <v>1002</v>
      </c>
    </row>
    <row r="1447" spans="17:18" ht="15" customHeight="1" x14ac:dyDescent="0.25">
      <c r="Q1447" t="s">
        <v>2371</v>
      </c>
      <c r="R1447" t="s">
        <v>1002</v>
      </c>
    </row>
    <row r="1448" spans="17:18" ht="15" customHeight="1" x14ac:dyDescent="0.25">
      <c r="Q1448" t="s">
        <v>2372</v>
      </c>
      <c r="R1448" t="s">
        <v>1002</v>
      </c>
    </row>
    <row r="1449" spans="17:18" ht="15" customHeight="1" x14ac:dyDescent="0.25">
      <c r="Q1449" t="s">
        <v>2373</v>
      </c>
      <c r="R1449" t="s">
        <v>1002</v>
      </c>
    </row>
    <row r="1450" spans="17:18" ht="15" customHeight="1" x14ac:dyDescent="0.25">
      <c r="Q1450" t="s">
        <v>2374</v>
      </c>
      <c r="R1450" t="s">
        <v>1002</v>
      </c>
    </row>
    <row r="1451" spans="17:18" ht="15" customHeight="1" x14ac:dyDescent="0.25">
      <c r="Q1451" t="s">
        <v>2375</v>
      </c>
      <c r="R1451" t="s">
        <v>1002</v>
      </c>
    </row>
    <row r="1452" spans="17:18" ht="15" customHeight="1" x14ac:dyDescent="0.25">
      <c r="Q1452" t="s">
        <v>2376</v>
      </c>
      <c r="R1452" t="s">
        <v>1002</v>
      </c>
    </row>
    <row r="1453" spans="17:18" ht="15" customHeight="1" x14ac:dyDescent="0.25">
      <c r="Q1453" t="s">
        <v>2377</v>
      </c>
      <c r="R1453" t="s">
        <v>1002</v>
      </c>
    </row>
    <row r="1454" spans="17:18" ht="15" customHeight="1" x14ac:dyDescent="0.25">
      <c r="Q1454" t="s">
        <v>2378</v>
      </c>
      <c r="R1454" t="s">
        <v>1002</v>
      </c>
    </row>
    <row r="1455" spans="17:18" ht="15" customHeight="1" x14ac:dyDescent="0.25">
      <c r="Q1455" t="s">
        <v>2379</v>
      </c>
      <c r="R1455" t="s">
        <v>1002</v>
      </c>
    </row>
    <row r="1456" spans="17:18" ht="15" customHeight="1" x14ac:dyDescent="0.25">
      <c r="Q1456" t="s">
        <v>2380</v>
      </c>
      <c r="R1456" t="s">
        <v>1002</v>
      </c>
    </row>
    <row r="1457" spans="17:18" ht="15" customHeight="1" x14ac:dyDescent="0.25">
      <c r="Q1457" t="s">
        <v>2381</v>
      </c>
      <c r="R1457" t="s">
        <v>1002</v>
      </c>
    </row>
    <row r="1458" spans="17:18" ht="15" customHeight="1" x14ac:dyDescent="0.25">
      <c r="Q1458" t="s">
        <v>2382</v>
      </c>
      <c r="R1458" t="s">
        <v>1002</v>
      </c>
    </row>
    <row r="1459" spans="17:18" ht="15" customHeight="1" x14ac:dyDescent="0.25">
      <c r="Q1459" t="s">
        <v>2383</v>
      </c>
      <c r="R1459" t="s">
        <v>1002</v>
      </c>
    </row>
    <row r="1460" spans="17:18" ht="15" customHeight="1" x14ac:dyDescent="0.25">
      <c r="Q1460" t="s">
        <v>2384</v>
      </c>
      <c r="R1460" t="s">
        <v>1002</v>
      </c>
    </row>
    <row r="1461" spans="17:18" ht="15" customHeight="1" x14ac:dyDescent="0.25">
      <c r="Q1461" t="s">
        <v>2385</v>
      </c>
      <c r="R1461" t="s">
        <v>936</v>
      </c>
    </row>
    <row r="1462" spans="17:18" ht="15" customHeight="1" x14ac:dyDescent="0.25">
      <c r="Q1462" t="s">
        <v>2386</v>
      </c>
      <c r="R1462" t="s">
        <v>936</v>
      </c>
    </row>
    <row r="1463" spans="17:18" ht="15" customHeight="1" x14ac:dyDescent="0.25">
      <c r="Q1463" t="s">
        <v>2387</v>
      </c>
      <c r="R1463" t="s">
        <v>936</v>
      </c>
    </row>
    <row r="1464" spans="17:18" ht="15" customHeight="1" x14ac:dyDescent="0.25">
      <c r="Q1464" t="s">
        <v>2388</v>
      </c>
      <c r="R1464" t="s">
        <v>936</v>
      </c>
    </row>
    <row r="1465" spans="17:18" ht="15" customHeight="1" x14ac:dyDescent="0.25">
      <c r="Q1465" t="s">
        <v>2389</v>
      </c>
      <c r="R1465" t="s">
        <v>936</v>
      </c>
    </row>
    <row r="1466" spans="17:18" ht="15" customHeight="1" x14ac:dyDescent="0.25">
      <c r="Q1466" t="s">
        <v>2390</v>
      </c>
      <c r="R1466" t="s">
        <v>936</v>
      </c>
    </row>
    <row r="1467" spans="17:18" ht="15" customHeight="1" x14ac:dyDescent="0.25">
      <c r="Q1467" t="s">
        <v>2391</v>
      </c>
      <c r="R1467" t="s">
        <v>936</v>
      </c>
    </row>
    <row r="1468" spans="17:18" ht="15" customHeight="1" x14ac:dyDescent="0.25">
      <c r="Q1468" t="s">
        <v>2392</v>
      </c>
      <c r="R1468" t="s">
        <v>936</v>
      </c>
    </row>
    <row r="1469" spans="17:18" ht="15" customHeight="1" x14ac:dyDescent="0.25">
      <c r="Q1469" t="s">
        <v>2393</v>
      </c>
      <c r="R1469" t="s">
        <v>936</v>
      </c>
    </row>
    <row r="1470" spans="17:18" ht="15" customHeight="1" x14ac:dyDescent="0.25">
      <c r="Q1470" t="s">
        <v>2394</v>
      </c>
      <c r="R1470" t="s">
        <v>936</v>
      </c>
    </row>
    <row r="1471" spans="17:18" ht="15" customHeight="1" x14ac:dyDescent="0.25">
      <c r="Q1471" t="s">
        <v>2395</v>
      </c>
      <c r="R1471" t="s">
        <v>936</v>
      </c>
    </row>
    <row r="1472" spans="17:18" ht="15" customHeight="1" x14ac:dyDescent="0.25">
      <c r="Q1472" t="s">
        <v>2396</v>
      </c>
      <c r="R1472" t="s">
        <v>936</v>
      </c>
    </row>
    <row r="1473" spans="17:18" ht="15" customHeight="1" x14ac:dyDescent="0.25">
      <c r="Q1473" t="s">
        <v>2397</v>
      </c>
      <c r="R1473" t="s">
        <v>936</v>
      </c>
    </row>
    <row r="1474" spans="17:18" ht="15" customHeight="1" x14ac:dyDescent="0.25">
      <c r="Q1474" t="s">
        <v>2398</v>
      </c>
      <c r="R1474" t="s">
        <v>936</v>
      </c>
    </row>
    <row r="1475" spans="17:18" ht="15" customHeight="1" x14ac:dyDescent="0.25">
      <c r="Q1475" t="s">
        <v>2399</v>
      </c>
      <c r="R1475" t="s">
        <v>936</v>
      </c>
    </row>
    <row r="1476" spans="17:18" ht="15" customHeight="1" x14ac:dyDescent="0.25">
      <c r="Q1476" t="s">
        <v>2400</v>
      </c>
      <c r="R1476" t="s">
        <v>936</v>
      </c>
    </row>
    <row r="1477" spans="17:18" ht="15" customHeight="1" x14ac:dyDescent="0.25">
      <c r="Q1477" t="s">
        <v>2401</v>
      </c>
      <c r="R1477" t="s">
        <v>936</v>
      </c>
    </row>
    <row r="1478" spans="17:18" ht="15" customHeight="1" x14ac:dyDescent="0.25">
      <c r="Q1478" t="s">
        <v>2402</v>
      </c>
      <c r="R1478" t="s">
        <v>936</v>
      </c>
    </row>
    <row r="1479" spans="17:18" ht="15" customHeight="1" x14ac:dyDescent="0.25">
      <c r="Q1479" t="s">
        <v>2403</v>
      </c>
      <c r="R1479" t="s">
        <v>936</v>
      </c>
    </row>
    <row r="1480" spans="17:18" ht="15" customHeight="1" x14ac:dyDescent="0.25">
      <c r="Q1480" t="s">
        <v>2404</v>
      </c>
      <c r="R1480" t="s">
        <v>936</v>
      </c>
    </row>
    <row r="1481" spans="17:18" ht="15" customHeight="1" x14ac:dyDescent="0.25">
      <c r="Q1481" t="s">
        <v>2405</v>
      </c>
      <c r="R1481" t="s">
        <v>936</v>
      </c>
    </row>
    <row r="1482" spans="17:18" ht="15" customHeight="1" x14ac:dyDescent="0.25">
      <c r="Q1482" t="s">
        <v>2406</v>
      </c>
      <c r="R1482" t="s">
        <v>936</v>
      </c>
    </row>
    <row r="1483" spans="17:18" ht="15" customHeight="1" x14ac:dyDescent="0.25">
      <c r="Q1483" t="s">
        <v>2407</v>
      </c>
      <c r="R1483" t="s">
        <v>936</v>
      </c>
    </row>
    <row r="1484" spans="17:18" ht="15" customHeight="1" x14ac:dyDescent="0.25">
      <c r="Q1484" t="s">
        <v>2408</v>
      </c>
      <c r="R1484" t="s">
        <v>936</v>
      </c>
    </row>
    <row r="1485" spans="17:18" ht="15" customHeight="1" x14ac:dyDescent="0.25">
      <c r="Q1485" t="s">
        <v>2409</v>
      </c>
      <c r="R1485" t="s">
        <v>936</v>
      </c>
    </row>
    <row r="1486" spans="17:18" ht="15" customHeight="1" x14ac:dyDescent="0.25">
      <c r="Q1486" t="s">
        <v>2410</v>
      </c>
      <c r="R1486" t="s">
        <v>936</v>
      </c>
    </row>
    <row r="1487" spans="17:18" ht="15" customHeight="1" x14ac:dyDescent="0.25">
      <c r="Q1487" t="s">
        <v>2411</v>
      </c>
      <c r="R1487" t="s">
        <v>936</v>
      </c>
    </row>
    <row r="1488" spans="17:18" ht="15" customHeight="1" x14ac:dyDescent="0.25">
      <c r="Q1488" t="s">
        <v>2412</v>
      </c>
      <c r="R1488" t="s">
        <v>936</v>
      </c>
    </row>
    <row r="1489" spans="17:18" ht="15" customHeight="1" x14ac:dyDescent="0.25">
      <c r="Q1489" t="s">
        <v>2413</v>
      </c>
      <c r="R1489" t="s">
        <v>936</v>
      </c>
    </row>
    <row r="1490" spans="17:18" ht="15" customHeight="1" x14ac:dyDescent="0.25">
      <c r="Q1490" t="s">
        <v>2414</v>
      </c>
      <c r="R1490" t="s">
        <v>936</v>
      </c>
    </row>
    <row r="1491" spans="17:18" ht="15" customHeight="1" x14ac:dyDescent="0.25">
      <c r="Q1491" t="s">
        <v>2415</v>
      </c>
      <c r="R1491" t="s">
        <v>936</v>
      </c>
    </row>
    <row r="1492" spans="17:18" ht="15" customHeight="1" x14ac:dyDescent="0.25">
      <c r="Q1492" t="s">
        <v>2416</v>
      </c>
      <c r="R1492" t="s">
        <v>936</v>
      </c>
    </row>
    <row r="1493" spans="17:18" ht="15" customHeight="1" x14ac:dyDescent="0.25">
      <c r="Q1493" t="s">
        <v>2417</v>
      </c>
      <c r="R1493" t="s">
        <v>936</v>
      </c>
    </row>
    <row r="1494" spans="17:18" ht="15" customHeight="1" x14ac:dyDescent="0.25">
      <c r="Q1494" t="s">
        <v>2418</v>
      </c>
      <c r="R1494" t="s">
        <v>936</v>
      </c>
    </row>
    <row r="1495" spans="17:18" ht="15" customHeight="1" x14ac:dyDescent="0.25">
      <c r="Q1495" t="s">
        <v>2419</v>
      </c>
      <c r="R1495" t="s">
        <v>936</v>
      </c>
    </row>
    <row r="1496" spans="17:18" ht="15" customHeight="1" x14ac:dyDescent="0.25">
      <c r="Q1496" t="s">
        <v>2420</v>
      </c>
      <c r="R1496" t="s">
        <v>936</v>
      </c>
    </row>
    <row r="1497" spans="17:18" ht="15" customHeight="1" x14ac:dyDescent="0.25">
      <c r="Q1497" t="s">
        <v>2421</v>
      </c>
      <c r="R1497" t="s">
        <v>936</v>
      </c>
    </row>
    <row r="1498" spans="17:18" ht="15" customHeight="1" x14ac:dyDescent="0.25">
      <c r="Q1498" t="s">
        <v>2422</v>
      </c>
      <c r="R1498" t="s">
        <v>936</v>
      </c>
    </row>
    <row r="1499" spans="17:18" ht="15" customHeight="1" x14ac:dyDescent="0.25">
      <c r="Q1499" t="s">
        <v>2423</v>
      </c>
      <c r="R1499" t="s">
        <v>936</v>
      </c>
    </row>
    <row r="1500" spans="17:18" ht="15" customHeight="1" x14ac:dyDescent="0.25">
      <c r="Q1500" t="s">
        <v>2424</v>
      </c>
      <c r="R1500" t="s">
        <v>936</v>
      </c>
    </row>
    <row r="1501" spans="17:18" ht="15" customHeight="1" x14ac:dyDescent="0.25">
      <c r="Q1501" t="s">
        <v>2425</v>
      </c>
      <c r="R1501" t="s">
        <v>277</v>
      </c>
    </row>
    <row r="1502" spans="17:18" ht="15" customHeight="1" x14ac:dyDescent="0.25">
      <c r="Q1502" t="s">
        <v>2426</v>
      </c>
      <c r="R1502" t="s">
        <v>277</v>
      </c>
    </row>
    <row r="1503" spans="17:18" ht="15" customHeight="1" x14ac:dyDescent="0.25">
      <c r="Q1503" t="s">
        <v>2427</v>
      </c>
      <c r="R1503" t="s">
        <v>277</v>
      </c>
    </row>
    <row r="1504" spans="17:18" ht="15" customHeight="1" x14ac:dyDescent="0.25">
      <c r="Q1504" t="s">
        <v>2428</v>
      </c>
      <c r="R1504" t="s">
        <v>277</v>
      </c>
    </row>
    <row r="1505" spans="17:18" ht="15" customHeight="1" x14ac:dyDescent="0.25">
      <c r="Q1505" t="s">
        <v>2429</v>
      </c>
      <c r="R1505" t="s">
        <v>936</v>
      </c>
    </row>
    <row r="1506" spans="17:18" ht="15" customHeight="1" x14ac:dyDescent="0.25">
      <c r="Q1506" t="s">
        <v>2430</v>
      </c>
      <c r="R1506" t="s">
        <v>936</v>
      </c>
    </row>
    <row r="1507" spans="17:18" ht="15" customHeight="1" x14ac:dyDescent="0.25">
      <c r="Q1507" t="s">
        <v>2431</v>
      </c>
      <c r="R1507" t="s">
        <v>936</v>
      </c>
    </row>
    <row r="1508" spans="17:18" ht="15" customHeight="1" x14ac:dyDescent="0.25">
      <c r="Q1508" t="s">
        <v>2432</v>
      </c>
      <c r="R1508" t="s">
        <v>936</v>
      </c>
    </row>
    <row r="1509" spans="17:18" ht="15" customHeight="1" x14ac:dyDescent="0.25">
      <c r="Q1509" t="s">
        <v>2433</v>
      </c>
      <c r="R1509" t="s">
        <v>936</v>
      </c>
    </row>
    <row r="1510" spans="17:18" ht="15" customHeight="1" x14ac:dyDescent="0.25">
      <c r="Q1510" t="s">
        <v>2434</v>
      </c>
      <c r="R1510" t="s">
        <v>936</v>
      </c>
    </row>
    <row r="1511" spans="17:18" ht="15" customHeight="1" x14ac:dyDescent="0.25">
      <c r="Q1511" t="s">
        <v>2435</v>
      </c>
      <c r="R1511" t="s">
        <v>936</v>
      </c>
    </row>
    <row r="1512" spans="17:18" ht="15" customHeight="1" x14ac:dyDescent="0.25">
      <c r="Q1512" t="s">
        <v>2436</v>
      </c>
      <c r="R1512" t="s">
        <v>936</v>
      </c>
    </row>
    <row r="1513" spans="17:18" ht="15" customHeight="1" x14ac:dyDescent="0.25">
      <c r="Q1513" t="s">
        <v>2437</v>
      </c>
      <c r="R1513" t="s">
        <v>936</v>
      </c>
    </row>
    <row r="1514" spans="17:18" ht="15" customHeight="1" x14ac:dyDescent="0.25">
      <c r="Q1514" t="s">
        <v>2438</v>
      </c>
      <c r="R1514" t="s">
        <v>293</v>
      </c>
    </row>
    <row r="1515" spans="17:18" ht="15" customHeight="1" x14ac:dyDescent="0.25">
      <c r="Q1515" t="s">
        <v>2439</v>
      </c>
      <c r="R1515" t="s">
        <v>936</v>
      </c>
    </row>
    <row r="1516" spans="17:18" ht="15" customHeight="1" x14ac:dyDescent="0.25">
      <c r="Q1516" t="s">
        <v>2440</v>
      </c>
      <c r="R1516" t="s">
        <v>936</v>
      </c>
    </row>
    <row r="1517" spans="17:18" ht="15" customHeight="1" x14ac:dyDescent="0.25">
      <c r="Q1517" t="s">
        <v>2441</v>
      </c>
      <c r="R1517" t="s">
        <v>936</v>
      </c>
    </row>
    <row r="1518" spans="17:18" ht="15" customHeight="1" x14ac:dyDescent="0.25">
      <c r="Q1518" t="s">
        <v>2442</v>
      </c>
      <c r="R1518" t="s">
        <v>936</v>
      </c>
    </row>
    <row r="1519" spans="17:18" ht="15" customHeight="1" x14ac:dyDescent="0.25">
      <c r="Q1519" t="s">
        <v>2443</v>
      </c>
      <c r="R1519" t="s">
        <v>936</v>
      </c>
    </row>
    <row r="1520" spans="17:18" ht="15" customHeight="1" x14ac:dyDescent="0.25">
      <c r="Q1520" t="s">
        <v>2444</v>
      </c>
      <c r="R1520" t="s">
        <v>936</v>
      </c>
    </row>
    <row r="1521" spans="17:18" ht="15" customHeight="1" x14ac:dyDescent="0.25">
      <c r="Q1521" t="s">
        <v>2445</v>
      </c>
      <c r="R1521" t="s">
        <v>936</v>
      </c>
    </row>
    <row r="1522" spans="17:18" ht="15" customHeight="1" x14ac:dyDescent="0.25">
      <c r="Q1522" t="s">
        <v>2446</v>
      </c>
      <c r="R1522" t="s">
        <v>936</v>
      </c>
    </row>
    <row r="1523" spans="17:18" ht="15" customHeight="1" x14ac:dyDescent="0.25">
      <c r="Q1523" t="s">
        <v>2447</v>
      </c>
      <c r="R1523" t="s">
        <v>936</v>
      </c>
    </row>
    <row r="1524" spans="17:18" ht="15" customHeight="1" x14ac:dyDescent="0.25">
      <c r="Q1524" t="s">
        <v>2448</v>
      </c>
      <c r="R1524" t="s">
        <v>936</v>
      </c>
    </row>
    <row r="1525" spans="17:18" ht="15" customHeight="1" x14ac:dyDescent="0.25">
      <c r="Q1525" t="s">
        <v>2449</v>
      </c>
      <c r="R1525" t="s">
        <v>936</v>
      </c>
    </row>
    <row r="1526" spans="17:18" ht="15" customHeight="1" x14ac:dyDescent="0.25">
      <c r="Q1526" t="s">
        <v>2450</v>
      </c>
      <c r="R1526" t="s">
        <v>936</v>
      </c>
    </row>
    <row r="1527" spans="17:18" ht="15" customHeight="1" x14ac:dyDescent="0.25">
      <c r="Q1527" t="s">
        <v>2451</v>
      </c>
      <c r="R1527" t="s">
        <v>291</v>
      </c>
    </row>
    <row r="1528" spans="17:18" ht="15" customHeight="1" x14ac:dyDescent="0.25">
      <c r="Q1528" t="s">
        <v>2452</v>
      </c>
      <c r="R1528" t="s">
        <v>291</v>
      </c>
    </row>
    <row r="1529" spans="17:18" ht="15" customHeight="1" x14ac:dyDescent="0.25">
      <c r="Q1529" t="s">
        <v>2453</v>
      </c>
      <c r="R1529" t="s">
        <v>291</v>
      </c>
    </row>
    <row r="1530" spans="17:18" ht="15" customHeight="1" x14ac:dyDescent="0.25">
      <c r="Q1530" t="s">
        <v>2454</v>
      </c>
      <c r="R1530" t="s">
        <v>291</v>
      </c>
    </row>
    <row r="1531" spans="17:18" ht="15" customHeight="1" x14ac:dyDescent="0.25">
      <c r="Q1531" t="s">
        <v>2455</v>
      </c>
      <c r="R1531" t="s">
        <v>291</v>
      </c>
    </row>
    <row r="1532" spans="17:18" ht="15" customHeight="1" x14ac:dyDescent="0.25">
      <c r="Q1532" t="s">
        <v>2456</v>
      </c>
      <c r="R1532" t="s">
        <v>291</v>
      </c>
    </row>
    <row r="1533" spans="17:18" ht="15" customHeight="1" x14ac:dyDescent="0.25">
      <c r="Q1533" t="s">
        <v>2457</v>
      </c>
      <c r="R1533" t="s">
        <v>291</v>
      </c>
    </row>
    <row r="1534" spans="17:18" ht="15" customHeight="1" x14ac:dyDescent="0.25">
      <c r="Q1534" t="s">
        <v>2458</v>
      </c>
      <c r="R1534" t="s">
        <v>215</v>
      </c>
    </row>
    <row r="1535" spans="17:18" ht="15" customHeight="1" x14ac:dyDescent="0.25">
      <c r="Q1535" t="s">
        <v>2459</v>
      </c>
      <c r="R1535" t="s">
        <v>215</v>
      </c>
    </row>
    <row r="1536" spans="17:18" ht="15" customHeight="1" x14ac:dyDescent="0.25">
      <c r="Q1536" t="s">
        <v>2460</v>
      </c>
      <c r="R1536" t="s">
        <v>215</v>
      </c>
    </row>
    <row r="1537" spans="17:18" ht="15" customHeight="1" x14ac:dyDescent="0.25">
      <c r="Q1537" t="s">
        <v>2461</v>
      </c>
      <c r="R1537" t="s">
        <v>319</v>
      </c>
    </row>
    <row r="1538" spans="17:18" ht="15" customHeight="1" x14ac:dyDescent="0.25">
      <c r="Q1538" t="s">
        <v>2462</v>
      </c>
      <c r="R1538" t="s">
        <v>319</v>
      </c>
    </row>
    <row r="1539" spans="17:18" ht="15" customHeight="1" x14ac:dyDescent="0.25">
      <c r="Q1539" t="s">
        <v>2463</v>
      </c>
      <c r="R1539" t="s">
        <v>215</v>
      </c>
    </row>
    <row r="1540" spans="17:18" ht="15" customHeight="1" x14ac:dyDescent="0.25">
      <c r="Q1540" t="s">
        <v>2464</v>
      </c>
      <c r="R1540" t="s">
        <v>215</v>
      </c>
    </row>
    <row r="1541" spans="17:18" ht="15" customHeight="1" x14ac:dyDescent="0.25">
      <c r="Q1541" t="s">
        <v>2465</v>
      </c>
      <c r="R1541" t="s">
        <v>215</v>
      </c>
    </row>
    <row r="1542" spans="17:18" ht="15" customHeight="1" x14ac:dyDescent="0.25">
      <c r="Q1542" t="s">
        <v>2466</v>
      </c>
      <c r="R1542" t="s">
        <v>215</v>
      </c>
    </row>
    <row r="1543" spans="17:18" ht="15" customHeight="1" x14ac:dyDescent="0.25">
      <c r="Q1543" t="s">
        <v>2467</v>
      </c>
      <c r="R1543" t="s">
        <v>215</v>
      </c>
    </row>
    <row r="1544" spans="17:18" ht="15" customHeight="1" x14ac:dyDescent="0.25">
      <c r="Q1544" t="s">
        <v>2468</v>
      </c>
      <c r="R1544" t="s">
        <v>215</v>
      </c>
    </row>
    <row r="1545" spans="17:18" ht="15" customHeight="1" x14ac:dyDescent="0.25">
      <c r="Q1545" t="s">
        <v>2469</v>
      </c>
      <c r="R1545" t="s">
        <v>215</v>
      </c>
    </row>
    <row r="1546" spans="17:18" ht="15" customHeight="1" x14ac:dyDescent="0.25">
      <c r="Q1546" t="s">
        <v>2470</v>
      </c>
      <c r="R1546" t="s">
        <v>215</v>
      </c>
    </row>
    <row r="1547" spans="17:18" ht="15" customHeight="1" x14ac:dyDescent="0.25">
      <c r="Q1547" t="s">
        <v>2471</v>
      </c>
      <c r="R1547" t="s">
        <v>215</v>
      </c>
    </row>
    <row r="1548" spans="17:18" ht="15" customHeight="1" x14ac:dyDescent="0.25">
      <c r="Q1548" t="s">
        <v>2472</v>
      </c>
      <c r="R1548" t="s">
        <v>215</v>
      </c>
    </row>
    <row r="1549" spans="17:18" ht="15" customHeight="1" x14ac:dyDescent="0.25">
      <c r="Q1549" t="s">
        <v>2473</v>
      </c>
      <c r="R1549" t="s">
        <v>215</v>
      </c>
    </row>
    <row r="1550" spans="17:18" ht="15" customHeight="1" x14ac:dyDescent="0.25">
      <c r="Q1550" t="s">
        <v>2474</v>
      </c>
      <c r="R1550" t="s">
        <v>319</v>
      </c>
    </row>
    <row r="1551" spans="17:18" ht="15" customHeight="1" x14ac:dyDescent="0.25">
      <c r="Q1551" t="s">
        <v>2475</v>
      </c>
      <c r="R1551" t="s">
        <v>319</v>
      </c>
    </row>
    <row r="1552" spans="17:18" ht="15" customHeight="1" x14ac:dyDescent="0.25">
      <c r="Q1552" t="s">
        <v>2476</v>
      </c>
      <c r="R1552" t="s">
        <v>319</v>
      </c>
    </row>
    <row r="1553" spans="17:18" ht="15" customHeight="1" x14ac:dyDescent="0.25">
      <c r="Q1553" t="s">
        <v>2477</v>
      </c>
      <c r="R1553" t="s">
        <v>319</v>
      </c>
    </row>
    <row r="1554" spans="17:18" ht="15" customHeight="1" x14ac:dyDescent="0.25">
      <c r="Q1554" t="s">
        <v>2478</v>
      </c>
      <c r="R1554" t="s">
        <v>319</v>
      </c>
    </row>
    <row r="1555" spans="17:18" ht="15" customHeight="1" x14ac:dyDescent="0.25">
      <c r="Q1555" t="s">
        <v>2479</v>
      </c>
      <c r="R1555" t="s">
        <v>319</v>
      </c>
    </row>
    <row r="1556" spans="17:18" ht="15" customHeight="1" x14ac:dyDescent="0.25">
      <c r="Q1556" t="s">
        <v>2480</v>
      </c>
      <c r="R1556" t="s">
        <v>319</v>
      </c>
    </row>
    <row r="1557" spans="17:18" ht="15" customHeight="1" x14ac:dyDescent="0.25">
      <c r="Q1557" t="s">
        <v>2481</v>
      </c>
      <c r="R1557" t="s">
        <v>319</v>
      </c>
    </row>
    <row r="1558" spans="17:18" ht="15" customHeight="1" x14ac:dyDescent="0.25">
      <c r="Q1558" t="s">
        <v>2482</v>
      </c>
      <c r="R1558" t="s">
        <v>319</v>
      </c>
    </row>
    <row r="1559" spans="17:18" ht="15" customHeight="1" x14ac:dyDescent="0.25">
      <c r="Q1559" t="s">
        <v>2483</v>
      </c>
      <c r="R1559" t="s">
        <v>319</v>
      </c>
    </row>
    <row r="1560" spans="17:18" ht="15" customHeight="1" x14ac:dyDescent="0.25">
      <c r="Q1560" t="s">
        <v>2484</v>
      </c>
      <c r="R1560" t="s">
        <v>319</v>
      </c>
    </row>
    <row r="1561" spans="17:18" ht="15" customHeight="1" x14ac:dyDescent="0.25">
      <c r="Q1561" t="s">
        <v>2485</v>
      </c>
      <c r="R1561" t="s">
        <v>319</v>
      </c>
    </row>
    <row r="1562" spans="17:18" ht="15" customHeight="1" x14ac:dyDescent="0.25">
      <c r="Q1562" t="s">
        <v>2486</v>
      </c>
      <c r="R1562" t="s">
        <v>319</v>
      </c>
    </row>
    <row r="1563" spans="17:18" ht="15" customHeight="1" x14ac:dyDescent="0.25">
      <c r="Q1563" t="s">
        <v>2487</v>
      </c>
      <c r="R1563" t="s">
        <v>319</v>
      </c>
    </row>
    <row r="1564" spans="17:18" ht="15" customHeight="1" x14ac:dyDescent="0.25">
      <c r="Q1564" t="s">
        <v>2488</v>
      </c>
      <c r="R1564" t="s">
        <v>319</v>
      </c>
    </row>
    <row r="1565" spans="17:18" ht="15" customHeight="1" x14ac:dyDescent="0.25">
      <c r="Q1565" t="s">
        <v>2489</v>
      </c>
      <c r="R1565" t="s">
        <v>319</v>
      </c>
    </row>
    <row r="1566" spans="17:18" ht="15" customHeight="1" x14ac:dyDescent="0.25">
      <c r="Q1566" t="s">
        <v>2490</v>
      </c>
      <c r="R1566" t="s">
        <v>301</v>
      </c>
    </row>
    <row r="1567" spans="17:18" ht="15" customHeight="1" x14ac:dyDescent="0.25">
      <c r="Q1567" t="s">
        <v>2491</v>
      </c>
      <c r="R1567" t="s">
        <v>303</v>
      </c>
    </row>
    <row r="1568" spans="17:18" ht="15" customHeight="1" x14ac:dyDescent="0.25">
      <c r="Q1568" t="s">
        <v>2492</v>
      </c>
      <c r="R1568" t="s">
        <v>309</v>
      </c>
    </row>
    <row r="1569" spans="17:18" ht="15" customHeight="1" x14ac:dyDescent="0.25">
      <c r="Q1569" t="s">
        <v>2493</v>
      </c>
      <c r="R1569" t="s">
        <v>309</v>
      </c>
    </row>
    <row r="1570" spans="17:18" ht="15" customHeight="1" x14ac:dyDescent="0.25">
      <c r="Q1570" t="s">
        <v>2494</v>
      </c>
      <c r="R1570" t="s">
        <v>309</v>
      </c>
    </row>
    <row r="1571" spans="17:18" ht="15" customHeight="1" x14ac:dyDescent="0.25">
      <c r="Q1571" t="s">
        <v>2495</v>
      </c>
      <c r="R1571" t="s">
        <v>309</v>
      </c>
    </row>
    <row r="1572" spans="17:18" ht="15" customHeight="1" x14ac:dyDescent="0.25">
      <c r="Q1572" t="s">
        <v>2496</v>
      </c>
      <c r="R1572" t="s">
        <v>309</v>
      </c>
    </row>
    <row r="1573" spans="17:18" ht="15" customHeight="1" x14ac:dyDescent="0.25">
      <c r="Q1573" t="s">
        <v>2497</v>
      </c>
      <c r="R1573" t="s">
        <v>301</v>
      </c>
    </row>
    <row r="1574" spans="17:18" ht="15" customHeight="1" x14ac:dyDescent="0.25">
      <c r="Q1574" t="s">
        <v>2498</v>
      </c>
      <c r="R1574" t="s">
        <v>303</v>
      </c>
    </row>
    <row r="1575" spans="17:18" ht="15" customHeight="1" x14ac:dyDescent="0.25">
      <c r="Q1575" t="s">
        <v>2499</v>
      </c>
      <c r="R1575" t="s">
        <v>303</v>
      </c>
    </row>
    <row r="1576" spans="17:18" ht="15" customHeight="1" x14ac:dyDescent="0.25">
      <c r="Q1576" t="s">
        <v>2500</v>
      </c>
      <c r="R1576" t="s">
        <v>311</v>
      </c>
    </row>
    <row r="1577" spans="17:18" ht="15" customHeight="1" x14ac:dyDescent="0.25">
      <c r="Q1577" t="s">
        <v>2501</v>
      </c>
      <c r="R1577" t="s">
        <v>211</v>
      </c>
    </row>
    <row r="1578" spans="17:18" ht="15" customHeight="1" x14ac:dyDescent="0.25">
      <c r="Q1578" t="s">
        <v>2502</v>
      </c>
      <c r="R1578" t="s">
        <v>311</v>
      </c>
    </row>
    <row r="1579" spans="17:18" ht="15" customHeight="1" x14ac:dyDescent="0.25">
      <c r="Q1579" t="s">
        <v>2503</v>
      </c>
      <c r="R1579" t="s">
        <v>311</v>
      </c>
    </row>
    <row r="1580" spans="17:18" ht="15" customHeight="1" x14ac:dyDescent="0.25">
      <c r="Q1580" t="s">
        <v>2504</v>
      </c>
      <c r="R1580" t="s">
        <v>311</v>
      </c>
    </row>
    <row r="1581" spans="17:18" ht="15" customHeight="1" x14ac:dyDescent="0.25">
      <c r="Q1581" t="s">
        <v>2505</v>
      </c>
      <c r="R1581" t="s">
        <v>311</v>
      </c>
    </row>
    <row r="1582" spans="17:18" ht="15" customHeight="1" x14ac:dyDescent="0.25">
      <c r="Q1582" t="s">
        <v>2506</v>
      </c>
      <c r="R1582" t="s">
        <v>311</v>
      </c>
    </row>
    <row r="1583" spans="17:18" ht="15" customHeight="1" x14ac:dyDescent="0.25">
      <c r="Q1583" t="s">
        <v>2507</v>
      </c>
      <c r="R1583" t="s">
        <v>311</v>
      </c>
    </row>
    <row r="1584" spans="17:18" ht="15" customHeight="1" x14ac:dyDescent="0.25">
      <c r="Q1584" t="s">
        <v>2508</v>
      </c>
      <c r="R1584" t="s">
        <v>311</v>
      </c>
    </row>
    <row r="1585" spans="17:18" ht="15" customHeight="1" x14ac:dyDescent="0.25">
      <c r="Q1585" t="s">
        <v>2509</v>
      </c>
      <c r="R1585" t="s">
        <v>311</v>
      </c>
    </row>
    <row r="1586" spans="17:18" ht="15" customHeight="1" x14ac:dyDescent="0.25">
      <c r="Q1586" t="s">
        <v>2510</v>
      </c>
      <c r="R1586" t="s">
        <v>311</v>
      </c>
    </row>
    <row r="1587" spans="17:18" ht="15" customHeight="1" x14ac:dyDescent="0.25">
      <c r="Q1587" t="s">
        <v>2511</v>
      </c>
      <c r="R1587" t="s">
        <v>311</v>
      </c>
    </row>
    <row r="1588" spans="17:18" ht="15" customHeight="1" x14ac:dyDescent="0.25">
      <c r="Q1588" t="s">
        <v>2512</v>
      </c>
      <c r="R1588" t="s">
        <v>311</v>
      </c>
    </row>
    <row r="1589" spans="17:18" ht="15" customHeight="1" x14ac:dyDescent="0.25">
      <c r="Q1589" t="s">
        <v>2513</v>
      </c>
      <c r="R1589" t="s">
        <v>311</v>
      </c>
    </row>
    <row r="1590" spans="17:18" ht="15" customHeight="1" x14ac:dyDescent="0.25">
      <c r="Q1590" t="s">
        <v>2514</v>
      </c>
      <c r="R1590" t="s">
        <v>311</v>
      </c>
    </row>
    <row r="1591" spans="17:18" ht="15" customHeight="1" x14ac:dyDescent="0.25">
      <c r="Q1591" t="s">
        <v>2515</v>
      </c>
      <c r="R1591" t="s">
        <v>311</v>
      </c>
    </row>
    <row r="1592" spans="17:18" ht="15" customHeight="1" x14ac:dyDescent="0.25">
      <c r="Q1592" t="s">
        <v>2516</v>
      </c>
      <c r="R1592" t="s">
        <v>311</v>
      </c>
    </row>
    <row r="1593" spans="17:18" ht="15" customHeight="1" x14ac:dyDescent="0.25">
      <c r="Q1593" t="s">
        <v>2517</v>
      </c>
      <c r="R1593" t="s">
        <v>311</v>
      </c>
    </row>
    <row r="1594" spans="17:18" ht="15" customHeight="1" x14ac:dyDescent="0.25">
      <c r="Q1594" t="s">
        <v>2518</v>
      </c>
      <c r="R1594" t="s">
        <v>311</v>
      </c>
    </row>
    <row r="1595" spans="17:18" ht="15" customHeight="1" x14ac:dyDescent="0.25">
      <c r="Q1595" t="s">
        <v>2519</v>
      </c>
      <c r="R1595" t="s">
        <v>309</v>
      </c>
    </row>
    <row r="1596" spans="17:18" ht="15" customHeight="1" x14ac:dyDescent="0.25">
      <c r="Q1596" t="s">
        <v>2520</v>
      </c>
      <c r="R1596" t="s">
        <v>309</v>
      </c>
    </row>
    <row r="1597" spans="17:18" ht="15" customHeight="1" x14ac:dyDescent="0.25">
      <c r="Q1597" t="s">
        <v>2521</v>
      </c>
      <c r="R1597" t="s">
        <v>309</v>
      </c>
    </row>
    <row r="1598" spans="17:18" ht="15" customHeight="1" x14ac:dyDescent="0.25">
      <c r="Q1598" t="s">
        <v>2522</v>
      </c>
      <c r="R1598" t="s">
        <v>309</v>
      </c>
    </row>
    <row r="1599" spans="17:18" ht="15" customHeight="1" x14ac:dyDescent="0.25">
      <c r="Q1599" t="s">
        <v>2523</v>
      </c>
      <c r="R1599" t="s">
        <v>309</v>
      </c>
    </row>
    <row r="1600" spans="17:18" ht="15" customHeight="1" x14ac:dyDescent="0.25">
      <c r="Q1600" t="s">
        <v>2524</v>
      </c>
      <c r="R1600" t="s">
        <v>309</v>
      </c>
    </row>
    <row r="1601" spans="17:18" ht="15" customHeight="1" x14ac:dyDescent="0.25">
      <c r="Q1601" t="s">
        <v>2525</v>
      </c>
      <c r="R1601" t="s">
        <v>297</v>
      </c>
    </row>
    <row r="1602" spans="17:18" ht="15" customHeight="1" x14ac:dyDescent="0.25">
      <c r="Q1602" t="s">
        <v>2526</v>
      </c>
      <c r="R1602" t="s">
        <v>297</v>
      </c>
    </row>
    <row r="1603" spans="17:18" ht="15" customHeight="1" x14ac:dyDescent="0.25">
      <c r="Q1603" t="s">
        <v>2527</v>
      </c>
      <c r="R1603" t="s">
        <v>297</v>
      </c>
    </row>
    <row r="1604" spans="17:18" ht="15" customHeight="1" x14ac:dyDescent="0.25">
      <c r="Q1604" t="s">
        <v>2528</v>
      </c>
      <c r="R1604" t="s">
        <v>297</v>
      </c>
    </row>
    <row r="1605" spans="17:18" ht="15" customHeight="1" x14ac:dyDescent="0.25">
      <c r="Q1605" t="s">
        <v>2529</v>
      </c>
      <c r="R1605" t="s">
        <v>299</v>
      </c>
    </row>
    <row r="1606" spans="17:18" ht="15" customHeight="1" x14ac:dyDescent="0.25">
      <c r="Q1606" t="s">
        <v>2530</v>
      </c>
      <c r="R1606" t="s">
        <v>303</v>
      </c>
    </row>
    <row r="1607" spans="17:18" ht="15" customHeight="1" x14ac:dyDescent="0.25">
      <c r="Q1607" t="s">
        <v>2531</v>
      </c>
      <c r="R1607" t="s">
        <v>311</v>
      </c>
    </row>
    <row r="1608" spans="17:18" ht="15" customHeight="1" x14ac:dyDescent="0.25">
      <c r="Q1608" t="s">
        <v>2532</v>
      </c>
      <c r="R1608" t="s">
        <v>311</v>
      </c>
    </row>
    <row r="1609" spans="17:18" ht="15" customHeight="1" x14ac:dyDescent="0.25">
      <c r="Q1609" t="s">
        <v>2533</v>
      </c>
      <c r="R1609" t="s">
        <v>311</v>
      </c>
    </row>
    <row r="1610" spans="17:18" ht="15" customHeight="1" x14ac:dyDescent="0.25">
      <c r="Q1610" t="s">
        <v>2534</v>
      </c>
      <c r="R1610" t="s">
        <v>311</v>
      </c>
    </row>
    <row r="1611" spans="17:18" ht="15" customHeight="1" x14ac:dyDescent="0.25">
      <c r="Q1611" t="s">
        <v>2535</v>
      </c>
      <c r="R1611" t="s">
        <v>311</v>
      </c>
    </row>
    <row r="1612" spans="17:18" ht="15" customHeight="1" x14ac:dyDescent="0.25">
      <c r="Q1612" t="s">
        <v>2536</v>
      </c>
      <c r="R1612" t="s">
        <v>311</v>
      </c>
    </row>
    <row r="1613" spans="17:18" ht="15" customHeight="1" x14ac:dyDescent="0.25">
      <c r="Q1613" t="s">
        <v>2537</v>
      </c>
      <c r="R1613" t="s">
        <v>311</v>
      </c>
    </row>
    <row r="1614" spans="17:18" ht="15" customHeight="1" x14ac:dyDescent="0.25">
      <c r="Q1614" t="s">
        <v>2538</v>
      </c>
      <c r="R1614" t="s">
        <v>311</v>
      </c>
    </row>
    <row r="1615" spans="17:18" ht="15" customHeight="1" x14ac:dyDescent="0.25">
      <c r="Q1615" t="s">
        <v>2539</v>
      </c>
      <c r="R1615" t="s">
        <v>311</v>
      </c>
    </row>
    <row r="1616" spans="17:18" ht="15" customHeight="1" x14ac:dyDescent="0.25">
      <c r="Q1616" t="s">
        <v>2540</v>
      </c>
      <c r="R1616" t="s">
        <v>311</v>
      </c>
    </row>
    <row r="1617" spans="17:18" ht="15" customHeight="1" x14ac:dyDescent="0.25">
      <c r="Q1617" t="s">
        <v>2541</v>
      </c>
      <c r="R1617" t="s">
        <v>311</v>
      </c>
    </row>
    <row r="1618" spans="17:18" ht="15" customHeight="1" x14ac:dyDescent="0.25">
      <c r="Q1618" t="s">
        <v>2542</v>
      </c>
      <c r="R1618" t="s">
        <v>311</v>
      </c>
    </row>
    <row r="1619" spans="17:18" ht="15" customHeight="1" x14ac:dyDescent="0.25">
      <c r="Q1619" t="s">
        <v>2543</v>
      </c>
      <c r="R1619" t="s">
        <v>311</v>
      </c>
    </row>
    <row r="1620" spans="17:18" ht="15" customHeight="1" x14ac:dyDescent="0.25">
      <c r="Q1620" t="s">
        <v>2544</v>
      </c>
      <c r="R1620" t="s">
        <v>311</v>
      </c>
    </row>
    <row r="1621" spans="17:18" ht="15" customHeight="1" x14ac:dyDescent="0.25">
      <c r="Q1621" t="s">
        <v>2545</v>
      </c>
      <c r="R1621" t="s">
        <v>311</v>
      </c>
    </row>
    <row r="1622" spans="17:18" ht="15" customHeight="1" x14ac:dyDescent="0.25">
      <c r="Q1622" t="s">
        <v>2546</v>
      </c>
      <c r="R1622" t="s">
        <v>311</v>
      </c>
    </row>
    <row r="1623" spans="17:18" ht="15" customHeight="1" x14ac:dyDescent="0.25">
      <c r="Q1623" t="s">
        <v>2547</v>
      </c>
      <c r="R1623" t="s">
        <v>311</v>
      </c>
    </row>
    <row r="1624" spans="17:18" ht="15" customHeight="1" x14ac:dyDescent="0.25">
      <c r="Q1624" t="s">
        <v>2548</v>
      </c>
      <c r="R1624" t="s">
        <v>311</v>
      </c>
    </row>
    <row r="1625" spans="17:18" ht="15" customHeight="1" x14ac:dyDescent="0.25">
      <c r="Q1625" t="s">
        <v>2549</v>
      </c>
      <c r="R1625" t="s">
        <v>223</v>
      </c>
    </row>
    <row r="1626" spans="17:18" ht="15" customHeight="1" x14ac:dyDescent="0.25">
      <c r="Q1626" t="s">
        <v>2550</v>
      </c>
      <c r="R1626" t="s">
        <v>223</v>
      </c>
    </row>
    <row r="1627" spans="17:18" ht="15" customHeight="1" x14ac:dyDescent="0.25">
      <c r="Q1627" t="s">
        <v>2551</v>
      </c>
      <c r="R1627" t="s">
        <v>223</v>
      </c>
    </row>
    <row r="1628" spans="17:18" ht="15" customHeight="1" x14ac:dyDescent="0.25">
      <c r="Q1628" t="s">
        <v>2552</v>
      </c>
      <c r="R1628" t="s">
        <v>223</v>
      </c>
    </row>
    <row r="1629" spans="17:18" ht="15" customHeight="1" x14ac:dyDescent="0.25">
      <c r="Q1629" t="s">
        <v>2553</v>
      </c>
      <c r="R1629" t="s">
        <v>221</v>
      </c>
    </row>
    <row r="1630" spans="17:18" ht="15" customHeight="1" x14ac:dyDescent="0.25">
      <c r="Q1630" t="s">
        <v>2554</v>
      </c>
      <c r="R1630" t="s">
        <v>223</v>
      </c>
    </row>
    <row r="1631" spans="17:18" ht="15" customHeight="1" x14ac:dyDescent="0.25">
      <c r="Q1631" t="s">
        <v>2555</v>
      </c>
      <c r="R1631" t="s">
        <v>223</v>
      </c>
    </row>
    <row r="1632" spans="17:18" ht="15" customHeight="1" x14ac:dyDescent="0.25">
      <c r="Q1632" t="s">
        <v>2556</v>
      </c>
      <c r="R1632" t="s">
        <v>223</v>
      </c>
    </row>
    <row r="1633" spans="17:18" ht="15" customHeight="1" x14ac:dyDescent="0.25">
      <c r="Q1633" t="s">
        <v>2557</v>
      </c>
      <c r="R1633" t="s">
        <v>223</v>
      </c>
    </row>
    <row r="1634" spans="17:18" ht="15" customHeight="1" x14ac:dyDescent="0.25">
      <c r="Q1634" t="s">
        <v>2558</v>
      </c>
      <c r="R1634" t="s">
        <v>223</v>
      </c>
    </row>
    <row r="1635" spans="17:18" ht="15" customHeight="1" x14ac:dyDescent="0.25">
      <c r="Q1635" t="s">
        <v>2559</v>
      </c>
      <c r="R1635" t="s">
        <v>223</v>
      </c>
    </row>
    <row r="1636" spans="17:18" ht="15" customHeight="1" x14ac:dyDescent="0.25">
      <c r="Q1636" t="s">
        <v>2560</v>
      </c>
      <c r="R1636" t="s">
        <v>223</v>
      </c>
    </row>
    <row r="1637" spans="17:18" ht="15" customHeight="1" x14ac:dyDescent="0.25">
      <c r="Q1637" t="s">
        <v>2561</v>
      </c>
      <c r="R1637" t="s">
        <v>223</v>
      </c>
    </row>
    <row r="1638" spans="17:18" ht="15" customHeight="1" x14ac:dyDescent="0.25">
      <c r="Q1638" t="s">
        <v>2562</v>
      </c>
      <c r="R1638" t="s">
        <v>223</v>
      </c>
    </row>
    <row r="1639" spans="17:18" ht="15" customHeight="1" x14ac:dyDescent="0.25">
      <c r="Q1639" t="s">
        <v>2563</v>
      </c>
      <c r="R1639" t="s">
        <v>223</v>
      </c>
    </row>
    <row r="1640" spans="17:18" ht="15" customHeight="1" x14ac:dyDescent="0.25">
      <c r="Q1640" t="s">
        <v>2564</v>
      </c>
      <c r="R1640" t="s">
        <v>223</v>
      </c>
    </row>
    <row r="1641" spans="17:18" ht="15" customHeight="1" x14ac:dyDescent="0.25">
      <c r="Q1641" t="s">
        <v>2565</v>
      </c>
      <c r="R1641" t="s">
        <v>223</v>
      </c>
    </row>
    <row r="1642" spans="17:18" ht="15" customHeight="1" x14ac:dyDescent="0.25">
      <c r="Q1642" t="s">
        <v>2566</v>
      </c>
      <c r="R1642" t="s">
        <v>223</v>
      </c>
    </row>
    <row r="1643" spans="17:18" ht="15" customHeight="1" x14ac:dyDescent="0.25">
      <c r="Q1643" t="s">
        <v>2567</v>
      </c>
      <c r="R1643" t="s">
        <v>223</v>
      </c>
    </row>
    <row r="1644" spans="17:18" ht="15" customHeight="1" x14ac:dyDescent="0.25">
      <c r="Q1644" t="s">
        <v>2568</v>
      </c>
      <c r="R1644" t="s">
        <v>223</v>
      </c>
    </row>
    <row r="1645" spans="17:18" ht="15" customHeight="1" x14ac:dyDescent="0.25">
      <c r="Q1645" t="s">
        <v>2569</v>
      </c>
      <c r="R1645" t="s">
        <v>223</v>
      </c>
    </row>
    <row r="1646" spans="17:18" ht="15" customHeight="1" x14ac:dyDescent="0.25">
      <c r="Q1646" t="s">
        <v>2570</v>
      </c>
      <c r="R1646" t="s">
        <v>223</v>
      </c>
    </row>
    <row r="1647" spans="17:18" ht="15" customHeight="1" x14ac:dyDescent="0.25">
      <c r="Q1647" t="s">
        <v>2571</v>
      </c>
      <c r="R1647" t="s">
        <v>223</v>
      </c>
    </row>
    <row r="1648" spans="17:18" ht="15" customHeight="1" x14ac:dyDescent="0.25">
      <c r="Q1648" t="s">
        <v>2572</v>
      </c>
      <c r="R1648" t="s">
        <v>223</v>
      </c>
    </row>
    <row r="1649" spans="17:18" ht="15" customHeight="1" x14ac:dyDescent="0.25">
      <c r="Q1649" t="s">
        <v>2573</v>
      </c>
      <c r="R1649" t="s">
        <v>223</v>
      </c>
    </row>
    <row r="1650" spans="17:18" ht="15" customHeight="1" x14ac:dyDescent="0.25">
      <c r="Q1650" t="s">
        <v>2574</v>
      </c>
      <c r="R1650" t="s">
        <v>223</v>
      </c>
    </row>
    <row r="1651" spans="17:18" ht="15" customHeight="1" x14ac:dyDescent="0.25">
      <c r="Q1651" t="s">
        <v>2575</v>
      </c>
      <c r="R1651" t="s">
        <v>223</v>
      </c>
    </row>
    <row r="1652" spans="17:18" ht="15" customHeight="1" x14ac:dyDescent="0.25">
      <c r="Q1652" t="s">
        <v>2576</v>
      </c>
      <c r="R1652" t="s">
        <v>223</v>
      </c>
    </row>
    <row r="1653" spans="17:18" ht="15" customHeight="1" x14ac:dyDescent="0.25">
      <c r="Q1653" t="s">
        <v>2577</v>
      </c>
      <c r="R1653" t="s">
        <v>223</v>
      </c>
    </row>
    <row r="1654" spans="17:18" ht="15" customHeight="1" x14ac:dyDescent="0.25">
      <c r="Q1654" t="s">
        <v>2578</v>
      </c>
      <c r="R1654" t="s">
        <v>223</v>
      </c>
    </row>
    <row r="1655" spans="17:18" ht="15" customHeight="1" x14ac:dyDescent="0.25">
      <c r="Q1655" t="s">
        <v>2579</v>
      </c>
      <c r="R1655" t="s">
        <v>223</v>
      </c>
    </row>
    <row r="1656" spans="17:18" ht="15" customHeight="1" x14ac:dyDescent="0.25">
      <c r="Q1656" t="s">
        <v>2580</v>
      </c>
      <c r="R1656" t="s">
        <v>223</v>
      </c>
    </row>
    <row r="1657" spans="17:18" ht="15" customHeight="1" x14ac:dyDescent="0.25">
      <c r="Q1657" t="s">
        <v>2581</v>
      </c>
      <c r="R1657" t="s">
        <v>223</v>
      </c>
    </row>
    <row r="1658" spans="17:18" ht="15" customHeight="1" x14ac:dyDescent="0.25">
      <c r="Q1658" t="s">
        <v>2582</v>
      </c>
      <c r="R1658" t="s">
        <v>223</v>
      </c>
    </row>
    <row r="1659" spans="17:18" ht="15" customHeight="1" x14ac:dyDescent="0.25">
      <c r="Q1659" t="s">
        <v>2583</v>
      </c>
      <c r="R1659" t="s">
        <v>223</v>
      </c>
    </row>
    <row r="1660" spans="17:18" ht="15" customHeight="1" x14ac:dyDescent="0.25">
      <c r="Q1660" t="s">
        <v>2584</v>
      </c>
      <c r="R1660" t="s">
        <v>223</v>
      </c>
    </row>
    <row r="1661" spans="17:18" ht="15" customHeight="1" x14ac:dyDescent="0.25">
      <c r="Q1661" t="s">
        <v>2585</v>
      </c>
      <c r="R1661" t="s">
        <v>223</v>
      </c>
    </row>
    <row r="1662" spans="17:18" ht="15" customHeight="1" x14ac:dyDescent="0.25">
      <c r="Q1662" t="s">
        <v>2586</v>
      </c>
      <c r="R1662" t="s">
        <v>223</v>
      </c>
    </row>
    <row r="1663" spans="17:18" ht="15" customHeight="1" x14ac:dyDescent="0.25">
      <c r="Q1663" t="s">
        <v>2587</v>
      </c>
      <c r="R1663" t="s">
        <v>223</v>
      </c>
    </row>
    <row r="1664" spans="17:18" ht="15" customHeight="1" x14ac:dyDescent="0.25">
      <c r="Q1664" t="s">
        <v>2588</v>
      </c>
      <c r="R1664" t="s">
        <v>223</v>
      </c>
    </row>
    <row r="1665" spans="17:18" ht="15" customHeight="1" x14ac:dyDescent="0.25">
      <c r="Q1665" t="s">
        <v>2589</v>
      </c>
      <c r="R1665" t="s">
        <v>223</v>
      </c>
    </row>
    <row r="1666" spans="17:18" ht="15" customHeight="1" x14ac:dyDescent="0.25">
      <c r="Q1666" t="s">
        <v>2590</v>
      </c>
      <c r="R1666" t="s">
        <v>223</v>
      </c>
    </row>
    <row r="1667" spans="17:18" ht="15" customHeight="1" x14ac:dyDescent="0.25">
      <c r="Q1667" t="s">
        <v>2591</v>
      </c>
      <c r="R1667" t="s">
        <v>223</v>
      </c>
    </row>
    <row r="1668" spans="17:18" ht="15" customHeight="1" x14ac:dyDescent="0.25">
      <c r="Q1668" t="s">
        <v>2592</v>
      </c>
      <c r="R1668" t="s">
        <v>223</v>
      </c>
    </row>
    <row r="1669" spans="17:18" ht="15" customHeight="1" x14ac:dyDescent="0.25">
      <c r="Q1669" t="s">
        <v>2593</v>
      </c>
      <c r="R1669" t="s">
        <v>223</v>
      </c>
    </row>
    <row r="1670" spans="17:18" ht="15" customHeight="1" x14ac:dyDescent="0.25">
      <c r="Q1670" t="s">
        <v>2594</v>
      </c>
      <c r="R1670" t="s">
        <v>223</v>
      </c>
    </row>
    <row r="1671" spans="17:18" ht="15" customHeight="1" x14ac:dyDescent="0.25">
      <c r="Q1671" t="s">
        <v>2595</v>
      </c>
      <c r="R1671" t="s">
        <v>223</v>
      </c>
    </row>
    <row r="1672" spans="17:18" ht="15" customHeight="1" x14ac:dyDescent="0.25">
      <c r="Q1672" t="s">
        <v>2596</v>
      </c>
      <c r="R1672" t="s">
        <v>223</v>
      </c>
    </row>
    <row r="1673" spans="17:18" ht="15" customHeight="1" x14ac:dyDescent="0.25">
      <c r="Q1673" t="s">
        <v>2597</v>
      </c>
      <c r="R1673" t="s">
        <v>223</v>
      </c>
    </row>
    <row r="1674" spans="17:18" ht="15" customHeight="1" x14ac:dyDescent="0.25">
      <c r="Q1674" t="s">
        <v>2598</v>
      </c>
      <c r="R1674" t="s">
        <v>223</v>
      </c>
    </row>
    <row r="1675" spans="17:18" ht="15" customHeight="1" x14ac:dyDescent="0.25">
      <c r="Q1675" t="s">
        <v>2599</v>
      </c>
      <c r="R1675" t="s">
        <v>223</v>
      </c>
    </row>
    <row r="1676" spans="17:18" ht="15" customHeight="1" x14ac:dyDescent="0.25">
      <c r="Q1676" t="s">
        <v>2600</v>
      </c>
      <c r="R1676" t="s">
        <v>223</v>
      </c>
    </row>
    <row r="1677" spans="17:18" ht="15" customHeight="1" x14ac:dyDescent="0.25">
      <c r="Q1677" t="s">
        <v>2601</v>
      </c>
      <c r="R1677" t="s">
        <v>223</v>
      </c>
    </row>
    <row r="1678" spans="17:18" ht="15" customHeight="1" x14ac:dyDescent="0.25">
      <c r="Q1678" t="s">
        <v>2602</v>
      </c>
      <c r="R1678" t="s">
        <v>223</v>
      </c>
    </row>
    <row r="1679" spans="17:18" ht="15" customHeight="1" x14ac:dyDescent="0.25">
      <c r="Q1679" t="s">
        <v>2603</v>
      </c>
      <c r="R1679" t="s">
        <v>223</v>
      </c>
    </row>
    <row r="1680" spans="17:18" ht="15" customHeight="1" x14ac:dyDescent="0.25">
      <c r="Q1680" t="s">
        <v>2604</v>
      </c>
      <c r="R1680" t="s">
        <v>223</v>
      </c>
    </row>
    <row r="1681" spans="17:18" ht="15" customHeight="1" x14ac:dyDescent="0.25">
      <c r="Q1681" t="s">
        <v>2605</v>
      </c>
      <c r="R1681" t="s">
        <v>223</v>
      </c>
    </row>
    <row r="1682" spans="17:18" ht="15" customHeight="1" x14ac:dyDescent="0.25">
      <c r="Q1682" t="s">
        <v>2606</v>
      </c>
      <c r="R1682" t="s">
        <v>223</v>
      </c>
    </row>
    <row r="1683" spans="17:18" ht="15" customHeight="1" x14ac:dyDescent="0.25">
      <c r="Q1683" t="s">
        <v>2607</v>
      </c>
      <c r="R1683" t="s">
        <v>223</v>
      </c>
    </row>
    <row r="1684" spans="17:18" ht="15" customHeight="1" x14ac:dyDescent="0.25">
      <c r="Q1684" t="s">
        <v>2608</v>
      </c>
      <c r="R1684" t="s">
        <v>223</v>
      </c>
    </row>
    <row r="1685" spans="17:18" ht="15" customHeight="1" x14ac:dyDescent="0.25">
      <c r="Q1685" t="s">
        <v>2609</v>
      </c>
      <c r="R1685" t="s">
        <v>223</v>
      </c>
    </row>
    <row r="1686" spans="17:18" ht="15" customHeight="1" x14ac:dyDescent="0.25">
      <c r="Q1686" t="s">
        <v>2610</v>
      </c>
      <c r="R1686" t="s">
        <v>223</v>
      </c>
    </row>
    <row r="1687" spans="17:18" ht="15" customHeight="1" x14ac:dyDescent="0.25">
      <c r="Q1687" t="s">
        <v>2611</v>
      </c>
      <c r="R1687" t="s">
        <v>223</v>
      </c>
    </row>
    <row r="1688" spans="17:18" ht="15" customHeight="1" x14ac:dyDescent="0.25">
      <c r="Q1688" t="s">
        <v>2612</v>
      </c>
      <c r="R1688" t="s">
        <v>223</v>
      </c>
    </row>
    <row r="1689" spans="17:18" ht="15" customHeight="1" x14ac:dyDescent="0.25">
      <c r="Q1689" t="s">
        <v>2613</v>
      </c>
      <c r="R1689" t="s">
        <v>223</v>
      </c>
    </row>
    <row r="1690" spans="17:18" ht="15" customHeight="1" x14ac:dyDescent="0.25">
      <c r="Q1690" t="s">
        <v>2614</v>
      </c>
      <c r="R1690" t="s">
        <v>223</v>
      </c>
    </row>
    <row r="1691" spans="17:18" ht="15" customHeight="1" x14ac:dyDescent="0.25">
      <c r="Q1691" t="s">
        <v>2615</v>
      </c>
      <c r="R1691" t="s">
        <v>223</v>
      </c>
    </row>
    <row r="1692" spans="17:18" ht="15" customHeight="1" x14ac:dyDescent="0.25">
      <c r="Q1692" t="s">
        <v>2616</v>
      </c>
      <c r="R1692" t="s">
        <v>223</v>
      </c>
    </row>
    <row r="1693" spans="17:18" ht="15" customHeight="1" x14ac:dyDescent="0.25">
      <c r="Q1693" t="s">
        <v>2617</v>
      </c>
      <c r="R1693" t="s">
        <v>2618</v>
      </c>
    </row>
    <row r="1694" spans="17:18" ht="15" customHeight="1" x14ac:dyDescent="0.25">
      <c r="Q1694" t="s">
        <v>2619</v>
      </c>
      <c r="R1694" t="s">
        <v>2618</v>
      </c>
    </row>
    <row r="1695" spans="17:18" ht="15" customHeight="1" x14ac:dyDescent="0.25">
      <c r="Q1695" t="s">
        <v>2620</v>
      </c>
      <c r="R1695" t="s">
        <v>2618</v>
      </c>
    </row>
    <row r="1696" spans="17:18" ht="15" customHeight="1" x14ac:dyDescent="0.25">
      <c r="Q1696" t="s">
        <v>2621</v>
      </c>
      <c r="R1696" t="s">
        <v>223</v>
      </c>
    </row>
    <row r="1697" spans="17:18" ht="15" customHeight="1" x14ac:dyDescent="0.25">
      <c r="Q1697" t="s">
        <v>2622</v>
      </c>
      <c r="R1697" t="s">
        <v>223</v>
      </c>
    </row>
    <row r="1698" spans="17:18" ht="15" customHeight="1" x14ac:dyDescent="0.25">
      <c r="Q1698" t="s">
        <v>2623</v>
      </c>
      <c r="R1698" t="s">
        <v>223</v>
      </c>
    </row>
    <row r="1699" spans="17:18" ht="15" customHeight="1" x14ac:dyDescent="0.25">
      <c r="Q1699" t="s">
        <v>2624</v>
      </c>
      <c r="R1699" t="s">
        <v>223</v>
      </c>
    </row>
    <row r="1700" spans="17:18" ht="15" customHeight="1" x14ac:dyDescent="0.25">
      <c r="Q1700" t="s">
        <v>2625</v>
      </c>
      <c r="R1700" t="s">
        <v>223</v>
      </c>
    </row>
    <row r="1701" spans="17:18" ht="15" customHeight="1" x14ac:dyDescent="0.25">
      <c r="Q1701" t="s">
        <v>2626</v>
      </c>
      <c r="R1701" t="s">
        <v>223</v>
      </c>
    </row>
    <row r="1702" spans="17:18" ht="15" customHeight="1" x14ac:dyDescent="0.25">
      <c r="Q1702" t="s">
        <v>2627</v>
      </c>
      <c r="R1702" t="s">
        <v>223</v>
      </c>
    </row>
    <row r="1703" spans="17:18" ht="15" customHeight="1" x14ac:dyDescent="0.25">
      <c r="Q1703" t="s">
        <v>2628</v>
      </c>
      <c r="R1703" t="s">
        <v>223</v>
      </c>
    </row>
    <row r="1704" spans="17:18" ht="15" customHeight="1" x14ac:dyDescent="0.25">
      <c r="Q1704" t="s">
        <v>2629</v>
      </c>
      <c r="R1704" t="s">
        <v>223</v>
      </c>
    </row>
    <row r="1705" spans="17:18" ht="15" customHeight="1" x14ac:dyDescent="0.25">
      <c r="Q1705" t="s">
        <v>2630</v>
      </c>
      <c r="R1705" t="s">
        <v>2618</v>
      </c>
    </row>
    <row r="1706" spans="17:18" ht="15" customHeight="1" x14ac:dyDescent="0.25">
      <c r="Q1706" t="s">
        <v>2631</v>
      </c>
      <c r="R1706" t="s">
        <v>2618</v>
      </c>
    </row>
    <row r="1707" spans="17:18" ht="15" customHeight="1" x14ac:dyDescent="0.25">
      <c r="Q1707" t="s">
        <v>2632</v>
      </c>
      <c r="R1707" t="s">
        <v>2618</v>
      </c>
    </row>
    <row r="1708" spans="17:18" ht="15" customHeight="1" x14ac:dyDescent="0.25">
      <c r="Q1708" t="s">
        <v>2633</v>
      </c>
      <c r="R1708" t="s">
        <v>2618</v>
      </c>
    </row>
    <row r="1709" spans="17:18" ht="15" customHeight="1" x14ac:dyDescent="0.25">
      <c r="Q1709" t="s">
        <v>2634</v>
      </c>
      <c r="R1709" t="s">
        <v>2618</v>
      </c>
    </row>
    <row r="1710" spans="17:18" ht="15" customHeight="1" x14ac:dyDescent="0.25">
      <c r="Q1710" t="s">
        <v>2635</v>
      </c>
      <c r="R1710" t="s">
        <v>2618</v>
      </c>
    </row>
    <row r="1711" spans="17:18" ht="15" customHeight="1" x14ac:dyDescent="0.25">
      <c r="Q1711" t="s">
        <v>2636</v>
      </c>
      <c r="R1711" t="s">
        <v>2618</v>
      </c>
    </row>
    <row r="1712" spans="17:18" ht="15" customHeight="1" x14ac:dyDescent="0.25">
      <c r="Q1712" t="s">
        <v>2637</v>
      </c>
      <c r="R1712" t="s">
        <v>2618</v>
      </c>
    </row>
    <row r="1713" spans="17:18" ht="15" customHeight="1" x14ac:dyDescent="0.25">
      <c r="Q1713" t="s">
        <v>2638</v>
      </c>
      <c r="R1713" t="s">
        <v>2618</v>
      </c>
    </row>
    <row r="1714" spans="17:18" ht="15" customHeight="1" x14ac:dyDescent="0.25">
      <c r="Q1714" t="s">
        <v>2639</v>
      </c>
      <c r="R1714" t="s">
        <v>2618</v>
      </c>
    </row>
    <row r="1715" spans="17:18" ht="15" customHeight="1" x14ac:dyDescent="0.25">
      <c r="Q1715" t="s">
        <v>2640</v>
      </c>
      <c r="R1715" t="s">
        <v>2618</v>
      </c>
    </row>
    <row r="1716" spans="17:18" ht="15" customHeight="1" x14ac:dyDescent="0.25">
      <c r="Q1716" t="s">
        <v>2641</v>
      </c>
      <c r="R1716" t="s">
        <v>223</v>
      </c>
    </row>
    <row r="1717" spans="17:18" ht="15" customHeight="1" x14ac:dyDescent="0.25">
      <c r="Q1717" t="s">
        <v>2642</v>
      </c>
      <c r="R1717" t="s">
        <v>223</v>
      </c>
    </row>
    <row r="1718" spans="17:18" ht="15" customHeight="1" x14ac:dyDescent="0.25">
      <c r="Q1718" t="s">
        <v>2643</v>
      </c>
      <c r="R1718" t="s">
        <v>223</v>
      </c>
    </row>
    <row r="1719" spans="17:18" ht="15" customHeight="1" x14ac:dyDescent="0.25">
      <c r="Q1719" t="s">
        <v>2644</v>
      </c>
      <c r="R1719" t="s">
        <v>223</v>
      </c>
    </row>
    <row r="1720" spans="17:18" ht="15" customHeight="1" x14ac:dyDescent="0.25">
      <c r="Q1720" t="s">
        <v>2645</v>
      </c>
      <c r="R1720" t="s">
        <v>223</v>
      </c>
    </row>
    <row r="1721" spans="17:18" ht="15" customHeight="1" x14ac:dyDescent="0.25">
      <c r="Q1721" t="s">
        <v>2646</v>
      </c>
      <c r="R1721" t="s">
        <v>2618</v>
      </c>
    </row>
    <row r="1722" spans="17:18" ht="15" customHeight="1" x14ac:dyDescent="0.25">
      <c r="Q1722" t="s">
        <v>2647</v>
      </c>
      <c r="R1722" t="s">
        <v>2618</v>
      </c>
    </row>
    <row r="1723" spans="17:18" ht="15" customHeight="1" x14ac:dyDescent="0.25">
      <c r="Q1723" t="s">
        <v>2648</v>
      </c>
      <c r="R1723" t="s">
        <v>2618</v>
      </c>
    </row>
    <row r="1724" spans="17:18" ht="15" customHeight="1" x14ac:dyDescent="0.25">
      <c r="Q1724" t="s">
        <v>2649</v>
      </c>
      <c r="R1724" t="s">
        <v>2618</v>
      </c>
    </row>
    <row r="1725" spans="17:18" ht="15" customHeight="1" x14ac:dyDescent="0.25">
      <c r="Q1725" t="s">
        <v>2650</v>
      </c>
      <c r="R1725" t="s">
        <v>2618</v>
      </c>
    </row>
    <row r="1726" spans="17:18" ht="15" customHeight="1" x14ac:dyDescent="0.25">
      <c r="Q1726" t="s">
        <v>2651</v>
      </c>
      <c r="R1726" t="s">
        <v>2618</v>
      </c>
    </row>
    <row r="1727" spans="17:18" ht="15" customHeight="1" x14ac:dyDescent="0.25">
      <c r="Q1727" t="s">
        <v>2652</v>
      </c>
      <c r="R1727" t="s">
        <v>2618</v>
      </c>
    </row>
    <row r="1728" spans="17:18" ht="15" customHeight="1" x14ac:dyDescent="0.25">
      <c r="Q1728" t="s">
        <v>2653</v>
      </c>
      <c r="R1728" t="s">
        <v>2618</v>
      </c>
    </row>
    <row r="1729" spans="17:18" ht="15" customHeight="1" x14ac:dyDescent="0.25">
      <c r="Q1729" t="s">
        <v>2654</v>
      </c>
      <c r="R1729" t="s">
        <v>2618</v>
      </c>
    </row>
    <row r="1730" spans="17:18" ht="15" customHeight="1" x14ac:dyDescent="0.25">
      <c r="Q1730" t="s">
        <v>2655</v>
      </c>
      <c r="R1730" t="s">
        <v>2618</v>
      </c>
    </row>
    <row r="1731" spans="17:18" ht="15" customHeight="1" x14ac:dyDescent="0.25">
      <c r="Q1731" t="s">
        <v>2656</v>
      </c>
      <c r="R1731" t="s">
        <v>2618</v>
      </c>
    </row>
    <row r="1732" spans="17:18" ht="15" customHeight="1" x14ac:dyDescent="0.25">
      <c r="Q1732" t="s">
        <v>2657</v>
      </c>
      <c r="R1732" t="s">
        <v>2618</v>
      </c>
    </row>
    <row r="1733" spans="17:18" ht="15" customHeight="1" x14ac:dyDescent="0.25">
      <c r="Q1733" t="s">
        <v>2658</v>
      </c>
      <c r="R1733" t="s">
        <v>2618</v>
      </c>
    </row>
    <row r="1734" spans="17:18" ht="15" customHeight="1" x14ac:dyDescent="0.25">
      <c r="Q1734" t="s">
        <v>2659</v>
      </c>
      <c r="R1734" t="s">
        <v>2618</v>
      </c>
    </row>
    <row r="1735" spans="17:18" ht="15" customHeight="1" x14ac:dyDescent="0.25">
      <c r="Q1735" t="s">
        <v>2660</v>
      </c>
      <c r="R1735" t="s">
        <v>2618</v>
      </c>
    </row>
    <row r="1736" spans="17:18" ht="15" customHeight="1" x14ac:dyDescent="0.25">
      <c r="Q1736" t="s">
        <v>2661</v>
      </c>
      <c r="R1736" t="s">
        <v>2618</v>
      </c>
    </row>
    <row r="1737" spans="17:18" ht="15" customHeight="1" x14ac:dyDescent="0.25">
      <c r="Q1737" t="s">
        <v>2662</v>
      </c>
      <c r="R1737" t="s">
        <v>2618</v>
      </c>
    </row>
    <row r="1738" spans="17:18" ht="15" customHeight="1" x14ac:dyDescent="0.25">
      <c r="Q1738" t="s">
        <v>2663</v>
      </c>
      <c r="R1738" t="s">
        <v>2618</v>
      </c>
    </row>
    <row r="1739" spans="17:18" ht="15" customHeight="1" x14ac:dyDescent="0.25">
      <c r="Q1739" t="s">
        <v>2664</v>
      </c>
      <c r="R1739" t="s">
        <v>313</v>
      </c>
    </row>
    <row r="1740" spans="17:18" ht="15" customHeight="1" x14ac:dyDescent="0.25">
      <c r="Q1740" t="s">
        <v>2665</v>
      </c>
      <c r="R1740" t="s">
        <v>2618</v>
      </c>
    </row>
    <row r="1741" spans="17:18" ht="15" customHeight="1" x14ac:dyDescent="0.25">
      <c r="Q1741" t="s">
        <v>2666</v>
      </c>
      <c r="R1741" t="s">
        <v>2618</v>
      </c>
    </row>
    <row r="1742" spans="17:18" ht="15" customHeight="1" x14ac:dyDescent="0.25">
      <c r="Q1742" t="s">
        <v>2667</v>
      </c>
      <c r="R1742" t="s">
        <v>2618</v>
      </c>
    </row>
    <row r="1743" spans="17:18" ht="15" customHeight="1" x14ac:dyDescent="0.25">
      <c r="Q1743" t="s">
        <v>2668</v>
      </c>
      <c r="R1743" t="s">
        <v>2618</v>
      </c>
    </row>
    <row r="1744" spans="17:18" ht="15" customHeight="1" x14ac:dyDescent="0.25">
      <c r="Q1744" t="s">
        <v>2669</v>
      </c>
      <c r="R1744" t="s">
        <v>2618</v>
      </c>
    </row>
    <row r="1745" spans="17:18" ht="15" customHeight="1" x14ac:dyDescent="0.25">
      <c r="Q1745" t="s">
        <v>2670</v>
      </c>
      <c r="R1745" t="s">
        <v>2618</v>
      </c>
    </row>
    <row r="1746" spans="17:18" ht="15" customHeight="1" x14ac:dyDescent="0.25">
      <c r="Q1746" t="s">
        <v>2671</v>
      </c>
      <c r="R1746" t="s">
        <v>2618</v>
      </c>
    </row>
    <row r="1747" spans="17:18" ht="15" customHeight="1" x14ac:dyDescent="0.25">
      <c r="Q1747" t="s">
        <v>2672</v>
      </c>
      <c r="R1747" t="s">
        <v>2618</v>
      </c>
    </row>
    <row r="1748" spans="17:18" ht="15" customHeight="1" x14ac:dyDescent="0.25">
      <c r="Q1748" t="s">
        <v>2673</v>
      </c>
      <c r="R1748" t="s">
        <v>2618</v>
      </c>
    </row>
    <row r="1749" spans="17:18" ht="15" customHeight="1" x14ac:dyDescent="0.25">
      <c r="Q1749" t="s">
        <v>2674</v>
      </c>
      <c r="R1749" t="s">
        <v>2618</v>
      </c>
    </row>
    <row r="1750" spans="17:18" ht="15" customHeight="1" x14ac:dyDescent="0.25">
      <c r="Q1750" t="s">
        <v>2675</v>
      </c>
      <c r="R1750" t="s">
        <v>2618</v>
      </c>
    </row>
    <row r="1751" spans="17:18" ht="15" customHeight="1" x14ac:dyDescent="0.25">
      <c r="Q1751" t="s">
        <v>2676</v>
      </c>
      <c r="R1751" t="s">
        <v>2618</v>
      </c>
    </row>
    <row r="1752" spans="17:18" ht="15" customHeight="1" x14ac:dyDescent="0.25">
      <c r="Q1752" t="s">
        <v>2677</v>
      </c>
      <c r="R1752" t="s">
        <v>2618</v>
      </c>
    </row>
    <row r="1753" spans="17:18" ht="15" customHeight="1" x14ac:dyDescent="0.25">
      <c r="Q1753" t="s">
        <v>2678</v>
      </c>
      <c r="R1753" t="s">
        <v>2618</v>
      </c>
    </row>
    <row r="1754" spans="17:18" ht="15" customHeight="1" x14ac:dyDescent="0.25">
      <c r="Q1754" t="s">
        <v>2679</v>
      </c>
      <c r="R1754" t="s">
        <v>2618</v>
      </c>
    </row>
    <row r="1755" spans="17:18" ht="15" customHeight="1" x14ac:dyDescent="0.25">
      <c r="Q1755" t="s">
        <v>2680</v>
      </c>
      <c r="R1755" t="s">
        <v>2618</v>
      </c>
    </row>
    <row r="1756" spans="17:18" ht="15" customHeight="1" x14ac:dyDescent="0.25">
      <c r="Q1756" t="s">
        <v>2681</v>
      </c>
      <c r="R1756" t="s">
        <v>2618</v>
      </c>
    </row>
    <row r="1757" spans="17:18" ht="15" customHeight="1" x14ac:dyDescent="0.25">
      <c r="Q1757" t="s">
        <v>2682</v>
      </c>
      <c r="R1757" t="s">
        <v>2618</v>
      </c>
    </row>
    <row r="1758" spans="17:18" ht="15" customHeight="1" x14ac:dyDescent="0.25">
      <c r="Q1758" t="s">
        <v>2683</v>
      </c>
      <c r="R1758" t="s">
        <v>2618</v>
      </c>
    </row>
    <row r="1759" spans="17:18" ht="15" customHeight="1" x14ac:dyDescent="0.25">
      <c r="Q1759" t="s">
        <v>2684</v>
      </c>
      <c r="R1759" t="s">
        <v>2618</v>
      </c>
    </row>
    <row r="1760" spans="17:18" ht="15" customHeight="1" x14ac:dyDescent="0.25">
      <c r="Q1760" t="s">
        <v>2685</v>
      </c>
      <c r="R1760" t="s">
        <v>2618</v>
      </c>
    </row>
    <row r="1761" spans="17:18" ht="15" customHeight="1" x14ac:dyDescent="0.25">
      <c r="Q1761" t="s">
        <v>2686</v>
      </c>
      <c r="R1761" t="s">
        <v>2618</v>
      </c>
    </row>
    <row r="1762" spans="17:18" ht="15" customHeight="1" x14ac:dyDescent="0.25">
      <c r="Q1762" t="s">
        <v>2687</v>
      </c>
      <c r="R1762" t="s">
        <v>2618</v>
      </c>
    </row>
    <row r="1763" spans="17:18" ht="15" customHeight="1" x14ac:dyDescent="0.25">
      <c r="Q1763" t="s">
        <v>2688</v>
      </c>
      <c r="R1763" t="s">
        <v>2618</v>
      </c>
    </row>
    <row r="1764" spans="17:18" ht="15" customHeight="1" x14ac:dyDescent="0.25">
      <c r="Q1764" t="s">
        <v>2689</v>
      </c>
      <c r="R1764" t="s">
        <v>2618</v>
      </c>
    </row>
    <row r="1765" spans="17:18" ht="15" customHeight="1" x14ac:dyDescent="0.25">
      <c r="Q1765" t="s">
        <v>2690</v>
      </c>
      <c r="R1765" t="s">
        <v>2618</v>
      </c>
    </row>
    <row r="1766" spans="17:18" ht="15" customHeight="1" x14ac:dyDescent="0.25">
      <c r="Q1766" t="s">
        <v>2691</v>
      </c>
      <c r="R1766" t="s">
        <v>2618</v>
      </c>
    </row>
    <row r="1767" spans="17:18" ht="15" customHeight="1" x14ac:dyDescent="0.25">
      <c r="Q1767" t="s">
        <v>2692</v>
      </c>
      <c r="R1767" t="s">
        <v>2618</v>
      </c>
    </row>
    <row r="1768" spans="17:18" ht="15" customHeight="1" x14ac:dyDescent="0.25">
      <c r="Q1768" t="s">
        <v>2693</v>
      </c>
      <c r="R1768" t="s">
        <v>2618</v>
      </c>
    </row>
    <row r="1769" spans="17:18" ht="15" customHeight="1" x14ac:dyDescent="0.25">
      <c r="Q1769" t="s">
        <v>2694</v>
      </c>
      <c r="R1769" t="s">
        <v>2618</v>
      </c>
    </row>
    <row r="1770" spans="17:18" ht="15" customHeight="1" x14ac:dyDescent="0.25">
      <c r="Q1770" t="s">
        <v>2695</v>
      </c>
      <c r="R1770" t="s">
        <v>2618</v>
      </c>
    </row>
    <row r="1771" spans="17:18" ht="15" customHeight="1" x14ac:dyDescent="0.25">
      <c r="Q1771" t="s">
        <v>2696</v>
      </c>
      <c r="R1771" t="s">
        <v>2618</v>
      </c>
    </row>
    <row r="1772" spans="17:18" ht="15" customHeight="1" x14ac:dyDescent="0.25">
      <c r="Q1772" t="s">
        <v>2697</v>
      </c>
      <c r="R1772" t="s">
        <v>313</v>
      </c>
    </row>
    <row r="1773" spans="17:18" ht="15" customHeight="1" x14ac:dyDescent="0.25">
      <c r="Q1773" t="s">
        <v>2698</v>
      </c>
      <c r="R1773" t="s">
        <v>313</v>
      </c>
    </row>
    <row r="1774" spans="17:18" ht="15" customHeight="1" x14ac:dyDescent="0.25">
      <c r="Q1774" t="s">
        <v>2699</v>
      </c>
      <c r="R1774" t="s">
        <v>2618</v>
      </c>
    </row>
    <row r="1775" spans="17:18" ht="15" customHeight="1" x14ac:dyDescent="0.25">
      <c r="Q1775" t="s">
        <v>2700</v>
      </c>
      <c r="R1775" t="s">
        <v>2618</v>
      </c>
    </row>
    <row r="1776" spans="17:18" ht="15" customHeight="1" x14ac:dyDescent="0.25">
      <c r="Q1776" t="s">
        <v>2701</v>
      </c>
      <c r="R1776" t="s">
        <v>2618</v>
      </c>
    </row>
    <row r="1777" spans="17:18" ht="15" customHeight="1" x14ac:dyDescent="0.25">
      <c r="Q1777" t="s">
        <v>2702</v>
      </c>
      <c r="R1777" t="s">
        <v>2618</v>
      </c>
    </row>
    <row r="1778" spans="17:18" ht="15" customHeight="1" x14ac:dyDescent="0.25">
      <c r="Q1778" t="s">
        <v>2703</v>
      </c>
      <c r="R1778" t="s">
        <v>2618</v>
      </c>
    </row>
    <row r="1779" spans="17:18" ht="15" customHeight="1" x14ac:dyDescent="0.25">
      <c r="Q1779" t="s">
        <v>2704</v>
      </c>
      <c r="R1779" t="s">
        <v>2618</v>
      </c>
    </row>
    <row r="1780" spans="17:18" ht="15" customHeight="1" x14ac:dyDescent="0.25">
      <c r="Q1780" t="s">
        <v>2705</v>
      </c>
      <c r="R1780" t="s">
        <v>2618</v>
      </c>
    </row>
    <row r="1781" spans="17:18" ht="15" customHeight="1" x14ac:dyDescent="0.25">
      <c r="Q1781" t="s">
        <v>2706</v>
      </c>
      <c r="R1781" t="s">
        <v>2618</v>
      </c>
    </row>
    <row r="1782" spans="17:18" ht="15" customHeight="1" x14ac:dyDescent="0.25">
      <c r="Q1782" t="s">
        <v>2707</v>
      </c>
      <c r="R1782" t="s">
        <v>2618</v>
      </c>
    </row>
    <row r="1783" spans="17:18" ht="15" customHeight="1" x14ac:dyDescent="0.25">
      <c r="Q1783" t="s">
        <v>2708</v>
      </c>
      <c r="R1783" t="s">
        <v>2618</v>
      </c>
    </row>
    <row r="1784" spans="17:18" ht="15" customHeight="1" x14ac:dyDescent="0.25">
      <c r="Q1784" t="s">
        <v>2709</v>
      </c>
      <c r="R1784" t="s">
        <v>2618</v>
      </c>
    </row>
    <row r="1785" spans="17:18" ht="15" customHeight="1" x14ac:dyDescent="0.25">
      <c r="Q1785" t="s">
        <v>2710</v>
      </c>
      <c r="R1785" t="s">
        <v>2618</v>
      </c>
    </row>
    <row r="1786" spans="17:18" ht="15" customHeight="1" x14ac:dyDescent="0.25">
      <c r="Q1786" t="s">
        <v>2711</v>
      </c>
      <c r="R1786" t="s">
        <v>2618</v>
      </c>
    </row>
    <row r="1787" spans="17:18" ht="15" customHeight="1" x14ac:dyDescent="0.25">
      <c r="Q1787" t="s">
        <v>2712</v>
      </c>
      <c r="R1787" t="s">
        <v>2618</v>
      </c>
    </row>
    <row r="1788" spans="17:18" ht="15" customHeight="1" x14ac:dyDescent="0.25">
      <c r="Q1788" t="s">
        <v>2713</v>
      </c>
      <c r="R1788" t="s">
        <v>2618</v>
      </c>
    </row>
    <row r="1789" spans="17:18" ht="15" customHeight="1" x14ac:dyDescent="0.25">
      <c r="Q1789" t="s">
        <v>2714</v>
      </c>
      <c r="R1789" t="s">
        <v>313</v>
      </c>
    </row>
    <row r="1790" spans="17:18" ht="15" customHeight="1" x14ac:dyDescent="0.25">
      <c r="Q1790" t="s">
        <v>2715</v>
      </c>
      <c r="R1790" t="s">
        <v>313</v>
      </c>
    </row>
    <row r="1791" spans="17:18" ht="15" customHeight="1" x14ac:dyDescent="0.25">
      <c r="Q1791" t="s">
        <v>2716</v>
      </c>
      <c r="R1791" t="s">
        <v>313</v>
      </c>
    </row>
    <row r="1792" spans="17:18" ht="15" customHeight="1" x14ac:dyDescent="0.25">
      <c r="Q1792" t="s">
        <v>2717</v>
      </c>
      <c r="R1792" t="s">
        <v>313</v>
      </c>
    </row>
    <row r="1793" spans="17:18" ht="15" customHeight="1" x14ac:dyDescent="0.25">
      <c r="Q1793" t="s">
        <v>2718</v>
      </c>
      <c r="R1793" t="s">
        <v>313</v>
      </c>
    </row>
    <row r="1794" spans="17:18" ht="15" customHeight="1" x14ac:dyDescent="0.25">
      <c r="Q1794" t="s">
        <v>2719</v>
      </c>
      <c r="R1794" t="s">
        <v>313</v>
      </c>
    </row>
    <row r="1795" spans="17:18" ht="15" customHeight="1" x14ac:dyDescent="0.25">
      <c r="Q1795" t="s">
        <v>2720</v>
      </c>
      <c r="R1795" t="s">
        <v>313</v>
      </c>
    </row>
    <row r="1796" spans="17:18" ht="15" customHeight="1" x14ac:dyDescent="0.25">
      <c r="Q1796" t="s">
        <v>2721</v>
      </c>
      <c r="R1796" t="s">
        <v>313</v>
      </c>
    </row>
    <row r="1797" spans="17:18" ht="15" customHeight="1" x14ac:dyDescent="0.25">
      <c r="Q1797" t="s">
        <v>2722</v>
      </c>
      <c r="R1797" t="s">
        <v>313</v>
      </c>
    </row>
    <row r="1798" spans="17:18" ht="15" customHeight="1" x14ac:dyDescent="0.25">
      <c r="Q1798" t="s">
        <v>2723</v>
      </c>
      <c r="R1798" t="s">
        <v>313</v>
      </c>
    </row>
    <row r="1799" spans="17:18" ht="15" customHeight="1" x14ac:dyDescent="0.25">
      <c r="Q1799" t="s">
        <v>2724</v>
      </c>
      <c r="R1799" t="s">
        <v>313</v>
      </c>
    </row>
    <row r="1800" spans="17:18" ht="15" customHeight="1" x14ac:dyDescent="0.25">
      <c r="Q1800" t="s">
        <v>2725</v>
      </c>
      <c r="R1800" t="s">
        <v>313</v>
      </c>
    </row>
    <row r="1801" spans="17:18" ht="15" customHeight="1" x14ac:dyDescent="0.25">
      <c r="Q1801" t="s">
        <v>2726</v>
      </c>
      <c r="R1801" t="s">
        <v>313</v>
      </c>
    </row>
    <row r="1802" spans="17:18" ht="15" customHeight="1" x14ac:dyDescent="0.25">
      <c r="Q1802" t="s">
        <v>2727</v>
      </c>
      <c r="R1802" t="s">
        <v>313</v>
      </c>
    </row>
    <row r="1803" spans="17:18" ht="15" customHeight="1" x14ac:dyDescent="0.25">
      <c r="Q1803" t="s">
        <v>2728</v>
      </c>
      <c r="R1803" t="s">
        <v>313</v>
      </c>
    </row>
    <row r="1804" spans="17:18" ht="15" customHeight="1" x14ac:dyDescent="0.25">
      <c r="Q1804" t="s">
        <v>2729</v>
      </c>
      <c r="R1804" t="s">
        <v>2236</v>
      </c>
    </row>
    <row r="1805" spans="17:18" ht="15" customHeight="1" x14ac:dyDescent="0.25">
      <c r="Q1805" t="s">
        <v>2730</v>
      </c>
      <c r="R1805" t="s">
        <v>2731</v>
      </c>
    </row>
    <row r="1806" spans="17:18" ht="15" customHeight="1" x14ac:dyDescent="0.25">
      <c r="Q1806" t="s">
        <v>2732</v>
      </c>
      <c r="R1806" t="s">
        <v>2731</v>
      </c>
    </row>
    <row r="1807" spans="17:18" ht="15" customHeight="1" x14ac:dyDescent="0.25">
      <c r="Q1807" t="s">
        <v>2733</v>
      </c>
      <c r="R1807" t="s">
        <v>2731</v>
      </c>
    </row>
    <row r="1808" spans="17:18" ht="15" customHeight="1" x14ac:dyDescent="0.25">
      <c r="Q1808" t="s">
        <v>2734</v>
      </c>
      <c r="R1808" t="s">
        <v>2731</v>
      </c>
    </row>
    <row r="1809" spans="17:18" ht="15" customHeight="1" x14ac:dyDescent="0.25">
      <c r="Q1809" t="s">
        <v>2735</v>
      </c>
      <c r="R1809" t="s">
        <v>2731</v>
      </c>
    </row>
    <row r="1810" spans="17:18" ht="15" customHeight="1" x14ac:dyDescent="0.25">
      <c r="Q1810" t="s">
        <v>2736</v>
      </c>
      <c r="R1810" t="s">
        <v>2731</v>
      </c>
    </row>
    <row r="1811" spans="17:18" ht="15" customHeight="1" x14ac:dyDescent="0.25">
      <c r="Q1811" t="s">
        <v>2737</v>
      </c>
      <c r="R1811" t="s">
        <v>2731</v>
      </c>
    </row>
    <row r="1812" spans="17:18" ht="15" customHeight="1" x14ac:dyDescent="0.25">
      <c r="Q1812" t="s">
        <v>2738</v>
      </c>
      <c r="R1812" t="s">
        <v>2618</v>
      </c>
    </row>
    <row r="1813" spans="17:18" ht="15" customHeight="1" x14ac:dyDescent="0.25">
      <c r="Q1813" t="s">
        <v>2739</v>
      </c>
      <c r="R1813" t="s">
        <v>2731</v>
      </c>
    </row>
    <row r="1814" spans="17:18" ht="15" customHeight="1" x14ac:dyDescent="0.25">
      <c r="Q1814" t="s">
        <v>2740</v>
      </c>
      <c r="R1814" t="s">
        <v>2731</v>
      </c>
    </row>
    <row r="1815" spans="17:18" ht="15" customHeight="1" x14ac:dyDescent="0.25">
      <c r="Q1815" t="s">
        <v>2741</v>
      </c>
      <c r="R1815" t="s">
        <v>2731</v>
      </c>
    </row>
    <row r="1816" spans="17:18" ht="15" customHeight="1" x14ac:dyDescent="0.25">
      <c r="Q1816" t="s">
        <v>2742</v>
      </c>
      <c r="R1816" t="s">
        <v>2731</v>
      </c>
    </row>
    <row r="1817" spans="17:18" ht="15" customHeight="1" x14ac:dyDescent="0.25">
      <c r="Q1817" t="s">
        <v>2743</v>
      </c>
      <c r="R1817" t="s">
        <v>2731</v>
      </c>
    </row>
    <row r="1818" spans="17:18" ht="15" customHeight="1" x14ac:dyDescent="0.25">
      <c r="Q1818" t="s">
        <v>2744</v>
      </c>
      <c r="R1818" t="s">
        <v>2731</v>
      </c>
    </row>
    <row r="1819" spans="17:18" ht="15" customHeight="1" x14ac:dyDescent="0.25">
      <c r="Q1819" t="s">
        <v>2745</v>
      </c>
      <c r="R1819" t="s">
        <v>2731</v>
      </c>
    </row>
    <row r="1820" spans="17:18" ht="15" customHeight="1" x14ac:dyDescent="0.25">
      <c r="Q1820" t="s">
        <v>2746</v>
      </c>
      <c r="R1820" t="s">
        <v>2731</v>
      </c>
    </row>
    <row r="1821" spans="17:18" ht="15" customHeight="1" x14ac:dyDescent="0.25">
      <c r="Q1821" t="s">
        <v>2747</v>
      </c>
      <c r="R1821" t="s">
        <v>2731</v>
      </c>
    </row>
    <row r="1822" spans="17:18" ht="15" customHeight="1" x14ac:dyDescent="0.25">
      <c r="Q1822" t="s">
        <v>2748</v>
      </c>
      <c r="R1822" t="s">
        <v>2731</v>
      </c>
    </row>
    <row r="1823" spans="17:18" ht="15" customHeight="1" x14ac:dyDescent="0.25">
      <c r="Q1823" t="s">
        <v>2749</v>
      </c>
      <c r="R1823" t="s">
        <v>2731</v>
      </c>
    </row>
    <row r="1824" spans="17:18" ht="15" customHeight="1" x14ac:dyDescent="0.25">
      <c r="Q1824" t="s">
        <v>2750</v>
      </c>
      <c r="R1824" t="s">
        <v>2731</v>
      </c>
    </row>
    <row r="1825" spans="17:18" ht="15" customHeight="1" x14ac:dyDescent="0.25">
      <c r="Q1825" t="s">
        <v>2751</v>
      </c>
      <c r="R1825" t="s">
        <v>2731</v>
      </c>
    </row>
    <row r="1826" spans="17:18" ht="15" customHeight="1" x14ac:dyDescent="0.25">
      <c r="Q1826" t="s">
        <v>2752</v>
      </c>
      <c r="R1826" t="s">
        <v>313</v>
      </c>
    </row>
    <row r="1827" spans="17:18" ht="15" customHeight="1" x14ac:dyDescent="0.25">
      <c r="Q1827" t="s">
        <v>2753</v>
      </c>
      <c r="R1827" t="s">
        <v>2731</v>
      </c>
    </row>
    <row r="1828" spans="17:18" ht="15" customHeight="1" x14ac:dyDescent="0.25">
      <c r="Q1828" t="s">
        <v>2754</v>
      </c>
      <c r="R1828" t="s">
        <v>2731</v>
      </c>
    </row>
    <row r="1829" spans="17:18" ht="15" customHeight="1" x14ac:dyDescent="0.25">
      <c r="Q1829" t="s">
        <v>2755</v>
      </c>
      <c r="R1829" t="s">
        <v>2731</v>
      </c>
    </row>
    <row r="1830" spans="17:18" ht="15" customHeight="1" x14ac:dyDescent="0.25">
      <c r="Q1830" t="s">
        <v>2756</v>
      </c>
      <c r="R1830" t="s">
        <v>307</v>
      </c>
    </row>
    <row r="1831" spans="17:18" ht="15" customHeight="1" x14ac:dyDescent="0.25">
      <c r="Q1831" t="s">
        <v>2757</v>
      </c>
      <c r="R1831" t="s">
        <v>307</v>
      </c>
    </row>
    <row r="1832" spans="17:18" ht="15" customHeight="1" x14ac:dyDescent="0.25">
      <c r="Q1832" t="s">
        <v>2758</v>
      </c>
      <c r="R1832" t="s">
        <v>303</v>
      </c>
    </row>
    <row r="1833" spans="17:18" ht="15" customHeight="1" x14ac:dyDescent="0.25">
      <c r="Q1833" t="s">
        <v>2759</v>
      </c>
      <c r="R1833" t="s">
        <v>307</v>
      </c>
    </row>
    <row r="1834" spans="17:18" ht="15" customHeight="1" x14ac:dyDescent="0.25">
      <c r="Q1834" t="s">
        <v>2760</v>
      </c>
      <c r="R1834" t="s">
        <v>307</v>
      </c>
    </row>
    <row r="1835" spans="17:18" ht="15" customHeight="1" x14ac:dyDescent="0.25">
      <c r="Q1835" t="s">
        <v>2761</v>
      </c>
      <c r="R1835" t="s">
        <v>307</v>
      </c>
    </row>
    <row r="1836" spans="17:18" ht="15" customHeight="1" x14ac:dyDescent="0.25">
      <c r="Q1836" t="s">
        <v>2762</v>
      </c>
      <c r="R1836" t="s">
        <v>307</v>
      </c>
    </row>
    <row r="1837" spans="17:18" ht="15" customHeight="1" x14ac:dyDescent="0.25">
      <c r="Q1837" t="s">
        <v>2763</v>
      </c>
      <c r="R1837" t="s">
        <v>307</v>
      </c>
    </row>
    <row r="1838" spans="17:18" ht="15" customHeight="1" x14ac:dyDescent="0.25">
      <c r="Q1838" t="s">
        <v>2764</v>
      </c>
      <c r="R1838" t="s">
        <v>307</v>
      </c>
    </row>
    <row r="1839" spans="17:18" ht="15" customHeight="1" x14ac:dyDescent="0.25">
      <c r="Q1839" t="s">
        <v>2765</v>
      </c>
      <c r="R1839" t="s">
        <v>307</v>
      </c>
    </row>
    <row r="1840" spans="17:18" ht="15" customHeight="1" x14ac:dyDescent="0.25">
      <c r="Q1840" t="s">
        <v>2766</v>
      </c>
      <c r="R1840" t="s">
        <v>307</v>
      </c>
    </row>
    <row r="1841" spans="17:18" ht="15" customHeight="1" x14ac:dyDescent="0.25">
      <c r="Q1841" t="s">
        <v>2767</v>
      </c>
      <c r="R1841" t="s">
        <v>307</v>
      </c>
    </row>
    <row r="1842" spans="17:18" ht="15" customHeight="1" x14ac:dyDescent="0.25">
      <c r="Q1842" t="s">
        <v>2768</v>
      </c>
      <c r="R1842" t="s">
        <v>307</v>
      </c>
    </row>
    <row r="1843" spans="17:18" ht="15" customHeight="1" x14ac:dyDescent="0.25">
      <c r="Q1843" t="s">
        <v>2769</v>
      </c>
      <c r="R1843" t="s">
        <v>307</v>
      </c>
    </row>
    <row r="1844" spans="17:18" ht="15" customHeight="1" x14ac:dyDescent="0.25">
      <c r="Q1844" t="s">
        <v>2770</v>
      </c>
      <c r="R1844" t="s">
        <v>307</v>
      </c>
    </row>
    <row r="1845" spans="17:18" ht="15" customHeight="1" x14ac:dyDescent="0.25">
      <c r="Q1845" t="s">
        <v>2771</v>
      </c>
      <c r="R1845" t="s">
        <v>307</v>
      </c>
    </row>
    <row r="1846" spans="17:18" ht="15" customHeight="1" x14ac:dyDescent="0.25">
      <c r="Q1846" t="s">
        <v>2772</v>
      </c>
      <c r="R1846" t="s">
        <v>307</v>
      </c>
    </row>
    <row r="1847" spans="17:18" ht="15" customHeight="1" x14ac:dyDescent="0.25">
      <c r="Q1847" t="s">
        <v>2773</v>
      </c>
      <c r="R1847" t="s">
        <v>303</v>
      </c>
    </row>
    <row r="1848" spans="17:18" ht="15" customHeight="1" x14ac:dyDescent="0.25">
      <c r="Q1848" t="s">
        <v>2774</v>
      </c>
      <c r="R1848" t="s">
        <v>303</v>
      </c>
    </row>
    <row r="1849" spans="17:18" ht="15" customHeight="1" x14ac:dyDescent="0.25">
      <c r="Q1849" t="s">
        <v>2775</v>
      </c>
      <c r="R1849" t="s">
        <v>305</v>
      </c>
    </row>
    <row r="1850" spans="17:18" ht="15" customHeight="1" x14ac:dyDescent="0.25">
      <c r="Q1850" t="s">
        <v>2776</v>
      </c>
      <c r="R1850" t="s">
        <v>307</v>
      </c>
    </row>
    <row r="1851" spans="17:18" ht="15" customHeight="1" x14ac:dyDescent="0.25">
      <c r="Q1851" t="s">
        <v>2777</v>
      </c>
      <c r="R1851" t="s">
        <v>303</v>
      </c>
    </row>
    <row r="1852" spans="17:18" ht="15" customHeight="1" x14ac:dyDescent="0.25">
      <c r="Q1852" t="s">
        <v>2778</v>
      </c>
      <c r="R1852" t="s">
        <v>303</v>
      </c>
    </row>
    <row r="1853" spans="17:18" ht="15" customHeight="1" x14ac:dyDescent="0.25">
      <c r="Q1853" t="s">
        <v>2779</v>
      </c>
      <c r="R1853" t="s">
        <v>305</v>
      </c>
    </row>
    <row r="1854" spans="17:18" ht="15" customHeight="1" x14ac:dyDescent="0.25">
      <c r="Q1854" t="s">
        <v>2780</v>
      </c>
      <c r="R1854" t="s">
        <v>303</v>
      </c>
    </row>
    <row r="1855" spans="17:18" ht="15" customHeight="1" x14ac:dyDescent="0.25">
      <c r="Q1855" t="s">
        <v>2781</v>
      </c>
      <c r="R1855" t="s">
        <v>299</v>
      </c>
    </row>
    <row r="1856" spans="17:18" ht="15" customHeight="1" x14ac:dyDescent="0.25">
      <c r="Q1856" t="s">
        <v>2782</v>
      </c>
      <c r="R1856" t="s">
        <v>303</v>
      </c>
    </row>
    <row r="1857" spans="17:18" ht="15" customHeight="1" x14ac:dyDescent="0.25">
      <c r="Q1857" t="s">
        <v>2783</v>
      </c>
      <c r="R1857" t="s">
        <v>259</v>
      </c>
    </row>
    <row r="1858" spans="17:18" ht="15" customHeight="1" x14ac:dyDescent="0.25">
      <c r="Q1858" t="s">
        <v>2784</v>
      </c>
      <c r="R1858" t="s">
        <v>259</v>
      </c>
    </row>
    <row r="1859" spans="17:18" ht="15" customHeight="1" x14ac:dyDescent="0.25">
      <c r="Q1859" t="s">
        <v>2785</v>
      </c>
      <c r="R1859" t="s">
        <v>305</v>
      </c>
    </row>
    <row r="1860" spans="17:18" ht="15" customHeight="1" x14ac:dyDescent="0.25">
      <c r="Q1860" t="s">
        <v>2786</v>
      </c>
      <c r="R1860" t="s">
        <v>299</v>
      </c>
    </row>
    <row r="1861" spans="17:18" ht="15" customHeight="1" x14ac:dyDescent="0.25">
      <c r="Q1861" t="s">
        <v>2787</v>
      </c>
      <c r="R1861" t="s">
        <v>305</v>
      </c>
    </row>
    <row r="1862" spans="17:18" ht="15" customHeight="1" x14ac:dyDescent="0.25">
      <c r="Q1862" t="s">
        <v>2788</v>
      </c>
      <c r="R1862" t="s">
        <v>261</v>
      </c>
    </row>
    <row r="1863" spans="17:18" ht="15" customHeight="1" x14ac:dyDescent="0.25">
      <c r="Q1863" t="s">
        <v>2789</v>
      </c>
      <c r="R1863" t="s">
        <v>305</v>
      </c>
    </row>
    <row r="1864" spans="17:18" ht="15" customHeight="1" x14ac:dyDescent="0.25">
      <c r="Q1864" t="s">
        <v>2790</v>
      </c>
      <c r="R1864" t="s">
        <v>305</v>
      </c>
    </row>
    <row r="1865" spans="17:18" ht="15" customHeight="1" x14ac:dyDescent="0.25">
      <c r="Q1865" t="s">
        <v>2791</v>
      </c>
      <c r="R1865" t="s">
        <v>305</v>
      </c>
    </row>
    <row r="1866" spans="17:18" ht="15" customHeight="1" x14ac:dyDescent="0.25">
      <c r="Q1866" t="s">
        <v>2792</v>
      </c>
      <c r="R1866" t="s">
        <v>299</v>
      </c>
    </row>
    <row r="1867" spans="17:18" ht="15" customHeight="1" x14ac:dyDescent="0.25">
      <c r="Q1867" t="s">
        <v>2793</v>
      </c>
      <c r="R1867" t="s">
        <v>299</v>
      </c>
    </row>
    <row r="1868" spans="17:18" ht="15" customHeight="1" x14ac:dyDescent="0.25">
      <c r="Q1868" t="s">
        <v>2794</v>
      </c>
      <c r="R1868" t="s">
        <v>299</v>
      </c>
    </row>
    <row r="1869" spans="17:18" ht="15" customHeight="1" x14ac:dyDescent="0.25">
      <c r="Q1869" t="s">
        <v>2795</v>
      </c>
      <c r="R1869" t="s">
        <v>299</v>
      </c>
    </row>
    <row r="1870" spans="17:18" ht="15" customHeight="1" x14ac:dyDescent="0.25">
      <c r="Q1870" t="s">
        <v>2796</v>
      </c>
      <c r="R1870" t="s">
        <v>299</v>
      </c>
    </row>
    <row r="1871" spans="17:18" ht="15" customHeight="1" x14ac:dyDescent="0.25">
      <c r="Q1871" t="s">
        <v>2797</v>
      </c>
      <c r="R1871" t="s">
        <v>299</v>
      </c>
    </row>
    <row r="1872" spans="17:18" ht="15" customHeight="1" x14ac:dyDescent="0.25">
      <c r="Q1872" t="s">
        <v>2798</v>
      </c>
      <c r="R1872" t="s">
        <v>299</v>
      </c>
    </row>
    <row r="1873" spans="17:18" ht="15" customHeight="1" x14ac:dyDescent="0.25">
      <c r="Q1873" t="s">
        <v>2799</v>
      </c>
      <c r="R1873" t="s">
        <v>299</v>
      </c>
    </row>
    <row r="1874" spans="17:18" ht="15" customHeight="1" x14ac:dyDescent="0.25">
      <c r="Q1874" t="s">
        <v>2800</v>
      </c>
      <c r="R1874" t="s">
        <v>299</v>
      </c>
    </row>
    <row r="1875" spans="17:18" ht="15" customHeight="1" x14ac:dyDescent="0.25">
      <c r="Q1875" t="s">
        <v>2801</v>
      </c>
      <c r="R1875" t="s">
        <v>299</v>
      </c>
    </row>
    <row r="1876" spans="17:18" ht="15" customHeight="1" x14ac:dyDescent="0.25">
      <c r="Q1876" t="s">
        <v>2802</v>
      </c>
      <c r="R1876" t="s">
        <v>299</v>
      </c>
    </row>
    <row r="1877" spans="17:18" ht="15" customHeight="1" x14ac:dyDescent="0.25">
      <c r="Q1877" t="s">
        <v>2803</v>
      </c>
      <c r="R1877" t="s">
        <v>299</v>
      </c>
    </row>
    <row r="1878" spans="17:18" ht="15" customHeight="1" x14ac:dyDescent="0.25">
      <c r="Q1878" t="s">
        <v>2804</v>
      </c>
      <c r="R1878" t="s">
        <v>299</v>
      </c>
    </row>
    <row r="1879" spans="17:18" ht="15" customHeight="1" x14ac:dyDescent="0.25">
      <c r="Q1879" t="s">
        <v>2805</v>
      </c>
      <c r="R1879" t="s">
        <v>299</v>
      </c>
    </row>
    <row r="1880" spans="17:18" ht="15" customHeight="1" x14ac:dyDescent="0.25">
      <c r="Q1880" t="s">
        <v>2806</v>
      </c>
      <c r="R1880" t="s">
        <v>299</v>
      </c>
    </row>
    <row r="1881" spans="17:18" ht="15" customHeight="1" x14ac:dyDescent="0.25">
      <c r="Q1881" t="s">
        <v>2807</v>
      </c>
      <c r="R1881" t="s">
        <v>299</v>
      </c>
    </row>
    <row r="1882" spans="17:18" ht="15" customHeight="1" x14ac:dyDescent="0.25">
      <c r="Q1882" t="s">
        <v>2808</v>
      </c>
      <c r="R1882" t="s">
        <v>299</v>
      </c>
    </row>
    <row r="1883" spans="17:18" ht="15" customHeight="1" x14ac:dyDescent="0.25">
      <c r="Q1883" t="s">
        <v>2809</v>
      </c>
      <c r="R1883" t="s">
        <v>299</v>
      </c>
    </row>
    <row r="1884" spans="17:18" ht="15" customHeight="1" x14ac:dyDescent="0.25">
      <c r="Q1884" t="s">
        <v>2810</v>
      </c>
      <c r="R1884" t="s">
        <v>299</v>
      </c>
    </row>
    <row r="1885" spans="17:18" ht="15" customHeight="1" x14ac:dyDescent="0.25">
      <c r="Q1885" t="s">
        <v>2811</v>
      </c>
      <c r="R1885" t="s">
        <v>299</v>
      </c>
    </row>
    <row r="1886" spans="17:18" ht="15" customHeight="1" x14ac:dyDescent="0.25">
      <c r="Q1886" t="s">
        <v>2812</v>
      </c>
      <c r="R1886" t="s">
        <v>299</v>
      </c>
    </row>
    <row r="1887" spans="17:18" ht="15" customHeight="1" x14ac:dyDescent="0.25">
      <c r="Q1887" t="s">
        <v>2813</v>
      </c>
      <c r="R1887" t="s">
        <v>299</v>
      </c>
    </row>
    <row r="1888" spans="17:18" ht="15" customHeight="1" x14ac:dyDescent="0.25">
      <c r="Q1888" t="s">
        <v>2814</v>
      </c>
      <c r="R1888" t="s">
        <v>299</v>
      </c>
    </row>
    <row r="1889" spans="17:18" ht="15" customHeight="1" x14ac:dyDescent="0.25">
      <c r="Q1889" t="s">
        <v>2815</v>
      </c>
      <c r="R1889" t="s">
        <v>299</v>
      </c>
    </row>
    <row r="1890" spans="17:18" ht="15" customHeight="1" x14ac:dyDescent="0.25">
      <c r="Q1890" t="s">
        <v>2816</v>
      </c>
      <c r="R1890" t="s">
        <v>299</v>
      </c>
    </row>
    <row r="1891" spans="17:18" ht="15" customHeight="1" x14ac:dyDescent="0.25">
      <c r="Q1891" t="s">
        <v>2817</v>
      </c>
      <c r="R1891" t="s">
        <v>299</v>
      </c>
    </row>
    <row r="1892" spans="17:18" ht="15" customHeight="1" x14ac:dyDescent="0.25">
      <c r="Q1892" t="s">
        <v>2818</v>
      </c>
      <c r="R1892" t="s">
        <v>259</v>
      </c>
    </row>
    <row r="1893" spans="17:18" ht="15" customHeight="1" x14ac:dyDescent="0.25">
      <c r="Q1893" t="s">
        <v>2819</v>
      </c>
      <c r="R1893" t="s">
        <v>261</v>
      </c>
    </row>
    <row r="1894" spans="17:18" ht="15" customHeight="1" x14ac:dyDescent="0.25">
      <c r="Q1894" t="s">
        <v>2820</v>
      </c>
      <c r="R1894" t="s">
        <v>259</v>
      </c>
    </row>
    <row r="1895" spans="17:18" ht="15" customHeight="1" x14ac:dyDescent="0.25">
      <c r="Q1895" t="s">
        <v>2821</v>
      </c>
      <c r="R1895" t="s">
        <v>259</v>
      </c>
    </row>
    <row r="1896" spans="17:18" ht="15" customHeight="1" x14ac:dyDescent="0.25">
      <c r="Q1896" t="s">
        <v>2822</v>
      </c>
      <c r="R1896" t="s">
        <v>259</v>
      </c>
    </row>
    <row r="1897" spans="17:18" ht="15" customHeight="1" x14ac:dyDescent="0.25">
      <c r="Q1897" t="s">
        <v>2823</v>
      </c>
      <c r="R1897" t="s">
        <v>259</v>
      </c>
    </row>
    <row r="1898" spans="17:18" ht="15" customHeight="1" x14ac:dyDescent="0.25">
      <c r="Q1898" t="s">
        <v>2824</v>
      </c>
      <c r="R1898" t="s">
        <v>259</v>
      </c>
    </row>
    <row r="1899" spans="17:18" ht="15" customHeight="1" x14ac:dyDescent="0.25">
      <c r="Q1899" t="s">
        <v>2825</v>
      </c>
      <c r="R1899" t="s">
        <v>261</v>
      </c>
    </row>
    <row r="1900" spans="17:18" ht="15" customHeight="1" x14ac:dyDescent="0.25">
      <c r="Q1900" t="s">
        <v>2826</v>
      </c>
      <c r="R1900" t="s">
        <v>197</v>
      </c>
    </row>
    <row r="1901" spans="17:18" ht="15" customHeight="1" x14ac:dyDescent="0.25">
      <c r="Q1901" t="s">
        <v>2827</v>
      </c>
      <c r="R1901" t="s">
        <v>299</v>
      </c>
    </row>
    <row r="1902" spans="17:18" ht="15" customHeight="1" x14ac:dyDescent="0.25">
      <c r="Q1902" t="s">
        <v>2828</v>
      </c>
      <c r="R1902" t="s">
        <v>299</v>
      </c>
    </row>
    <row r="1903" spans="17:18" ht="15" customHeight="1" x14ac:dyDescent="0.25">
      <c r="Q1903" t="s">
        <v>2829</v>
      </c>
      <c r="R1903" t="s">
        <v>299</v>
      </c>
    </row>
    <row r="1904" spans="17:18" ht="15" customHeight="1" x14ac:dyDescent="0.25">
      <c r="Q1904" t="s">
        <v>2830</v>
      </c>
      <c r="R1904" t="s">
        <v>299</v>
      </c>
    </row>
    <row r="1905" spans="17:18" ht="15" customHeight="1" x14ac:dyDescent="0.25">
      <c r="Q1905" t="s">
        <v>2831</v>
      </c>
      <c r="R1905" t="s">
        <v>299</v>
      </c>
    </row>
    <row r="1906" spans="17:18" ht="15" customHeight="1" x14ac:dyDescent="0.25">
      <c r="Q1906" t="s">
        <v>2832</v>
      </c>
      <c r="R1906" t="s">
        <v>299</v>
      </c>
    </row>
    <row r="1907" spans="17:18" ht="15" customHeight="1" x14ac:dyDescent="0.25">
      <c r="Q1907" t="s">
        <v>2833</v>
      </c>
      <c r="R1907" t="s">
        <v>197</v>
      </c>
    </row>
    <row r="1908" spans="17:18" ht="15" customHeight="1" x14ac:dyDescent="0.25">
      <c r="Q1908" t="s">
        <v>2834</v>
      </c>
      <c r="R1908" t="s">
        <v>197</v>
      </c>
    </row>
    <row r="1909" spans="17:18" ht="15" customHeight="1" x14ac:dyDescent="0.25">
      <c r="Q1909" t="s">
        <v>2835</v>
      </c>
      <c r="R1909" t="s">
        <v>299</v>
      </c>
    </row>
    <row r="1910" spans="17:18" ht="15" customHeight="1" x14ac:dyDescent="0.25">
      <c r="Q1910" t="s">
        <v>2836</v>
      </c>
      <c r="R1910" t="s">
        <v>299</v>
      </c>
    </row>
    <row r="1911" spans="17:18" ht="15" customHeight="1" x14ac:dyDescent="0.25">
      <c r="Q1911" t="s">
        <v>2837</v>
      </c>
      <c r="R1911" t="s">
        <v>299</v>
      </c>
    </row>
    <row r="1912" spans="17:18" ht="15" customHeight="1" x14ac:dyDescent="0.25">
      <c r="Q1912" t="s">
        <v>2838</v>
      </c>
      <c r="R1912" t="s">
        <v>299</v>
      </c>
    </row>
    <row r="1913" spans="17:18" ht="15" customHeight="1" x14ac:dyDescent="0.25">
      <c r="Q1913" t="s">
        <v>2839</v>
      </c>
      <c r="R1913" t="s">
        <v>299</v>
      </c>
    </row>
    <row r="1914" spans="17:18" ht="15" customHeight="1" x14ac:dyDescent="0.25">
      <c r="Q1914" t="s">
        <v>2840</v>
      </c>
      <c r="R1914" t="s">
        <v>299</v>
      </c>
    </row>
    <row r="1915" spans="17:18" ht="15" customHeight="1" x14ac:dyDescent="0.25">
      <c r="Q1915" t="s">
        <v>2841</v>
      </c>
      <c r="R1915" t="s">
        <v>299</v>
      </c>
    </row>
    <row r="1916" spans="17:18" ht="15" customHeight="1" x14ac:dyDescent="0.25">
      <c r="Q1916" t="s">
        <v>2842</v>
      </c>
      <c r="R1916" t="s">
        <v>299</v>
      </c>
    </row>
    <row r="1917" spans="17:18" ht="15" customHeight="1" x14ac:dyDescent="0.25">
      <c r="Q1917" t="s">
        <v>2843</v>
      </c>
      <c r="R1917" t="s">
        <v>299</v>
      </c>
    </row>
    <row r="1918" spans="17:18" ht="15" customHeight="1" x14ac:dyDescent="0.25">
      <c r="Q1918" t="s">
        <v>2844</v>
      </c>
      <c r="R1918" t="s">
        <v>299</v>
      </c>
    </row>
    <row r="1919" spans="17:18" ht="15" customHeight="1" x14ac:dyDescent="0.25">
      <c r="Q1919" t="s">
        <v>2845</v>
      </c>
      <c r="R1919" t="s">
        <v>299</v>
      </c>
    </row>
    <row r="1920" spans="17:18" ht="15" customHeight="1" x14ac:dyDescent="0.25">
      <c r="Q1920" t="s">
        <v>2846</v>
      </c>
      <c r="R1920" t="s">
        <v>299</v>
      </c>
    </row>
    <row r="1921" spans="17:18" ht="15" customHeight="1" x14ac:dyDescent="0.25">
      <c r="Q1921" t="s">
        <v>2847</v>
      </c>
      <c r="R1921" t="s">
        <v>299</v>
      </c>
    </row>
    <row r="1922" spans="17:18" ht="15" customHeight="1" x14ac:dyDescent="0.25">
      <c r="Q1922" t="s">
        <v>2848</v>
      </c>
      <c r="R1922" t="s">
        <v>299</v>
      </c>
    </row>
    <row r="1923" spans="17:18" ht="15" customHeight="1" x14ac:dyDescent="0.25">
      <c r="Q1923" t="s">
        <v>2849</v>
      </c>
      <c r="R1923" t="s">
        <v>299</v>
      </c>
    </row>
    <row r="1924" spans="17:18" ht="15" customHeight="1" x14ac:dyDescent="0.25">
      <c r="Q1924" t="s">
        <v>2850</v>
      </c>
      <c r="R1924" t="s">
        <v>299</v>
      </c>
    </row>
    <row r="1925" spans="17:18" ht="15" customHeight="1" x14ac:dyDescent="0.25">
      <c r="Q1925" t="s">
        <v>2851</v>
      </c>
      <c r="R1925" t="s">
        <v>299</v>
      </c>
    </row>
    <row r="1926" spans="17:18" ht="15" customHeight="1" x14ac:dyDescent="0.25">
      <c r="Q1926" t="s">
        <v>2852</v>
      </c>
      <c r="R1926" t="s">
        <v>299</v>
      </c>
    </row>
    <row r="1927" spans="17:18" ht="15" customHeight="1" x14ac:dyDescent="0.25">
      <c r="Q1927" t="s">
        <v>2853</v>
      </c>
      <c r="R1927" t="s">
        <v>261</v>
      </c>
    </row>
    <row r="1928" spans="17:18" ht="15" customHeight="1" x14ac:dyDescent="0.25">
      <c r="Q1928" t="s">
        <v>2854</v>
      </c>
      <c r="R1928" t="s">
        <v>263</v>
      </c>
    </row>
    <row r="1929" spans="17:18" ht="15" customHeight="1" x14ac:dyDescent="0.25">
      <c r="Q1929" t="s">
        <v>2855</v>
      </c>
      <c r="R1929" t="s">
        <v>261</v>
      </c>
    </row>
    <row r="1930" spans="17:18" ht="15" customHeight="1" x14ac:dyDescent="0.25">
      <c r="Q1930" t="s">
        <v>2856</v>
      </c>
      <c r="R1930" t="s">
        <v>261</v>
      </c>
    </row>
    <row r="1931" spans="17:18" ht="15" customHeight="1" x14ac:dyDescent="0.25">
      <c r="Q1931" t="s">
        <v>2857</v>
      </c>
      <c r="R1931" t="s">
        <v>261</v>
      </c>
    </row>
    <row r="1932" spans="17:18" ht="15" customHeight="1" x14ac:dyDescent="0.25">
      <c r="Q1932" t="s">
        <v>2858</v>
      </c>
      <c r="R1932" t="s">
        <v>263</v>
      </c>
    </row>
    <row r="1933" spans="17:18" ht="15" customHeight="1" x14ac:dyDescent="0.25">
      <c r="Q1933" t="s">
        <v>2859</v>
      </c>
      <c r="R1933" t="s">
        <v>265</v>
      </c>
    </row>
    <row r="1934" spans="17:18" ht="15" customHeight="1" x14ac:dyDescent="0.25">
      <c r="Q1934" t="s">
        <v>2860</v>
      </c>
      <c r="R1934" t="s">
        <v>261</v>
      </c>
    </row>
    <row r="1935" spans="17:18" ht="15" customHeight="1" x14ac:dyDescent="0.25">
      <c r="Q1935" t="s">
        <v>2861</v>
      </c>
      <c r="R1935" t="s">
        <v>261</v>
      </c>
    </row>
    <row r="1936" spans="17:18" ht="15" customHeight="1" x14ac:dyDescent="0.25">
      <c r="Q1936" t="s">
        <v>2862</v>
      </c>
      <c r="R1936" t="s">
        <v>265</v>
      </c>
    </row>
    <row r="1937" spans="17:18" ht="15" customHeight="1" x14ac:dyDescent="0.25">
      <c r="Q1937" t="s">
        <v>2863</v>
      </c>
      <c r="R1937" t="s">
        <v>261</v>
      </c>
    </row>
    <row r="1938" spans="17:18" ht="15" customHeight="1" x14ac:dyDescent="0.25">
      <c r="Q1938" t="s">
        <v>2864</v>
      </c>
      <c r="R1938" t="s">
        <v>261</v>
      </c>
    </row>
    <row r="1939" spans="17:18" ht="15" customHeight="1" x14ac:dyDescent="0.25">
      <c r="Q1939" t="s">
        <v>2865</v>
      </c>
      <c r="R1939" t="s">
        <v>261</v>
      </c>
    </row>
    <row r="1940" spans="17:18" ht="15" customHeight="1" x14ac:dyDescent="0.25">
      <c r="Q1940" t="s">
        <v>2866</v>
      </c>
      <c r="R1940" t="s">
        <v>261</v>
      </c>
    </row>
    <row r="1941" spans="17:18" ht="15" customHeight="1" x14ac:dyDescent="0.25">
      <c r="Q1941" t="s">
        <v>2867</v>
      </c>
      <c r="R1941" t="s">
        <v>261</v>
      </c>
    </row>
    <row r="1942" spans="17:18" ht="15" customHeight="1" x14ac:dyDescent="0.25">
      <c r="Q1942" t="s">
        <v>2868</v>
      </c>
      <c r="R1942" t="s">
        <v>261</v>
      </c>
    </row>
    <row r="1943" spans="17:18" ht="15" customHeight="1" x14ac:dyDescent="0.25">
      <c r="Q1943" t="s">
        <v>2869</v>
      </c>
      <c r="R1943" t="s">
        <v>261</v>
      </c>
    </row>
    <row r="1944" spans="17:18" ht="15" customHeight="1" x14ac:dyDescent="0.25">
      <c r="Q1944" t="s">
        <v>2870</v>
      </c>
      <c r="R1944" t="s">
        <v>261</v>
      </c>
    </row>
    <row r="1945" spans="17:18" ht="15" customHeight="1" x14ac:dyDescent="0.25">
      <c r="Q1945" t="s">
        <v>2871</v>
      </c>
      <c r="R1945" t="s">
        <v>267</v>
      </c>
    </row>
    <row r="1946" spans="17:18" ht="15" customHeight="1" x14ac:dyDescent="0.25">
      <c r="Q1946" t="s">
        <v>2872</v>
      </c>
      <c r="R1946" t="s">
        <v>195</v>
      </c>
    </row>
    <row r="1947" spans="17:18" ht="15" customHeight="1" x14ac:dyDescent="0.25">
      <c r="Q1947" t="s">
        <v>2873</v>
      </c>
      <c r="R1947" t="s">
        <v>197</v>
      </c>
    </row>
    <row r="1948" spans="17:18" ht="15" customHeight="1" x14ac:dyDescent="0.25">
      <c r="Q1948" t="s">
        <v>2874</v>
      </c>
      <c r="R1948" t="s">
        <v>197</v>
      </c>
    </row>
    <row r="1949" spans="17:18" ht="15" customHeight="1" x14ac:dyDescent="0.25">
      <c r="Q1949" t="s">
        <v>2875</v>
      </c>
      <c r="R1949" t="s">
        <v>195</v>
      </c>
    </row>
    <row r="1950" spans="17:18" ht="15" customHeight="1" x14ac:dyDescent="0.25">
      <c r="Q1950" t="s">
        <v>2876</v>
      </c>
      <c r="R1950" t="s">
        <v>195</v>
      </c>
    </row>
    <row r="1951" spans="17:18" ht="15" customHeight="1" x14ac:dyDescent="0.25">
      <c r="Q1951" t="s">
        <v>2877</v>
      </c>
      <c r="R1951" t="s">
        <v>195</v>
      </c>
    </row>
    <row r="1952" spans="17:18" ht="15" customHeight="1" x14ac:dyDescent="0.25">
      <c r="Q1952" t="s">
        <v>2878</v>
      </c>
      <c r="R1952" t="s">
        <v>195</v>
      </c>
    </row>
    <row r="1953" spans="17:18" ht="15" customHeight="1" x14ac:dyDescent="0.25">
      <c r="Q1953" t="s">
        <v>2879</v>
      </c>
      <c r="R1953" t="s">
        <v>299</v>
      </c>
    </row>
    <row r="1954" spans="17:18" ht="15" customHeight="1" x14ac:dyDescent="0.25">
      <c r="Q1954" t="s">
        <v>2880</v>
      </c>
      <c r="R1954" t="s">
        <v>299</v>
      </c>
    </row>
    <row r="1955" spans="17:18" ht="15" customHeight="1" x14ac:dyDescent="0.25">
      <c r="Q1955" t="s">
        <v>2881</v>
      </c>
      <c r="R1955" t="s">
        <v>295</v>
      </c>
    </row>
    <row r="1956" spans="17:18" ht="15" customHeight="1" x14ac:dyDescent="0.25">
      <c r="Q1956" t="s">
        <v>2882</v>
      </c>
      <c r="R1956" t="s">
        <v>1002</v>
      </c>
    </row>
    <row r="1957" spans="17:18" ht="15" customHeight="1" x14ac:dyDescent="0.25">
      <c r="Q1957" t="s">
        <v>2883</v>
      </c>
      <c r="R1957" t="s">
        <v>1002</v>
      </c>
    </row>
    <row r="1958" spans="17:18" ht="15" customHeight="1" x14ac:dyDescent="0.25">
      <c r="Q1958" t="s">
        <v>2884</v>
      </c>
      <c r="R1958" t="s">
        <v>1002</v>
      </c>
    </row>
    <row r="1959" spans="17:18" ht="15" customHeight="1" x14ac:dyDescent="0.25">
      <c r="Q1959" t="s">
        <v>2885</v>
      </c>
      <c r="R1959" t="s">
        <v>197</v>
      </c>
    </row>
    <row r="1960" spans="17:18" ht="15" customHeight="1" x14ac:dyDescent="0.25">
      <c r="Q1960" t="s">
        <v>2886</v>
      </c>
      <c r="R1960" t="s">
        <v>197</v>
      </c>
    </row>
    <row r="1961" spans="17:18" ht="15" customHeight="1" x14ac:dyDescent="0.25">
      <c r="Q1961" t="s">
        <v>2887</v>
      </c>
      <c r="R1961" t="s">
        <v>263</v>
      </c>
    </row>
    <row r="1962" spans="17:18" ht="15" customHeight="1" x14ac:dyDescent="0.25">
      <c r="Q1962" t="s">
        <v>2888</v>
      </c>
      <c r="R1962" t="s">
        <v>265</v>
      </c>
    </row>
    <row r="1963" spans="17:18" ht="15" customHeight="1" x14ac:dyDescent="0.25">
      <c r="Q1963" t="s">
        <v>2889</v>
      </c>
      <c r="R1963" t="s">
        <v>263</v>
      </c>
    </row>
    <row r="1964" spans="17:18" ht="15" customHeight="1" x14ac:dyDescent="0.25">
      <c r="Q1964" t="s">
        <v>2890</v>
      </c>
      <c r="R1964" t="s">
        <v>263</v>
      </c>
    </row>
    <row r="1965" spans="17:18" ht="15" customHeight="1" x14ac:dyDescent="0.25">
      <c r="Q1965" t="s">
        <v>2891</v>
      </c>
      <c r="R1965" t="s">
        <v>263</v>
      </c>
    </row>
    <row r="1966" spans="17:18" ht="15" customHeight="1" x14ac:dyDescent="0.25">
      <c r="Q1966" t="s">
        <v>2892</v>
      </c>
      <c r="R1966" t="s">
        <v>271</v>
      </c>
    </row>
    <row r="1967" spans="17:18" ht="15" customHeight="1" x14ac:dyDescent="0.25">
      <c r="Q1967" t="s">
        <v>2893</v>
      </c>
      <c r="R1967" t="s">
        <v>271</v>
      </c>
    </row>
    <row r="1968" spans="17:18" ht="15" customHeight="1" x14ac:dyDescent="0.25">
      <c r="Q1968" t="s">
        <v>2894</v>
      </c>
      <c r="R1968" t="s">
        <v>283</v>
      </c>
    </row>
    <row r="1969" spans="17:18" ht="15" customHeight="1" x14ac:dyDescent="0.25">
      <c r="Q1969" t="s">
        <v>2895</v>
      </c>
      <c r="R1969" t="s">
        <v>271</v>
      </c>
    </row>
    <row r="1970" spans="17:18" ht="15" customHeight="1" x14ac:dyDescent="0.25">
      <c r="Q1970" t="s">
        <v>2896</v>
      </c>
      <c r="R1970" t="s">
        <v>195</v>
      </c>
    </row>
    <row r="1971" spans="17:18" ht="15" customHeight="1" x14ac:dyDescent="0.25">
      <c r="Q1971" t="s">
        <v>2897</v>
      </c>
      <c r="R1971" t="s">
        <v>1002</v>
      </c>
    </row>
    <row r="1972" spans="17:18" ht="15" customHeight="1" x14ac:dyDescent="0.25">
      <c r="Q1972" t="s">
        <v>2898</v>
      </c>
      <c r="R1972" t="s">
        <v>195</v>
      </c>
    </row>
    <row r="1973" spans="17:18" ht="15" customHeight="1" x14ac:dyDescent="0.25">
      <c r="Q1973" t="s">
        <v>2899</v>
      </c>
      <c r="R1973" t="s">
        <v>195</v>
      </c>
    </row>
    <row r="1974" spans="17:18" ht="15" customHeight="1" x14ac:dyDescent="0.25">
      <c r="Q1974" t="s">
        <v>2900</v>
      </c>
      <c r="R1974" t="s">
        <v>195</v>
      </c>
    </row>
    <row r="1975" spans="17:18" ht="15" customHeight="1" x14ac:dyDescent="0.25">
      <c r="Q1975" t="s">
        <v>2901</v>
      </c>
      <c r="R1975" t="s">
        <v>195</v>
      </c>
    </row>
    <row r="1976" spans="17:18" ht="15" customHeight="1" x14ac:dyDescent="0.25">
      <c r="Q1976" t="s">
        <v>2902</v>
      </c>
      <c r="R1976" t="s">
        <v>195</v>
      </c>
    </row>
    <row r="1977" spans="17:18" ht="15" customHeight="1" x14ac:dyDescent="0.25">
      <c r="Q1977" t="s">
        <v>2903</v>
      </c>
      <c r="R1977" t="s">
        <v>195</v>
      </c>
    </row>
    <row r="1978" spans="17:18" ht="15" customHeight="1" x14ac:dyDescent="0.25">
      <c r="Q1978" t="s">
        <v>2904</v>
      </c>
      <c r="R1978" t="s">
        <v>195</v>
      </c>
    </row>
    <row r="1979" spans="17:18" ht="15" customHeight="1" x14ac:dyDescent="0.25">
      <c r="Q1979" t="s">
        <v>2905</v>
      </c>
      <c r="R1979" t="s">
        <v>195</v>
      </c>
    </row>
    <row r="1980" spans="17:18" ht="15" customHeight="1" x14ac:dyDescent="0.25">
      <c r="Q1980" t="s">
        <v>2906</v>
      </c>
      <c r="R1980" t="s">
        <v>195</v>
      </c>
    </row>
    <row r="1981" spans="17:18" ht="15" customHeight="1" x14ac:dyDescent="0.25">
      <c r="Q1981" t="s">
        <v>2907</v>
      </c>
      <c r="R1981" t="s">
        <v>295</v>
      </c>
    </row>
    <row r="1982" spans="17:18" ht="15" customHeight="1" x14ac:dyDescent="0.25">
      <c r="Q1982" t="s">
        <v>2908</v>
      </c>
      <c r="R1982" t="s">
        <v>295</v>
      </c>
    </row>
    <row r="1983" spans="17:18" ht="15" customHeight="1" x14ac:dyDescent="0.25">
      <c r="Q1983" t="s">
        <v>2909</v>
      </c>
      <c r="R1983" t="s">
        <v>295</v>
      </c>
    </row>
    <row r="1984" spans="17:18" ht="15" customHeight="1" x14ac:dyDescent="0.25">
      <c r="Q1984" t="s">
        <v>2910</v>
      </c>
      <c r="R1984" t="s">
        <v>295</v>
      </c>
    </row>
    <row r="1985" spans="17:18" ht="15" customHeight="1" x14ac:dyDescent="0.25">
      <c r="Q1985" t="s">
        <v>2911</v>
      </c>
      <c r="R1985" t="s">
        <v>195</v>
      </c>
    </row>
    <row r="1986" spans="17:18" ht="15" customHeight="1" x14ac:dyDescent="0.25">
      <c r="Q1986" t="s">
        <v>2912</v>
      </c>
      <c r="R1986" t="s">
        <v>269</v>
      </c>
    </row>
    <row r="1987" spans="17:18" ht="15" customHeight="1" x14ac:dyDescent="0.25">
      <c r="Q1987" t="s">
        <v>2913</v>
      </c>
      <c r="R1987" t="s">
        <v>269</v>
      </c>
    </row>
    <row r="1988" spans="17:18" ht="15" customHeight="1" x14ac:dyDescent="0.25">
      <c r="Q1988" t="s">
        <v>2914</v>
      </c>
      <c r="R1988" t="s">
        <v>269</v>
      </c>
    </row>
    <row r="1989" spans="17:18" ht="15" customHeight="1" x14ac:dyDescent="0.25">
      <c r="Q1989" t="s">
        <v>2915</v>
      </c>
      <c r="R1989" t="s">
        <v>269</v>
      </c>
    </row>
    <row r="1990" spans="17:18" ht="15" customHeight="1" x14ac:dyDescent="0.25">
      <c r="Q1990" t="s">
        <v>2916</v>
      </c>
      <c r="R1990" t="s">
        <v>271</v>
      </c>
    </row>
    <row r="1991" spans="17:18" ht="15" customHeight="1" x14ac:dyDescent="0.25">
      <c r="Q1991" t="s">
        <v>2917</v>
      </c>
      <c r="R1991" t="s">
        <v>271</v>
      </c>
    </row>
    <row r="1992" spans="17:18" ht="15" customHeight="1" x14ac:dyDescent="0.25">
      <c r="Q1992" t="s">
        <v>2918</v>
      </c>
      <c r="R1992" t="s">
        <v>269</v>
      </c>
    </row>
    <row r="1993" spans="17:18" ht="15" customHeight="1" x14ac:dyDescent="0.25">
      <c r="Q1993" t="s">
        <v>2919</v>
      </c>
      <c r="R1993" t="s">
        <v>269</v>
      </c>
    </row>
    <row r="1994" spans="17:18" ht="15" customHeight="1" x14ac:dyDescent="0.25">
      <c r="Q1994" t="s">
        <v>2920</v>
      </c>
      <c r="R1994" t="s">
        <v>269</v>
      </c>
    </row>
    <row r="1995" spans="17:18" ht="15" customHeight="1" x14ac:dyDescent="0.25">
      <c r="Q1995" t="s">
        <v>2921</v>
      </c>
      <c r="R1995" t="s">
        <v>269</v>
      </c>
    </row>
    <row r="1996" spans="17:18" ht="15" customHeight="1" x14ac:dyDescent="0.25">
      <c r="Q1996" t="s">
        <v>2922</v>
      </c>
      <c r="R1996" t="s">
        <v>295</v>
      </c>
    </row>
    <row r="1997" spans="17:18" ht="15" customHeight="1" x14ac:dyDescent="0.25">
      <c r="Q1997" t="s">
        <v>2923</v>
      </c>
      <c r="R1997" t="s">
        <v>295</v>
      </c>
    </row>
    <row r="1998" spans="17:18" ht="15" customHeight="1" x14ac:dyDescent="0.25">
      <c r="Q1998" t="s">
        <v>2924</v>
      </c>
      <c r="R1998" t="s">
        <v>295</v>
      </c>
    </row>
    <row r="1999" spans="17:18" ht="15" customHeight="1" x14ac:dyDescent="0.25">
      <c r="Q1999" t="s">
        <v>2925</v>
      </c>
      <c r="R1999" t="s">
        <v>295</v>
      </c>
    </row>
    <row r="2000" spans="17:18" ht="15" customHeight="1" x14ac:dyDescent="0.25">
      <c r="Q2000" t="s">
        <v>2926</v>
      </c>
      <c r="R2000" t="s">
        <v>295</v>
      </c>
    </row>
    <row r="2001" spans="17:18" ht="15" customHeight="1" x14ac:dyDescent="0.25">
      <c r="Q2001" t="s">
        <v>2927</v>
      </c>
      <c r="R2001" t="s">
        <v>295</v>
      </c>
    </row>
    <row r="2002" spans="17:18" ht="15" customHeight="1" x14ac:dyDescent="0.25">
      <c r="Q2002" t="s">
        <v>2928</v>
      </c>
      <c r="R2002" t="s">
        <v>295</v>
      </c>
    </row>
    <row r="2003" spans="17:18" ht="15" customHeight="1" x14ac:dyDescent="0.25">
      <c r="Q2003" t="s">
        <v>2929</v>
      </c>
      <c r="R2003" t="s">
        <v>295</v>
      </c>
    </row>
    <row r="2004" spans="17:18" ht="15" customHeight="1" x14ac:dyDescent="0.25">
      <c r="Q2004" t="s">
        <v>2930</v>
      </c>
      <c r="R2004" t="s">
        <v>295</v>
      </c>
    </row>
    <row r="2005" spans="17:18" ht="15" customHeight="1" x14ac:dyDescent="0.25">
      <c r="Q2005" t="s">
        <v>2931</v>
      </c>
      <c r="R2005" t="s">
        <v>295</v>
      </c>
    </row>
    <row r="2006" spans="17:18" ht="15" customHeight="1" x14ac:dyDescent="0.25">
      <c r="Q2006" t="s">
        <v>2932</v>
      </c>
      <c r="R2006" t="s">
        <v>295</v>
      </c>
    </row>
    <row r="2007" spans="17:18" ht="15" customHeight="1" x14ac:dyDescent="0.25">
      <c r="Q2007" t="s">
        <v>2933</v>
      </c>
      <c r="R2007" t="s">
        <v>295</v>
      </c>
    </row>
    <row r="2008" spans="17:18" ht="15" customHeight="1" x14ac:dyDescent="0.25">
      <c r="Q2008" t="s">
        <v>2934</v>
      </c>
      <c r="R2008" t="s">
        <v>295</v>
      </c>
    </row>
    <row r="2009" spans="17:18" ht="15" customHeight="1" x14ac:dyDescent="0.25">
      <c r="Q2009" t="s">
        <v>2935</v>
      </c>
      <c r="R2009" t="s">
        <v>295</v>
      </c>
    </row>
    <row r="2010" spans="17:18" ht="15" customHeight="1" x14ac:dyDescent="0.25">
      <c r="Q2010" t="s">
        <v>2936</v>
      </c>
      <c r="R2010" t="s">
        <v>275</v>
      </c>
    </row>
    <row r="2011" spans="17:18" ht="15" customHeight="1" x14ac:dyDescent="0.25">
      <c r="Q2011" t="s">
        <v>2937</v>
      </c>
      <c r="R2011" t="s">
        <v>275</v>
      </c>
    </row>
    <row r="2012" spans="17:18" ht="15" customHeight="1" x14ac:dyDescent="0.25">
      <c r="Q2012" t="s">
        <v>2938</v>
      </c>
      <c r="R2012" t="s">
        <v>275</v>
      </c>
    </row>
    <row r="2013" spans="17:18" ht="15" customHeight="1" x14ac:dyDescent="0.25">
      <c r="Q2013" t="s">
        <v>2939</v>
      </c>
      <c r="R2013" t="s">
        <v>275</v>
      </c>
    </row>
    <row r="2014" spans="17:18" ht="15" customHeight="1" x14ac:dyDescent="0.25">
      <c r="Q2014" t="s">
        <v>2940</v>
      </c>
      <c r="R2014" t="s">
        <v>275</v>
      </c>
    </row>
    <row r="2015" spans="17:18" ht="15" customHeight="1" x14ac:dyDescent="0.25">
      <c r="Q2015" t="s">
        <v>2941</v>
      </c>
      <c r="R2015" t="s">
        <v>275</v>
      </c>
    </row>
    <row r="2016" spans="17:18" ht="15" customHeight="1" x14ac:dyDescent="0.25">
      <c r="Q2016" t="s">
        <v>2942</v>
      </c>
      <c r="R2016" t="s">
        <v>275</v>
      </c>
    </row>
    <row r="2017" spans="17:18" ht="15" customHeight="1" x14ac:dyDescent="0.25">
      <c r="Q2017" t="s">
        <v>2943</v>
      </c>
      <c r="R2017" t="s">
        <v>295</v>
      </c>
    </row>
    <row r="2018" spans="17:18" ht="15" customHeight="1" x14ac:dyDescent="0.25">
      <c r="Q2018" t="s">
        <v>2944</v>
      </c>
      <c r="R2018" t="s">
        <v>269</v>
      </c>
    </row>
    <row r="2019" spans="17:18" ht="15" customHeight="1" x14ac:dyDescent="0.25">
      <c r="Q2019" t="s">
        <v>2945</v>
      </c>
      <c r="R2019" t="s">
        <v>269</v>
      </c>
    </row>
    <row r="2020" spans="17:18" ht="15" customHeight="1" x14ac:dyDescent="0.25">
      <c r="Q2020" t="s">
        <v>2946</v>
      </c>
      <c r="R2020" t="s">
        <v>269</v>
      </c>
    </row>
    <row r="2021" spans="17:18" ht="15" customHeight="1" x14ac:dyDescent="0.25">
      <c r="Q2021" t="s">
        <v>2947</v>
      </c>
      <c r="R2021" t="s">
        <v>269</v>
      </c>
    </row>
    <row r="2022" spans="17:18" ht="15" customHeight="1" x14ac:dyDescent="0.25">
      <c r="Q2022" t="s">
        <v>2948</v>
      </c>
      <c r="R2022" t="s">
        <v>277</v>
      </c>
    </row>
    <row r="2023" spans="17:18" ht="15" customHeight="1" x14ac:dyDescent="0.25">
      <c r="Q2023" t="s">
        <v>2949</v>
      </c>
      <c r="R2023" t="s">
        <v>277</v>
      </c>
    </row>
    <row r="2024" spans="17:18" ht="15" customHeight="1" x14ac:dyDescent="0.25">
      <c r="Q2024" t="s">
        <v>2950</v>
      </c>
      <c r="R2024" t="s">
        <v>277</v>
      </c>
    </row>
    <row r="2025" spans="17:18" ht="15" customHeight="1" x14ac:dyDescent="0.25">
      <c r="Q2025" t="s">
        <v>2951</v>
      </c>
      <c r="R2025" t="s">
        <v>277</v>
      </c>
    </row>
    <row r="2026" spans="17:18" ht="15" customHeight="1" x14ac:dyDescent="0.25">
      <c r="Q2026" t="s">
        <v>2952</v>
      </c>
      <c r="R2026" t="s">
        <v>277</v>
      </c>
    </row>
    <row r="2027" spans="17:18" ht="15" customHeight="1" x14ac:dyDescent="0.25">
      <c r="Q2027" t="s">
        <v>2953</v>
      </c>
      <c r="R2027" t="s">
        <v>277</v>
      </c>
    </row>
    <row r="2028" spans="17:18" ht="15" customHeight="1" x14ac:dyDescent="0.25">
      <c r="Q2028" t="s">
        <v>2954</v>
      </c>
      <c r="R2028" t="s">
        <v>277</v>
      </c>
    </row>
    <row r="2029" spans="17:18" ht="15" customHeight="1" x14ac:dyDescent="0.25">
      <c r="Q2029" t="s">
        <v>2955</v>
      </c>
      <c r="R2029" t="s">
        <v>277</v>
      </c>
    </row>
    <row r="2030" spans="17:18" ht="15" customHeight="1" x14ac:dyDescent="0.25">
      <c r="Q2030" t="s">
        <v>2956</v>
      </c>
      <c r="R2030" t="s">
        <v>2957</v>
      </c>
    </row>
    <row r="2031" spans="17:18" ht="15" customHeight="1" x14ac:dyDescent="0.25">
      <c r="Q2031" t="s">
        <v>2958</v>
      </c>
      <c r="R2031" t="s">
        <v>2957</v>
      </c>
    </row>
    <row r="2032" spans="17:18" ht="15" customHeight="1" x14ac:dyDescent="0.25">
      <c r="Q2032" t="s">
        <v>2959</v>
      </c>
      <c r="R2032" t="s">
        <v>2957</v>
      </c>
    </row>
    <row r="2033" spans="17:18" ht="15" customHeight="1" x14ac:dyDescent="0.25">
      <c r="Q2033" t="s">
        <v>2960</v>
      </c>
      <c r="R2033" t="s">
        <v>2957</v>
      </c>
    </row>
    <row r="2034" spans="17:18" ht="15" customHeight="1" x14ac:dyDescent="0.25">
      <c r="Q2034" t="s">
        <v>2961</v>
      </c>
      <c r="R2034" t="s">
        <v>2957</v>
      </c>
    </row>
    <row r="2035" spans="17:18" ht="15" customHeight="1" x14ac:dyDescent="0.25">
      <c r="Q2035" t="s">
        <v>2962</v>
      </c>
      <c r="R2035" t="s">
        <v>2957</v>
      </c>
    </row>
    <row r="2036" spans="17:18" ht="15" customHeight="1" x14ac:dyDescent="0.25">
      <c r="Q2036" t="s">
        <v>2963</v>
      </c>
      <c r="R2036" t="s">
        <v>199</v>
      </c>
    </row>
    <row r="2037" spans="17:18" ht="15" customHeight="1" x14ac:dyDescent="0.25">
      <c r="Q2037" t="s">
        <v>2964</v>
      </c>
      <c r="R2037" t="s">
        <v>199</v>
      </c>
    </row>
    <row r="2038" spans="17:18" ht="15" customHeight="1" x14ac:dyDescent="0.25">
      <c r="Q2038" t="s">
        <v>2965</v>
      </c>
      <c r="R2038" t="s">
        <v>199</v>
      </c>
    </row>
    <row r="2039" spans="17:18" ht="15" customHeight="1" x14ac:dyDescent="0.25">
      <c r="Q2039" t="s">
        <v>2966</v>
      </c>
      <c r="R2039" t="s">
        <v>199</v>
      </c>
    </row>
    <row r="2040" spans="17:18" ht="15" customHeight="1" x14ac:dyDescent="0.25">
      <c r="Q2040" t="s">
        <v>2967</v>
      </c>
      <c r="R2040" t="s">
        <v>199</v>
      </c>
    </row>
    <row r="2041" spans="17:18" ht="15" customHeight="1" x14ac:dyDescent="0.25">
      <c r="Q2041" t="s">
        <v>2968</v>
      </c>
      <c r="R2041" t="s">
        <v>199</v>
      </c>
    </row>
    <row r="2042" spans="17:18" ht="15" customHeight="1" x14ac:dyDescent="0.25">
      <c r="Q2042" t="s">
        <v>2969</v>
      </c>
      <c r="R2042" t="s">
        <v>199</v>
      </c>
    </row>
    <row r="2043" spans="17:18" ht="15" customHeight="1" x14ac:dyDescent="0.25">
      <c r="Q2043" t="s">
        <v>2970</v>
      </c>
      <c r="R2043" t="s">
        <v>199</v>
      </c>
    </row>
    <row r="2044" spans="17:18" ht="15" customHeight="1" x14ac:dyDescent="0.25">
      <c r="Q2044" t="s">
        <v>2971</v>
      </c>
      <c r="R2044" t="s">
        <v>199</v>
      </c>
    </row>
    <row r="2045" spans="17:18" ht="15" customHeight="1" x14ac:dyDescent="0.25">
      <c r="Q2045" t="s">
        <v>2972</v>
      </c>
      <c r="R2045" t="s">
        <v>199</v>
      </c>
    </row>
    <row r="2046" spans="17:18" ht="15" customHeight="1" x14ac:dyDescent="0.25">
      <c r="Q2046" t="s">
        <v>2973</v>
      </c>
      <c r="R2046" t="s">
        <v>199</v>
      </c>
    </row>
    <row r="2047" spans="17:18" ht="15" customHeight="1" x14ac:dyDescent="0.25">
      <c r="Q2047" t="s">
        <v>2974</v>
      </c>
      <c r="R2047" t="s">
        <v>199</v>
      </c>
    </row>
    <row r="2048" spans="17:18" ht="15" customHeight="1" x14ac:dyDescent="0.25">
      <c r="Q2048" t="s">
        <v>2975</v>
      </c>
      <c r="R2048" t="s">
        <v>199</v>
      </c>
    </row>
    <row r="2049" spans="17:18" ht="15" customHeight="1" x14ac:dyDescent="0.25">
      <c r="Q2049" t="s">
        <v>2976</v>
      </c>
      <c r="R2049" t="s">
        <v>199</v>
      </c>
    </row>
    <row r="2050" spans="17:18" ht="15" customHeight="1" x14ac:dyDescent="0.25">
      <c r="Q2050" t="s">
        <v>2977</v>
      </c>
      <c r="R2050" t="s">
        <v>199</v>
      </c>
    </row>
    <row r="2051" spans="17:18" ht="15" customHeight="1" x14ac:dyDescent="0.25">
      <c r="Q2051" t="s">
        <v>2978</v>
      </c>
      <c r="R2051" t="s">
        <v>2979</v>
      </c>
    </row>
    <row r="2052" spans="17:18" ht="15" customHeight="1" x14ac:dyDescent="0.25">
      <c r="Q2052" t="s">
        <v>2980</v>
      </c>
      <c r="R2052" t="s">
        <v>2979</v>
      </c>
    </row>
    <row r="2053" spans="17:18" ht="15" customHeight="1" x14ac:dyDescent="0.25">
      <c r="Q2053" t="s">
        <v>2981</v>
      </c>
      <c r="R2053" t="s">
        <v>2979</v>
      </c>
    </row>
    <row r="2054" spans="17:18" ht="15" customHeight="1" x14ac:dyDescent="0.25">
      <c r="Q2054" t="s">
        <v>2982</v>
      </c>
      <c r="R2054" t="s">
        <v>2979</v>
      </c>
    </row>
    <row r="2055" spans="17:18" ht="15" customHeight="1" x14ac:dyDescent="0.25">
      <c r="Q2055" t="s">
        <v>2983</v>
      </c>
      <c r="R2055" t="s">
        <v>2957</v>
      </c>
    </row>
    <row r="2056" spans="17:18" ht="15" customHeight="1" x14ac:dyDescent="0.25">
      <c r="Q2056" t="s">
        <v>2984</v>
      </c>
      <c r="R2056" t="s">
        <v>2957</v>
      </c>
    </row>
    <row r="2057" spans="17:18" ht="15" customHeight="1" x14ac:dyDescent="0.25">
      <c r="Q2057" t="s">
        <v>2985</v>
      </c>
      <c r="R2057" t="s">
        <v>2979</v>
      </c>
    </row>
    <row r="2058" spans="17:18" ht="15" customHeight="1" x14ac:dyDescent="0.25">
      <c r="Q2058" t="s">
        <v>2986</v>
      </c>
      <c r="R2058" t="s">
        <v>2979</v>
      </c>
    </row>
    <row r="2059" spans="17:18" ht="15" customHeight="1" x14ac:dyDescent="0.25">
      <c r="Q2059" t="s">
        <v>2987</v>
      </c>
      <c r="R2059" t="s">
        <v>2979</v>
      </c>
    </row>
    <row r="2060" spans="17:18" ht="15" customHeight="1" x14ac:dyDescent="0.25">
      <c r="Q2060" t="s">
        <v>2988</v>
      </c>
      <c r="R2060" t="s">
        <v>2979</v>
      </c>
    </row>
    <row r="2061" spans="17:18" ht="15" customHeight="1" x14ac:dyDescent="0.25">
      <c r="Q2061" t="s">
        <v>2989</v>
      </c>
      <c r="R2061" t="s">
        <v>2979</v>
      </c>
    </row>
    <row r="2062" spans="17:18" ht="15" customHeight="1" x14ac:dyDescent="0.25">
      <c r="Q2062" t="s">
        <v>2990</v>
      </c>
      <c r="R2062" t="s">
        <v>2979</v>
      </c>
    </row>
    <row r="2063" spans="17:18" ht="15" customHeight="1" x14ac:dyDescent="0.25">
      <c r="Q2063" t="s">
        <v>2991</v>
      </c>
      <c r="R2063" t="s">
        <v>2979</v>
      </c>
    </row>
    <row r="2064" spans="17:18" ht="15" customHeight="1" x14ac:dyDescent="0.25">
      <c r="Q2064" t="s">
        <v>2992</v>
      </c>
      <c r="R2064" t="s">
        <v>2957</v>
      </c>
    </row>
    <row r="2065" spans="17:18" ht="15" customHeight="1" x14ac:dyDescent="0.25">
      <c r="Q2065" t="s">
        <v>2993</v>
      </c>
      <c r="R2065" t="s">
        <v>2957</v>
      </c>
    </row>
    <row r="2066" spans="17:18" ht="15" customHeight="1" x14ac:dyDescent="0.25">
      <c r="Q2066" t="s">
        <v>2994</v>
      </c>
      <c r="R2066" t="s">
        <v>2957</v>
      </c>
    </row>
    <row r="2067" spans="17:18" ht="15" customHeight="1" x14ac:dyDescent="0.25">
      <c r="Q2067" t="s">
        <v>2995</v>
      </c>
      <c r="R2067" t="s">
        <v>2957</v>
      </c>
    </row>
    <row r="2068" spans="17:18" ht="15" customHeight="1" x14ac:dyDescent="0.25">
      <c r="Q2068" t="s">
        <v>2996</v>
      </c>
      <c r="R2068" t="s">
        <v>2957</v>
      </c>
    </row>
    <row r="2069" spans="17:18" ht="15" customHeight="1" x14ac:dyDescent="0.25">
      <c r="Q2069" t="s">
        <v>2997</v>
      </c>
      <c r="R2069" t="s">
        <v>2957</v>
      </c>
    </row>
    <row r="2070" spans="17:18" ht="15" customHeight="1" x14ac:dyDescent="0.25">
      <c r="Q2070" t="s">
        <v>2998</v>
      </c>
      <c r="R2070" t="s">
        <v>2957</v>
      </c>
    </row>
    <row r="2071" spans="17:18" ht="15" customHeight="1" x14ac:dyDescent="0.25">
      <c r="Q2071" t="s">
        <v>2999</v>
      </c>
      <c r="R2071" t="s">
        <v>2957</v>
      </c>
    </row>
    <row r="2072" spans="17:18" ht="15" customHeight="1" x14ac:dyDescent="0.25">
      <c r="Q2072" t="s">
        <v>3000</v>
      </c>
      <c r="R2072" t="s">
        <v>2957</v>
      </c>
    </row>
    <row r="2073" spans="17:18" ht="15" customHeight="1" x14ac:dyDescent="0.25">
      <c r="Q2073" t="s">
        <v>3001</v>
      </c>
      <c r="R2073" t="s">
        <v>2957</v>
      </c>
    </row>
    <row r="2074" spans="17:18" ht="15" customHeight="1" x14ac:dyDescent="0.25">
      <c r="Q2074" t="s">
        <v>3002</v>
      </c>
      <c r="R2074" t="s">
        <v>2957</v>
      </c>
    </row>
    <row r="2075" spans="17:18" ht="15" customHeight="1" x14ac:dyDescent="0.25">
      <c r="Q2075" t="s">
        <v>3003</v>
      </c>
      <c r="R2075" t="s">
        <v>2957</v>
      </c>
    </row>
    <row r="2076" spans="17:18" ht="15" customHeight="1" x14ac:dyDescent="0.25">
      <c r="Q2076" t="s">
        <v>3004</v>
      </c>
      <c r="R2076" t="s">
        <v>2957</v>
      </c>
    </row>
    <row r="2077" spans="17:18" ht="15" customHeight="1" x14ac:dyDescent="0.25">
      <c r="Q2077" t="s">
        <v>3005</v>
      </c>
      <c r="R2077" t="s">
        <v>2957</v>
      </c>
    </row>
    <row r="2078" spans="17:18" ht="15" customHeight="1" x14ac:dyDescent="0.25">
      <c r="Q2078" t="s">
        <v>3006</v>
      </c>
      <c r="R2078" t="s">
        <v>2957</v>
      </c>
    </row>
    <row r="2079" spans="17:18" ht="15" customHeight="1" x14ac:dyDescent="0.25">
      <c r="Q2079" t="s">
        <v>3007</v>
      </c>
      <c r="R2079" t="s">
        <v>2957</v>
      </c>
    </row>
    <row r="2080" spans="17:18" ht="15" customHeight="1" x14ac:dyDescent="0.25">
      <c r="Q2080" t="s">
        <v>3008</v>
      </c>
      <c r="R2080" t="s">
        <v>2957</v>
      </c>
    </row>
    <row r="2081" spans="17:18" ht="15" customHeight="1" x14ac:dyDescent="0.25">
      <c r="Q2081" t="s">
        <v>3009</v>
      </c>
      <c r="R2081" t="s">
        <v>2957</v>
      </c>
    </row>
    <row r="2082" spans="17:18" ht="15" customHeight="1" x14ac:dyDescent="0.25">
      <c r="Q2082" t="s">
        <v>3010</v>
      </c>
      <c r="R2082" t="s">
        <v>2957</v>
      </c>
    </row>
    <row r="2083" spans="17:18" ht="15" customHeight="1" x14ac:dyDescent="0.25">
      <c r="Q2083" t="s">
        <v>3011</v>
      </c>
      <c r="R2083" t="s">
        <v>2957</v>
      </c>
    </row>
    <row r="2084" spans="17:18" ht="15" customHeight="1" x14ac:dyDescent="0.25">
      <c r="Q2084" t="s">
        <v>3012</v>
      </c>
      <c r="R2084" t="s">
        <v>2957</v>
      </c>
    </row>
    <row r="2085" spans="17:18" ht="15" customHeight="1" x14ac:dyDescent="0.25">
      <c r="Q2085" t="s">
        <v>3013</v>
      </c>
      <c r="R2085" t="s">
        <v>2957</v>
      </c>
    </row>
    <row r="2086" spans="17:18" ht="15" customHeight="1" x14ac:dyDescent="0.25">
      <c r="Q2086" t="s">
        <v>3014</v>
      </c>
      <c r="R2086" t="s">
        <v>2957</v>
      </c>
    </row>
    <row r="2087" spans="17:18" ht="15" customHeight="1" x14ac:dyDescent="0.25">
      <c r="Q2087" t="s">
        <v>3015</v>
      </c>
      <c r="R2087" t="s">
        <v>2957</v>
      </c>
    </row>
    <row r="2088" spans="17:18" ht="15" customHeight="1" x14ac:dyDescent="0.25">
      <c r="Q2088" t="s">
        <v>3016</v>
      </c>
      <c r="R2088" t="s">
        <v>2957</v>
      </c>
    </row>
    <row r="2089" spans="17:18" ht="15" customHeight="1" x14ac:dyDescent="0.25">
      <c r="Q2089" t="s">
        <v>3017</v>
      </c>
      <c r="R2089" t="s">
        <v>2957</v>
      </c>
    </row>
    <row r="2090" spans="17:18" ht="15" customHeight="1" x14ac:dyDescent="0.25">
      <c r="Q2090" t="s">
        <v>3018</v>
      </c>
      <c r="R2090" t="s">
        <v>2957</v>
      </c>
    </row>
    <row r="2091" spans="17:18" ht="15" customHeight="1" x14ac:dyDescent="0.25">
      <c r="Q2091" t="s">
        <v>3019</v>
      </c>
      <c r="R2091" t="s">
        <v>2957</v>
      </c>
    </row>
    <row r="2092" spans="17:18" ht="15" customHeight="1" x14ac:dyDescent="0.25">
      <c r="Q2092" t="s">
        <v>3020</v>
      </c>
      <c r="R2092" t="s">
        <v>2957</v>
      </c>
    </row>
    <row r="2093" spans="17:18" ht="15" customHeight="1" x14ac:dyDescent="0.25">
      <c r="Q2093" t="s">
        <v>3021</v>
      </c>
      <c r="R2093" t="s">
        <v>2957</v>
      </c>
    </row>
    <row r="2094" spans="17:18" ht="15" customHeight="1" x14ac:dyDescent="0.25">
      <c r="Q2094" t="s">
        <v>3022</v>
      </c>
      <c r="R2094" t="s">
        <v>2957</v>
      </c>
    </row>
    <row r="2095" spans="17:18" ht="15" customHeight="1" x14ac:dyDescent="0.25">
      <c r="Q2095" t="s">
        <v>3023</v>
      </c>
      <c r="R2095" t="s">
        <v>2957</v>
      </c>
    </row>
    <row r="2096" spans="17:18" ht="15" customHeight="1" x14ac:dyDescent="0.25">
      <c r="Q2096" t="s">
        <v>3024</v>
      </c>
      <c r="R2096" t="s">
        <v>2957</v>
      </c>
    </row>
    <row r="2097" spans="17:18" ht="15" customHeight="1" x14ac:dyDescent="0.25">
      <c r="Q2097" t="s">
        <v>3025</v>
      </c>
      <c r="R2097" t="s">
        <v>2957</v>
      </c>
    </row>
    <row r="2098" spans="17:18" ht="15" customHeight="1" x14ac:dyDescent="0.25">
      <c r="Q2098" t="s">
        <v>3026</v>
      </c>
      <c r="R2098" t="s">
        <v>2957</v>
      </c>
    </row>
    <row r="2099" spans="17:18" ht="15" customHeight="1" x14ac:dyDescent="0.25">
      <c r="Q2099" t="s">
        <v>3027</v>
      </c>
      <c r="R2099" t="s">
        <v>2957</v>
      </c>
    </row>
    <row r="2100" spans="17:18" ht="15" customHeight="1" x14ac:dyDescent="0.25">
      <c r="Q2100" t="s">
        <v>3028</v>
      </c>
      <c r="R2100" t="s">
        <v>2957</v>
      </c>
    </row>
    <row r="2101" spans="17:18" ht="15" customHeight="1" x14ac:dyDescent="0.25">
      <c r="Q2101" t="s">
        <v>3029</v>
      </c>
      <c r="R2101" t="s">
        <v>2957</v>
      </c>
    </row>
    <row r="2102" spans="17:18" ht="15" customHeight="1" x14ac:dyDescent="0.25">
      <c r="Q2102" t="s">
        <v>3030</v>
      </c>
      <c r="R2102" t="s">
        <v>2957</v>
      </c>
    </row>
    <row r="2103" spans="17:18" ht="15" customHeight="1" x14ac:dyDescent="0.25">
      <c r="Q2103" t="s">
        <v>3031</v>
      </c>
      <c r="R2103" t="s">
        <v>2957</v>
      </c>
    </row>
    <row r="2104" spans="17:18" ht="15" customHeight="1" x14ac:dyDescent="0.25">
      <c r="Q2104" t="s">
        <v>3032</v>
      </c>
      <c r="R2104" t="s">
        <v>2979</v>
      </c>
    </row>
    <row r="2105" spans="17:18" ht="15" customHeight="1" x14ac:dyDescent="0.25">
      <c r="Q2105" t="s">
        <v>3033</v>
      </c>
      <c r="R2105" t="s">
        <v>2979</v>
      </c>
    </row>
    <row r="2106" spans="17:18" ht="15" customHeight="1" x14ac:dyDescent="0.25">
      <c r="Q2106" t="s">
        <v>3034</v>
      </c>
      <c r="R2106" t="s">
        <v>2979</v>
      </c>
    </row>
    <row r="2107" spans="17:18" ht="15" customHeight="1" x14ac:dyDescent="0.25">
      <c r="Q2107" t="s">
        <v>3035</v>
      </c>
      <c r="R2107" t="s">
        <v>2957</v>
      </c>
    </row>
    <row r="2108" spans="17:18" ht="15" customHeight="1" x14ac:dyDescent="0.25">
      <c r="Q2108" t="s">
        <v>3036</v>
      </c>
      <c r="R2108" t="s">
        <v>2957</v>
      </c>
    </row>
    <row r="2109" spans="17:18" ht="15" customHeight="1" x14ac:dyDescent="0.25">
      <c r="Q2109" t="s">
        <v>3037</v>
      </c>
      <c r="R2109" t="s">
        <v>2957</v>
      </c>
    </row>
    <row r="2110" spans="17:18" ht="15" customHeight="1" x14ac:dyDescent="0.25">
      <c r="Q2110" t="s">
        <v>3038</v>
      </c>
      <c r="R2110" t="s">
        <v>2979</v>
      </c>
    </row>
    <row r="2111" spans="17:18" ht="15" customHeight="1" x14ac:dyDescent="0.25">
      <c r="Q2111" t="s">
        <v>3039</v>
      </c>
      <c r="R2111" t="s">
        <v>2979</v>
      </c>
    </row>
    <row r="2112" spans="17:18" ht="15" customHeight="1" x14ac:dyDescent="0.25">
      <c r="Q2112" t="s">
        <v>3040</v>
      </c>
      <c r="R2112" t="s">
        <v>2979</v>
      </c>
    </row>
    <row r="2113" spans="17:18" ht="15" customHeight="1" x14ac:dyDescent="0.25">
      <c r="Q2113" t="s">
        <v>3041</v>
      </c>
      <c r="R2113" t="s">
        <v>2979</v>
      </c>
    </row>
    <row r="2114" spans="17:18" ht="15" customHeight="1" x14ac:dyDescent="0.25">
      <c r="Q2114" t="s">
        <v>3042</v>
      </c>
      <c r="R2114" t="s">
        <v>2957</v>
      </c>
    </row>
    <row r="2115" spans="17:18" ht="15" customHeight="1" x14ac:dyDescent="0.25">
      <c r="Q2115" t="s">
        <v>3043</v>
      </c>
      <c r="R2115" t="s">
        <v>2957</v>
      </c>
    </row>
    <row r="2116" spans="17:18" ht="15" customHeight="1" x14ac:dyDescent="0.25">
      <c r="Q2116" t="s">
        <v>3044</v>
      </c>
      <c r="R2116" t="s">
        <v>2957</v>
      </c>
    </row>
    <row r="2117" spans="17:18" ht="15" customHeight="1" x14ac:dyDescent="0.25">
      <c r="Q2117" t="s">
        <v>3045</v>
      </c>
      <c r="R2117" t="s">
        <v>2957</v>
      </c>
    </row>
    <row r="2118" spans="17:18" ht="15" customHeight="1" x14ac:dyDescent="0.25">
      <c r="Q2118" t="s">
        <v>3046</v>
      </c>
      <c r="R2118" t="s">
        <v>2957</v>
      </c>
    </row>
    <row r="2119" spans="17:18" ht="15" customHeight="1" x14ac:dyDescent="0.25">
      <c r="Q2119" t="s">
        <v>3047</v>
      </c>
      <c r="R2119" t="s">
        <v>2957</v>
      </c>
    </row>
    <row r="2120" spans="17:18" ht="15" customHeight="1" x14ac:dyDescent="0.25">
      <c r="Q2120" t="s">
        <v>3048</v>
      </c>
      <c r="R2120" t="s">
        <v>2957</v>
      </c>
    </row>
    <row r="2121" spans="17:18" ht="15" customHeight="1" x14ac:dyDescent="0.25">
      <c r="Q2121" t="s">
        <v>3049</v>
      </c>
      <c r="R2121" t="s">
        <v>2957</v>
      </c>
    </row>
    <row r="2122" spans="17:18" ht="15" customHeight="1" x14ac:dyDescent="0.25">
      <c r="Q2122" t="s">
        <v>3050</v>
      </c>
      <c r="R2122" t="s">
        <v>2957</v>
      </c>
    </row>
    <row r="2123" spans="17:18" ht="15" customHeight="1" x14ac:dyDescent="0.25">
      <c r="Q2123" t="s">
        <v>3051</v>
      </c>
      <c r="R2123" t="s">
        <v>2979</v>
      </c>
    </row>
    <row r="2124" spans="17:18" ht="15" customHeight="1" x14ac:dyDescent="0.25">
      <c r="Q2124" t="s">
        <v>3052</v>
      </c>
      <c r="R2124" t="s">
        <v>2957</v>
      </c>
    </row>
    <row r="2125" spans="17:18" ht="15" customHeight="1" x14ac:dyDescent="0.25">
      <c r="Q2125" t="s">
        <v>3053</v>
      </c>
      <c r="R2125" t="s">
        <v>2979</v>
      </c>
    </row>
    <row r="2126" spans="17:18" ht="15" customHeight="1" x14ac:dyDescent="0.25">
      <c r="Q2126" t="s">
        <v>3054</v>
      </c>
      <c r="R2126" t="s">
        <v>2979</v>
      </c>
    </row>
    <row r="2127" spans="17:18" ht="15" customHeight="1" x14ac:dyDescent="0.25">
      <c r="Q2127" t="s">
        <v>3055</v>
      </c>
      <c r="R2127" t="s">
        <v>2979</v>
      </c>
    </row>
    <row r="2128" spans="17:18" ht="15" customHeight="1" x14ac:dyDescent="0.25">
      <c r="Q2128" t="s">
        <v>3056</v>
      </c>
      <c r="R2128" t="s">
        <v>2979</v>
      </c>
    </row>
    <row r="2129" spans="17:18" ht="15" customHeight="1" x14ac:dyDescent="0.25">
      <c r="Q2129" t="s">
        <v>3057</v>
      </c>
      <c r="R2129" t="s">
        <v>2979</v>
      </c>
    </row>
    <row r="2130" spans="17:18" ht="15" customHeight="1" x14ac:dyDescent="0.25">
      <c r="Q2130" t="s">
        <v>3058</v>
      </c>
      <c r="R2130" t="s">
        <v>2979</v>
      </c>
    </row>
    <row r="2131" spans="17:18" ht="15" customHeight="1" x14ac:dyDescent="0.25">
      <c r="Q2131" t="s">
        <v>3059</v>
      </c>
      <c r="R2131" t="s">
        <v>2979</v>
      </c>
    </row>
    <row r="2132" spans="17:18" ht="15" customHeight="1" x14ac:dyDescent="0.25">
      <c r="Q2132" t="s">
        <v>3060</v>
      </c>
      <c r="R2132" t="s">
        <v>3061</v>
      </c>
    </row>
    <row r="2133" spans="17:18" ht="15" customHeight="1" x14ac:dyDescent="0.25">
      <c r="Q2133" t="s">
        <v>3062</v>
      </c>
      <c r="R2133" t="s">
        <v>3061</v>
      </c>
    </row>
    <row r="2134" spans="17:18" ht="15" customHeight="1" x14ac:dyDescent="0.25">
      <c r="Q2134" t="s">
        <v>3063</v>
      </c>
      <c r="R2134" t="s">
        <v>3061</v>
      </c>
    </row>
    <row r="2135" spans="17:18" ht="15" customHeight="1" x14ac:dyDescent="0.25">
      <c r="Q2135" t="s">
        <v>3064</v>
      </c>
      <c r="R2135" t="s">
        <v>3061</v>
      </c>
    </row>
    <row r="2136" spans="17:18" ht="15" customHeight="1" x14ac:dyDescent="0.25">
      <c r="Q2136" t="s">
        <v>3065</v>
      </c>
      <c r="R2136" t="s">
        <v>3061</v>
      </c>
    </row>
    <row r="2137" spans="17:18" ht="15" customHeight="1" x14ac:dyDescent="0.25">
      <c r="Q2137" t="s">
        <v>3066</v>
      </c>
      <c r="R2137" t="s">
        <v>3061</v>
      </c>
    </row>
    <row r="2138" spans="17:18" ht="15" customHeight="1" x14ac:dyDescent="0.25">
      <c r="Q2138" t="s">
        <v>3067</v>
      </c>
      <c r="R2138" t="s">
        <v>3061</v>
      </c>
    </row>
    <row r="2139" spans="17:18" ht="15" customHeight="1" x14ac:dyDescent="0.25">
      <c r="Q2139" t="s">
        <v>3068</v>
      </c>
      <c r="R2139" t="s">
        <v>3061</v>
      </c>
    </row>
    <row r="2140" spans="17:18" ht="15" customHeight="1" x14ac:dyDescent="0.25">
      <c r="Q2140" t="s">
        <v>3069</v>
      </c>
      <c r="R2140" t="s">
        <v>3061</v>
      </c>
    </row>
    <row r="2141" spans="17:18" ht="15" customHeight="1" x14ac:dyDescent="0.25">
      <c r="Q2141" t="s">
        <v>3070</v>
      </c>
      <c r="R2141" t="s">
        <v>3061</v>
      </c>
    </row>
    <row r="2142" spans="17:18" ht="15" customHeight="1" x14ac:dyDescent="0.25">
      <c r="Q2142" t="s">
        <v>3071</v>
      </c>
      <c r="R2142" t="s">
        <v>3061</v>
      </c>
    </row>
    <row r="2143" spans="17:18" ht="15" customHeight="1" x14ac:dyDescent="0.25">
      <c r="Q2143" t="s">
        <v>3072</v>
      </c>
      <c r="R2143" t="s">
        <v>3061</v>
      </c>
    </row>
    <row r="2144" spans="17:18" ht="15" customHeight="1" x14ac:dyDescent="0.25">
      <c r="Q2144" t="s">
        <v>3073</v>
      </c>
      <c r="R2144" t="s">
        <v>3061</v>
      </c>
    </row>
    <row r="2145" spans="17:18" ht="15" customHeight="1" x14ac:dyDescent="0.25">
      <c r="Q2145" t="s">
        <v>3074</v>
      </c>
      <c r="R2145" t="s">
        <v>2957</v>
      </c>
    </row>
    <row r="2146" spans="17:18" ht="15" customHeight="1" x14ac:dyDescent="0.25">
      <c r="Q2146" t="s">
        <v>3075</v>
      </c>
      <c r="R2146" t="s">
        <v>2957</v>
      </c>
    </row>
    <row r="2147" spans="17:18" ht="15" customHeight="1" x14ac:dyDescent="0.25">
      <c r="Q2147" t="s">
        <v>3076</v>
      </c>
      <c r="R2147" t="s">
        <v>2957</v>
      </c>
    </row>
    <row r="2148" spans="17:18" ht="15" customHeight="1" x14ac:dyDescent="0.25">
      <c r="Q2148" t="s">
        <v>3077</v>
      </c>
      <c r="R2148" t="s">
        <v>3061</v>
      </c>
    </row>
    <row r="2149" spans="17:18" ht="15" customHeight="1" x14ac:dyDescent="0.25">
      <c r="Q2149" t="s">
        <v>3078</v>
      </c>
      <c r="R2149" t="s">
        <v>2957</v>
      </c>
    </row>
    <row r="2150" spans="17:18" ht="15" customHeight="1" x14ac:dyDescent="0.25">
      <c r="Q2150" t="s">
        <v>3079</v>
      </c>
      <c r="R2150" t="s">
        <v>2957</v>
      </c>
    </row>
    <row r="2151" spans="17:18" ht="15" customHeight="1" x14ac:dyDescent="0.25">
      <c r="Q2151" t="s">
        <v>3080</v>
      </c>
      <c r="R2151" t="s">
        <v>2957</v>
      </c>
    </row>
    <row r="2152" spans="17:18" ht="15" customHeight="1" x14ac:dyDescent="0.25">
      <c r="Q2152" t="s">
        <v>3081</v>
      </c>
      <c r="R2152" t="s">
        <v>2957</v>
      </c>
    </row>
    <row r="2153" spans="17:18" ht="15" customHeight="1" x14ac:dyDescent="0.25">
      <c r="Q2153" t="s">
        <v>3082</v>
      </c>
      <c r="R2153" t="s">
        <v>2957</v>
      </c>
    </row>
    <row r="2154" spans="17:18" ht="15" customHeight="1" x14ac:dyDescent="0.25">
      <c r="Q2154" t="s">
        <v>3083</v>
      </c>
      <c r="R2154" t="s">
        <v>2957</v>
      </c>
    </row>
    <row r="2155" spans="17:18" ht="15" customHeight="1" x14ac:dyDescent="0.25">
      <c r="Q2155" t="s">
        <v>3084</v>
      </c>
      <c r="R2155" t="s">
        <v>3061</v>
      </c>
    </row>
    <row r="2156" spans="17:18" ht="15" customHeight="1" x14ac:dyDescent="0.25">
      <c r="Q2156" t="s">
        <v>3085</v>
      </c>
      <c r="R2156" t="s">
        <v>2957</v>
      </c>
    </row>
    <row r="2157" spans="17:18" ht="15" customHeight="1" x14ac:dyDescent="0.25">
      <c r="Q2157" t="s">
        <v>3086</v>
      </c>
      <c r="R2157" t="s">
        <v>3061</v>
      </c>
    </row>
    <row r="2158" spans="17:18" ht="15" customHeight="1" x14ac:dyDescent="0.25">
      <c r="Q2158" t="s">
        <v>3087</v>
      </c>
      <c r="R2158" t="s">
        <v>3061</v>
      </c>
    </row>
    <row r="2159" spans="17:18" ht="15" customHeight="1" x14ac:dyDescent="0.25">
      <c r="Q2159" t="s">
        <v>3088</v>
      </c>
      <c r="R2159" t="s">
        <v>3061</v>
      </c>
    </row>
    <row r="2160" spans="17:18" ht="15" customHeight="1" x14ac:dyDescent="0.25">
      <c r="Q2160" t="s">
        <v>3089</v>
      </c>
      <c r="R2160" t="s">
        <v>3061</v>
      </c>
    </row>
    <row r="2161" spans="17:18" ht="15" customHeight="1" x14ac:dyDescent="0.25">
      <c r="Q2161" t="s">
        <v>3090</v>
      </c>
      <c r="R2161" t="s">
        <v>3061</v>
      </c>
    </row>
    <row r="2162" spans="17:18" ht="15" customHeight="1" x14ac:dyDescent="0.25">
      <c r="Q2162" t="s">
        <v>3091</v>
      </c>
      <c r="R2162" t="s">
        <v>3061</v>
      </c>
    </row>
    <row r="2163" spans="17:18" ht="15" customHeight="1" x14ac:dyDescent="0.25">
      <c r="Q2163" t="s">
        <v>3092</v>
      </c>
      <c r="R2163" t="s">
        <v>3061</v>
      </c>
    </row>
    <row r="2164" spans="17:18" ht="15" customHeight="1" x14ac:dyDescent="0.25">
      <c r="Q2164" t="s">
        <v>3093</v>
      </c>
      <c r="R2164" t="s">
        <v>3061</v>
      </c>
    </row>
    <row r="2165" spans="17:18" ht="15" customHeight="1" x14ac:dyDescent="0.25">
      <c r="Q2165" t="s">
        <v>3094</v>
      </c>
      <c r="R2165" t="s">
        <v>3061</v>
      </c>
    </row>
    <row r="2166" spans="17:18" ht="15" customHeight="1" x14ac:dyDescent="0.25">
      <c r="Q2166" t="s">
        <v>3095</v>
      </c>
      <c r="R2166" t="s">
        <v>3061</v>
      </c>
    </row>
    <row r="2167" spans="17:18" ht="15" customHeight="1" x14ac:dyDescent="0.25">
      <c r="Q2167" t="s">
        <v>3096</v>
      </c>
      <c r="R2167" t="s">
        <v>3061</v>
      </c>
    </row>
    <row r="2168" spans="17:18" ht="15" customHeight="1" x14ac:dyDescent="0.25">
      <c r="Q2168" t="s">
        <v>3097</v>
      </c>
      <c r="R2168" t="s">
        <v>3061</v>
      </c>
    </row>
    <row r="2169" spans="17:18" ht="15" customHeight="1" x14ac:dyDescent="0.25">
      <c r="Q2169" t="s">
        <v>3098</v>
      </c>
      <c r="R2169" t="s">
        <v>3061</v>
      </c>
    </row>
    <row r="2170" spans="17:18" ht="15" customHeight="1" x14ac:dyDescent="0.25">
      <c r="Q2170" t="s">
        <v>3099</v>
      </c>
      <c r="R2170" t="s">
        <v>3061</v>
      </c>
    </row>
    <row r="2171" spans="17:18" ht="15" customHeight="1" x14ac:dyDescent="0.25">
      <c r="Q2171" t="s">
        <v>3100</v>
      </c>
      <c r="R2171" t="s">
        <v>3061</v>
      </c>
    </row>
    <row r="2172" spans="17:18" ht="15" customHeight="1" x14ac:dyDescent="0.25">
      <c r="Q2172" t="s">
        <v>3101</v>
      </c>
      <c r="R2172" t="s">
        <v>3061</v>
      </c>
    </row>
    <row r="2173" spans="17:18" ht="15" customHeight="1" x14ac:dyDescent="0.25">
      <c r="Q2173" t="s">
        <v>3102</v>
      </c>
      <c r="R2173" t="s">
        <v>3061</v>
      </c>
    </row>
    <row r="2174" spans="17:18" ht="15" customHeight="1" x14ac:dyDescent="0.25">
      <c r="Q2174" t="s">
        <v>3103</v>
      </c>
      <c r="R2174" t="s">
        <v>3061</v>
      </c>
    </row>
    <row r="2175" spans="17:18" ht="15" customHeight="1" x14ac:dyDescent="0.25">
      <c r="Q2175" t="s">
        <v>3104</v>
      </c>
      <c r="R2175" t="s">
        <v>3061</v>
      </c>
    </row>
    <row r="2176" spans="17:18" ht="15" customHeight="1" x14ac:dyDescent="0.25">
      <c r="Q2176" t="s">
        <v>3105</v>
      </c>
      <c r="R2176" t="s">
        <v>3061</v>
      </c>
    </row>
    <row r="2177" spans="17:18" ht="15" customHeight="1" x14ac:dyDescent="0.25">
      <c r="Q2177" t="s">
        <v>3106</v>
      </c>
      <c r="R2177" t="s">
        <v>3061</v>
      </c>
    </row>
    <row r="2178" spans="17:18" ht="15" customHeight="1" x14ac:dyDescent="0.25">
      <c r="Q2178" t="s">
        <v>3107</v>
      </c>
      <c r="R2178" t="s">
        <v>3061</v>
      </c>
    </row>
    <row r="2179" spans="17:18" ht="15" customHeight="1" x14ac:dyDescent="0.25">
      <c r="Q2179" t="s">
        <v>3108</v>
      </c>
      <c r="R2179" t="s">
        <v>3061</v>
      </c>
    </row>
    <row r="2180" spans="17:18" ht="15" customHeight="1" x14ac:dyDescent="0.25">
      <c r="Q2180" t="s">
        <v>3109</v>
      </c>
      <c r="R2180" t="s">
        <v>3061</v>
      </c>
    </row>
    <row r="2181" spans="17:18" ht="15" customHeight="1" x14ac:dyDescent="0.25">
      <c r="Q2181" t="s">
        <v>3110</v>
      </c>
      <c r="R2181" t="s">
        <v>3061</v>
      </c>
    </row>
    <row r="2182" spans="17:18" ht="15" customHeight="1" x14ac:dyDescent="0.25">
      <c r="Q2182" t="s">
        <v>3111</v>
      </c>
      <c r="R2182" t="s">
        <v>3061</v>
      </c>
    </row>
    <row r="2183" spans="17:18" ht="15" customHeight="1" x14ac:dyDescent="0.25">
      <c r="Q2183" t="s">
        <v>3112</v>
      </c>
      <c r="R2183" t="s">
        <v>3061</v>
      </c>
    </row>
    <row r="2184" spans="17:18" ht="15" customHeight="1" x14ac:dyDescent="0.25">
      <c r="Q2184" t="s">
        <v>3113</v>
      </c>
      <c r="R2184" t="s">
        <v>3061</v>
      </c>
    </row>
    <row r="2185" spans="17:18" ht="15" customHeight="1" x14ac:dyDescent="0.25">
      <c r="Q2185" t="s">
        <v>3114</v>
      </c>
      <c r="R2185" t="s">
        <v>3061</v>
      </c>
    </row>
    <row r="2186" spans="17:18" ht="15" customHeight="1" x14ac:dyDescent="0.25">
      <c r="Q2186" t="s">
        <v>3115</v>
      </c>
      <c r="R2186" t="s">
        <v>3061</v>
      </c>
    </row>
    <row r="2187" spans="17:18" ht="15" customHeight="1" x14ac:dyDescent="0.25">
      <c r="Q2187" t="s">
        <v>3116</v>
      </c>
      <c r="R2187" t="s">
        <v>3061</v>
      </c>
    </row>
    <row r="2188" spans="17:18" ht="15" customHeight="1" x14ac:dyDescent="0.25">
      <c r="Q2188" t="s">
        <v>3117</v>
      </c>
      <c r="R2188" t="s">
        <v>3061</v>
      </c>
    </row>
    <row r="2189" spans="17:18" ht="15" customHeight="1" x14ac:dyDescent="0.25">
      <c r="Q2189" t="s">
        <v>3118</v>
      </c>
      <c r="R2189" t="s">
        <v>2979</v>
      </c>
    </row>
    <row r="2190" spans="17:18" ht="15" customHeight="1" x14ac:dyDescent="0.25">
      <c r="Q2190" t="s">
        <v>3119</v>
      </c>
      <c r="R2190" t="s">
        <v>2979</v>
      </c>
    </row>
    <row r="2191" spans="17:18" ht="15" customHeight="1" x14ac:dyDescent="0.25">
      <c r="Q2191" t="s">
        <v>3120</v>
      </c>
      <c r="R2191" t="s">
        <v>2979</v>
      </c>
    </row>
    <row r="2192" spans="17:18" ht="15" customHeight="1" x14ac:dyDescent="0.25">
      <c r="Q2192" t="s">
        <v>3121</v>
      </c>
      <c r="R2192" t="s">
        <v>2979</v>
      </c>
    </row>
    <row r="2193" spans="17:18" ht="15" customHeight="1" x14ac:dyDescent="0.25">
      <c r="Q2193" t="s">
        <v>3122</v>
      </c>
      <c r="R2193" t="s">
        <v>2979</v>
      </c>
    </row>
    <row r="2194" spans="17:18" ht="15" customHeight="1" x14ac:dyDescent="0.25">
      <c r="Q2194" t="s">
        <v>3123</v>
      </c>
      <c r="R2194" t="s">
        <v>3061</v>
      </c>
    </row>
    <row r="2195" spans="17:18" ht="15" customHeight="1" x14ac:dyDescent="0.25">
      <c r="Q2195" t="s">
        <v>3124</v>
      </c>
      <c r="R2195" t="s">
        <v>2979</v>
      </c>
    </row>
    <row r="2196" spans="17:18" ht="15" customHeight="1" x14ac:dyDescent="0.25">
      <c r="Q2196" t="s">
        <v>3125</v>
      </c>
      <c r="R2196" t="s">
        <v>2979</v>
      </c>
    </row>
    <row r="2197" spans="17:18" ht="15" customHeight="1" x14ac:dyDescent="0.25">
      <c r="Q2197" t="s">
        <v>3126</v>
      </c>
      <c r="R2197" t="s">
        <v>2979</v>
      </c>
    </row>
    <row r="2198" spans="17:18" ht="15" customHeight="1" x14ac:dyDescent="0.25">
      <c r="Q2198" t="s">
        <v>3127</v>
      </c>
      <c r="R2198" t="s">
        <v>2979</v>
      </c>
    </row>
    <row r="2199" spans="17:18" ht="15" customHeight="1" x14ac:dyDescent="0.25">
      <c r="Q2199" t="s">
        <v>3128</v>
      </c>
      <c r="R2199" t="s">
        <v>2979</v>
      </c>
    </row>
    <row r="2200" spans="17:18" ht="15" customHeight="1" x14ac:dyDescent="0.25">
      <c r="Q2200" t="s">
        <v>3129</v>
      </c>
      <c r="R2200" t="s">
        <v>2979</v>
      </c>
    </row>
    <row r="2201" spans="17:18" ht="15" customHeight="1" x14ac:dyDescent="0.25">
      <c r="Q2201" t="s">
        <v>3130</v>
      </c>
      <c r="R2201" t="s">
        <v>2979</v>
      </c>
    </row>
    <row r="2202" spans="17:18" ht="15" customHeight="1" x14ac:dyDescent="0.25">
      <c r="Q2202" t="s">
        <v>3131</v>
      </c>
      <c r="R2202" t="s">
        <v>2979</v>
      </c>
    </row>
    <row r="2203" spans="17:18" ht="15" customHeight="1" x14ac:dyDescent="0.25">
      <c r="Q2203" t="s">
        <v>3132</v>
      </c>
      <c r="R2203" t="s">
        <v>223</v>
      </c>
    </row>
    <row r="2204" spans="17:18" ht="15" customHeight="1" x14ac:dyDescent="0.25">
      <c r="Q2204" t="s">
        <v>3133</v>
      </c>
      <c r="R2204" t="s">
        <v>223</v>
      </c>
    </row>
    <row r="2205" spans="17:18" ht="15" customHeight="1" x14ac:dyDescent="0.25">
      <c r="Q2205" t="s">
        <v>3134</v>
      </c>
      <c r="R2205" t="s">
        <v>223</v>
      </c>
    </row>
    <row r="2206" spans="17:18" ht="15" customHeight="1" x14ac:dyDescent="0.25">
      <c r="Q2206" t="s">
        <v>3135</v>
      </c>
      <c r="R2206" t="s">
        <v>2236</v>
      </c>
    </row>
    <row r="2207" spans="17:18" ht="15" customHeight="1" x14ac:dyDescent="0.25">
      <c r="Q2207" t="s">
        <v>3136</v>
      </c>
      <c r="R2207" t="s">
        <v>2236</v>
      </c>
    </row>
    <row r="2208" spans="17:18" ht="15" customHeight="1" x14ac:dyDescent="0.25">
      <c r="Q2208" t="s">
        <v>3137</v>
      </c>
      <c r="R2208" t="s">
        <v>2236</v>
      </c>
    </row>
    <row r="2209" spans="17:18" ht="15" customHeight="1" x14ac:dyDescent="0.25">
      <c r="Q2209" t="s">
        <v>3138</v>
      </c>
      <c r="R2209" t="s">
        <v>2236</v>
      </c>
    </row>
    <row r="2210" spans="17:18" ht="15" customHeight="1" x14ac:dyDescent="0.25">
      <c r="Q2210" t="s">
        <v>3139</v>
      </c>
      <c r="R2210" t="s">
        <v>2236</v>
      </c>
    </row>
    <row r="2211" spans="17:18" ht="15" customHeight="1" x14ac:dyDescent="0.25">
      <c r="Q2211" t="s">
        <v>3140</v>
      </c>
      <c r="R2211" t="s">
        <v>2236</v>
      </c>
    </row>
    <row r="2212" spans="17:18" ht="15" customHeight="1" x14ac:dyDescent="0.25">
      <c r="Q2212" t="s">
        <v>3141</v>
      </c>
      <c r="R2212" t="s">
        <v>2236</v>
      </c>
    </row>
    <row r="2213" spans="17:18" ht="15" customHeight="1" x14ac:dyDescent="0.25">
      <c r="Q2213" t="s">
        <v>3142</v>
      </c>
      <c r="R2213" t="s">
        <v>2236</v>
      </c>
    </row>
    <row r="2214" spans="17:18" ht="15" customHeight="1" x14ac:dyDescent="0.25">
      <c r="Q2214" t="s">
        <v>3143</v>
      </c>
      <c r="R2214" t="s">
        <v>2236</v>
      </c>
    </row>
    <row r="2215" spans="17:18" ht="15" customHeight="1" x14ac:dyDescent="0.25">
      <c r="Q2215" t="s">
        <v>3144</v>
      </c>
      <c r="R2215" t="s">
        <v>2236</v>
      </c>
    </row>
    <row r="2216" spans="17:18" ht="15" customHeight="1" x14ac:dyDescent="0.25">
      <c r="Q2216" t="s">
        <v>3145</v>
      </c>
      <c r="R2216" t="s">
        <v>2236</v>
      </c>
    </row>
    <row r="2217" spans="17:18" ht="15" customHeight="1" x14ac:dyDescent="0.25">
      <c r="Q2217" t="s">
        <v>3146</v>
      </c>
      <c r="R2217" t="s">
        <v>3147</v>
      </c>
    </row>
    <row r="2218" spans="17:18" ht="15" customHeight="1" x14ac:dyDescent="0.25">
      <c r="Q2218" t="s">
        <v>3148</v>
      </c>
      <c r="R2218" t="s">
        <v>3147</v>
      </c>
    </row>
    <row r="2219" spans="17:18" ht="15" customHeight="1" x14ac:dyDescent="0.25">
      <c r="Q2219" t="s">
        <v>3149</v>
      </c>
      <c r="R2219" t="s">
        <v>3147</v>
      </c>
    </row>
    <row r="2220" spans="17:18" ht="15" customHeight="1" x14ac:dyDescent="0.25">
      <c r="Q2220" t="s">
        <v>3150</v>
      </c>
      <c r="R2220" t="s">
        <v>3147</v>
      </c>
    </row>
    <row r="2221" spans="17:18" ht="15" customHeight="1" x14ac:dyDescent="0.25">
      <c r="Q2221" t="s">
        <v>3151</v>
      </c>
      <c r="R2221" t="s">
        <v>3147</v>
      </c>
    </row>
    <row r="2222" spans="17:18" ht="15" customHeight="1" x14ac:dyDescent="0.25">
      <c r="Q2222" t="s">
        <v>3152</v>
      </c>
      <c r="R2222" t="s">
        <v>3147</v>
      </c>
    </row>
    <row r="2223" spans="17:18" ht="15" customHeight="1" x14ac:dyDescent="0.25">
      <c r="Q2223" t="s">
        <v>3153</v>
      </c>
      <c r="R2223" t="s">
        <v>3147</v>
      </c>
    </row>
    <row r="2224" spans="17:18" ht="15" customHeight="1" x14ac:dyDescent="0.25">
      <c r="Q2224" t="s">
        <v>3154</v>
      </c>
      <c r="R2224" t="s">
        <v>223</v>
      </c>
    </row>
    <row r="2225" spans="17:18" ht="15" customHeight="1" x14ac:dyDescent="0.25">
      <c r="Q2225" t="s">
        <v>3155</v>
      </c>
      <c r="R2225" t="s">
        <v>223</v>
      </c>
    </row>
    <row r="2226" spans="17:18" ht="15" customHeight="1" x14ac:dyDescent="0.25">
      <c r="Q2226" t="s">
        <v>3156</v>
      </c>
      <c r="R2226" t="s">
        <v>223</v>
      </c>
    </row>
    <row r="2227" spans="17:18" ht="15" customHeight="1" x14ac:dyDescent="0.25">
      <c r="Q2227" t="s">
        <v>3157</v>
      </c>
      <c r="R2227" t="s">
        <v>223</v>
      </c>
    </row>
    <row r="2228" spans="17:18" ht="15" customHeight="1" x14ac:dyDescent="0.25">
      <c r="Q2228" t="s">
        <v>3158</v>
      </c>
      <c r="R2228" t="s">
        <v>223</v>
      </c>
    </row>
    <row r="2229" spans="17:18" ht="15" customHeight="1" x14ac:dyDescent="0.25">
      <c r="Q2229" t="s">
        <v>3159</v>
      </c>
      <c r="R2229" t="s">
        <v>223</v>
      </c>
    </row>
    <row r="2230" spans="17:18" ht="15" customHeight="1" x14ac:dyDescent="0.25">
      <c r="Q2230" t="s">
        <v>3160</v>
      </c>
      <c r="R2230" t="s">
        <v>223</v>
      </c>
    </row>
    <row r="2231" spans="17:18" ht="15" customHeight="1" x14ac:dyDescent="0.25">
      <c r="Q2231" t="s">
        <v>3161</v>
      </c>
      <c r="R2231" t="s">
        <v>223</v>
      </c>
    </row>
    <row r="2232" spans="17:18" ht="15" customHeight="1" x14ac:dyDescent="0.25">
      <c r="Q2232" t="s">
        <v>3162</v>
      </c>
      <c r="R2232" t="s">
        <v>223</v>
      </c>
    </row>
    <row r="2233" spans="17:18" ht="15" customHeight="1" x14ac:dyDescent="0.25">
      <c r="Q2233" t="s">
        <v>3163</v>
      </c>
      <c r="R2233" t="s">
        <v>223</v>
      </c>
    </row>
    <row r="2234" spans="17:18" ht="15" customHeight="1" x14ac:dyDescent="0.25">
      <c r="Q2234" t="s">
        <v>3164</v>
      </c>
      <c r="R2234" t="s">
        <v>223</v>
      </c>
    </row>
    <row r="2235" spans="17:18" ht="15" customHeight="1" x14ac:dyDescent="0.25">
      <c r="Q2235" t="s">
        <v>3165</v>
      </c>
      <c r="R2235" t="s">
        <v>223</v>
      </c>
    </row>
    <row r="2236" spans="17:18" ht="15" customHeight="1" x14ac:dyDescent="0.25">
      <c r="Q2236" t="s">
        <v>3166</v>
      </c>
      <c r="R2236" t="s">
        <v>223</v>
      </c>
    </row>
    <row r="2237" spans="17:18" ht="15" customHeight="1" x14ac:dyDescent="0.25">
      <c r="Q2237" t="s">
        <v>3167</v>
      </c>
      <c r="R2237" t="s">
        <v>223</v>
      </c>
    </row>
    <row r="2238" spans="17:18" ht="15" customHeight="1" x14ac:dyDescent="0.25">
      <c r="Q2238" t="s">
        <v>3168</v>
      </c>
      <c r="R2238" t="s">
        <v>223</v>
      </c>
    </row>
    <row r="2239" spans="17:18" ht="15" customHeight="1" x14ac:dyDescent="0.25">
      <c r="Q2239" t="s">
        <v>3169</v>
      </c>
      <c r="R2239" t="s">
        <v>223</v>
      </c>
    </row>
    <row r="2240" spans="17:18" ht="15" customHeight="1" x14ac:dyDescent="0.25">
      <c r="Q2240" t="s">
        <v>3170</v>
      </c>
      <c r="R2240" t="s">
        <v>223</v>
      </c>
    </row>
    <row r="2241" spans="17:18" ht="15" customHeight="1" x14ac:dyDescent="0.25">
      <c r="Q2241" t="s">
        <v>3171</v>
      </c>
      <c r="R2241" t="s">
        <v>223</v>
      </c>
    </row>
    <row r="2242" spans="17:18" ht="15" customHeight="1" x14ac:dyDescent="0.25">
      <c r="Q2242" t="s">
        <v>3172</v>
      </c>
      <c r="R2242" t="s">
        <v>223</v>
      </c>
    </row>
    <row r="2243" spans="17:18" ht="15" customHeight="1" x14ac:dyDescent="0.25">
      <c r="Q2243" t="s">
        <v>3173</v>
      </c>
      <c r="R2243" t="s">
        <v>223</v>
      </c>
    </row>
    <row r="2244" spans="17:18" ht="15" customHeight="1" x14ac:dyDescent="0.25">
      <c r="Q2244" t="s">
        <v>3174</v>
      </c>
      <c r="R2244" t="s">
        <v>223</v>
      </c>
    </row>
    <row r="2245" spans="17:18" ht="15" customHeight="1" x14ac:dyDescent="0.25">
      <c r="Q2245" t="s">
        <v>3175</v>
      </c>
      <c r="R2245" t="s">
        <v>223</v>
      </c>
    </row>
    <row r="2246" spans="17:18" ht="15" customHeight="1" x14ac:dyDescent="0.25">
      <c r="Q2246" t="s">
        <v>3176</v>
      </c>
      <c r="R2246" t="s">
        <v>223</v>
      </c>
    </row>
    <row r="2247" spans="17:18" ht="15" customHeight="1" x14ac:dyDescent="0.25">
      <c r="Q2247" t="s">
        <v>3177</v>
      </c>
      <c r="R2247" t="s">
        <v>223</v>
      </c>
    </row>
    <row r="2248" spans="17:18" ht="15" customHeight="1" x14ac:dyDescent="0.25">
      <c r="Q2248" t="s">
        <v>3178</v>
      </c>
      <c r="R2248" t="s">
        <v>223</v>
      </c>
    </row>
    <row r="2249" spans="17:18" ht="15" customHeight="1" x14ac:dyDescent="0.25">
      <c r="Q2249" t="s">
        <v>3179</v>
      </c>
      <c r="R2249" t="s">
        <v>223</v>
      </c>
    </row>
    <row r="2250" spans="17:18" ht="15" customHeight="1" x14ac:dyDescent="0.25">
      <c r="Q2250" t="s">
        <v>3180</v>
      </c>
      <c r="R2250" t="s">
        <v>223</v>
      </c>
    </row>
    <row r="2251" spans="17:18" ht="15" customHeight="1" x14ac:dyDescent="0.25">
      <c r="Q2251" t="s">
        <v>3181</v>
      </c>
      <c r="R2251" t="s">
        <v>223</v>
      </c>
    </row>
    <row r="2252" spans="17:18" ht="15" customHeight="1" x14ac:dyDescent="0.25">
      <c r="Q2252" t="s">
        <v>3182</v>
      </c>
      <c r="R2252" t="s">
        <v>223</v>
      </c>
    </row>
    <row r="2253" spans="17:18" ht="15" customHeight="1" x14ac:dyDescent="0.25">
      <c r="Q2253" t="s">
        <v>3183</v>
      </c>
      <c r="R2253" t="s">
        <v>223</v>
      </c>
    </row>
    <row r="2254" spans="17:18" ht="15" customHeight="1" x14ac:dyDescent="0.25">
      <c r="Q2254" t="s">
        <v>3184</v>
      </c>
      <c r="R2254" t="s">
        <v>223</v>
      </c>
    </row>
    <row r="2255" spans="17:18" ht="15" customHeight="1" x14ac:dyDescent="0.25">
      <c r="Q2255" t="s">
        <v>3185</v>
      </c>
      <c r="R2255" t="s">
        <v>223</v>
      </c>
    </row>
    <row r="2256" spans="17:18" ht="15" customHeight="1" x14ac:dyDescent="0.25">
      <c r="Q2256" t="s">
        <v>3186</v>
      </c>
      <c r="R2256" t="s">
        <v>223</v>
      </c>
    </row>
    <row r="2257" spans="17:18" ht="15" customHeight="1" x14ac:dyDescent="0.25">
      <c r="Q2257" t="s">
        <v>3187</v>
      </c>
      <c r="R2257" t="s">
        <v>223</v>
      </c>
    </row>
    <row r="2258" spans="17:18" ht="15" customHeight="1" x14ac:dyDescent="0.25">
      <c r="Q2258" t="s">
        <v>3188</v>
      </c>
      <c r="R2258" t="s">
        <v>223</v>
      </c>
    </row>
    <row r="2259" spans="17:18" ht="15" customHeight="1" x14ac:dyDescent="0.25">
      <c r="Q2259" t="s">
        <v>3189</v>
      </c>
      <c r="R2259" t="s">
        <v>223</v>
      </c>
    </row>
    <row r="2260" spans="17:18" ht="15" customHeight="1" x14ac:dyDescent="0.25">
      <c r="Q2260" t="s">
        <v>3190</v>
      </c>
      <c r="R2260" t="s">
        <v>223</v>
      </c>
    </row>
    <row r="2261" spans="17:18" ht="15" customHeight="1" x14ac:dyDescent="0.25">
      <c r="Q2261" t="s">
        <v>3191</v>
      </c>
      <c r="R2261" t="s">
        <v>223</v>
      </c>
    </row>
    <row r="2262" spans="17:18" ht="15" customHeight="1" x14ac:dyDescent="0.25">
      <c r="Q2262" t="s">
        <v>3192</v>
      </c>
      <c r="R2262" t="s">
        <v>2979</v>
      </c>
    </row>
    <row r="2263" spans="17:18" ht="15" customHeight="1" x14ac:dyDescent="0.25">
      <c r="Q2263" t="s">
        <v>3193</v>
      </c>
      <c r="R2263" t="s">
        <v>2979</v>
      </c>
    </row>
    <row r="2264" spans="17:18" ht="15" customHeight="1" x14ac:dyDescent="0.25">
      <c r="Q2264" t="s">
        <v>3194</v>
      </c>
      <c r="R2264" t="s">
        <v>2979</v>
      </c>
    </row>
    <row r="2265" spans="17:18" ht="15" customHeight="1" x14ac:dyDescent="0.25">
      <c r="Q2265" t="s">
        <v>3195</v>
      </c>
      <c r="R2265" t="s">
        <v>2979</v>
      </c>
    </row>
    <row r="2266" spans="17:18" ht="15" customHeight="1" x14ac:dyDescent="0.25">
      <c r="Q2266" t="s">
        <v>3196</v>
      </c>
      <c r="R2266" t="s">
        <v>2979</v>
      </c>
    </row>
    <row r="2267" spans="17:18" ht="15" customHeight="1" x14ac:dyDescent="0.25">
      <c r="Q2267" t="s">
        <v>3197</v>
      </c>
      <c r="R2267" t="s">
        <v>2979</v>
      </c>
    </row>
    <row r="2268" spans="17:18" ht="15" customHeight="1" x14ac:dyDescent="0.25">
      <c r="Q2268" t="s">
        <v>3198</v>
      </c>
      <c r="R2268" t="s">
        <v>2979</v>
      </c>
    </row>
    <row r="2269" spans="17:18" ht="15" customHeight="1" x14ac:dyDescent="0.25">
      <c r="Q2269" t="s">
        <v>3199</v>
      </c>
      <c r="R2269" t="s">
        <v>223</v>
      </c>
    </row>
    <row r="2270" spans="17:18" ht="15" customHeight="1" x14ac:dyDescent="0.25">
      <c r="Q2270" t="s">
        <v>3200</v>
      </c>
      <c r="R2270" t="s">
        <v>223</v>
      </c>
    </row>
    <row r="2271" spans="17:18" ht="15" customHeight="1" x14ac:dyDescent="0.25">
      <c r="Q2271" t="s">
        <v>3201</v>
      </c>
      <c r="R2271" t="s">
        <v>223</v>
      </c>
    </row>
    <row r="2272" spans="17:18" ht="15" customHeight="1" x14ac:dyDescent="0.25">
      <c r="Q2272" t="s">
        <v>3202</v>
      </c>
      <c r="R2272" t="s">
        <v>223</v>
      </c>
    </row>
    <row r="2273" spans="17:18" ht="15" customHeight="1" x14ac:dyDescent="0.25">
      <c r="Q2273" t="s">
        <v>3203</v>
      </c>
      <c r="R2273" t="s">
        <v>223</v>
      </c>
    </row>
    <row r="2274" spans="17:18" ht="15" customHeight="1" x14ac:dyDescent="0.25">
      <c r="Q2274" t="s">
        <v>3204</v>
      </c>
      <c r="R2274" t="s">
        <v>223</v>
      </c>
    </row>
    <row r="2275" spans="17:18" ht="15" customHeight="1" x14ac:dyDescent="0.25">
      <c r="Q2275" t="s">
        <v>3205</v>
      </c>
      <c r="R2275" t="s">
        <v>223</v>
      </c>
    </row>
    <row r="2276" spans="17:18" ht="15" customHeight="1" x14ac:dyDescent="0.25">
      <c r="Q2276" t="s">
        <v>3206</v>
      </c>
      <c r="R2276" t="s">
        <v>223</v>
      </c>
    </row>
    <row r="2277" spans="17:18" ht="15" customHeight="1" x14ac:dyDescent="0.25">
      <c r="Q2277" t="s">
        <v>3207</v>
      </c>
      <c r="R2277" t="s">
        <v>223</v>
      </c>
    </row>
    <row r="2278" spans="17:18" ht="15" customHeight="1" x14ac:dyDescent="0.25">
      <c r="Q2278" t="s">
        <v>3208</v>
      </c>
      <c r="R2278" t="s">
        <v>223</v>
      </c>
    </row>
    <row r="2279" spans="17:18" ht="15" customHeight="1" x14ac:dyDescent="0.25">
      <c r="Q2279" t="s">
        <v>3209</v>
      </c>
      <c r="R2279" t="s">
        <v>223</v>
      </c>
    </row>
    <row r="2280" spans="17:18" ht="15" customHeight="1" x14ac:dyDescent="0.25">
      <c r="Q2280" t="s">
        <v>3210</v>
      </c>
      <c r="R2280" t="s">
        <v>223</v>
      </c>
    </row>
    <row r="2281" spans="17:18" ht="15" customHeight="1" x14ac:dyDescent="0.25">
      <c r="Q2281" t="s">
        <v>3211</v>
      </c>
      <c r="R2281" t="s">
        <v>223</v>
      </c>
    </row>
    <row r="2282" spans="17:18" ht="15" customHeight="1" x14ac:dyDescent="0.25">
      <c r="Q2282" t="s">
        <v>3212</v>
      </c>
      <c r="R2282" t="s">
        <v>223</v>
      </c>
    </row>
    <row r="2283" spans="17:18" ht="15" customHeight="1" x14ac:dyDescent="0.25">
      <c r="Q2283" t="s">
        <v>3213</v>
      </c>
      <c r="R2283" t="s">
        <v>223</v>
      </c>
    </row>
    <row r="2284" spans="17:18" ht="15" customHeight="1" x14ac:dyDescent="0.25">
      <c r="Q2284" t="s">
        <v>3214</v>
      </c>
      <c r="R2284" t="s">
        <v>223</v>
      </c>
    </row>
    <row r="2285" spans="17:18" ht="15" customHeight="1" x14ac:dyDescent="0.25">
      <c r="Q2285" t="s">
        <v>3215</v>
      </c>
      <c r="R2285" t="s">
        <v>223</v>
      </c>
    </row>
    <row r="2286" spans="17:18" ht="15" customHeight="1" x14ac:dyDescent="0.25">
      <c r="Q2286" t="s">
        <v>3216</v>
      </c>
      <c r="R2286" t="s">
        <v>2979</v>
      </c>
    </row>
    <row r="2287" spans="17:18" ht="15" customHeight="1" x14ac:dyDescent="0.25">
      <c r="Q2287" t="s">
        <v>3217</v>
      </c>
      <c r="R2287" t="s">
        <v>2979</v>
      </c>
    </row>
    <row r="2288" spans="17:18" ht="15" customHeight="1" x14ac:dyDescent="0.25">
      <c r="Q2288" t="s">
        <v>3218</v>
      </c>
      <c r="R2288" t="s">
        <v>2979</v>
      </c>
    </row>
    <row r="2289" spans="17:18" ht="15" customHeight="1" x14ac:dyDescent="0.25">
      <c r="Q2289" t="s">
        <v>3219</v>
      </c>
      <c r="R2289" t="s">
        <v>2979</v>
      </c>
    </row>
    <row r="2290" spans="17:18" ht="15" customHeight="1" x14ac:dyDescent="0.25">
      <c r="Q2290" t="s">
        <v>3220</v>
      </c>
      <c r="R2290" t="s">
        <v>2979</v>
      </c>
    </row>
    <row r="2291" spans="17:18" ht="15" customHeight="1" x14ac:dyDescent="0.25">
      <c r="Q2291" t="s">
        <v>3221</v>
      </c>
      <c r="R2291" t="s">
        <v>2979</v>
      </c>
    </row>
    <row r="2292" spans="17:18" ht="15" customHeight="1" x14ac:dyDescent="0.25">
      <c r="Q2292" t="s">
        <v>3222</v>
      </c>
      <c r="R2292" t="s">
        <v>2979</v>
      </c>
    </row>
    <row r="2293" spans="17:18" ht="15" customHeight="1" x14ac:dyDescent="0.25">
      <c r="Q2293" t="s">
        <v>3223</v>
      </c>
      <c r="R2293" t="s">
        <v>2979</v>
      </c>
    </row>
    <row r="2294" spans="17:18" ht="15" customHeight="1" x14ac:dyDescent="0.25">
      <c r="Q2294" t="s">
        <v>3224</v>
      </c>
      <c r="R2294" t="s">
        <v>223</v>
      </c>
    </row>
    <row r="2295" spans="17:18" ht="15" customHeight="1" x14ac:dyDescent="0.25">
      <c r="Q2295" t="s">
        <v>3225</v>
      </c>
      <c r="R2295" t="s">
        <v>223</v>
      </c>
    </row>
    <row r="2296" spans="17:18" ht="15" customHeight="1" x14ac:dyDescent="0.25">
      <c r="Q2296" t="s">
        <v>3226</v>
      </c>
      <c r="R2296" t="s">
        <v>223</v>
      </c>
    </row>
    <row r="2297" spans="17:18" ht="15" customHeight="1" x14ac:dyDescent="0.25">
      <c r="Q2297" t="s">
        <v>3227</v>
      </c>
      <c r="R2297" t="s">
        <v>223</v>
      </c>
    </row>
    <row r="2298" spans="17:18" ht="15" customHeight="1" x14ac:dyDescent="0.25">
      <c r="Q2298" t="s">
        <v>3228</v>
      </c>
      <c r="R2298" t="s">
        <v>223</v>
      </c>
    </row>
    <row r="2299" spans="17:18" ht="15" customHeight="1" x14ac:dyDescent="0.25">
      <c r="Q2299" t="s">
        <v>3229</v>
      </c>
      <c r="R2299" t="s">
        <v>223</v>
      </c>
    </row>
    <row r="2300" spans="17:18" ht="15" customHeight="1" x14ac:dyDescent="0.25">
      <c r="Q2300" t="s">
        <v>3230</v>
      </c>
      <c r="R2300" t="s">
        <v>223</v>
      </c>
    </row>
    <row r="2301" spans="17:18" ht="15" customHeight="1" x14ac:dyDescent="0.25">
      <c r="Q2301" t="s">
        <v>3231</v>
      </c>
      <c r="R2301" t="s">
        <v>223</v>
      </c>
    </row>
    <row r="2302" spans="17:18" ht="15" customHeight="1" x14ac:dyDescent="0.25">
      <c r="Q2302" t="s">
        <v>3232</v>
      </c>
      <c r="R2302" t="s">
        <v>223</v>
      </c>
    </row>
    <row r="2303" spans="17:18" ht="15" customHeight="1" x14ac:dyDescent="0.25">
      <c r="Q2303" t="s">
        <v>3233</v>
      </c>
      <c r="R2303" t="s">
        <v>223</v>
      </c>
    </row>
    <row r="2304" spans="17:18" ht="15" customHeight="1" x14ac:dyDescent="0.25">
      <c r="Q2304" t="s">
        <v>3234</v>
      </c>
      <c r="R2304" t="s">
        <v>223</v>
      </c>
    </row>
    <row r="2305" spans="17:18" ht="15" customHeight="1" x14ac:dyDescent="0.25">
      <c r="Q2305" t="s">
        <v>3235</v>
      </c>
      <c r="R2305" t="s">
        <v>223</v>
      </c>
    </row>
    <row r="2306" spans="17:18" ht="15" customHeight="1" x14ac:dyDescent="0.25">
      <c r="Q2306" t="s">
        <v>3236</v>
      </c>
      <c r="R2306" t="s">
        <v>223</v>
      </c>
    </row>
    <row r="2307" spans="17:18" ht="15" customHeight="1" x14ac:dyDescent="0.25">
      <c r="Q2307" t="s">
        <v>3237</v>
      </c>
      <c r="R2307" t="s">
        <v>223</v>
      </c>
    </row>
    <row r="2308" spans="17:18" ht="15" customHeight="1" x14ac:dyDescent="0.25">
      <c r="Q2308" t="s">
        <v>3238</v>
      </c>
      <c r="R2308" t="s">
        <v>223</v>
      </c>
    </row>
    <row r="2309" spans="17:18" ht="15" customHeight="1" x14ac:dyDescent="0.25">
      <c r="Q2309" t="s">
        <v>3239</v>
      </c>
      <c r="R2309" t="s">
        <v>223</v>
      </c>
    </row>
    <row r="2310" spans="17:18" ht="15" customHeight="1" x14ac:dyDescent="0.25">
      <c r="Q2310" t="s">
        <v>3240</v>
      </c>
      <c r="R2310" t="s">
        <v>223</v>
      </c>
    </row>
    <row r="2311" spans="17:18" ht="15" customHeight="1" x14ac:dyDescent="0.25">
      <c r="Q2311" t="s">
        <v>3241</v>
      </c>
      <c r="R2311" t="s">
        <v>223</v>
      </c>
    </row>
    <row r="2312" spans="17:18" ht="15" customHeight="1" x14ac:dyDescent="0.25">
      <c r="Q2312" t="s">
        <v>3242</v>
      </c>
      <c r="R2312" t="s">
        <v>223</v>
      </c>
    </row>
    <row r="2313" spans="17:18" ht="15" customHeight="1" x14ac:dyDescent="0.25">
      <c r="Q2313" t="s">
        <v>3243</v>
      </c>
      <c r="R2313" t="s">
        <v>3147</v>
      </c>
    </row>
    <row r="2314" spans="17:18" ht="15" customHeight="1" x14ac:dyDescent="0.25">
      <c r="Q2314" t="s">
        <v>3244</v>
      </c>
      <c r="R2314" t="s">
        <v>3147</v>
      </c>
    </row>
    <row r="2315" spans="17:18" ht="15" customHeight="1" x14ac:dyDescent="0.25">
      <c r="Q2315" t="s">
        <v>3245</v>
      </c>
      <c r="R2315" t="s">
        <v>3147</v>
      </c>
    </row>
    <row r="2316" spans="17:18" ht="15" customHeight="1" x14ac:dyDescent="0.25">
      <c r="Q2316" t="s">
        <v>3246</v>
      </c>
      <c r="R2316" t="s">
        <v>3147</v>
      </c>
    </row>
    <row r="2317" spans="17:18" ht="15" customHeight="1" x14ac:dyDescent="0.25">
      <c r="Q2317" t="s">
        <v>3247</v>
      </c>
      <c r="R2317" t="s">
        <v>3147</v>
      </c>
    </row>
    <row r="2318" spans="17:18" ht="15" customHeight="1" x14ac:dyDescent="0.25">
      <c r="Q2318" t="s">
        <v>3248</v>
      </c>
      <c r="R2318" t="s">
        <v>3147</v>
      </c>
    </row>
    <row r="2319" spans="17:18" ht="15" customHeight="1" x14ac:dyDescent="0.25">
      <c r="Q2319" t="s">
        <v>3249</v>
      </c>
      <c r="R2319" t="s">
        <v>3147</v>
      </c>
    </row>
    <row r="2320" spans="17:18" ht="15" customHeight="1" x14ac:dyDescent="0.25">
      <c r="Q2320" t="s">
        <v>3250</v>
      </c>
      <c r="R2320" t="s">
        <v>3147</v>
      </c>
    </row>
    <row r="2321" spans="17:18" ht="15" customHeight="1" x14ac:dyDescent="0.25">
      <c r="Q2321" t="s">
        <v>3251</v>
      </c>
      <c r="R2321" t="s">
        <v>3147</v>
      </c>
    </row>
    <row r="2322" spans="17:18" ht="15" customHeight="1" x14ac:dyDescent="0.25">
      <c r="Q2322" t="s">
        <v>3252</v>
      </c>
      <c r="R2322" t="s">
        <v>3147</v>
      </c>
    </row>
    <row r="2323" spans="17:18" ht="15" customHeight="1" x14ac:dyDescent="0.25">
      <c r="Q2323" t="s">
        <v>3253</v>
      </c>
      <c r="R2323" t="s">
        <v>3147</v>
      </c>
    </row>
    <row r="2324" spans="17:18" ht="15" customHeight="1" x14ac:dyDescent="0.25">
      <c r="Q2324" t="s">
        <v>3254</v>
      </c>
      <c r="R2324" t="s">
        <v>3147</v>
      </c>
    </row>
    <row r="2325" spans="17:18" ht="15" customHeight="1" x14ac:dyDescent="0.25">
      <c r="Q2325" t="s">
        <v>3255</v>
      </c>
      <c r="R2325" t="s">
        <v>3147</v>
      </c>
    </row>
    <row r="2326" spans="17:18" ht="15" customHeight="1" x14ac:dyDescent="0.25">
      <c r="Q2326" t="s">
        <v>3256</v>
      </c>
      <c r="R2326" t="s">
        <v>3147</v>
      </c>
    </row>
    <row r="2327" spans="17:18" ht="15" customHeight="1" x14ac:dyDescent="0.25">
      <c r="Q2327" t="s">
        <v>3257</v>
      </c>
      <c r="R2327" t="s">
        <v>3147</v>
      </c>
    </row>
    <row r="2328" spans="17:18" ht="15" customHeight="1" x14ac:dyDescent="0.25">
      <c r="Q2328" t="s">
        <v>3258</v>
      </c>
      <c r="R2328" t="s">
        <v>3147</v>
      </c>
    </row>
    <row r="2329" spans="17:18" ht="15" customHeight="1" x14ac:dyDescent="0.25">
      <c r="Q2329" t="s">
        <v>3259</v>
      </c>
      <c r="R2329" t="s">
        <v>2979</v>
      </c>
    </row>
    <row r="2330" spans="17:18" ht="15" customHeight="1" x14ac:dyDescent="0.25">
      <c r="Q2330" t="s">
        <v>3260</v>
      </c>
      <c r="R2330" t="s">
        <v>2979</v>
      </c>
    </row>
    <row r="2331" spans="17:18" ht="15" customHeight="1" x14ac:dyDescent="0.25">
      <c r="Q2331" t="s">
        <v>3261</v>
      </c>
      <c r="R2331" t="s">
        <v>3147</v>
      </c>
    </row>
    <row r="2332" spans="17:18" ht="15" customHeight="1" x14ac:dyDescent="0.25">
      <c r="Q2332" t="s">
        <v>3262</v>
      </c>
      <c r="R2332" t="s">
        <v>3147</v>
      </c>
    </row>
    <row r="2333" spans="17:18" ht="15" customHeight="1" x14ac:dyDescent="0.25">
      <c r="Q2333" t="s">
        <v>3263</v>
      </c>
      <c r="R2333" t="s">
        <v>3147</v>
      </c>
    </row>
    <row r="2334" spans="17:18" ht="15" customHeight="1" x14ac:dyDescent="0.25">
      <c r="Q2334" t="s">
        <v>3264</v>
      </c>
      <c r="R2334" t="s">
        <v>3147</v>
      </c>
    </row>
    <row r="2335" spans="17:18" ht="15" customHeight="1" x14ac:dyDescent="0.25">
      <c r="Q2335" t="s">
        <v>3265</v>
      </c>
      <c r="R2335" t="s">
        <v>3147</v>
      </c>
    </row>
    <row r="2336" spans="17:18" ht="15" customHeight="1" x14ac:dyDescent="0.25">
      <c r="Q2336" t="s">
        <v>3266</v>
      </c>
      <c r="R2336" t="s">
        <v>3147</v>
      </c>
    </row>
    <row r="2337" spans="17:18" ht="15" customHeight="1" x14ac:dyDescent="0.25">
      <c r="Q2337" t="s">
        <v>3267</v>
      </c>
      <c r="R2337" t="s">
        <v>3147</v>
      </c>
    </row>
    <row r="2338" spans="17:18" ht="15" customHeight="1" x14ac:dyDescent="0.25">
      <c r="Q2338" t="s">
        <v>3268</v>
      </c>
      <c r="R2338" t="s">
        <v>3147</v>
      </c>
    </row>
    <row r="2339" spans="17:18" ht="15" customHeight="1" x14ac:dyDescent="0.25">
      <c r="Q2339" t="s">
        <v>3269</v>
      </c>
      <c r="R2339" t="s">
        <v>3147</v>
      </c>
    </row>
    <row r="2340" spans="17:18" ht="15" customHeight="1" x14ac:dyDescent="0.25">
      <c r="Q2340" t="s">
        <v>3270</v>
      </c>
      <c r="R2340" t="s">
        <v>3147</v>
      </c>
    </row>
    <row r="2341" spans="17:18" ht="15" customHeight="1" x14ac:dyDescent="0.25">
      <c r="Q2341" t="s">
        <v>3271</v>
      </c>
      <c r="R2341" t="s">
        <v>3147</v>
      </c>
    </row>
    <row r="2342" spans="17:18" ht="15" customHeight="1" x14ac:dyDescent="0.25">
      <c r="Q2342" t="s">
        <v>3272</v>
      </c>
      <c r="R2342" t="s">
        <v>3147</v>
      </c>
    </row>
    <row r="2343" spans="17:18" ht="15" customHeight="1" x14ac:dyDescent="0.25">
      <c r="Q2343" t="s">
        <v>3273</v>
      </c>
      <c r="R2343" t="s">
        <v>3147</v>
      </c>
    </row>
    <row r="2344" spans="17:18" ht="15" customHeight="1" x14ac:dyDescent="0.25">
      <c r="Q2344" t="s">
        <v>3274</v>
      </c>
      <c r="R2344" t="s">
        <v>3147</v>
      </c>
    </row>
    <row r="2345" spans="17:18" ht="15" customHeight="1" x14ac:dyDescent="0.25">
      <c r="Q2345" t="s">
        <v>3275</v>
      </c>
      <c r="R2345" t="s">
        <v>3147</v>
      </c>
    </row>
    <row r="2346" spans="17:18" ht="15" customHeight="1" x14ac:dyDescent="0.25">
      <c r="Q2346" t="s">
        <v>3276</v>
      </c>
      <c r="R2346" t="s">
        <v>223</v>
      </c>
    </row>
    <row r="2347" spans="17:18" ht="15" customHeight="1" x14ac:dyDescent="0.25">
      <c r="Q2347" t="s">
        <v>3277</v>
      </c>
      <c r="R2347" t="s">
        <v>223</v>
      </c>
    </row>
    <row r="2348" spans="17:18" ht="15" customHeight="1" x14ac:dyDescent="0.25">
      <c r="Q2348" t="s">
        <v>3278</v>
      </c>
      <c r="R2348" t="s">
        <v>223</v>
      </c>
    </row>
    <row r="2349" spans="17:18" ht="15" customHeight="1" x14ac:dyDescent="0.25">
      <c r="Q2349" t="s">
        <v>3279</v>
      </c>
      <c r="R2349" t="s">
        <v>3147</v>
      </c>
    </row>
    <row r="2350" spans="17:18" ht="15" customHeight="1" x14ac:dyDescent="0.25">
      <c r="Q2350" t="s">
        <v>3280</v>
      </c>
      <c r="R2350" t="s">
        <v>3147</v>
      </c>
    </row>
    <row r="2351" spans="17:18" ht="15" customHeight="1" x14ac:dyDescent="0.25">
      <c r="Q2351" t="s">
        <v>3281</v>
      </c>
      <c r="R2351" t="s">
        <v>223</v>
      </c>
    </row>
    <row r="2352" spans="17:18" ht="15" customHeight="1" x14ac:dyDescent="0.25">
      <c r="Q2352" t="s">
        <v>3282</v>
      </c>
      <c r="R2352" t="s">
        <v>223</v>
      </c>
    </row>
    <row r="2353" spans="17:18" ht="15" customHeight="1" x14ac:dyDescent="0.25">
      <c r="Q2353" t="s">
        <v>3283</v>
      </c>
      <c r="R2353" t="s">
        <v>3147</v>
      </c>
    </row>
    <row r="2354" spans="17:18" ht="15" customHeight="1" x14ac:dyDescent="0.25">
      <c r="Q2354" t="s">
        <v>3284</v>
      </c>
      <c r="R2354" t="s">
        <v>3147</v>
      </c>
    </row>
    <row r="2355" spans="17:18" ht="15" customHeight="1" x14ac:dyDescent="0.25">
      <c r="Q2355" t="s">
        <v>3285</v>
      </c>
      <c r="R2355" t="s">
        <v>3147</v>
      </c>
    </row>
    <row r="2356" spans="17:18" ht="15" customHeight="1" x14ac:dyDescent="0.25">
      <c r="Q2356" t="s">
        <v>3286</v>
      </c>
      <c r="R2356" t="s">
        <v>3147</v>
      </c>
    </row>
    <row r="2357" spans="17:18" ht="15" customHeight="1" x14ac:dyDescent="0.25">
      <c r="Q2357" t="s">
        <v>3287</v>
      </c>
      <c r="R2357" t="s">
        <v>3147</v>
      </c>
    </row>
    <row r="2358" spans="17:18" ht="15" customHeight="1" x14ac:dyDescent="0.25">
      <c r="Q2358" t="s">
        <v>3288</v>
      </c>
      <c r="R2358" t="s">
        <v>3147</v>
      </c>
    </row>
    <row r="2359" spans="17:18" ht="15" customHeight="1" x14ac:dyDescent="0.25">
      <c r="Q2359" t="s">
        <v>3289</v>
      </c>
      <c r="R2359" t="s">
        <v>3147</v>
      </c>
    </row>
    <row r="2360" spans="17:18" ht="15" customHeight="1" x14ac:dyDescent="0.25">
      <c r="Q2360" t="s">
        <v>3290</v>
      </c>
      <c r="R2360" t="s">
        <v>3147</v>
      </c>
    </row>
    <row r="2361" spans="17:18" ht="15" customHeight="1" x14ac:dyDescent="0.25">
      <c r="Q2361" t="s">
        <v>3291</v>
      </c>
      <c r="R2361" t="s">
        <v>3147</v>
      </c>
    </row>
    <row r="2362" spans="17:18" ht="15" customHeight="1" x14ac:dyDescent="0.25">
      <c r="Q2362" t="s">
        <v>3292</v>
      </c>
      <c r="R2362" t="s">
        <v>3147</v>
      </c>
    </row>
    <row r="2363" spans="17:18" ht="15" customHeight="1" x14ac:dyDescent="0.25">
      <c r="Q2363" t="s">
        <v>3293</v>
      </c>
      <c r="R2363" t="s">
        <v>3147</v>
      </c>
    </row>
    <row r="2364" spans="17:18" ht="15" customHeight="1" x14ac:dyDescent="0.25">
      <c r="Q2364" t="s">
        <v>3294</v>
      </c>
      <c r="R2364" t="s">
        <v>3147</v>
      </c>
    </row>
    <row r="2365" spans="17:18" ht="15" customHeight="1" x14ac:dyDescent="0.25">
      <c r="Q2365" t="s">
        <v>3295</v>
      </c>
      <c r="R2365" t="s">
        <v>223</v>
      </c>
    </row>
    <row r="2366" spans="17:18" ht="15" customHeight="1" x14ac:dyDescent="0.25">
      <c r="Q2366" t="s">
        <v>3296</v>
      </c>
      <c r="R2366" t="s">
        <v>223</v>
      </c>
    </row>
    <row r="2367" spans="17:18" ht="15" customHeight="1" x14ac:dyDescent="0.25">
      <c r="Q2367" t="s">
        <v>3297</v>
      </c>
      <c r="R2367" t="s">
        <v>223</v>
      </c>
    </row>
    <row r="2368" spans="17:18" ht="15" customHeight="1" x14ac:dyDescent="0.25">
      <c r="Q2368" t="s">
        <v>3298</v>
      </c>
      <c r="R2368" t="s">
        <v>223</v>
      </c>
    </row>
    <row r="2369" spans="17:18" ht="15" customHeight="1" x14ac:dyDescent="0.25">
      <c r="Q2369" t="s">
        <v>3299</v>
      </c>
      <c r="R2369" t="s">
        <v>223</v>
      </c>
    </row>
    <row r="2370" spans="17:18" ht="15" customHeight="1" x14ac:dyDescent="0.25">
      <c r="Q2370" t="s">
        <v>3300</v>
      </c>
      <c r="R2370" t="s">
        <v>223</v>
      </c>
    </row>
    <row r="2371" spans="17:18" ht="15" customHeight="1" x14ac:dyDescent="0.25">
      <c r="Q2371" t="s">
        <v>3301</v>
      </c>
      <c r="R2371" t="s">
        <v>3147</v>
      </c>
    </row>
    <row r="2372" spans="17:18" ht="15" customHeight="1" x14ac:dyDescent="0.25">
      <c r="Q2372" t="s">
        <v>3302</v>
      </c>
      <c r="R2372" t="s">
        <v>3147</v>
      </c>
    </row>
    <row r="2373" spans="17:18" ht="15" customHeight="1" x14ac:dyDescent="0.25">
      <c r="Q2373" t="s">
        <v>3303</v>
      </c>
      <c r="R2373" t="s">
        <v>3147</v>
      </c>
    </row>
    <row r="2374" spans="17:18" ht="15" customHeight="1" x14ac:dyDescent="0.25">
      <c r="Q2374" t="s">
        <v>3304</v>
      </c>
      <c r="R2374" t="s">
        <v>3147</v>
      </c>
    </row>
    <row r="2375" spans="17:18" ht="15" customHeight="1" x14ac:dyDescent="0.25">
      <c r="Q2375" t="s">
        <v>3305</v>
      </c>
      <c r="R2375" t="s">
        <v>3147</v>
      </c>
    </row>
    <row r="2376" spans="17:18" ht="15" customHeight="1" x14ac:dyDescent="0.25">
      <c r="Q2376" t="s">
        <v>3306</v>
      </c>
      <c r="R2376" t="s">
        <v>3147</v>
      </c>
    </row>
    <row r="2377" spans="17:18" ht="15" customHeight="1" x14ac:dyDescent="0.25">
      <c r="Q2377" t="s">
        <v>3307</v>
      </c>
      <c r="R2377" t="s">
        <v>3147</v>
      </c>
    </row>
    <row r="2378" spans="17:18" ht="15" customHeight="1" x14ac:dyDescent="0.25">
      <c r="Q2378" t="s">
        <v>3308</v>
      </c>
      <c r="R2378" t="s">
        <v>3147</v>
      </c>
    </row>
    <row r="2379" spans="17:18" ht="15" customHeight="1" x14ac:dyDescent="0.25">
      <c r="Q2379" t="s">
        <v>3309</v>
      </c>
      <c r="R2379" t="s">
        <v>3147</v>
      </c>
    </row>
    <row r="2380" spans="17:18" ht="15" customHeight="1" x14ac:dyDescent="0.25">
      <c r="Q2380" t="s">
        <v>3310</v>
      </c>
      <c r="R2380" t="s">
        <v>3147</v>
      </c>
    </row>
    <row r="2381" spans="17:18" ht="15" customHeight="1" x14ac:dyDescent="0.25">
      <c r="Q2381" t="s">
        <v>3311</v>
      </c>
      <c r="R2381" t="s">
        <v>3147</v>
      </c>
    </row>
    <row r="2382" spans="17:18" ht="15" customHeight="1" x14ac:dyDescent="0.25">
      <c r="Q2382" t="s">
        <v>3312</v>
      </c>
      <c r="R2382" t="s">
        <v>3147</v>
      </c>
    </row>
    <row r="2383" spans="17:18" ht="15" customHeight="1" x14ac:dyDescent="0.25">
      <c r="Q2383" t="s">
        <v>3313</v>
      </c>
      <c r="R2383" t="s">
        <v>223</v>
      </c>
    </row>
    <row r="2384" spans="17:18" ht="15" customHeight="1" x14ac:dyDescent="0.25">
      <c r="Q2384" t="s">
        <v>3314</v>
      </c>
      <c r="R2384" t="s">
        <v>3147</v>
      </c>
    </row>
    <row r="2385" spans="17:18" ht="15" customHeight="1" x14ac:dyDescent="0.25">
      <c r="Q2385" t="s">
        <v>3315</v>
      </c>
      <c r="R2385" t="s">
        <v>3147</v>
      </c>
    </row>
    <row r="2386" spans="17:18" ht="15" customHeight="1" x14ac:dyDescent="0.25">
      <c r="Q2386" t="s">
        <v>3316</v>
      </c>
      <c r="R2386" t="s">
        <v>3147</v>
      </c>
    </row>
    <row r="2387" spans="17:18" ht="15" customHeight="1" x14ac:dyDescent="0.25">
      <c r="Q2387" t="s">
        <v>3317</v>
      </c>
      <c r="R2387" t="s">
        <v>3147</v>
      </c>
    </row>
    <row r="2388" spans="17:18" ht="15" customHeight="1" x14ac:dyDescent="0.25">
      <c r="Q2388" t="s">
        <v>3318</v>
      </c>
      <c r="R2388" t="s">
        <v>3147</v>
      </c>
    </row>
    <row r="2389" spans="17:18" ht="15" customHeight="1" x14ac:dyDescent="0.25">
      <c r="Q2389" t="s">
        <v>3319</v>
      </c>
      <c r="R2389" t="s">
        <v>3147</v>
      </c>
    </row>
    <row r="2390" spans="17:18" ht="15" customHeight="1" x14ac:dyDescent="0.25">
      <c r="Q2390" t="s">
        <v>3320</v>
      </c>
      <c r="R2390" t="s">
        <v>3147</v>
      </c>
    </row>
    <row r="2391" spans="17:18" ht="15" customHeight="1" x14ac:dyDescent="0.25">
      <c r="Q2391" t="s">
        <v>3321</v>
      </c>
      <c r="R2391" t="s">
        <v>3147</v>
      </c>
    </row>
    <row r="2392" spans="17:18" ht="15" customHeight="1" x14ac:dyDescent="0.25">
      <c r="Q2392" t="s">
        <v>3322</v>
      </c>
      <c r="R2392" t="s">
        <v>3147</v>
      </c>
    </row>
    <row r="2393" spans="17:18" ht="15" customHeight="1" x14ac:dyDescent="0.25">
      <c r="Q2393" t="s">
        <v>3323</v>
      </c>
      <c r="R2393" t="s">
        <v>3147</v>
      </c>
    </row>
    <row r="2394" spans="17:18" ht="15" customHeight="1" x14ac:dyDescent="0.25">
      <c r="Q2394" t="s">
        <v>3324</v>
      </c>
      <c r="R2394" t="s">
        <v>3147</v>
      </c>
    </row>
    <row r="2395" spans="17:18" ht="15" customHeight="1" x14ac:dyDescent="0.25">
      <c r="Q2395" t="s">
        <v>3325</v>
      </c>
      <c r="R2395" t="s">
        <v>3147</v>
      </c>
    </row>
    <row r="2396" spans="17:18" ht="15" customHeight="1" x14ac:dyDescent="0.25">
      <c r="Q2396" t="s">
        <v>3326</v>
      </c>
      <c r="R2396" t="s">
        <v>3147</v>
      </c>
    </row>
    <row r="2397" spans="17:18" ht="15" customHeight="1" x14ac:dyDescent="0.25">
      <c r="Q2397" t="s">
        <v>3327</v>
      </c>
      <c r="R2397" t="s">
        <v>3147</v>
      </c>
    </row>
    <row r="2398" spans="17:18" ht="15" customHeight="1" x14ac:dyDescent="0.25">
      <c r="Q2398" t="s">
        <v>3328</v>
      </c>
      <c r="R2398" t="s">
        <v>3147</v>
      </c>
    </row>
    <row r="2399" spans="17:18" ht="15" customHeight="1" x14ac:dyDescent="0.25">
      <c r="Q2399" t="s">
        <v>3329</v>
      </c>
      <c r="R2399" t="s">
        <v>3147</v>
      </c>
    </row>
    <row r="2400" spans="17:18" ht="15" customHeight="1" x14ac:dyDescent="0.25">
      <c r="Q2400" t="s">
        <v>3330</v>
      </c>
      <c r="R2400" t="s">
        <v>3147</v>
      </c>
    </row>
    <row r="2401" spans="17:18" ht="15" customHeight="1" x14ac:dyDescent="0.25">
      <c r="Q2401" t="s">
        <v>3331</v>
      </c>
      <c r="R2401" t="s">
        <v>3147</v>
      </c>
    </row>
    <row r="2402" spans="17:18" ht="15" customHeight="1" x14ac:dyDescent="0.25">
      <c r="Q2402" t="s">
        <v>3332</v>
      </c>
      <c r="R2402" t="s">
        <v>3147</v>
      </c>
    </row>
    <row r="2403" spans="17:18" ht="15" customHeight="1" x14ac:dyDescent="0.25">
      <c r="Q2403" t="s">
        <v>3333</v>
      </c>
      <c r="R2403" t="s">
        <v>3147</v>
      </c>
    </row>
    <row r="2404" spans="17:18" ht="15" customHeight="1" x14ac:dyDescent="0.25">
      <c r="Q2404" t="s">
        <v>3334</v>
      </c>
      <c r="R2404" t="s">
        <v>3147</v>
      </c>
    </row>
    <row r="2405" spans="17:18" ht="15" customHeight="1" x14ac:dyDescent="0.25">
      <c r="Q2405" t="s">
        <v>3335</v>
      </c>
      <c r="R2405" t="s">
        <v>3147</v>
      </c>
    </row>
    <row r="2406" spans="17:18" ht="15" customHeight="1" x14ac:dyDescent="0.25">
      <c r="Q2406" t="s">
        <v>3336</v>
      </c>
      <c r="R2406" t="s">
        <v>3147</v>
      </c>
    </row>
    <row r="2407" spans="17:18" ht="15" customHeight="1" x14ac:dyDescent="0.25">
      <c r="Q2407" t="s">
        <v>3337</v>
      </c>
      <c r="R2407" t="s">
        <v>3147</v>
      </c>
    </row>
    <row r="2408" spans="17:18" ht="15" customHeight="1" x14ac:dyDescent="0.25">
      <c r="Q2408" t="s">
        <v>3338</v>
      </c>
      <c r="R2408" t="s">
        <v>3147</v>
      </c>
    </row>
    <row r="2409" spans="17:18" ht="15" customHeight="1" x14ac:dyDescent="0.25">
      <c r="Q2409" t="s">
        <v>3339</v>
      </c>
      <c r="R2409" t="s">
        <v>3147</v>
      </c>
    </row>
    <row r="2410" spans="17:18" ht="15" customHeight="1" x14ac:dyDescent="0.25">
      <c r="Q2410" t="s">
        <v>3340</v>
      </c>
      <c r="R2410" t="s">
        <v>3147</v>
      </c>
    </row>
    <row r="2411" spans="17:18" ht="15" customHeight="1" x14ac:dyDescent="0.25">
      <c r="Q2411" t="s">
        <v>3341</v>
      </c>
      <c r="R2411" t="s">
        <v>3147</v>
      </c>
    </row>
    <row r="2412" spans="17:18" ht="15" customHeight="1" x14ac:dyDescent="0.25">
      <c r="Q2412" t="s">
        <v>3342</v>
      </c>
      <c r="R2412" t="s">
        <v>3147</v>
      </c>
    </row>
    <row r="2413" spans="17:18" ht="15" customHeight="1" x14ac:dyDescent="0.25">
      <c r="Q2413" t="s">
        <v>3343</v>
      </c>
      <c r="R2413" t="s">
        <v>3147</v>
      </c>
    </row>
    <row r="2414" spans="17:18" ht="15" customHeight="1" x14ac:dyDescent="0.25">
      <c r="Q2414" t="s">
        <v>3344</v>
      </c>
      <c r="R2414" t="s">
        <v>3147</v>
      </c>
    </row>
    <row r="2415" spans="17:18" ht="15" customHeight="1" x14ac:dyDescent="0.25">
      <c r="Q2415" t="s">
        <v>3345</v>
      </c>
      <c r="R2415" t="s">
        <v>3147</v>
      </c>
    </row>
    <row r="2416" spans="17:18" ht="15" customHeight="1" x14ac:dyDescent="0.25">
      <c r="Q2416" t="s">
        <v>3346</v>
      </c>
      <c r="R2416" t="s">
        <v>3147</v>
      </c>
    </row>
    <row r="2417" spans="17:18" ht="15" customHeight="1" x14ac:dyDescent="0.25">
      <c r="Q2417" t="s">
        <v>3347</v>
      </c>
      <c r="R2417" t="s">
        <v>3147</v>
      </c>
    </row>
    <row r="2418" spans="17:18" ht="15" customHeight="1" x14ac:dyDescent="0.25">
      <c r="Q2418" t="s">
        <v>3348</v>
      </c>
      <c r="R2418" t="s">
        <v>3147</v>
      </c>
    </row>
    <row r="2419" spans="17:18" ht="15" customHeight="1" x14ac:dyDescent="0.25">
      <c r="Q2419" t="s">
        <v>3349</v>
      </c>
      <c r="R2419" t="s">
        <v>3147</v>
      </c>
    </row>
    <row r="2420" spans="17:18" ht="15" customHeight="1" x14ac:dyDescent="0.25">
      <c r="Q2420" t="s">
        <v>3350</v>
      </c>
      <c r="R2420" t="s">
        <v>3147</v>
      </c>
    </row>
    <row r="2421" spans="17:18" ht="15" customHeight="1" x14ac:dyDescent="0.25">
      <c r="Q2421" t="s">
        <v>3351</v>
      </c>
      <c r="R2421" t="s">
        <v>3147</v>
      </c>
    </row>
    <row r="2422" spans="17:18" ht="15" customHeight="1" x14ac:dyDescent="0.25">
      <c r="Q2422" t="s">
        <v>3352</v>
      </c>
      <c r="R2422" t="s">
        <v>3147</v>
      </c>
    </row>
    <row r="2423" spans="17:18" ht="15" customHeight="1" x14ac:dyDescent="0.25">
      <c r="Q2423" t="s">
        <v>3353</v>
      </c>
      <c r="R2423" t="s">
        <v>3147</v>
      </c>
    </row>
    <row r="2424" spans="17:18" ht="15" customHeight="1" x14ac:dyDescent="0.25">
      <c r="Q2424" t="s">
        <v>3354</v>
      </c>
      <c r="R2424" t="s">
        <v>3147</v>
      </c>
    </row>
    <row r="2425" spans="17:18" ht="15" customHeight="1" x14ac:dyDescent="0.25">
      <c r="Q2425" t="s">
        <v>3355</v>
      </c>
      <c r="R2425" t="s">
        <v>3147</v>
      </c>
    </row>
    <row r="2426" spans="17:18" ht="15" customHeight="1" x14ac:dyDescent="0.25">
      <c r="Q2426" t="s">
        <v>3356</v>
      </c>
      <c r="R2426" t="s">
        <v>3147</v>
      </c>
    </row>
    <row r="2427" spans="17:18" ht="15" customHeight="1" x14ac:dyDescent="0.25">
      <c r="Q2427" t="s">
        <v>3357</v>
      </c>
      <c r="R2427" t="s">
        <v>3147</v>
      </c>
    </row>
    <row r="2428" spans="17:18" ht="15" customHeight="1" x14ac:dyDescent="0.25">
      <c r="Q2428" t="s">
        <v>3358</v>
      </c>
      <c r="R2428" t="s">
        <v>3147</v>
      </c>
    </row>
    <row r="2429" spans="17:18" ht="15" customHeight="1" x14ac:dyDescent="0.25">
      <c r="Q2429" t="s">
        <v>3359</v>
      </c>
      <c r="R2429" t="s">
        <v>3147</v>
      </c>
    </row>
    <row r="2430" spans="17:18" ht="15" customHeight="1" x14ac:dyDescent="0.25">
      <c r="Q2430" t="s">
        <v>3360</v>
      </c>
      <c r="R2430" t="s">
        <v>3147</v>
      </c>
    </row>
    <row r="2431" spans="17:18" ht="15" customHeight="1" x14ac:dyDescent="0.25">
      <c r="Q2431" t="s">
        <v>3361</v>
      </c>
      <c r="R2431" t="s">
        <v>3147</v>
      </c>
    </row>
    <row r="2432" spans="17:18" ht="15" customHeight="1" x14ac:dyDescent="0.25">
      <c r="Q2432" t="s">
        <v>3362</v>
      </c>
      <c r="R2432" t="s">
        <v>3147</v>
      </c>
    </row>
    <row r="2433" spans="17:18" ht="15" customHeight="1" x14ac:dyDescent="0.25">
      <c r="Q2433" t="s">
        <v>3363</v>
      </c>
      <c r="R2433" t="s">
        <v>3147</v>
      </c>
    </row>
    <row r="2434" spans="17:18" ht="15" customHeight="1" x14ac:dyDescent="0.25">
      <c r="Q2434" t="s">
        <v>3364</v>
      </c>
      <c r="R2434" t="s">
        <v>3147</v>
      </c>
    </row>
    <row r="2435" spans="17:18" ht="15" customHeight="1" x14ac:dyDescent="0.25">
      <c r="Q2435" t="s">
        <v>3365</v>
      </c>
      <c r="R2435" t="s">
        <v>3147</v>
      </c>
    </row>
    <row r="2436" spans="17:18" ht="15" customHeight="1" x14ac:dyDescent="0.25">
      <c r="Q2436" t="s">
        <v>3366</v>
      </c>
      <c r="R2436" t="s">
        <v>3147</v>
      </c>
    </row>
    <row r="2437" spans="17:18" ht="15" customHeight="1" x14ac:dyDescent="0.25">
      <c r="Q2437" t="s">
        <v>3367</v>
      </c>
      <c r="R2437" t="s">
        <v>3147</v>
      </c>
    </row>
    <row r="2438" spans="17:18" ht="15" customHeight="1" x14ac:dyDescent="0.25">
      <c r="Q2438" t="s">
        <v>3368</v>
      </c>
      <c r="R2438" t="s">
        <v>3147</v>
      </c>
    </row>
    <row r="2439" spans="17:18" ht="15" customHeight="1" x14ac:dyDescent="0.25">
      <c r="Q2439" t="s">
        <v>3369</v>
      </c>
      <c r="R2439" t="s">
        <v>3147</v>
      </c>
    </row>
    <row r="2440" spans="17:18" ht="15" customHeight="1" x14ac:dyDescent="0.25">
      <c r="Q2440" t="s">
        <v>3370</v>
      </c>
      <c r="R2440" t="s">
        <v>3147</v>
      </c>
    </row>
    <row r="2441" spans="17:18" ht="15" customHeight="1" x14ac:dyDescent="0.25">
      <c r="Q2441" t="s">
        <v>3371</v>
      </c>
      <c r="R2441" t="s">
        <v>3147</v>
      </c>
    </row>
    <row r="2442" spans="17:18" ht="15" customHeight="1" x14ac:dyDescent="0.25">
      <c r="Q2442" t="s">
        <v>3372</v>
      </c>
      <c r="R2442" t="s">
        <v>3147</v>
      </c>
    </row>
    <row r="2443" spans="17:18" ht="15" customHeight="1" x14ac:dyDescent="0.25">
      <c r="Q2443" t="s">
        <v>3373</v>
      </c>
      <c r="R2443" t="s">
        <v>3147</v>
      </c>
    </row>
    <row r="2444" spans="17:18" ht="15" customHeight="1" x14ac:dyDescent="0.25">
      <c r="Q2444" t="s">
        <v>3374</v>
      </c>
      <c r="R2444" t="s">
        <v>2236</v>
      </c>
    </row>
    <row r="2445" spans="17:18" ht="15" customHeight="1" x14ac:dyDescent="0.25">
      <c r="Q2445" t="s">
        <v>3375</v>
      </c>
      <c r="R2445" t="s">
        <v>2236</v>
      </c>
    </row>
    <row r="2446" spans="17:18" ht="15" customHeight="1" x14ac:dyDescent="0.25">
      <c r="Q2446" t="s">
        <v>3376</v>
      </c>
      <c r="R2446" t="s">
        <v>3147</v>
      </c>
    </row>
    <row r="2447" spans="17:18" ht="15" customHeight="1" x14ac:dyDescent="0.25">
      <c r="Q2447" t="s">
        <v>3377</v>
      </c>
      <c r="R2447" t="s">
        <v>3147</v>
      </c>
    </row>
    <row r="2448" spans="17:18" ht="15" customHeight="1" x14ac:dyDescent="0.25">
      <c r="Q2448" t="s">
        <v>3378</v>
      </c>
      <c r="R2448" t="s">
        <v>3147</v>
      </c>
    </row>
    <row r="2449" spans="17:18" ht="15" customHeight="1" x14ac:dyDescent="0.25">
      <c r="Q2449" t="s">
        <v>3379</v>
      </c>
      <c r="R2449" t="s">
        <v>3147</v>
      </c>
    </row>
    <row r="2450" spans="17:18" ht="15" customHeight="1" x14ac:dyDescent="0.25">
      <c r="Q2450" t="s">
        <v>3380</v>
      </c>
      <c r="R2450" t="s">
        <v>3147</v>
      </c>
    </row>
    <row r="2451" spans="17:18" ht="15" customHeight="1" x14ac:dyDescent="0.25">
      <c r="Q2451" t="s">
        <v>3381</v>
      </c>
      <c r="R2451" t="s">
        <v>3147</v>
      </c>
    </row>
    <row r="2452" spans="17:18" ht="15" customHeight="1" x14ac:dyDescent="0.25">
      <c r="Q2452" t="s">
        <v>3382</v>
      </c>
      <c r="R2452" t="s">
        <v>3147</v>
      </c>
    </row>
    <row r="2453" spans="17:18" ht="15" customHeight="1" x14ac:dyDescent="0.25">
      <c r="Q2453" t="s">
        <v>3383</v>
      </c>
      <c r="R2453" t="s">
        <v>3147</v>
      </c>
    </row>
    <row r="2454" spans="17:18" ht="15" customHeight="1" x14ac:dyDescent="0.25">
      <c r="Q2454" t="s">
        <v>3384</v>
      </c>
      <c r="R2454" t="s">
        <v>3147</v>
      </c>
    </row>
    <row r="2455" spans="17:18" ht="15" customHeight="1" x14ac:dyDescent="0.25">
      <c r="Q2455" t="s">
        <v>3385</v>
      </c>
      <c r="R2455" t="s">
        <v>2236</v>
      </c>
    </row>
    <row r="2456" spans="17:18" ht="15" customHeight="1" x14ac:dyDescent="0.25">
      <c r="Q2456" t="s">
        <v>3386</v>
      </c>
      <c r="R2456" t="s">
        <v>2236</v>
      </c>
    </row>
    <row r="2457" spans="17:18" ht="15" customHeight="1" x14ac:dyDescent="0.25">
      <c r="Q2457" t="s">
        <v>3387</v>
      </c>
      <c r="R2457" t="s">
        <v>2236</v>
      </c>
    </row>
    <row r="2458" spans="17:18" ht="15" customHeight="1" x14ac:dyDescent="0.25">
      <c r="Q2458" t="s">
        <v>3388</v>
      </c>
      <c r="R2458" t="s">
        <v>2236</v>
      </c>
    </row>
    <row r="2459" spans="17:18" ht="15" customHeight="1" x14ac:dyDescent="0.25">
      <c r="Q2459" t="s">
        <v>3389</v>
      </c>
      <c r="R2459" t="s">
        <v>2236</v>
      </c>
    </row>
    <row r="2460" spans="17:18" ht="15" customHeight="1" x14ac:dyDescent="0.25">
      <c r="Q2460" t="s">
        <v>3390</v>
      </c>
      <c r="R2460" t="s">
        <v>2236</v>
      </c>
    </row>
    <row r="2461" spans="17:18" ht="15" customHeight="1" x14ac:dyDescent="0.25">
      <c r="Q2461" t="s">
        <v>3391</v>
      </c>
      <c r="R2461" t="s">
        <v>2236</v>
      </c>
    </row>
    <row r="2462" spans="17:18" ht="15" customHeight="1" x14ac:dyDescent="0.25">
      <c r="Q2462" t="s">
        <v>3392</v>
      </c>
      <c r="R2462" t="s">
        <v>3061</v>
      </c>
    </row>
    <row r="2463" spans="17:18" ht="15" customHeight="1" x14ac:dyDescent="0.25">
      <c r="Q2463" t="s">
        <v>3393</v>
      </c>
      <c r="R2463" t="s">
        <v>1002</v>
      </c>
    </row>
    <row r="2464" spans="17:18" ht="15" customHeight="1" x14ac:dyDescent="0.25">
      <c r="Q2464" t="s">
        <v>3394</v>
      </c>
      <c r="R2464" t="s">
        <v>3061</v>
      </c>
    </row>
    <row r="2465" spans="17:18" ht="15" customHeight="1" x14ac:dyDescent="0.25">
      <c r="Q2465" t="s">
        <v>3395</v>
      </c>
      <c r="R2465" t="s">
        <v>1002</v>
      </c>
    </row>
    <row r="2466" spans="17:18" ht="15" customHeight="1" x14ac:dyDescent="0.25">
      <c r="Q2466" t="s">
        <v>3396</v>
      </c>
      <c r="R2466" t="s">
        <v>1002</v>
      </c>
    </row>
    <row r="2467" spans="17:18" ht="15" customHeight="1" x14ac:dyDescent="0.25">
      <c r="Q2467" t="s">
        <v>3397</v>
      </c>
      <c r="R2467" t="s">
        <v>1002</v>
      </c>
    </row>
    <row r="2468" spans="17:18" ht="15" customHeight="1" x14ac:dyDescent="0.25">
      <c r="Q2468" t="s">
        <v>3398</v>
      </c>
      <c r="R2468" t="s">
        <v>1002</v>
      </c>
    </row>
    <row r="2469" spans="17:18" ht="15" customHeight="1" x14ac:dyDescent="0.25">
      <c r="Q2469" t="s">
        <v>3399</v>
      </c>
      <c r="R2469" t="s">
        <v>1002</v>
      </c>
    </row>
    <row r="2470" spans="17:18" ht="15" customHeight="1" x14ac:dyDescent="0.25">
      <c r="Q2470" t="s">
        <v>3400</v>
      </c>
      <c r="R2470" t="s">
        <v>1002</v>
      </c>
    </row>
    <row r="2471" spans="17:18" ht="15" customHeight="1" x14ac:dyDescent="0.25">
      <c r="Q2471" t="s">
        <v>3401</v>
      </c>
      <c r="R2471" t="s">
        <v>1002</v>
      </c>
    </row>
    <row r="2472" spans="17:18" ht="15" customHeight="1" x14ac:dyDescent="0.25">
      <c r="Q2472" t="s">
        <v>3402</v>
      </c>
      <c r="R2472" t="s">
        <v>1002</v>
      </c>
    </row>
    <row r="2473" spans="17:18" ht="15" customHeight="1" x14ac:dyDescent="0.25">
      <c r="Q2473" t="s">
        <v>3403</v>
      </c>
      <c r="R2473" t="s">
        <v>1002</v>
      </c>
    </row>
    <row r="2474" spans="17:18" ht="15" customHeight="1" x14ac:dyDescent="0.25">
      <c r="Q2474" t="s">
        <v>3404</v>
      </c>
      <c r="R2474" t="s">
        <v>1002</v>
      </c>
    </row>
    <row r="2475" spans="17:18" ht="15" customHeight="1" x14ac:dyDescent="0.25">
      <c r="Q2475" t="s">
        <v>3405</v>
      </c>
      <c r="R2475" t="s">
        <v>1002</v>
      </c>
    </row>
    <row r="2476" spans="17:18" ht="15" customHeight="1" x14ac:dyDescent="0.25">
      <c r="Q2476" t="s">
        <v>3406</v>
      </c>
      <c r="R2476" t="s">
        <v>1002</v>
      </c>
    </row>
    <row r="2477" spans="17:18" ht="15" customHeight="1" x14ac:dyDescent="0.25">
      <c r="Q2477" t="s">
        <v>3407</v>
      </c>
      <c r="R2477" t="s">
        <v>1002</v>
      </c>
    </row>
    <row r="2478" spans="17:18" ht="15" customHeight="1" x14ac:dyDescent="0.25">
      <c r="Q2478" t="s">
        <v>3408</v>
      </c>
      <c r="R2478" t="s">
        <v>1002</v>
      </c>
    </row>
    <row r="2479" spans="17:18" ht="15" customHeight="1" x14ac:dyDescent="0.25">
      <c r="Q2479" t="s">
        <v>3409</v>
      </c>
      <c r="R2479" t="s">
        <v>1002</v>
      </c>
    </row>
    <row r="2480" spans="17:18" ht="15" customHeight="1" x14ac:dyDescent="0.25">
      <c r="Q2480" t="s">
        <v>3410</v>
      </c>
      <c r="R2480" t="s">
        <v>1002</v>
      </c>
    </row>
    <row r="2481" spans="17:18" ht="15" customHeight="1" x14ac:dyDescent="0.25">
      <c r="Q2481" t="s">
        <v>3411</v>
      </c>
      <c r="R2481" t="s">
        <v>1002</v>
      </c>
    </row>
    <row r="2482" spans="17:18" ht="15" customHeight="1" x14ac:dyDescent="0.25">
      <c r="Q2482" t="s">
        <v>3412</v>
      </c>
      <c r="R2482" t="s">
        <v>3061</v>
      </c>
    </row>
    <row r="2483" spans="17:18" ht="15" customHeight="1" x14ac:dyDescent="0.25">
      <c r="Q2483" t="s">
        <v>3413</v>
      </c>
      <c r="R2483" t="s">
        <v>3061</v>
      </c>
    </row>
    <row r="2484" spans="17:18" ht="15" customHeight="1" x14ac:dyDescent="0.25">
      <c r="Q2484" t="s">
        <v>3414</v>
      </c>
      <c r="R2484" t="s">
        <v>3061</v>
      </c>
    </row>
    <row r="2485" spans="17:18" ht="15" customHeight="1" x14ac:dyDescent="0.25">
      <c r="Q2485" t="s">
        <v>3415</v>
      </c>
      <c r="R2485" t="s">
        <v>1002</v>
      </c>
    </row>
    <row r="2486" spans="17:18" ht="15" customHeight="1" x14ac:dyDescent="0.25">
      <c r="Q2486" t="s">
        <v>3416</v>
      </c>
      <c r="R2486" t="s">
        <v>3061</v>
      </c>
    </row>
    <row r="2487" spans="17:18" ht="15" customHeight="1" x14ac:dyDescent="0.25">
      <c r="Q2487" t="s">
        <v>3417</v>
      </c>
      <c r="R2487" t="s">
        <v>3061</v>
      </c>
    </row>
    <row r="2488" spans="17:18" ht="15" customHeight="1" x14ac:dyDescent="0.25">
      <c r="Q2488" t="s">
        <v>3418</v>
      </c>
      <c r="R2488" t="s">
        <v>3061</v>
      </c>
    </row>
    <row r="2489" spans="17:18" ht="15" customHeight="1" x14ac:dyDescent="0.25">
      <c r="Q2489" t="s">
        <v>3419</v>
      </c>
      <c r="R2489" t="s">
        <v>3061</v>
      </c>
    </row>
    <row r="2490" spans="17:18" ht="15" customHeight="1" x14ac:dyDescent="0.25">
      <c r="Q2490" t="s">
        <v>3420</v>
      </c>
      <c r="R2490" t="s">
        <v>3061</v>
      </c>
    </row>
    <row r="2491" spans="17:18" ht="15" customHeight="1" x14ac:dyDescent="0.25">
      <c r="Q2491" t="s">
        <v>3421</v>
      </c>
      <c r="R2491" t="s">
        <v>3061</v>
      </c>
    </row>
    <row r="2492" spans="17:18" ht="15" customHeight="1" x14ac:dyDescent="0.25">
      <c r="Q2492" t="s">
        <v>3422</v>
      </c>
      <c r="R2492" t="s">
        <v>3061</v>
      </c>
    </row>
    <row r="2493" spans="17:18" ht="15" customHeight="1" x14ac:dyDescent="0.25">
      <c r="Q2493" t="s">
        <v>3423</v>
      </c>
      <c r="R2493" t="s">
        <v>3061</v>
      </c>
    </row>
    <row r="2494" spans="17:18" ht="15" customHeight="1" x14ac:dyDescent="0.25">
      <c r="Q2494" t="s">
        <v>3424</v>
      </c>
      <c r="R2494" t="s">
        <v>3061</v>
      </c>
    </row>
    <row r="2495" spans="17:18" ht="15" customHeight="1" x14ac:dyDescent="0.25">
      <c r="Q2495" t="s">
        <v>3425</v>
      </c>
      <c r="R2495" t="s">
        <v>1002</v>
      </c>
    </row>
    <row r="2496" spans="17:18" ht="15" customHeight="1" x14ac:dyDescent="0.25">
      <c r="Q2496" t="s">
        <v>3426</v>
      </c>
      <c r="R2496" t="s">
        <v>1002</v>
      </c>
    </row>
    <row r="2497" spans="17:18" ht="15" customHeight="1" x14ac:dyDescent="0.25">
      <c r="Q2497" t="s">
        <v>3427</v>
      </c>
      <c r="R2497" t="s">
        <v>3061</v>
      </c>
    </row>
    <row r="2498" spans="17:18" ht="15" customHeight="1" x14ac:dyDescent="0.25">
      <c r="Q2498" t="s">
        <v>3428</v>
      </c>
      <c r="R2498" t="s">
        <v>3061</v>
      </c>
    </row>
    <row r="2499" spans="17:18" ht="15" customHeight="1" x14ac:dyDescent="0.25">
      <c r="Q2499" t="s">
        <v>3429</v>
      </c>
      <c r="R2499" t="s">
        <v>3061</v>
      </c>
    </row>
    <row r="2500" spans="17:18" ht="15" customHeight="1" x14ac:dyDescent="0.25">
      <c r="Q2500" t="s">
        <v>3430</v>
      </c>
      <c r="R2500" t="s">
        <v>3061</v>
      </c>
    </row>
    <row r="2501" spans="17:18" ht="15" customHeight="1" x14ac:dyDescent="0.25">
      <c r="Q2501" t="s">
        <v>3431</v>
      </c>
      <c r="R2501" t="s">
        <v>1002</v>
      </c>
    </row>
    <row r="2502" spans="17:18" ht="15" customHeight="1" x14ac:dyDescent="0.25">
      <c r="Q2502" t="s">
        <v>3432</v>
      </c>
      <c r="R2502" t="s">
        <v>2236</v>
      </c>
    </row>
    <row r="2503" spans="17:18" ht="15" customHeight="1" x14ac:dyDescent="0.25">
      <c r="Q2503" t="s">
        <v>3433</v>
      </c>
      <c r="R2503" t="s">
        <v>2236</v>
      </c>
    </row>
    <row r="2504" spans="17:18" ht="15" customHeight="1" x14ac:dyDescent="0.25">
      <c r="Q2504" t="s">
        <v>3434</v>
      </c>
      <c r="R2504" t="s">
        <v>2236</v>
      </c>
    </row>
    <row r="2505" spans="17:18" ht="15" customHeight="1" x14ac:dyDescent="0.25">
      <c r="Q2505" t="s">
        <v>3435</v>
      </c>
      <c r="R2505" t="s">
        <v>2236</v>
      </c>
    </row>
    <row r="2506" spans="17:18" ht="15" customHeight="1" x14ac:dyDescent="0.25">
      <c r="Q2506" t="s">
        <v>3436</v>
      </c>
      <c r="R2506" t="s">
        <v>2236</v>
      </c>
    </row>
    <row r="2507" spans="17:18" ht="15" customHeight="1" x14ac:dyDescent="0.25">
      <c r="Q2507" t="s">
        <v>3437</v>
      </c>
      <c r="R2507" t="s">
        <v>2236</v>
      </c>
    </row>
    <row r="2508" spans="17:18" ht="15" customHeight="1" x14ac:dyDescent="0.25">
      <c r="Q2508" t="s">
        <v>3438</v>
      </c>
      <c r="R2508" t="s">
        <v>2236</v>
      </c>
    </row>
    <row r="2509" spans="17:18" ht="15" customHeight="1" x14ac:dyDescent="0.25">
      <c r="Q2509" t="s">
        <v>3439</v>
      </c>
      <c r="R2509" t="s">
        <v>2236</v>
      </c>
    </row>
    <row r="2510" spans="17:18" ht="15" customHeight="1" x14ac:dyDescent="0.25">
      <c r="Q2510" t="s">
        <v>3440</v>
      </c>
      <c r="R2510" t="s">
        <v>2236</v>
      </c>
    </row>
    <row r="2511" spans="17:18" ht="15" customHeight="1" x14ac:dyDescent="0.25">
      <c r="Q2511" t="s">
        <v>3441</v>
      </c>
      <c r="R2511" t="s">
        <v>2236</v>
      </c>
    </row>
    <row r="2512" spans="17:18" ht="15" customHeight="1" x14ac:dyDescent="0.25">
      <c r="Q2512" t="s">
        <v>3442</v>
      </c>
      <c r="R2512" t="s">
        <v>2236</v>
      </c>
    </row>
    <row r="2513" spans="17:18" ht="15" customHeight="1" x14ac:dyDescent="0.25">
      <c r="Q2513" t="s">
        <v>3443</v>
      </c>
      <c r="R2513" t="s">
        <v>1002</v>
      </c>
    </row>
    <row r="2514" spans="17:18" ht="15" customHeight="1" x14ac:dyDescent="0.25">
      <c r="Q2514" t="s">
        <v>3444</v>
      </c>
      <c r="R2514" t="s">
        <v>3061</v>
      </c>
    </row>
    <row r="2515" spans="17:18" ht="15" customHeight="1" x14ac:dyDescent="0.25">
      <c r="Q2515" t="s">
        <v>3445</v>
      </c>
      <c r="R2515" t="s">
        <v>3061</v>
      </c>
    </row>
    <row r="2516" spans="17:18" ht="15" customHeight="1" x14ac:dyDescent="0.25">
      <c r="Q2516" t="s">
        <v>3446</v>
      </c>
      <c r="R2516" t="s">
        <v>3061</v>
      </c>
    </row>
    <row r="2517" spans="17:18" ht="15" customHeight="1" x14ac:dyDescent="0.25">
      <c r="Q2517" t="s">
        <v>3447</v>
      </c>
      <c r="R2517" t="s">
        <v>3061</v>
      </c>
    </row>
    <row r="2518" spans="17:18" ht="15" customHeight="1" x14ac:dyDescent="0.25">
      <c r="Q2518" t="s">
        <v>3448</v>
      </c>
      <c r="R2518" t="s">
        <v>3061</v>
      </c>
    </row>
    <row r="2519" spans="17:18" ht="15" customHeight="1" x14ac:dyDescent="0.25">
      <c r="Q2519" t="s">
        <v>3449</v>
      </c>
      <c r="R2519" t="s">
        <v>3061</v>
      </c>
    </row>
    <row r="2520" spans="17:18" ht="15" customHeight="1" x14ac:dyDescent="0.25">
      <c r="Q2520" t="s">
        <v>3450</v>
      </c>
      <c r="R2520" t="s">
        <v>3061</v>
      </c>
    </row>
    <row r="2521" spans="17:18" ht="15" customHeight="1" x14ac:dyDescent="0.25">
      <c r="Q2521" t="s">
        <v>3451</v>
      </c>
      <c r="R2521" t="s">
        <v>3061</v>
      </c>
    </row>
    <row r="2522" spans="17:18" ht="15" customHeight="1" x14ac:dyDescent="0.25">
      <c r="Q2522" t="s">
        <v>3452</v>
      </c>
      <c r="R2522" t="s">
        <v>3061</v>
      </c>
    </row>
    <row r="2523" spans="17:18" ht="15" customHeight="1" x14ac:dyDescent="0.25">
      <c r="Q2523" t="s">
        <v>3453</v>
      </c>
      <c r="R2523" t="s">
        <v>3061</v>
      </c>
    </row>
    <row r="2524" spans="17:18" ht="15" customHeight="1" x14ac:dyDescent="0.25">
      <c r="Q2524" t="s">
        <v>3454</v>
      </c>
      <c r="R2524" t="s">
        <v>3061</v>
      </c>
    </row>
    <row r="2525" spans="17:18" ht="15" customHeight="1" x14ac:dyDescent="0.25">
      <c r="Q2525" t="s">
        <v>3455</v>
      </c>
      <c r="R2525" t="s">
        <v>3061</v>
      </c>
    </row>
    <row r="2526" spans="17:18" ht="15" customHeight="1" x14ac:dyDescent="0.25">
      <c r="Q2526" t="s">
        <v>3456</v>
      </c>
      <c r="R2526" t="s">
        <v>3061</v>
      </c>
    </row>
    <row r="2527" spans="17:18" ht="15" customHeight="1" x14ac:dyDescent="0.25">
      <c r="Q2527" t="s">
        <v>3457</v>
      </c>
      <c r="R2527" t="s">
        <v>2236</v>
      </c>
    </row>
    <row r="2528" spans="17:18" ht="15" customHeight="1" x14ac:dyDescent="0.25">
      <c r="Q2528" t="s">
        <v>3458</v>
      </c>
      <c r="R2528" t="s">
        <v>2236</v>
      </c>
    </row>
    <row r="2529" spans="17:18" ht="15" customHeight="1" x14ac:dyDescent="0.25">
      <c r="Q2529" t="s">
        <v>3459</v>
      </c>
      <c r="R2529" t="s">
        <v>3061</v>
      </c>
    </row>
    <row r="2530" spans="17:18" ht="15" customHeight="1" x14ac:dyDescent="0.25">
      <c r="Q2530" t="s">
        <v>3460</v>
      </c>
      <c r="R2530" t="s">
        <v>3061</v>
      </c>
    </row>
    <row r="2531" spans="17:18" ht="15" customHeight="1" x14ac:dyDescent="0.25">
      <c r="Q2531" t="s">
        <v>3461</v>
      </c>
      <c r="R2531" t="s">
        <v>2236</v>
      </c>
    </row>
    <row r="2532" spans="17:18" ht="15" customHeight="1" x14ac:dyDescent="0.25">
      <c r="Q2532" t="s">
        <v>3462</v>
      </c>
      <c r="R2532" t="s">
        <v>2236</v>
      </c>
    </row>
    <row r="2533" spans="17:18" ht="15" customHeight="1" x14ac:dyDescent="0.25">
      <c r="Q2533" t="s">
        <v>3463</v>
      </c>
      <c r="R2533" t="s">
        <v>2236</v>
      </c>
    </row>
    <row r="2534" spans="17:18" ht="15" customHeight="1" x14ac:dyDescent="0.25">
      <c r="Q2534" t="s">
        <v>3464</v>
      </c>
      <c r="R2534" t="s">
        <v>2236</v>
      </c>
    </row>
    <row r="2535" spans="17:18" ht="15" customHeight="1" x14ac:dyDescent="0.25">
      <c r="Q2535" t="s">
        <v>3465</v>
      </c>
      <c r="R2535" t="s">
        <v>2236</v>
      </c>
    </row>
    <row r="2536" spans="17:18" ht="15" customHeight="1" x14ac:dyDescent="0.25">
      <c r="Q2536" t="s">
        <v>3466</v>
      </c>
      <c r="R2536" t="s">
        <v>2236</v>
      </c>
    </row>
    <row r="2537" spans="17:18" ht="15" customHeight="1" x14ac:dyDescent="0.25">
      <c r="Q2537" t="s">
        <v>3467</v>
      </c>
      <c r="R2537" t="s">
        <v>2236</v>
      </c>
    </row>
    <row r="2538" spans="17:18" ht="15" customHeight="1" x14ac:dyDescent="0.25">
      <c r="Q2538" t="s">
        <v>3468</v>
      </c>
      <c r="R2538" t="s">
        <v>2236</v>
      </c>
    </row>
    <row r="2539" spans="17:18" ht="15" customHeight="1" x14ac:dyDescent="0.25">
      <c r="Q2539" t="s">
        <v>3469</v>
      </c>
      <c r="R2539" t="s">
        <v>2236</v>
      </c>
    </row>
    <row r="2540" spans="17:18" ht="15" customHeight="1" x14ac:dyDescent="0.25">
      <c r="Q2540" t="s">
        <v>3470</v>
      </c>
      <c r="R2540" t="s">
        <v>3061</v>
      </c>
    </row>
    <row r="2541" spans="17:18" ht="15" customHeight="1" x14ac:dyDescent="0.25">
      <c r="Q2541" t="s">
        <v>3471</v>
      </c>
      <c r="R2541" t="s">
        <v>3061</v>
      </c>
    </row>
    <row r="2542" spans="17:18" ht="15" customHeight="1" x14ac:dyDescent="0.25">
      <c r="Q2542" t="s">
        <v>3472</v>
      </c>
      <c r="R2542" t="s">
        <v>3061</v>
      </c>
    </row>
    <row r="2543" spans="17:18" ht="15" customHeight="1" x14ac:dyDescent="0.25">
      <c r="Q2543" t="s">
        <v>3473</v>
      </c>
      <c r="R2543" t="s">
        <v>3061</v>
      </c>
    </row>
    <row r="2544" spans="17:18" ht="15" customHeight="1" x14ac:dyDescent="0.25">
      <c r="Q2544" t="s">
        <v>3474</v>
      </c>
      <c r="R2544" t="s">
        <v>3061</v>
      </c>
    </row>
    <row r="2545" spans="17:18" ht="15" customHeight="1" x14ac:dyDescent="0.25">
      <c r="Q2545" t="s">
        <v>3475</v>
      </c>
      <c r="R2545" t="s">
        <v>3061</v>
      </c>
    </row>
    <row r="2546" spans="17:18" ht="15" customHeight="1" x14ac:dyDescent="0.25">
      <c r="Q2546" t="s">
        <v>3476</v>
      </c>
      <c r="R2546" t="s">
        <v>3061</v>
      </c>
    </row>
    <row r="2547" spans="17:18" ht="15" customHeight="1" x14ac:dyDescent="0.25">
      <c r="Q2547" t="s">
        <v>3477</v>
      </c>
      <c r="R2547" t="s">
        <v>3061</v>
      </c>
    </row>
    <row r="2548" spans="17:18" ht="15" customHeight="1" x14ac:dyDescent="0.25">
      <c r="Q2548" t="s">
        <v>3478</v>
      </c>
      <c r="R2548" t="s">
        <v>3061</v>
      </c>
    </row>
    <row r="2549" spans="17:18" ht="15" customHeight="1" x14ac:dyDescent="0.25">
      <c r="Q2549" t="s">
        <v>3479</v>
      </c>
      <c r="R2549" t="s">
        <v>3061</v>
      </c>
    </row>
    <row r="2550" spans="17:18" ht="15" customHeight="1" x14ac:dyDescent="0.25">
      <c r="Q2550" t="s">
        <v>3480</v>
      </c>
      <c r="R2550" t="s">
        <v>3061</v>
      </c>
    </row>
    <row r="2551" spans="17:18" ht="15" customHeight="1" x14ac:dyDescent="0.25">
      <c r="Q2551" t="s">
        <v>3481</v>
      </c>
      <c r="R2551" t="s">
        <v>3061</v>
      </c>
    </row>
    <row r="2552" spans="17:18" ht="15" customHeight="1" x14ac:dyDescent="0.25">
      <c r="Q2552" t="s">
        <v>3482</v>
      </c>
      <c r="R2552" t="s">
        <v>2236</v>
      </c>
    </row>
    <row r="2553" spans="17:18" ht="15" customHeight="1" x14ac:dyDescent="0.25">
      <c r="Q2553" t="s">
        <v>3483</v>
      </c>
      <c r="R2553" t="s">
        <v>2236</v>
      </c>
    </row>
    <row r="2554" spans="17:18" ht="15" customHeight="1" x14ac:dyDescent="0.25">
      <c r="Q2554" t="s">
        <v>3484</v>
      </c>
      <c r="R2554" t="s">
        <v>2236</v>
      </c>
    </row>
    <row r="2555" spans="17:18" ht="15" customHeight="1" x14ac:dyDescent="0.25">
      <c r="Q2555" t="s">
        <v>3485</v>
      </c>
      <c r="R2555" t="s">
        <v>2236</v>
      </c>
    </row>
    <row r="2556" spans="17:18" ht="15" customHeight="1" x14ac:dyDescent="0.25">
      <c r="Q2556" t="s">
        <v>3486</v>
      </c>
      <c r="R2556" t="s">
        <v>2236</v>
      </c>
    </row>
    <row r="2557" spans="17:18" ht="15" customHeight="1" x14ac:dyDescent="0.25">
      <c r="Q2557" t="s">
        <v>3487</v>
      </c>
      <c r="R2557" t="s">
        <v>2236</v>
      </c>
    </row>
    <row r="2558" spans="17:18" ht="15" customHeight="1" x14ac:dyDescent="0.25">
      <c r="Q2558" t="s">
        <v>3488</v>
      </c>
      <c r="R2558" t="s">
        <v>2236</v>
      </c>
    </row>
    <row r="2559" spans="17:18" ht="15" customHeight="1" x14ac:dyDescent="0.25">
      <c r="Q2559" t="s">
        <v>3489</v>
      </c>
      <c r="R2559" t="s">
        <v>2236</v>
      </c>
    </row>
    <row r="2560" spans="17:18" ht="15" customHeight="1" x14ac:dyDescent="0.25">
      <c r="Q2560" t="s">
        <v>3490</v>
      </c>
      <c r="R2560" t="s">
        <v>2236</v>
      </c>
    </row>
    <row r="2561" spans="17:18" ht="15" customHeight="1" x14ac:dyDescent="0.25">
      <c r="Q2561" t="s">
        <v>3491</v>
      </c>
      <c r="R2561" t="s">
        <v>2236</v>
      </c>
    </row>
    <row r="2562" spans="17:18" ht="15" customHeight="1" x14ac:dyDescent="0.25">
      <c r="Q2562" t="s">
        <v>3492</v>
      </c>
      <c r="R2562" t="s">
        <v>2236</v>
      </c>
    </row>
    <row r="2563" spans="17:18" ht="15" customHeight="1" x14ac:dyDescent="0.25">
      <c r="Q2563" t="s">
        <v>3493</v>
      </c>
      <c r="R2563" t="s">
        <v>2236</v>
      </c>
    </row>
    <row r="2564" spans="17:18" ht="15" customHeight="1" x14ac:dyDescent="0.25">
      <c r="Q2564" t="s">
        <v>3494</v>
      </c>
      <c r="R2564" t="s">
        <v>2236</v>
      </c>
    </row>
    <row r="2565" spans="17:18" ht="15" customHeight="1" x14ac:dyDescent="0.25">
      <c r="Q2565" t="s">
        <v>3495</v>
      </c>
      <c r="R2565" t="s">
        <v>2236</v>
      </c>
    </row>
    <row r="2566" spans="17:18" ht="15" customHeight="1" x14ac:dyDescent="0.25">
      <c r="Q2566" t="s">
        <v>3496</v>
      </c>
      <c r="R2566" t="s">
        <v>2236</v>
      </c>
    </row>
    <row r="2567" spans="17:18" ht="15" customHeight="1" x14ac:dyDescent="0.25">
      <c r="Q2567" t="s">
        <v>3497</v>
      </c>
      <c r="R2567" t="s">
        <v>2236</v>
      </c>
    </row>
    <row r="2568" spans="17:18" ht="15" customHeight="1" x14ac:dyDescent="0.25">
      <c r="Q2568" t="s">
        <v>3498</v>
      </c>
      <c r="R2568" t="s">
        <v>2236</v>
      </c>
    </row>
    <row r="2569" spans="17:18" ht="15" customHeight="1" x14ac:dyDescent="0.25">
      <c r="Q2569" t="s">
        <v>3499</v>
      </c>
      <c r="R2569" t="s">
        <v>2236</v>
      </c>
    </row>
    <row r="2570" spans="17:18" ht="15" customHeight="1" x14ac:dyDescent="0.25">
      <c r="Q2570" t="s">
        <v>3500</v>
      </c>
      <c r="R2570" t="s">
        <v>2236</v>
      </c>
    </row>
    <row r="2571" spans="17:18" ht="15" customHeight="1" x14ac:dyDescent="0.25">
      <c r="Q2571" t="s">
        <v>3501</v>
      </c>
      <c r="R2571" t="s">
        <v>2236</v>
      </c>
    </row>
    <row r="2572" spans="17:18" ht="15" customHeight="1" x14ac:dyDescent="0.25">
      <c r="Q2572" t="s">
        <v>3502</v>
      </c>
      <c r="R2572" t="s">
        <v>2236</v>
      </c>
    </row>
    <row r="2573" spans="17:18" ht="15" customHeight="1" x14ac:dyDescent="0.25">
      <c r="Q2573" t="s">
        <v>3503</v>
      </c>
      <c r="R2573" t="s">
        <v>2236</v>
      </c>
    </row>
    <row r="2574" spans="17:18" ht="15" customHeight="1" x14ac:dyDescent="0.25">
      <c r="Q2574" t="s">
        <v>3504</v>
      </c>
      <c r="R2574" t="s">
        <v>3061</v>
      </c>
    </row>
    <row r="2575" spans="17:18" ht="15" customHeight="1" x14ac:dyDescent="0.25">
      <c r="Q2575" t="s">
        <v>3505</v>
      </c>
      <c r="R2575" t="s">
        <v>3061</v>
      </c>
    </row>
    <row r="2576" spans="17:18" ht="15" customHeight="1" x14ac:dyDescent="0.25">
      <c r="Q2576" t="s">
        <v>3506</v>
      </c>
      <c r="R2576" t="s">
        <v>3061</v>
      </c>
    </row>
    <row r="2577" spans="17:18" ht="15" customHeight="1" x14ac:dyDescent="0.25">
      <c r="Q2577" t="s">
        <v>3507</v>
      </c>
      <c r="R2577" t="s">
        <v>3061</v>
      </c>
    </row>
    <row r="2578" spans="17:18" ht="15" customHeight="1" x14ac:dyDescent="0.25">
      <c r="Q2578" t="s">
        <v>3508</v>
      </c>
      <c r="R2578" t="s">
        <v>3061</v>
      </c>
    </row>
    <row r="2579" spans="17:18" ht="15" customHeight="1" x14ac:dyDescent="0.25">
      <c r="Q2579" t="s">
        <v>3509</v>
      </c>
      <c r="R2579" t="s">
        <v>2236</v>
      </c>
    </row>
    <row r="2580" spans="17:18" ht="15" customHeight="1" x14ac:dyDescent="0.25">
      <c r="Q2580" t="s">
        <v>3510</v>
      </c>
      <c r="R2580" t="s">
        <v>3061</v>
      </c>
    </row>
    <row r="2581" spans="17:18" ht="15" customHeight="1" x14ac:dyDescent="0.25">
      <c r="Q2581" t="s">
        <v>3511</v>
      </c>
      <c r="R2581" t="s">
        <v>3061</v>
      </c>
    </row>
    <row r="2582" spans="17:18" ht="15" customHeight="1" x14ac:dyDescent="0.25">
      <c r="Q2582" t="s">
        <v>3512</v>
      </c>
      <c r="R2582" t="s">
        <v>3061</v>
      </c>
    </row>
    <row r="2583" spans="17:18" ht="15" customHeight="1" x14ac:dyDescent="0.25">
      <c r="Q2583" t="s">
        <v>3513</v>
      </c>
      <c r="R2583" t="s">
        <v>3061</v>
      </c>
    </row>
    <row r="2584" spans="17:18" ht="15" customHeight="1" x14ac:dyDescent="0.25">
      <c r="Q2584" t="s">
        <v>3514</v>
      </c>
      <c r="R2584" t="s">
        <v>3061</v>
      </c>
    </row>
    <row r="2585" spans="17:18" ht="15" customHeight="1" x14ac:dyDescent="0.25">
      <c r="Q2585" t="s">
        <v>3515</v>
      </c>
      <c r="R2585" t="s">
        <v>3061</v>
      </c>
    </row>
    <row r="2586" spans="17:18" ht="15" customHeight="1" x14ac:dyDescent="0.25">
      <c r="Q2586" t="s">
        <v>3516</v>
      </c>
      <c r="R2586" t="s">
        <v>3061</v>
      </c>
    </row>
    <row r="2587" spans="17:18" ht="15" customHeight="1" x14ac:dyDescent="0.25">
      <c r="Q2587" t="s">
        <v>3517</v>
      </c>
      <c r="R2587" t="s">
        <v>2236</v>
      </c>
    </row>
    <row r="2588" spans="17:18" ht="15" customHeight="1" x14ac:dyDescent="0.25">
      <c r="Q2588" t="s">
        <v>3518</v>
      </c>
      <c r="R2588" t="s">
        <v>2236</v>
      </c>
    </row>
    <row r="2589" spans="17:18" ht="15" customHeight="1" x14ac:dyDescent="0.25">
      <c r="Q2589" t="s">
        <v>3519</v>
      </c>
      <c r="R2589" t="s">
        <v>2236</v>
      </c>
    </row>
    <row r="2590" spans="17:18" ht="15" customHeight="1" x14ac:dyDescent="0.25">
      <c r="Q2590" t="s">
        <v>3520</v>
      </c>
      <c r="R2590" t="s">
        <v>2236</v>
      </c>
    </row>
    <row r="2591" spans="17:18" ht="15" customHeight="1" x14ac:dyDescent="0.25">
      <c r="Q2591" t="s">
        <v>3521</v>
      </c>
      <c r="R2591" t="s">
        <v>2236</v>
      </c>
    </row>
    <row r="2592" spans="17:18" ht="15" customHeight="1" x14ac:dyDescent="0.25">
      <c r="Q2592" t="s">
        <v>3522</v>
      </c>
      <c r="R2592" t="s">
        <v>3061</v>
      </c>
    </row>
    <row r="2593" spans="17:18" ht="15" customHeight="1" x14ac:dyDescent="0.25">
      <c r="Q2593" t="s">
        <v>3523</v>
      </c>
      <c r="R2593" t="s">
        <v>2236</v>
      </c>
    </row>
    <row r="2594" spans="17:18" ht="15" customHeight="1" x14ac:dyDescent="0.25">
      <c r="Q2594" t="s">
        <v>3524</v>
      </c>
      <c r="R2594" t="s">
        <v>2236</v>
      </c>
    </row>
    <row r="2595" spans="17:18" ht="15" customHeight="1" x14ac:dyDescent="0.25">
      <c r="Q2595" t="s">
        <v>3525</v>
      </c>
      <c r="R2595" t="s">
        <v>2236</v>
      </c>
    </row>
    <row r="2596" spans="17:18" ht="15" customHeight="1" x14ac:dyDescent="0.25">
      <c r="Q2596" t="s">
        <v>3526</v>
      </c>
      <c r="R2596" t="s">
        <v>2236</v>
      </c>
    </row>
    <row r="2597" spans="17:18" ht="15" customHeight="1" x14ac:dyDescent="0.25">
      <c r="Q2597" t="s">
        <v>3527</v>
      </c>
      <c r="R2597" t="s">
        <v>2236</v>
      </c>
    </row>
    <row r="2598" spans="17:18" ht="15" customHeight="1" x14ac:dyDescent="0.25">
      <c r="Q2598" t="s">
        <v>3528</v>
      </c>
      <c r="R2598" t="s">
        <v>2236</v>
      </c>
    </row>
    <row r="2599" spans="17:18" ht="15" customHeight="1" x14ac:dyDescent="0.25">
      <c r="Q2599" t="s">
        <v>3529</v>
      </c>
      <c r="R2599" t="s">
        <v>2236</v>
      </c>
    </row>
    <row r="2600" spans="17:18" ht="15" customHeight="1" x14ac:dyDescent="0.25">
      <c r="Q2600" t="s">
        <v>3530</v>
      </c>
      <c r="R2600" t="s">
        <v>2236</v>
      </c>
    </row>
    <row r="2601" spans="17:18" ht="15" customHeight="1" x14ac:dyDescent="0.25">
      <c r="Q2601" t="s">
        <v>3531</v>
      </c>
      <c r="R2601" t="s">
        <v>2236</v>
      </c>
    </row>
    <row r="2602" spans="17:18" ht="15" customHeight="1" x14ac:dyDescent="0.25">
      <c r="Q2602" t="s">
        <v>3532</v>
      </c>
      <c r="R2602" t="s">
        <v>2236</v>
      </c>
    </row>
    <row r="2603" spans="17:18" ht="15" customHeight="1" x14ac:dyDescent="0.25">
      <c r="Q2603" t="s">
        <v>3533</v>
      </c>
      <c r="R2603" t="s">
        <v>2236</v>
      </c>
    </row>
    <row r="2604" spans="17:18" ht="15" customHeight="1" x14ac:dyDescent="0.25">
      <c r="Q2604" t="s">
        <v>3534</v>
      </c>
      <c r="R2604" t="s">
        <v>2236</v>
      </c>
    </row>
    <row r="2605" spans="17:18" ht="15" customHeight="1" x14ac:dyDescent="0.25">
      <c r="Q2605" t="s">
        <v>3535</v>
      </c>
      <c r="R2605" t="s">
        <v>2236</v>
      </c>
    </row>
    <row r="2606" spans="17:18" ht="15" customHeight="1" x14ac:dyDescent="0.25">
      <c r="Q2606" t="s">
        <v>3536</v>
      </c>
      <c r="R2606" t="s">
        <v>2236</v>
      </c>
    </row>
    <row r="2607" spans="17:18" ht="15" customHeight="1" x14ac:dyDescent="0.25">
      <c r="Q2607" t="s">
        <v>3537</v>
      </c>
      <c r="R2607" t="s">
        <v>2236</v>
      </c>
    </row>
    <row r="2608" spans="17:18" ht="15" customHeight="1" x14ac:dyDescent="0.25">
      <c r="Q2608" t="s">
        <v>3538</v>
      </c>
      <c r="R2608" t="s">
        <v>2236</v>
      </c>
    </row>
    <row r="2609" spans="17:18" ht="15" customHeight="1" x14ac:dyDescent="0.25">
      <c r="Q2609" t="s">
        <v>3539</v>
      </c>
      <c r="R2609" t="s">
        <v>2236</v>
      </c>
    </row>
    <row r="2610" spans="17:18" ht="15" customHeight="1" x14ac:dyDescent="0.25">
      <c r="Q2610" t="s">
        <v>3540</v>
      </c>
      <c r="R2610" t="s">
        <v>2236</v>
      </c>
    </row>
    <row r="2611" spans="17:18" ht="15" customHeight="1" x14ac:dyDescent="0.25">
      <c r="Q2611" t="s">
        <v>3541</v>
      </c>
      <c r="R2611" t="s">
        <v>2236</v>
      </c>
    </row>
    <row r="2612" spans="17:18" ht="15" customHeight="1" x14ac:dyDescent="0.25">
      <c r="Q2612" t="s">
        <v>3542</v>
      </c>
      <c r="R2612" t="s">
        <v>2236</v>
      </c>
    </row>
    <row r="2613" spans="17:18" ht="15" customHeight="1" x14ac:dyDescent="0.25">
      <c r="Q2613" t="s">
        <v>3543</v>
      </c>
      <c r="R2613" t="s">
        <v>2236</v>
      </c>
    </row>
    <row r="2614" spans="17:18" ht="15" customHeight="1" x14ac:dyDescent="0.25">
      <c r="Q2614" t="s">
        <v>3544</v>
      </c>
      <c r="R2614" t="s">
        <v>2236</v>
      </c>
    </row>
    <row r="2615" spans="17:18" ht="15" customHeight="1" x14ac:dyDescent="0.25">
      <c r="Q2615" t="s">
        <v>3545</v>
      </c>
      <c r="R2615" t="s">
        <v>2236</v>
      </c>
    </row>
    <row r="2616" spans="17:18" ht="15" customHeight="1" x14ac:dyDescent="0.25">
      <c r="Q2616" t="s">
        <v>3546</v>
      </c>
      <c r="R2616" t="s">
        <v>2236</v>
      </c>
    </row>
    <row r="2617" spans="17:18" ht="15" customHeight="1" x14ac:dyDescent="0.25">
      <c r="Q2617" t="s">
        <v>3547</v>
      </c>
      <c r="R2617" t="s">
        <v>3061</v>
      </c>
    </row>
    <row r="2618" spans="17:18" ht="15" customHeight="1" x14ac:dyDescent="0.25">
      <c r="Q2618" t="s">
        <v>3548</v>
      </c>
      <c r="R2618" t="s">
        <v>3061</v>
      </c>
    </row>
    <row r="2619" spans="17:18" ht="15" customHeight="1" x14ac:dyDescent="0.25">
      <c r="Q2619" t="s">
        <v>3549</v>
      </c>
      <c r="R2619" t="s">
        <v>3061</v>
      </c>
    </row>
    <row r="2620" spans="17:18" ht="15" customHeight="1" x14ac:dyDescent="0.25">
      <c r="Q2620" t="s">
        <v>3550</v>
      </c>
      <c r="R2620" t="s">
        <v>3061</v>
      </c>
    </row>
    <row r="2621" spans="17:18" ht="15" customHeight="1" x14ac:dyDescent="0.25">
      <c r="Q2621" t="s">
        <v>3551</v>
      </c>
      <c r="R2621" t="s">
        <v>3061</v>
      </c>
    </row>
    <row r="2622" spans="17:18" ht="15" customHeight="1" x14ac:dyDescent="0.25">
      <c r="Q2622" t="s">
        <v>3552</v>
      </c>
      <c r="R2622" t="s">
        <v>3061</v>
      </c>
    </row>
    <row r="2623" spans="17:18" ht="15" customHeight="1" x14ac:dyDescent="0.25">
      <c r="Q2623" t="s">
        <v>3553</v>
      </c>
      <c r="R2623" t="s">
        <v>3061</v>
      </c>
    </row>
    <row r="2624" spans="17:18" ht="15" customHeight="1" x14ac:dyDescent="0.25">
      <c r="Q2624" t="s">
        <v>3554</v>
      </c>
      <c r="R2624" t="s">
        <v>3061</v>
      </c>
    </row>
    <row r="2625" spans="17:18" ht="15" customHeight="1" x14ac:dyDescent="0.25">
      <c r="Q2625" t="s">
        <v>3555</v>
      </c>
      <c r="R2625" t="s">
        <v>3061</v>
      </c>
    </row>
    <row r="2626" spans="17:18" ht="15" customHeight="1" x14ac:dyDescent="0.25">
      <c r="Q2626" t="s">
        <v>3556</v>
      </c>
      <c r="R2626" t="s">
        <v>1002</v>
      </c>
    </row>
    <row r="2627" spans="17:18" ht="15" customHeight="1" x14ac:dyDescent="0.25">
      <c r="Q2627" t="s">
        <v>3557</v>
      </c>
      <c r="R2627" t="s">
        <v>1002</v>
      </c>
    </row>
    <row r="2628" spans="17:18" ht="15" customHeight="1" x14ac:dyDescent="0.25">
      <c r="Q2628" t="s">
        <v>3558</v>
      </c>
      <c r="R2628" t="s">
        <v>3061</v>
      </c>
    </row>
    <row r="2629" spans="17:18" ht="15" customHeight="1" x14ac:dyDescent="0.25">
      <c r="Q2629" t="s">
        <v>3559</v>
      </c>
      <c r="R2629" t="s">
        <v>3061</v>
      </c>
    </row>
    <row r="2630" spans="17:18" ht="15" customHeight="1" x14ac:dyDescent="0.25">
      <c r="Q2630" t="s">
        <v>3560</v>
      </c>
      <c r="R2630" t="s">
        <v>3061</v>
      </c>
    </row>
    <row r="2631" spans="17:18" ht="15" customHeight="1" x14ac:dyDescent="0.25">
      <c r="Q2631" t="s">
        <v>3561</v>
      </c>
      <c r="R2631" t="s">
        <v>3061</v>
      </c>
    </row>
    <row r="2632" spans="17:18" ht="15" customHeight="1" x14ac:dyDescent="0.25">
      <c r="Q2632" t="s">
        <v>3562</v>
      </c>
      <c r="R2632" t="s">
        <v>3061</v>
      </c>
    </row>
    <row r="2633" spans="17:18" ht="15" customHeight="1" x14ac:dyDescent="0.25">
      <c r="Q2633" t="s">
        <v>3563</v>
      </c>
      <c r="R2633" t="s">
        <v>3061</v>
      </c>
    </row>
    <row r="2634" spans="17:18" ht="15" customHeight="1" x14ac:dyDescent="0.25">
      <c r="Q2634" t="s">
        <v>3564</v>
      </c>
      <c r="R2634" t="s">
        <v>3061</v>
      </c>
    </row>
    <row r="2635" spans="17:18" ht="15" customHeight="1" x14ac:dyDescent="0.25">
      <c r="Q2635" t="s">
        <v>3565</v>
      </c>
      <c r="R2635" t="s">
        <v>3061</v>
      </c>
    </row>
    <row r="2636" spans="17:18" ht="15" customHeight="1" x14ac:dyDescent="0.25">
      <c r="Q2636" t="s">
        <v>3566</v>
      </c>
      <c r="R2636" t="s">
        <v>3061</v>
      </c>
    </row>
    <row r="2637" spans="17:18" ht="15" customHeight="1" x14ac:dyDescent="0.25">
      <c r="Q2637" t="s">
        <v>3567</v>
      </c>
      <c r="R2637" t="s">
        <v>3061</v>
      </c>
    </row>
    <row r="2638" spans="17:18" ht="15" customHeight="1" x14ac:dyDescent="0.25">
      <c r="Q2638" t="s">
        <v>3568</v>
      </c>
      <c r="R2638" t="s">
        <v>3061</v>
      </c>
    </row>
    <row r="2639" spans="17:18" ht="15" customHeight="1" x14ac:dyDescent="0.25">
      <c r="Q2639" t="s">
        <v>3569</v>
      </c>
      <c r="R2639" t="s">
        <v>3061</v>
      </c>
    </row>
    <row r="2640" spans="17:18" ht="15" customHeight="1" x14ac:dyDescent="0.25">
      <c r="Q2640" t="s">
        <v>3570</v>
      </c>
      <c r="R2640" t="s">
        <v>3061</v>
      </c>
    </row>
    <row r="2641" spans="17:18" ht="15" customHeight="1" x14ac:dyDescent="0.25">
      <c r="Q2641" t="s">
        <v>3571</v>
      </c>
      <c r="R2641" t="s">
        <v>3061</v>
      </c>
    </row>
    <row r="2642" spans="17:18" ht="15" customHeight="1" x14ac:dyDescent="0.25">
      <c r="Q2642" t="s">
        <v>3572</v>
      </c>
      <c r="R2642" t="s">
        <v>3061</v>
      </c>
    </row>
    <row r="2643" spans="17:18" ht="15" customHeight="1" x14ac:dyDescent="0.25">
      <c r="Q2643" t="s">
        <v>3573</v>
      </c>
      <c r="R2643" t="s">
        <v>3061</v>
      </c>
    </row>
    <row r="2644" spans="17:18" ht="15" customHeight="1" x14ac:dyDescent="0.25">
      <c r="Q2644" t="s">
        <v>3574</v>
      </c>
      <c r="R2644" t="s">
        <v>3061</v>
      </c>
    </row>
    <row r="2645" spans="17:18" ht="15" customHeight="1" x14ac:dyDescent="0.25">
      <c r="Q2645" t="s">
        <v>3575</v>
      </c>
      <c r="R2645" t="s">
        <v>3061</v>
      </c>
    </row>
    <row r="2646" spans="17:18" ht="15" customHeight="1" x14ac:dyDescent="0.25">
      <c r="Q2646" t="s">
        <v>3576</v>
      </c>
      <c r="R2646" t="s">
        <v>3061</v>
      </c>
    </row>
    <row r="2647" spans="17:18" ht="15" customHeight="1" x14ac:dyDescent="0.25">
      <c r="Q2647" t="s">
        <v>3577</v>
      </c>
      <c r="R2647" t="s">
        <v>3061</v>
      </c>
    </row>
    <row r="2648" spans="17:18" ht="15" customHeight="1" x14ac:dyDescent="0.25">
      <c r="Q2648" t="s">
        <v>3578</v>
      </c>
      <c r="R2648" t="s">
        <v>3061</v>
      </c>
    </row>
    <row r="2649" spans="17:18" ht="15" customHeight="1" x14ac:dyDescent="0.25">
      <c r="Q2649" t="s">
        <v>3579</v>
      </c>
      <c r="R2649" t="s">
        <v>3061</v>
      </c>
    </row>
    <row r="2650" spans="17:18" ht="15" customHeight="1" x14ac:dyDescent="0.25">
      <c r="Q2650" t="s">
        <v>3580</v>
      </c>
      <c r="R2650" t="s">
        <v>3061</v>
      </c>
    </row>
    <row r="2651" spans="17:18" ht="15" customHeight="1" x14ac:dyDescent="0.25">
      <c r="Q2651" t="s">
        <v>3581</v>
      </c>
      <c r="R2651" t="s">
        <v>3061</v>
      </c>
    </row>
    <row r="2652" spans="17:18" ht="15" customHeight="1" x14ac:dyDescent="0.25">
      <c r="Q2652" t="s">
        <v>3582</v>
      </c>
      <c r="R2652" t="s">
        <v>3061</v>
      </c>
    </row>
    <row r="2653" spans="17:18" ht="15" customHeight="1" x14ac:dyDescent="0.25">
      <c r="Q2653" t="s">
        <v>3583</v>
      </c>
      <c r="R2653" t="s">
        <v>3061</v>
      </c>
    </row>
    <row r="2654" spans="17:18" ht="15" customHeight="1" x14ac:dyDescent="0.25">
      <c r="Q2654" t="s">
        <v>3584</v>
      </c>
      <c r="R2654" t="s">
        <v>3061</v>
      </c>
    </row>
    <row r="2655" spans="17:18" ht="15" customHeight="1" x14ac:dyDescent="0.25">
      <c r="Q2655" t="s">
        <v>3585</v>
      </c>
      <c r="R2655" t="s">
        <v>3061</v>
      </c>
    </row>
    <row r="2656" spans="17:18" ht="15" customHeight="1" x14ac:dyDescent="0.25">
      <c r="Q2656" t="s">
        <v>3586</v>
      </c>
      <c r="R2656" t="s">
        <v>3061</v>
      </c>
    </row>
    <row r="2657" spans="17:18" ht="15" customHeight="1" x14ac:dyDescent="0.25">
      <c r="Q2657" t="s">
        <v>3587</v>
      </c>
      <c r="R2657" t="s">
        <v>3061</v>
      </c>
    </row>
    <row r="2658" spans="17:18" ht="15" customHeight="1" x14ac:dyDescent="0.25">
      <c r="Q2658" t="s">
        <v>3588</v>
      </c>
      <c r="R2658" t="s">
        <v>3061</v>
      </c>
    </row>
    <row r="2659" spans="17:18" ht="15" customHeight="1" x14ac:dyDescent="0.25">
      <c r="Q2659" t="s">
        <v>3589</v>
      </c>
      <c r="R2659" t="s">
        <v>3061</v>
      </c>
    </row>
    <row r="2660" spans="17:18" ht="15" customHeight="1" x14ac:dyDescent="0.25">
      <c r="Q2660" t="s">
        <v>3590</v>
      </c>
      <c r="R2660" t="s">
        <v>1002</v>
      </c>
    </row>
    <row r="2661" spans="17:18" ht="15" customHeight="1" x14ac:dyDescent="0.25">
      <c r="Q2661" t="s">
        <v>3591</v>
      </c>
      <c r="R2661" t="s">
        <v>1002</v>
      </c>
    </row>
    <row r="2662" spans="17:18" ht="15" customHeight="1" x14ac:dyDescent="0.25">
      <c r="Q2662" t="s">
        <v>3592</v>
      </c>
      <c r="R2662" t="s">
        <v>1002</v>
      </c>
    </row>
    <row r="2663" spans="17:18" ht="15" customHeight="1" x14ac:dyDescent="0.25">
      <c r="Q2663" t="s">
        <v>3593</v>
      </c>
      <c r="R2663" t="s">
        <v>1002</v>
      </c>
    </row>
    <row r="2664" spans="17:18" ht="15" customHeight="1" x14ac:dyDescent="0.25">
      <c r="Q2664" t="s">
        <v>3594</v>
      </c>
      <c r="R2664" t="s">
        <v>1002</v>
      </c>
    </row>
    <row r="2665" spans="17:18" ht="15" customHeight="1" x14ac:dyDescent="0.25">
      <c r="Q2665" t="s">
        <v>3595</v>
      </c>
      <c r="R2665" t="s">
        <v>3061</v>
      </c>
    </row>
    <row r="2666" spans="17:18" ht="15" customHeight="1" x14ac:dyDescent="0.25">
      <c r="Q2666" t="s">
        <v>3596</v>
      </c>
      <c r="R2666" t="s">
        <v>3061</v>
      </c>
    </row>
    <row r="2667" spans="17:18" ht="15" customHeight="1" x14ac:dyDescent="0.25">
      <c r="Q2667" t="s">
        <v>3597</v>
      </c>
      <c r="R2667" t="s">
        <v>3061</v>
      </c>
    </row>
    <row r="2668" spans="17:18" ht="15" customHeight="1" x14ac:dyDescent="0.25">
      <c r="Q2668" t="s">
        <v>3598</v>
      </c>
      <c r="R2668" t="s">
        <v>3061</v>
      </c>
    </row>
    <row r="2669" spans="17:18" ht="15" customHeight="1" x14ac:dyDescent="0.25">
      <c r="Q2669" t="s">
        <v>3599</v>
      </c>
      <c r="R2669" t="s">
        <v>3061</v>
      </c>
    </row>
    <row r="2670" spans="17:18" ht="15" customHeight="1" x14ac:dyDescent="0.25">
      <c r="Q2670" t="s">
        <v>3600</v>
      </c>
      <c r="R2670" t="s">
        <v>3061</v>
      </c>
    </row>
    <row r="2671" spans="17:18" ht="15" customHeight="1" x14ac:dyDescent="0.25">
      <c r="Q2671" t="s">
        <v>3601</v>
      </c>
      <c r="R2671" t="s">
        <v>3061</v>
      </c>
    </row>
    <row r="2672" spans="17:18" ht="15" customHeight="1" x14ac:dyDescent="0.25">
      <c r="Q2672" t="s">
        <v>3602</v>
      </c>
      <c r="R2672" t="s">
        <v>3061</v>
      </c>
    </row>
    <row r="2673" spans="17:18" ht="15" customHeight="1" x14ac:dyDescent="0.25">
      <c r="Q2673" t="s">
        <v>3603</v>
      </c>
      <c r="R2673" t="s">
        <v>3061</v>
      </c>
    </row>
    <row r="2674" spans="17:18" ht="15" customHeight="1" x14ac:dyDescent="0.25">
      <c r="Q2674" t="s">
        <v>3604</v>
      </c>
      <c r="R2674" t="s">
        <v>3061</v>
      </c>
    </row>
    <row r="2675" spans="17:18" ht="15" customHeight="1" x14ac:dyDescent="0.25">
      <c r="Q2675" t="s">
        <v>3605</v>
      </c>
      <c r="R2675" t="s">
        <v>3061</v>
      </c>
    </row>
    <row r="2676" spans="17:18" ht="15" customHeight="1" x14ac:dyDescent="0.25">
      <c r="Q2676" t="s">
        <v>3606</v>
      </c>
      <c r="R2676" t="s">
        <v>3061</v>
      </c>
    </row>
    <row r="2677" spans="17:18" ht="15" customHeight="1" x14ac:dyDescent="0.25">
      <c r="Q2677" t="s">
        <v>3607</v>
      </c>
      <c r="R2677" t="s">
        <v>3061</v>
      </c>
    </row>
    <row r="2678" spans="17:18" ht="15" customHeight="1" x14ac:dyDescent="0.25">
      <c r="Q2678" t="s">
        <v>3608</v>
      </c>
      <c r="R2678" t="s">
        <v>3061</v>
      </c>
    </row>
    <row r="2679" spans="17:18" ht="15" customHeight="1" x14ac:dyDescent="0.25">
      <c r="Q2679" t="s">
        <v>3609</v>
      </c>
      <c r="R2679" t="s">
        <v>3061</v>
      </c>
    </row>
    <row r="2680" spans="17:18" ht="15" customHeight="1" x14ac:dyDescent="0.25">
      <c r="Q2680" t="s">
        <v>3610</v>
      </c>
      <c r="R2680" t="s">
        <v>3061</v>
      </c>
    </row>
    <row r="2681" spans="17:18" ht="15" customHeight="1" x14ac:dyDescent="0.25">
      <c r="Q2681" t="s">
        <v>3611</v>
      </c>
      <c r="R2681" t="s">
        <v>3061</v>
      </c>
    </row>
    <row r="2682" spans="17:18" ht="15" customHeight="1" x14ac:dyDescent="0.25">
      <c r="Q2682" t="s">
        <v>3612</v>
      </c>
      <c r="R2682" t="s">
        <v>3061</v>
      </c>
    </row>
    <row r="2683" spans="17:18" ht="15" customHeight="1" x14ac:dyDescent="0.25">
      <c r="Q2683" t="s">
        <v>3613</v>
      </c>
      <c r="R2683" t="s">
        <v>3061</v>
      </c>
    </row>
    <row r="2684" spans="17:18" ht="15" customHeight="1" x14ac:dyDescent="0.25">
      <c r="Q2684" t="s">
        <v>3614</v>
      </c>
      <c r="R2684" t="s">
        <v>3061</v>
      </c>
    </row>
    <row r="2685" spans="17:18" ht="15" customHeight="1" x14ac:dyDescent="0.25">
      <c r="Q2685" t="s">
        <v>3615</v>
      </c>
      <c r="R2685" t="s">
        <v>3061</v>
      </c>
    </row>
    <row r="2686" spans="17:18" ht="15" customHeight="1" x14ac:dyDescent="0.25">
      <c r="Q2686" t="s">
        <v>3616</v>
      </c>
      <c r="R2686" t="s">
        <v>3061</v>
      </c>
    </row>
    <row r="2687" spans="17:18" ht="15" customHeight="1" x14ac:dyDescent="0.25">
      <c r="Q2687" t="s">
        <v>3617</v>
      </c>
      <c r="R2687" t="s">
        <v>3061</v>
      </c>
    </row>
    <row r="2688" spans="17:18" ht="15" customHeight="1" x14ac:dyDescent="0.25">
      <c r="Q2688" t="s">
        <v>3618</v>
      </c>
      <c r="R2688" t="s">
        <v>3061</v>
      </c>
    </row>
    <row r="2689" spans="17:18" ht="15" customHeight="1" x14ac:dyDescent="0.25">
      <c r="Q2689" t="s">
        <v>3619</v>
      </c>
      <c r="R2689" t="s">
        <v>3061</v>
      </c>
    </row>
    <row r="2690" spans="17:18" ht="15" customHeight="1" x14ac:dyDescent="0.25">
      <c r="Q2690" t="s">
        <v>3620</v>
      </c>
      <c r="R2690" t="s">
        <v>2979</v>
      </c>
    </row>
    <row r="2691" spans="17:18" ht="15" customHeight="1" x14ac:dyDescent="0.25">
      <c r="Q2691" t="s">
        <v>3621</v>
      </c>
      <c r="R2691" t="s">
        <v>2979</v>
      </c>
    </row>
    <row r="2692" spans="17:18" ht="15" customHeight="1" x14ac:dyDescent="0.25">
      <c r="Q2692" t="s">
        <v>3622</v>
      </c>
      <c r="R2692" t="s">
        <v>3061</v>
      </c>
    </row>
    <row r="2693" spans="17:18" ht="15" customHeight="1" x14ac:dyDescent="0.25">
      <c r="Q2693" t="s">
        <v>3623</v>
      </c>
      <c r="R2693" t="s">
        <v>2979</v>
      </c>
    </row>
    <row r="2694" spans="17:18" ht="15" customHeight="1" x14ac:dyDescent="0.25">
      <c r="Q2694" t="s">
        <v>3624</v>
      </c>
      <c r="R2694" t="s">
        <v>2979</v>
      </c>
    </row>
    <row r="2695" spans="17:18" ht="15" customHeight="1" x14ac:dyDescent="0.25">
      <c r="Q2695" t="s">
        <v>3625</v>
      </c>
      <c r="R2695" t="s">
        <v>3061</v>
      </c>
    </row>
    <row r="2696" spans="17:18" ht="15" customHeight="1" x14ac:dyDescent="0.25">
      <c r="Q2696" t="s">
        <v>3626</v>
      </c>
      <c r="R2696" t="s">
        <v>3061</v>
      </c>
    </row>
    <row r="2697" spans="17:18" ht="15" customHeight="1" x14ac:dyDescent="0.25">
      <c r="Q2697" t="s">
        <v>3627</v>
      </c>
      <c r="R2697" t="s">
        <v>3061</v>
      </c>
    </row>
    <row r="2698" spans="17:18" ht="15" customHeight="1" x14ac:dyDescent="0.25">
      <c r="Q2698" t="s">
        <v>3628</v>
      </c>
      <c r="R2698" t="s">
        <v>3061</v>
      </c>
    </row>
    <row r="2699" spans="17:18" ht="15" customHeight="1" x14ac:dyDescent="0.25">
      <c r="Q2699" t="s">
        <v>3629</v>
      </c>
      <c r="R2699" t="s">
        <v>2979</v>
      </c>
    </row>
    <row r="2700" spans="17:18" ht="15" customHeight="1" x14ac:dyDescent="0.25">
      <c r="Q2700" t="s">
        <v>3630</v>
      </c>
      <c r="R2700" t="s">
        <v>2979</v>
      </c>
    </row>
    <row r="2701" spans="17:18" ht="15" customHeight="1" x14ac:dyDescent="0.25">
      <c r="Q2701" t="s">
        <v>3631</v>
      </c>
      <c r="R2701" t="s">
        <v>2979</v>
      </c>
    </row>
    <row r="2702" spans="17:18" ht="15" customHeight="1" x14ac:dyDescent="0.25">
      <c r="Q2702" t="s">
        <v>3632</v>
      </c>
      <c r="R2702" t="s">
        <v>2979</v>
      </c>
    </row>
    <row r="2703" spans="17:18" ht="15" customHeight="1" x14ac:dyDescent="0.25">
      <c r="Q2703" t="s">
        <v>3633</v>
      </c>
      <c r="R2703" t="s">
        <v>3061</v>
      </c>
    </row>
    <row r="2704" spans="17:18" ht="15" customHeight="1" x14ac:dyDescent="0.25">
      <c r="Q2704" t="s">
        <v>3634</v>
      </c>
      <c r="R2704" t="s">
        <v>3061</v>
      </c>
    </row>
    <row r="2705" spans="17:18" ht="15" customHeight="1" x14ac:dyDescent="0.25">
      <c r="Q2705" t="s">
        <v>3635</v>
      </c>
      <c r="R2705" t="s">
        <v>3061</v>
      </c>
    </row>
    <row r="2706" spans="17:18" ht="15" customHeight="1" x14ac:dyDescent="0.25">
      <c r="Q2706" t="s">
        <v>3636</v>
      </c>
      <c r="R2706" t="s">
        <v>3061</v>
      </c>
    </row>
    <row r="2707" spans="17:18" ht="15" customHeight="1" x14ac:dyDescent="0.25">
      <c r="Q2707" t="s">
        <v>3637</v>
      </c>
      <c r="R2707" t="s">
        <v>3061</v>
      </c>
    </row>
    <row r="2708" spans="17:18" ht="15" customHeight="1" x14ac:dyDescent="0.25">
      <c r="Q2708" t="s">
        <v>3638</v>
      </c>
      <c r="R2708" t="s">
        <v>3061</v>
      </c>
    </row>
    <row r="2709" spans="17:18" ht="15" customHeight="1" x14ac:dyDescent="0.25">
      <c r="Q2709" t="s">
        <v>3639</v>
      </c>
      <c r="R2709" t="s">
        <v>3061</v>
      </c>
    </row>
    <row r="2710" spans="17:18" ht="15" customHeight="1" x14ac:dyDescent="0.25">
      <c r="Q2710" t="s">
        <v>3640</v>
      </c>
      <c r="R2710" t="s">
        <v>3061</v>
      </c>
    </row>
    <row r="2711" spans="17:18" ht="15" customHeight="1" x14ac:dyDescent="0.25">
      <c r="Q2711" t="s">
        <v>3641</v>
      </c>
      <c r="R2711" t="s">
        <v>3061</v>
      </c>
    </row>
    <row r="2712" spans="17:18" ht="15" customHeight="1" x14ac:dyDescent="0.25">
      <c r="Q2712" t="s">
        <v>3642</v>
      </c>
      <c r="R2712" t="s">
        <v>3061</v>
      </c>
    </row>
    <row r="2713" spans="17:18" ht="15" customHeight="1" x14ac:dyDescent="0.25">
      <c r="Q2713" t="s">
        <v>3643</v>
      </c>
      <c r="R2713" t="s">
        <v>3061</v>
      </c>
    </row>
    <row r="2714" spans="17:18" ht="15" customHeight="1" x14ac:dyDescent="0.25">
      <c r="Q2714" t="s">
        <v>3644</v>
      </c>
      <c r="R2714" t="s">
        <v>3061</v>
      </c>
    </row>
    <row r="2715" spans="17:18" ht="15" customHeight="1" x14ac:dyDescent="0.25">
      <c r="Q2715" t="s">
        <v>3645</v>
      </c>
      <c r="R2715" t="s">
        <v>3061</v>
      </c>
    </row>
    <row r="2716" spans="17:18" ht="15" customHeight="1" x14ac:dyDescent="0.25">
      <c r="Q2716" t="s">
        <v>3646</v>
      </c>
      <c r="R2716" t="s">
        <v>3061</v>
      </c>
    </row>
    <row r="2717" spans="17:18" ht="15" customHeight="1" x14ac:dyDescent="0.25">
      <c r="Q2717" t="s">
        <v>3647</v>
      </c>
      <c r="R2717" t="s">
        <v>3061</v>
      </c>
    </row>
    <row r="2718" spans="17:18" ht="15" customHeight="1" x14ac:dyDescent="0.25">
      <c r="Q2718" t="s">
        <v>3648</v>
      </c>
      <c r="R2718" t="s">
        <v>3061</v>
      </c>
    </row>
    <row r="2719" spans="17:18" ht="15" customHeight="1" x14ac:dyDescent="0.25">
      <c r="Q2719" t="s">
        <v>3649</v>
      </c>
      <c r="R2719" t="s">
        <v>3061</v>
      </c>
    </row>
    <row r="2720" spans="17:18" ht="15" customHeight="1" x14ac:dyDescent="0.25">
      <c r="Q2720" t="s">
        <v>3650</v>
      </c>
      <c r="R2720" t="s">
        <v>3061</v>
      </c>
    </row>
    <row r="2721" spans="17:18" ht="15" customHeight="1" x14ac:dyDescent="0.25">
      <c r="Q2721" t="s">
        <v>3651</v>
      </c>
      <c r="R2721" t="s">
        <v>3061</v>
      </c>
    </row>
    <row r="2722" spans="17:18" ht="15" customHeight="1" x14ac:dyDescent="0.25">
      <c r="Q2722" t="s">
        <v>3652</v>
      </c>
      <c r="R2722" t="s">
        <v>3061</v>
      </c>
    </row>
    <row r="2723" spans="17:18" ht="15" customHeight="1" x14ac:dyDescent="0.25">
      <c r="Q2723" t="s">
        <v>3653</v>
      </c>
      <c r="R2723" t="s">
        <v>3061</v>
      </c>
    </row>
    <row r="2724" spans="17:18" ht="15" customHeight="1" x14ac:dyDescent="0.25">
      <c r="Q2724" t="s">
        <v>3654</v>
      </c>
      <c r="R2724" t="s">
        <v>3061</v>
      </c>
    </row>
    <row r="2725" spans="17:18" ht="15" customHeight="1" x14ac:dyDescent="0.25">
      <c r="Q2725" t="s">
        <v>3655</v>
      </c>
      <c r="R2725" t="s">
        <v>3061</v>
      </c>
    </row>
    <row r="2726" spans="17:18" ht="15" customHeight="1" x14ac:dyDescent="0.25">
      <c r="Q2726" t="s">
        <v>3656</v>
      </c>
      <c r="R2726" t="s">
        <v>3061</v>
      </c>
    </row>
    <row r="2727" spans="17:18" ht="15" customHeight="1" x14ac:dyDescent="0.25">
      <c r="Q2727" t="s">
        <v>3657</v>
      </c>
      <c r="R2727" t="s">
        <v>3061</v>
      </c>
    </row>
    <row r="2728" spans="17:18" ht="15" customHeight="1" x14ac:dyDescent="0.25">
      <c r="Q2728" t="s">
        <v>3658</v>
      </c>
      <c r="R2728" t="s">
        <v>3061</v>
      </c>
    </row>
    <row r="2729" spans="17:18" ht="15" customHeight="1" x14ac:dyDescent="0.25">
      <c r="Q2729" t="s">
        <v>3659</v>
      </c>
      <c r="R2729" t="s">
        <v>3061</v>
      </c>
    </row>
    <row r="2730" spans="17:18" ht="15" customHeight="1" x14ac:dyDescent="0.25">
      <c r="Q2730" t="s">
        <v>3660</v>
      </c>
      <c r="R2730" t="s">
        <v>3061</v>
      </c>
    </row>
    <row r="2731" spans="17:18" ht="15" customHeight="1" x14ac:dyDescent="0.25">
      <c r="Q2731" t="s">
        <v>3661</v>
      </c>
      <c r="R2731" t="s">
        <v>3061</v>
      </c>
    </row>
    <row r="2732" spans="17:18" ht="15" customHeight="1" x14ac:dyDescent="0.25">
      <c r="Q2732" t="s">
        <v>3662</v>
      </c>
      <c r="R2732" t="s">
        <v>3061</v>
      </c>
    </row>
    <row r="2733" spans="17:18" ht="15" customHeight="1" x14ac:dyDescent="0.25">
      <c r="Q2733" t="s">
        <v>3663</v>
      </c>
      <c r="R2733" t="s">
        <v>3061</v>
      </c>
    </row>
    <row r="2734" spans="17:18" ht="15" customHeight="1" x14ac:dyDescent="0.25">
      <c r="Q2734" t="s">
        <v>3664</v>
      </c>
      <c r="R2734" t="s">
        <v>3061</v>
      </c>
    </row>
    <row r="2735" spans="17:18" ht="15" customHeight="1" x14ac:dyDescent="0.25">
      <c r="Q2735" t="s">
        <v>3665</v>
      </c>
      <c r="R2735" t="s">
        <v>3061</v>
      </c>
    </row>
    <row r="2736" spans="17:18" ht="15" customHeight="1" x14ac:dyDescent="0.25">
      <c r="Q2736" t="s">
        <v>3666</v>
      </c>
      <c r="R2736" t="s">
        <v>2236</v>
      </c>
    </row>
    <row r="2737" spans="17:18" ht="15" customHeight="1" x14ac:dyDescent="0.25">
      <c r="Q2737" t="s">
        <v>3667</v>
      </c>
      <c r="R2737" t="s">
        <v>2979</v>
      </c>
    </row>
    <row r="2738" spans="17:18" ht="15" customHeight="1" x14ac:dyDescent="0.25">
      <c r="Q2738" t="s">
        <v>3668</v>
      </c>
      <c r="R2738" t="s">
        <v>3061</v>
      </c>
    </row>
    <row r="2739" spans="17:18" ht="15" customHeight="1" x14ac:dyDescent="0.25">
      <c r="Q2739" t="s">
        <v>3669</v>
      </c>
      <c r="R2739" t="s">
        <v>2236</v>
      </c>
    </row>
    <row r="2740" spans="17:18" ht="15" customHeight="1" x14ac:dyDescent="0.25">
      <c r="Q2740" t="s">
        <v>3670</v>
      </c>
      <c r="R2740" t="s">
        <v>2979</v>
      </c>
    </row>
    <row r="2741" spans="17:18" ht="15" customHeight="1" x14ac:dyDescent="0.25">
      <c r="Q2741" t="s">
        <v>3671</v>
      </c>
      <c r="R2741" t="s">
        <v>2979</v>
      </c>
    </row>
    <row r="2742" spans="17:18" ht="15" customHeight="1" x14ac:dyDescent="0.25">
      <c r="Q2742" t="s">
        <v>3672</v>
      </c>
      <c r="R2742" t="s">
        <v>3061</v>
      </c>
    </row>
    <row r="2743" spans="17:18" ht="15" customHeight="1" x14ac:dyDescent="0.25">
      <c r="Q2743" t="s">
        <v>3673</v>
      </c>
      <c r="R2743" t="s">
        <v>3061</v>
      </c>
    </row>
    <row r="2744" spans="17:18" ht="15" customHeight="1" x14ac:dyDescent="0.25">
      <c r="Q2744" t="s">
        <v>3674</v>
      </c>
      <c r="R2744" t="s">
        <v>3061</v>
      </c>
    </row>
    <row r="2745" spans="17:18" ht="15" customHeight="1" x14ac:dyDescent="0.25">
      <c r="Q2745" t="s">
        <v>3675</v>
      </c>
      <c r="R2745" t="s">
        <v>3061</v>
      </c>
    </row>
    <row r="2746" spans="17:18" ht="15" customHeight="1" x14ac:dyDescent="0.25">
      <c r="Q2746" t="s">
        <v>3676</v>
      </c>
      <c r="R2746" t="s">
        <v>3061</v>
      </c>
    </row>
    <row r="2747" spans="17:18" ht="15" customHeight="1" x14ac:dyDescent="0.25">
      <c r="Q2747" t="s">
        <v>3677</v>
      </c>
      <c r="R2747" t="s">
        <v>3061</v>
      </c>
    </row>
    <row r="2748" spans="17:18" ht="15" customHeight="1" x14ac:dyDescent="0.25">
      <c r="Q2748" t="s">
        <v>3678</v>
      </c>
      <c r="R2748" t="s">
        <v>3061</v>
      </c>
    </row>
    <row r="2749" spans="17:18" ht="15" customHeight="1" x14ac:dyDescent="0.25">
      <c r="Q2749" t="s">
        <v>3679</v>
      </c>
      <c r="R2749" t="s">
        <v>3061</v>
      </c>
    </row>
    <row r="2750" spans="17:18" ht="15" customHeight="1" x14ac:dyDescent="0.25">
      <c r="Q2750" t="s">
        <v>3680</v>
      </c>
      <c r="R2750" t="s">
        <v>3061</v>
      </c>
    </row>
    <row r="2751" spans="17:18" ht="15" customHeight="1" x14ac:dyDescent="0.25">
      <c r="Q2751" t="s">
        <v>3681</v>
      </c>
      <c r="R2751" t="s">
        <v>3061</v>
      </c>
    </row>
    <row r="2752" spans="17:18" ht="15" customHeight="1" x14ac:dyDescent="0.25">
      <c r="Q2752" t="s">
        <v>3682</v>
      </c>
      <c r="R2752" t="s">
        <v>3061</v>
      </c>
    </row>
    <row r="2753" spans="17:18" ht="15" customHeight="1" x14ac:dyDescent="0.25">
      <c r="Q2753" t="s">
        <v>3683</v>
      </c>
      <c r="R2753" t="s">
        <v>3061</v>
      </c>
    </row>
    <row r="2754" spans="17:18" ht="15" customHeight="1" x14ac:dyDescent="0.25">
      <c r="Q2754" t="s">
        <v>3684</v>
      </c>
      <c r="R2754" t="s">
        <v>3061</v>
      </c>
    </row>
    <row r="2755" spans="17:18" ht="15" customHeight="1" x14ac:dyDescent="0.25">
      <c r="Q2755" t="s">
        <v>3685</v>
      </c>
      <c r="R2755" t="s">
        <v>3061</v>
      </c>
    </row>
    <row r="2756" spans="17:18" ht="15" customHeight="1" x14ac:dyDescent="0.25">
      <c r="Q2756" t="s">
        <v>3686</v>
      </c>
      <c r="R2756" t="s">
        <v>3061</v>
      </c>
    </row>
    <row r="2757" spans="17:18" ht="15" customHeight="1" x14ac:dyDescent="0.25">
      <c r="Q2757" t="s">
        <v>3687</v>
      </c>
      <c r="R2757" t="s">
        <v>3061</v>
      </c>
    </row>
    <row r="2758" spans="17:18" ht="15" customHeight="1" x14ac:dyDescent="0.25">
      <c r="Q2758" t="s">
        <v>3688</v>
      </c>
      <c r="R2758" t="s">
        <v>3061</v>
      </c>
    </row>
    <row r="2759" spans="17:18" ht="15" customHeight="1" x14ac:dyDescent="0.25">
      <c r="Q2759" t="s">
        <v>3689</v>
      </c>
      <c r="R2759" t="s">
        <v>3061</v>
      </c>
    </row>
    <row r="2760" spans="17:18" ht="15" customHeight="1" x14ac:dyDescent="0.25">
      <c r="Q2760" t="s">
        <v>3690</v>
      </c>
      <c r="R2760" t="s">
        <v>3061</v>
      </c>
    </row>
    <row r="2761" spans="17:18" ht="15" customHeight="1" x14ac:dyDescent="0.25">
      <c r="Q2761" t="s">
        <v>3691</v>
      </c>
      <c r="R2761" t="s">
        <v>3061</v>
      </c>
    </row>
    <row r="2762" spans="17:18" ht="15" customHeight="1" x14ac:dyDescent="0.25">
      <c r="Q2762" t="s">
        <v>3692</v>
      </c>
      <c r="R2762" t="s">
        <v>3061</v>
      </c>
    </row>
    <row r="2763" spans="17:18" ht="15" customHeight="1" x14ac:dyDescent="0.25">
      <c r="Q2763" t="s">
        <v>3693</v>
      </c>
      <c r="R2763" t="s">
        <v>3061</v>
      </c>
    </row>
    <row r="2764" spans="17:18" ht="15" customHeight="1" x14ac:dyDescent="0.25">
      <c r="Q2764" t="s">
        <v>3694</v>
      </c>
      <c r="R2764" t="s">
        <v>3061</v>
      </c>
    </row>
    <row r="2765" spans="17:18" ht="15" customHeight="1" x14ac:dyDescent="0.25">
      <c r="Q2765" t="s">
        <v>3695</v>
      </c>
      <c r="R2765" t="s">
        <v>3061</v>
      </c>
    </row>
    <row r="2766" spans="17:18" ht="15" customHeight="1" x14ac:dyDescent="0.25">
      <c r="Q2766" t="s">
        <v>3696</v>
      </c>
      <c r="R2766" t="s">
        <v>3061</v>
      </c>
    </row>
    <row r="2767" spans="17:18" ht="15" customHeight="1" x14ac:dyDescent="0.25">
      <c r="Q2767" t="s">
        <v>3697</v>
      </c>
      <c r="R2767" t="s">
        <v>3061</v>
      </c>
    </row>
    <row r="2768" spans="17:18" ht="15" customHeight="1" x14ac:dyDescent="0.25">
      <c r="Q2768" t="s">
        <v>3698</v>
      </c>
      <c r="R2768" t="s">
        <v>3061</v>
      </c>
    </row>
    <row r="2769" spans="17:18" ht="15" customHeight="1" x14ac:dyDescent="0.25">
      <c r="Q2769" t="s">
        <v>3699</v>
      </c>
      <c r="R2769" t="s">
        <v>3061</v>
      </c>
    </row>
    <row r="2770" spans="17:18" ht="15" customHeight="1" x14ac:dyDescent="0.25">
      <c r="Q2770" t="s">
        <v>3700</v>
      </c>
      <c r="R2770" t="s">
        <v>3061</v>
      </c>
    </row>
    <row r="2771" spans="17:18" ht="15" customHeight="1" x14ac:dyDescent="0.25">
      <c r="Q2771" t="s">
        <v>3701</v>
      </c>
      <c r="R2771" t="s">
        <v>3061</v>
      </c>
    </row>
    <row r="2772" spans="17:18" ht="15" customHeight="1" x14ac:dyDescent="0.25">
      <c r="Q2772" t="s">
        <v>3702</v>
      </c>
      <c r="R2772" t="s">
        <v>3061</v>
      </c>
    </row>
    <row r="2773" spans="17:18" ht="15" customHeight="1" x14ac:dyDescent="0.25">
      <c r="Q2773" t="s">
        <v>3703</v>
      </c>
      <c r="R2773" t="s">
        <v>3061</v>
      </c>
    </row>
    <row r="2774" spans="17:18" ht="15" customHeight="1" x14ac:dyDescent="0.25">
      <c r="Q2774" t="s">
        <v>3704</v>
      </c>
      <c r="R2774" t="s">
        <v>3061</v>
      </c>
    </row>
    <row r="2775" spans="17:18" ht="15" customHeight="1" x14ac:dyDescent="0.25">
      <c r="Q2775" t="s">
        <v>3705</v>
      </c>
      <c r="R2775" t="s">
        <v>3061</v>
      </c>
    </row>
    <row r="2776" spans="17:18" ht="15" customHeight="1" x14ac:dyDescent="0.25">
      <c r="Q2776" t="s">
        <v>3706</v>
      </c>
      <c r="R2776" t="s">
        <v>3061</v>
      </c>
    </row>
    <row r="2777" spans="17:18" ht="15" customHeight="1" x14ac:dyDescent="0.25">
      <c r="Q2777" t="s">
        <v>3707</v>
      </c>
      <c r="R2777" t="s">
        <v>3061</v>
      </c>
    </row>
    <row r="2778" spans="17:18" ht="15" customHeight="1" x14ac:dyDescent="0.25">
      <c r="Q2778" t="s">
        <v>3708</v>
      </c>
      <c r="R2778" t="s">
        <v>2236</v>
      </c>
    </row>
    <row r="2779" spans="17:18" ht="15" customHeight="1" x14ac:dyDescent="0.25">
      <c r="Q2779" t="s">
        <v>3709</v>
      </c>
      <c r="R2779" t="s">
        <v>295</v>
      </c>
    </row>
    <row r="2780" spans="17:18" ht="15" customHeight="1" x14ac:dyDescent="0.25">
      <c r="Q2780" t="s">
        <v>3710</v>
      </c>
      <c r="R2780" t="s">
        <v>295</v>
      </c>
    </row>
    <row r="2781" spans="17:18" ht="15" customHeight="1" x14ac:dyDescent="0.25">
      <c r="Q2781" t="s">
        <v>3711</v>
      </c>
      <c r="R2781" t="s">
        <v>1002</v>
      </c>
    </row>
    <row r="2782" spans="17:18" ht="15" customHeight="1" x14ac:dyDescent="0.25">
      <c r="Q2782" t="s">
        <v>3712</v>
      </c>
      <c r="R2782" t="s">
        <v>195</v>
      </c>
    </row>
    <row r="2783" spans="17:18" ht="15" customHeight="1" x14ac:dyDescent="0.25">
      <c r="Q2783" t="s">
        <v>3713</v>
      </c>
      <c r="R2783" t="s">
        <v>257</v>
      </c>
    </row>
    <row r="2784" spans="17:18" ht="15" customHeight="1" x14ac:dyDescent="0.25">
      <c r="Q2784" t="s">
        <v>3714</v>
      </c>
      <c r="R2784" t="s">
        <v>279</v>
      </c>
    </row>
    <row r="2785" spans="17:18" ht="15" customHeight="1" x14ac:dyDescent="0.25">
      <c r="Q2785" t="s">
        <v>3715</v>
      </c>
      <c r="R2785" t="s">
        <v>295</v>
      </c>
    </row>
    <row r="2786" spans="17:18" ht="15" customHeight="1" x14ac:dyDescent="0.25">
      <c r="Q2786" t="s">
        <v>3716</v>
      </c>
      <c r="R2786" t="s">
        <v>295</v>
      </c>
    </row>
    <row r="2787" spans="17:18" ht="15" customHeight="1" x14ac:dyDescent="0.25">
      <c r="Q2787" t="s">
        <v>3717</v>
      </c>
      <c r="R2787" t="s">
        <v>295</v>
      </c>
    </row>
    <row r="2788" spans="17:18" ht="15" customHeight="1" x14ac:dyDescent="0.25">
      <c r="Q2788" t="s">
        <v>3718</v>
      </c>
      <c r="R2788" t="s">
        <v>295</v>
      </c>
    </row>
    <row r="2789" spans="17:18" ht="15" customHeight="1" x14ac:dyDescent="0.25">
      <c r="Q2789" t="s">
        <v>3719</v>
      </c>
      <c r="R2789" t="s">
        <v>295</v>
      </c>
    </row>
    <row r="2790" spans="17:18" ht="15" customHeight="1" x14ac:dyDescent="0.25">
      <c r="Q2790" t="s">
        <v>3720</v>
      </c>
      <c r="R2790" t="s">
        <v>295</v>
      </c>
    </row>
    <row r="2791" spans="17:18" ht="15" customHeight="1" x14ac:dyDescent="0.25">
      <c r="Q2791" t="s">
        <v>3721</v>
      </c>
      <c r="R2791" t="s">
        <v>295</v>
      </c>
    </row>
    <row r="2792" spans="17:18" ht="15" customHeight="1" x14ac:dyDescent="0.25">
      <c r="Q2792" t="s">
        <v>3722</v>
      </c>
      <c r="R2792" t="s">
        <v>295</v>
      </c>
    </row>
    <row r="2793" spans="17:18" ht="15" customHeight="1" x14ac:dyDescent="0.25">
      <c r="Q2793" t="s">
        <v>3723</v>
      </c>
      <c r="R2793" t="s">
        <v>295</v>
      </c>
    </row>
    <row r="2794" spans="17:18" ht="15" customHeight="1" x14ac:dyDescent="0.25">
      <c r="Q2794" t="s">
        <v>3724</v>
      </c>
      <c r="R2794" t="s">
        <v>295</v>
      </c>
    </row>
    <row r="2795" spans="17:18" ht="15" customHeight="1" x14ac:dyDescent="0.25">
      <c r="Q2795" t="s">
        <v>3725</v>
      </c>
      <c r="R2795" t="s">
        <v>257</v>
      </c>
    </row>
    <row r="2796" spans="17:18" ht="15" customHeight="1" x14ac:dyDescent="0.25">
      <c r="Q2796" t="s">
        <v>3726</v>
      </c>
      <c r="R2796" t="s">
        <v>257</v>
      </c>
    </row>
    <row r="2797" spans="17:18" ht="15" customHeight="1" x14ac:dyDescent="0.25">
      <c r="Q2797" t="s">
        <v>3727</v>
      </c>
      <c r="R2797" t="s">
        <v>257</v>
      </c>
    </row>
    <row r="2798" spans="17:18" ht="15" customHeight="1" x14ac:dyDescent="0.25">
      <c r="Q2798" t="s">
        <v>3728</v>
      </c>
      <c r="R2798" t="s">
        <v>257</v>
      </c>
    </row>
    <row r="2799" spans="17:18" ht="15" customHeight="1" x14ac:dyDescent="0.25">
      <c r="Q2799" t="s">
        <v>3729</v>
      </c>
      <c r="R2799" t="s">
        <v>257</v>
      </c>
    </row>
    <row r="2800" spans="17:18" ht="15" customHeight="1" x14ac:dyDescent="0.25">
      <c r="Q2800" t="s">
        <v>3730</v>
      </c>
      <c r="R2800" t="s">
        <v>257</v>
      </c>
    </row>
    <row r="2801" spans="17:18" ht="15" customHeight="1" x14ac:dyDescent="0.25">
      <c r="Q2801" t="s">
        <v>3731</v>
      </c>
      <c r="R2801" t="s">
        <v>257</v>
      </c>
    </row>
    <row r="2802" spans="17:18" ht="15" customHeight="1" x14ac:dyDescent="0.25">
      <c r="Q2802" t="s">
        <v>3732</v>
      </c>
      <c r="R2802" t="s">
        <v>257</v>
      </c>
    </row>
    <row r="2803" spans="17:18" ht="15" customHeight="1" x14ac:dyDescent="0.25">
      <c r="Q2803" t="s">
        <v>3733</v>
      </c>
      <c r="R2803" t="s">
        <v>257</v>
      </c>
    </row>
    <row r="2804" spans="17:18" ht="15" customHeight="1" x14ac:dyDescent="0.25">
      <c r="Q2804" t="s">
        <v>3734</v>
      </c>
      <c r="R2804" t="s">
        <v>257</v>
      </c>
    </row>
    <row r="2805" spans="17:18" ht="15" customHeight="1" x14ac:dyDescent="0.25">
      <c r="Q2805" t="s">
        <v>3735</v>
      </c>
      <c r="R2805" t="s">
        <v>257</v>
      </c>
    </row>
    <row r="2806" spans="17:18" ht="15" customHeight="1" x14ac:dyDescent="0.25">
      <c r="Q2806" t="s">
        <v>3736</v>
      </c>
      <c r="R2806" t="s">
        <v>257</v>
      </c>
    </row>
    <row r="2807" spans="17:18" ht="15" customHeight="1" x14ac:dyDescent="0.25">
      <c r="Q2807" t="s">
        <v>3737</v>
      </c>
      <c r="R2807" t="s">
        <v>257</v>
      </c>
    </row>
    <row r="2808" spans="17:18" ht="15" customHeight="1" x14ac:dyDescent="0.25">
      <c r="Q2808" t="s">
        <v>3738</v>
      </c>
      <c r="R2808" t="s">
        <v>257</v>
      </c>
    </row>
    <row r="2809" spans="17:18" ht="15" customHeight="1" x14ac:dyDescent="0.25">
      <c r="Q2809" t="s">
        <v>3739</v>
      </c>
      <c r="R2809" t="s">
        <v>257</v>
      </c>
    </row>
    <row r="2810" spans="17:18" ht="15" customHeight="1" x14ac:dyDescent="0.25">
      <c r="Q2810" t="s">
        <v>3740</v>
      </c>
      <c r="R2810" t="s">
        <v>257</v>
      </c>
    </row>
    <row r="2811" spans="17:18" ht="15" customHeight="1" x14ac:dyDescent="0.25">
      <c r="Q2811" t="s">
        <v>3741</v>
      </c>
      <c r="R2811" t="s">
        <v>257</v>
      </c>
    </row>
    <row r="2812" spans="17:18" ht="15" customHeight="1" x14ac:dyDescent="0.25">
      <c r="Q2812" t="s">
        <v>3742</v>
      </c>
      <c r="R2812" t="s">
        <v>1002</v>
      </c>
    </row>
    <row r="2813" spans="17:18" ht="15" customHeight="1" x14ac:dyDescent="0.25">
      <c r="Q2813" t="s">
        <v>3743</v>
      </c>
      <c r="R2813" t="s">
        <v>257</v>
      </c>
    </row>
    <row r="2814" spans="17:18" ht="15" customHeight="1" x14ac:dyDescent="0.25">
      <c r="Q2814" t="s">
        <v>3744</v>
      </c>
      <c r="R2814" t="s">
        <v>257</v>
      </c>
    </row>
    <row r="2815" spans="17:18" ht="15" customHeight="1" x14ac:dyDescent="0.25">
      <c r="Q2815" t="s">
        <v>3745</v>
      </c>
      <c r="R2815" t="s">
        <v>257</v>
      </c>
    </row>
    <row r="2816" spans="17:18" ht="15" customHeight="1" x14ac:dyDescent="0.25">
      <c r="Q2816" t="s">
        <v>3746</v>
      </c>
      <c r="R2816" t="s">
        <v>257</v>
      </c>
    </row>
    <row r="2817" spans="17:18" ht="15" customHeight="1" x14ac:dyDescent="0.25">
      <c r="Q2817" t="s">
        <v>3747</v>
      </c>
      <c r="R2817" t="s">
        <v>257</v>
      </c>
    </row>
    <row r="2818" spans="17:18" ht="15" customHeight="1" x14ac:dyDescent="0.25">
      <c r="Q2818" t="s">
        <v>3748</v>
      </c>
      <c r="R2818" t="s">
        <v>257</v>
      </c>
    </row>
    <row r="2819" spans="17:18" ht="15" customHeight="1" x14ac:dyDescent="0.25">
      <c r="Q2819" t="s">
        <v>3749</v>
      </c>
      <c r="R2819" t="s">
        <v>257</v>
      </c>
    </row>
    <row r="2820" spans="17:18" ht="15" customHeight="1" x14ac:dyDescent="0.25">
      <c r="Q2820" t="s">
        <v>3750</v>
      </c>
      <c r="R2820" t="s">
        <v>257</v>
      </c>
    </row>
    <row r="2821" spans="17:18" ht="15" customHeight="1" x14ac:dyDescent="0.25">
      <c r="Q2821" t="s">
        <v>3751</v>
      </c>
      <c r="R2821" t="s">
        <v>257</v>
      </c>
    </row>
    <row r="2822" spans="17:18" ht="15" customHeight="1" x14ac:dyDescent="0.25">
      <c r="Q2822" t="s">
        <v>3752</v>
      </c>
      <c r="R2822" t="s">
        <v>275</v>
      </c>
    </row>
    <row r="2823" spans="17:18" ht="15" customHeight="1" x14ac:dyDescent="0.25">
      <c r="Q2823" t="s">
        <v>3753</v>
      </c>
      <c r="R2823" t="s">
        <v>1002</v>
      </c>
    </row>
    <row r="2824" spans="17:18" ht="15" customHeight="1" x14ac:dyDescent="0.25">
      <c r="Q2824" t="s">
        <v>3754</v>
      </c>
      <c r="R2824" t="s">
        <v>1002</v>
      </c>
    </row>
    <row r="2825" spans="17:18" ht="15" customHeight="1" x14ac:dyDescent="0.25">
      <c r="Q2825" t="s">
        <v>3755</v>
      </c>
      <c r="R2825" t="s">
        <v>1002</v>
      </c>
    </row>
    <row r="2826" spans="17:18" ht="15" customHeight="1" x14ac:dyDescent="0.25">
      <c r="Q2826" t="s">
        <v>3756</v>
      </c>
      <c r="R2826" t="s">
        <v>1002</v>
      </c>
    </row>
    <row r="2827" spans="17:18" ht="15" customHeight="1" x14ac:dyDescent="0.25">
      <c r="Q2827" t="s">
        <v>3757</v>
      </c>
      <c r="R2827" t="s">
        <v>1002</v>
      </c>
    </row>
    <row r="2828" spans="17:18" ht="15" customHeight="1" x14ac:dyDescent="0.25">
      <c r="Q2828" t="s">
        <v>3758</v>
      </c>
      <c r="R2828" t="s">
        <v>1002</v>
      </c>
    </row>
    <row r="2829" spans="17:18" ht="15" customHeight="1" x14ac:dyDescent="0.25">
      <c r="Q2829" t="s">
        <v>3759</v>
      </c>
      <c r="R2829" t="s">
        <v>1002</v>
      </c>
    </row>
    <row r="2830" spans="17:18" ht="15" customHeight="1" x14ac:dyDescent="0.25">
      <c r="Q2830" t="s">
        <v>3760</v>
      </c>
      <c r="R2830" t="s">
        <v>1002</v>
      </c>
    </row>
    <row r="2831" spans="17:18" ht="15" customHeight="1" x14ac:dyDescent="0.25">
      <c r="Q2831" t="s">
        <v>3761</v>
      </c>
      <c r="R2831" t="s">
        <v>1002</v>
      </c>
    </row>
    <row r="2832" spans="17:18" ht="15" customHeight="1" x14ac:dyDescent="0.25">
      <c r="Q2832" t="s">
        <v>3762</v>
      </c>
      <c r="R2832" t="s">
        <v>1002</v>
      </c>
    </row>
    <row r="2833" spans="17:18" ht="15" customHeight="1" x14ac:dyDescent="0.25">
      <c r="Q2833" t="s">
        <v>3763</v>
      </c>
      <c r="R2833" t="s">
        <v>1002</v>
      </c>
    </row>
    <row r="2834" spans="17:18" ht="15" customHeight="1" x14ac:dyDescent="0.25">
      <c r="Q2834" t="s">
        <v>3764</v>
      </c>
      <c r="R2834" t="s">
        <v>1002</v>
      </c>
    </row>
    <row r="2835" spans="17:18" ht="15" customHeight="1" x14ac:dyDescent="0.25">
      <c r="Q2835" t="s">
        <v>3765</v>
      </c>
      <c r="R2835" t="s">
        <v>1002</v>
      </c>
    </row>
    <row r="2836" spans="17:18" ht="15" customHeight="1" x14ac:dyDescent="0.25">
      <c r="Q2836" t="s">
        <v>3766</v>
      </c>
      <c r="R2836" t="s">
        <v>1002</v>
      </c>
    </row>
    <row r="2837" spans="17:18" ht="15" customHeight="1" x14ac:dyDescent="0.25">
      <c r="Q2837" t="s">
        <v>3767</v>
      </c>
      <c r="R2837" t="s">
        <v>1002</v>
      </c>
    </row>
    <row r="2838" spans="17:18" ht="15" customHeight="1" x14ac:dyDescent="0.25">
      <c r="Q2838" t="s">
        <v>3768</v>
      </c>
      <c r="R2838" t="s">
        <v>279</v>
      </c>
    </row>
    <row r="2839" spans="17:18" ht="15" customHeight="1" x14ac:dyDescent="0.25">
      <c r="Q2839" t="s">
        <v>3769</v>
      </c>
      <c r="R2839" t="s">
        <v>279</v>
      </c>
    </row>
    <row r="2840" spans="17:18" ht="15" customHeight="1" x14ac:dyDescent="0.25">
      <c r="Q2840" t="s">
        <v>3770</v>
      </c>
      <c r="R2840" t="s">
        <v>257</v>
      </c>
    </row>
    <row r="2841" spans="17:18" ht="15" customHeight="1" x14ac:dyDescent="0.25">
      <c r="Q2841" t="s">
        <v>3771</v>
      </c>
      <c r="R2841" t="s">
        <v>2236</v>
      </c>
    </row>
    <row r="2842" spans="17:18" ht="15" customHeight="1" x14ac:dyDescent="0.25">
      <c r="Q2842" t="s">
        <v>3772</v>
      </c>
      <c r="R2842" t="s">
        <v>3061</v>
      </c>
    </row>
    <row r="2843" spans="17:18" ht="15" customHeight="1" x14ac:dyDescent="0.25">
      <c r="Q2843" t="s">
        <v>3773</v>
      </c>
      <c r="R2843" t="s">
        <v>257</v>
      </c>
    </row>
    <row r="2844" spans="17:18" ht="15" customHeight="1" x14ac:dyDescent="0.25">
      <c r="Q2844" t="s">
        <v>3774</v>
      </c>
      <c r="R2844" t="s">
        <v>1002</v>
      </c>
    </row>
    <row r="2845" spans="17:18" ht="15" customHeight="1" x14ac:dyDescent="0.25">
      <c r="Q2845" t="s">
        <v>3775</v>
      </c>
      <c r="R2845" t="s">
        <v>1002</v>
      </c>
    </row>
    <row r="2846" spans="17:18" ht="15" customHeight="1" x14ac:dyDescent="0.25">
      <c r="Q2846" t="s">
        <v>3776</v>
      </c>
      <c r="R2846" t="s">
        <v>1002</v>
      </c>
    </row>
    <row r="2847" spans="17:18" ht="15" customHeight="1" x14ac:dyDescent="0.25">
      <c r="Q2847" t="s">
        <v>3777</v>
      </c>
      <c r="R2847" t="s">
        <v>1002</v>
      </c>
    </row>
    <row r="2848" spans="17:18" ht="15" customHeight="1" x14ac:dyDescent="0.25">
      <c r="Q2848" t="s">
        <v>3778</v>
      </c>
      <c r="R2848" t="s">
        <v>1002</v>
      </c>
    </row>
    <row r="2849" spans="17:18" ht="15" customHeight="1" x14ac:dyDescent="0.25">
      <c r="Q2849" t="s">
        <v>3779</v>
      </c>
      <c r="R2849" t="s">
        <v>1002</v>
      </c>
    </row>
    <row r="2850" spans="17:18" ht="15" customHeight="1" x14ac:dyDescent="0.25">
      <c r="Q2850" t="s">
        <v>3780</v>
      </c>
      <c r="R2850" t="s">
        <v>1002</v>
      </c>
    </row>
    <row r="2851" spans="17:18" ht="15" customHeight="1" x14ac:dyDescent="0.25">
      <c r="Q2851" t="s">
        <v>3781</v>
      </c>
      <c r="R2851" t="s">
        <v>1002</v>
      </c>
    </row>
    <row r="2852" spans="17:18" ht="15" customHeight="1" x14ac:dyDescent="0.25">
      <c r="Q2852" t="s">
        <v>3782</v>
      </c>
      <c r="R2852" t="s">
        <v>1002</v>
      </c>
    </row>
    <row r="2853" spans="17:18" ht="15" customHeight="1" x14ac:dyDescent="0.25">
      <c r="Q2853" t="s">
        <v>3783</v>
      </c>
      <c r="R2853" t="s">
        <v>1002</v>
      </c>
    </row>
    <row r="2854" spans="17:18" ht="15" customHeight="1" x14ac:dyDescent="0.25">
      <c r="Q2854" t="s">
        <v>3784</v>
      </c>
      <c r="R2854" t="s">
        <v>1002</v>
      </c>
    </row>
    <row r="2855" spans="17:18" ht="15" customHeight="1" x14ac:dyDescent="0.25">
      <c r="Q2855" t="s">
        <v>3785</v>
      </c>
      <c r="R2855" t="s">
        <v>1002</v>
      </c>
    </row>
    <row r="2856" spans="17:18" ht="15" customHeight="1" x14ac:dyDescent="0.25">
      <c r="Q2856" t="s">
        <v>3786</v>
      </c>
      <c r="R2856" t="s">
        <v>257</v>
      </c>
    </row>
    <row r="2857" spans="17:18" ht="15" customHeight="1" x14ac:dyDescent="0.25">
      <c r="Q2857" t="s">
        <v>3787</v>
      </c>
      <c r="R2857" t="s">
        <v>257</v>
      </c>
    </row>
    <row r="2858" spans="17:18" ht="15" customHeight="1" x14ac:dyDescent="0.25">
      <c r="Q2858" t="s">
        <v>3788</v>
      </c>
      <c r="R2858" t="s">
        <v>257</v>
      </c>
    </row>
    <row r="2859" spans="17:18" ht="15" customHeight="1" x14ac:dyDescent="0.25">
      <c r="Q2859" t="s">
        <v>3789</v>
      </c>
      <c r="R2859" t="s">
        <v>257</v>
      </c>
    </row>
    <row r="2860" spans="17:18" ht="15" customHeight="1" x14ac:dyDescent="0.25">
      <c r="Q2860" t="s">
        <v>3790</v>
      </c>
      <c r="R2860" t="s">
        <v>257</v>
      </c>
    </row>
    <row r="2861" spans="17:18" ht="15" customHeight="1" x14ac:dyDescent="0.25">
      <c r="Q2861" t="s">
        <v>3791</v>
      </c>
      <c r="R2861" t="s">
        <v>279</v>
      </c>
    </row>
    <row r="2862" spans="17:18" ht="15" customHeight="1" x14ac:dyDescent="0.25">
      <c r="Q2862" t="s">
        <v>3792</v>
      </c>
      <c r="R2862" t="s">
        <v>279</v>
      </c>
    </row>
    <row r="2863" spans="17:18" ht="15" customHeight="1" x14ac:dyDescent="0.25">
      <c r="Q2863" t="s">
        <v>3793</v>
      </c>
      <c r="R2863" t="s">
        <v>279</v>
      </c>
    </row>
    <row r="2864" spans="17:18" ht="15" customHeight="1" x14ac:dyDescent="0.25">
      <c r="Q2864" t="s">
        <v>3794</v>
      </c>
      <c r="R2864" t="s">
        <v>279</v>
      </c>
    </row>
    <row r="2865" spans="17:18" ht="15" customHeight="1" x14ac:dyDescent="0.25">
      <c r="Q2865" t="s">
        <v>3795</v>
      </c>
      <c r="R2865" t="s">
        <v>279</v>
      </c>
    </row>
    <row r="2866" spans="17:18" ht="15" customHeight="1" x14ac:dyDescent="0.25">
      <c r="Q2866" t="s">
        <v>3796</v>
      </c>
      <c r="R2866" t="s">
        <v>275</v>
      </c>
    </row>
    <row r="2867" spans="17:18" ht="15" customHeight="1" x14ac:dyDescent="0.25">
      <c r="Q2867" t="s">
        <v>3797</v>
      </c>
      <c r="R2867" t="s">
        <v>275</v>
      </c>
    </row>
    <row r="2868" spans="17:18" ht="15" customHeight="1" x14ac:dyDescent="0.25">
      <c r="Q2868" t="s">
        <v>3798</v>
      </c>
      <c r="R2868" t="s">
        <v>275</v>
      </c>
    </row>
    <row r="2869" spans="17:18" ht="15" customHeight="1" x14ac:dyDescent="0.25">
      <c r="Q2869" t="s">
        <v>3799</v>
      </c>
      <c r="R2869" t="s">
        <v>275</v>
      </c>
    </row>
    <row r="2870" spans="17:18" ht="15" customHeight="1" x14ac:dyDescent="0.25">
      <c r="Q2870" t="s">
        <v>3800</v>
      </c>
      <c r="R2870" t="s">
        <v>275</v>
      </c>
    </row>
    <row r="2871" spans="17:18" ht="15" customHeight="1" x14ac:dyDescent="0.25">
      <c r="Q2871" t="s">
        <v>3801</v>
      </c>
      <c r="R2871" t="s">
        <v>275</v>
      </c>
    </row>
    <row r="2872" spans="17:18" ht="15" customHeight="1" x14ac:dyDescent="0.25">
      <c r="Q2872" t="s">
        <v>3802</v>
      </c>
      <c r="R2872" t="s">
        <v>1002</v>
      </c>
    </row>
    <row r="2873" spans="17:18" ht="15" customHeight="1" x14ac:dyDescent="0.25">
      <c r="Q2873" t="s">
        <v>3803</v>
      </c>
      <c r="R2873" t="s">
        <v>1002</v>
      </c>
    </row>
    <row r="2874" spans="17:18" ht="15" customHeight="1" x14ac:dyDescent="0.25">
      <c r="Q2874" t="s">
        <v>3804</v>
      </c>
      <c r="R2874" t="s">
        <v>1002</v>
      </c>
    </row>
    <row r="2875" spans="17:18" ht="15" customHeight="1" x14ac:dyDescent="0.25">
      <c r="Q2875" t="s">
        <v>3805</v>
      </c>
      <c r="R2875" t="s">
        <v>1002</v>
      </c>
    </row>
    <row r="2876" spans="17:18" ht="15" customHeight="1" x14ac:dyDescent="0.25">
      <c r="Q2876" t="s">
        <v>3806</v>
      </c>
      <c r="R2876" t="s">
        <v>1002</v>
      </c>
    </row>
    <row r="2877" spans="17:18" ht="15" customHeight="1" x14ac:dyDescent="0.25">
      <c r="Q2877" t="s">
        <v>3807</v>
      </c>
      <c r="R2877" t="s">
        <v>1002</v>
      </c>
    </row>
    <row r="2878" spans="17:18" ht="15" customHeight="1" x14ac:dyDescent="0.25">
      <c r="Q2878" t="s">
        <v>3808</v>
      </c>
      <c r="R2878" t="s">
        <v>1002</v>
      </c>
    </row>
    <row r="2879" spans="17:18" ht="15" customHeight="1" x14ac:dyDescent="0.25">
      <c r="Q2879" t="s">
        <v>3809</v>
      </c>
      <c r="R2879" t="s">
        <v>1002</v>
      </c>
    </row>
    <row r="2880" spans="17:18" ht="15" customHeight="1" x14ac:dyDescent="0.25">
      <c r="Q2880" t="s">
        <v>3810</v>
      </c>
      <c r="R2880" t="s">
        <v>1002</v>
      </c>
    </row>
    <row r="2881" spans="17:18" ht="15" customHeight="1" x14ac:dyDescent="0.25">
      <c r="Q2881" t="s">
        <v>3811</v>
      </c>
      <c r="R2881" t="s">
        <v>1002</v>
      </c>
    </row>
    <row r="2882" spans="17:18" ht="15" customHeight="1" x14ac:dyDescent="0.25">
      <c r="Q2882" t="s">
        <v>3812</v>
      </c>
      <c r="R2882" t="s">
        <v>1002</v>
      </c>
    </row>
    <row r="2883" spans="17:18" ht="15" customHeight="1" x14ac:dyDescent="0.25">
      <c r="Q2883" t="s">
        <v>3813</v>
      </c>
      <c r="R2883" t="s">
        <v>1002</v>
      </c>
    </row>
    <row r="2884" spans="17:18" ht="15" customHeight="1" x14ac:dyDescent="0.25">
      <c r="Q2884" t="s">
        <v>3814</v>
      </c>
      <c r="R2884" t="s">
        <v>1002</v>
      </c>
    </row>
    <row r="2885" spans="17:18" ht="15" customHeight="1" x14ac:dyDescent="0.25">
      <c r="Q2885" t="s">
        <v>3815</v>
      </c>
      <c r="R2885" t="s">
        <v>1002</v>
      </c>
    </row>
    <row r="2886" spans="17:18" ht="15" customHeight="1" x14ac:dyDescent="0.25">
      <c r="Q2886" t="s">
        <v>3816</v>
      </c>
      <c r="R2886" t="s">
        <v>1002</v>
      </c>
    </row>
    <row r="2887" spans="17:18" ht="15" customHeight="1" x14ac:dyDescent="0.25">
      <c r="Q2887" t="s">
        <v>3817</v>
      </c>
      <c r="R2887" t="s">
        <v>1002</v>
      </c>
    </row>
    <row r="2888" spans="17:18" ht="15" customHeight="1" x14ac:dyDescent="0.25">
      <c r="Q2888" t="s">
        <v>3818</v>
      </c>
      <c r="R2888" t="s">
        <v>1002</v>
      </c>
    </row>
    <row r="2889" spans="17:18" ht="15" customHeight="1" x14ac:dyDescent="0.25">
      <c r="Q2889" t="s">
        <v>3819</v>
      </c>
      <c r="R2889" t="s">
        <v>1002</v>
      </c>
    </row>
    <row r="2890" spans="17:18" ht="15" customHeight="1" x14ac:dyDescent="0.25">
      <c r="Q2890" t="s">
        <v>3820</v>
      </c>
      <c r="R2890" t="s">
        <v>1002</v>
      </c>
    </row>
    <row r="2891" spans="17:18" ht="15" customHeight="1" x14ac:dyDescent="0.25">
      <c r="Q2891" t="s">
        <v>3821</v>
      </c>
      <c r="R2891" t="s">
        <v>257</v>
      </c>
    </row>
    <row r="2892" spans="17:18" ht="15" customHeight="1" x14ac:dyDescent="0.25">
      <c r="Q2892" t="s">
        <v>3822</v>
      </c>
      <c r="R2892" t="s">
        <v>1002</v>
      </c>
    </row>
    <row r="2893" spans="17:18" ht="15" customHeight="1" x14ac:dyDescent="0.25">
      <c r="Q2893" t="s">
        <v>3823</v>
      </c>
      <c r="R2893" t="s">
        <v>1002</v>
      </c>
    </row>
    <row r="2894" spans="17:18" ht="15" customHeight="1" x14ac:dyDescent="0.25">
      <c r="Q2894" t="s">
        <v>3824</v>
      </c>
      <c r="R2894" t="s">
        <v>1002</v>
      </c>
    </row>
    <row r="2895" spans="17:18" ht="15" customHeight="1" x14ac:dyDescent="0.25">
      <c r="Q2895" t="s">
        <v>3825</v>
      </c>
      <c r="R2895" t="s">
        <v>1002</v>
      </c>
    </row>
    <row r="2896" spans="17:18" ht="15" customHeight="1" x14ac:dyDescent="0.25">
      <c r="Q2896" t="s">
        <v>3826</v>
      </c>
      <c r="R2896" t="s">
        <v>1002</v>
      </c>
    </row>
    <row r="2897" spans="17:18" ht="15" customHeight="1" x14ac:dyDescent="0.25">
      <c r="Q2897" t="s">
        <v>3827</v>
      </c>
      <c r="R2897" t="s">
        <v>1002</v>
      </c>
    </row>
    <row r="2898" spans="17:18" ht="15" customHeight="1" x14ac:dyDescent="0.25">
      <c r="Q2898" t="s">
        <v>3828</v>
      </c>
      <c r="R2898" t="s">
        <v>1002</v>
      </c>
    </row>
    <row r="2899" spans="17:18" ht="15" customHeight="1" x14ac:dyDescent="0.25">
      <c r="Q2899" t="s">
        <v>3829</v>
      </c>
      <c r="R2899" t="s">
        <v>257</v>
      </c>
    </row>
    <row r="2900" spans="17:18" ht="15" customHeight="1" x14ac:dyDescent="0.25">
      <c r="Q2900" t="s">
        <v>3830</v>
      </c>
      <c r="R2900" t="s">
        <v>257</v>
      </c>
    </row>
    <row r="2901" spans="17:18" ht="15" customHeight="1" x14ac:dyDescent="0.25">
      <c r="Q2901" t="s">
        <v>3831</v>
      </c>
      <c r="R2901" t="s">
        <v>257</v>
      </c>
    </row>
    <row r="2902" spans="17:18" ht="15" customHeight="1" x14ac:dyDescent="0.25">
      <c r="Q2902" t="s">
        <v>3832</v>
      </c>
      <c r="R2902" t="s">
        <v>257</v>
      </c>
    </row>
    <row r="2903" spans="17:18" ht="15" customHeight="1" x14ac:dyDescent="0.25">
      <c r="Q2903" t="s">
        <v>3833</v>
      </c>
      <c r="R2903" t="s">
        <v>257</v>
      </c>
    </row>
    <row r="2904" spans="17:18" ht="15" customHeight="1" x14ac:dyDescent="0.25">
      <c r="Q2904" t="s">
        <v>3834</v>
      </c>
      <c r="R2904" t="s">
        <v>257</v>
      </c>
    </row>
    <row r="2905" spans="17:18" ht="15" customHeight="1" x14ac:dyDescent="0.25">
      <c r="Q2905" t="s">
        <v>3835</v>
      </c>
      <c r="R2905" t="s">
        <v>257</v>
      </c>
    </row>
    <row r="2906" spans="17:18" ht="15" customHeight="1" x14ac:dyDescent="0.25">
      <c r="Q2906" t="s">
        <v>3836</v>
      </c>
      <c r="R2906" t="s">
        <v>257</v>
      </c>
    </row>
    <row r="2907" spans="17:18" ht="15" customHeight="1" x14ac:dyDescent="0.25">
      <c r="Q2907" t="s">
        <v>3837</v>
      </c>
      <c r="R2907" t="s">
        <v>257</v>
      </c>
    </row>
    <row r="2908" spans="17:18" ht="15" customHeight="1" x14ac:dyDescent="0.25">
      <c r="Q2908" t="s">
        <v>3838</v>
      </c>
      <c r="R2908" t="s">
        <v>257</v>
      </c>
    </row>
    <row r="2909" spans="17:18" ht="15" customHeight="1" x14ac:dyDescent="0.25">
      <c r="Q2909" t="s">
        <v>3839</v>
      </c>
      <c r="R2909" t="s">
        <v>1002</v>
      </c>
    </row>
    <row r="2910" spans="17:18" ht="15" customHeight="1" x14ac:dyDescent="0.25">
      <c r="Q2910" t="s">
        <v>3840</v>
      </c>
      <c r="R2910" t="s">
        <v>1002</v>
      </c>
    </row>
    <row r="2911" spans="17:18" ht="15" customHeight="1" x14ac:dyDescent="0.25">
      <c r="Q2911" t="s">
        <v>3841</v>
      </c>
      <c r="R2911" t="s">
        <v>1002</v>
      </c>
    </row>
    <row r="2912" spans="17:18" ht="15" customHeight="1" x14ac:dyDescent="0.25">
      <c r="Q2912" t="s">
        <v>3842</v>
      </c>
      <c r="R2912" t="s">
        <v>1002</v>
      </c>
    </row>
    <row r="2913" spans="17:18" ht="15" customHeight="1" x14ac:dyDescent="0.25">
      <c r="Q2913" t="s">
        <v>3843</v>
      </c>
      <c r="R2913" t="s">
        <v>279</v>
      </c>
    </row>
    <row r="2914" spans="17:18" ht="15" customHeight="1" x14ac:dyDescent="0.25">
      <c r="Q2914" t="s">
        <v>3844</v>
      </c>
      <c r="R2914" t="s">
        <v>279</v>
      </c>
    </row>
    <row r="2915" spans="17:18" ht="15" customHeight="1" x14ac:dyDescent="0.25">
      <c r="Q2915" t="s">
        <v>3845</v>
      </c>
      <c r="R2915" t="s">
        <v>279</v>
      </c>
    </row>
    <row r="2916" spans="17:18" ht="15" customHeight="1" x14ac:dyDescent="0.25">
      <c r="Q2916" t="s">
        <v>3846</v>
      </c>
      <c r="R2916" t="s">
        <v>279</v>
      </c>
    </row>
    <row r="2917" spans="17:18" ht="15" customHeight="1" x14ac:dyDescent="0.25">
      <c r="Q2917" t="s">
        <v>3847</v>
      </c>
      <c r="R2917" t="s">
        <v>279</v>
      </c>
    </row>
    <row r="2918" spans="17:18" ht="15" customHeight="1" x14ac:dyDescent="0.25">
      <c r="Q2918" t="s">
        <v>3848</v>
      </c>
      <c r="R2918" t="s">
        <v>279</v>
      </c>
    </row>
    <row r="2919" spans="17:18" ht="15" customHeight="1" x14ac:dyDescent="0.25">
      <c r="Q2919" t="s">
        <v>3849</v>
      </c>
      <c r="R2919" t="s">
        <v>2236</v>
      </c>
    </row>
    <row r="2920" spans="17:18" ht="15" customHeight="1" x14ac:dyDescent="0.25">
      <c r="Q2920" t="s">
        <v>3850</v>
      </c>
      <c r="R2920" t="s">
        <v>2236</v>
      </c>
    </row>
    <row r="2921" spans="17:18" ht="15" customHeight="1" x14ac:dyDescent="0.25">
      <c r="Q2921" t="s">
        <v>3851</v>
      </c>
      <c r="R2921" t="s">
        <v>2236</v>
      </c>
    </row>
    <row r="2922" spans="17:18" ht="15" customHeight="1" x14ac:dyDescent="0.25">
      <c r="Q2922" t="s">
        <v>3852</v>
      </c>
      <c r="R2922" t="s">
        <v>2236</v>
      </c>
    </row>
    <row r="2923" spans="17:18" ht="15" customHeight="1" x14ac:dyDescent="0.25">
      <c r="Q2923" t="s">
        <v>3853</v>
      </c>
      <c r="R2923" t="s">
        <v>2236</v>
      </c>
    </row>
    <row r="2924" spans="17:18" ht="15" customHeight="1" x14ac:dyDescent="0.25">
      <c r="Q2924" t="s">
        <v>3854</v>
      </c>
      <c r="R2924" t="s">
        <v>2236</v>
      </c>
    </row>
    <row r="2925" spans="17:18" ht="15" customHeight="1" x14ac:dyDescent="0.25">
      <c r="Q2925" t="s">
        <v>3855</v>
      </c>
      <c r="R2925" t="s">
        <v>2236</v>
      </c>
    </row>
    <row r="2926" spans="17:18" ht="15" customHeight="1" x14ac:dyDescent="0.25">
      <c r="Q2926" t="s">
        <v>3856</v>
      </c>
      <c r="R2926" t="s">
        <v>2236</v>
      </c>
    </row>
    <row r="2927" spans="17:18" ht="15" customHeight="1" x14ac:dyDescent="0.25">
      <c r="Q2927" t="s">
        <v>3857</v>
      </c>
      <c r="R2927" t="s">
        <v>2236</v>
      </c>
    </row>
    <row r="2928" spans="17:18" ht="15" customHeight="1" x14ac:dyDescent="0.25">
      <c r="Q2928" t="s">
        <v>3858</v>
      </c>
      <c r="R2928" t="s">
        <v>2236</v>
      </c>
    </row>
    <row r="2929" spans="17:18" ht="15" customHeight="1" x14ac:dyDescent="0.25">
      <c r="Q2929" t="s">
        <v>3859</v>
      </c>
      <c r="R2929" t="s">
        <v>2236</v>
      </c>
    </row>
    <row r="2930" spans="17:18" ht="15" customHeight="1" x14ac:dyDescent="0.25">
      <c r="Q2930" t="s">
        <v>3860</v>
      </c>
      <c r="R2930" t="s">
        <v>2236</v>
      </c>
    </row>
    <row r="2931" spans="17:18" ht="15" customHeight="1" x14ac:dyDescent="0.25">
      <c r="Q2931" t="s">
        <v>3861</v>
      </c>
      <c r="R2931" t="s">
        <v>2236</v>
      </c>
    </row>
    <row r="2932" spans="17:18" ht="15" customHeight="1" x14ac:dyDescent="0.25">
      <c r="Q2932" t="s">
        <v>3862</v>
      </c>
      <c r="R2932" t="s">
        <v>2236</v>
      </c>
    </row>
    <row r="2933" spans="17:18" ht="15" customHeight="1" x14ac:dyDescent="0.25">
      <c r="Q2933" t="s">
        <v>3863</v>
      </c>
      <c r="R2933" t="s">
        <v>2236</v>
      </c>
    </row>
    <row r="2934" spans="17:18" ht="15" customHeight="1" x14ac:dyDescent="0.25">
      <c r="Q2934" t="s">
        <v>3864</v>
      </c>
      <c r="R2934" t="s">
        <v>2236</v>
      </c>
    </row>
    <row r="2935" spans="17:18" ht="15" customHeight="1" x14ac:dyDescent="0.25">
      <c r="Q2935" t="s">
        <v>3865</v>
      </c>
      <c r="R2935" t="s">
        <v>1002</v>
      </c>
    </row>
    <row r="2936" spans="17:18" ht="15" customHeight="1" x14ac:dyDescent="0.25">
      <c r="Q2936" t="s">
        <v>3866</v>
      </c>
      <c r="R2936" t="s">
        <v>2236</v>
      </c>
    </row>
    <row r="2937" spans="17:18" ht="15" customHeight="1" x14ac:dyDescent="0.25">
      <c r="Q2937" t="s">
        <v>3867</v>
      </c>
      <c r="R2937" t="s">
        <v>2236</v>
      </c>
    </row>
    <row r="2938" spans="17:18" ht="15" customHeight="1" x14ac:dyDescent="0.25">
      <c r="Q2938" t="s">
        <v>3868</v>
      </c>
      <c r="R2938" t="s">
        <v>2236</v>
      </c>
    </row>
    <row r="2939" spans="17:18" ht="15" customHeight="1" x14ac:dyDescent="0.25">
      <c r="Q2939" t="s">
        <v>3869</v>
      </c>
      <c r="R2939" t="s">
        <v>2236</v>
      </c>
    </row>
    <row r="2940" spans="17:18" ht="15" customHeight="1" x14ac:dyDescent="0.25">
      <c r="Q2940" t="s">
        <v>3870</v>
      </c>
      <c r="R2940" t="s">
        <v>2236</v>
      </c>
    </row>
    <row r="2941" spans="17:18" ht="15" customHeight="1" x14ac:dyDescent="0.25">
      <c r="Q2941" t="s">
        <v>3871</v>
      </c>
      <c r="R2941" t="s">
        <v>2236</v>
      </c>
    </row>
    <row r="2942" spans="17:18" ht="15" customHeight="1" x14ac:dyDescent="0.25">
      <c r="Q2942" t="s">
        <v>3872</v>
      </c>
      <c r="R2942" t="s">
        <v>2236</v>
      </c>
    </row>
    <row r="2943" spans="17:18" ht="15" customHeight="1" x14ac:dyDescent="0.25">
      <c r="Q2943" t="s">
        <v>3873</v>
      </c>
      <c r="R2943" t="s">
        <v>2236</v>
      </c>
    </row>
    <row r="2944" spans="17:18" ht="15" customHeight="1" x14ac:dyDescent="0.25">
      <c r="Q2944" t="s">
        <v>3874</v>
      </c>
      <c r="R2944" t="s">
        <v>2236</v>
      </c>
    </row>
    <row r="2945" spans="17:18" ht="15" customHeight="1" x14ac:dyDescent="0.25">
      <c r="Q2945" t="s">
        <v>3875</v>
      </c>
      <c r="R2945" t="s">
        <v>2236</v>
      </c>
    </row>
    <row r="2946" spans="17:18" ht="15" customHeight="1" x14ac:dyDescent="0.25">
      <c r="Q2946" t="s">
        <v>3876</v>
      </c>
      <c r="R2946" t="s">
        <v>1002</v>
      </c>
    </row>
    <row r="2947" spans="17:18" ht="15" customHeight="1" x14ac:dyDescent="0.25">
      <c r="Q2947" t="s">
        <v>3877</v>
      </c>
      <c r="R2947" t="s">
        <v>1002</v>
      </c>
    </row>
    <row r="2948" spans="17:18" ht="15" customHeight="1" x14ac:dyDescent="0.25">
      <c r="Q2948" t="s">
        <v>3878</v>
      </c>
      <c r="R2948" t="s">
        <v>2236</v>
      </c>
    </row>
    <row r="2949" spans="17:18" ht="15" customHeight="1" x14ac:dyDescent="0.25">
      <c r="Q2949" t="s">
        <v>3879</v>
      </c>
      <c r="R2949" t="s">
        <v>275</v>
      </c>
    </row>
    <row r="2950" spans="17:18" ht="15" customHeight="1" x14ac:dyDescent="0.25">
      <c r="Q2950" t="s">
        <v>3880</v>
      </c>
      <c r="R2950" t="s">
        <v>275</v>
      </c>
    </row>
    <row r="2951" spans="17:18" ht="15" customHeight="1" x14ac:dyDescent="0.25">
      <c r="Q2951" t="s">
        <v>3881</v>
      </c>
      <c r="R2951" t="s">
        <v>275</v>
      </c>
    </row>
    <row r="2952" spans="17:18" ht="15" customHeight="1" x14ac:dyDescent="0.25">
      <c r="Q2952" t="s">
        <v>3882</v>
      </c>
      <c r="R2952" t="s">
        <v>275</v>
      </c>
    </row>
    <row r="2953" spans="17:18" ht="15" customHeight="1" x14ac:dyDescent="0.25">
      <c r="Q2953" t="s">
        <v>3883</v>
      </c>
      <c r="R2953" t="s">
        <v>275</v>
      </c>
    </row>
    <row r="2954" spans="17:18" ht="15" customHeight="1" x14ac:dyDescent="0.25">
      <c r="Q2954" t="s">
        <v>3884</v>
      </c>
      <c r="R2954" t="s">
        <v>275</v>
      </c>
    </row>
    <row r="2955" spans="17:18" ht="15" customHeight="1" x14ac:dyDescent="0.25">
      <c r="Q2955" t="s">
        <v>3885</v>
      </c>
      <c r="R2955" t="s">
        <v>275</v>
      </c>
    </row>
    <row r="2956" spans="17:18" ht="15" customHeight="1" x14ac:dyDescent="0.25">
      <c r="Q2956" t="s">
        <v>3886</v>
      </c>
      <c r="R2956" t="s">
        <v>275</v>
      </c>
    </row>
    <row r="2957" spans="17:18" ht="15" customHeight="1" x14ac:dyDescent="0.25">
      <c r="Q2957" t="s">
        <v>3887</v>
      </c>
      <c r="R2957" t="s">
        <v>1002</v>
      </c>
    </row>
    <row r="2958" spans="17:18" ht="15" customHeight="1" x14ac:dyDescent="0.25">
      <c r="Q2958" t="s">
        <v>3888</v>
      </c>
      <c r="R2958" t="s">
        <v>2236</v>
      </c>
    </row>
    <row r="2959" spans="17:18" ht="15" customHeight="1" x14ac:dyDescent="0.25">
      <c r="Q2959" t="s">
        <v>3889</v>
      </c>
      <c r="R2959" t="s">
        <v>2236</v>
      </c>
    </row>
    <row r="2960" spans="17:18" ht="15" customHeight="1" x14ac:dyDescent="0.25">
      <c r="Q2960" t="s">
        <v>3890</v>
      </c>
      <c r="R2960" t="s">
        <v>2236</v>
      </c>
    </row>
    <row r="2961" spans="17:18" ht="15" customHeight="1" x14ac:dyDescent="0.25">
      <c r="Q2961" t="s">
        <v>3891</v>
      </c>
      <c r="R2961" t="s">
        <v>2236</v>
      </c>
    </row>
    <row r="2962" spans="17:18" ht="15" customHeight="1" x14ac:dyDescent="0.25">
      <c r="Q2962" t="s">
        <v>3892</v>
      </c>
      <c r="R2962" t="s">
        <v>2236</v>
      </c>
    </row>
    <row r="2963" spans="17:18" ht="15" customHeight="1" x14ac:dyDescent="0.25">
      <c r="Q2963" t="s">
        <v>3893</v>
      </c>
      <c r="R2963" t="s">
        <v>2236</v>
      </c>
    </row>
    <row r="2964" spans="17:18" ht="15" customHeight="1" x14ac:dyDescent="0.25">
      <c r="Q2964" t="s">
        <v>3894</v>
      </c>
      <c r="R2964" t="s">
        <v>2236</v>
      </c>
    </row>
    <row r="2965" spans="17:18" ht="15" customHeight="1" x14ac:dyDescent="0.25">
      <c r="Q2965" t="s">
        <v>3895</v>
      </c>
      <c r="R2965" t="s">
        <v>2236</v>
      </c>
    </row>
    <row r="2966" spans="17:18" ht="15" customHeight="1" x14ac:dyDescent="0.25">
      <c r="Q2966" t="s">
        <v>3896</v>
      </c>
      <c r="R2966" t="s">
        <v>2236</v>
      </c>
    </row>
    <row r="2967" spans="17:18" ht="15" customHeight="1" x14ac:dyDescent="0.25">
      <c r="Q2967" t="s">
        <v>3897</v>
      </c>
      <c r="R2967" t="s">
        <v>2236</v>
      </c>
    </row>
    <row r="2968" spans="17:18" ht="15" customHeight="1" x14ac:dyDescent="0.25">
      <c r="Q2968" t="s">
        <v>3898</v>
      </c>
      <c r="R2968" t="s">
        <v>2236</v>
      </c>
    </row>
    <row r="2969" spans="17:18" ht="15" customHeight="1" x14ac:dyDescent="0.25">
      <c r="Q2969" t="s">
        <v>3899</v>
      </c>
      <c r="R2969" t="s">
        <v>1002</v>
      </c>
    </row>
    <row r="2970" spans="17:18" ht="15" customHeight="1" x14ac:dyDescent="0.25">
      <c r="Q2970" t="s">
        <v>3900</v>
      </c>
      <c r="R2970" t="s">
        <v>1002</v>
      </c>
    </row>
    <row r="2971" spans="17:18" ht="15" customHeight="1" x14ac:dyDescent="0.25">
      <c r="Q2971" t="s">
        <v>3901</v>
      </c>
      <c r="R2971" t="s">
        <v>1002</v>
      </c>
    </row>
    <row r="2972" spans="17:18" ht="15" customHeight="1" x14ac:dyDescent="0.25">
      <c r="Q2972" t="s">
        <v>3902</v>
      </c>
      <c r="R2972" t="s">
        <v>1002</v>
      </c>
    </row>
    <row r="2973" spans="17:18" ht="15" customHeight="1" x14ac:dyDescent="0.25">
      <c r="Q2973" t="s">
        <v>3903</v>
      </c>
      <c r="R2973" t="s">
        <v>1002</v>
      </c>
    </row>
    <row r="2974" spans="17:18" ht="15" customHeight="1" x14ac:dyDescent="0.25">
      <c r="Q2974" t="s">
        <v>3904</v>
      </c>
      <c r="R2974" t="s">
        <v>1002</v>
      </c>
    </row>
    <row r="2975" spans="17:18" ht="15" customHeight="1" x14ac:dyDescent="0.25">
      <c r="Q2975" t="s">
        <v>3905</v>
      </c>
      <c r="R2975" t="s">
        <v>1002</v>
      </c>
    </row>
    <row r="2976" spans="17:18" ht="15" customHeight="1" x14ac:dyDescent="0.25">
      <c r="Q2976" t="s">
        <v>3906</v>
      </c>
      <c r="R2976" t="s">
        <v>1002</v>
      </c>
    </row>
    <row r="2977" spans="17:18" ht="15" customHeight="1" x14ac:dyDescent="0.25">
      <c r="Q2977" t="s">
        <v>3907</v>
      </c>
      <c r="R2977" t="s">
        <v>1002</v>
      </c>
    </row>
    <row r="2978" spans="17:18" ht="15" customHeight="1" x14ac:dyDescent="0.25">
      <c r="Q2978" t="s">
        <v>3908</v>
      </c>
      <c r="R2978" t="s">
        <v>1002</v>
      </c>
    </row>
    <row r="2979" spans="17:18" ht="15" customHeight="1" x14ac:dyDescent="0.25">
      <c r="Q2979" t="s">
        <v>3909</v>
      </c>
      <c r="R2979" t="s">
        <v>1002</v>
      </c>
    </row>
    <row r="2980" spans="17:18" ht="15" customHeight="1" x14ac:dyDescent="0.25">
      <c r="Q2980" t="s">
        <v>3910</v>
      </c>
      <c r="R2980" t="s">
        <v>1002</v>
      </c>
    </row>
    <row r="2981" spans="17:18" ht="15" customHeight="1" x14ac:dyDescent="0.25">
      <c r="Q2981" t="s">
        <v>3911</v>
      </c>
      <c r="R2981" t="s">
        <v>2236</v>
      </c>
    </row>
    <row r="2982" spans="17:18" ht="15" customHeight="1" x14ac:dyDescent="0.25">
      <c r="Q2982" t="s">
        <v>3912</v>
      </c>
      <c r="R2982" t="s">
        <v>1002</v>
      </c>
    </row>
    <row r="2983" spans="17:18" ht="15" customHeight="1" x14ac:dyDescent="0.25">
      <c r="Q2983" t="s">
        <v>3913</v>
      </c>
      <c r="R2983" t="s">
        <v>1002</v>
      </c>
    </row>
    <row r="2984" spans="17:18" ht="15" customHeight="1" x14ac:dyDescent="0.25">
      <c r="Q2984" t="s">
        <v>3914</v>
      </c>
      <c r="R2984" t="s">
        <v>1002</v>
      </c>
    </row>
    <row r="2985" spans="17:18" ht="15" customHeight="1" x14ac:dyDescent="0.25">
      <c r="Q2985" t="s">
        <v>3915</v>
      </c>
      <c r="R2985" t="s">
        <v>1002</v>
      </c>
    </row>
    <row r="2986" spans="17:18" ht="15" customHeight="1" x14ac:dyDescent="0.25">
      <c r="Q2986" t="s">
        <v>3916</v>
      </c>
      <c r="R2986" t="s">
        <v>1002</v>
      </c>
    </row>
    <row r="2987" spans="17:18" ht="15" customHeight="1" x14ac:dyDescent="0.25">
      <c r="Q2987" t="s">
        <v>3917</v>
      </c>
      <c r="R2987" t="s">
        <v>1002</v>
      </c>
    </row>
    <row r="2988" spans="17:18" ht="15" customHeight="1" x14ac:dyDescent="0.25">
      <c r="Q2988" t="s">
        <v>3918</v>
      </c>
      <c r="R2988" t="s">
        <v>1002</v>
      </c>
    </row>
    <row r="2989" spans="17:18" ht="15" customHeight="1" x14ac:dyDescent="0.25">
      <c r="Q2989" t="s">
        <v>3919</v>
      </c>
      <c r="R2989" t="s">
        <v>1002</v>
      </c>
    </row>
    <row r="2990" spans="17:18" ht="15" customHeight="1" x14ac:dyDescent="0.25">
      <c r="Q2990" t="s">
        <v>3920</v>
      </c>
      <c r="R2990" t="s">
        <v>1002</v>
      </c>
    </row>
    <row r="2991" spans="17:18" ht="15" customHeight="1" x14ac:dyDescent="0.25">
      <c r="Q2991" t="s">
        <v>3921</v>
      </c>
      <c r="R2991" t="s">
        <v>1002</v>
      </c>
    </row>
    <row r="2992" spans="17:18" ht="15" customHeight="1" x14ac:dyDescent="0.25">
      <c r="Q2992" t="s">
        <v>3922</v>
      </c>
      <c r="R2992" t="s">
        <v>273</v>
      </c>
    </row>
    <row r="2993" spans="17:18" ht="15" customHeight="1" x14ac:dyDescent="0.25">
      <c r="Q2993" t="s">
        <v>3923</v>
      </c>
      <c r="R2993" t="s">
        <v>273</v>
      </c>
    </row>
    <row r="2994" spans="17:18" ht="15" customHeight="1" x14ac:dyDescent="0.25">
      <c r="Q2994" t="s">
        <v>3924</v>
      </c>
      <c r="R2994" t="s">
        <v>2236</v>
      </c>
    </row>
    <row r="2995" spans="17:18" ht="15" customHeight="1" x14ac:dyDescent="0.25">
      <c r="Q2995" t="s">
        <v>3925</v>
      </c>
      <c r="R2995" t="s">
        <v>2236</v>
      </c>
    </row>
    <row r="2996" spans="17:18" ht="15" customHeight="1" x14ac:dyDescent="0.25">
      <c r="Q2996" t="s">
        <v>3926</v>
      </c>
      <c r="R2996" t="s">
        <v>2236</v>
      </c>
    </row>
    <row r="2997" spans="17:18" ht="15" customHeight="1" x14ac:dyDescent="0.25">
      <c r="Q2997" t="s">
        <v>3927</v>
      </c>
      <c r="R2997" t="s">
        <v>2236</v>
      </c>
    </row>
    <row r="2998" spans="17:18" ht="15" customHeight="1" x14ac:dyDescent="0.25">
      <c r="Q2998" t="s">
        <v>3928</v>
      </c>
      <c r="R2998" t="s">
        <v>2236</v>
      </c>
    </row>
    <row r="2999" spans="17:18" ht="15" customHeight="1" x14ac:dyDescent="0.25">
      <c r="Q2999" t="s">
        <v>3929</v>
      </c>
      <c r="R2999" t="s">
        <v>2236</v>
      </c>
    </row>
    <row r="3000" spans="17:18" ht="15" customHeight="1" x14ac:dyDescent="0.25">
      <c r="Q3000" t="s">
        <v>3930</v>
      </c>
      <c r="R3000" t="s">
        <v>2236</v>
      </c>
    </row>
    <row r="3001" spans="17:18" ht="15" customHeight="1" x14ac:dyDescent="0.25">
      <c r="Q3001" t="s">
        <v>3931</v>
      </c>
      <c r="R3001" t="s">
        <v>2236</v>
      </c>
    </row>
    <row r="3002" spans="17:18" ht="15" customHeight="1" x14ac:dyDescent="0.25">
      <c r="Q3002" t="s">
        <v>3932</v>
      </c>
      <c r="R3002" t="s">
        <v>2236</v>
      </c>
    </row>
    <row r="3003" spans="17:18" ht="15" customHeight="1" x14ac:dyDescent="0.25">
      <c r="Q3003" t="s">
        <v>3933</v>
      </c>
      <c r="R3003" t="s">
        <v>2236</v>
      </c>
    </row>
    <row r="3004" spans="17:18" ht="15" customHeight="1" x14ac:dyDescent="0.25">
      <c r="Q3004" t="s">
        <v>3934</v>
      </c>
      <c r="R3004" t="s">
        <v>2236</v>
      </c>
    </row>
    <row r="3005" spans="17:18" ht="15" customHeight="1" x14ac:dyDescent="0.25">
      <c r="Q3005" t="s">
        <v>3935</v>
      </c>
      <c r="R3005" t="s">
        <v>2236</v>
      </c>
    </row>
    <row r="3006" spans="17:18" ht="15" customHeight="1" x14ac:dyDescent="0.25">
      <c r="Q3006" t="s">
        <v>3936</v>
      </c>
      <c r="R3006" t="s">
        <v>2236</v>
      </c>
    </row>
    <row r="3007" spans="17:18" ht="15" customHeight="1" x14ac:dyDescent="0.25">
      <c r="Q3007" t="s">
        <v>3937</v>
      </c>
      <c r="R3007" t="s">
        <v>3147</v>
      </c>
    </row>
    <row r="3008" spans="17:18" ht="15" customHeight="1" x14ac:dyDescent="0.25">
      <c r="Q3008" t="s">
        <v>3938</v>
      </c>
      <c r="R3008" t="s">
        <v>3147</v>
      </c>
    </row>
    <row r="3009" spans="17:18" ht="15" customHeight="1" x14ac:dyDescent="0.25">
      <c r="Q3009" t="s">
        <v>3939</v>
      </c>
      <c r="R3009" t="s">
        <v>3147</v>
      </c>
    </row>
    <row r="3010" spans="17:18" ht="15" customHeight="1" x14ac:dyDescent="0.25">
      <c r="Q3010" t="s">
        <v>3940</v>
      </c>
      <c r="R3010" t="s">
        <v>3147</v>
      </c>
    </row>
    <row r="3011" spans="17:18" ht="15" customHeight="1" x14ac:dyDescent="0.25">
      <c r="Q3011" t="s">
        <v>3941</v>
      </c>
      <c r="R3011" t="s">
        <v>2979</v>
      </c>
    </row>
    <row r="3012" spans="17:18" ht="15" customHeight="1" x14ac:dyDescent="0.25">
      <c r="Q3012" t="s">
        <v>3942</v>
      </c>
      <c r="R3012" t="s">
        <v>2236</v>
      </c>
    </row>
    <row r="3013" spans="17:18" ht="15" customHeight="1" x14ac:dyDescent="0.25">
      <c r="Q3013" t="s">
        <v>3943</v>
      </c>
      <c r="R3013" t="s">
        <v>2236</v>
      </c>
    </row>
    <row r="3014" spans="17:18" ht="15" customHeight="1" x14ac:dyDescent="0.25">
      <c r="Q3014" t="s">
        <v>3944</v>
      </c>
      <c r="R3014" t="s">
        <v>2236</v>
      </c>
    </row>
    <row r="3015" spans="17:18" ht="15" customHeight="1" x14ac:dyDescent="0.25">
      <c r="Q3015" t="s">
        <v>3945</v>
      </c>
      <c r="R3015" t="s">
        <v>2236</v>
      </c>
    </row>
    <row r="3016" spans="17:18" ht="15" customHeight="1" x14ac:dyDescent="0.25">
      <c r="Q3016" t="s">
        <v>3946</v>
      </c>
      <c r="R3016" t="s">
        <v>2236</v>
      </c>
    </row>
    <row r="3017" spans="17:18" ht="15" customHeight="1" x14ac:dyDescent="0.25">
      <c r="Q3017" t="s">
        <v>3947</v>
      </c>
      <c r="R3017" t="s">
        <v>2236</v>
      </c>
    </row>
    <row r="3018" spans="17:18" ht="15" customHeight="1" x14ac:dyDescent="0.25">
      <c r="Q3018" t="s">
        <v>3948</v>
      </c>
      <c r="R3018" t="s">
        <v>2236</v>
      </c>
    </row>
    <row r="3019" spans="17:18" ht="15" customHeight="1" x14ac:dyDescent="0.25">
      <c r="Q3019" t="s">
        <v>3949</v>
      </c>
      <c r="R3019" t="s">
        <v>2236</v>
      </c>
    </row>
    <row r="3020" spans="17:18" ht="15" customHeight="1" x14ac:dyDescent="0.25">
      <c r="Q3020" t="s">
        <v>3950</v>
      </c>
      <c r="R3020" t="s">
        <v>2236</v>
      </c>
    </row>
    <row r="3021" spans="17:18" ht="15" customHeight="1" x14ac:dyDescent="0.25">
      <c r="Q3021" t="s">
        <v>3951</v>
      </c>
      <c r="R3021" t="s">
        <v>2236</v>
      </c>
    </row>
    <row r="3022" spans="17:18" ht="15" customHeight="1" x14ac:dyDescent="0.25">
      <c r="Q3022" t="s">
        <v>3952</v>
      </c>
      <c r="R3022" t="s">
        <v>2236</v>
      </c>
    </row>
    <row r="3023" spans="17:18" ht="15" customHeight="1" x14ac:dyDescent="0.25">
      <c r="Q3023" t="s">
        <v>3953</v>
      </c>
      <c r="R3023" t="s">
        <v>2236</v>
      </c>
    </row>
    <row r="3024" spans="17:18" ht="15" customHeight="1" x14ac:dyDescent="0.25">
      <c r="Q3024" t="s">
        <v>3954</v>
      </c>
      <c r="R3024" t="s">
        <v>2236</v>
      </c>
    </row>
    <row r="3025" spans="17:18" ht="15" customHeight="1" x14ac:dyDescent="0.25">
      <c r="Q3025" t="s">
        <v>3955</v>
      </c>
      <c r="R3025" t="s">
        <v>3061</v>
      </c>
    </row>
    <row r="3026" spans="17:18" ht="15" customHeight="1" x14ac:dyDescent="0.25">
      <c r="Q3026" t="s">
        <v>3956</v>
      </c>
      <c r="R3026" t="s">
        <v>2236</v>
      </c>
    </row>
    <row r="3027" spans="17:18" ht="15" customHeight="1" x14ac:dyDescent="0.25">
      <c r="Q3027" t="s">
        <v>3957</v>
      </c>
      <c r="R3027" t="s">
        <v>3061</v>
      </c>
    </row>
    <row r="3028" spans="17:18" ht="15" customHeight="1" x14ac:dyDescent="0.25">
      <c r="Q3028" t="s">
        <v>3958</v>
      </c>
      <c r="R3028" t="s">
        <v>3061</v>
      </c>
    </row>
    <row r="3029" spans="17:18" ht="15" customHeight="1" x14ac:dyDescent="0.25">
      <c r="Q3029" t="s">
        <v>3959</v>
      </c>
      <c r="R3029" t="s">
        <v>2236</v>
      </c>
    </row>
    <row r="3030" spans="17:18" ht="15" customHeight="1" x14ac:dyDescent="0.25">
      <c r="Q3030" t="s">
        <v>3960</v>
      </c>
      <c r="R3030" t="s">
        <v>3061</v>
      </c>
    </row>
    <row r="3031" spans="17:18" ht="15" customHeight="1" x14ac:dyDescent="0.25">
      <c r="Q3031" t="s">
        <v>3961</v>
      </c>
      <c r="R3031" t="s">
        <v>2236</v>
      </c>
    </row>
    <row r="3032" spans="17:18" ht="15" customHeight="1" x14ac:dyDescent="0.25">
      <c r="Q3032" t="s">
        <v>3962</v>
      </c>
      <c r="R3032" t="s">
        <v>2236</v>
      </c>
    </row>
    <row r="3033" spans="17:18" ht="15" customHeight="1" x14ac:dyDescent="0.25">
      <c r="Q3033" t="s">
        <v>3963</v>
      </c>
      <c r="R3033" t="s">
        <v>2236</v>
      </c>
    </row>
    <row r="3034" spans="17:18" ht="15" customHeight="1" x14ac:dyDescent="0.25">
      <c r="Q3034" t="s">
        <v>3964</v>
      </c>
      <c r="R3034" t="s">
        <v>2236</v>
      </c>
    </row>
    <row r="3035" spans="17:18" ht="15" customHeight="1" x14ac:dyDescent="0.25">
      <c r="Q3035" t="s">
        <v>3965</v>
      </c>
      <c r="R3035" t="s">
        <v>2236</v>
      </c>
    </row>
    <row r="3036" spans="17:18" ht="15" customHeight="1" x14ac:dyDescent="0.25">
      <c r="Q3036" t="s">
        <v>3966</v>
      </c>
      <c r="R3036" t="s">
        <v>2236</v>
      </c>
    </row>
    <row r="3037" spans="17:18" ht="15" customHeight="1" x14ac:dyDescent="0.25">
      <c r="Q3037" t="s">
        <v>3967</v>
      </c>
      <c r="R3037" t="s">
        <v>2236</v>
      </c>
    </row>
    <row r="3038" spans="17:18" ht="15" customHeight="1" x14ac:dyDescent="0.25">
      <c r="Q3038" t="s">
        <v>3968</v>
      </c>
      <c r="R3038" t="s">
        <v>2236</v>
      </c>
    </row>
    <row r="3039" spans="17:18" ht="15" customHeight="1" x14ac:dyDescent="0.25">
      <c r="Q3039" t="s">
        <v>3969</v>
      </c>
      <c r="R3039" t="s">
        <v>2236</v>
      </c>
    </row>
    <row r="3040" spans="17:18" ht="15" customHeight="1" x14ac:dyDescent="0.25">
      <c r="Q3040" t="s">
        <v>3970</v>
      </c>
      <c r="R3040" t="s">
        <v>2236</v>
      </c>
    </row>
    <row r="3041" spans="17:18" ht="15" customHeight="1" x14ac:dyDescent="0.25">
      <c r="Q3041" t="s">
        <v>3971</v>
      </c>
      <c r="R3041" t="s">
        <v>2236</v>
      </c>
    </row>
    <row r="3042" spans="17:18" ht="15" customHeight="1" x14ac:dyDescent="0.25">
      <c r="Q3042" t="s">
        <v>3972</v>
      </c>
      <c r="R3042" t="s">
        <v>2236</v>
      </c>
    </row>
    <row r="3043" spans="17:18" ht="15" customHeight="1" x14ac:dyDescent="0.25">
      <c r="Q3043" t="s">
        <v>3973</v>
      </c>
      <c r="R3043" t="s">
        <v>2236</v>
      </c>
    </row>
    <row r="3044" spans="17:18" ht="15" customHeight="1" x14ac:dyDescent="0.25">
      <c r="Q3044" t="s">
        <v>3974</v>
      </c>
      <c r="R3044" t="s">
        <v>2236</v>
      </c>
    </row>
    <row r="3045" spans="17:18" ht="15" customHeight="1" x14ac:dyDescent="0.25">
      <c r="Q3045" t="s">
        <v>3975</v>
      </c>
      <c r="R3045" t="s">
        <v>2236</v>
      </c>
    </row>
    <row r="3046" spans="17:18" ht="15" customHeight="1" x14ac:dyDescent="0.25">
      <c r="Q3046" t="s">
        <v>3976</v>
      </c>
      <c r="R3046" t="s">
        <v>2236</v>
      </c>
    </row>
    <row r="3047" spans="17:18" ht="15" customHeight="1" x14ac:dyDescent="0.25">
      <c r="Q3047" t="s">
        <v>3977</v>
      </c>
      <c r="R3047" t="s">
        <v>2236</v>
      </c>
    </row>
    <row r="3048" spans="17:18" ht="15" customHeight="1" x14ac:dyDescent="0.25">
      <c r="Q3048" t="s">
        <v>3978</v>
      </c>
      <c r="R3048" t="s">
        <v>2236</v>
      </c>
    </row>
    <row r="3049" spans="17:18" ht="15" customHeight="1" x14ac:dyDescent="0.25">
      <c r="Q3049" t="s">
        <v>3979</v>
      </c>
      <c r="R3049" t="s">
        <v>2236</v>
      </c>
    </row>
    <row r="3050" spans="17:18" ht="15" customHeight="1" x14ac:dyDescent="0.25">
      <c r="Q3050" t="s">
        <v>3980</v>
      </c>
      <c r="R3050" t="s">
        <v>2236</v>
      </c>
    </row>
    <row r="3051" spans="17:18" ht="15" customHeight="1" x14ac:dyDescent="0.25">
      <c r="Q3051" t="s">
        <v>3981</v>
      </c>
      <c r="R3051" t="s">
        <v>2236</v>
      </c>
    </row>
    <row r="3052" spans="17:18" ht="15" customHeight="1" x14ac:dyDescent="0.25">
      <c r="Q3052" t="s">
        <v>3982</v>
      </c>
      <c r="R3052" t="s">
        <v>2979</v>
      </c>
    </row>
    <row r="3053" spans="17:18" ht="15" customHeight="1" x14ac:dyDescent="0.25">
      <c r="Q3053" t="s">
        <v>3983</v>
      </c>
      <c r="R3053" t="s">
        <v>2236</v>
      </c>
    </row>
    <row r="3054" spans="17:18" ht="15" customHeight="1" x14ac:dyDescent="0.25">
      <c r="Q3054" t="s">
        <v>3984</v>
      </c>
      <c r="R3054" t="s">
        <v>2236</v>
      </c>
    </row>
    <row r="3055" spans="17:18" ht="15" customHeight="1" x14ac:dyDescent="0.25">
      <c r="Q3055" t="s">
        <v>3985</v>
      </c>
      <c r="R3055" t="s">
        <v>2236</v>
      </c>
    </row>
    <row r="3056" spans="17:18" ht="15" customHeight="1" x14ac:dyDescent="0.25">
      <c r="Q3056" t="s">
        <v>3986</v>
      </c>
      <c r="R3056" t="s">
        <v>2236</v>
      </c>
    </row>
    <row r="3057" spans="17:18" ht="15" customHeight="1" x14ac:dyDescent="0.25">
      <c r="Q3057" t="s">
        <v>3987</v>
      </c>
      <c r="R3057" t="s">
        <v>2236</v>
      </c>
    </row>
    <row r="3058" spans="17:18" ht="15" customHeight="1" x14ac:dyDescent="0.25">
      <c r="Q3058" t="s">
        <v>3988</v>
      </c>
      <c r="R3058" t="s">
        <v>2236</v>
      </c>
    </row>
    <row r="3059" spans="17:18" ht="15" customHeight="1" x14ac:dyDescent="0.25">
      <c r="Q3059" t="s">
        <v>3989</v>
      </c>
      <c r="R3059" t="s">
        <v>2236</v>
      </c>
    </row>
    <row r="3060" spans="17:18" ht="15" customHeight="1" x14ac:dyDescent="0.25">
      <c r="Q3060" t="s">
        <v>3990</v>
      </c>
      <c r="R3060" t="s">
        <v>2236</v>
      </c>
    </row>
    <row r="3061" spans="17:18" ht="15" customHeight="1" x14ac:dyDescent="0.25">
      <c r="Q3061" t="s">
        <v>3991</v>
      </c>
      <c r="R3061" t="s">
        <v>2236</v>
      </c>
    </row>
    <row r="3062" spans="17:18" ht="15" customHeight="1" x14ac:dyDescent="0.25">
      <c r="Q3062" t="s">
        <v>3992</v>
      </c>
      <c r="R3062" t="s">
        <v>2236</v>
      </c>
    </row>
    <row r="3063" spans="17:18" ht="15" customHeight="1" x14ac:dyDescent="0.25">
      <c r="Q3063" t="s">
        <v>3993</v>
      </c>
      <c r="R3063" t="s">
        <v>2236</v>
      </c>
    </row>
    <row r="3064" spans="17:18" ht="15" customHeight="1" x14ac:dyDescent="0.25">
      <c r="Q3064" t="s">
        <v>3994</v>
      </c>
      <c r="R3064" t="s">
        <v>2236</v>
      </c>
    </row>
    <row r="3065" spans="17:18" ht="15" customHeight="1" x14ac:dyDescent="0.25">
      <c r="Q3065" t="s">
        <v>3995</v>
      </c>
      <c r="R3065" t="s">
        <v>2236</v>
      </c>
    </row>
    <row r="3066" spans="17:18" ht="15" customHeight="1" x14ac:dyDescent="0.25">
      <c r="Q3066" t="s">
        <v>3996</v>
      </c>
      <c r="R3066" t="s">
        <v>2236</v>
      </c>
    </row>
    <row r="3067" spans="17:18" ht="15" customHeight="1" x14ac:dyDescent="0.25">
      <c r="Q3067" t="s">
        <v>3997</v>
      </c>
      <c r="R3067" t="s">
        <v>2236</v>
      </c>
    </row>
    <row r="3068" spans="17:18" ht="15" customHeight="1" x14ac:dyDescent="0.25">
      <c r="Q3068" t="s">
        <v>3998</v>
      </c>
      <c r="R3068" t="s">
        <v>2236</v>
      </c>
    </row>
    <row r="3069" spans="17:18" ht="15" customHeight="1" x14ac:dyDescent="0.25">
      <c r="Q3069" t="s">
        <v>3999</v>
      </c>
      <c r="R3069" t="s">
        <v>2236</v>
      </c>
    </row>
    <row r="3070" spans="17:18" ht="15" customHeight="1" x14ac:dyDescent="0.25">
      <c r="Q3070" t="s">
        <v>4000</v>
      </c>
      <c r="R3070" t="s">
        <v>2236</v>
      </c>
    </row>
    <row r="3071" spans="17:18" ht="15" customHeight="1" x14ac:dyDescent="0.25">
      <c r="Q3071" t="s">
        <v>4001</v>
      </c>
      <c r="R3071" t="s">
        <v>2236</v>
      </c>
    </row>
    <row r="3072" spans="17:18" ht="15" customHeight="1" x14ac:dyDescent="0.25">
      <c r="Q3072" t="s">
        <v>4002</v>
      </c>
      <c r="R3072" t="s">
        <v>2236</v>
      </c>
    </row>
    <row r="3073" spans="17:18" ht="15" customHeight="1" x14ac:dyDescent="0.25">
      <c r="Q3073" t="s">
        <v>4003</v>
      </c>
      <c r="R3073" t="s">
        <v>2236</v>
      </c>
    </row>
    <row r="3074" spans="17:18" ht="15" customHeight="1" x14ac:dyDescent="0.25">
      <c r="Q3074" t="s">
        <v>4004</v>
      </c>
      <c r="R3074" t="s">
        <v>2236</v>
      </c>
    </row>
    <row r="3075" spans="17:18" ht="15" customHeight="1" x14ac:dyDescent="0.25">
      <c r="Q3075" t="s">
        <v>4005</v>
      </c>
      <c r="R3075" t="s">
        <v>2236</v>
      </c>
    </row>
    <row r="3076" spans="17:18" ht="15" customHeight="1" x14ac:dyDescent="0.25">
      <c r="Q3076" t="s">
        <v>4006</v>
      </c>
      <c r="R3076" t="s">
        <v>2236</v>
      </c>
    </row>
    <row r="3077" spans="17:18" ht="15" customHeight="1" x14ac:dyDescent="0.25">
      <c r="Q3077" t="s">
        <v>4007</v>
      </c>
      <c r="R3077" t="s">
        <v>2236</v>
      </c>
    </row>
    <row r="3078" spans="17:18" ht="15" customHeight="1" x14ac:dyDescent="0.25">
      <c r="Q3078" t="s">
        <v>4008</v>
      </c>
      <c r="R3078" t="s">
        <v>2236</v>
      </c>
    </row>
    <row r="3079" spans="17:18" ht="15" customHeight="1" x14ac:dyDescent="0.25">
      <c r="Q3079" t="s">
        <v>4009</v>
      </c>
      <c r="R3079" t="s">
        <v>2236</v>
      </c>
    </row>
    <row r="3080" spans="17:18" ht="15" customHeight="1" x14ac:dyDescent="0.25">
      <c r="Q3080" t="s">
        <v>4010</v>
      </c>
      <c r="R3080" t="s">
        <v>2236</v>
      </c>
    </row>
    <row r="3081" spans="17:18" ht="15" customHeight="1" x14ac:dyDescent="0.25">
      <c r="Q3081" t="s">
        <v>4011</v>
      </c>
      <c r="R3081" t="s">
        <v>2236</v>
      </c>
    </row>
    <row r="3082" spans="17:18" ht="15" customHeight="1" x14ac:dyDescent="0.25">
      <c r="Q3082" t="s">
        <v>4012</v>
      </c>
      <c r="R3082" t="s">
        <v>2236</v>
      </c>
    </row>
    <row r="3083" spans="17:18" ht="15" customHeight="1" x14ac:dyDescent="0.25">
      <c r="Q3083" t="s">
        <v>4013</v>
      </c>
      <c r="R3083" t="s">
        <v>2236</v>
      </c>
    </row>
    <row r="3084" spans="17:18" ht="15" customHeight="1" x14ac:dyDescent="0.25">
      <c r="Q3084" t="s">
        <v>4014</v>
      </c>
      <c r="R3084" t="s">
        <v>2236</v>
      </c>
    </row>
    <row r="3085" spans="17:18" ht="15" customHeight="1" x14ac:dyDescent="0.25">
      <c r="Q3085" t="s">
        <v>4015</v>
      </c>
      <c r="R3085" t="s">
        <v>2236</v>
      </c>
    </row>
    <row r="3086" spans="17:18" ht="15" customHeight="1" x14ac:dyDescent="0.25">
      <c r="Q3086" t="s">
        <v>4016</v>
      </c>
      <c r="R3086" t="s">
        <v>2236</v>
      </c>
    </row>
    <row r="3087" spans="17:18" ht="15" customHeight="1" x14ac:dyDescent="0.25">
      <c r="Q3087" t="s">
        <v>4017</v>
      </c>
      <c r="R3087" t="s">
        <v>2236</v>
      </c>
    </row>
    <row r="3088" spans="17:18" ht="15" customHeight="1" x14ac:dyDescent="0.25">
      <c r="Q3088" t="s">
        <v>4018</v>
      </c>
      <c r="R3088" t="s">
        <v>2236</v>
      </c>
    </row>
    <row r="3089" spans="17:18" ht="15" customHeight="1" x14ac:dyDescent="0.25">
      <c r="Q3089" t="s">
        <v>4019</v>
      </c>
      <c r="R3089" t="s">
        <v>2236</v>
      </c>
    </row>
    <row r="3090" spans="17:18" ht="15" customHeight="1" x14ac:dyDescent="0.25">
      <c r="Q3090" t="s">
        <v>4020</v>
      </c>
      <c r="R3090" t="s">
        <v>2236</v>
      </c>
    </row>
    <row r="3091" spans="17:18" ht="15" customHeight="1" x14ac:dyDescent="0.25">
      <c r="Q3091" t="s">
        <v>4021</v>
      </c>
      <c r="R3091" t="s">
        <v>2236</v>
      </c>
    </row>
    <row r="3092" spans="17:18" ht="15" customHeight="1" x14ac:dyDescent="0.25">
      <c r="Q3092" t="s">
        <v>4022</v>
      </c>
      <c r="R3092" t="s">
        <v>2236</v>
      </c>
    </row>
    <row r="3093" spans="17:18" ht="15" customHeight="1" x14ac:dyDescent="0.25">
      <c r="Q3093" t="s">
        <v>4023</v>
      </c>
      <c r="R3093" t="s">
        <v>2236</v>
      </c>
    </row>
    <row r="3094" spans="17:18" ht="15" customHeight="1" x14ac:dyDescent="0.25">
      <c r="Q3094" t="s">
        <v>4024</v>
      </c>
      <c r="R3094" t="s">
        <v>2236</v>
      </c>
    </row>
    <row r="3095" spans="17:18" ht="15" customHeight="1" x14ac:dyDescent="0.25">
      <c r="Q3095" t="s">
        <v>4025</v>
      </c>
      <c r="R3095" t="s">
        <v>2236</v>
      </c>
    </row>
    <row r="3096" spans="17:18" ht="15" customHeight="1" x14ac:dyDescent="0.25">
      <c r="Q3096" t="s">
        <v>4026</v>
      </c>
      <c r="R3096" t="s">
        <v>2236</v>
      </c>
    </row>
    <row r="3097" spans="17:18" ht="15" customHeight="1" x14ac:dyDescent="0.25">
      <c r="Q3097" t="s">
        <v>4027</v>
      </c>
      <c r="R3097" t="s">
        <v>2236</v>
      </c>
    </row>
    <row r="3098" spans="17:18" ht="15" customHeight="1" x14ac:dyDescent="0.25">
      <c r="Q3098" t="s">
        <v>4028</v>
      </c>
      <c r="R3098" t="s">
        <v>2236</v>
      </c>
    </row>
    <row r="3099" spans="17:18" ht="15" customHeight="1" x14ac:dyDescent="0.25">
      <c r="Q3099" t="s">
        <v>4029</v>
      </c>
      <c r="R3099" t="s">
        <v>2236</v>
      </c>
    </row>
    <row r="3100" spans="17:18" ht="15" customHeight="1" x14ac:dyDescent="0.25">
      <c r="Q3100" t="s">
        <v>4030</v>
      </c>
      <c r="R3100" t="s">
        <v>2236</v>
      </c>
    </row>
    <row r="3101" spans="17:18" ht="15" customHeight="1" x14ac:dyDescent="0.25">
      <c r="Q3101" t="s">
        <v>4031</v>
      </c>
      <c r="R3101" t="s">
        <v>2236</v>
      </c>
    </row>
    <row r="3102" spans="17:18" ht="15" customHeight="1" x14ac:dyDescent="0.25">
      <c r="Q3102" t="s">
        <v>4032</v>
      </c>
      <c r="R3102" t="s">
        <v>2236</v>
      </c>
    </row>
    <row r="3103" spans="17:18" ht="15" customHeight="1" x14ac:dyDescent="0.25">
      <c r="Q3103" t="s">
        <v>4033</v>
      </c>
      <c r="R3103" t="s">
        <v>2236</v>
      </c>
    </row>
    <row r="3104" spans="17:18" ht="15" customHeight="1" x14ac:dyDescent="0.25">
      <c r="Q3104" t="s">
        <v>4034</v>
      </c>
      <c r="R3104" t="s">
        <v>2236</v>
      </c>
    </row>
    <row r="3105" spans="17:18" ht="15" customHeight="1" x14ac:dyDescent="0.25">
      <c r="Q3105" t="s">
        <v>4035</v>
      </c>
      <c r="R3105" t="s">
        <v>2236</v>
      </c>
    </row>
    <row r="3106" spans="17:18" ht="15" customHeight="1" x14ac:dyDescent="0.25">
      <c r="Q3106" t="s">
        <v>4036</v>
      </c>
      <c r="R3106" t="s">
        <v>2236</v>
      </c>
    </row>
    <row r="3107" spans="17:18" ht="15" customHeight="1" x14ac:dyDescent="0.25">
      <c r="Q3107" t="s">
        <v>4037</v>
      </c>
      <c r="R3107" t="s">
        <v>2236</v>
      </c>
    </row>
    <row r="3108" spans="17:18" ht="15" customHeight="1" x14ac:dyDescent="0.25">
      <c r="Q3108" t="s">
        <v>4038</v>
      </c>
      <c r="R3108" t="s">
        <v>2236</v>
      </c>
    </row>
    <row r="3109" spans="17:18" ht="15" customHeight="1" x14ac:dyDescent="0.25">
      <c r="Q3109" t="s">
        <v>4039</v>
      </c>
      <c r="R3109" t="s">
        <v>2236</v>
      </c>
    </row>
    <row r="3110" spans="17:18" ht="15" customHeight="1" x14ac:dyDescent="0.25">
      <c r="Q3110" t="s">
        <v>4040</v>
      </c>
      <c r="R3110" t="s">
        <v>2236</v>
      </c>
    </row>
    <row r="3111" spans="17:18" ht="15" customHeight="1" x14ac:dyDescent="0.25">
      <c r="Q3111" t="s">
        <v>4041</v>
      </c>
      <c r="R3111" t="s">
        <v>2236</v>
      </c>
    </row>
    <row r="3112" spans="17:18" ht="15" customHeight="1" x14ac:dyDescent="0.25">
      <c r="Q3112" t="s">
        <v>4042</v>
      </c>
      <c r="R3112" t="s">
        <v>2236</v>
      </c>
    </row>
    <row r="3113" spans="17:18" ht="15" customHeight="1" x14ac:dyDescent="0.25">
      <c r="Q3113" t="s">
        <v>4043</v>
      </c>
      <c r="R3113" t="s">
        <v>2236</v>
      </c>
    </row>
    <row r="3114" spans="17:18" ht="15" customHeight="1" x14ac:dyDescent="0.25">
      <c r="Q3114" t="s">
        <v>4044</v>
      </c>
      <c r="R3114" t="s">
        <v>2236</v>
      </c>
    </row>
    <row r="3115" spans="17:18" ht="15" customHeight="1" x14ac:dyDescent="0.25">
      <c r="Q3115" t="s">
        <v>4045</v>
      </c>
      <c r="R3115" t="s">
        <v>2236</v>
      </c>
    </row>
    <row r="3116" spans="17:18" ht="15" customHeight="1" x14ac:dyDescent="0.25">
      <c r="Q3116" t="s">
        <v>4046</v>
      </c>
      <c r="R3116" t="s">
        <v>2236</v>
      </c>
    </row>
    <row r="3117" spans="17:18" ht="15" customHeight="1" x14ac:dyDescent="0.25">
      <c r="Q3117" t="s">
        <v>4047</v>
      </c>
      <c r="R3117" t="s">
        <v>2236</v>
      </c>
    </row>
    <row r="3118" spans="17:18" ht="15" customHeight="1" x14ac:dyDescent="0.25">
      <c r="Q3118" t="s">
        <v>4048</v>
      </c>
      <c r="R3118" t="s">
        <v>2236</v>
      </c>
    </row>
    <row r="3119" spans="17:18" ht="15" customHeight="1" x14ac:dyDescent="0.25">
      <c r="Q3119" t="s">
        <v>4049</v>
      </c>
      <c r="R3119" t="s">
        <v>2236</v>
      </c>
    </row>
    <row r="3120" spans="17:18" ht="15" customHeight="1" x14ac:dyDescent="0.25">
      <c r="Q3120" t="s">
        <v>4050</v>
      </c>
      <c r="R3120" t="s">
        <v>2236</v>
      </c>
    </row>
    <row r="3121" spans="17:18" ht="15" customHeight="1" x14ac:dyDescent="0.25">
      <c r="Q3121" t="s">
        <v>4051</v>
      </c>
      <c r="R3121" t="s">
        <v>2236</v>
      </c>
    </row>
    <row r="3122" spans="17:18" ht="15" customHeight="1" x14ac:dyDescent="0.25">
      <c r="Q3122" t="s">
        <v>4052</v>
      </c>
      <c r="R3122" t="s">
        <v>2236</v>
      </c>
    </row>
    <row r="3123" spans="17:18" ht="15" customHeight="1" x14ac:dyDescent="0.25">
      <c r="Q3123" t="s">
        <v>4053</v>
      </c>
      <c r="R3123" t="s">
        <v>2236</v>
      </c>
    </row>
    <row r="3124" spans="17:18" ht="15" customHeight="1" x14ac:dyDescent="0.25">
      <c r="Q3124" t="s">
        <v>4054</v>
      </c>
      <c r="R3124" t="s">
        <v>2236</v>
      </c>
    </row>
    <row r="3125" spans="17:18" ht="15" customHeight="1" x14ac:dyDescent="0.25">
      <c r="Q3125" t="s">
        <v>4055</v>
      </c>
      <c r="R3125" t="s">
        <v>2236</v>
      </c>
    </row>
    <row r="3126" spans="17:18" ht="15" customHeight="1" x14ac:dyDescent="0.25">
      <c r="Q3126" t="s">
        <v>4056</v>
      </c>
      <c r="R3126" t="s">
        <v>2236</v>
      </c>
    </row>
    <row r="3127" spans="17:18" ht="15" customHeight="1" x14ac:dyDescent="0.25">
      <c r="Q3127" t="s">
        <v>4057</v>
      </c>
      <c r="R3127" t="s">
        <v>2236</v>
      </c>
    </row>
    <row r="3128" spans="17:18" ht="15" customHeight="1" x14ac:dyDescent="0.25">
      <c r="Q3128" t="s">
        <v>4058</v>
      </c>
      <c r="R3128" t="s">
        <v>2236</v>
      </c>
    </row>
    <row r="3129" spans="17:18" ht="15" customHeight="1" x14ac:dyDescent="0.25">
      <c r="Q3129" t="s">
        <v>4059</v>
      </c>
      <c r="R3129" t="s">
        <v>2236</v>
      </c>
    </row>
    <row r="3130" spans="17:18" ht="15" customHeight="1" x14ac:dyDescent="0.25">
      <c r="Q3130" t="s">
        <v>4060</v>
      </c>
      <c r="R3130" t="s">
        <v>2236</v>
      </c>
    </row>
    <row r="3131" spans="17:18" ht="15" customHeight="1" x14ac:dyDescent="0.25">
      <c r="Q3131" t="s">
        <v>4061</v>
      </c>
      <c r="R3131" t="s">
        <v>2236</v>
      </c>
    </row>
    <row r="3132" spans="17:18" ht="15" customHeight="1" x14ac:dyDescent="0.25">
      <c r="Q3132" t="s">
        <v>4062</v>
      </c>
      <c r="R3132" t="s">
        <v>2236</v>
      </c>
    </row>
    <row r="3133" spans="17:18" ht="15" customHeight="1" x14ac:dyDescent="0.25">
      <c r="Q3133" t="s">
        <v>4063</v>
      </c>
      <c r="R3133" t="s">
        <v>2236</v>
      </c>
    </row>
    <row r="3134" spans="17:18" ht="15" customHeight="1" x14ac:dyDescent="0.25">
      <c r="Q3134" t="s">
        <v>4064</v>
      </c>
      <c r="R3134" t="s">
        <v>2236</v>
      </c>
    </row>
    <row r="3135" spans="17:18" ht="15" customHeight="1" x14ac:dyDescent="0.25">
      <c r="Q3135" t="s">
        <v>4065</v>
      </c>
      <c r="R3135" t="s">
        <v>2236</v>
      </c>
    </row>
    <row r="3136" spans="17:18" ht="15" customHeight="1" x14ac:dyDescent="0.25">
      <c r="Q3136" t="s">
        <v>4066</v>
      </c>
      <c r="R3136" t="s">
        <v>2236</v>
      </c>
    </row>
    <row r="3137" spans="17:18" ht="15" customHeight="1" x14ac:dyDescent="0.25">
      <c r="Q3137" t="s">
        <v>4067</v>
      </c>
      <c r="R3137" t="s">
        <v>2236</v>
      </c>
    </row>
    <row r="3138" spans="17:18" ht="15" customHeight="1" x14ac:dyDescent="0.25">
      <c r="Q3138" t="s">
        <v>4068</v>
      </c>
      <c r="R3138" t="s">
        <v>2236</v>
      </c>
    </row>
    <row r="3139" spans="17:18" ht="15" customHeight="1" x14ac:dyDescent="0.25">
      <c r="Q3139" t="s">
        <v>4069</v>
      </c>
      <c r="R3139" t="s">
        <v>2236</v>
      </c>
    </row>
    <row r="3140" spans="17:18" ht="15" customHeight="1" x14ac:dyDescent="0.25">
      <c r="Q3140" t="s">
        <v>4070</v>
      </c>
      <c r="R3140" t="s">
        <v>2236</v>
      </c>
    </row>
    <row r="3141" spans="17:18" ht="15" customHeight="1" x14ac:dyDescent="0.25">
      <c r="Q3141" t="s">
        <v>4071</v>
      </c>
      <c r="R3141" t="s">
        <v>2236</v>
      </c>
    </row>
    <row r="3142" spans="17:18" ht="15" customHeight="1" x14ac:dyDescent="0.25">
      <c r="Q3142" t="s">
        <v>4072</v>
      </c>
      <c r="R3142" t="s">
        <v>2236</v>
      </c>
    </row>
    <row r="3143" spans="17:18" ht="15" customHeight="1" x14ac:dyDescent="0.25">
      <c r="Q3143" t="s">
        <v>4073</v>
      </c>
      <c r="R3143" t="s">
        <v>2236</v>
      </c>
    </row>
    <row r="3144" spans="17:18" ht="15" customHeight="1" x14ac:dyDescent="0.25">
      <c r="Q3144" t="s">
        <v>4074</v>
      </c>
      <c r="R3144" t="s">
        <v>2236</v>
      </c>
    </row>
    <row r="3145" spans="17:18" ht="15" customHeight="1" x14ac:dyDescent="0.25">
      <c r="Q3145" t="s">
        <v>4075</v>
      </c>
      <c r="R3145" t="s">
        <v>2236</v>
      </c>
    </row>
    <row r="3146" spans="17:18" ht="15" customHeight="1" x14ac:dyDescent="0.25">
      <c r="Q3146" t="s">
        <v>4076</v>
      </c>
      <c r="R3146" t="s">
        <v>2236</v>
      </c>
    </row>
    <row r="3147" spans="17:18" ht="15" customHeight="1" x14ac:dyDescent="0.25">
      <c r="Q3147" t="s">
        <v>4077</v>
      </c>
      <c r="R3147" t="s">
        <v>2236</v>
      </c>
    </row>
    <row r="3148" spans="17:18" ht="15" customHeight="1" x14ac:dyDescent="0.25">
      <c r="Q3148" t="s">
        <v>4078</v>
      </c>
      <c r="R3148" t="s">
        <v>2236</v>
      </c>
    </row>
    <row r="3149" spans="17:18" ht="15" customHeight="1" x14ac:dyDescent="0.25">
      <c r="Q3149" t="s">
        <v>4079</v>
      </c>
      <c r="R3149" t="s">
        <v>2236</v>
      </c>
    </row>
    <row r="3150" spans="17:18" ht="15" customHeight="1" x14ac:dyDescent="0.25">
      <c r="Q3150" t="s">
        <v>4080</v>
      </c>
      <c r="R3150" t="s">
        <v>2236</v>
      </c>
    </row>
    <row r="3151" spans="17:18" ht="15" customHeight="1" x14ac:dyDescent="0.25">
      <c r="Q3151" t="s">
        <v>4081</v>
      </c>
      <c r="R3151" t="s">
        <v>2236</v>
      </c>
    </row>
    <row r="3152" spans="17:18" ht="15" customHeight="1" x14ac:dyDescent="0.25">
      <c r="Q3152" t="s">
        <v>4082</v>
      </c>
      <c r="R3152" t="s">
        <v>2236</v>
      </c>
    </row>
    <row r="3153" spans="17:18" ht="15" customHeight="1" x14ac:dyDescent="0.25">
      <c r="Q3153" t="s">
        <v>4083</v>
      </c>
      <c r="R3153" t="s">
        <v>2236</v>
      </c>
    </row>
    <row r="3154" spans="17:18" ht="15" customHeight="1" x14ac:dyDescent="0.25">
      <c r="Q3154" t="s">
        <v>4084</v>
      </c>
      <c r="R3154" t="s">
        <v>2236</v>
      </c>
    </row>
    <row r="3155" spans="17:18" ht="15" customHeight="1" x14ac:dyDescent="0.25">
      <c r="Q3155" t="s">
        <v>4085</v>
      </c>
      <c r="R3155" t="s">
        <v>2236</v>
      </c>
    </row>
    <row r="3156" spans="17:18" ht="15" customHeight="1" x14ac:dyDescent="0.25">
      <c r="Q3156" t="s">
        <v>4086</v>
      </c>
      <c r="R3156" t="s">
        <v>2236</v>
      </c>
    </row>
    <row r="3157" spans="17:18" ht="15" customHeight="1" x14ac:dyDescent="0.25">
      <c r="Q3157" t="s">
        <v>4087</v>
      </c>
      <c r="R3157" t="s">
        <v>2236</v>
      </c>
    </row>
    <row r="3158" spans="17:18" ht="15" customHeight="1" x14ac:dyDescent="0.25">
      <c r="Q3158" t="s">
        <v>4088</v>
      </c>
      <c r="R3158" t="s">
        <v>2236</v>
      </c>
    </row>
    <row r="3159" spans="17:18" ht="15" customHeight="1" x14ac:dyDescent="0.25">
      <c r="Q3159" t="s">
        <v>4089</v>
      </c>
      <c r="R3159" t="s">
        <v>2236</v>
      </c>
    </row>
    <row r="3160" spans="17:18" ht="15" customHeight="1" x14ac:dyDescent="0.25">
      <c r="Q3160" t="s">
        <v>4090</v>
      </c>
      <c r="R3160" t="s">
        <v>2236</v>
      </c>
    </row>
    <row r="3161" spans="17:18" ht="15" customHeight="1" x14ac:dyDescent="0.25">
      <c r="Q3161" t="s">
        <v>4091</v>
      </c>
      <c r="R3161" t="s">
        <v>2236</v>
      </c>
    </row>
    <row r="3162" spans="17:18" ht="15" customHeight="1" x14ac:dyDescent="0.25">
      <c r="Q3162" t="s">
        <v>4092</v>
      </c>
      <c r="R3162" t="s">
        <v>2236</v>
      </c>
    </row>
    <row r="3163" spans="17:18" ht="15" customHeight="1" x14ac:dyDescent="0.25">
      <c r="Q3163" t="s">
        <v>4093</v>
      </c>
      <c r="R3163" t="s">
        <v>2236</v>
      </c>
    </row>
    <row r="3164" spans="17:18" ht="15" customHeight="1" x14ac:dyDescent="0.25">
      <c r="Q3164" t="s">
        <v>4094</v>
      </c>
      <c r="R3164" t="s">
        <v>2236</v>
      </c>
    </row>
    <row r="3165" spans="17:18" ht="15" customHeight="1" x14ac:dyDescent="0.25">
      <c r="Q3165" t="s">
        <v>4095</v>
      </c>
      <c r="R3165" t="s">
        <v>2236</v>
      </c>
    </row>
    <row r="3166" spans="17:18" ht="15" customHeight="1" x14ac:dyDescent="0.25">
      <c r="Q3166" t="s">
        <v>4096</v>
      </c>
      <c r="R3166" t="s">
        <v>2236</v>
      </c>
    </row>
    <row r="3167" spans="17:18" ht="15" customHeight="1" x14ac:dyDescent="0.25">
      <c r="Q3167" t="s">
        <v>4097</v>
      </c>
      <c r="R3167" t="s">
        <v>2236</v>
      </c>
    </row>
    <row r="3168" spans="17:18" ht="15" customHeight="1" x14ac:dyDescent="0.25">
      <c r="Q3168" t="s">
        <v>4098</v>
      </c>
      <c r="R3168" t="s">
        <v>2236</v>
      </c>
    </row>
    <row r="3169" spans="17:18" ht="15" customHeight="1" x14ac:dyDescent="0.25">
      <c r="Q3169" t="s">
        <v>4099</v>
      </c>
      <c r="R3169" t="s">
        <v>2236</v>
      </c>
    </row>
    <row r="3170" spans="17:18" ht="15" customHeight="1" x14ac:dyDescent="0.25">
      <c r="Q3170" t="s">
        <v>4100</v>
      </c>
      <c r="R3170" t="s">
        <v>2236</v>
      </c>
    </row>
    <row r="3171" spans="17:18" ht="15" customHeight="1" x14ac:dyDescent="0.25">
      <c r="Q3171" t="s">
        <v>4101</v>
      </c>
      <c r="R3171" t="s">
        <v>2236</v>
      </c>
    </row>
    <row r="3172" spans="17:18" ht="15" customHeight="1" x14ac:dyDescent="0.25">
      <c r="Q3172" t="s">
        <v>4102</v>
      </c>
      <c r="R3172" t="s">
        <v>2236</v>
      </c>
    </row>
    <row r="3173" spans="17:18" ht="15" customHeight="1" x14ac:dyDescent="0.25">
      <c r="Q3173" t="s">
        <v>4103</v>
      </c>
      <c r="R3173" t="s">
        <v>2236</v>
      </c>
    </row>
    <row r="3174" spans="17:18" ht="15" customHeight="1" x14ac:dyDescent="0.25">
      <c r="Q3174" t="s">
        <v>4104</v>
      </c>
      <c r="R3174" t="s">
        <v>2236</v>
      </c>
    </row>
    <row r="3175" spans="17:18" ht="15" customHeight="1" x14ac:dyDescent="0.25">
      <c r="Q3175" t="s">
        <v>4105</v>
      </c>
      <c r="R3175" t="s">
        <v>2236</v>
      </c>
    </row>
    <row r="3176" spans="17:18" ht="15" customHeight="1" x14ac:dyDescent="0.25">
      <c r="Q3176" t="s">
        <v>4106</v>
      </c>
      <c r="R3176" t="s">
        <v>2236</v>
      </c>
    </row>
    <row r="3177" spans="17:18" ht="15" customHeight="1" x14ac:dyDescent="0.25">
      <c r="Q3177" t="s">
        <v>4107</v>
      </c>
      <c r="R3177" t="s">
        <v>2236</v>
      </c>
    </row>
    <row r="3178" spans="17:18" ht="15" customHeight="1" x14ac:dyDescent="0.25">
      <c r="Q3178" t="s">
        <v>4108</v>
      </c>
      <c r="R3178" t="s">
        <v>2236</v>
      </c>
    </row>
    <row r="3179" spans="17:18" ht="15" customHeight="1" x14ac:dyDescent="0.25">
      <c r="Q3179" t="s">
        <v>4109</v>
      </c>
      <c r="R3179" t="s">
        <v>2236</v>
      </c>
    </row>
    <row r="3180" spans="17:18" ht="15" customHeight="1" x14ac:dyDescent="0.25">
      <c r="Q3180" t="s">
        <v>4110</v>
      </c>
      <c r="R3180" t="s">
        <v>2236</v>
      </c>
    </row>
    <row r="3181" spans="17:18" ht="15" customHeight="1" x14ac:dyDescent="0.25">
      <c r="Q3181" t="s">
        <v>4111</v>
      </c>
      <c r="R3181" t="s">
        <v>2236</v>
      </c>
    </row>
    <row r="3182" spans="17:18" ht="15" customHeight="1" x14ac:dyDescent="0.25">
      <c r="Q3182" t="s">
        <v>4112</v>
      </c>
      <c r="R3182" t="s">
        <v>2236</v>
      </c>
    </row>
    <row r="3183" spans="17:18" ht="15" customHeight="1" x14ac:dyDescent="0.25">
      <c r="Q3183" t="s">
        <v>4113</v>
      </c>
      <c r="R3183" t="s">
        <v>2236</v>
      </c>
    </row>
    <row r="3184" spans="17:18" ht="15" customHeight="1" x14ac:dyDescent="0.25">
      <c r="Q3184" t="s">
        <v>4114</v>
      </c>
      <c r="R3184" t="s">
        <v>2236</v>
      </c>
    </row>
    <row r="3185" spans="17:18" ht="15" customHeight="1" x14ac:dyDescent="0.25">
      <c r="Q3185" t="s">
        <v>4115</v>
      </c>
      <c r="R3185" t="s">
        <v>2236</v>
      </c>
    </row>
    <row r="3186" spans="17:18" ht="15" customHeight="1" x14ac:dyDescent="0.25">
      <c r="Q3186" t="s">
        <v>4116</v>
      </c>
      <c r="R3186" t="s">
        <v>2236</v>
      </c>
    </row>
    <row r="3187" spans="17:18" ht="15" customHeight="1" x14ac:dyDescent="0.25">
      <c r="Q3187" t="s">
        <v>4117</v>
      </c>
      <c r="R3187" t="s">
        <v>2236</v>
      </c>
    </row>
    <row r="3188" spans="17:18" ht="15" customHeight="1" x14ac:dyDescent="0.25">
      <c r="Q3188" t="s">
        <v>4118</v>
      </c>
      <c r="R3188" t="s">
        <v>2236</v>
      </c>
    </row>
    <row r="3189" spans="17:18" ht="15" customHeight="1" x14ac:dyDescent="0.25">
      <c r="Q3189" t="s">
        <v>4119</v>
      </c>
      <c r="R3189" t="s">
        <v>2236</v>
      </c>
    </row>
    <row r="3190" spans="17:18" ht="15" customHeight="1" x14ac:dyDescent="0.25">
      <c r="Q3190" t="s">
        <v>4120</v>
      </c>
      <c r="R3190" t="s">
        <v>2236</v>
      </c>
    </row>
    <row r="3191" spans="17:18" ht="15" customHeight="1" x14ac:dyDescent="0.25">
      <c r="Q3191" t="s">
        <v>4121</v>
      </c>
      <c r="R3191" t="s">
        <v>2236</v>
      </c>
    </row>
    <row r="3192" spans="17:18" ht="15" customHeight="1" x14ac:dyDescent="0.25">
      <c r="Q3192" t="s">
        <v>4122</v>
      </c>
      <c r="R3192" t="s">
        <v>2236</v>
      </c>
    </row>
    <row r="3193" spans="17:18" ht="15" customHeight="1" x14ac:dyDescent="0.25">
      <c r="Q3193" t="s">
        <v>4123</v>
      </c>
      <c r="R3193" t="s">
        <v>2236</v>
      </c>
    </row>
    <row r="3194" spans="17:18" ht="15" customHeight="1" x14ac:dyDescent="0.25">
      <c r="Q3194" t="s">
        <v>4124</v>
      </c>
      <c r="R3194" t="s">
        <v>2236</v>
      </c>
    </row>
    <row r="3195" spans="17:18" ht="15" customHeight="1" x14ac:dyDescent="0.25">
      <c r="Q3195" t="s">
        <v>4125</v>
      </c>
      <c r="R3195" t="s">
        <v>2236</v>
      </c>
    </row>
    <row r="3196" spans="17:18" ht="15" customHeight="1" x14ac:dyDescent="0.25">
      <c r="Q3196" t="s">
        <v>4126</v>
      </c>
      <c r="R3196" t="s">
        <v>2236</v>
      </c>
    </row>
    <row r="3197" spans="17:18" ht="15" customHeight="1" x14ac:dyDescent="0.25">
      <c r="Q3197" t="s">
        <v>4127</v>
      </c>
      <c r="R3197" t="s">
        <v>2236</v>
      </c>
    </row>
    <row r="3198" spans="17:18" ht="15" customHeight="1" x14ac:dyDescent="0.25">
      <c r="Q3198" t="s">
        <v>4128</v>
      </c>
      <c r="R3198" t="s">
        <v>2236</v>
      </c>
    </row>
    <row r="3199" spans="17:18" ht="15" customHeight="1" x14ac:dyDescent="0.25">
      <c r="Q3199" t="s">
        <v>4129</v>
      </c>
      <c r="R3199" t="s">
        <v>2236</v>
      </c>
    </row>
    <row r="3200" spans="17:18" ht="15" customHeight="1" x14ac:dyDescent="0.25">
      <c r="Q3200" t="s">
        <v>4130</v>
      </c>
      <c r="R3200" t="s">
        <v>2236</v>
      </c>
    </row>
    <row r="3201" spans="17:18" ht="15" customHeight="1" x14ac:dyDescent="0.25">
      <c r="Q3201" t="s">
        <v>4131</v>
      </c>
      <c r="R3201" t="s">
        <v>2236</v>
      </c>
    </row>
    <row r="3202" spans="17:18" ht="15" customHeight="1" x14ac:dyDescent="0.25">
      <c r="Q3202" t="s">
        <v>4132</v>
      </c>
      <c r="R3202" t="s">
        <v>2236</v>
      </c>
    </row>
    <row r="3203" spans="17:18" ht="15" customHeight="1" x14ac:dyDescent="0.25">
      <c r="Q3203" t="s">
        <v>4133</v>
      </c>
      <c r="R3203" t="s">
        <v>2236</v>
      </c>
    </row>
    <row r="3204" spans="17:18" ht="15" customHeight="1" x14ac:dyDescent="0.25">
      <c r="Q3204" t="s">
        <v>4134</v>
      </c>
      <c r="R3204" t="s">
        <v>2236</v>
      </c>
    </row>
    <row r="3205" spans="17:18" ht="15" customHeight="1" x14ac:dyDescent="0.25">
      <c r="Q3205" t="s">
        <v>4135</v>
      </c>
      <c r="R3205" t="s">
        <v>2236</v>
      </c>
    </row>
    <row r="3206" spans="17:18" ht="15" customHeight="1" x14ac:dyDescent="0.25">
      <c r="Q3206" t="s">
        <v>4136</v>
      </c>
      <c r="R3206" t="s">
        <v>2236</v>
      </c>
    </row>
    <row r="3207" spans="17:18" ht="15" customHeight="1" x14ac:dyDescent="0.25">
      <c r="Q3207" t="s">
        <v>4137</v>
      </c>
      <c r="R3207" t="s">
        <v>2236</v>
      </c>
    </row>
    <row r="3208" spans="17:18" ht="15" customHeight="1" x14ac:dyDescent="0.25">
      <c r="Q3208" t="s">
        <v>4138</v>
      </c>
      <c r="R3208" t="s">
        <v>2236</v>
      </c>
    </row>
    <row r="3209" spans="17:18" ht="15" customHeight="1" x14ac:dyDescent="0.25">
      <c r="Q3209" t="s">
        <v>4139</v>
      </c>
      <c r="R3209" t="s">
        <v>2236</v>
      </c>
    </row>
    <row r="3210" spans="17:18" ht="15" customHeight="1" x14ac:dyDescent="0.25">
      <c r="Q3210" t="s">
        <v>4140</v>
      </c>
      <c r="R3210" t="s">
        <v>2236</v>
      </c>
    </row>
    <row r="3211" spans="17:18" ht="15" customHeight="1" x14ac:dyDescent="0.25">
      <c r="Q3211" t="s">
        <v>4141</v>
      </c>
      <c r="R3211" t="s">
        <v>2236</v>
      </c>
    </row>
    <row r="3212" spans="17:18" ht="15" customHeight="1" x14ac:dyDescent="0.25">
      <c r="Q3212" t="s">
        <v>4142</v>
      </c>
      <c r="R3212" t="s">
        <v>2236</v>
      </c>
    </row>
    <row r="3213" spans="17:18" ht="15" customHeight="1" x14ac:dyDescent="0.25">
      <c r="Q3213" t="s">
        <v>4143</v>
      </c>
      <c r="R3213" t="s">
        <v>2236</v>
      </c>
    </row>
    <row r="3214" spans="17:18" ht="15" customHeight="1" x14ac:dyDescent="0.25">
      <c r="Q3214" t="s">
        <v>4144</v>
      </c>
      <c r="R3214" t="s">
        <v>2236</v>
      </c>
    </row>
    <row r="3215" spans="17:18" ht="15" customHeight="1" x14ac:dyDescent="0.25">
      <c r="Q3215" t="s">
        <v>4145</v>
      </c>
      <c r="R3215" t="s">
        <v>2236</v>
      </c>
    </row>
    <row r="3216" spans="17:18" ht="15" customHeight="1" x14ac:dyDescent="0.25">
      <c r="Q3216" t="s">
        <v>4146</v>
      </c>
      <c r="R3216" t="s">
        <v>2236</v>
      </c>
    </row>
    <row r="3217" spans="17:18" ht="15" customHeight="1" x14ac:dyDescent="0.25">
      <c r="Q3217" t="s">
        <v>4147</v>
      </c>
      <c r="R3217" t="s">
        <v>2236</v>
      </c>
    </row>
    <row r="3218" spans="17:18" ht="15" customHeight="1" x14ac:dyDescent="0.25">
      <c r="Q3218" t="s">
        <v>4148</v>
      </c>
      <c r="R3218" t="s">
        <v>2236</v>
      </c>
    </row>
    <row r="3219" spans="17:18" ht="15" customHeight="1" x14ac:dyDescent="0.25">
      <c r="Q3219" t="s">
        <v>4149</v>
      </c>
      <c r="R3219" t="s">
        <v>2236</v>
      </c>
    </row>
    <row r="3220" spans="17:18" ht="15" customHeight="1" x14ac:dyDescent="0.25">
      <c r="Q3220" t="s">
        <v>4150</v>
      </c>
      <c r="R3220" t="s">
        <v>2236</v>
      </c>
    </row>
    <row r="3221" spans="17:18" ht="15" customHeight="1" x14ac:dyDescent="0.25">
      <c r="Q3221" t="s">
        <v>4151</v>
      </c>
      <c r="R3221" t="s">
        <v>2236</v>
      </c>
    </row>
    <row r="3222" spans="17:18" ht="15" customHeight="1" x14ac:dyDescent="0.25">
      <c r="Q3222" t="s">
        <v>4152</v>
      </c>
      <c r="R3222" t="s">
        <v>2236</v>
      </c>
    </row>
    <row r="3223" spans="17:18" ht="15" customHeight="1" x14ac:dyDescent="0.25">
      <c r="Q3223" t="s">
        <v>4153</v>
      </c>
      <c r="R3223" t="s">
        <v>2236</v>
      </c>
    </row>
    <row r="3224" spans="17:18" ht="15" customHeight="1" x14ac:dyDescent="0.25">
      <c r="Q3224" t="s">
        <v>4154</v>
      </c>
      <c r="R3224" t="s">
        <v>2236</v>
      </c>
    </row>
    <row r="3225" spans="17:18" ht="15" customHeight="1" x14ac:dyDescent="0.25">
      <c r="Q3225" t="s">
        <v>4155</v>
      </c>
      <c r="R3225" t="s">
        <v>2236</v>
      </c>
    </row>
    <row r="3226" spans="17:18" ht="15" customHeight="1" x14ac:dyDescent="0.25">
      <c r="Q3226" t="s">
        <v>4156</v>
      </c>
      <c r="R3226" t="s">
        <v>2236</v>
      </c>
    </row>
    <row r="3227" spans="17:18" ht="15" customHeight="1" x14ac:dyDescent="0.25">
      <c r="Q3227" t="s">
        <v>4157</v>
      </c>
      <c r="R3227" t="s">
        <v>2236</v>
      </c>
    </row>
    <row r="3228" spans="17:18" ht="15" customHeight="1" x14ac:dyDescent="0.25">
      <c r="Q3228" t="s">
        <v>4158</v>
      </c>
      <c r="R3228" t="s">
        <v>2236</v>
      </c>
    </row>
    <row r="3229" spans="17:18" ht="15" customHeight="1" x14ac:dyDescent="0.25">
      <c r="Q3229" t="s">
        <v>4159</v>
      </c>
      <c r="R3229" t="s">
        <v>2236</v>
      </c>
    </row>
    <row r="3230" spans="17:18" ht="15" customHeight="1" x14ac:dyDescent="0.25">
      <c r="Q3230" t="s">
        <v>4160</v>
      </c>
      <c r="R3230" t="s">
        <v>2236</v>
      </c>
    </row>
    <row r="3231" spans="17:18" ht="15" customHeight="1" x14ac:dyDescent="0.25">
      <c r="Q3231" t="s">
        <v>4161</v>
      </c>
      <c r="R3231" t="s">
        <v>2236</v>
      </c>
    </row>
    <row r="3232" spans="17:18" ht="15" customHeight="1" x14ac:dyDescent="0.25">
      <c r="Q3232" t="s">
        <v>4162</v>
      </c>
      <c r="R3232" t="s">
        <v>2236</v>
      </c>
    </row>
    <row r="3233" spans="17:18" ht="15" customHeight="1" x14ac:dyDescent="0.25">
      <c r="Q3233" t="s">
        <v>4163</v>
      </c>
      <c r="R3233" t="s">
        <v>2236</v>
      </c>
    </row>
    <row r="3234" spans="17:18" ht="15" customHeight="1" x14ac:dyDescent="0.25">
      <c r="Q3234" t="s">
        <v>4164</v>
      </c>
      <c r="R3234" t="s">
        <v>2236</v>
      </c>
    </row>
    <row r="3235" spans="17:18" ht="15" customHeight="1" x14ac:dyDescent="0.25">
      <c r="Q3235" t="s">
        <v>4165</v>
      </c>
      <c r="R3235" t="s">
        <v>2236</v>
      </c>
    </row>
    <row r="3236" spans="17:18" ht="15" customHeight="1" x14ac:dyDescent="0.25">
      <c r="Q3236" t="s">
        <v>4166</v>
      </c>
      <c r="R3236" t="s">
        <v>2236</v>
      </c>
    </row>
    <row r="3237" spans="17:18" ht="15" customHeight="1" x14ac:dyDescent="0.25">
      <c r="Q3237" t="s">
        <v>4167</v>
      </c>
      <c r="R3237" t="s">
        <v>2236</v>
      </c>
    </row>
    <row r="3238" spans="17:18" ht="15" customHeight="1" x14ac:dyDescent="0.25">
      <c r="Q3238" t="s">
        <v>4168</v>
      </c>
      <c r="R3238" t="s">
        <v>2236</v>
      </c>
    </row>
    <row r="3239" spans="17:18" ht="15" customHeight="1" x14ac:dyDescent="0.25">
      <c r="Q3239" t="s">
        <v>4169</v>
      </c>
      <c r="R3239" t="s">
        <v>2236</v>
      </c>
    </row>
    <row r="3240" spans="17:18" ht="15" customHeight="1" x14ac:dyDescent="0.25">
      <c r="Q3240" t="s">
        <v>4170</v>
      </c>
      <c r="R3240" t="s">
        <v>2236</v>
      </c>
    </row>
    <row r="3241" spans="17:18" ht="15" customHeight="1" x14ac:dyDescent="0.25">
      <c r="Q3241" t="s">
        <v>4171</v>
      </c>
      <c r="R3241" t="s">
        <v>2236</v>
      </c>
    </row>
    <row r="3242" spans="17:18" ht="15" customHeight="1" x14ac:dyDescent="0.25">
      <c r="Q3242" t="s">
        <v>4172</v>
      </c>
      <c r="R3242" t="s">
        <v>2236</v>
      </c>
    </row>
    <row r="3243" spans="17:18" ht="15" customHeight="1" x14ac:dyDescent="0.25">
      <c r="Q3243" t="s">
        <v>4173</v>
      </c>
      <c r="R3243" t="s">
        <v>2236</v>
      </c>
    </row>
    <row r="3244" spans="17:18" ht="15" customHeight="1" x14ac:dyDescent="0.25">
      <c r="Q3244" t="s">
        <v>4174</v>
      </c>
      <c r="R3244" t="s">
        <v>2236</v>
      </c>
    </row>
    <row r="3245" spans="17:18" ht="15" customHeight="1" x14ac:dyDescent="0.25">
      <c r="Q3245" t="s">
        <v>4175</v>
      </c>
      <c r="R3245" t="s">
        <v>2236</v>
      </c>
    </row>
    <row r="3246" spans="17:18" ht="15" customHeight="1" x14ac:dyDescent="0.25">
      <c r="Q3246" t="s">
        <v>4176</v>
      </c>
      <c r="R3246" t="s">
        <v>2236</v>
      </c>
    </row>
    <row r="3247" spans="17:18" ht="15" customHeight="1" x14ac:dyDescent="0.25">
      <c r="Q3247" t="s">
        <v>4177</v>
      </c>
      <c r="R3247" t="s">
        <v>2236</v>
      </c>
    </row>
    <row r="3248" spans="17:18" ht="15" customHeight="1" x14ac:dyDescent="0.25">
      <c r="Q3248" t="s">
        <v>4178</v>
      </c>
      <c r="R3248" t="s">
        <v>2236</v>
      </c>
    </row>
    <row r="3249" spans="17:18" ht="15" customHeight="1" x14ac:dyDescent="0.25">
      <c r="Q3249" t="s">
        <v>4179</v>
      </c>
      <c r="R3249" t="s">
        <v>2236</v>
      </c>
    </row>
    <row r="3250" spans="17:18" ht="15" customHeight="1" x14ac:dyDescent="0.25">
      <c r="Q3250" t="s">
        <v>4180</v>
      </c>
      <c r="R3250" t="s">
        <v>2236</v>
      </c>
    </row>
    <row r="3251" spans="17:18" ht="15" customHeight="1" x14ac:dyDescent="0.25">
      <c r="Q3251" t="s">
        <v>4181</v>
      </c>
      <c r="R3251" t="s">
        <v>2236</v>
      </c>
    </row>
    <row r="3252" spans="17:18" ht="15" customHeight="1" x14ac:dyDescent="0.25">
      <c r="Q3252" t="s">
        <v>4182</v>
      </c>
      <c r="R3252" t="s">
        <v>2236</v>
      </c>
    </row>
    <row r="3253" spans="17:18" ht="15" customHeight="1" x14ac:dyDescent="0.25">
      <c r="Q3253" t="s">
        <v>4183</v>
      </c>
      <c r="R3253" t="s">
        <v>2236</v>
      </c>
    </row>
    <row r="3254" spans="17:18" ht="15" customHeight="1" x14ac:dyDescent="0.25">
      <c r="Q3254" t="s">
        <v>4184</v>
      </c>
      <c r="R3254" t="s">
        <v>2236</v>
      </c>
    </row>
    <row r="3255" spans="17:18" ht="15" customHeight="1" x14ac:dyDescent="0.25">
      <c r="Q3255" t="s">
        <v>4185</v>
      </c>
      <c r="R3255" t="s">
        <v>2236</v>
      </c>
    </row>
    <row r="3256" spans="17:18" ht="15" customHeight="1" x14ac:dyDescent="0.25">
      <c r="Q3256" t="s">
        <v>4186</v>
      </c>
      <c r="R3256" t="s">
        <v>2236</v>
      </c>
    </row>
    <row r="3257" spans="17:18" ht="15" customHeight="1" x14ac:dyDescent="0.25">
      <c r="Q3257" t="s">
        <v>4187</v>
      </c>
      <c r="R3257" t="s">
        <v>2236</v>
      </c>
    </row>
    <row r="3258" spans="17:18" ht="15" customHeight="1" x14ac:dyDescent="0.25">
      <c r="Q3258" t="s">
        <v>4188</v>
      </c>
      <c r="R3258" t="s">
        <v>2236</v>
      </c>
    </row>
    <row r="3259" spans="17:18" ht="15" customHeight="1" x14ac:dyDescent="0.25">
      <c r="Q3259" t="s">
        <v>4189</v>
      </c>
      <c r="R3259" t="s">
        <v>2236</v>
      </c>
    </row>
    <row r="3260" spans="17:18" ht="15" customHeight="1" x14ac:dyDescent="0.25">
      <c r="Q3260" t="s">
        <v>4190</v>
      </c>
      <c r="R3260" t="s">
        <v>2236</v>
      </c>
    </row>
    <row r="3261" spans="17:18" ht="15" customHeight="1" x14ac:dyDescent="0.25">
      <c r="Q3261" t="s">
        <v>4191</v>
      </c>
      <c r="R3261" t="s">
        <v>2236</v>
      </c>
    </row>
    <row r="3262" spans="17:18" ht="15" customHeight="1" x14ac:dyDescent="0.25">
      <c r="Q3262" t="s">
        <v>4192</v>
      </c>
      <c r="R3262" t="s">
        <v>2236</v>
      </c>
    </row>
    <row r="3263" spans="17:18" ht="15" customHeight="1" x14ac:dyDescent="0.25">
      <c r="Q3263" t="s">
        <v>4193</v>
      </c>
      <c r="R3263" t="s">
        <v>2236</v>
      </c>
    </row>
    <row r="3264" spans="17:18" ht="15" customHeight="1" x14ac:dyDescent="0.25">
      <c r="Q3264" t="s">
        <v>4194</v>
      </c>
      <c r="R3264" t="s">
        <v>2236</v>
      </c>
    </row>
    <row r="3265" spans="17:18" ht="15" customHeight="1" x14ac:dyDescent="0.25">
      <c r="Q3265" t="s">
        <v>4195</v>
      </c>
      <c r="R3265" t="s">
        <v>2236</v>
      </c>
    </row>
    <row r="3266" spans="17:18" ht="15" customHeight="1" x14ac:dyDescent="0.25">
      <c r="Q3266" t="s">
        <v>4196</v>
      </c>
      <c r="R3266" t="s">
        <v>2236</v>
      </c>
    </row>
    <row r="3267" spans="17:18" ht="15" customHeight="1" x14ac:dyDescent="0.25">
      <c r="Q3267" t="s">
        <v>4197</v>
      </c>
      <c r="R3267" t="s">
        <v>2236</v>
      </c>
    </row>
    <row r="3268" spans="17:18" ht="15" customHeight="1" x14ac:dyDescent="0.25">
      <c r="Q3268" t="s">
        <v>4198</v>
      </c>
      <c r="R3268" t="s">
        <v>2236</v>
      </c>
    </row>
    <row r="3269" spans="17:18" ht="15" customHeight="1" x14ac:dyDescent="0.25">
      <c r="Q3269" t="s">
        <v>4199</v>
      </c>
      <c r="R3269" t="s">
        <v>2236</v>
      </c>
    </row>
    <row r="3270" spans="17:18" ht="15" customHeight="1" x14ac:dyDescent="0.25">
      <c r="Q3270" t="s">
        <v>4200</v>
      </c>
      <c r="R3270" t="s">
        <v>2236</v>
      </c>
    </row>
    <row r="3271" spans="17:18" ht="15" customHeight="1" x14ac:dyDescent="0.25">
      <c r="Q3271" t="s">
        <v>4201</v>
      </c>
      <c r="R3271" t="s">
        <v>2236</v>
      </c>
    </row>
    <row r="3272" spans="17:18" ht="15" customHeight="1" x14ac:dyDescent="0.25">
      <c r="Q3272" t="s">
        <v>4202</v>
      </c>
      <c r="R3272" t="s">
        <v>2236</v>
      </c>
    </row>
    <row r="3273" spans="17:18" ht="15" customHeight="1" x14ac:dyDescent="0.25">
      <c r="Q3273" t="s">
        <v>4203</v>
      </c>
      <c r="R3273" t="s">
        <v>2236</v>
      </c>
    </row>
    <row r="3274" spans="17:18" ht="15" customHeight="1" x14ac:dyDescent="0.25">
      <c r="Q3274" t="s">
        <v>4204</v>
      </c>
      <c r="R3274" t="s">
        <v>2236</v>
      </c>
    </row>
    <row r="3275" spans="17:18" ht="15" customHeight="1" x14ac:dyDescent="0.25">
      <c r="Q3275" t="s">
        <v>4205</v>
      </c>
      <c r="R3275" t="s">
        <v>2236</v>
      </c>
    </row>
    <row r="3276" spans="17:18" ht="15" customHeight="1" x14ac:dyDescent="0.25">
      <c r="Q3276" t="s">
        <v>4206</v>
      </c>
      <c r="R3276" t="s">
        <v>2236</v>
      </c>
    </row>
    <row r="3277" spans="17:18" ht="15" customHeight="1" x14ac:dyDescent="0.25">
      <c r="Q3277" t="s">
        <v>4207</v>
      </c>
      <c r="R3277" t="s">
        <v>2236</v>
      </c>
    </row>
    <row r="3278" spans="17:18" ht="15" customHeight="1" x14ac:dyDescent="0.25">
      <c r="Q3278" t="s">
        <v>4208</v>
      </c>
      <c r="R3278" t="s">
        <v>2236</v>
      </c>
    </row>
    <row r="3279" spans="17:18" ht="15" customHeight="1" x14ac:dyDescent="0.25">
      <c r="Q3279" t="s">
        <v>4209</v>
      </c>
      <c r="R3279" t="s">
        <v>2236</v>
      </c>
    </row>
    <row r="3280" spans="17:18" ht="15" customHeight="1" x14ac:dyDescent="0.25">
      <c r="Q3280" t="s">
        <v>4210</v>
      </c>
      <c r="R3280" t="s">
        <v>2236</v>
      </c>
    </row>
    <row r="3281" spans="17:18" ht="15" customHeight="1" x14ac:dyDescent="0.25">
      <c r="Q3281" t="s">
        <v>4211</v>
      </c>
      <c r="R3281" t="s">
        <v>2236</v>
      </c>
    </row>
    <row r="3282" spans="17:18" ht="15" customHeight="1" x14ac:dyDescent="0.25">
      <c r="Q3282" t="s">
        <v>4212</v>
      </c>
      <c r="R3282" t="s">
        <v>2236</v>
      </c>
    </row>
    <row r="3283" spans="17:18" ht="15" customHeight="1" x14ac:dyDescent="0.25">
      <c r="Q3283" t="s">
        <v>4213</v>
      </c>
      <c r="R3283" t="s">
        <v>4214</v>
      </c>
    </row>
    <row r="3284" spans="17:18" ht="15" customHeight="1" x14ac:dyDescent="0.25">
      <c r="Q3284" t="s">
        <v>4215</v>
      </c>
      <c r="R3284" t="s">
        <v>2236</v>
      </c>
    </row>
    <row r="3285" spans="17:18" ht="15" customHeight="1" x14ac:dyDescent="0.25">
      <c r="Q3285" t="s">
        <v>4216</v>
      </c>
      <c r="R3285" t="s">
        <v>2236</v>
      </c>
    </row>
    <row r="3286" spans="17:18" ht="15" customHeight="1" x14ac:dyDescent="0.25">
      <c r="Q3286" t="s">
        <v>4217</v>
      </c>
      <c r="R3286" t="s">
        <v>2236</v>
      </c>
    </row>
    <row r="3287" spans="17:18" ht="15" customHeight="1" x14ac:dyDescent="0.25">
      <c r="Q3287" t="s">
        <v>4218</v>
      </c>
      <c r="R3287" t="s">
        <v>2236</v>
      </c>
    </row>
    <row r="3288" spans="17:18" ht="15" customHeight="1" x14ac:dyDescent="0.25">
      <c r="Q3288" t="s">
        <v>4219</v>
      </c>
      <c r="R3288" t="s">
        <v>4214</v>
      </c>
    </row>
    <row r="3289" spans="17:18" ht="15" customHeight="1" x14ac:dyDescent="0.25">
      <c r="Q3289" t="s">
        <v>4220</v>
      </c>
      <c r="R3289" t="s">
        <v>4214</v>
      </c>
    </row>
    <row r="3290" spans="17:18" ht="15" customHeight="1" x14ac:dyDescent="0.25">
      <c r="Q3290" t="s">
        <v>4221</v>
      </c>
      <c r="R3290" t="s">
        <v>4214</v>
      </c>
    </row>
    <row r="3291" spans="17:18" ht="15" customHeight="1" x14ac:dyDescent="0.25">
      <c r="Q3291" t="s">
        <v>4222</v>
      </c>
      <c r="R3291" t="s">
        <v>4214</v>
      </c>
    </row>
    <row r="3292" spans="17:18" ht="15" customHeight="1" x14ac:dyDescent="0.25">
      <c r="Q3292" t="s">
        <v>4223</v>
      </c>
      <c r="R3292" t="s">
        <v>4214</v>
      </c>
    </row>
    <row r="3293" spans="17:18" ht="15" customHeight="1" x14ac:dyDescent="0.25">
      <c r="Q3293" t="s">
        <v>4224</v>
      </c>
      <c r="R3293" t="s">
        <v>4214</v>
      </c>
    </row>
    <row r="3294" spans="17:18" ht="15" customHeight="1" x14ac:dyDescent="0.25">
      <c r="Q3294" t="s">
        <v>4225</v>
      </c>
      <c r="R3294" t="s">
        <v>4214</v>
      </c>
    </row>
    <row r="3295" spans="17:18" ht="15" customHeight="1" x14ac:dyDescent="0.25">
      <c r="Q3295" t="s">
        <v>4226</v>
      </c>
      <c r="R3295" t="s">
        <v>4214</v>
      </c>
    </row>
    <row r="3296" spans="17:18" ht="15" customHeight="1" x14ac:dyDescent="0.25">
      <c r="Q3296" t="s">
        <v>4227</v>
      </c>
      <c r="R3296" t="s">
        <v>4214</v>
      </c>
    </row>
    <row r="3297" spans="17:18" ht="15" customHeight="1" x14ac:dyDescent="0.25">
      <c r="Q3297" t="s">
        <v>4228</v>
      </c>
      <c r="R3297" t="s">
        <v>2236</v>
      </c>
    </row>
    <row r="3298" spans="17:18" ht="15" customHeight="1" x14ac:dyDescent="0.25">
      <c r="Q3298" t="s">
        <v>4229</v>
      </c>
      <c r="R3298" t="s">
        <v>4214</v>
      </c>
    </row>
    <row r="3299" spans="17:18" ht="15" customHeight="1" x14ac:dyDescent="0.25">
      <c r="Q3299" t="s">
        <v>4230</v>
      </c>
      <c r="R3299" t="s">
        <v>4214</v>
      </c>
    </row>
    <row r="3300" spans="17:18" ht="15" customHeight="1" x14ac:dyDescent="0.25">
      <c r="Q3300" t="s">
        <v>4231</v>
      </c>
      <c r="R3300" t="s">
        <v>4214</v>
      </c>
    </row>
    <row r="3301" spans="17:18" ht="15" customHeight="1" x14ac:dyDescent="0.25">
      <c r="Q3301" t="s">
        <v>4232</v>
      </c>
      <c r="R3301" t="s">
        <v>2236</v>
      </c>
    </row>
    <row r="3302" spans="17:18" ht="15" customHeight="1" x14ac:dyDescent="0.25">
      <c r="Q3302" t="s">
        <v>4233</v>
      </c>
      <c r="R3302" t="s">
        <v>2236</v>
      </c>
    </row>
    <row r="3303" spans="17:18" ht="15" customHeight="1" x14ac:dyDescent="0.25">
      <c r="Q3303" t="s">
        <v>4234</v>
      </c>
      <c r="R3303" t="s">
        <v>2236</v>
      </c>
    </row>
    <row r="3304" spans="17:18" ht="15" customHeight="1" x14ac:dyDescent="0.25">
      <c r="Q3304" t="s">
        <v>4235</v>
      </c>
      <c r="R3304" t="s">
        <v>2236</v>
      </c>
    </row>
    <row r="3305" spans="17:18" ht="15" customHeight="1" x14ac:dyDescent="0.25">
      <c r="Q3305" t="s">
        <v>4236</v>
      </c>
      <c r="R3305" t="s">
        <v>2236</v>
      </c>
    </row>
    <row r="3306" spans="17:18" ht="15" customHeight="1" x14ac:dyDescent="0.25">
      <c r="Q3306" t="s">
        <v>4237</v>
      </c>
      <c r="R3306" t="s">
        <v>2236</v>
      </c>
    </row>
    <row r="3307" spans="17:18" ht="15" customHeight="1" x14ac:dyDescent="0.25">
      <c r="Q3307" t="s">
        <v>4238</v>
      </c>
      <c r="R3307" t="s">
        <v>2236</v>
      </c>
    </row>
    <row r="3308" spans="17:18" ht="15" customHeight="1" x14ac:dyDescent="0.25">
      <c r="Q3308" t="s">
        <v>4239</v>
      </c>
      <c r="R3308" t="s">
        <v>2236</v>
      </c>
    </row>
    <row r="3309" spans="17:18" ht="15" customHeight="1" x14ac:dyDescent="0.25">
      <c r="Q3309" t="s">
        <v>4240</v>
      </c>
      <c r="R3309" t="s">
        <v>2236</v>
      </c>
    </row>
    <row r="3310" spans="17:18" ht="15" customHeight="1" x14ac:dyDescent="0.25">
      <c r="Q3310" t="s">
        <v>4241</v>
      </c>
      <c r="R3310" t="s">
        <v>2236</v>
      </c>
    </row>
    <row r="3311" spans="17:18" ht="15" customHeight="1" x14ac:dyDescent="0.25">
      <c r="Q3311" t="s">
        <v>4242</v>
      </c>
      <c r="R3311" t="s">
        <v>2236</v>
      </c>
    </row>
    <row r="3312" spans="17:18" ht="15" customHeight="1" x14ac:dyDescent="0.25">
      <c r="Q3312" t="s">
        <v>4243</v>
      </c>
      <c r="R3312" t="s">
        <v>2236</v>
      </c>
    </row>
    <row r="3313" spans="17:18" ht="15" customHeight="1" x14ac:dyDescent="0.25">
      <c r="Q3313" t="s">
        <v>4244</v>
      </c>
      <c r="R3313" t="s">
        <v>2236</v>
      </c>
    </row>
    <row r="3314" spans="17:18" ht="15" customHeight="1" x14ac:dyDescent="0.25">
      <c r="Q3314" t="s">
        <v>4245</v>
      </c>
      <c r="R3314" t="s">
        <v>2236</v>
      </c>
    </row>
    <row r="3315" spans="17:18" ht="15" customHeight="1" x14ac:dyDescent="0.25">
      <c r="Q3315" t="s">
        <v>4246</v>
      </c>
      <c r="R3315" t="s">
        <v>2236</v>
      </c>
    </row>
    <row r="3316" spans="17:18" ht="15" customHeight="1" x14ac:dyDescent="0.25">
      <c r="Q3316" t="s">
        <v>4247</v>
      </c>
      <c r="R3316" t="s">
        <v>2236</v>
      </c>
    </row>
    <row r="3317" spans="17:18" ht="15" customHeight="1" x14ac:dyDescent="0.25">
      <c r="Q3317" t="s">
        <v>4248</v>
      </c>
      <c r="R3317" t="s">
        <v>2236</v>
      </c>
    </row>
    <row r="3318" spans="17:18" ht="15" customHeight="1" x14ac:dyDescent="0.25">
      <c r="Q3318" t="s">
        <v>4249</v>
      </c>
      <c r="R3318" t="s">
        <v>2236</v>
      </c>
    </row>
    <row r="3319" spans="17:18" ht="15" customHeight="1" x14ac:dyDescent="0.25">
      <c r="Q3319" t="s">
        <v>4250</v>
      </c>
      <c r="R3319" t="s">
        <v>2236</v>
      </c>
    </row>
    <row r="3320" spans="17:18" ht="15" customHeight="1" x14ac:dyDescent="0.25">
      <c r="Q3320" t="s">
        <v>4251</v>
      </c>
      <c r="R3320" t="s">
        <v>2236</v>
      </c>
    </row>
    <row r="3321" spans="17:18" ht="15" customHeight="1" x14ac:dyDescent="0.25">
      <c r="Q3321" t="s">
        <v>4252</v>
      </c>
      <c r="R3321" t="s">
        <v>2236</v>
      </c>
    </row>
    <row r="3322" spans="17:18" ht="15" customHeight="1" x14ac:dyDescent="0.25">
      <c r="Q3322" t="s">
        <v>4253</v>
      </c>
      <c r="R3322" t="s">
        <v>2236</v>
      </c>
    </row>
    <row r="3323" spans="17:18" ht="15" customHeight="1" x14ac:dyDescent="0.25">
      <c r="Q3323" t="s">
        <v>4254</v>
      </c>
      <c r="R3323" t="s">
        <v>2236</v>
      </c>
    </row>
    <row r="3324" spans="17:18" ht="15" customHeight="1" x14ac:dyDescent="0.25">
      <c r="Q3324" t="s">
        <v>4255</v>
      </c>
      <c r="R3324" t="s">
        <v>2236</v>
      </c>
    </row>
    <row r="3325" spans="17:18" ht="15" customHeight="1" x14ac:dyDescent="0.25">
      <c r="Q3325" t="s">
        <v>4256</v>
      </c>
      <c r="R3325" t="s">
        <v>2618</v>
      </c>
    </row>
    <row r="3326" spans="17:18" ht="15" customHeight="1" x14ac:dyDescent="0.25">
      <c r="Q3326" t="s">
        <v>4257</v>
      </c>
      <c r="R3326" t="s">
        <v>2236</v>
      </c>
    </row>
    <row r="3327" spans="17:18" ht="15" customHeight="1" x14ac:dyDescent="0.25">
      <c r="Q3327" t="s">
        <v>4258</v>
      </c>
      <c r="R3327" t="s">
        <v>2236</v>
      </c>
    </row>
    <row r="3328" spans="17:18" ht="15" customHeight="1" x14ac:dyDescent="0.25">
      <c r="Q3328" t="s">
        <v>4259</v>
      </c>
      <c r="R3328" t="s">
        <v>2236</v>
      </c>
    </row>
    <row r="3329" spans="17:18" ht="15" customHeight="1" x14ac:dyDescent="0.25">
      <c r="Q3329" t="s">
        <v>4260</v>
      </c>
      <c r="R3329" t="s">
        <v>2236</v>
      </c>
    </row>
    <row r="3330" spans="17:18" ht="15" customHeight="1" x14ac:dyDescent="0.25">
      <c r="Q3330" t="s">
        <v>4261</v>
      </c>
      <c r="R3330" t="s">
        <v>2236</v>
      </c>
    </row>
    <row r="3331" spans="17:18" ht="15" customHeight="1" x14ac:dyDescent="0.25">
      <c r="Q3331" t="s">
        <v>4262</v>
      </c>
      <c r="R3331" t="s">
        <v>2236</v>
      </c>
    </row>
    <row r="3332" spans="17:18" ht="15" customHeight="1" x14ac:dyDescent="0.25">
      <c r="Q3332" t="s">
        <v>4263</v>
      </c>
      <c r="R3332" t="s">
        <v>2236</v>
      </c>
    </row>
    <row r="3333" spans="17:18" ht="15" customHeight="1" x14ac:dyDescent="0.25">
      <c r="Q3333" t="s">
        <v>4264</v>
      </c>
      <c r="R3333" t="s">
        <v>2236</v>
      </c>
    </row>
    <row r="3334" spans="17:18" ht="15" customHeight="1" x14ac:dyDescent="0.25">
      <c r="Q3334" t="s">
        <v>4265</v>
      </c>
      <c r="R3334" t="s">
        <v>2236</v>
      </c>
    </row>
    <row r="3335" spans="17:18" ht="15" customHeight="1" x14ac:dyDescent="0.25">
      <c r="Q3335" t="s">
        <v>4266</v>
      </c>
      <c r="R3335" t="s">
        <v>2236</v>
      </c>
    </row>
    <row r="3336" spans="17:18" ht="15" customHeight="1" x14ac:dyDescent="0.25">
      <c r="Q3336" t="s">
        <v>4267</v>
      </c>
      <c r="R3336" t="s">
        <v>2236</v>
      </c>
    </row>
    <row r="3337" spans="17:18" ht="15" customHeight="1" x14ac:dyDescent="0.25">
      <c r="Q3337" t="s">
        <v>4268</v>
      </c>
      <c r="R3337" t="s">
        <v>3147</v>
      </c>
    </row>
    <row r="3338" spans="17:18" ht="15" customHeight="1" x14ac:dyDescent="0.25">
      <c r="Q3338" t="s">
        <v>4269</v>
      </c>
      <c r="R3338" t="s">
        <v>2236</v>
      </c>
    </row>
    <row r="3339" spans="17:18" ht="15" customHeight="1" x14ac:dyDescent="0.25">
      <c r="Q3339" t="s">
        <v>4270</v>
      </c>
      <c r="R3339" t="s">
        <v>2236</v>
      </c>
    </row>
    <row r="3340" spans="17:18" ht="15" customHeight="1" x14ac:dyDescent="0.25">
      <c r="Q3340" t="s">
        <v>4271</v>
      </c>
      <c r="R3340" t="s">
        <v>2236</v>
      </c>
    </row>
    <row r="3341" spans="17:18" ht="15" customHeight="1" x14ac:dyDescent="0.25">
      <c r="Q3341" t="s">
        <v>4272</v>
      </c>
      <c r="R3341" t="s">
        <v>2236</v>
      </c>
    </row>
    <row r="3342" spans="17:18" ht="15" customHeight="1" x14ac:dyDescent="0.25">
      <c r="Q3342" t="s">
        <v>4273</v>
      </c>
      <c r="R3342" t="s">
        <v>2236</v>
      </c>
    </row>
    <row r="3343" spans="17:18" ht="15" customHeight="1" x14ac:dyDescent="0.25">
      <c r="Q3343" t="s">
        <v>4274</v>
      </c>
      <c r="R3343" t="s">
        <v>2236</v>
      </c>
    </row>
    <row r="3344" spans="17:18" ht="15" customHeight="1" x14ac:dyDescent="0.25">
      <c r="Q3344" t="s">
        <v>4275</v>
      </c>
      <c r="R3344" t="s">
        <v>2236</v>
      </c>
    </row>
    <row r="3345" spans="17:18" ht="15" customHeight="1" x14ac:dyDescent="0.25">
      <c r="Q3345" t="s">
        <v>4276</v>
      </c>
      <c r="R3345" t="s">
        <v>2236</v>
      </c>
    </row>
    <row r="3346" spans="17:18" ht="15" customHeight="1" x14ac:dyDescent="0.25">
      <c r="Q3346" t="s">
        <v>4277</v>
      </c>
      <c r="R3346" t="s">
        <v>2236</v>
      </c>
    </row>
    <row r="3347" spans="17:18" ht="15" customHeight="1" x14ac:dyDescent="0.25">
      <c r="Q3347" t="s">
        <v>4278</v>
      </c>
      <c r="R3347" t="s">
        <v>2236</v>
      </c>
    </row>
    <row r="3348" spans="17:18" ht="15" customHeight="1" x14ac:dyDescent="0.25">
      <c r="Q3348" t="s">
        <v>4279</v>
      </c>
      <c r="R3348" t="s">
        <v>2236</v>
      </c>
    </row>
    <row r="3349" spans="17:18" ht="15" customHeight="1" x14ac:dyDescent="0.25">
      <c r="Q3349" t="s">
        <v>4280</v>
      </c>
      <c r="R3349" t="s">
        <v>2236</v>
      </c>
    </row>
    <row r="3350" spans="17:18" ht="15" customHeight="1" x14ac:dyDescent="0.25">
      <c r="Q3350" t="s">
        <v>4281</v>
      </c>
      <c r="R3350" t="s">
        <v>2236</v>
      </c>
    </row>
    <row r="3351" spans="17:18" ht="15" customHeight="1" x14ac:dyDescent="0.25">
      <c r="Q3351" t="s">
        <v>4282</v>
      </c>
      <c r="R3351" t="s">
        <v>2236</v>
      </c>
    </row>
    <row r="3352" spans="17:18" ht="15" customHeight="1" x14ac:dyDescent="0.25">
      <c r="Q3352" t="s">
        <v>4283</v>
      </c>
      <c r="R3352" t="s">
        <v>2236</v>
      </c>
    </row>
    <row r="3353" spans="17:18" ht="15" customHeight="1" x14ac:dyDescent="0.25">
      <c r="Q3353" t="s">
        <v>4284</v>
      </c>
      <c r="R3353" t="s">
        <v>2236</v>
      </c>
    </row>
    <row r="3354" spans="17:18" ht="15" customHeight="1" x14ac:dyDescent="0.25">
      <c r="Q3354" t="s">
        <v>4285</v>
      </c>
      <c r="R3354" t="s">
        <v>2236</v>
      </c>
    </row>
    <row r="3355" spans="17:18" ht="15" customHeight="1" x14ac:dyDescent="0.25">
      <c r="Q3355" t="s">
        <v>4286</v>
      </c>
      <c r="R3355" t="s">
        <v>2236</v>
      </c>
    </row>
    <row r="3356" spans="17:18" ht="15" customHeight="1" x14ac:dyDescent="0.25">
      <c r="Q3356" t="s">
        <v>4287</v>
      </c>
      <c r="R3356" t="s">
        <v>2236</v>
      </c>
    </row>
    <row r="3357" spans="17:18" ht="15" customHeight="1" x14ac:dyDescent="0.25">
      <c r="Q3357" t="s">
        <v>4288</v>
      </c>
      <c r="R3357" t="s">
        <v>2236</v>
      </c>
    </row>
    <row r="3358" spans="17:18" ht="15" customHeight="1" x14ac:dyDescent="0.25">
      <c r="Q3358" t="s">
        <v>4289</v>
      </c>
      <c r="R3358" t="s">
        <v>2236</v>
      </c>
    </row>
    <row r="3359" spans="17:18" ht="15" customHeight="1" x14ac:dyDescent="0.25">
      <c r="Q3359" t="s">
        <v>4290</v>
      </c>
      <c r="R3359" t="s">
        <v>2236</v>
      </c>
    </row>
    <row r="3360" spans="17:18" ht="15" customHeight="1" x14ac:dyDescent="0.25">
      <c r="Q3360" t="s">
        <v>4291</v>
      </c>
      <c r="R3360" t="s">
        <v>2236</v>
      </c>
    </row>
    <row r="3361" spans="17:18" ht="15" customHeight="1" x14ac:dyDescent="0.25">
      <c r="Q3361" t="s">
        <v>4292</v>
      </c>
      <c r="R3361" t="s">
        <v>2236</v>
      </c>
    </row>
    <row r="3362" spans="17:18" ht="15" customHeight="1" x14ac:dyDescent="0.25">
      <c r="Q3362" t="s">
        <v>4293</v>
      </c>
      <c r="R3362" t="s">
        <v>2236</v>
      </c>
    </row>
    <row r="3363" spans="17:18" ht="15" customHeight="1" x14ac:dyDescent="0.25">
      <c r="Q3363" t="s">
        <v>4294</v>
      </c>
      <c r="R3363" t="s">
        <v>2236</v>
      </c>
    </row>
    <row r="3364" spans="17:18" ht="15" customHeight="1" x14ac:dyDescent="0.25">
      <c r="Q3364" t="s">
        <v>4295</v>
      </c>
      <c r="R3364" t="s">
        <v>2236</v>
      </c>
    </row>
    <row r="3365" spans="17:18" ht="15" customHeight="1" x14ac:dyDescent="0.25">
      <c r="Q3365" t="s">
        <v>4296</v>
      </c>
      <c r="R3365" t="s">
        <v>2236</v>
      </c>
    </row>
    <row r="3366" spans="17:18" ht="15" customHeight="1" x14ac:dyDescent="0.25">
      <c r="Q3366" t="s">
        <v>4297</v>
      </c>
      <c r="R3366" t="s">
        <v>2236</v>
      </c>
    </row>
    <row r="3367" spans="17:18" ht="15" customHeight="1" x14ac:dyDescent="0.25">
      <c r="Q3367" t="s">
        <v>4298</v>
      </c>
      <c r="R3367" t="s">
        <v>2236</v>
      </c>
    </row>
    <row r="3368" spans="17:18" ht="15" customHeight="1" x14ac:dyDescent="0.25">
      <c r="Q3368" t="s">
        <v>4299</v>
      </c>
      <c r="R3368" t="s">
        <v>2236</v>
      </c>
    </row>
    <row r="3369" spans="17:18" ht="15" customHeight="1" x14ac:dyDescent="0.25">
      <c r="Q3369" t="s">
        <v>4300</v>
      </c>
      <c r="R3369" t="s">
        <v>2236</v>
      </c>
    </row>
    <row r="3370" spans="17:18" ht="15" customHeight="1" x14ac:dyDescent="0.25">
      <c r="Q3370" t="s">
        <v>4301</v>
      </c>
      <c r="R3370" t="s">
        <v>2236</v>
      </c>
    </row>
    <row r="3371" spans="17:18" ht="15" customHeight="1" x14ac:dyDescent="0.25">
      <c r="Q3371" t="s">
        <v>4302</v>
      </c>
      <c r="R3371" t="s">
        <v>2236</v>
      </c>
    </row>
    <row r="3372" spans="17:18" ht="15" customHeight="1" x14ac:dyDescent="0.25">
      <c r="Q3372" t="s">
        <v>4303</v>
      </c>
      <c r="R3372" t="s">
        <v>2236</v>
      </c>
    </row>
    <row r="3373" spans="17:18" ht="15" customHeight="1" x14ac:dyDescent="0.25">
      <c r="Q3373" t="s">
        <v>4304</v>
      </c>
      <c r="R3373" t="s">
        <v>2236</v>
      </c>
    </row>
    <row r="3374" spans="17:18" ht="15" customHeight="1" x14ac:dyDescent="0.25">
      <c r="Q3374" t="s">
        <v>4305</v>
      </c>
      <c r="R3374" t="s">
        <v>2236</v>
      </c>
    </row>
    <row r="3375" spans="17:18" ht="15" customHeight="1" x14ac:dyDescent="0.25">
      <c r="Q3375" t="s">
        <v>4306</v>
      </c>
      <c r="R3375" t="s">
        <v>2236</v>
      </c>
    </row>
    <row r="3376" spans="17:18" ht="15" customHeight="1" x14ac:dyDescent="0.25">
      <c r="Q3376" t="s">
        <v>4307</v>
      </c>
      <c r="R3376" t="s">
        <v>2236</v>
      </c>
    </row>
    <row r="3377" spans="17:18" ht="15" customHeight="1" x14ac:dyDescent="0.25">
      <c r="Q3377" t="s">
        <v>4308</v>
      </c>
      <c r="R3377" t="s">
        <v>2236</v>
      </c>
    </row>
    <row r="3378" spans="17:18" ht="15" customHeight="1" x14ac:dyDescent="0.25">
      <c r="Q3378" t="s">
        <v>4309</v>
      </c>
      <c r="R3378" t="s">
        <v>2236</v>
      </c>
    </row>
    <row r="3379" spans="17:18" ht="15" customHeight="1" x14ac:dyDescent="0.25">
      <c r="Q3379" t="s">
        <v>4310</v>
      </c>
      <c r="R3379" t="s">
        <v>2618</v>
      </c>
    </row>
    <row r="3380" spans="17:18" ht="15" customHeight="1" x14ac:dyDescent="0.25">
      <c r="Q3380" t="s">
        <v>4311</v>
      </c>
      <c r="R3380" t="s">
        <v>2236</v>
      </c>
    </row>
    <row r="3381" spans="17:18" ht="15" customHeight="1" x14ac:dyDescent="0.25">
      <c r="Q3381" t="s">
        <v>4312</v>
      </c>
      <c r="R3381" t="s">
        <v>2236</v>
      </c>
    </row>
    <row r="3382" spans="17:18" ht="15" customHeight="1" x14ac:dyDescent="0.25">
      <c r="Q3382" t="s">
        <v>4313</v>
      </c>
      <c r="R3382" t="s">
        <v>2236</v>
      </c>
    </row>
    <row r="3383" spans="17:18" ht="15" customHeight="1" x14ac:dyDescent="0.25">
      <c r="Q3383" t="s">
        <v>4314</v>
      </c>
      <c r="R3383" t="s">
        <v>2236</v>
      </c>
    </row>
    <row r="3384" spans="17:18" ht="15" customHeight="1" x14ac:dyDescent="0.25">
      <c r="Q3384" t="s">
        <v>4315</v>
      </c>
      <c r="R3384" t="s">
        <v>2236</v>
      </c>
    </row>
    <row r="3385" spans="17:18" ht="15" customHeight="1" x14ac:dyDescent="0.25">
      <c r="Q3385" t="s">
        <v>4316</v>
      </c>
      <c r="R3385" t="s">
        <v>2236</v>
      </c>
    </row>
    <row r="3386" spans="17:18" ht="15" customHeight="1" x14ac:dyDescent="0.25">
      <c r="Q3386" t="s">
        <v>4317</v>
      </c>
      <c r="R3386" t="s">
        <v>2236</v>
      </c>
    </row>
    <row r="3387" spans="17:18" ht="15" customHeight="1" x14ac:dyDescent="0.25">
      <c r="Q3387" t="s">
        <v>4318</v>
      </c>
      <c r="R3387" t="s">
        <v>2236</v>
      </c>
    </row>
    <row r="3388" spans="17:18" ht="15" customHeight="1" x14ac:dyDescent="0.25">
      <c r="Q3388" t="s">
        <v>4319</v>
      </c>
      <c r="R3388" t="s">
        <v>2236</v>
      </c>
    </row>
    <row r="3389" spans="17:18" ht="15" customHeight="1" x14ac:dyDescent="0.25">
      <c r="Q3389" t="s">
        <v>4320</v>
      </c>
      <c r="R3389" t="s">
        <v>2236</v>
      </c>
    </row>
    <row r="3390" spans="17:18" ht="15" customHeight="1" x14ac:dyDescent="0.25">
      <c r="Q3390" t="s">
        <v>4321</v>
      </c>
      <c r="R3390" t="s">
        <v>2236</v>
      </c>
    </row>
    <row r="3391" spans="17:18" ht="15" customHeight="1" x14ac:dyDescent="0.25">
      <c r="Q3391" t="s">
        <v>4322</v>
      </c>
      <c r="R3391" t="s">
        <v>2236</v>
      </c>
    </row>
    <row r="3392" spans="17:18" ht="15" customHeight="1" x14ac:dyDescent="0.25">
      <c r="Q3392" t="s">
        <v>4323</v>
      </c>
      <c r="R3392" t="s">
        <v>2236</v>
      </c>
    </row>
    <row r="3393" spans="17:18" ht="15" customHeight="1" x14ac:dyDescent="0.25">
      <c r="Q3393" t="s">
        <v>4324</v>
      </c>
      <c r="R3393" t="s">
        <v>2236</v>
      </c>
    </row>
    <row r="3394" spans="17:18" ht="15" customHeight="1" x14ac:dyDescent="0.25">
      <c r="Q3394" t="s">
        <v>4325</v>
      </c>
      <c r="R3394" t="s">
        <v>2236</v>
      </c>
    </row>
    <row r="3395" spans="17:18" ht="15" customHeight="1" x14ac:dyDescent="0.25">
      <c r="Q3395" t="s">
        <v>4326</v>
      </c>
      <c r="R3395" t="s">
        <v>2236</v>
      </c>
    </row>
    <row r="3396" spans="17:18" ht="15" customHeight="1" x14ac:dyDescent="0.25">
      <c r="Q3396" t="s">
        <v>4327</v>
      </c>
      <c r="R3396" t="s">
        <v>2236</v>
      </c>
    </row>
    <row r="3397" spans="17:18" ht="15" customHeight="1" x14ac:dyDescent="0.25">
      <c r="Q3397" t="s">
        <v>4328</v>
      </c>
      <c r="R3397" t="s">
        <v>2236</v>
      </c>
    </row>
    <row r="3398" spans="17:18" ht="15" customHeight="1" x14ac:dyDescent="0.25">
      <c r="Q3398" t="s">
        <v>4329</v>
      </c>
      <c r="R3398" t="s">
        <v>2236</v>
      </c>
    </row>
    <row r="3399" spans="17:18" ht="15" customHeight="1" x14ac:dyDescent="0.25">
      <c r="Q3399" t="s">
        <v>4330</v>
      </c>
      <c r="R3399" t="s">
        <v>2236</v>
      </c>
    </row>
    <row r="3400" spans="17:18" ht="15" customHeight="1" x14ac:dyDescent="0.25">
      <c r="Q3400" t="s">
        <v>4331</v>
      </c>
      <c r="R3400" t="s">
        <v>2236</v>
      </c>
    </row>
    <row r="3401" spans="17:18" ht="15" customHeight="1" x14ac:dyDescent="0.25">
      <c r="Q3401" t="s">
        <v>4332</v>
      </c>
      <c r="R3401" t="s">
        <v>2236</v>
      </c>
    </row>
    <row r="3402" spans="17:18" ht="15" customHeight="1" x14ac:dyDescent="0.25">
      <c r="Q3402" t="s">
        <v>4333</v>
      </c>
      <c r="R3402" t="s">
        <v>2236</v>
      </c>
    </row>
    <row r="3403" spans="17:18" ht="15" customHeight="1" x14ac:dyDescent="0.25">
      <c r="Q3403" t="s">
        <v>4334</v>
      </c>
      <c r="R3403" t="s">
        <v>2236</v>
      </c>
    </row>
    <row r="3404" spans="17:18" ht="15" customHeight="1" x14ac:dyDescent="0.25">
      <c r="Q3404" t="s">
        <v>4335</v>
      </c>
      <c r="R3404" t="s">
        <v>2236</v>
      </c>
    </row>
    <row r="3405" spans="17:18" ht="15" customHeight="1" x14ac:dyDescent="0.25">
      <c r="Q3405" t="s">
        <v>4336</v>
      </c>
      <c r="R3405" t="s">
        <v>2236</v>
      </c>
    </row>
    <row r="3406" spans="17:18" ht="15" customHeight="1" x14ac:dyDescent="0.25">
      <c r="Q3406" t="s">
        <v>4337</v>
      </c>
      <c r="R3406" t="s">
        <v>2236</v>
      </c>
    </row>
    <row r="3407" spans="17:18" ht="15" customHeight="1" x14ac:dyDescent="0.25">
      <c r="Q3407" t="s">
        <v>4338</v>
      </c>
      <c r="R3407" t="s">
        <v>2236</v>
      </c>
    </row>
    <row r="3408" spans="17:18" ht="15" customHeight="1" x14ac:dyDescent="0.25">
      <c r="Q3408" t="s">
        <v>4339</v>
      </c>
      <c r="R3408" t="s">
        <v>2236</v>
      </c>
    </row>
    <row r="3409" spans="17:18" ht="15" customHeight="1" x14ac:dyDescent="0.25">
      <c r="Q3409" t="s">
        <v>4340</v>
      </c>
      <c r="R3409" t="s">
        <v>2236</v>
      </c>
    </row>
    <row r="3410" spans="17:18" ht="15" customHeight="1" x14ac:dyDescent="0.25">
      <c r="Q3410" t="s">
        <v>4341</v>
      </c>
      <c r="R3410" t="s">
        <v>2236</v>
      </c>
    </row>
    <row r="3411" spans="17:18" ht="15" customHeight="1" x14ac:dyDescent="0.25">
      <c r="Q3411" t="s">
        <v>4342</v>
      </c>
      <c r="R3411" t="s">
        <v>2236</v>
      </c>
    </row>
    <row r="3412" spans="17:18" ht="15" customHeight="1" x14ac:dyDescent="0.25">
      <c r="Q3412" t="s">
        <v>4343</v>
      </c>
      <c r="R3412" t="s">
        <v>2236</v>
      </c>
    </row>
    <row r="3413" spans="17:18" ht="15" customHeight="1" x14ac:dyDescent="0.25">
      <c r="Q3413" t="s">
        <v>4344</v>
      </c>
      <c r="R3413" t="s">
        <v>2236</v>
      </c>
    </row>
    <row r="3414" spans="17:18" ht="15" customHeight="1" x14ac:dyDescent="0.25">
      <c r="Q3414" t="s">
        <v>4345</v>
      </c>
      <c r="R3414" t="s">
        <v>2236</v>
      </c>
    </row>
    <row r="3415" spans="17:18" ht="15" customHeight="1" x14ac:dyDescent="0.25">
      <c r="Q3415" t="s">
        <v>4346</v>
      </c>
      <c r="R3415" t="s">
        <v>2236</v>
      </c>
    </row>
    <row r="3416" spans="17:18" ht="15" customHeight="1" x14ac:dyDescent="0.25">
      <c r="Q3416" t="s">
        <v>4347</v>
      </c>
      <c r="R3416" t="s">
        <v>2236</v>
      </c>
    </row>
    <row r="3417" spans="17:18" ht="15" customHeight="1" x14ac:dyDescent="0.25">
      <c r="Q3417" t="s">
        <v>4348</v>
      </c>
      <c r="R3417" t="s">
        <v>2236</v>
      </c>
    </row>
    <row r="3418" spans="17:18" ht="15" customHeight="1" x14ac:dyDescent="0.25">
      <c r="Q3418" t="s">
        <v>4349</v>
      </c>
      <c r="R3418" t="s">
        <v>2236</v>
      </c>
    </row>
    <row r="3419" spans="17:18" ht="15" customHeight="1" x14ac:dyDescent="0.25">
      <c r="Q3419" t="s">
        <v>4350</v>
      </c>
      <c r="R3419" t="s">
        <v>2236</v>
      </c>
    </row>
    <row r="3420" spans="17:18" ht="15" customHeight="1" x14ac:dyDescent="0.25">
      <c r="Q3420" t="s">
        <v>4351</v>
      </c>
      <c r="R3420" t="s">
        <v>2236</v>
      </c>
    </row>
    <row r="3421" spans="17:18" ht="15" customHeight="1" x14ac:dyDescent="0.25">
      <c r="Q3421" t="s">
        <v>4352</v>
      </c>
      <c r="R3421" t="s">
        <v>2236</v>
      </c>
    </row>
    <row r="3422" spans="17:18" ht="15" customHeight="1" x14ac:dyDescent="0.25">
      <c r="Q3422" t="s">
        <v>4353</v>
      </c>
      <c r="R3422" t="s">
        <v>2236</v>
      </c>
    </row>
    <row r="3423" spans="17:18" ht="15" customHeight="1" x14ac:dyDescent="0.25">
      <c r="Q3423" t="s">
        <v>4354</v>
      </c>
      <c r="R3423" t="s">
        <v>2236</v>
      </c>
    </row>
    <row r="3424" spans="17:18" ht="15" customHeight="1" x14ac:dyDescent="0.25">
      <c r="Q3424" t="s">
        <v>4355</v>
      </c>
      <c r="R3424" t="s">
        <v>2236</v>
      </c>
    </row>
    <row r="3425" spans="17:18" ht="15" customHeight="1" x14ac:dyDescent="0.25">
      <c r="Q3425" t="s">
        <v>4356</v>
      </c>
      <c r="R3425" t="s">
        <v>2236</v>
      </c>
    </row>
    <row r="3426" spans="17:18" ht="15" customHeight="1" x14ac:dyDescent="0.25">
      <c r="Q3426" t="s">
        <v>4357</v>
      </c>
      <c r="R3426" t="s">
        <v>2236</v>
      </c>
    </row>
    <row r="3427" spans="17:18" ht="15" customHeight="1" x14ac:dyDescent="0.25">
      <c r="Q3427" t="s">
        <v>4358</v>
      </c>
      <c r="R3427" t="s">
        <v>2236</v>
      </c>
    </row>
    <row r="3428" spans="17:18" ht="15" customHeight="1" x14ac:dyDescent="0.25">
      <c r="Q3428" t="s">
        <v>4359</v>
      </c>
      <c r="R3428" t="s">
        <v>2236</v>
      </c>
    </row>
    <row r="3429" spans="17:18" ht="15" customHeight="1" x14ac:dyDescent="0.25">
      <c r="Q3429" t="s">
        <v>4360</v>
      </c>
      <c r="R3429" t="s">
        <v>2236</v>
      </c>
    </row>
    <row r="3430" spans="17:18" ht="15" customHeight="1" x14ac:dyDescent="0.25">
      <c r="Q3430" t="s">
        <v>4361</v>
      </c>
      <c r="R3430" t="s">
        <v>2236</v>
      </c>
    </row>
    <row r="3431" spans="17:18" ht="15" customHeight="1" x14ac:dyDescent="0.25">
      <c r="Q3431" t="s">
        <v>4362</v>
      </c>
      <c r="R3431" t="s">
        <v>2236</v>
      </c>
    </row>
    <row r="3432" spans="17:18" ht="15" customHeight="1" x14ac:dyDescent="0.25">
      <c r="Q3432" t="s">
        <v>4363</v>
      </c>
      <c r="R3432" t="s">
        <v>2236</v>
      </c>
    </row>
    <row r="3433" spans="17:18" ht="15" customHeight="1" x14ac:dyDescent="0.25">
      <c r="Q3433" t="s">
        <v>4364</v>
      </c>
      <c r="R3433" t="s">
        <v>2236</v>
      </c>
    </row>
    <row r="3434" spans="17:18" ht="15" customHeight="1" x14ac:dyDescent="0.25">
      <c r="Q3434" t="s">
        <v>4365</v>
      </c>
      <c r="R3434" t="s">
        <v>2236</v>
      </c>
    </row>
    <row r="3435" spans="17:18" ht="15" customHeight="1" x14ac:dyDescent="0.25">
      <c r="Q3435" t="s">
        <v>4366</v>
      </c>
      <c r="R3435" t="s">
        <v>2236</v>
      </c>
    </row>
    <row r="3436" spans="17:18" ht="15" customHeight="1" x14ac:dyDescent="0.25">
      <c r="Q3436" t="s">
        <v>4367</v>
      </c>
      <c r="R3436" t="s">
        <v>2236</v>
      </c>
    </row>
    <row r="3437" spans="17:18" ht="15" customHeight="1" x14ac:dyDescent="0.25">
      <c r="Q3437" t="s">
        <v>4368</v>
      </c>
      <c r="R3437" t="s">
        <v>2236</v>
      </c>
    </row>
    <row r="3438" spans="17:18" ht="15" customHeight="1" x14ac:dyDescent="0.25">
      <c r="Q3438" t="s">
        <v>4369</v>
      </c>
      <c r="R3438" t="s">
        <v>2236</v>
      </c>
    </row>
    <row r="3439" spans="17:18" ht="15" customHeight="1" x14ac:dyDescent="0.25">
      <c r="Q3439" t="s">
        <v>4370</v>
      </c>
      <c r="R3439" t="s">
        <v>2236</v>
      </c>
    </row>
    <row r="3440" spans="17:18" ht="15" customHeight="1" x14ac:dyDescent="0.25">
      <c r="Q3440" t="s">
        <v>4371</v>
      </c>
      <c r="R3440" t="s">
        <v>2236</v>
      </c>
    </row>
    <row r="3441" spans="17:18" ht="15" customHeight="1" x14ac:dyDescent="0.25">
      <c r="Q3441" t="s">
        <v>4372</v>
      </c>
      <c r="R3441" t="s">
        <v>2236</v>
      </c>
    </row>
    <row r="3442" spans="17:18" ht="15" customHeight="1" x14ac:dyDescent="0.25">
      <c r="Q3442" t="s">
        <v>4373</v>
      </c>
      <c r="R3442" t="s">
        <v>2236</v>
      </c>
    </row>
    <row r="3443" spans="17:18" ht="15" customHeight="1" x14ac:dyDescent="0.25">
      <c r="Q3443" t="s">
        <v>4374</v>
      </c>
      <c r="R3443" t="s">
        <v>2236</v>
      </c>
    </row>
    <row r="3444" spans="17:18" ht="15" customHeight="1" x14ac:dyDescent="0.25">
      <c r="Q3444" t="s">
        <v>4375</v>
      </c>
      <c r="R3444" t="s">
        <v>2236</v>
      </c>
    </row>
    <row r="3445" spans="17:18" ht="15" customHeight="1" x14ac:dyDescent="0.25">
      <c r="Q3445" t="s">
        <v>4376</v>
      </c>
      <c r="R3445" t="s">
        <v>2236</v>
      </c>
    </row>
    <row r="3446" spans="17:18" ht="15" customHeight="1" x14ac:dyDescent="0.25">
      <c r="Q3446" t="s">
        <v>4377</v>
      </c>
      <c r="R3446" t="s">
        <v>2236</v>
      </c>
    </row>
    <row r="3447" spans="17:18" ht="15" customHeight="1" x14ac:dyDescent="0.25">
      <c r="Q3447" t="s">
        <v>4378</v>
      </c>
      <c r="R3447" t="s">
        <v>2236</v>
      </c>
    </row>
    <row r="3448" spans="17:18" ht="15" customHeight="1" x14ac:dyDescent="0.25">
      <c r="Q3448" t="s">
        <v>4379</v>
      </c>
      <c r="R3448" t="s">
        <v>2236</v>
      </c>
    </row>
    <row r="3449" spans="17:18" ht="15" customHeight="1" x14ac:dyDescent="0.25">
      <c r="Q3449" t="s">
        <v>4380</v>
      </c>
      <c r="R3449" t="s">
        <v>2236</v>
      </c>
    </row>
    <row r="3450" spans="17:18" ht="15" customHeight="1" x14ac:dyDescent="0.25">
      <c r="Q3450" t="s">
        <v>4381</v>
      </c>
      <c r="R3450" t="s">
        <v>2236</v>
      </c>
    </row>
    <row r="3451" spans="17:18" ht="15" customHeight="1" x14ac:dyDescent="0.25">
      <c r="Q3451" t="s">
        <v>4382</v>
      </c>
      <c r="R3451" t="s">
        <v>2236</v>
      </c>
    </row>
    <row r="3452" spans="17:18" ht="15" customHeight="1" x14ac:dyDescent="0.25">
      <c r="Q3452" t="s">
        <v>4383</v>
      </c>
      <c r="R3452" t="s">
        <v>2236</v>
      </c>
    </row>
    <row r="3453" spans="17:18" ht="15" customHeight="1" x14ac:dyDescent="0.25">
      <c r="Q3453" t="s">
        <v>4384</v>
      </c>
      <c r="R3453" t="s">
        <v>2236</v>
      </c>
    </row>
    <row r="3454" spans="17:18" ht="15" customHeight="1" x14ac:dyDescent="0.25">
      <c r="Q3454" t="s">
        <v>4385</v>
      </c>
      <c r="R3454" t="s">
        <v>2236</v>
      </c>
    </row>
    <row r="3455" spans="17:18" ht="15" customHeight="1" x14ac:dyDescent="0.25">
      <c r="Q3455" t="s">
        <v>4386</v>
      </c>
      <c r="R3455" t="s">
        <v>2236</v>
      </c>
    </row>
    <row r="3456" spans="17:18" ht="15" customHeight="1" x14ac:dyDescent="0.25">
      <c r="Q3456" t="s">
        <v>4387</v>
      </c>
      <c r="R3456" t="s">
        <v>2236</v>
      </c>
    </row>
    <row r="3457" spans="17:18" ht="15" customHeight="1" x14ac:dyDescent="0.25">
      <c r="Q3457" t="s">
        <v>4388</v>
      </c>
      <c r="R3457" t="s">
        <v>2236</v>
      </c>
    </row>
    <row r="3458" spans="17:18" ht="15" customHeight="1" x14ac:dyDescent="0.25">
      <c r="Q3458" t="s">
        <v>4389</v>
      </c>
      <c r="R3458" t="s">
        <v>2236</v>
      </c>
    </row>
    <row r="3459" spans="17:18" ht="15" customHeight="1" x14ac:dyDescent="0.25">
      <c r="Q3459" t="s">
        <v>4390</v>
      </c>
      <c r="R3459" t="s">
        <v>2236</v>
      </c>
    </row>
    <row r="3460" spans="17:18" ht="15" customHeight="1" x14ac:dyDescent="0.25">
      <c r="Q3460" t="s">
        <v>4391</v>
      </c>
      <c r="R3460" t="s">
        <v>2236</v>
      </c>
    </row>
    <row r="3461" spans="17:18" ht="15" customHeight="1" x14ac:dyDescent="0.25">
      <c r="Q3461" t="s">
        <v>4392</v>
      </c>
      <c r="R3461" t="s">
        <v>2236</v>
      </c>
    </row>
    <row r="3462" spans="17:18" ht="15" customHeight="1" x14ac:dyDescent="0.25">
      <c r="Q3462" t="s">
        <v>4393</v>
      </c>
      <c r="R3462" t="s">
        <v>2236</v>
      </c>
    </row>
    <row r="3463" spans="17:18" ht="15" customHeight="1" x14ac:dyDescent="0.25">
      <c r="Q3463" t="s">
        <v>4394</v>
      </c>
      <c r="R3463" t="s">
        <v>2236</v>
      </c>
    </row>
    <row r="3464" spans="17:18" ht="15" customHeight="1" x14ac:dyDescent="0.25">
      <c r="Q3464" t="s">
        <v>4395</v>
      </c>
      <c r="R3464" t="s">
        <v>2236</v>
      </c>
    </row>
    <row r="3465" spans="17:18" ht="15" customHeight="1" x14ac:dyDescent="0.25">
      <c r="Q3465" t="s">
        <v>4396</v>
      </c>
      <c r="R3465" t="s">
        <v>2236</v>
      </c>
    </row>
    <row r="3466" spans="17:18" ht="15" customHeight="1" x14ac:dyDescent="0.25">
      <c r="Q3466" t="s">
        <v>4397</v>
      </c>
      <c r="R3466" t="s">
        <v>2236</v>
      </c>
    </row>
    <row r="3467" spans="17:18" ht="15" customHeight="1" x14ac:dyDescent="0.25">
      <c r="Q3467" t="s">
        <v>4398</v>
      </c>
      <c r="R3467" t="s">
        <v>2236</v>
      </c>
    </row>
    <row r="3468" spans="17:18" ht="15" customHeight="1" x14ac:dyDescent="0.25">
      <c r="Q3468" t="s">
        <v>4399</v>
      </c>
      <c r="R3468" t="s">
        <v>2236</v>
      </c>
    </row>
    <row r="3469" spans="17:18" ht="15" customHeight="1" x14ac:dyDescent="0.25">
      <c r="Q3469" t="s">
        <v>4400</v>
      </c>
      <c r="R3469" t="s">
        <v>2236</v>
      </c>
    </row>
    <row r="3470" spans="17:18" ht="15" customHeight="1" x14ac:dyDescent="0.25">
      <c r="Q3470" t="s">
        <v>4401</v>
      </c>
      <c r="R3470" t="s">
        <v>2236</v>
      </c>
    </row>
    <row r="3471" spans="17:18" ht="15" customHeight="1" x14ac:dyDescent="0.25">
      <c r="Q3471" t="s">
        <v>4402</v>
      </c>
      <c r="R3471" t="s">
        <v>2236</v>
      </c>
    </row>
    <row r="3472" spans="17:18" ht="15" customHeight="1" x14ac:dyDescent="0.25">
      <c r="Q3472" t="s">
        <v>4403</v>
      </c>
      <c r="R3472" t="s">
        <v>2236</v>
      </c>
    </row>
    <row r="3473" spans="17:18" ht="15" customHeight="1" x14ac:dyDescent="0.25">
      <c r="Q3473" t="s">
        <v>4404</v>
      </c>
      <c r="R3473" t="s">
        <v>2236</v>
      </c>
    </row>
    <row r="3474" spans="17:18" ht="15" customHeight="1" x14ac:dyDescent="0.25">
      <c r="Q3474" t="s">
        <v>4405</v>
      </c>
      <c r="R3474" t="s">
        <v>2236</v>
      </c>
    </row>
    <row r="3475" spans="17:18" ht="15" customHeight="1" x14ac:dyDescent="0.25">
      <c r="Q3475" t="s">
        <v>4406</v>
      </c>
      <c r="R3475" t="s">
        <v>2236</v>
      </c>
    </row>
    <row r="3476" spans="17:18" ht="15" customHeight="1" x14ac:dyDescent="0.25">
      <c r="Q3476" t="s">
        <v>4407</v>
      </c>
      <c r="R3476" t="s">
        <v>2236</v>
      </c>
    </row>
    <row r="3477" spans="17:18" ht="15" customHeight="1" x14ac:dyDescent="0.25">
      <c r="Q3477" t="s">
        <v>4408</v>
      </c>
      <c r="R3477" t="s">
        <v>2236</v>
      </c>
    </row>
    <row r="3478" spans="17:18" ht="15" customHeight="1" x14ac:dyDescent="0.25">
      <c r="Q3478" t="s">
        <v>4409</v>
      </c>
      <c r="R3478" t="s">
        <v>2236</v>
      </c>
    </row>
    <row r="3479" spans="17:18" ht="15" customHeight="1" x14ac:dyDescent="0.25">
      <c r="Q3479" t="s">
        <v>4410</v>
      </c>
      <c r="R3479" t="s">
        <v>2236</v>
      </c>
    </row>
    <row r="3480" spans="17:18" ht="15" customHeight="1" x14ac:dyDescent="0.25">
      <c r="Q3480" t="s">
        <v>4411</v>
      </c>
      <c r="R3480" t="s">
        <v>2236</v>
      </c>
    </row>
    <row r="3481" spans="17:18" ht="15" customHeight="1" x14ac:dyDescent="0.25">
      <c r="Q3481" t="s">
        <v>4412</v>
      </c>
      <c r="R3481" t="s">
        <v>2236</v>
      </c>
    </row>
    <row r="3482" spans="17:18" ht="15" customHeight="1" x14ac:dyDescent="0.25">
      <c r="Q3482" t="s">
        <v>4413</v>
      </c>
      <c r="R3482" t="s">
        <v>2236</v>
      </c>
    </row>
    <row r="3483" spans="17:18" ht="15" customHeight="1" x14ac:dyDescent="0.25">
      <c r="Q3483" t="s">
        <v>4414</v>
      </c>
      <c r="R3483" t="s">
        <v>2236</v>
      </c>
    </row>
    <row r="3484" spans="17:18" ht="15" customHeight="1" x14ac:dyDescent="0.25">
      <c r="Q3484" t="s">
        <v>4415</v>
      </c>
      <c r="R3484" t="s">
        <v>2236</v>
      </c>
    </row>
    <row r="3485" spans="17:18" ht="15" customHeight="1" x14ac:dyDescent="0.25">
      <c r="Q3485" t="s">
        <v>4416</v>
      </c>
      <c r="R3485" t="s">
        <v>2236</v>
      </c>
    </row>
    <row r="3486" spans="17:18" ht="15" customHeight="1" x14ac:dyDescent="0.25">
      <c r="Q3486" t="s">
        <v>4417</v>
      </c>
      <c r="R3486" t="s">
        <v>2236</v>
      </c>
    </row>
    <row r="3487" spans="17:18" ht="15" customHeight="1" x14ac:dyDescent="0.25">
      <c r="Q3487" t="s">
        <v>4418</v>
      </c>
      <c r="R3487" t="s">
        <v>2236</v>
      </c>
    </row>
    <row r="3488" spans="17:18" ht="15" customHeight="1" x14ac:dyDescent="0.25">
      <c r="Q3488" t="s">
        <v>4419</v>
      </c>
      <c r="R3488" t="s">
        <v>2236</v>
      </c>
    </row>
    <row r="3489" spans="17:18" ht="15" customHeight="1" x14ac:dyDescent="0.25">
      <c r="Q3489" t="s">
        <v>4420</v>
      </c>
      <c r="R3489" t="s">
        <v>2236</v>
      </c>
    </row>
    <row r="3490" spans="17:18" ht="15" customHeight="1" x14ac:dyDescent="0.25">
      <c r="Q3490" t="s">
        <v>4421</v>
      </c>
      <c r="R3490" t="s">
        <v>2236</v>
      </c>
    </row>
    <row r="3491" spans="17:18" ht="15" customHeight="1" x14ac:dyDescent="0.25">
      <c r="Q3491" t="s">
        <v>4422</v>
      </c>
      <c r="R3491" t="s">
        <v>2236</v>
      </c>
    </row>
    <row r="3492" spans="17:18" ht="15" customHeight="1" x14ac:dyDescent="0.25">
      <c r="Q3492" t="s">
        <v>4423</v>
      </c>
      <c r="R3492" t="s">
        <v>2236</v>
      </c>
    </row>
    <row r="3493" spans="17:18" ht="15" customHeight="1" x14ac:dyDescent="0.25">
      <c r="Q3493" t="s">
        <v>4424</v>
      </c>
      <c r="R3493" t="s">
        <v>2236</v>
      </c>
    </row>
    <row r="3494" spans="17:18" ht="15" customHeight="1" x14ac:dyDescent="0.25">
      <c r="Q3494" t="s">
        <v>4425</v>
      </c>
      <c r="R3494" t="s">
        <v>2236</v>
      </c>
    </row>
    <row r="3495" spans="17:18" ht="15" customHeight="1" x14ac:dyDescent="0.25">
      <c r="Q3495" t="s">
        <v>4426</v>
      </c>
      <c r="R3495" t="s">
        <v>2236</v>
      </c>
    </row>
    <row r="3496" spans="17:18" ht="15" customHeight="1" x14ac:dyDescent="0.25">
      <c r="Q3496" t="s">
        <v>4427</v>
      </c>
      <c r="R3496" t="s">
        <v>2236</v>
      </c>
    </row>
    <row r="3497" spans="17:18" ht="15" customHeight="1" x14ac:dyDescent="0.25">
      <c r="Q3497" t="s">
        <v>4428</v>
      </c>
      <c r="R3497" t="s">
        <v>2236</v>
      </c>
    </row>
    <row r="3498" spans="17:18" ht="15" customHeight="1" x14ac:dyDescent="0.25">
      <c r="Q3498" t="s">
        <v>4429</v>
      </c>
      <c r="R3498" t="s">
        <v>2236</v>
      </c>
    </row>
    <row r="3499" spans="17:18" ht="15" customHeight="1" x14ac:dyDescent="0.25">
      <c r="Q3499" t="s">
        <v>4430</v>
      </c>
      <c r="R3499" t="s">
        <v>2236</v>
      </c>
    </row>
    <row r="3500" spans="17:18" ht="15" customHeight="1" x14ac:dyDescent="0.25">
      <c r="Q3500" t="s">
        <v>4431</v>
      </c>
      <c r="R3500" t="s">
        <v>2236</v>
      </c>
    </row>
    <row r="3501" spans="17:18" ht="15" customHeight="1" x14ac:dyDescent="0.25">
      <c r="Q3501" t="s">
        <v>4432</v>
      </c>
      <c r="R3501" t="s">
        <v>2236</v>
      </c>
    </row>
    <row r="3502" spans="17:18" ht="15" customHeight="1" x14ac:dyDescent="0.25">
      <c r="Q3502" t="s">
        <v>4433</v>
      </c>
      <c r="R3502" t="s">
        <v>2236</v>
      </c>
    </row>
    <row r="3503" spans="17:18" ht="15" customHeight="1" x14ac:dyDescent="0.25">
      <c r="Q3503" t="s">
        <v>4434</v>
      </c>
      <c r="R3503" t="s">
        <v>2236</v>
      </c>
    </row>
    <row r="3504" spans="17:18" ht="15" customHeight="1" x14ac:dyDescent="0.25">
      <c r="Q3504" t="s">
        <v>4435</v>
      </c>
      <c r="R3504" t="s">
        <v>2236</v>
      </c>
    </row>
    <row r="3505" spans="17:18" ht="15" customHeight="1" x14ac:dyDescent="0.25">
      <c r="Q3505" t="s">
        <v>4436</v>
      </c>
      <c r="R3505" t="s">
        <v>2236</v>
      </c>
    </row>
    <row r="3506" spans="17:18" ht="15" customHeight="1" x14ac:dyDescent="0.25">
      <c r="Q3506" t="s">
        <v>4437</v>
      </c>
      <c r="R3506" t="s">
        <v>2236</v>
      </c>
    </row>
    <row r="3507" spans="17:18" ht="15" customHeight="1" x14ac:dyDescent="0.25">
      <c r="Q3507" t="s">
        <v>4438</v>
      </c>
      <c r="R3507" t="s">
        <v>2236</v>
      </c>
    </row>
    <row r="3508" spans="17:18" ht="15" customHeight="1" x14ac:dyDescent="0.25">
      <c r="Q3508" t="s">
        <v>4439</v>
      </c>
      <c r="R3508" t="s">
        <v>2236</v>
      </c>
    </row>
    <row r="3509" spans="17:18" ht="15" customHeight="1" x14ac:dyDescent="0.25">
      <c r="Q3509" t="s">
        <v>4440</v>
      </c>
      <c r="R3509" t="s">
        <v>2236</v>
      </c>
    </row>
    <row r="3510" spans="17:18" ht="15" customHeight="1" x14ac:dyDescent="0.25">
      <c r="Q3510" t="s">
        <v>4441</v>
      </c>
      <c r="R3510" t="s">
        <v>2236</v>
      </c>
    </row>
    <row r="3511" spans="17:18" ht="15" customHeight="1" x14ac:dyDescent="0.25">
      <c r="Q3511" t="s">
        <v>4442</v>
      </c>
      <c r="R3511" t="s">
        <v>2236</v>
      </c>
    </row>
    <row r="3512" spans="17:18" ht="15" customHeight="1" x14ac:dyDescent="0.25">
      <c r="Q3512" t="s">
        <v>4443</v>
      </c>
      <c r="R3512" t="s">
        <v>2236</v>
      </c>
    </row>
    <row r="3513" spans="17:18" ht="15" customHeight="1" x14ac:dyDescent="0.25">
      <c r="Q3513" t="s">
        <v>4444</v>
      </c>
      <c r="R3513" t="s">
        <v>2236</v>
      </c>
    </row>
    <row r="3514" spans="17:18" ht="15" customHeight="1" x14ac:dyDescent="0.25">
      <c r="Q3514" t="s">
        <v>4445</v>
      </c>
      <c r="R3514" t="s">
        <v>2236</v>
      </c>
    </row>
    <row r="3515" spans="17:18" ht="15" customHeight="1" x14ac:dyDescent="0.25">
      <c r="Q3515" t="s">
        <v>4446</v>
      </c>
      <c r="R3515" t="s">
        <v>2236</v>
      </c>
    </row>
    <row r="3516" spans="17:18" ht="15" customHeight="1" x14ac:dyDescent="0.25">
      <c r="Q3516" t="s">
        <v>4447</v>
      </c>
      <c r="R3516" t="s">
        <v>2236</v>
      </c>
    </row>
    <row r="3517" spans="17:18" ht="15" customHeight="1" x14ac:dyDescent="0.25">
      <c r="Q3517" t="s">
        <v>4448</v>
      </c>
      <c r="R3517" t="s">
        <v>2236</v>
      </c>
    </row>
    <row r="3518" spans="17:18" ht="15" customHeight="1" x14ac:dyDescent="0.25">
      <c r="Q3518" t="s">
        <v>4449</v>
      </c>
      <c r="R3518" t="s">
        <v>2236</v>
      </c>
    </row>
    <row r="3519" spans="17:18" ht="15" customHeight="1" x14ac:dyDescent="0.25">
      <c r="Q3519" t="s">
        <v>4450</v>
      </c>
      <c r="R3519" t="s">
        <v>2236</v>
      </c>
    </row>
    <row r="3520" spans="17:18" ht="15" customHeight="1" x14ac:dyDescent="0.25">
      <c r="Q3520" t="s">
        <v>4451</v>
      </c>
      <c r="R3520" t="s">
        <v>2236</v>
      </c>
    </row>
    <row r="3521" spans="17:18" ht="15" customHeight="1" x14ac:dyDescent="0.25">
      <c r="Q3521" t="s">
        <v>4452</v>
      </c>
      <c r="R3521" t="s">
        <v>2236</v>
      </c>
    </row>
    <row r="3522" spans="17:18" ht="15" customHeight="1" x14ac:dyDescent="0.25">
      <c r="Q3522" t="s">
        <v>4453</v>
      </c>
      <c r="R3522" t="s">
        <v>2236</v>
      </c>
    </row>
    <row r="3523" spans="17:18" ht="15" customHeight="1" x14ac:dyDescent="0.25">
      <c r="Q3523" t="s">
        <v>4454</v>
      </c>
      <c r="R3523" t="s">
        <v>2236</v>
      </c>
    </row>
    <row r="3524" spans="17:18" ht="15" customHeight="1" x14ac:dyDescent="0.25">
      <c r="Q3524" t="s">
        <v>4455</v>
      </c>
      <c r="R3524" t="s">
        <v>2236</v>
      </c>
    </row>
    <row r="3525" spans="17:18" ht="15" customHeight="1" x14ac:dyDescent="0.25">
      <c r="Q3525" t="s">
        <v>4456</v>
      </c>
      <c r="R3525" t="s">
        <v>2236</v>
      </c>
    </row>
    <row r="3526" spans="17:18" ht="15" customHeight="1" x14ac:dyDescent="0.25">
      <c r="Q3526" t="s">
        <v>4457</v>
      </c>
      <c r="R3526" t="s">
        <v>2236</v>
      </c>
    </row>
    <row r="3527" spans="17:18" ht="15" customHeight="1" x14ac:dyDescent="0.25">
      <c r="Q3527" t="s">
        <v>4458</v>
      </c>
      <c r="R3527" t="s">
        <v>2236</v>
      </c>
    </row>
    <row r="3528" spans="17:18" ht="15" customHeight="1" x14ac:dyDescent="0.25">
      <c r="Q3528" t="s">
        <v>4459</v>
      </c>
      <c r="R3528" t="s">
        <v>2236</v>
      </c>
    </row>
    <row r="3529" spans="17:18" ht="15" customHeight="1" x14ac:dyDescent="0.25">
      <c r="Q3529" t="s">
        <v>4460</v>
      </c>
      <c r="R3529" t="s">
        <v>2236</v>
      </c>
    </row>
    <row r="3530" spans="17:18" ht="15" customHeight="1" x14ac:dyDescent="0.25">
      <c r="Q3530" t="s">
        <v>4461</v>
      </c>
      <c r="R3530" t="s">
        <v>2236</v>
      </c>
    </row>
    <row r="3531" spans="17:18" ht="15" customHeight="1" x14ac:dyDescent="0.25">
      <c r="Q3531" t="s">
        <v>4462</v>
      </c>
      <c r="R3531" t="s">
        <v>2236</v>
      </c>
    </row>
    <row r="3532" spans="17:18" ht="15" customHeight="1" x14ac:dyDescent="0.25">
      <c r="Q3532" t="s">
        <v>4463</v>
      </c>
      <c r="R3532" t="s">
        <v>2236</v>
      </c>
    </row>
    <row r="3533" spans="17:18" ht="15" customHeight="1" x14ac:dyDescent="0.25">
      <c r="Q3533" t="s">
        <v>4464</v>
      </c>
      <c r="R3533" t="s">
        <v>2236</v>
      </c>
    </row>
    <row r="3534" spans="17:18" ht="15" customHeight="1" x14ac:dyDescent="0.25">
      <c r="Q3534" t="s">
        <v>4465</v>
      </c>
      <c r="R3534" t="s">
        <v>2236</v>
      </c>
    </row>
    <row r="3535" spans="17:18" ht="15" customHeight="1" x14ac:dyDescent="0.25">
      <c r="Q3535" t="s">
        <v>4466</v>
      </c>
      <c r="R3535" t="s">
        <v>2236</v>
      </c>
    </row>
    <row r="3536" spans="17:18" ht="15" customHeight="1" x14ac:dyDescent="0.25">
      <c r="Q3536" t="s">
        <v>4467</v>
      </c>
      <c r="R3536" t="s">
        <v>2236</v>
      </c>
    </row>
    <row r="3537" spans="17:18" ht="15" customHeight="1" x14ac:dyDescent="0.25">
      <c r="Q3537" t="s">
        <v>4468</v>
      </c>
      <c r="R3537" t="s">
        <v>2236</v>
      </c>
    </row>
    <row r="3538" spans="17:18" ht="15" customHeight="1" x14ac:dyDescent="0.25">
      <c r="Q3538" t="s">
        <v>4469</v>
      </c>
      <c r="R3538" t="s">
        <v>2236</v>
      </c>
    </row>
    <row r="3539" spans="17:18" ht="15" customHeight="1" x14ac:dyDescent="0.25">
      <c r="Q3539" t="s">
        <v>4470</v>
      </c>
      <c r="R3539" t="s">
        <v>2236</v>
      </c>
    </row>
    <row r="3540" spans="17:18" ht="15" customHeight="1" x14ac:dyDescent="0.25">
      <c r="Q3540" t="s">
        <v>4471</v>
      </c>
      <c r="R3540" t="s">
        <v>2236</v>
      </c>
    </row>
    <row r="3541" spans="17:18" ht="15" customHeight="1" x14ac:dyDescent="0.25">
      <c r="Q3541" t="s">
        <v>4472</v>
      </c>
      <c r="R3541" t="s">
        <v>2236</v>
      </c>
    </row>
    <row r="3542" spans="17:18" ht="15" customHeight="1" x14ac:dyDescent="0.25">
      <c r="Q3542" t="s">
        <v>4473</v>
      </c>
      <c r="R3542" t="s">
        <v>2236</v>
      </c>
    </row>
    <row r="3543" spans="17:18" ht="15" customHeight="1" x14ac:dyDescent="0.25">
      <c r="Q3543" t="s">
        <v>4474</v>
      </c>
      <c r="R3543" t="s">
        <v>2236</v>
      </c>
    </row>
    <row r="3544" spans="17:18" ht="15" customHeight="1" x14ac:dyDescent="0.25">
      <c r="Q3544" t="s">
        <v>4475</v>
      </c>
      <c r="R3544" t="s">
        <v>2236</v>
      </c>
    </row>
    <row r="3545" spans="17:18" ht="15" customHeight="1" x14ac:dyDescent="0.25">
      <c r="Q3545" t="s">
        <v>4476</v>
      </c>
      <c r="R3545" t="s">
        <v>2236</v>
      </c>
    </row>
    <row r="3546" spans="17:18" ht="15" customHeight="1" x14ac:dyDescent="0.25">
      <c r="Q3546" t="s">
        <v>4477</v>
      </c>
      <c r="R3546" t="s">
        <v>2236</v>
      </c>
    </row>
    <row r="3547" spans="17:18" ht="15" customHeight="1" x14ac:dyDescent="0.25">
      <c r="Q3547" t="s">
        <v>4478</v>
      </c>
      <c r="R3547" t="s">
        <v>2236</v>
      </c>
    </row>
    <row r="3548" spans="17:18" ht="15" customHeight="1" x14ac:dyDescent="0.25">
      <c r="Q3548" t="s">
        <v>4479</v>
      </c>
      <c r="R3548" t="s">
        <v>2236</v>
      </c>
    </row>
    <row r="3549" spans="17:18" ht="15" customHeight="1" x14ac:dyDescent="0.25">
      <c r="Q3549" t="s">
        <v>4480</v>
      </c>
      <c r="R3549" t="s">
        <v>2236</v>
      </c>
    </row>
    <row r="3550" spans="17:18" ht="15" customHeight="1" x14ac:dyDescent="0.25">
      <c r="Q3550" t="s">
        <v>4481</v>
      </c>
      <c r="R3550" t="s">
        <v>2236</v>
      </c>
    </row>
    <row r="3551" spans="17:18" ht="15" customHeight="1" x14ac:dyDescent="0.25">
      <c r="Q3551" t="s">
        <v>4482</v>
      </c>
      <c r="R3551" t="s">
        <v>2236</v>
      </c>
    </row>
    <row r="3552" spans="17:18" ht="15" customHeight="1" x14ac:dyDescent="0.25">
      <c r="Q3552" t="s">
        <v>4483</v>
      </c>
      <c r="R3552" t="s">
        <v>2236</v>
      </c>
    </row>
    <row r="3553" spans="17:18" ht="15" customHeight="1" x14ac:dyDescent="0.25">
      <c r="Q3553" t="s">
        <v>4484</v>
      </c>
      <c r="R3553" t="s">
        <v>2236</v>
      </c>
    </row>
    <row r="3554" spans="17:18" ht="15" customHeight="1" x14ac:dyDescent="0.25">
      <c r="Q3554" t="s">
        <v>4485</v>
      </c>
      <c r="R3554" t="s">
        <v>2236</v>
      </c>
    </row>
    <row r="3555" spans="17:18" ht="15" customHeight="1" x14ac:dyDescent="0.25">
      <c r="Q3555" t="s">
        <v>4486</v>
      </c>
      <c r="R3555" t="s">
        <v>2236</v>
      </c>
    </row>
    <row r="3556" spans="17:18" ht="15" customHeight="1" x14ac:dyDescent="0.25">
      <c r="Q3556" t="s">
        <v>4487</v>
      </c>
      <c r="R3556" t="s">
        <v>2236</v>
      </c>
    </row>
    <row r="3557" spans="17:18" ht="15" customHeight="1" x14ac:dyDescent="0.25">
      <c r="Q3557" t="s">
        <v>4488</v>
      </c>
      <c r="R3557" t="s">
        <v>2236</v>
      </c>
    </row>
    <row r="3558" spans="17:18" ht="15" customHeight="1" x14ac:dyDescent="0.25">
      <c r="Q3558" t="s">
        <v>4489</v>
      </c>
      <c r="R3558" t="s">
        <v>2236</v>
      </c>
    </row>
    <row r="3559" spans="17:18" ht="15" customHeight="1" x14ac:dyDescent="0.25">
      <c r="Q3559" t="s">
        <v>4490</v>
      </c>
      <c r="R3559" t="s">
        <v>2236</v>
      </c>
    </row>
    <row r="3560" spans="17:18" ht="15" customHeight="1" x14ac:dyDescent="0.25">
      <c r="Q3560" t="s">
        <v>4491</v>
      </c>
      <c r="R3560" t="s">
        <v>2236</v>
      </c>
    </row>
    <row r="3561" spans="17:18" ht="15" customHeight="1" x14ac:dyDescent="0.25">
      <c r="Q3561" t="s">
        <v>4492</v>
      </c>
      <c r="R3561" t="s">
        <v>2236</v>
      </c>
    </row>
    <row r="3562" spans="17:18" ht="15" customHeight="1" x14ac:dyDescent="0.25">
      <c r="Q3562" t="s">
        <v>4493</v>
      </c>
      <c r="R3562" t="s">
        <v>2236</v>
      </c>
    </row>
    <row r="3563" spans="17:18" ht="15" customHeight="1" x14ac:dyDescent="0.25">
      <c r="Q3563" t="s">
        <v>4494</v>
      </c>
      <c r="R3563" t="s">
        <v>2236</v>
      </c>
    </row>
    <row r="3564" spans="17:18" ht="15" customHeight="1" x14ac:dyDescent="0.25">
      <c r="Q3564" t="s">
        <v>4495</v>
      </c>
      <c r="R3564" t="s">
        <v>2236</v>
      </c>
    </row>
    <row r="3565" spans="17:18" ht="15" customHeight="1" x14ac:dyDescent="0.25">
      <c r="Q3565" t="s">
        <v>4496</v>
      </c>
      <c r="R3565" t="s">
        <v>2236</v>
      </c>
    </row>
    <row r="3566" spans="17:18" ht="15" customHeight="1" x14ac:dyDescent="0.25">
      <c r="Q3566" t="s">
        <v>4497</v>
      </c>
      <c r="R3566" t="s">
        <v>2236</v>
      </c>
    </row>
    <row r="3567" spans="17:18" ht="15" customHeight="1" x14ac:dyDescent="0.25">
      <c r="Q3567" t="s">
        <v>4498</v>
      </c>
      <c r="R3567" t="s">
        <v>2236</v>
      </c>
    </row>
    <row r="3568" spans="17:18" ht="15" customHeight="1" x14ac:dyDescent="0.25">
      <c r="Q3568" t="s">
        <v>4499</v>
      </c>
      <c r="R3568" t="s">
        <v>2236</v>
      </c>
    </row>
    <row r="3569" spans="17:18" ht="15" customHeight="1" x14ac:dyDescent="0.25">
      <c r="Q3569" t="s">
        <v>4500</v>
      </c>
      <c r="R3569" t="s">
        <v>2236</v>
      </c>
    </row>
    <row r="3570" spans="17:18" ht="15" customHeight="1" x14ac:dyDescent="0.25">
      <c r="Q3570" t="s">
        <v>4501</v>
      </c>
      <c r="R3570" t="s">
        <v>2236</v>
      </c>
    </row>
    <row r="3571" spans="17:18" ht="15" customHeight="1" x14ac:dyDescent="0.25">
      <c r="Q3571" t="s">
        <v>4502</v>
      </c>
      <c r="R3571" t="s">
        <v>2236</v>
      </c>
    </row>
    <row r="3572" spans="17:18" ht="15" customHeight="1" x14ac:dyDescent="0.25">
      <c r="Q3572" t="s">
        <v>4503</v>
      </c>
      <c r="R3572" t="s">
        <v>2236</v>
      </c>
    </row>
    <row r="3573" spans="17:18" ht="15" customHeight="1" x14ac:dyDescent="0.25">
      <c r="Q3573" t="s">
        <v>4504</v>
      </c>
      <c r="R3573" t="s">
        <v>2236</v>
      </c>
    </row>
    <row r="3574" spans="17:18" ht="15" customHeight="1" x14ac:dyDescent="0.25">
      <c r="Q3574" t="s">
        <v>4505</v>
      </c>
      <c r="R3574" t="s">
        <v>2236</v>
      </c>
    </row>
    <row r="3575" spans="17:18" ht="15" customHeight="1" x14ac:dyDescent="0.25">
      <c r="Q3575" t="s">
        <v>4506</v>
      </c>
      <c r="R3575" t="s">
        <v>2236</v>
      </c>
    </row>
    <row r="3576" spans="17:18" ht="15" customHeight="1" x14ac:dyDescent="0.25">
      <c r="Q3576" t="s">
        <v>4507</v>
      </c>
      <c r="R3576" t="s">
        <v>2236</v>
      </c>
    </row>
    <row r="3577" spans="17:18" ht="15" customHeight="1" x14ac:dyDescent="0.25">
      <c r="Q3577" t="s">
        <v>4508</v>
      </c>
      <c r="R3577" t="s">
        <v>2236</v>
      </c>
    </row>
    <row r="3578" spans="17:18" ht="15" customHeight="1" x14ac:dyDescent="0.25">
      <c r="Q3578" t="s">
        <v>4509</v>
      </c>
      <c r="R3578" t="s">
        <v>2236</v>
      </c>
    </row>
    <row r="3579" spans="17:18" ht="15" customHeight="1" x14ac:dyDescent="0.25">
      <c r="Q3579" t="s">
        <v>4510</v>
      </c>
      <c r="R3579" t="s">
        <v>2236</v>
      </c>
    </row>
    <row r="3580" spans="17:18" ht="15" customHeight="1" x14ac:dyDescent="0.25">
      <c r="Q3580" t="s">
        <v>4511</v>
      </c>
      <c r="R3580" t="s">
        <v>2236</v>
      </c>
    </row>
    <row r="3581" spans="17:18" ht="15" customHeight="1" x14ac:dyDescent="0.25">
      <c r="Q3581" t="s">
        <v>4512</v>
      </c>
      <c r="R3581" t="s">
        <v>2236</v>
      </c>
    </row>
    <row r="3582" spans="17:18" ht="15" customHeight="1" x14ac:dyDescent="0.25">
      <c r="Q3582" t="s">
        <v>4513</v>
      </c>
      <c r="R3582" t="s">
        <v>2236</v>
      </c>
    </row>
    <row r="3583" spans="17:18" ht="15" customHeight="1" x14ac:dyDescent="0.25">
      <c r="Q3583" t="s">
        <v>4514</v>
      </c>
      <c r="R3583" t="s">
        <v>2236</v>
      </c>
    </row>
    <row r="3584" spans="17:18" ht="15" customHeight="1" x14ac:dyDescent="0.25">
      <c r="Q3584" t="s">
        <v>4515</v>
      </c>
      <c r="R3584" t="s">
        <v>2236</v>
      </c>
    </row>
    <row r="3585" spans="17:18" ht="15" customHeight="1" x14ac:dyDescent="0.25">
      <c r="Q3585" t="s">
        <v>4516</v>
      </c>
      <c r="R3585" t="s">
        <v>2236</v>
      </c>
    </row>
    <row r="3586" spans="17:18" ht="15" customHeight="1" x14ac:dyDescent="0.25">
      <c r="Q3586" t="s">
        <v>4517</v>
      </c>
      <c r="R3586" t="s">
        <v>2236</v>
      </c>
    </row>
    <row r="3587" spans="17:18" ht="15" customHeight="1" x14ac:dyDescent="0.25">
      <c r="Q3587" t="s">
        <v>4518</v>
      </c>
      <c r="R3587" t="s">
        <v>2236</v>
      </c>
    </row>
    <row r="3588" spans="17:18" ht="15" customHeight="1" x14ac:dyDescent="0.25">
      <c r="Q3588" t="s">
        <v>4519</v>
      </c>
      <c r="R3588" t="s">
        <v>2236</v>
      </c>
    </row>
    <row r="3589" spans="17:18" ht="15" customHeight="1" x14ac:dyDescent="0.25">
      <c r="Q3589" t="s">
        <v>4520</v>
      </c>
      <c r="R3589" t="s">
        <v>2236</v>
      </c>
    </row>
    <row r="3590" spans="17:18" ht="15" customHeight="1" x14ac:dyDescent="0.25">
      <c r="Q3590" t="s">
        <v>4521</v>
      </c>
      <c r="R3590" t="s">
        <v>2236</v>
      </c>
    </row>
    <row r="3591" spans="17:18" ht="15" customHeight="1" x14ac:dyDescent="0.25">
      <c r="Q3591" t="s">
        <v>4522</v>
      </c>
      <c r="R3591" t="s">
        <v>2236</v>
      </c>
    </row>
    <row r="3592" spans="17:18" ht="15" customHeight="1" x14ac:dyDescent="0.25">
      <c r="Q3592" t="s">
        <v>4523</v>
      </c>
      <c r="R3592" t="s">
        <v>2236</v>
      </c>
    </row>
    <row r="3593" spans="17:18" ht="15" customHeight="1" x14ac:dyDescent="0.25">
      <c r="Q3593" t="s">
        <v>4524</v>
      </c>
      <c r="R3593" t="s">
        <v>2236</v>
      </c>
    </row>
    <row r="3594" spans="17:18" ht="15" customHeight="1" x14ac:dyDescent="0.25">
      <c r="Q3594" t="s">
        <v>4525</v>
      </c>
      <c r="R3594" t="s">
        <v>2236</v>
      </c>
    </row>
    <row r="3595" spans="17:18" ht="15" customHeight="1" x14ac:dyDescent="0.25">
      <c r="Q3595" t="s">
        <v>4526</v>
      </c>
      <c r="R3595" t="s">
        <v>2236</v>
      </c>
    </row>
    <row r="3596" spans="17:18" ht="15" customHeight="1" x14ac:dyDescent="0.25">
      <c r="Q3596" t="s">
        <v>4527</v>
      </c>
      <c r="R3596" t="s">
        <v>2236</v>
      </c>
    </row>
    <row r="3597" spans="17:18" ht="15" customHeight="1" x14ac:dyDescent="0.25">
      <c r="Q3597" t="s">
        <v>4528</v>
      </c>
      <c r="R3597" t="s">
        <v>2236</v>
      </c>
    </row>
    <row r="3598" spans="17:18" ht="15" customHeight="1" x14ac:dyDescent="0.25">
      <c r="Q3598" t="s">
        <v>4529</v>
      </c>
      <c r="R3598" t="s">
        <v>2236</v>
      </c>
    </row>
    <row r="3599" spans="17:18" ht="15" customHeight="1" x14ac:dyDescent="0.25">
      <c r="Q3599" t="s">
        <v>4530</v>
      </c>
      <c r="R3599" t="s">
        <v>2236</v>
      </c>
    </row>
    <row r="3600" spans="17:18" ht="15" customHeight="1" x14ac:dyDescent="0.25">
      <c r="Q3600" t="s">
        <v>4531</v>
      </c>
      <c r="R3600" t="s">
        <v>2236</v>
      </c>
    </row>
    <row r="3601" spans="17:18" ht="15" customHeight="1" x14ac:dyDescent="0.25">
      <c r="Q3601" t="s">
        <v>4532</v>
      </c>
      <c r="R3601" t="s">
        <v>2236</v>
      </c>
    </row>
    <row r="3602" spans="17:18" ht="15" customHeight="1" x14ac:dyDescent="0.25">
      <c r="Q3602" t="s">
        <v>4533</v>
      </c>
      <c r="R3602" t="s">
        <v>2236</v>
      </c>
    </row>
    <row r="3603" spans="17:18" ht="15" customHeight="1" x14ac:dyDescent="0.25">
      <c r="Q3603" t="s">
        <v>4534</v>
      </c>
      <c r="R3603" t="s">
        <v>2236</v>
      </c>
    </row>
    <row r="3604" spans="17:18" ht="15" customHeight="1" x14ac:dyDescent="0.25">
      <c r="Q3604" t="s">
        <v>4535</v>
      </c>
      <c r="R3604" t="s">
        <v>2236</v>
      </c>
    </row>
    <row r="3605" spans="17:18" ht="15" customHeight="1" x14ac:dyDescent="0.25">
      <c r="Q3605" t="s">
        <v>4536</v>
      </c>
      <c r="R3605" t="s">
        <v>2236</v>
      </c>
    </row>
    <row r="3606" spans="17:18" ht="15" customHeight="1" x14ac:dyDescent="0.25">
      <c r="Q3606" t="s">
        <v>4537</v>
      </c>
      <c r="R3606" t="s">
        <v>2236</v>
      </c>
    </row>
    <row r="3607" spans="17:18" ht="15" customHeight="1" x14ac:dyDescent="0.25">
      <c r="Q3607" t="s">
        <v>4538</v>
      </c>
      <c r="R3607" t="s">
        <v>2236</v>
      </c>
    </row>
    <row r="3608" spans="17:18" ht="15" customHeight="1" x14ac:dyDescent="0.25">
      <c r="Q3608" t="s">
        <v>4539</v>
      </c>
      <c r="R3608" t="s">
        <v>2236</v>
      </c>
    </row>
    <row r="3609" spans="17:18" ht="15" customHeight="1" x14ac:dyDescent="0.25">
      <c r="Q3609" t="s">
        <v>4540</v>
      </c>
      <c r="R3609" t="s">
        <v>2236</v>
      </c>
    </row>
    <row r="3610" spans="17:18" ht="15" customHeight="1" x14ac:dyDescent="0.25">
      <c r="Q3610" t="s">
        <v>4541</v>
      </c>
      <c r="R3610" t="s">
        <v>2236</v>
      </c>
    </row>
    <row r="3611" spans="17:18" ht="15" customHeight="1" x14ac:dyDescent="0.25">
      <c r="Q3611" t="s">
        <v>4542</v>
      </c>
      <c r="R3611" t="s">
        <v>2236</v>
      </c>
    </row>
    <row r="3612" spans="17:18" ht="15" customHeight="1" x14ac:dyDescent="0.25">
      <c r="Q3612" t="s">
        <v>4543</v>
      </c>
      <c r="R3612" t="s">
        <v>2236</v>
      </c>
    </row>
    <row r="3613" spans="17:18" ht="15" customHeight="1" x14ac:dyDescent="0.25">
      <c r="Q3613" t="s">
        <v>4544</v>
      </c>
      <c r="R3613" t="s">
        <v>2236</v>
      </c>
    </row>
    <row r="3614" spans="17:18" ht="15" customHeight="1" x14ac:dyDescent="0.25">
      <c r="Q3614" t="s">
        <v>4545</v>
      </c>
      <c r="R3614" t="s">
        <v>2236</v>
      </c>
    </row>
    <row r="3615" spans="17:18" ht="15" customHeight="1" x14ac:dyDescent="0.25">
      <c r="Q3615" t="s">
        <v>4546</v>
      </c>
      <c r="R3615" t="s">
        <v>2236</v>
      </c>
    </row>
    <row r="3616" spans="17:18" ht="15" customHeight="1" x14ac:dyDescent="0.25">
      <c r="Q3616" t="s">
        <v>4547</v>
      </c>
      <c r="R3616" t="s">
        <v>2236</v>
      </c>
    </row>
    <row r="3617" spans="17:18" ht="15" customHeight="1" x14ac:dyDescent="0.25">
      <c r="Q3617" t="s">
        <v>4548</v>
      </c>
      <c r="R3617" t="s">
        <v>2236</v>
      </c>
    </row>
    <row r="3618" spans="17:18" ht="15" customHeight="1" x14ac:dyDescent="0.25">
      <c r="Q3618" t="s">
        <v>4549</v>
      </c>
      <c r="R3618" t="s">
        <v>2236</v>
      </c>
    </row>
    <row r="3619" spans="17:18" ht="15" customHeight="1" x14ac:dyDescent="0.25">
      <c r="Q3619" t="s">
        <v>4550</v>
      </c>
      <c r="R3619" t="s">
        <v>2236</v>
      </c>
    </row>
    <row r="3620" spans="17:18" ht="15" customHeight="1" x14ac:dyDescent="0.25">
      <c r="Q3620" t="s">
        <v>4551</v>
      </c>
      <c r="R3620" t="s">
        <v>2236</v>
      </c>
    </row>
    <row r="3621" spans="17:18" ht="15" customHeight="1" x14ac:dyDescent="0.25">
      <c r="Q3621" t="s">
        <v>4552</v>
      </c>
      <c r="R3621" t="s">
        <v>2236</v>
      </c>
    </row>
    <row r="3622" spans="17:18" ht="15" customHeight="1" x14ac:dyDescent="0.25">
      <c r="Q3622" t="s">
        <v>4553</v>
      </c>
      <c r="R3622" t="s">
        <v>2236</v>
      </c>
    </row>
    <row r="3623" spans="17:18" ht="15" customHeight="1" x14ac:dyDescent="0.25">
      <c r="Q3623" t="s">
        <v>4554</v>
      </c>
      <c r="R3623" t="s">
        <v>2236</v>
      </c>
    </row>
    <row r="3624" spans="17:18" ht="15" customHeight="1" x14ac:dyDescent="0.25">
      <c r="Q3624" t="s">
        <v>4555</v>
      </c>
      <c r="R3624" t="s">
        <v>2236</v>
      </c>
    </row>
    <row r="3625" spans="17:18" ht="15" customHeight="1" x14ac:dyDescent="0.25">
      <c r="Q3625" t="s">
        <v>4556</v>
      </c>
      <c r="R3625" t="s">
        <v>2236</v>
      </c>
    </row>
    <row r="3626" spans="17:18" ht="15" customHeight="1" x14ac:dyDescent="0.25">
      <c r="Q3626" t="s">
        <v>4557</v>
      </c>
      <c r="R3626" t="s">
        <v>2236</v>
      </c>
    </row>
    <row r="3627" spans="17:18" ht="15" customHeight="1" x14ac:dyDescent="0.25">
      <c r="Q3627" t="s">
        <v>4558</v>
      </c>
      <c r="R3627" t="s">
        <v>2236</v>
      </c>
    </row>
    <row r="3628" spans="17:18" ht="15" customHeight="1" x14ac:dyDescent="0.25">
      <c r="Q3628" t="s">
        <v>4559</v>
      </c>
      <c r="R3628" t="s">
        <v>2236</v>
      </c>
    </row>
    <row r="3629" spans="17:18" ht="15" customHeight="1" x14ac:dyDescent="0.25">
      <c r="Q3629" t="s">
        <v>4560</v>
      </c>
      <c r="R3629" t="s">
        <v>2236</v>
      </c>
    </row>
    <row r="3630" spans="17:18" ht="15" customHeight="1" x14ac:dyDescent="0.25">
      <c r="Q3630" t="s">
        <v>4561</v>
      </c>
      <c r="R3630" t="s">
        <v>2236</v>
      </c>
    </row>
    <row r="3631" spans="17:18" ht="15" customHeight="1" x14ac:dyDescent="0.25">
      <c r="Q3631" t="s">
        <v>4562</v>
      </c>
      <c r="R3631" t="s">
        <v>2236</v>
      </c>
    </row>
    <row r="3632" spans="17:18" ht="15" customHeight="1" x14ac:dyDescent="0.25">
      <c r="Q3632" t="s">
        <v>4563</v>
      </c>
      <c r="R3632" t="s">
        <v>2236</v>
      </c>
    </row>
    <row r="3633" spans="17:18" ht="15" customHeight="1" x14ac:dyDescent="0.25">
      <c r="Q3633" t="s">
        <v>4564</v>
      </c>
      <c r="R3633" t="s">
        <v>2236</v>
      </c>
    </row>
    <row r="3634" spans="17:18" ht="15" customHeight="1" x14ac:dyDescent="0.25">
      <c r="Q3634" t="s">
        <v>4565</v>
      </c>
      <c r="R3634" t="s">
        <v>2236</v>
      </c>
    </row>
    <row r="3635" spans="17:18" ht="15" customHeight="1" x14ac:dyDescent="0.25">
      <c r="Q3635" t="s">
        <v>4566</v>
      </c>
      <c r="R3635" t="s">
        <v>2236</v>
      </c>
    </row>
    <row r="3636" spans="17:18" ht="15" customHeight="1" x14ac:dyDescent="0.25">
      <c r="Q3636" t="s">
        <v>4567</v>
      </c>
      <c r="R3636" t="s">
        <v>2236</v>
      </c>
    </row>
    <row r="3637" spans="17:18" ht="15" customHeight="1" x14ac:dyDescent="0.25">
      <c r="Q3637" t="s">
        <v>4568</v>
      </c>
      <c r="R3637" t="s">
        <v>2236</v>
      </c>
    </row>
    <row r="3638" spans="17:18" ht="15" customHeight="1" x14ac:dyDescent="0.25">
      <c r="Q3638" t="s">
        <v>4569</v>
      </c>
      <c r="R3638" t="s">
        <v>2236</v>
      </c>
    </row>
    <row r="3639" spans="17:18" ht="15" customHeight="1" x14ac:dyDescent="0.25">
      <c r="Q3639" t="s">
        <v>4570</v>
      </c>
      <c r="R3639" t="s">
        <v>2236</v>
      </c>
    </row>
    <row r="3640" spans="17:18" ht="15" customHeight="1" x14ac:dyDescent="0.25">
      <c r="Q3640" t="s">
        <v>4571</v>
      </c>
      <c r="R3640" t="s">
        <v>2236</v>
      </c>
    </row>
    <row r="3641" spans="17:18" ht="15" customHeight="1" x14ac:dyDescent="0.25">
      <c r="Q3641" t="s">
        <v>4572</v>
      </c>
      <c r="R3641" t="s">
        <v>2236</v>
      </c>
    </row>
    <row r="3642" spans="17:18" ht="15" customHeight="1" x14ac:dyDescent="0.25">
      <c r="Q3642" t="s">
        <v>4573</v>
      </c>
      <c r="R3642" t="s">
        <v>2236</v>
      </c>
    </row>
    <row r="3643" spans="17:18" ht="15" customHeight="1" x14ac:dyDescent="0.25">
      <c r="Q3643" t="s">
        <v>4574</v>
      </c>
      <c r="R3643" t="s">
        <v>2236</v>
      </c>
    </row>
    <row r="3644" spans="17:18" ht="15" customHeight="1" x14ac:dyDescent="0.25">
      <c r="Q3644" t="s">
        <v>4575</v>
      </c>
      <c r="R3644" t="s">
        <v>2236</v>
      </c>
    </row>
    <row r="3645" spans="17:18" ht="15" customHeight="1" x14ac:dyDescent="0.25">
      <c r="Q3645" t="s">
        <v>4576</v>
      </c>
      <c r="R3645" t="s">
        <v>2236</v>
      </c>
    </row>
    <row r="3646" spans="17:18" ht="15" customHeight="1" x14ac:dyDescent="0.25">
      <c r="Q3646" t="s">
        <v>4577</v>
      </c>
      <c r="R3646" t="s">
        <v>2236</v>
      </c>
    </row>
    <row r="3647" spans="17:18" ht="15" customHeight="1" x14ac:dyDescent="0.25">
      <c r="Q3647" t="s">
        <v>4578</v>
      </c>
      <c r="R3647" t="s">
        <v>2236</v>
      </c>
    </row>
    <row r="3648" spans="17:18" ht="15" customHeight="1" x14ac:dyDescent="0.25">
      <c r="Q3648" t="s">
        <v>4579</v>
      </c>
      <c r="R3648" t="s">
        <v>2236</v>
      </c>
    </row>
    <row r="3649" spans="17:18" ht="15" customHeight="1" x14ac:dyDescent="0.25">
      <c r="Q3649" t="s">
        <v>4580</v>
      </c>
      <c r="R3649" t="s">
        <v>2236</v>
      </c>
    </row>
    <row r="3650" spans="17:18" ht="15" customHeight="1" x14ac:dyDescent="0.25">
      <c r="Q3650" t="s">
        <v>4581</v>
      </c>
      <c r="R3650" t="s">
        <v>2236</v>
      </c>
    </row>
    <row r="3651" spans="17:18" ht="15" customHeight="1" x14ac:dyDescent="0.25">
      <c r="Q3651" t="s">
        <v>4582</v>
      </c>
      <c r="R3651" t="s">
        <v>2236</v>
      </c>
    </row>
    <row r="3652" spans="17:18" ht="15" customHeight="1" x14ac:dyDescent="0.25">
      <c r="Q3652" t="s">
        <v>4583</v>
      </c>
      <c r="R3652" t="s">
        <v>2236</v>
      </c>
    </row>
    <row r="3653" spans="17:18" ht="15" customHeight="1" x14ac:dyDescent="0.25">
      <c r="Q3653" t="s">
        <v>4584</v>
      </c>
      <c r="R3653" t="s">
        <v>2236</v>
      </c>
    </row>
    <row r="3654" spans="17:18" ht="15" customHeight="1" x14ac:dyDescent="0.25">
      <c r="Q3654" t="s">
        <v>4585</v>
      </c>
      <c r="R3654" t="s">
        <v>2236</v>
      </c>
    </row>
    <row r="3655" spans="17:18" ht="15" customHeight="1" x14ac:dyDescent="0.25">
      <c r="Q3655" t="s">
        <v>4586</v>
      </c>
      <c r="R3655" t="s">
        <v>2236</v>
      </c>
    </row>
    <row r="3656" spans="17:18" ht="15" customHeight="1" x14ac:dyDescent="0.25">
      <c r="Q3656" t="s">
        <v>4587</v>
      </c>
      <c r="R3656" t="s">
        <v>2236</v>
      </c>
    </row>
    <row r="3657" spans="17:18" ht="15" customHeight="1" x14ac:dyDescent="0.25">
      <c r="Q3657" t="s">
        <v>4588</v>
      </c>
      <c r="R3657" t="s">
        <v>2236</v>
      </c>
    </row>
    <row r="3658" spans="17:18" ht="15" customHeight="1" x14ac:dyDescent="0.25">
      <c r="Q3658" t="s">
        <v>4589</v>
      </c>
      <c r="R3658" t="s">
        <v>2236</v>
      </c>
    </row>
    <row r="3659" spans="17:18" ht="15" customHeight="1" x14ac:dyDescent="0.25">
      <c r="Q3659" t="s">
        <v>4590</v>
      </c>
      <c r="R3659" t="s">
        <v>2236</v>
      </c>
    </row>
    <row r="3660" spans="17:18" ht="15" customHeight="1" x14ac:dyDescent="0.25">
      <c r="Q3660" t="s">
        <v>4591</v>
      </c>
      <c r="R3660" t="s">
        <v>2236</v>
      </c>
    </row>
    <row r="3661" spans="17:18" ht="15" customHeight="1" x14ac:dyDescent="0.25">
      <c r="Q3661" t="s">
        <v>4592</v>
      </c>
      <c r="R3661" t="s">
        <v>2236</v>
      </c>
    </row>
    <row r="3662" spans="17:18" ht="15" customHeight="1" x14ac:dyDescent="0.25">
      <c r="Q3662" t="s">
        <v>4593</v>
      </c>
      <c r="R3662" t="s">
        <v>2236</v>
      </c>
    </row>
    <row r="3663" spans="17:18" ht="15" customHeight="1" x14ac:dyDescent="0.25">
      <c r="Q3663" t="s">
        <v>4594</v>
      </c>
      <c r="R3663" t="s">
        <v>2236</v>
      </c>
    </row>
    <row r="3664" spans="17:18" ht="15" customHeight="1" x14ac:dyDescent="0.25">
      <c r="Q3664" t="s">
        <v>4595</v>
      </c>
      <c r="R3664" t="s">
        <v>2236</v>
      </c>
    </row>
    <row r="3665" spans="17:18" ht="15" customHeight="1" x14ac:dyDescent="0.25">
      <c r="Q3665" t="s">
        <v>4596</v>
      </c>
      <c r="R3665" t="s">
        <v>2236</v>
      </c>
    </row>
    <row r="3666" spans="17:18" ht="15" customHeight="1" x14ac:dyDescent="0.25">
      <c r="Q3666" t="s">
        <v>4597</v>
      </c>
      <c r="R3666" t="s">
        <v>2236</v>
      </c>
    </row>
    <row r="3667" spans="17:18" ht="15" customHeight="1" x14ac:dyDescent="0.25">
      <c r="Q3667" t="s">
        <v>4598</v>
      </c>
      <c r="R3667" t="s">
        <v>2236</v>
      </c>
    </row>
    <row r="3668" spans="17:18" ht="15" customHeight="1" x14ac:dyDescent="0.25">
      <c r="Q3668" t="s">
        <v>4599</v>
      </c>
      <c r="R3668" t="s">
        <v>2236</v>
      </c>
    </row>
    <row r="3669" spans="17:18" ht="15" customHeight="1" x14ac:dyDescent="0.25">
      <c r="Q3669" t="s">
        <v>4600</v>
      </c>
      <c r="R3669" t="s">
        <v>2236</v>
      </c>
    </row>
    <row r="3670" spans="17:18" ht="15" customHeight="1" x14ac:dyDescent="0.25">
      <c r="Q3670" t="s">
        <v>4601</v>
      </c>
      <c r="R3670" t="s">
        <v>2236</v>
      </c>
    </row>
    <row r="3671" spans="17:18" ht="15" customHeight="1" x14ac:dyDescent="0.25">
      <c r="Q3671" t="s">
        <v>4602</v>
      </c>
      <c r="R3671" t="s">
        <v>2236</v>
      </c>
    </row>
    <row r="3672" spans="17:18" ht="15" customHeight="1" x14ac:dyDescent="0.25">
      <c r="Q3672" t="s">
        <v>4603</v>
      </c>
      <c r="R3672" t="s">
        <v>2236</v>
      </c>
    </row>
    <row r="3673" spans="17:18" ht="15" customHeight="1" x14ac:dyDescent="0.25">
      <c r="Q3673" t="s">
        <v>4604</v>
      </c>
      <c r="R3673" t="s">
        <v>2236</v>
      </c>
    </row>
    <row r="3674" spans="17:18" ht="15" customHeight="1" x14ac:dyDescent="0.25">
      <c r="Q3674" t="s">
        <v>4605</v>
      </c>
      <c r="R3674" t="s">
        <v>2236</v>
      </c>
    </row>
    <row r="3675" spans="17:18" ht="15" customHeight="1" x14ac:dyDescent="0.25">
      <c r="Q3675" t="s">
        <v>4606</v>
      </c>
      <c r="R3675" t="s">
        <v>2236</v>
      </c>
    </row>
    <row r="3676" spans="17:18" ht="15" customHeight="1" x14ac:dyDescent="0.25">
      <c r="Q3676" t="s">
        <v>4607</v>
      </c>
      <c r="R3676" t="s">
        <v>2236</v>
      </c>
    </row>
    <row r="3677" spans="17:18" ht="15" customHeight="1" x14ac:dyDescent="0.25">
      <c r="Q3677" t="s">
        <v>4608</v>
      </c>
      <c r="R3677" t="s">
        <v>2236</v>
      </c>
    </row>
    <row r="3678" spans="17:18" ht="15" customHeight="1" x14ac:dyDescent="0.25">
      <c r="Q3678" t="s">
        <v>4609</v>
      </c>
      <c r="R3678" t="s">
        <v>2236</v>
      </c>
    </row>
    <row r="3679" spans="17:18" ht="15" customHeight="1" x14ac:dyDescent="0.25">
      <c r="Q3679" t="s">
        <v>4610</v>
      </c>
      <c r="R3679" t="s">
        <v>2236</v>
      </c>
    </row>
    <row r="3680" spans="17:18" ht="15" customHeight="1" x14ac:dyDescent="0.25">
      <c r="Q3680" t="s">
        <v>4611</v>
      </c>
      <c r="R3680" t="s">
        <v>2236</v>
      </c>
    </row>
    <row r="3681" spans="17:18" ht="15" customHeight="1" x14ac:dyDescent="0.25">
      <c r="Q3681" t="s">
        <v>4612</v>
      </c>
      <c r="R3681" t="s">
        <v>2236</v>
      </c>
    </row>
    <row r="3682" spans="17:18" ht="15" customHeight="1" x14ac:dyDescent="0.25">
      <c r="Q3682" t="s">
        <v>4613</v>
      </c>
      <c r="R3682" t="s">
        <v>2236</v>
      </c>
    </row>
    <row r="3683" spans="17:18" ht="15" customHeight="1" x14ac:dyDescent="0.25">
      <c r="Q3683" t="s">
        <v>4614</v>
      </c>
      <c r="R3683" t="s">
        <v>2236</v>
      </c>
    </row>
    <row r="3684" spans="17:18" ht="15" customHeight="1" x14ac:dyDescent="0.25">
      <c r="Q3684" t="s">
        <v>4615</v>
      </c>
      <c r="R3684" t="s">
        <v>2236</v>
      </c>
    </row>
    <row r="3685" spans="17:18" ht="15" customHeight="1" x14ac:dyDescent="0.25">
      <c r="Q3685" t="s">
        <v>4616</v>
      </c>
      <c r="R3685" t="s">
        <v>2236</v>
      </c>
    </row>
    <row r="3686" spans="17:18" ht="15" customHeight="1" x14ac:dyDescent="0.25">
      <c r="Q3686" t="s">
        <v>4617</v>
      </c>
      <c r="R3686" t="s">
        <v>2236</v>
      </c>
    </row>
    <row r="3687" spans="17:18" ht="15" customHeight="1" x14ac:dyDescent="0.25">
      <c r="Q3687" t="s">
        <v>4618</v>
      </c>
      <c r="R3687" t="s">
        <v>2236</v>
      </c>
    </row>
    <row r="3688" spans="17:18" ht="15" customHeight="1" x14ac:dyDescent="0.25">
      <c r="Q3688" t="s">
        <v>4619</v>
      </c>
      <c r="R3688" t="s">
        <v>2236</v>
      </c>
    </row>
    <row r="3689" spans="17:18" ht="15" customHeight="1" x14ac:dyDescent="0.25">
      <c r="Q3689" t="s">
        <v>4620</v>
      </c>
      <c r="R3689" t="s">
        <v>2236</v>
      </c>
    </row>
    <row r="3690" spans="17:18" ht="15" customHeight="1" x14ac:dyDescent="0.25">
      <c r="Q3690" t="s">
        <v>4621</v>
      </c>
      <c r="R3690" t="s">
        <v>2236</v>
      </c>
    </row>
    <row r="3691" spans="17:18" ht="15" customHeight="1" x14ac:dyDescent="0.25">
      <c r="Q3691" t="s">
        <v>4622</v>
      </c>
      <c r="R3691" t="s">
        <v>2236</v>
      </c>
    </row>
    <row r="3692" spans="17:18" ht="15" customHeight="1" x14ac:dyDescent="0.25">
      <c r="Q3692" t="s">
        <v>4623</v>
      </c>
      <c r="R3692" t="s">
        <v>2236</v>
      </c>
    </row>
    <row r="3693" spans="17:18" ht="15" customHeight="1" x14ac:dyDescent="0.25">
      <c r="Q3693" t="s">
        <v>4624</v>
      </c>
      <c r="R3693" t="s">
        <v>2236</v>
      </c>
    </row>
    <row r="3694" spans="17:18" ht="15" customHeight="1" x14ac:dyDescent="0.25">
      <c r="Q3694" t="s">
        <v>4625</v>
      </c>
      <c r="R3694" t="s">
        <v>2236</v>
      </c>
    </row>
    <row r="3695" spans="17:18" ht="15" customHeight="1" x14ac:dyDescent="0.25">
      <c r="Q3695" t="s">
        <v>4626</v>
      </c>
      <c r="R3695" t="s">
        <v>1002</v>
      </c>
    </row>
    <row r="3696" spans="17:18" ht="15" customHeight="1" x14ac:dyDescent="0.25">
      <c r="Q3696" t="s">
        <v>4627</v>
      </c>
      <c r="R3696" t="s">
        <v>1002</v>
      </c>
    </row>
    <row r="3697" spans="17:18" ht="15" customHeight="1" x14ac:dyDescent="0.25">
      <c r="Q3697" t="s">
        <v>4628</v>
      </c>
      <c r="R3697" t="s">
        <v>279</v>
      </c>
    </row>
    <row r="3698" spans="17:18" ht="15" customHeight="1" x14ac:dyDescent="0.25">
      <c r="Q3698" t="s">
        <v>4629</v>
      </c>
      <c r="R3698" t="s">
        <v>275</v>
      </c>
    </row>
    <row r="3699" spans="17:18" ht="15" customHeight="1" x14ac:dyDescent="0.25">
      <c r="Q3699" t="s">
        <v>4630</v>
      </c>
      <c r="R3699" t="s">
        <v>2236</v>
      </c>
    </row>
    <row r="3700" spans="17:18" ht="15" customHeight="1" x14ac:dyDescent="0.25">
      <c r="Q3700" t="s">
        <v>4631</v>
      </c>
      <c r="R3700" t="s">
        <v>2236</v>
      </c>
    </row>
    <row r="3701" spans="17:18" ht="15" customHeight="1" x14ac:dyDescent="0.25">
      <c r="Q3701" t="s">
        <v>4632</v>
      </c>
      <c r="R3701" t="s">
        <v>2236</v>
      </c>
    </row>
    <row r="3702" spans="17:18" ht="15" customHeight="1" x14ac:dyDescent="0.25">
      <c r="Q3702" t="s">
        <v>4633</v>
      </c>
      <c r="R3702" t="s">
        <v>2236</v>
      </c>
    </row>
    <row r="3703" spans="17:18" ht="15" customHeight="1" x14ac:dyDescent="0.25">
      <c r="Q3703" t="s">
        <v>4634</v>
      </c>
      <c r="R3703" t="s">
        <v>2236</v>
      </c>
    </row>
    <row r="3704" spans="17:18" ht="15" customHeight="1" x14ac:dyDescent="0.25">
      <c r="Q3704" t="s">
        <v>4635</v>
      </c>
      <c r="R3704" t="s">
        <v>2236</v>
      </c>
    </row>
    <row r="3705" spans="17:18" ht="15" customHeight="1" x14ac:dyDescent="0.25">
      <c r="Q3705" t="s">
        <v>4636</v>
      </c>
      <c r="R3705" t="s">
        <v>2236</v>
      </c>
    </row>
    <row r="3706" spans="17:18" ht="15" customHeight="1" x14ac:dyDescent="0.25">
      <c r="Q3706" t="s">
        <v>4637</v>
      </c>
      <c r="R3706" t="s">
        <v>2236</v>
      </c>
    </row>
    <row r="3707" spans="17:18" ht="15" customHeight="1" x14ac:dyDescent="0.25">
      <c r="Q3707" t="s">
        <v>4638</v>
      </c>
      <c r="R3707" t="s">
        <v>2236</v>
      </c>
    </row>
    <row r="3708" spans="17:18" ht="15" customHeight="1" x14ac:dyDescent="0.25">
      <c r="Q3708" t="s">
        <v>4639</v>
      </c>
      <c r="R3708" t="s">
        <v>2236</v>
      </c>
    </row>
    <row r="3709" spans="17:18" ht="15" customHeight="1" x14ac:dyDescent="0.25">
      <c r="Q3709" t="s">
        <v>4640</v>
      </c>
      <c r="R3709" t="s">
        <v>2236</v>
      </c>
    </row>
    <row r="3710" spans="17:18" ht="15" customHeight="1" x14ac:dyDescent="0.25">
      <c r="Q3710" t="s">
        <v>4641</v>
      </c>
      <c r="R3710" t="s">
        <v>2236</v>
      </c>
    </row>
    <row r="3711" spans="17:18" ht="15" customHeight="1" x14ac:dyDescent="0.25">
      <c r="Q3711" t="s">
        <v>4642</v>
      </c>
      <c r="R3711" t="s">
        <v>2236</v>
      </c>
    </row>
    <row r="3712" spans="17:18" ht="15" customHeight="1" x14ac:dyDescent="0.25">
      <c r="Q3712" t="s">
        <v>4643</v>
      </c>
      <c r="R3712" t="s">
        <v>2236</v>
      </c>
    </row>
    <row r="3713" spans="17:18" ht="15" customHeight="1" x14ac:dyDescent="0.25">
      <c r="Q3713" t="s">
        <v>4644</v>
      </c>
      <c r="R3713" t="s">
        <v>2236</v>
      </c>
    </row>
    <row r="3714" spans="17:18" ht="15" customHeight="1" x14ac:dyDescent="0.25">
      <c r="Q3714" t="s">
        <v>4645</v>
      </c>
      <c r="R3714" t="s">
        <v>2236</v>
      </c>
    </row>
    <row r="3715" spans="17:18" ht="15" customHeight="1" x14ac:dyDescent="0.25">
      <c r="Q3715" t="s">
        <v>4646</v>
      </c>
      <c r="R3715" t="s">
        <v>2236</v>
      </c>
    </row>
    <row r="3716" spans="17:18" ht="15" customHeight="1" x14ac:dyDescent="0.25">
      <c r="Q3716" t="s">
        <v>4647</v>
      </c>
      <c r="R3716" t="s">
        <v>2236</v>
      </c>
    </row>
    <row r="3717" spans="17:18" ht="15" customHeight="1" x14ac:dyDescent="0.25">
      <c r="Q3717" t="s">
        <v>4648</v>
      </c>
      <c r="R3717" t="s">
        <v>2236</v>
      </c>
    </row>
    <row r="3718" spans="17:18" ht="15" customHeight="1" x14ac:dyDescent="0.25">
      <c r="Q3718" t="s">
        <v>4649</v>
      </c>
      <c r="R3718" t="s">
        <v>2236</v>
      </c>
    </row>
    <row r="3719" spans="17:18" ht="15" customHeight="1" x14ac:dyDescent="0.25">
      <c r="Q3719" t="s">
        <v>4650</v>
      </c>
      <c r="R3719" t="s">
        <v>2236</v>
      </c>
    </row>
    <row r="3720" spans="17:18" ht="15" customHeight="1" x14ac:dyDescent="0.25">
      <c r="Q3720" t="s">
        <v>4651</v>
      </c>
      <c r="R3720" t="s">
        <v>2236</v>
      </c>
    </row>
    <row r="3721" spans="17:18" ht="15" customHeight="1" x14ac:dyDescent="0.25">
      <c r="Q3721" t="s">
        <v>4652</v>
      </c>
      <c r="R3721" t="s">
        <v>2236</v>
      </c>
    </row>
    <row r="3722" spans="17:18" ht="15" customHeight="1" x14ac:dyDescent="0.25">
      <c r="Q3722" t="s">
        <v>4653</v>
      </c>
      <c r="R3722" t="s">
        <v>2236</v>
      </c>
    </row>
    <row r="3723" spans="17:18" ht="15" customHeight="1" x14ac:dyDescent="0.25">
      <c r="Q3723" t="s">
        <v>4654</v>
      </c>
      <c r="R3723" t="s">
        <v>2236</v>
      </c>
    </row>
    <row r="3724" spans="17:18" ht="15" customHeight="1" x14ac:dyDescent="0.25">
      <c r="Q3724" t="s">
        <v>4655</v>
      </c>
      <c r="R3724" t="s">
        <v>2236</v>
      </c>
    </row>
    <row r="3725" spans="17:18" ht="15" customHeight="1" x14ac:dyDescent="0.25">
      <c r="Q3725" t="s">
        <v>4656</v>
      </c>
      <c r="R3725" t="s">
        <v>2236</v>
      </c>
    </row>
    <row r="3726" spans="17:18" ht="15" customHeight="1" x14ac:dyDescent="0.25">
      <c r="Q3726" t="s">
        <v>4657</v>
      </c>
      <c r="R3726" t="s">
        <v>2236</v>
      </c>
    </row>
    <row r="3727" spans="17:18" ht="15" customHeight="1" x14ac:dyDescent="0.25">
      <c r="Q3727" t="s">
        <v>4658</v>
      </c>
      <c r="R3727" t="s">
        <v>2236</v>
      </c>
    </row>
    <row r="3728" spans="17:18" ht="15" customHeight="1" x14ac:dyDescent="0.25">
      <c r="Q3728" t="s">
        <v>4659</v>
      </c>
      <c r="R3728" t="s">
        <v>2236</v>
      </c>
    </row>
    <row r="3729" spans="17:18" ht="15" customHeight="1" x14ac:dyDescent="0.25">
      <c r="Q3729" t="s">
        <v>4660</v>
      </c>
      <c r="R3729" t="s">
        <v>2236</v>
      </c>
    </row>
    <row r="3730" spans="17:18" ht="15" customHeight="1" x14ac:dyDescent="0.25">
      <c r="Q3730" t="s">
        <v>4661</v>
      </c>
      <c r="R3730" t="s">
        <v>2236</v>
      </c>
    </row>
    <row r="3731" spans="17:18" ht="15" customHeight="1" x14ac:dyDescent="0.25">
      <c r="Q3731" t="s">
        <v>4662</v>
      </c>
      <c r="R3731" t="s">
        <v>2236</v>
      </c>
    </row>
    <row r="3732" spans="17:18" ht="15" customHeight="1" x14ac:dyDescent="0.25">
      <c r="Q3732" t="s">
        <v>4663</v>
      </c>
      <c r="R3732" t="s">
        <v>2236</v>
      </c>
    </row>
    <row r="3733" spans="17:18" ht="15" customHeight="1" x14ac:dyDescent="0.25">
      <c r="Q3733" t="s">
        <v>4664</v>
      </c>
      <c r="R3733" t="s">
        <v>2236</v>
      </c>
    </row>
    <row r="3734" spans="17:18" ht="15" customHeight="1" x14ac:dyDescent="0.25">
      <c r="Q3734" t="s">
        <v>4665</v>
      </c>
      <c r="R3734" t="s">
        <v>2236</v>
      </c>
    </row>
    <row r="3735" spans="17:18" ht="15" customHeight="1" x14ac:dyDescent="0.25">
      <c r="Q3735" t="s">
        <v>4666</v>
      </c>
      <c r="R3735" t="s">
        <v>2236</v>
      </c>
    </row>
    <row r="3736" spans="17:18" ht="15" customHeight="1" x14ac:dyDescent="0.25">
      <c r="Q3736" t="s">
        <v>4667</v>
      </c>
      <c r="R3736" t="s">
        <v>2236</v>
      </c>
    </row>
    <row r="3737" spans="17:18" ht="15" customHeight="1" x14ac:dyDescent="0.25">
      <c r="Q3737" t="s">
        <v>4668</v>
      </c>
      <c r="R3737" t="s">
        <v>1002</v>
      </c>
    </row>
    <row r="3738" spans="17:18" ht="15" customHeight="1" x14ac:dyDescent="0.25">
      <c r="Q3738" t="s">
        <v>4669</v>
      </c>
      <c r="R3738" t="s">
        <v>2236</v>
      </c>
    </row>
    <row r="3739" spans="17:18" ht="15" customHeight="1" x14ac:dyDescent="0.25">
      <c r="Q3739" t="s">
        <v>4670</v>
      </c>
      <c r="R3739" t="s">
        <v>2236</v>
      </c>
    </row>
    <row r="3740" spans="17:18" ht="15" customHeight="1" x14ac:dyDescent="0.25">
      <c r="Q3740" t="s">
        <v>4671</v>
      </c>
      <c r="R3740" t="s">
        <v>2236</v>
      </c>
    </row>
    <row r="3741" spans="17:18" ht="15" customHeight="1" x14ac:dyDescent="0.25">
      <c r="Q3741" t="s">
        <v>4672</v>
      </c>
      <c r="R3741" t="s">
        <v>2236</v>
      </c>
    </row>
    <row r="3742" spans="17:18" ht="15" customHeight="1" x14ac:dyDescent="0.25">
      <c r="Q3742" t="s">
        <v>4673</v>
      </c>
      <c r="R3742" t="s">
        <v>2236</v>
      </c>
    </row>
    <row r="3743" spans="17:18" ht="15" customHeight="1" x14ac:dyDescent="0.25">
      <c r="Q3743" t="s">
        <v>4674</v>
      </c>
      <c r="R3743" t="s">
        <v>2236</v>
      </c>
    </row>
    <row r="3744" spans="17:18" ht="15" customHeight="1" x14ac:dyDescent="0.25">
      <c r="Q3744" t="s">
        <v>4675</v>
      </c>
      <c r="R3744" t="s">
        <v>2236</v>
      </c>
    </row>
    <row r="3745" spans="17:18" ht="15" customHeight="1" x14ac:dyDescent="0.25">
      <c r="Q3745" t="s">
        <v>4676</v>
      </c>
      <c r="R3745" t="s">
        <v>2236</v>
      </c>
    </row>
    <row r="3746" spans="17:18" ht="15" customHeight="1" x14ac:dyDescent="0.25">
      <c r="Q3746" t="s">
        <v>4677</v>
      </c>
      <c r="R3746" t="s">
        <v>2236</v>
      </c>
    </row>
    <row r="3747" spans="17:18" ht="15" customHeight="1" x14ac:dyDescent="0.25">
      <c r="Q3747" t="s">
        <v>4678</v>
      </c>
      <c r="R3747" t="s">
        <v>2236</v>
      </c>
    </row>
    <row r="3748" spans="17:18" ht="15" customHeight="1" x14ac:dyDescent="0.25">
      <c r="Q3748" t="s">
        <v>4679</v>
      </c>
      <c r="R3748" t="s">
        <v>2236</v>
      </c>
    </row>
    <row r="3749" spans="17:18" ht="15" customHeight="1" x14ac:dyDescent="0.25">
      <c r="Q3749" t="s">
        <v>4680</v>
      </c>
      <c r="R3749" t="s">
        <v>2236</v>
      </c>
    </row>
    <row r="3750" spans="17:18" ht="15" customHeight="1" x14ac:dyDescent="0.25">
      <c r="Q3750" t="s">
        <v>4681</v>
      </c>
      <c r="R3750" t="s">
        <v>2236</v>
      </c>
    </row>
    <row r="3751" spans="17:18" ht="15" customHeight="1" x14ac:dyDescent="0.25">
      <c r="Q3751" t="s">
        <v>4682</v>
      </c>
      <c r="R3751" t="s">
        <v>1002</v>
      </c>
    </row>
    <row r="3752" spans="17:18" ht="15" customHeight="1" x14ac:dyDescent="0.25">
      <c r="Q3752" t="s">
        <v>4683</v>
      </c>
      <c r="R3752" t="s">
        <v>1002</v>
      </c>
    </row>
    <row r="3753" spans="17:18" ht="15" customHeight="1" x14ac:dyDescent="0.25">
      <c r="Q3753" t="s">
        <v>4684</v>
      </c>
      <c r="R3753" t="s">
        <v>1002</v>
      </c>
    </row>
    <row r="3754" spans="17:18" ht="15" customHeight="1" x14ac:dyDescent="0.25">
      <c r="Q3754" t="s">
        <v>4685</v>
      </c>
      <c r="R3754" t="s">
        <v>1002</v>
      </c>
    </row>
    <row r="3755" spans="17:18" ht="15" customHeight="1" x14ac:dyDescent="0.25">
      <c r="Q3755" t="s">
        <v>4686</v>
      </c>
      <c r="R3755" t="s">
        <v>1002</v>
      </c>
    </row>
    <row r="3756" spans="17:18" ht="15" customHeight="1" x14ac:dyDescent="0.25">
      <c r="Q3756" t="s">
        <v>4687</v>
      </c>
      <c r="R3756" t="s">
        <v>1002</v>
      </c>
    </row>
    <row r="3757" spans="17:18" ht="15" customHeight="1" x14ac:dyDescent="0.25">
      <c r="Q3757" t="s">
        <v>4688</v>
      </c>
      <c r="R3757" t="s">
        <v>1002</v>
      </c>
    </row>
    <row r="3758" spans="17:18" ht="15" customHeight="1" x14ac:dyDescent="0.25">
      <c r="Q3758" t="s">
        <v>4689</v>
      </c>
      <c r="R3758" t="s">
        <v>1002</v>
      </c>
    </row>
    <row r="3759" spans="17:18" ht="15" customHeight="1" x14ac:dyDescent="0.25">
      <c r="Q3759" t="s">
        <v>4690</v>
      </c>
      <c r="R3759" t="s">
        <v>1002</v>
      </c>
    </row>
    <row r="3760" spans="17:18" ht="15" customHeight="1" x14ac:dyDescent="0.25">
      <c r="Q3760" t="s">
        <v>4691</v>
      </c>
      <c r="R3760" t="s">
        <v>1002</v>
      </c>
    </row>
    <row r="3761" spans="17:18" ht="15" customHeight="1" x14ac:dyDescent="0.25">
      <c r="Q3761" t="s">
        <v>4692</v>
      </c>
      <c r="R3761" t="s">
        <v>1002</v>
      </c>
    </row>
    <row r="3762" spans="17:18" ht="15" customHeight="1" x14ac:dyDescent="0.25">
      <c r="Q3762" t="s">
        <v>4693</v>
      </c>
      <c r="R3762" t="s">
        <v>936</v>
      </c>
    </row>
    <row r="3763" spans="17:18" ht="15" customHeight="1" x14ac:dyDescent="0.25">
      <c r="Q3763" t="s">
        <v>4694</v>
      </c>
      <c r="R3763" t="s">
        <v>936</v>
      </c>
    </row>
    <row r="3764" spans="17:18" ht="15" customHeight="1" x14ac:dyDescent="0.25">
      <c r="Q3764" t="s">
        <v>4695</v>
      </c>
      <c r="R3764" t="s">
        <v>936</v>
      </c>
    </row>
    <row r="3765" spans="17:18" ht="15" customHeight="1" x14ac:dyDescent="0.25">
      <c r="Q3765" t="s">
        <v>4696</v>
      </c>
      <c r="R3765" t="s">
        <v>936</v>
      </c>
    </row>
    <row r="3766" spans="17:18" ht="15" customHeight="1" x14ac:dyDescent="0.25">
      <c r="Q3766" t="s">
        <v>4697</v>
      </c>
      <c r="R3766" t="s">
        <v>936</v>
      </c>
    </row>
    <row r="3767" spans="17:18" ht="15" customHeight="1" x14ac:dyDescent="0.25">
      <c r="Q3767" t="s">
        <v>4698</v>
      </c>
      <c r="R3767" t="s">
        <v>1002</v>
      </c>
    </row>
    <row r="3768" spans="17:18" ht="15" customHeight="1" x14ac:dyDescent="0.25">
      <c r="Q3768" t="s">
        <v>4699</v>
      </c>
      <c r="R3768" t="s">
        <v>1002</v>
      </c>
    </row>
    <row r="3769" spans="17:18" ht="15" customHeight="1" x14ac:dyDescent="0.25">
      <c r="Q3769" t="s">
        <v>4700</v>
      </c>
      <c r="R3769" t="s">
        <v>2236</v>
      </c>
    </row>
    <row r="3770" spans="17:18" ht="15" customHeight="1" x14ac:dyDescent="0.25">
      <c r="Q3770" t="s">
        <v>4701</v>
      </c>
      <c r="R3770" t="s">
        <v>1002</v>
      </c>
    </row>
    <row r="3771" spans="17:18" ht="15" customHeight="1" x14ac:dyDescent="0.25">
      <c r="Q3771" t="s">
        <v>4702</v>
      </c>
      <c r="R3771" t="s">
        <v>1002</v>
      </c>
    </row>
    <row r="3772" spans="17:18" ht="15" customHeight="1" x14ac:dyDescent="0.25">
      <c r="Q3772" t="s">
        <v>4703</v>
      </c>
      <c r="R3772" t="s">
        <v>1002</v>
      </c>
    </row>
    <row r="3773" spans="17:18" ht="15" customHeight="1" x14ac:dyDescent="0.25">
      <c r="Q3773" t="s">
        <v>4704</v>
      </c>
      <c r="R3773" t="s">
        <v>1002</v>
      </c>
    </row>
    <row r="3774" spans="17:18" ht="15" customHeight="1" x14ac:dyDescent="0.25">
      <c r="Q3774" t="s">
        <v>4705</v>
      </c>
      <c r="R3774" t="s">
        <v>2236</v>
      </c>
    </row>
    <row r="3775" spans="17:18" ht="15" customHeight="1" x14ac:dyDescent="0.25">
      <c r="Q3775" t="s">
        <v>4706</v>
      </c>
      <c r="R3775" t="s">
        <v>2236</v>
      </c>
    </row>
    <row r="3776" spans="17:18" ht="15" customHeight="1" x14ac:dyDescent="0.25">
      <c r="Q3776" t="s">
        <v>4707</v>
      </c>
      <c r="R3776" t="s">
        <v>2236</v>
      </c>
    </row>
    <row r="3777" spans="17:18" ht="15" customHeight="1" x14ac:dyDescent="0.25">
      <c r="Q3777" t="s">
        <v>4708</v>
      </c>
      <c r="R3777" t="s">
        <v>2236</v>
      </c>
    </row>
    <row r="3778" spans="17:18" ht="15" customHeight="1" x14ac:dyDescent="0.25">
      <c r="Q3778" t="s">
        <v>4709</v>
      </c>
      <c r="R3778" t="s">
        <v>2236</v>
      </c>
    </row>
    <row r="3779" spans="17:18" ht="15" customHeight="1" x14ac:dyDescent="0.25">
      <c r="Q3779" t="s">
        <v>4710</v>
      </c>
      <c r="R3779" t="s">
        <v>2236</v>
      </c>
    </row>
    <row r="3780" spans="17:18" ht="15" customHeight="1" x14ac:dyDescent="0.25">
      <c r="Q3780" t="s">
        <v>4711</v>
      </c>
      <c r="R3780" t="s">
        <v>2236</v>
      </c>
    </row>
    <row r="3781" spans="17:18" ht="15" customHeight="1" x14ac:dyDescent="0.25">
      <c r="Q3781" t="s">
        <v>4712</v>
      </c>
      <c r="R3781" t="s">
        <v>2236</v>
      </c>
    </row>
    <row r="3782" spans="17:18" ht="15" customHeight="1" x14ac:dyDescent="0.25">
      <c r="Q3782" t="s">
        <v>4713</v>
      </c>
      <c r="R3782" t="s">
        <v>2236</v>
      </c>
    </row>
    <row r="3783" spans="17:18" ht="15" customHeight="1" x14ac:dyDescent="0.25">
      <c r="Q3783" t="s">
        <v>4714</v>
      </c>
      <c r="R3783" t="s">
        <v>2236</v>
      </c>
    </row>
    <row r="3784" spans="17:18" ht="15" customHeight="1" x14ac:dyDescent="0.25">
      <c r="Q3784" t="s">
        <v>4715</v>
      </c>
      <c r="R3784" t="s">
        <v>2236</v>
      </c>
    </row>
    <row r="3785" spans="17:18" ht="15" customHeight="1" x14ac:dyDescent="0.25">
      <c r="Q3785" t="s">
        <v>4716</v>
      </c>
      <c r="R3785" t="s">
        <v>2236</v>
      </c>
    </row>
    <row r="3786" spans="17:18" ht="15" customHeight="1" x14ac:dyDescent="0.25">
      <c r="Q3786" t="s">
        <v>4717</v>
      </c>
      <c r="R3786" t="s">
        <v>2236</v>
      </c>
    </row>
    <row r="3787" spans="17:18" ht="15" customHeight="1" x14ac:dyDescent="0.25">
      <c r="Q3787" t="s">
        <v>4718</v>
      </c>
      <c r="R3787" t="s">
        <v>2236</v>
      </c>
    </row>
    <row r="3788" spans="17:18" ht="15" customHeight="1" x14ac:dyDescent="0.25">
      <c r="Q3788" t="s">
        <v>4719</v>
      </c>
      <c r="R3788" t="s">
        <v>2236</v>
      </c>
    </row>
    <row r="3789" spans="17:18" ht="15" customHeight="1" x14ac:dyDescent="0.25">
      <c r="Q3789" t="s">
        <v>4720</v>
      </c>
      <c r="R3789" t="s">
        <v>2236</v>
      </c>
    </row>
    <row r="3790" spans="17:18" ht="15" customHeight="1" x14ac:dyDescent="0.25">
      <c r="Q3790" t="s">
        <v>4721</v>
      </c>
      <c r="R3790" t="s">
        <v>2236</v>
      </c>
    </row>
    <row r="3791" spans="17:18" ht="15" customHeight="1" x14ac:dyDescent="0.25">
      <c r="Q3791" t="s">
        <v>4722</v>
      </c>
      <c r="R3791" t="s">
        <v>2236</v>
      </c>
    </row>
    <row r="3792" spans="17:18" ht="15" customHeight="1" x14ac:dyDescent="0.25">
      <c r="Q3792" t="s">
        <v>4723</v>
      </c>
      <c r="R3792" t="s">
        <v>2236</v>
      </c>
    </row>
    <row r="3793" spans="17:18" ht="15" customHeight="1" x14ac:dyDescent="0.25">
      <c r="Q3793" t="s">
        <v>4724</v>
      </c>
      <c r="R3793" t="s">
        <v>2236</v>
      </c>
    </row>
    <row r="3794" spans="17:18" ht="15" customHeight="1" x14ac:dyDescent="0.25">
      <c r="Q3794" t="s">
        <v>4725</v>
      </c>
      <c r="R3794" t="s">
        <v>2236</v>
      </c>
    </row>
    <row r="3795" spans="17:18" ht="15" customHeight="1" x14ac:dyDescent="0.25">
      <c r="Q3795" t="s">
        <v>4726</v>
      </c>
      <c r="R3795" t="s">
        <v>2236</v>
      </c>
    </row>
    <row r="3796" spans="17:18" ht="15" customHeight="1" x14ac:dyDescent="0.25">
      <c r="Q3796" t="s">
        <v>4727</v>
      </c>
      <c r="R3796" t="s">
        <v>2236</v>
      </c>
    </row>
    <row r="3797" spans="17:18" ht="15" customHeight="1" x14ac:dyDescent="0.25">
      <c r="Q3797" t="s">
        <v>4728</v>
      </c>
      <c r="R3797" t="s">
        <v>2236</v>
      </c>
    </row>
    <row r="3798" spans="17:18" ht="15" customHeight="1" x14ac:dyDescent="0.25">
      <c r="Q3798" t="s">
        <v>4729</v>
      </c>
      <c r="R3798" t="s">
        <v>2236</v>
      </c>
    </row>
    <row r="3799" spans="17:18" ht="15" customHeight="1" x14ac:dyDescent="0.25">
      <c r="Q3799" t="s">
        <v>4730</v>
      </c>
      <c r="R3799" t="s">
        <v>2236</v>
      </c>
    </row>
    <row r="3800" spans="17:18" ht="15" customHeight="1" x14ac:dyDescent="0.25">
      <c r="Q3800" t="s">
        <v>4731</v>
      </c>
      <c r="R3800" t="s">
        <v>2236</v>
      </c>
    </row>
    <row r="3801" spans="17:18" ht="15" customHeight="1" x14ac:dyDescent="0.25">
      <c r="Q3801" t="s">
        <v>4732</v>
      </c>
      <c r="R3801" t="s">
        <v>2236</v>
      </c>
    </row>
    <row r="3802" spans="17:18" ht="15" customHeight="1" x14ac:dyDescent="0.25">
      <c r="Q3802" t="s">
        <v>4733</v>
      </c>
      <c r="R3802" t="s">
        <v>2236</v>
      </c>
    </row>
    <row r="3803" spans="17:18" ht="15" customHeight="1" x14ac:dyDescent="0.25">
      <c r="Q3803" t="s">
        <v>4734</v>
      </c>
      <c r="R3803" t="s">
        <v>2236</v>
      </c>
    </row>
    <row r="3804" spans="17:18" ht="15" customHeight="1" x14ac:dyDescent="0.25">
      <c r="Q3804" t="s">
        <v>4735</v>
      </c>
      <c r="R3804" t="s">
        <v>2236</v>
      </c>
    </row>
    <row r="3805" spans="17:18" ht="15" customHeight="1" x14ac:dyDescent="0.25">
      <c r="Q3805" t="s">
        <v>4736</v>
      </c>
      <c r="R3805" t="s">
        <v>2236</v>
      </c>
    </row>
    <row r="3806" spans="17:18" ht="15" customHeight="1" x14ac:dyDescent="0.25">
      <c r="Q3806" t="s">
        <v>4737</v>
      </c>
      <c r="R3806" t="s">
        <v>2236</v>
      </c>
    </row>
    <row r="3807" spans="17:18" ht="15" customHeight="1" x14ac:dyDescent="0.25">
      <c r="Q3807" t="s">
        <v>4738</v>
      </c>
      <c r="R3807" t="s">
        <v>2236</v>
      </c>
    </row>
    <row r="3808" spans="17:18" ht="15" customHeight="1" x14ac:dyDescent="0.25">
      <c r="Q3808" t="s">
        <v>4739</v>
      </c>
      <c r="R3808" t="s">
        <v>2236</v>
      </c>
    </row>
    <row r="3809" spans="17:18" ht="15" customHeight="1" x14ac:dyDescent="0.25">
      <c r="Q3809" t="s">
        <v>4740</v>
      </c>
      <c r="R3809" t="s">
        <v>2358</v>
      </c>
    </row>
    <row r="3810" spans="17:18" ht="15" customHeight="1" x14ac:dyDescent="0.25">
      <c r="Q3810" t="s">
        <v>4741</v>
      </c>
      <c r="R3810" t="s">
        <v>2358</v>
      </c>
    </row>
    <row r="3811" spans="17:18" ht="15" customHeight="1" x14ac:dyDescent="0.25">
      <c r="Q3811" t="s">
        <v>4742</v>
      </c>
      <c r="R3811" t="s">
        <v>2358</v>
      </c>
    </row>
    <row r="3812" spans="17:18" ht="15" customHeight="1" x14ac:dyDescent="0.25">
      <c r="Q3812" t="s">
        <v>4743</v>
      </c>
      <c r="R3812" t="s">
        <v>2236</v>
      </c>
    </row>
    <row r="3813" spans="17:18" ht="15" customHeight="1" x14ac:dyDescent="0.25">
      <c r="Q3813" t="s">
        <v>4744</v>
      </c>
      <c r="R3813" t="s">
        <v>2236</v>
      </c>
    </row>
    <row r="3814" spans="17:18" ht="15" customHeight="1" x14ac:dyDescent="0.25">
      <c r="Q3814" t="s">
        <v>4745</v>
      </c>
      <c r="R3814" t="s">
        <v>2236</v>
      </c>
    </row>
    <row r="3815" spans="17:18" ht="15" customHeight="1" x14ac:dyDescent="0.25">
      <c r="Q3815" t="s">
        <v>4746</v>
      </c>
      <c r="R3815" t="s">
        <v>2236</v>
      </c>
    </row>
    <row r="3816" spans="17:18" ht="15" customHeight="1" x14ac:dyDescent="0.25">
      <c r="Q3816" t="s">
        <v>4747</v>
      </c>
      <c r="R3816" t="s">
        <v>2236</v>
      </c>
    </row>
    <row r="3817" spans="17:18" ht="15" customHeight="1" x14ac:dyDescent="0.25">
      <c r="Q3817" t="s">
        <v>4748</v>
      </c>
      <c r="R3817" t="s">
        <v>2236</v>
      </c>
    </row>
    <row r="3818" spans="17:18" ht="15" customHeight="1" x14ac:dyDescent="0.25">
      <c r="Q3818" t="s">
        <v>4749</v>
      </c>
      <c r="R3818" t="s">
        <v>936</v>
      </c>
    </row>
    <row r="3819" spans="17:18" ht="15" customHeight="1" x14ac:dyDescent="0.25">
      <c r="Q3819" t="s">
        <v>4750</v>
      </c>
      <c r="R3819" t="s">
        <v>1002</v>
      </c>
    </row>
    <row r="3820" spans="17:18" ht="15" customHeight="1" x14ac:dyDescent="0.25">
      <c r="Q3820" t="s">
        <v>4751</v>
      </c>
      <c r="R3820" t="s">
        <v>2236</v>
      </c>
    </row>
    <row r="3821" spans="17:18" ht="15" customHeight="1" x14ac:dyDescent="0.25">
      <c r="Q3821" t="s">
        <v>4752</v>
      </c>
      <c r="R3821" t="s">
        <v>2236</v>
      </c>
    </row>
    <row r="3822" spans="17:18" ht="15" customHeight="1" x14ac:dyDescent="0.25">
      <c r="Q3822" t="s">
        <v>4753</v>
      </c>
      <c r="R3822" t="s">
        <v>2236</v>
      </c>
    </row>
    <row r="3823" spans="17:18" ht="15" customHeight="1" x14ac:dyDescent="0.25">
      <c r="Q3823" t="s">
        <v>4754</v>
      </c>
      <c r="R3823" t="s">
        <v>2236</v>
      </c>
    </row>
    <row r="3824" spans="17:18" ht="15" customHeight="1" x14ac:dyDescent="0.25">
      <c r="Q3824" t="s">
        <v>4755</v>
      </c>
      <c r="R3824" t="s">
        <v>2236</v>
      </c>
    </row>
    <row r="3825" spans="17:18" ht="15" customHeight="1" x14ac:dyDescent="0.25">
      <c r="Q3825" t="s">
        <v>4756</v>
      </c>
      <c r="R3825" t="s">
        <v>2236</v>
      </c>
    </row>
    <row r="3826" spans="17:18" ht="15" customHeight="1" x14ac:dyDescent="0.25">
      <c r="Q3826" t="s">
        <v>4757</v>
      </c>
      <c r="R3826" t="s">
        <v>2236</v>
      </c>
    </row>
    <row r="3827" spans="17:18" ht="15" customHeight="1" x14ac:dyDescent="0.25">
      <c r="Q3827" t="s">
        <v>4758</v>
      </c>
      <c r="R3827" t="s">
        <v>2236</v>
      </c>
    </row>
    <row r="3828" spans="17:18" ht="15" customHeight="1" x14ac:dyDescent="0.25">
      <c r="Q3828" t="s">
        <v>4759</v>
      </c>
      <c r="R3828" t="s">
        <v>2236</v>
      </c>
    </row>
    <row r="3829" spans="17:18" ht="15" customHeight="1" x14ac:dyDescent="0.25">
      <c r="Q3829" t="s">
        <v>4760</v>
      </c>
      <c r="R3829" t="s">
        <v>2236</v>
      </c>
    </row>
    <row r="3830" spans="17:18" ht="15" customHeight="1" x14ac:dyDescent="0.25">
      <c r="Q3830" t="s">
        <v>4761</v>
      </c>
      <c r="R3830" t="s">
        <v>2236</v>
      </c>
    </row>
    <row r="3831" spans="17:18" ht="15" customHeight="1" x14ac:dyDescent="0.25">
      <c r="Q3831" t="s">
        <v>4762</v>
      </c>
      <c r="R3831" t="s">
        <v>2236</v>
      </c>
    </row>
    <row r="3832" spans="17:18" ht="15" customHeight="1" x14ac:dyDescent="0.25">
      <c r="Q3832" t="s">
        <v>4763</v>
      </c>
      <c r="R3832" t="s">
        <v>2236</v>
      </c>
    </row>
    <row r="3833" spans="17:18" ht="15" customHeight="1" x14ac:dyDescent="0.25">
      <c r="Q3833" t="s">
        <v>4764</v>
      </c>
      <c r="R3833" t="s">
        <v>2236</v>
      </c>
    </row>
    <row r="3834" spans="17:18" ht="15" customHeight="1" x14ac:dyDescent="0.25">
      <c r="Q3834" t="s">
        <v>4765</v>
      </c>
      <c r="R3834" t="s">
        <v>2236</v>
      </c>
    </row>
    <row r="3835" spans="17:18" ht="15" customHeight="1" x14ac:dyDescent="0.25">
      <c r="Q3835" t="s">
        <v>4766</v>
      </c>
      <c r="R3835" t="s">
        <v>2236</v>
      </c>
    </row>
    <row r="3836" spans="17:18" ht="15" customHeight="1" x14ac:dyDescent="0.25">
      <c r="Q3836" t="s">
        <v>4767</v>
      </c>
      <c r="R3836" t="s">
        <v>2236</v>
      </c>
    </row>
    <row r="3837" spans="17:18" ht="15" customHeight="1" x14ac:dyDescent="0.25">
      <c r="Q3837" t="s">
        <v>4768</v>
      </c>
      <c r="R3837" t="s">
        <v>2236</v>
      </c>
    </row>
    <row r="3838" spans="17:18" ht="15" customHeight="1" x14ac:dyDescent="0.25">
      <c r="Q3838" t="s">
        <v>4769</v>
      </c>
      <c r="R3838" t="s">
        <v>936</v>
      </c>
    </row>
    <row r="3839" spans="17:18" ht="15" customHeight="1" x14ac:dyDescent="0.25">
      <c r="Q3839" t="s">
        <v>4770</v>
      </c>
      <c r="R3839" t="s">
        <v>936</v>
      </c>
    </row>
    <row r="3840" spans="17:18" ht="15" customHeight="1" x14ac:dyDescent="0.25">
      <c r="Q3840" t="s">
        <v>4771</v>
      </c>
      <c r="R3840" t="s">
        <v>936</v>
      </c>
    </row>
    <row r="3841" spans="17:18" ht="15" customHeight="1" x14ac:dyDescent="0.25">
      <c r="Q3841" t="s">
        <v>4772</v>
      </c>
      <c r="R3841" t="s">
        <v>936</v>
      </c>
    </row>
    <row r="3842" spans="17:18" ht="15" customHeight="1" x14ac:dyDescent="0.25">
      <c r="Q3842" t="s">
        <v>4773</v>
      </c>
      <c r="R3842" t="s">
        <v>936</v>
      </c>
    </row>
    <row r="3843" spans="17:18" ht="15" customHeight="1" x14ac:dyDescent="0.25">
      <c r="Q3843" t="s">
        <v>4774</v>
      </c>
      <c r="R3843" t="s">
        <v>936</v>
      </c>
    </row>
    <row r="3844" spans="17:18" ht="15" customHeight="1" x14ac:dyDescent="0.25">
      <c r="Q3844" t="s">
        <v>4775</v>
      </c>
      <c r="R3844" t="s">
        <v>936</v>
      </c>
    </row>
    <row r="3845" spans="17:18" ht="15" customHeight="1" x14ac:dyDescent="0.25">
      <c r="Q3845" t="s">
        <v>4776</v>
      </c>
      <c r="R3845" t="s">
        <v>936</v>
      </c>
    </row>
    <row r="3846" spans="17:18" ht="15" customHeight="1" x14ac:dyDescent="0.25">
      <c r="Q3846" t="s">
        <v>4777</v>
      </c>
      <c r="R3846" t="s">
        <v>936</v>
      </c>
    </row>
    <row r="3847" spans="17:18" ht="15" customHeight="1" x14ac:dyDescent="0.25">
      <c r="Q3847" t="s">
        <v>4778</v>
      </c>
      <c r="R3847" t="s">
        <v>936</v>
      </c>
    </row>
    <row r="3848" spans="17:18" ht="15" customHeight="1" x14ac:dyDescent="0.25">
      <c r="Q3848" t="s">
        <v>4779</v>
      </c>
      <c r="R3848" t="s">
        <v>936</v>
      </c>
    </row>
    <row r="3849" spans="17:18" ht="15" customHeight="1" x14ac:dyDescent="0.25">
      <c r="Q3849" t="s">
        <v>4780</v>
      </c>
      <c r="R3849" t="s">
        <v>936</v>
      </c>
    </row>
    <row r="3850" spans="17:18" ht="15" customHeight="1" x14ac:dyDescent="0.25">
      <c r="Q3850" t="s">
        <v>4781</v>
      </c>
      <c r="R3850" t="s">
        <v>936</v>
      </c>
    </row>
    <row r="3851" spans="17:18" ht="15" customHeight="1" x14ac:dyDescent="0.25">
      <c r="Q3851" t="s">
        <v>4782</v>
      </c>
      <c r="R3851" t="s">
        <v>936</v>
      </c>
    </row>
    <row r="3852" spans="17:18" ht="15" customHeight="1" x14ac:dyDescent="0.25">
      <c r="Q3852" t="s">
        <v>4783</v>
      </c>
      <c r="R3852" t="s">
        <v>936</v>
      </c>
    </row>
    <row r="3853" spans="17:18" ht="15" customHeight="1" x14ac:dyDescent="0.25">
      <c r="Q3853" t="s">
        <v>4784</v>
      </c>
      <c r="R3853" t="s">
        <v>936</v>
      </c>
    </row>
    <row r="3854" spans="17:18" ht="15" customHeight="1" x14ac:dyDescent="0.25">
      <c r="Q3854" t="s">
        <v>4785</v>
      </c>
      <c r="R3854" t="s">
        <v>2358</v>
      </c>
    </row>
    <row r="3855" spans="17:18" ht="15" customHeight="1" x14ac:dyDescent="0.25">
      <c r="Q3855" t="s">
        <v>4786</v>
      </c>
      <c r="R3855" t="s">
        <v>2358</v>
      </c>
    </row>
    <row r="3856" spans="17:18" ht="15" customHeight="1" x14ac:dyDescent="0.25">
      <c r="Q3856" t="s">
        <v>4787</v>
      </c>
      <c r="R3856" t="s">
        <v>2358</v>
      </c>
    </row>
    <row r="3857" spans="17:18" ht="15" customHeight="1" x14ac:dyDescent="0.25">
      <c r="Q3857" t="s">
        <v>4788</v>
      </c>
      <c r="R3857" t="s">
        <v>2358</v>
      </c>
    </row>
    <row r="3858" spans="17:18" ht="15" customHeight="1" x14ac:dyDescent="0.25">
      <c r="Q3858" t="s">
        <v>4789</v>
      </c>
      <c r="R3858" t="s">
        <v>936</v>
      </c>
    </row>
    <row r="3859" spans="17:18" ht="15" customHeight="1" x14ac:dyDescent="0.25">
      <c r="Q3859" t="s">
        <v>4790</v>
      </c>
      <c r="R3859" t="s">
        <v>2358</v>
      </c>
    </row>
    <row r="3860" spans="17:18" ht="15" customHeight="1" x14ac:dyDescent="0.25">
      <c r="Q3860" t="s">
        <v>4791</v>
      </c>
      <c r="R3860" t="s">
        <v>2358</v>
      </c>
    </row>
    <row r="3861" spans="17:18" ht="15" customHeight="1" x14ac:dyDescent="0.25">
      <c r="Q3861" t="s">
        <v>4792</v>
      </c>
      <c r="R3861" t="s">
        <v>936</v>
      </c>
    </row>
    <row r="3862" spans="17:18" ht="15" customHeight="1" x14ac:dyDescent="0.25">
      <c r="Q3862" t="s">
        <v>4793</v>
      </c>
      <c r="R3862" t="s">
        <v>936</v>
      </c>
    </row>
    <row r="3863" spans="17:18" ht="15" customHeight="1" x14ac:dyDescent="0.25">
      <c r="Q3863" t="s">
        <v>4794</v>
      </c>
      <c r="R3863" t="s">
        <v>936</v>
      </c>
    </row>
    <row r="3864" spans="17:18" ht="15" customHeight="1" x14ac:dyDescent="0.25">
      <c r="Q3864" t="s">
        <v>4795</v>
      </c>
      <c r="R3864" t="s">
        <v>936</v>
      </c>
    </row>
    <row r="3865" spans="17:18" ht="15" customHeight="1" x14ac:dyDescent="0.25">
      <c r="Q3865" t="s">
        <v>4796</v>
      </c>
      <c r="R3865" t="s">
        <v>936</v>
      </c>
    </row>
    <row r="3866" spans="17:18" ht="15" customHeight="1" x14ac:dyDescent="0.25">
      <c r="Q3866" t="s">
        <v>4797</v>
      </c>
      <c r="R3866" t="s">
        <v>936</v>
      </c>
    </row>
    <row r="3867" spans="17:18" ht="15" customHeight="1" x14ac:dyDescent="0.25">
      <c r="Q3867" t="s">
        <v>4798</v>
      </c>
      <c r="R3867" t="s">
        <v>936</v>
      </c>
    </row>
    <row r="3868" spans="17:18" ht="15" customHeight="1" x14ac:dyDescent="0.25">
      <c r="Q3868" t="s">
        <v>4799</v>
      </c>
      <c r="R3868" t="s">
        <v>936</v>
      </c>
    </row>
    <row r="3869" spans="17:18" ht="15" customHeight="1" x14ac:dyDescent="0.25">
      <c r="Q3869" t="s">
        <v>4800</v>
      </c>
      <c r="R3869" t="s">
        <v>936</v>
      </c>
    </row>
    <row r="3870" spans="17:18" ht="15" customHeight="1" x14ac:dyDescent="0.25">
      <c r="Q3870" t="s">
        <v>4801</v>
      </c>
      <c r="R3870" t="s">
        <v>936</v>
      </c>
    </row>
    <row r="3871" spans="17:18" ht="15" customHeight="1" x14ac:dyDescent="0.25">
      <c r="Q3871" t="s">
        <v>4802</v>
      </c>
      <c r="R3871" t="s">
        <v>936</v>
      </c>
    </row>
    <row r="3872" spans="17:18" ht="15" customHeight="1" x14ac:dyDescent="0.25">
      <c r="Q3872" t="s">
        <v>4803</v>
      </c>
      <c r="R3872" t="s">
        <v>936</v>
      </c>
    </row>
    <row r="3873" spans="17:18" ht="15" customHeight="1" x14ac:dyDescent="0.25">
      <c r="Q3873" t="s">
        <v>4804</v>
      </c>
      <c r="R3873" t="s">
        <v>936</v>
      </c>
    </row>
    <row r="3874" spans="17:18" ht="15" customHeight="1" x14ac:dyDescent="0.25">
      <c r="Q3874" t="s">
        <v>4805</v>
      </c>
      <c r="R3874" t="s">
        <v>936</v>
      </c>
    </row>
    <row r="3875" spans="17:18" ht="15" customHeight="1" x14ac:dyDescent="0.25">
      <c r="Q3875" t="s">
        <v>4806</v>
      </c>
      <c r="R3875" t="s">
        <v>936</v>
      </c>
    </row>
    <row r="3876" spans="17:18" ht="15" customHeight="1" x14ac:dyDescent="0.25">
      <c r="Q3876" t="s">
        <v>4807</v>
      </c>
      <c r="R3876" t="s">
        <v>936</v>
      </c>
    </row>
    <row r="3877" spans="17:18" ht="15" customHeight="1" x14ac:dyDescent="0.25">
      <c r="Q3877" t="s">
        <v>4808</v>
      </c>
      <c r="R3877" t="s">
        <v>936</v>
      </c>
    </row>
    <row r="3878" spans="17:18" ht="15" customHeight="1" x14ac:dyDescent="0.25">
      <c r="Q3878" t="s">
        <v>4809</v>
      </c>
      <c r="R3878" t="s">
        <v>936</v>
      </c>
    </row>
    <row r="3879" spans="17:18" ht="15" customHeight="1" x14ac:dyDescent="0.25">
      <c r="Q3879" t="s">
        <v>4810</v>
      </c>
      <c r="R3879" t="s">
        <v>936</v>
      </c>
    </row>
    <row r="3880" spans="17:18" ht="15" customHeight="1" x14ac:dyDescent="0.25">
      <c r="Q3880" t="s">
        <v>4811</v>
      </c>
      <c r="R3880" t="s">
        <v>936</v>
      </c>
    </row>
    <row r="3881" spans="17:18" ht="15" customHeight="1" x14ac:dyDescent="0.25">
      <c r="Q3881" t="s">
        <v>4812</v>
      </c>
      <c r="R3881" t="s">
        <v>2236</v>
      </c>
    </row>
    <row r="3882" spans="17:18" ht="15" customHeight="1" x14ac:dyDescent="0.25">
      <c r="Q3882" t="s">
        <v>4813</v>
      </c>
      <c r="R3882" t="s">
        <v>2236</v>
      </c>
    </row>
    <row r="3883" spans="17:18" ht="15" customHeight="1" x14ac:dyDescent="0.25">
      <c r="Q3883" t="s">
        <v>4814</v>
      </c>
      <c r="R3883" t="s">
        <v>2236</v>
      </c>
    </row>
    <row r="3884" spans="17:18" ht="15" customHeight="1" x14ac:dyDescent="0.25">
      <c r="Q3884" t="s">
        <v>4815</v>
      </c>
      <c r="R3884" t="s">
        <v>2236</v>
      </c>
    </row>
    <row r="3885" spans="17:18" ht="15" customHeight="1" x14ac:dyDescent="0.25">
      <c r="Q3885" t="s">
        <v>4816</v>
      </c>
      <c r="R3885" t="s">
        <v>2236</v>
      </c>
    </row>
    <row r="3886" spans="17:18" ht="15" customHeight="1" x14ac:dyDescent="0.25">
      <c r="Q3886" t="s">
        <v>4817</v>
      </c>
      <c r="R3886" t="s">
        <v>2236</v>
      </c>
    </row>
    <row r="3887" spans="17:18" ht="15" customHeight="1" x14ac:dyDescent="0.25">
      <c r="Q3887" t="s">
        <v>4818</v>
      </c>
      <c r="R3887" t="s">
        <v>2236</v>
      </c>
    </row>
    <row r="3888" spans="17:18" ht="15" customHeight="1" x14ac:dyDescent="0.25">
      <c r="Q3888" t="s">
        <v>4819</v>
      </c>
      <c r="R3888" t="s">
        <v>2236</v>
      </c>
    </row>
    <row r="3889" spans="17:18" ht="15" customHeight="1" x14ac:dyDescent="0.25">
      <c r="Q3889" t="s">
        <v>4820</v>
      </c>
      <c r="R3889" t="s">
        <v>2236</v>
      </c>
    </row>
    <row r="3890" spans="17:18" ht="15" customHeight="1" x14ac:dyDescent="0.25">
      <c r="Q3890" t="s">
        <v>4821</v>
      </c>
      <c r="R3890" t="s">
        <v>2236</v>
      </c>
    </row>
    <row r="3891" spans="17:18" ht="15" customHeight="1" x14ac:dyDescent="0.25">
      <c r="Q3891" t="s">
        <v>4822</v>
      </c>
      <c r="R3891" t="s">
        <v>2236</v>
      </c>
    </row>
    <row r="3892" spans="17:18" ht="15" customHeight="1" x14ac:dyDescent="0.25">
      <c r="Q3892" t="s">
        <v>4823</v>
      </c>
      <c r="R3892" t="s">
        <v>2236</v>
      </c>
    </row>
    <row r="3893" spans="17:18" ht="15" customHeight="1" x14ac:dyDescent="0.25">
      <c r="Q3893" t="s">
        <v>4824</v>
      </c>
      <c r="R3893" t="s">
        <v>2236</v>
      </c>
    </row>
    <row r="3894" spans="17:18" ht="15" customHeight="1" x14ac:dyDescent="0.25">
      <c r="Q3894" t="s">
        <v>4825</v>
      </c>
      <c r="R3894" t="s">
        <v>2236</v>
      </c>
    </row>
    <row r="3895" spans="17:18" ht="15" customHeight="1" x14ac:dyDescent="0.25">
      <c r="Q3895" t="s">
        <v>4826</v>
      </c>
      <c r="R3895" t="s">
        <v>2236</v>
      </c>
    </row>
    <row r="3896" spans="17:18" ht="15" customHeight="1" x14ac:dyDescent="0.25">
      <c r="Q3896" t="s">
        <v>4827</v>
      </c>
      <c r="R3896" t="s">
        <v>2236</v>
      </c>
    </row>
    <row r="3897" spans="17:18" ht="15" customHeight="1" x14ac:dyDescent="0.25">
      <c r="Q3897" t="s">
        <v>4828</v>
      </c>
      <c r="R3897" t="s">
        <v>2236</v>
      </c>
    </row>
    <row r="3898" spans="17:18" ht="15" customHeight="1" x14ac:dyDescent="0.25">
      <c r="Q3898" t="s">
        <v>4829</v>
      </c>
      <c r="R3898" t="s">
        <v>2236</v>
      </c>
    </row>
    <row r="3899" spans="17:18" ht="15" customHeight="1" x14ac:dyDescent="0.25">
      <c r="Q3899" t="s">
        <v>4830</v>
      </c>
      <c r="R3899" t="s">
        <v>2236</v>
      </c>
    </row>
    <row r="3900" spans="17:18" ht="15" customHeight="1" x14ac:dyDescent="0.25">
      <c r="Q3900" t="s">
        <v>4831</v>
      </c>
      <c r="R3900" t="s">
        <v>2236</v>
      </c>
    </row>
    <row r="3901" spans="17:18" ht="15" customHeight="1" x14ac:dyDescent="0.25">
      <c r="Q3901" t="s">
        <v>4832</v>
      </c>
      <c r="R3901" t="s">
        <v>2236</v>
      </c>
    </row>
    <row r="3902" spans="17:18" ht="15" customHeight="1" x14ac:dyDescent="0.25">
      <c r="Q3902" t="s">
        <v>4833</v>
      </c>
      <c r="R3902" t="s">
        <v>2236</v>
      </c>
    </row>
    <row r="3903" spans="17:18" ht="15" customHeight="1" x14ac:dyDescent="0.25">
      <c r="Q3903" t="s">
        <v>4834</v>
      </c>
      <c r="R3903" t="s">
        <v>2236</v>
      </c>
    </row>
    <row r="3904" spans="17:18" ht="15" customHeight="1" x14ac:dyDescent="0.25">
      <c r="Q3904" t="s">
        <v>4835</v>
      </c>
      <c r="R3904" t="s">
        <v>2236</v>
      </c>
    </row>
    <row r="3905" spans="17:18" ht="15" customHeight="1" x14ac:dyDescent="0.25">
      <c r="Q3905" t="s">
        <v>4836</v>
      </c>
      <c r="R3905" t="s">
        <v>2236</v>
      </c>
    </row>
    <row r="3906" spans="17:18" ht="15" customHeight="1" x14ac:dyDescent="0.25">
      <c r="Q3906" t="s">
        <v>4837</v>
      </c>
      <c r="R3906" t="s">
        <v>2236</v>
      </c>
    </row>
    <row r="3907" spans="17:18" ht="15" customHeight="1" x14ac:dyDescent="0.25">
      <c r="Q3907" t="s">
        <v>4838</v>
      </c>
      <c r="R3907" t="s">
        <v>2236</v>
      </c>
    </row>
    <row r="3908" spans="17:18" ht="15" customHeight="1" x14ac:dyDescent="0.25">
      <c r="Q3908" t="s">
        <v>4839</v>
      </c>
      <c r="R3908" t="s">
        <v>2236</v>
      </c>
    </row>
    <row r="3909" spans="17:18" ht="15" customHeight="1" x14ac:dyDescent="0.25">
      <c r="Q3909" t="s">
        <v>4840</v>
      </c>
      <c r="R3909" t="s">
        <v>2236</v>
      </c>
    </row>
    <row r="3910" spans="17:18" ht="15" customHeight="1" x14ac:dyDescent="0.25">
      <c r="Q3910" t="s">
        <v>4841</v>
      </c>
      <c r="R3910" t="s">
        <v>2236</v>
      </c>
    </row>
    <row r="3911" spans="17:18" ht="15" customHeight="1" x14ac:dyDescent="0.25">
      <c r="Q3911" t="s">
        <v>4842</v>
      </c>
      <c r="R3911" t="s">
        <v>2236</v>
      </c>
    </row>
    <row r="3912" spans="17:18" ht="15" customHeight="1" x14ac:dyDescent="0.25">
      <c r="Q3912" t="s">
        <v>4843</v>
      </c>
      <c r="R3912" t="s">
        <v>2236</v>
      </c>
    </row>
    <row r="3913" spans="17:18" ht="15" customHeight="1" x14ac:dyDescent="0.25">
      <c r="Q3913" t="s">
        <v>4844</v>
      </c>
      <c r="R3913" t="s">
        <v>2236</v>
      </c>
    </row>
    <row r="3914" spans="17:18" ht="15" customHeight="1" x14ac:dyDescent="0.25">
      <c r="Q3914" t="s">
        <v>4845</v>
      </c>
      <c r="R3914" t="s">
        <v>2236</v>
      </c>
    </row>
    <row r="3915" spans="17:18" ht="15" customHeight="1" x14ac:dyDescent="0.25">
      <c r="Q3915" t="s">
        <v>4846</v>
      </c>
      <c r="R3915" t="s">
        <v>2236</v>
      </c>
    </row>
    <row r="3916" spans="17:18" ht="15" customHeight="1" x14ac:dyDescent="0.25">
      <c r="Q3916" t="s">
        <v>4847</v>
      </c>
      <c r="R3916" t="s">
        <v>2236</v>
      </c>
    </row>
    <row r="3917" spans="17:18" ht="15" customHeight="1" x14ac:dyDescent="0.25">
      <c r="Q3917" t="s">
        <v>4848</v>
      </c>
      <c r="R3917" t="s">
        <v>2236</v>
      </c>
    </row>
    <row r="3918" spans="17:18" ht="15" customHeight="1" x14ac:dyDescent="0.25">
      <c r="Q3918" t="s">
        <v>4849</v>
      </c>
      <c r="R3918" t="s">
        <v>2236</v>
      </c>
    </row>
    <row r="3919" spans="17:18" ht="15" customHeight="1" x14ac:dyDescent="0.25">
      <c r="Q3919" t="s">
        <v>4850</v>
      </c>
      <c r="R3919" t="s">
        <v>2236</v>
      </c>
    </row>
    <row r="3920" spans="17:18" ht="15" customHeight="1" x14ac:dyDescent="0.25">
      <c r="Q3920" t="s">
        <v>4851</v>
      </c>
      <c r="R3920" t="s">
        <v>2236</v>
      </c>
    </row>
    <row r="3921" spans="17:18" ht="15" customHeight="1" x14ac:dyDescent="0.25">
      <c r="Q3921" t="s">
        <v>4852</v>
      </c>
      <c r="R3921" t="s">
        <v>2236</v>
      </c>
    </row>
    <row r="3922" spans="17:18" ht="15" customHeight="1" x14ac:dyDescent="0.25">
      <c r="Q3922" t="s">
        <v>4853</v>
      </c>
      <c r="R3922" t="s">
        <v>2236</v>
      </c>
    </row>
    <row r="3923" spans="17:18" ht="15" customHeight="1" x14ac:dyDescent="0.25">
      <c r="Q3923" t="s">
        <v>4854</v>
      </c>
      <c r="R3923" t="s">
        <v>2236</v>
      </c>
    </row>
    <row r="3924" spans="17:18" ht="15" customHeight="1" x14ac:dyDescent="0.25">
      <c r="Q3924" t="s">
        <v>4855</v>
      </c>
      <c r="R3924" t="s">
        <v>2236</v>
      </c>
    </row>
    <row r="3925" spans="17:18" ht="15" customHeight="1" x14ac:dyDescent="0.25">
      <c r="Q3925" t="s">
        <v>4856</v>
      </c>
      <c r="R3925" t="s">
        <v>2236</v>
      </c>
    </row>
    <row r="3926" spans="17:18" ht="15" customHeight="1" x14ac:dyDescent="0.25">
      <c r="Q3926" t="s">
        <v>4857</v>
      </c>
      <c r="R3926" t="s">
        <v>2236</v>
      </c>
    </row>
    <row r="3927" spans="17:18" ht="15" customHeight="1" x14ac:dyDescent="0.25">
      <c r="Q3927" t="s">
        <v>4858</v>
      </c>
      <c r="R3927" t="s">
        <v>2236</v>
      </c>
    </row>
    <row r="3928" spans="17:18" ht="15" customHeight="1" x14ac:dyDescent="0.25">
      <c r="Q3928" t="s">
        <v>4859</v>
      </c>
      <c r="R3928" t="s">
        <v>2236</v>
      </c>
    </row>
    <row r="3929" spans="17:18" ht="15" customHeight="1" x14ac:dyDescent="0.25">
      <c r="Q3929" t="s">
        <v>4860</v>
      </c>
      <c r="R3929" t="s">
        <v>2236</v>
      </c>
    </row>
    <row r="3930" spans="17:18" ht="15" customHeight="1" x14ac:dyDescent="0.25">
      <c r="Q3930" t="s">
        <v>4861</v>
      </c>
      <c r="R3930" t="s">
        <v>2236</v>
      </c>
    </row>
    <row r="3931" spans="17:18" ht="15" customHeight="1" x14ac:dyDescent="0.25">
      <c r="Q3931" t="s">
        <v>4862</v>
      </c>
      <c r="R3931" t="s">
        <v>2236</v>
      </c>
    </row>
    <row r="3932" spans="17:18" ht="15" customHeight="1" x14ac:dyDescent="0.25">
      <c r="Q3932" t="s">
        <v>4863</v>
      </c>
      <c r="R3932" t="s">
        <v>2236</v>
      </c>
    </row>
    <row r="3933" spans="17:18" ht="15" customHeight="1" x14ac:dyDescent="0.25">
      <c r="Q3933" t="s">
        <v>4864</v>
      </c>
      <c r="R3933" t="s">
        <v>2236</v>
      </c>
    </row>
    <row r="3934" spans="17:18" ht="15" customHeight="1" x14ac:dyDescent="0.25">
      <c r="Q3934" t="s">
        <v>4865</v>
      </c>
      <c r="R3934" t="s">
        <v>2236</v>
      </c>
    </row>
    <row r="3935" spans="17:18" ht="15" customHeight="1" x14ac:dyDescent="0.25">
      <c r="Q3935" t="s">
        <v>4866</v>
      </c>
      <c r="R3935" t="s">
        <v>2236</v>
      </c>
    </row>
    <row r="3936" spans="17:18" ht="15" customHeight="1" x14ac:dyDescent="0.25">
      <c r="Q3936" t="s">
        <v>4867</v>
      </c>
      <c r="R3936" t="s">
        <v>2236</v>
      </c>
    </row>
    <row r="3937" spans="17:18" ht="15" customHeight="1" x14ac:dyDescent="0.25">
      <c r="Q3937" t="s">
        <v>4868</v>
      </c>
      <c r="R3937" t="s">
        <v>2236</v>
      </c>
    </row>
    <row r="3938" spans="17:18" ht="15" customHeight="1" x14ac:dyDescent="0.25">
      <c r="Q3938" t="s">
        <v>4869</v>
      </c>
      <c r="R3938" t="s">
        <v>2236</v>
      </c>
    </row>
    <row r="3939" spans="17:18" ht="15" customHeight="1" x14ac:dyDescent="0.25">
      <c r="Q3939" t="s">
        <v>4870</v>
      </c>
      <c r="R3939" t="s">
        <v>2236</v>
      </c>
    </row>
    <row r="3940" spans="17:18" ht="15" customHeight="1" x14ac:dyDescent="0.25">
      <c r="Q3940" t="s">
        <v>4871</v>
      </c>
      <c r="R3940" t="s">
        <v>2236</v>
      </c>
    </row>
    <row r="3941" spans="17:18" ht="15" customHeight="1" x14ac:dyDescent="0.25">
      <c r="Q3941" t="s">
        <v>4872</v>
      </c>
      <c r="R3941" t="s">
        <v>2236</v>
      </c>
    </row>
    <row r="3942" spans="17:18" ht="15" customHeight="1" x14ac:dyDescent="0.25">
      <c r="Q3942" t="s">
        <v>4873</v>
      </c>
      <c r="R3942" t="s">
        <v>2236</v>
      </c>
    </row>
    <row r="3943" spans="17:18" ht="15" customHeight="1" x14ac:dyDescent="0.25">
      <c r="Q3943" t="s">
        <v>4874</v>
      </c>
      <c r="R3943" t="s">
        <v>2236</v>
      </c>
    </row>
    <row r="3944" spans="17:18" ht="15" customHeight="1" x14ac:dyDescent="0.25">
      <c r="Q3944" t="s">
        <v>4875</v>
      </c>
      <c r="R3944" t="s">
        <v>2236</v>
      </c>
    </row>
    <row r="3945" spans="17:18" ht="15" customHeight="1" x14ac:dyDescent="0.25">
      <c r="Q3945" t="s">
        <v>4876</v>
      </c>
      <c r="R3945" t="s">
        <v>2236</v>
      </c>
    </row>
    <row r="3946" spans="17:18" ht="15" customHeight="1" x14ac:dyDescent="0.25">
      <c r="Q3946" t="s">
        <v>4877</v>
      </c>
      <c r="R3946" t="s">
        <v>2236</v>
      </c>
    </row>
    <row r="3947" spans="17:18" ht="15" customHeight="1" x14ac:dyDescent="0.25">
      <c r="Q3947" t="s">
        <v>4878</v>
      </c>
      <c r="R3947" t="s">
        <v>2236</v>
      </c>
    </row>
    <row r="3948" spans="17:18" ht="15" customHeight="1" x14ac:dyDescent="0.25">
      <c r="Q3948" t="s">
        <v>4879</v>
      </c>
      <c r="R3948" t="s">
        <v>2236</v>
      </c>
    </row>
    <row r="3949" spans="17:18" ht="15" customHeight="1" x14ac:dyDescent="0.25">
      <c r="Q3949" t="s">
        <v>4880</v>
      </c>
      <c r="R3949" t="s">
        <v>2236</v>
      </c>
    </row>
    <row r="3950" spans="17:18" ht="15" customHeight="1" x14ac:dyDescent="0.25">
      <c r="Q3950" t="s">
        <v>4881</v>
      </c>
      <c r="R3950" t="s">
        <v>2236</v>
      </c>
    </row>
    <row r="3951" spans="17:18" ht="15" customHeight="1" x14ac:dyDescent="0.25">
      <c r="Q3951" t="s">
        <v>4882</v>
      </c>
      <c r="R3951" t="s">
        <v>2236</v>
      </c>
    </row>
    <row r="3952" spans="17:18" ht="15" customHeight="1" x14ac:dyDescent="0.25">
      <c r="Q3952" t="s">
        <v>4883</v>
      </c>
      <c r="R3952" t="s">
        <v>2236</v>
      </c>
    </row>
    <row r="3953" spans="17:18" ht="15" customHeight="1" x14ac:dyDescent="0.25">
      <c r="Q3953" t="s">
        <v>4884</v>
      </c>
      <c r="R3953" t="s">
        <v>2236</v>
      </c>
    </row>
    <row r="3954" spans="17:18" ht="15" customHeight="1" x14ac:dyDescent="0.25">
      <c r="Q3954" t="s">
        <v>4885</v>
      </c>
      <c r="R3954" t="s">
        <v>2236</v>
      </c>
    </row>
    <row r="3955" spans="17:18" ht="15" customHeight="1" x14ac:dyDescent="0.25">
      <c r="Q3955" t="s">
        <v>4886</v>
      </c>
      <c r="R3955" t="s">
        <v>2236</v>
      </c>
    </row>
    <row r="3956" spans="17:18" ht="15" customHeight="1" x14ac:dyDescent="0.25">
      <c r="Q3956" t="s">
        <v>4887</v>
      </c>
      <c r="R3956" t="s">
        <v>2236</v>
      </c>
    </row>
    <row r="3957" spans="17:18" ht="15" customHeight="1" x14ac:dyDescent="0.25">
      <c r="Q3957" t="s">
        <v>4888</v>
      </c>
      <c r="R3957" t="s">
        <v>2236</v>
      </c>
    </row>
    <row r="3958" spans="17:18" ht="15" customHeight="1" x14ac:dyDescent="0.25">
      <c r="Q3958" t="s">
        <v>4889</v>
      </c>
      <c r="R3958" t="s">
        <v>2236</v>
      </c>
    </row>
    <row r="3959" spans="17:18" ht="15" customHeight="1" x14ac:dyDescent="0.25">
      <c r="Q3959" t="s">
        <v>4890</v>
      </c>
      <c r="R3959" t="s">
        <v>2236</v>
      </c>
    </row>
    <row r="3960" spans="17:18" ht="15" customHeight="1" x14ac:dyDescent="0.25">
      <c r="Q3960" t="s">
        <v>4891</v>
      </c>
      <c r="R3960" t="s">
        <v>2236</v>
      </c>
    </row>
    <row r="3961" spans="17:18" ht="15" customHeight="1" x14ac:dyDescent="0.25">
      <c r="Q3961" t="s">
        <v>4892</v>
      </c>
      <c r="R3961" t="s">
        <v>2236</v>
      </c>
    </row>
    <row r="3962" spans="17:18" ht="15" customHeight="1" x14ac:dyDescent="0.25">
      <c r="Q3962" t="s">
        <v>4893</v>
      </c>
      <c r="R3962" t="s">
        <v>2236</v>
      </c>
    </row>
    <row r="3963" spans="17:18" ht="15" customHeight="1" x14ac:dyDescent="0.25">
      <c r="Q3963" t="s">
        <v>4894</v>
      </c>
      <c r="R3963" t="s">
        <v>2236</v>
      </c>
    </row>
    <row r="3964" spans="17:18" ht="15" customHeight="1" x14ac:dyDescent="0.25">
      <c r="Q3964" t="s">
        <v>4895</v>
      </c>
      <c r="R3964" t="s">
        <v>2236</v>
      </c>
    </row>
    <row r="3965" spans="17:18" ht="15" customHeight="1" x14ac:dyDescent="0.25">
      <c r="Q3965" t="s">
        <v>4896</v>
      </c>
      <c r="R3965" t="s">
        <v>2236</v>
      </c>
    </row>
    <row r="3966" spans="17:18" ht="15" customHeight="1" x14ac:dyDescent="0.25">
      <c r="Q3966" t="s">
        <v>4897</v>
      </c>
      <c r="R3966" t="s">
        <v>2236</v>
      </c>
    </row>
    <row r="3967" spans="17:18" ht="15" customHeight="1" x14ac:dyDescent="0.25">
      <c r="Q3967" t="s">
        <v>4898</v>
      </c>
      <c r="R3967" t="s">
        <v>2236</v>
      </c>
    </row>
    <row r="3968" spans="17:18" ht="15" customHeight="1" x14ac:dyDescent="0.25">
      <c r="Q3968" t="s">
        <v>4899</v>
      </c>
      <c r="R3968" t="s">
        <v>2236</v>
      </c>
    </row>
    <row r="3969" spans="17:18" ht="15" customHeight="1" x14ac:dyDescent="0.25">
      <c r="Q3969" t="s">
        <v>4900</v>
      </c>
      <c r="R3969" t="s">
        <v>2236</v>
      </c>
    </row>
    <row r="3970" spans="17:18" ht="15" customHeight="1" x14ac:dyDescent="0.25">
      <c r="Q3970" t="s">
        <v>4901</v>
      </c>
      <c r="R3970" t="s">
        <v>2236</v>
      </c>
    </row>
    <row r="3971" spans="17:18" ht="15" customHeight="1" x14ac:dyDescent="0.25">
      <c r="Q3971" t="s">
        <v>4902</v>
      </c>
      <c r="R3971" t="s">
        <v>2236</v>
      </c>
    </row>
    <row r="3972" spans="17:18" ht="15" customHeight="1" x14ac:dyDescent="0.25">
      <c r="Q3972" t="s">
        <v>4903</v>
      </c>
      <c r="R3972" t="s">
        <v>2236</v>
      </c>
    </row>
    <row r="3973" spans="17:18" ht="15" customHeight="1" x14ac:dyDescent="0.25">
      <c r="Q3973" t="s">
        <v>4904</v>
      </c>
      <c r="R3973" t="s">
        <v>2236</v>
      </c>
    </row>
    <row r="3974" spans="17:18" ht="15" customHeight="1" x14ac:dyDescent="0.25">
      <c r="Q3974" t="s">
        <v>4905</v>
      </c>
      <c r="R3974" t="s">
        <v>2236</v>
      </c>
    </row>
    <row r="3975" spans="17:18" ht="15" customHeight="1" x14ac:dyDescent="0.25">
      <c r="Q3975" t="s">
        <v>4906</v>
      </c>
      <c r="R3975" t="s">
        <v>2236</v>
      </c>
    </row>
    <row r="3976" spans="17:18" ht="15" customHeight="1" x14ac:dyDescent="0.25">
      <c r="Q3976" t="s">
        <v>4907</v>
      </c>
      <c r="R3976" t="s">
        <v>2236</v>
      </c>
    </row>
    <row r="3977" spans="17:18" ht="15" customHeight="1" x14ac:dyDescent="0.25">
      <c r="Q3977" t="s">
        <v>4908</v>
      </c>
      <c r="R3977" t="s">
        <v>2236</v>
      </c>
    </row>
    <row r="3978" spans="17:18" ht="15" customHeight="1" x14ac:dyDescent="0.25">
      <c r="Q3978" t="s">
        <v>4909</v>
      </c>
      <c r="R3978" t="s">
        <v>2236</v>
      </c>
    </row>
    <row r="3979" spans="17:18" ht="15" customHeight="1" x14ac:dyDescent="0.25">
      <c r="Q3979" t="s">
        <v>4910</v>
      </c>
      <c r="R3979" t="s">
        <v>2236</v>
      </c>
    </row>
    <row r="3980" spans="17:18" ht="15" customHeight="1" x14ac:dyDescent="0.25">
      <c r="Q3980" t="s">
        <v>4911</v>
      </c>
      <c r="R3980" t="s">
        <v>2236</v>
      </c>
    </row>
    <row r="3981" spans="17:18" ht="15" customHeight="1" x14ac:dyDescent="0.25">
      <c r="Q3981" t="s">
        <v>4912</v>
      </c>
      <c r="R3981" t="s">
        <v>2236</v>
      </c>
    </row>
    <row r="3982" spans="17:18" ht="15" customHeight="1" x14ac:dyDescent="0.25">
      <c r="Q3982" t="s">
        <v>4913</v>
      </c>
      <c r="R3982" t="s">
        <v>2236</v>
      </c>
    </row>
    <row r="3983" spans="17:18" ht="15" customHeight="1" x14ac:dyDescent="0.25">
      <c r="Q3983" t="s">
        <v>4914</v>
      </c>
      <c r="R3983" t="s">
        <v>2236</v>
      </c>
    </row>
    <row r="3984" spans="17:18" ht="15" customHeight="1" x14ac:dyDescent="0.25">
      <c r="Q3984" t="s">
        <v>4915</v>
      </c>
      <c r="R3984" t="s">
        <v>2236</v>
      </c>
    </row>
    <row r="3985" spans="17:18" ht="15" customHeight="1" x14ac:dyDescent="0.25">
      <c r="Q3985" t="s">
        <v>4916</v>
      </c>
      <c r="R3985" t="s">
        <v>2236</v>
      </c>
    </row>
    <row r="3986" spans="17:18" ht="15" customHeight="1" x14ac:dyDescent="0.25">
      <c r="Q3986" t="s">
        <v>4917</v>
      </c>
      <c r="R3986" t="s">
        <v>2236</v>
      </c>
    </row>
    <row r="3987" spans="17:18" ht="15" customHeight="1" x14ac:dyDescent="0.25">
      <c r="Q3987" t="s">
        <v>4918</v>
      </c>
      <c r="R3987" t="s">
        <v>2236</v>
      </c>
    </row>
    <row r="3988" spans="17:18" ht="15" customHeight="1" x14ac:dyDescent="0.25">
      <c r="Q3988" t="s">
        <v>4919</v>
      </c>
      <c r="R3988" t="s">
        <v>2236</v>
      </c>
    </row>
    <row r="3989" spans="17:18" ht="15" customHeight="1" x14ac:dyDescent="0.25">
      <c r="Q3989" t="s">
        <v>4920</v>
      </c>
      <c r="R3989" t="s">
        <v>2236</v>
      </c>
    </row>
    <row r="3990" spans="17:18" ht="15" customHeight="1" x14ac:dyDescent="0.25">
      <c r="Q3990" t="s">
        <v>4921</v>
      </c>
      <c r="R3990" t="s">
        <v>2236</v>
      </c>
    </row>
    <row r="3991" spans="17:18" ht="15" customHeight="1" x14ac:dyDescent="0.25">
      <c r="Q3991" t="s">
        <v>4922</v>
      </c>
      <c r="R3991" t="s">
        <v>2236</v>
      </c>
    </row>
    <row r="3992" spans="17:18" ht="15" customHeight="1" x14ac:dyDescent="0.25">
      <c r="Q3992" t="s">
        <v>4923</v>
      </c>
      <c r="R3992" t="s">
        <v>2236</v>
      </c>
    </row>
    <row r="3993" spans="17:18" ht="15" customHeight="1" x14ac:dyDescent="0.25">
      <c r="Q3993" t="s">
        <v>4924</v>
      </c>
      <c r="R3993" t="s">
        <v>2236</v>
      </c>
    </row>
    <row r="3994" spans="17:18" ht="15" customHeight="1" x14ac:dyDescent="0.25">
      <c r="Q3994" t="s">
        <v>4925</v>
      </c>
      <c r="R3994" t="s">
        <v>2236</v>
      </c>
    </row>
    <row r="3995" spans="17:18" ht="15" customHeight="1" x14ac:dyDescent="0.25">
      <c r="Q3995" t="s">
        <v>4926</v>
      </c>
      <c r="R3995" t="s">
        <v>2236</v>
      </c>
    </row>
    <row r="3996" spans="17:18" ht="15" customHeight="1" x14ac:dyDescent="0.25">
      <c r="Q3996" t="s">
        <v>4927</v>
      </c>
      <c r="R3996" t="s">
        <v>2236</v>
      </c>
    </row>
    <row r="3997" spans="17:18" ht="15" customHeight="1" x14ac:dyDescent="0.25">
      <c r="Q3997" t="s">
        <v>4928</v>
      </c>
      <c r="R3997" t="s">
        <v>2236</v>
      </c>
    </row>
    <row r="3998" spans="17:18" ht="15" customHeight="1" x14ac:dyDescent="0.25">
      <c r="Q3998" t="s">
        <v>4929</v>
      </c>
      <c r="R3998" t="s">
        <v>2236</v>
      </c>
    </row>
    <row r="3999" spans="17:18" ht="15" customHeight="1" x14ac:dyDescent="0.25">
      <c r="Q3999" t="s">
        <v>4930</v>
      </c>
      <c r="R3999" t="s">
        <v>2236</v>
      </c>
    </row>
    <row r="4000" spans="17:18" ht="15" customHeight="1" x14ac:dyDescent="0.25">
      <c r="Q4000" t="s">
        <v>4931</v>
      </c>
      <c r="R4000" t="s">
        <v>2236</v>
      </c>
    </row>
    <row r="4001" spans="17:18" ht="15" customHeight="1" x14ac:dyDescent="0.25">
      <c r="Q4001" t="s">
        <v>4932</v>
      </c>
      <c r="R4001" t="s">
        <v>2236</v>
      </c>
    </row>
    <row r="4002" spans="17:18" ht="15" customHeight="1" x14ac:dyDescent="0.25">
      <c r="Q4002" t="s">
        <v>4933</v>
      </c>
      <c r="R4002" t="s">
        <v>2236</v>
      </c>
    </row>
    <row r="4003" spans="17:18" ht="15" customHeight="1" x14ac:dyDescent="0.25">
      <c r="Q4003" t="s">
        <v>4934</v>
      </c>
      <c r="R4003" t="s">
        <v>2236</v>
      </c>
    </row>
    <row r="4004" spans="17:18" ht="15" customHeight="1" x14ac:dyDescent="0.25">
      <c r="Q4004" t="s">
        <v>4935</v>
      </c>
      <c r="R4004" t="s">
        <v>2236</v>
      </c>
    </row>
    <row r="4005" spans="17:18" ht="15" customHeight="1" x14ac:dyDescent="0.25">
      <c r="Q4005" t="s">
        <v>4936</v>
      </c>
      <c r="R4005" t="s">
        <v>2236</v>
      </c>
    </row>
    <row r="4006" spans="17:18" ht="15" customHeight="1" x14ac:dyDescent="0.25">
      <c r="Q4006" t="s">
        <v>4937</v>
      </c>
      <c r="R4006" t="s">
        <v>2236</v>
      </c>
    </row>
    <row r="4007" spans="17:18" ht="15" customHeight="1" x14ac:dyDescent="0.25">
      <c r="Q4007" t="s">
        <v>4938</v>
      </c>
      <c r="R4007" t="s">
        <v>2236</v>
      </c>
    </row>
    <row r="4008" spans="17:18" ht="15" customHeight="1" x14ac:dyDescent="0.25">
      <c r="Q4008" t="s">
        <v>4939</v>
      </c>
      <c r="R4008" t="s">
        <v>2236</v>
      </c>
    </row>
    <row r="4009" spans="17:18" ht="15" customHeight="1" x14ac:dyDescent="0.25">
      <c r="Q4009" t="s">
        <v>4940</v>
      </c>
      <c r="R4009" t="s">
        <v>2236</v>
      </c>
    </row>
    <row r="4010" spans="17:18" ht="15" customHeight="1" x14ac:dyDescent="0.25">
      <c r="Q4010" t="s">
        <v>4941</v>
      </c>
      <c r="R4010" t="s">
        <v>2236</v>
      </c>
    </row>
    <row r="4011" spans="17:18" ht="15" customHeight="1" x14ac:dyDescent="0.25">
      <c r="Q4011" t="s">
        <v>4942</v>
      </c>
      <c r="R4011" t="s">
        <v>2236</v>
      </c>
    </row>
    <row r="4012" spans="17:18" ht="15" customHeight="1" x14ac:dyDescent="0.25">
      <c r="Q4012" t="s">
        <v>4943</v>
      </c>
      <c r="R4012" t="s">
        <v>2236</v>
      </c>
    </row>
    <row r="4013" spans="17:18" ht="15" customHeight="1" x14ac:dyDescent="0.25">
      <c r="Q4013" t="s">
        <v>4944</v>
      </c>
      <c r="R4013" t="s">
        <v>2236</v>
      </c>
    </row>
    <row r="4014" spans="17:18" ht="15" customHeight="1" x14ac:dyDescent="0.25">
      <c r="Q4014" t="s">
        <v>4945</v>
      </c>
      <c r="R4014" t="s">
        <v>2236</v>
      </c>
    </row>
    <row r="4015" spans="17:18" ht="15" customHeight="1" x14ac:dyDescent="0.25">
      <c r="Q4015" t="s">
        <v>4946</v>
      </c>
      <c r="R4015" t="s">
        <v>2236</v>
      </c>
    </row>
    <row r="4016" spans="17:18" ht="15" customHeight="1" x14ac:dyDescent="0.25">
      <c r="Q4016" t="s">
        <v>4947</v>
      </c>
      <c r="R4016" t="s">
        <v>2236</v>
      </c>
    </row>
    <row r="4017" spans="17:18" ht="15" customHeight="1" x14ac:dyDescent="0.25">
      <c r="Q4017" t="s">
        <v>4948</v>
      </c>
      <c r="R4017" t="s">
        <v>2236</v>
      </c>
    </row>
    <row r="4018" spans="17:18" ht="15" customHeight="1" x14ac:dyDescent="0.25">
      <c r="Q4018" t="s">
        <v>4949</v>
      </c>
      <c r="R4018" t="s">
        <v>2236</v>
      </c>
    </row>
    <row r="4019" spans="17:18" ht="15" customHeight="1" x14ac:dyDescent="0.25">
      <c r="Q4019" t="s">
        <v>4950</v>
      </c>
      <c r="R4019" t="s">
        <v>4214</v>
      </c>
    </row>
    <row r="4020" spans="17:18" ht="15" customHeight="1" x14ac:dyDescent="0.25">
      <c r="Q4020" t="s">
        <v>4951</v>
      </c>
      <c r="R4020" t="s">
        <v>2236</v>
      </c>
    </row>
    <row r="4021" spans="17:18" ht="15" customHeight="1" x14ac:dyDescent="0.25">
      <c r="Q4021" t="s">
        <v>4952</v>
      </c>
      <c r="R4021" t="s">
        <v>2236</v>
      </c>
    </row>
    <row r="4022" spans="17:18" ht="15" customHeight="1" x14ac:dyDescent="0.25">
      <c r="Q4022" t="s">
        <v>4953</v>
      </c>
      <c r="R4022" t="s">
        <v>2236</v>
      </c>
    </row>
    <row r="4023" spans="17:18" ht="15" customHeight="1" x14ac:dyDescent="0.25">
      <c r="Q4023" t="s">
        <v>4954</v>
      </c>
      <c r="R4023" t="s">
        <v>2236</v>
      </c>
    </row>
    <row r="4024" spans="17:18" ht="15" customHeight="1" x14ac:dyDescent="0.25">
      <c r="Q4024" t="s">
        <v>4955</v>
      </c>
      <c r="R4024" t="s">
        <v>4214</v>
      </c>
    </row>
    <row r="4025" spans="17:18" ht="15" customHeight="1" x14ac:dyDescent="0.25">
      <c r="Q4025" t="s">
        <v>4956</v>
      </c>
      <c r="R4025" t="s">
        <v>4214</v>
      </c>
    </row>
    <row r="4026" spans="17:18" ht="15" customHeight="1" x14ac:dyDescent="0.25">
      <c r="Q4026" t="s">
        <v>4957</v>
      </c>
      <c r="R4026" t="s">
        <v>2236</v>
      </c>
    </row>
    <row r="4027" spans="17:18" ht="15" customHeight="1" x14ac:dyDescent="0.25">
      <c r="Q4027" t="s">
        <v>4958</v>
      </c>
      <c r="R4027" t="s">
        <v>2236</v>
      </c>
    </row>
    <row r="4028" spans="17:18" ht="15" customHeight="1" x14ac:dyDescent="0.25">
      <c r="Q4028" t="s">
        <v>4959</v>
      </c>
      <c r="R4028" t="s">
        <v>2236</v>
      </c>
    </row>
    <row r="4029" spans="17:18" ht="15" customHeight="1" x14ac:dyDescent="0.25">
      <c r="Q4029" t="s">
        <v>4960</v>
      </c>
      <c r="R4029" t="s">
        <v>2236</v>
      </c>
    </row>
    <row r="4030" spans="17:18" ht="15" customHeight="1" x14ac:dyDescent="0.25">
      <c r="Q4030" t="s">
        <v>4961</v>
      </c>
      <c r="R4030" t="s">
        <v>2236</v>
      </c>
    </row>
    <row r="4031" spans="17:18" ht="15" customHeight="1" x14ac:dyDescent="0.25">
      <c r="Q4031" t="s">
        <v>4962</v>
      </c>
      <c r="R4031" t="s">
        <v>2236</v>
      </c>
    </row>
    <row r="4032" spans="17:18" ht="15" customHeight="1" x14ac:dyDescent="0.25">
      <c r="Q4032" t="s">
        <v>4963</v>
      </c>
      <c r="R4032" t="s">
        <v>2236</v>
      </c>
    </row>
    <row r="4033" spans="17:18" ht="15" customHeight="1" x14ac:dyDescent="0.25">
      <c r="Q4033" t="s">
        <v>4964</v>
      </c>
      <c r="R4033" t="s">
        <v>2236</v>
      </c>
    </row>
    <row r="4034" spans="17:18" ht="15" customHeight="1" x14ac:dyDescent="0.25">
      <c r="Q4034" t="s">
        <v>4965</v>
      </c>
      <c r="R4034" t="s">
        <v>2236</v>
      </c>
    </row>
    <row r="4035" spans="17:18" ht="15" customHeight="1" x14ac:dyDescent="0.25">
      <c r="Q4035" t="s">
        <v>4966</v>
      </c>
      <c r="R4035" t="s">
        <v>2236</v>
      </c>
    </row>
    <row r="4036" spans="17:18" ht="15" customHeight="1" x14ac:dyDescent="0.25">
      <c r="Q4036" t="s">
        <v>4967</v>
      </c>
      <c r="R4036" t="s">
        <v>2236</v>
      </c>
    </row>
    <row r="4037" spans="17:18" ht="15" customHeight="1" x14ac:dyDescent="0.25">
      <c r="Q4037" t="s">
        <v>4968</v>
      </c>
      <c r="R4037" t="s">
        <v>2236</v>
      </c>
    </row>
    <row r="4038" spans="17:18" ht="15" customHeight="1" x14ac:dyDescent="0.25">
      <c r="Q4038" t="s">
        <v>4969</v>
      </c>
      <c r="R4038" t="s">
        <v>2236</v>
      </c>
    </row>
    <row r="4039" spans="17:18" ht="15" customHeight="1" x14ac:dyDescent="0.25">
      <c r="Q4039" t="s">
        <v>4970</v>
      </c>
      <c r="R4039" t="s">
        <v>2236</v>
      </c>
    </row>
    <row r="4040" spans="17:18" ht="15" customHeight="1" x14ac:dyDescent="0.25">
      <c r="Q4040" t="s">
        <v>4971</v>
      </c>
      <c r="R4040" t="s">
        <v>2731</v>
      </c>
    </row>
    <row r="4041" spans="17:18" ht="15" customHeight="1" x14ac:dyDescent="0.25">
      <c r="Q4041" t="s">
        <v>4972</v>
      </c>
      <c r="R4041" t="s">
        <v>2731</v>
      </c>
    </row>
    <row r="4042" spans="17:18" ht="15" customHeight="1" x14ac:dyDescent="0.25">
      <c r="Q4042" t="s">
        <v>4973</v>
      </c>
      <c r="R4042" t="s">
        <v>2731</v>
      </c>
    </row>
    <row r="4043" spans="17:18" ht="15" customHeight="1" x14ac:dyDescent="0.25">
      <c r="Q4043" t="s">
        <v>4974</v>
      </c>
      <c r="R4043" t="s">
        <v>2731</v>
      </c>
    </row>
    <row r="4044" spans="17:18" ht="15" customHeight="1" x14ac:dyDescent="0.25">
      <c r="Q4044" t="s">
        <v>4975</v>
      </c>
      <c r="R4044" t="s">
        <v>2731</v>
      </c>
    </row>
    <row r="4045" spans="17:18" ht="15" customHeight="1" x14ac:dyDescent="0.25">
      <c r="Q4045" t="s">
        <v>4976</v>
      </c>
      <c r="R4045" t="s">
        <v>2731</v>
      </c>
    </row>
    <row r="4046" spans="17:18" ht="15" customHeight="1" x14ac:dyDescent="0.25">
      <c r="Q4046" t="s">
        <v>4977</v>
      </c>
      <c r="R4046" t="s">
        <v>2731</v>
      </c>
    </row>
    <row r="4047" spans="17:18" ht="15" customHeight="1" x14ac:dyDescent="0.25">
      <c r="Q4047" t="s">
        <v>4978</v>
      </c>
      <c r="R4047" t="s">
        <v>2731</v>
      </c>
    </row>
    <row r="4048" spans="17:18" ht="15" customHeight="1" x14ac:dyDescent="0.25">
      <c r="Q4048" t="s">
        <v>4979</v>
      </c>
      <c r="R4048" t="s">
        <v>2731</v>
      </c>
    </row>
    <row r="4049" spans="17:18" ht="15" customHeight="1" x14ac:dyDescent="0.25">
      <c r="Q4049" t="s">
        <v>4980</v>
      </c>
      <c r="R4049" t="s">
        <v>2731</v>
      </c>
    </row>
    <row r="4050" spans="17:18" ht="15" customHeight="1" x14ac:dyDescent="0.25">
      <c r="Q4050" t="s">
        <v>4981</v>
      </c>
      <c r="R4050" t="s">
        <v>2731</v>
      </c>
    </row>
    <row r="4051" spans="17:18" ht="15" customHeight="1" x14ac:dyDescent="0.25">
      <c r="Q4051" t="s">
        <v>4982</v>
      </c>
      <c r="R4051" t="s">
        <v>2731</v>
      </c>
    </row>
    <row r="4052" spans="17:18" ht="15" customHeight="1" x14ac:dyDescent="0.25">
      <c r="Q4052" t="s">
        <v>4983</v>
      </c>
      <c r="R4052" t="s">
        <v>2731</v>
      </c>
    </row>
    <row r="4053" spans="17:18" ht="15" customHeight="1" x14ac:dyDescent="0.25">
      <c r="Q4053" t="s">
        <v>4984</v>
      </c>
      <c r="R4053" t="s">
        <v>313</v>
      </c>
    </row>
    <row r="4054" spans="17:18" ht="15" customHeight="1" x14ac:dyDescent="0.25">
      <c r="Q4054" t="s">
        <v>4985</v>
      </c>
      <c r="R4054" t="s">
        <v>313</v>
      </c>
    </row>
    <row r="4055" spans="17:18" ht="15" customHeight="1" x14ac:dyDescent="0.25">
      <c r="Q4055" t="s">
        <v>4986</v>
      </c>
      <c r="R4055" t="s">
        <v>313</v>
      </c>
    </row>
    <row r="4056" spans="17:18" ht="15" customHeight="1" x14ac:dyDescent="0.25">
      <c r="Q4056" t="s">
        <v>4987</v>
      </c>
      <c r="R4056" t="s">
        <v>313</v>
      </c>
    </row>
    <row r="4057" spans="17:18" ht="15" customHeight="1" x14ac:dyDescent="0.25">
      <c r="Q4057" t="s">
        <v>4988</v>
      </c>
      <c r="R4057" t="s">
        <v>313</v>
      </c>
    </row>
    <row r="4058" spans="17:18" ht="15" customHeight="1" x14ac:dyDescent="0.25">
      <c r="Q4058" t="s">
        <v>4989</v>
      </c>
      <c r="R4058" t="s">
        <v>313</v>
      </c>
    </row>
    <row r="4059" spans="17:18" ht="15" customHeight="1" x14ac:dyDescent="0.25">
      <c r="Q4059" t="s">
        <v>4990</v>
      </c>
      <c r="R4059" t="s">
        <v>313</v>
      </c>
    </row>
    <row r="4060" spans="17:18" ht="15" customHeight="1" x14ac:dyDescent="0.25">
      <c r="Q4060" t="s">
        <v>4991</v>
      </c>
      <c r="R4060" t="s">
        <v>313</v>
      </c>
    </row>
    <row r="4061" spans="17:18" ht="15" customHeight="1" x14ac:dyDescent="0.25">
      <c r="Q4061" t="s">
        <v>4992</v>
      </c>
      <c r="R4061" t="s">
        <v>313</v>
      </c>
    </row>
    <row r="4062" spans="17:18" ht="15" customHeight="1" x14ac:dyDescent="0.25">
      <c r="Q4062" t="s">
        <v>4993</v>
      </c>
      <c r="R4062" t="s">
        <v>313</v>
      </c>
    </row>
    <row r="4063" spans="17:18" ht="15" customHeight="1" x14ac:dyDescent="0.25">
      <c r="Q4063" t="s">
        <v>4994</v>
      </c>
      <c r="R4063" t="s">
        <v>313</v>
      </c>
    </row>
    <row r="4064" spans="17:18" ht="15" customHeight="1" x14ac:dyDescent="0.25">
      <c r="Q4064" t="s">
        <v>4995</v>
      </c>
      <c r="R4064" t="s">
        <v>313</v>
      </c>
    </row>
    <row r="4065" spans="17:18" ht="15" customHeight="1" x14ac:dyDescent="0.25">
      <c r="Q4065" t="s">
        <v>4996</v>
      </c>
      <c r="R4065" t="s">
        <v>313</v>
      </c>
    </row>
    <row r="4066" spans="17:18" ht="15" customHeight="1" x14ac:dyDescent="0.25">
      <c r="Q4066" t="s">
        <v>4997</v>
      </c>
      <c r="R4066" t="s">
        <v>313</v>
      </c>
    </row>
    <row r="4067" spans="17:18" ht="15" customHeight="1" x14ac:dyDescent="0.25">
      <c r="Q4067" t="s">
        <v>4998</v>
      </c>
      <c r="R4067" t="s">
        <v>313</v>
      </c>
    </row>
    <row r="4068" spans="17:18" ht="15" customHeight="1" x14ac:dyDescent="0.25">
      <c r="Q4068" t="s">
        <v>4999</v>
      </c>
      <c r="R4068" t="s">
        <v>313</v>
      </c>
    </row>
    <row r="4069" spans="17:18" ht="15" customHeight="1" x14ac:dyDescent="0.25">
      <c r="Q4069" t="s">
        <v>5000</v>
      </c>
      <c r="R4069" t="s">
        <v>313</v>
      </c>
    </row>
    <row r="4070" spans="17:18" ht="15" customHeight="1" x14ac:dyDescent="0.25">
      <c r="Q4070" t="s">
        <v>5001</v>
      </c>
      <c r="R4070" t="s">
        <v>313</v>
      </c>
    </row>
    <row r="4071" spans="17:18" ht="15" customHeight="1" x14ac:dyDescent="0.25">
      <c r="Q4071" t="s">
        <v>5002</v>
      </c>
      <c r="R4071" t="s">
        <v>313</v>
      </c>
    </row>
    <row r="4072" spans="17:18" ht="15" customHeight="1" x14ac:dyDescent="0.25">
      <c r="Q4072" t="s">
        <v>5003</v>
      </c>
      <c r="R4072" t="s">
        <v>313</v>
      </c>
    </row>
    <row r="4073" spans="17:18" ht="15" customHeight="1" x14ac:dyDescent="0.25">
      <c r="Q4073" t="s">
        <v>5004</v>
      </c>
      <c r="R4073" t="s">
        <v>313</v>
      </c>
    </row>
    <row r="4074" spans="17:18" ht="15" customHeight="1" x14ac:dyDescent="0.25">
      <c r="Q4074" t="s">
        <v>5005</v>
      </c>
      <c r="R4074" t="s">
        <v>313</v>
      </c>
    </row>
    <row r="4075" spans="17:18" ht="15" customHeight="1" x14ac:dyDescent="0.25">
      <c r="Q4075" t="s">
        <v>5006</v>
      </c>
      <c r="R4075" t="s">
        <v>313</v>
      </c>
    </row>
    <row r="4076" spans="17:18" ht="15" customHeight="1" x14ac:dyDescent="0.25">
      <c r="Q4076" t="s">
        <v>5007</v>
      </c>
      <c r="R4076" t="s">
        <v>313</v>
      </c>
    </row>
    <row r="4077" spans="17:18" ht="15" customHeight="1" x14ac:dyDescent="0.25">
      <c r="Q4077" t="s">
        <v>5008</v>
      </c>
      <c r="R4077" t="s">
        <v>313</v>
      </c>
    </row>
    <row r="4078" spans="17:18" ht="15" customHeight="1" x14ac:dyDescent="0.25">
      <c r="Q4078" t="s">
        <v>5009</v>
      </c>
      <c r="R4078" t="s">
        <v>313</v>
      </c>
    </row>
    <row r="4079" spans="17:18" ht="15" customHeight="1" x14ac:dyDescent="0.25">
      <c r="Q4079" t="s">
        <v>5010</v>
      </c>
      <c r="R4079" t="s">
        <v>313</v>
      </c>
    </row>
    <row r="4080" spans="17:18" ht="15" customHeight="1" x14ac:dyDescent="0.25">
      <c r="Q4080" t="s">
        <v>5011</v>
      </c>
      <c r="R4080" t="s">
        <v>313</v>
      </c>
    </row>
    <row r="4081" spans="17:18" ht="15" customHeight="1" x14ac:dyDescent="0.25">
      <c r="Q4081" t="s">
        <v>5012</v>
      </c>
      <c r="R4081" t="s">
        <v>313</v>
      </c>
    </row>
    <row r="4082" spans="17:18" ht="15" customHeight="1" x14ac:dyDescent="0.25">
      <c r="Q4082" t="s">
        <v>5013</v>
      </c>
      <c r="R4082" t="s">
        <v>313</v>
      </c>
    </row>
    <row r="4083" spans="17:18" ht="15" customHeight="1" x14ac:dyDescent="0.25">
      <c r="Q4083" t="s">
        <v>5014</v>
      </c>
      <c r="R4083" t="s">
        <v>313</v>
      </c>
    </row>
    <row r="4084" spans="17:18" ht="15" customHeight="1" x14ac:dyDescent="0.25">
      <c r="Q4084" t="s">
        <v>5015</v>
      </c>
      <c r="R4084" t="s">
        <v>313</v>
      </c>
    </row>
    <row r="4085" spans="17:18" ht="15" customHeight="1" x14ac:dyDescent="0.25">
      <c r="Q4085" t="s">
        <v>5016</v>
      </c>
      <c r="R4085" t="s">
        <v>313</v>
      </c>
    </row>
    <row r="4086" spans="17:18" ht="15" customHeight="1" x14ac:dyDescent="0.25">
      <c r="Q4086" t="s">
        <v>5017</v>
      </c>
      <c r="R4086" t="s">
        <v>313</v>
      </c>
    </row>
    <row r="4087" spans="17:18" ht="15" customHeight="1" x14ac:dyDescent="0.25">
      <c r="Q4087" t="s">
        <v>5018</v>
      </c>
      <c r="R4087" t="s">
        <v>313</v>
      </c>
    </row>
    <row r="4088" spans="17:18" ht="15" customHeight="1" x14ac:dyDescent="0.25">
      <c r="Q4088" t="s">
        <v>5019</v>
      </c>
      <c r="R4088" t="s">
        <v>313</v>
      </c>
    </row>
    <row r="4089" spans="17:18" ht="15" customHeight="1" x14ac:dyDescent="0.25">
      <c r="Q4089" t="s">
        <v>5020</v>
      </c>
      <c r="R4089" t="s">
        <v>313</v>
      </c>
    </row>
    <row r="4090" spans="17:18" ht="15" customHeight="1" x14ac:dyDescent="0.25">
      <c r="Q4090" t="s">
        <v>5021</v>
      </c>
      <c r="R4090" t="s">
        <v>313</v>
      </c>
    </row>
    <row r="4091" spans="17:18" ht="15" customHeight="1" x14ac:dyDescent="0.25">
      <c r="Q4091" t="s">
        <v>5022</v>
      </c>
      <c r="R4091" t="s">
        <v>313</v>
      </c>
    </row>
    <row r="4092" spans="17:18" ht="15" customHeight="1" x14ac:dyDescent="0.25">
      <c r="Q4092" t="s">
        <v>5023</v>
      </c>
      <c r="R4092" t="s">
        <v>313</v>
      </c>
    </row>
    <row r="4093" spans="17:18" ht="15" customHeight="1" x14ac:dyDescent="0.25">
      <c r="Q4093" t="s">
        <v>5024</v>
      </c>
      <c r="R4093" t="s">
        <v>313</v>
      </c>
    </row>
    <row r="4094" spans="17:18" ht="15" customHeight="1" x14ac:dyDescent="0.25">
      <c r="Q4094" t="s">
        <v>5025</v>
      </c>
      <c r="R4094" t="s">
        <v>313</v>
      </c>
    </row>
    <row r="4095" spans="17:18" ht="15" customHeight="1" x14ac:dyDescent="0.25">
      <c r="Q4095" t="s">
        <v>5026</v>
      </c>
      <c r="R4095" t="s">
        <v>313</v>
      </c>
    </row>
    <row r="4096" spans="17:18" ht="15" customHeight="1" x14ac:dyDescent="0.25">
      <c r="Q4096" t="s">
        <v>5027</v>
      </c>
      <c r="R4096" t="s">
        <v>313</v>
      </c>
    </row>
    <row r="4097" spans="17:18" ht="15" customHeight="1" x14ac:dyDescent="0.25">
      <c r="Q4097" t="s">
        <v>5028</v>
      </c>
      <c r="R4097" t="s">
        <v>313</v>
      </c>
    </row>
    <row r="4098" spans="17:18" ht="15" customHeight="1" x14ac:dyDescent="0.25">
      <c r="Q4098" t="s">
        <v>5029</v>
      </c>
      <c r="R4098" t="s">
        <v>313</v>
      </c>
    </row>
    <row r="4099" spans="17:18" ht="15" customHeight="1" x14ac:dyDescent="0.25">
      <c r="Q4099" t="s">
        <v>5030</v>
      </c>
      <c r="R4099" t="s">
        <v>313</v>
      </c>
    </row>
    <row r="4100" spans="17:18" ht="15" customHeight="1" x14ac:dyDescent="0.25">
      <c r="Q4100" t="s">
        <v>5031</v>
      </c>
      <c r="R4100" t="s">
        <v>313</v>
      </c>
    </row>
    <row r="4101" spans="17:18" ht="15" customHeight="1" x14ac:dyDescent="0.25">
      <c r="Q4101" t="s">
        <v>5032</v>
      </c>
      <c r="R4101" t="s">
        <v>313</v>
      </c>
    </row>
    <row r="4102" spans="17:18" ht="15" customHeight="1" x14ac:dyDescent="0.25">
      <c r="Q4102" t="s">
        <v>5033</v>
      </c>
      <c r="R4102" t="s">
        <v>313</v>
      </c>
    </row>
    <row r="4103" spans="17:18" ht="15" customHeight="1" x14ac:dyDescent="0.25">
      <c r="Q4103" t="s">
        <v>5034</v>
      </c>
      <c r="R4103" t="s">
        <v>313</v>
      </c>
    </row>
    <row r="4104" spans="17:18" ht="15" customHeight="1" x14ac:dyDescent="0.25">
      <c r="Q4104" t="s">
        <v>5035</v>
      </c>
      <c r="R4104" t="s">
        <v>313</v>
      </c>
    </row>
    <row r="4105" spans="17:18" ht="15" customHeight="1" x14ac:dyDescent="0.25">
      <c r="Q4105" t="s">
        <v>5036</v>
      </c>
      <c r="R4105" t="s">
        <v>313</v>
      </c>
    </row>
    <row r="4106" spans="17:18" ht="15" customHeight="1" x14ac:dyDescent="0.25">
      <c r="Q4106" t="s">
        <v>5037</v>
      </c>
      <c r="R4106" t="s">
        <v>313</v>
      </c>
    </row>
    <row r="4107" spans="17:18" ht="15" customHeight="1" x14ac:dyDescent="0.25">
      <c r="Q4107" t="s">
        <v>5038</v>
      </c>
      <c r="R4107" t="s">
        <v>313</v>
      </c>
    </row>
    <row r="4108" spans="17:18" ht="15" customHeight="1" x14ac:dyDescent="0.25">
      <c r="Q4108" t="s">
        <v>5039</v>
      </c>
      <c r="R4108" t="s">
        <v>313</v>
      </c>
    </row>
    <row r="4109" spans="17:18" ht="15" customHeight="1" x14ac:dyDescent="0.25">
      <c r="Q4109" t="s">
        <v>5040</v>
      </c>
      <c r="R4109" t="s">
        <v>313</v>
      </c>
    </row>
    <row r="4110" spans="17:18" ht="15" customHeight="1" x14ac:dyDescent="0.25">
      <c r="Q4110" t="s">
        <v>5041</v>
      </c>
      <c r="R4110" t="s">
        <v>313</v>
      </c>
    </row>
    <row r="4111" spans="17:18" ht="15" customHeight="1" x14ac:dyDescent="0.25">
      <c r="Q4111" t="s">
        <v>5042</v>
      </c>
      <c r="R4111" t="s">
        <v>313</v>
      </c>
    </row>
    <row r="4112" spans="17:18" ht="15" customHeight="1" x14ac:dyDescent="0.25">
      <c r="Q4112" t="s">
        <v>5043</v>
      </c>
      <c r="R4112" t="s">
        <v>313</v>
      </c>
    </row>
    <row r="4113" spans="17:18" ht="15" customHeight="1" x14ac:dyDescent="0.25">
      <c r="Q4113" t="s">
        <v>5044</v>
      </c>
      <c r="R4113" t="s">
        <v>313</v>
      </c>
    </row>
    <row r="4114" spans="17:18" ht="15" customHeight="1" x14ac:dyDescent="0.25">
      <c r="Q4114" t="s">
        <v>5045</v>
      </c>
      <c r="R4114" t="s">
        <v>313</v>
      </c>
    </row>
    <row r="4115" spans="17:18" ht="15" customHeight="1" x14ac:dyDescent="0.25">
      <c r="Q4115" t="s">
        <v>5046</v>
      </c>
      <c r="R4115" t="s">
        <v>313</v>
      </c>
    </row>
    <row r="4116" spans="17:18" ht="15" customHeight="1" x14ac:dyDescent="0.25">
      <c r="Q4116" t="s">
        <v>5047</v>
      </c>
      <c r="R4116" t="s">
        <v>313</v>
      </c>
    </row>
    <row r="4117" spans="17:18" ht="15" customHeight="1" x14ac:dyDescent="0.25">
      <c r="Q4117" t="s">
        <v>5048</v>
      </c>
      <c r="R4117" t="s">
        <v>313</v>
      </c>
    </row>
    <row r="4118" spans="17:18" ht="15" customHeight="1" x14ac:dyDescent="0.25">
      <c r="Q4118" t="s">
        <v>5049</v>
      </c>
      <c r="R4118" t="s">
        <v>313</v>
      </c>
    </row>
    <row r="4119" spans="17:18" ht="15" customHeight="1" x14ac:dyDescent="0.25">
      <c r="Q4119" t="s">
        <v>5050</v>
      </c>
      <c r="R4119" t="s">
        <v>313</v>
      </c>
    </row>
    <row r="4120" spans="17:18" ht="15" customHeight="1" x14ac:dyDescent="0.25">
      <c r="Q4120" t="s">
        <v>5051</v>
      </c>
      <c r="R4120" t="s">
        <v>313</v>
      </c>
    </row>
    <row r="4121" spans="17:18" ht="15" customHeight="1" x14ac:dyDescent="0.25">
      <c r="Q4121" t="s">
        <v>5052</v>
      </c>
      <c r="R4121" t="s">
        <v>313</v>
      </c>
    </row>
    <row r="4122" spans="17:18" ht="15" customHeight="1" x14ac:dyDescent="0.25">
      <c r="Q4122" t="s">
        <v>5053</v>
      </c>
      <c r="R4122" t="s">
        <v>313</v>
      </c>
    </row>
    <row r="4123" spans="17:18" ht="15" customHeight="1" x14ac:dyDescent="0.25">
      <c r="Q4123" t="s">
        <v>5054</v>
      </c>
      <c r="R4123" t="s">
        <v>313</v>
      </c>
    </row>
    <row r="4124" spans="17:18" ht="15" customHeight="1" x14ac:dyDescent="0.25">
      <c r="Q4124" t="s">
        <v>5055</v>
      </c>
      <c r="R4124" t="s">
        <v>313</v>
      </c>
    </row>
    <row r="4125" spans="17:18" ht="15" customHeight="1" x14ac:dyDescent="0.25">
      <c r="Q4125" t="s">
        <v>5056</v>
      </c>
      <c r="R4125" t="s">
        <v>313</v>
      </c>
    </row>
    <row r="4126" spans="17:18" ht="15" customHeight="1" x14ac:dyDescent="0.25">
      <c r="Q4126" t="s">
        <v>5057</v>
      </c>
      <c r="R4126" t="s">
        <v>313</v>
      </c>
    </row>
    <row r="4127" spans="17:18" ht="15" customHeight="1" x14ac:dyDescent="0.25">
      <c r="Q4127" t="s">
        <v>5058</v>
      </c>
      <c r="R4127" t="s">
        <v>313</v>
      </c>
    </row>
    <row r="4128" spans="17:18" ht="15" customHeight="1" x14ac:dyDescent="0.25">
      <c r="Q4128" t="s">
        <v>5059</v>
      </c>
      <c r="R4128" t="s">
        <v>313</v>
      </c>
    </row>
    <row r="4129" spans="17:18" ht="15" customHeight="1" x14ac:dyDescent="0.25">
      <c r="Q4129" t="s">
        <v>5060</v>
      </c>
      <c r="R4129" t="s">
        <v>313</v>
      </c>
    </row>
    <row r="4130" spans="17:18" ht="15" customHeight="1" x14ac:dyDescent="0.25">
      <c r="Q4130" t="s">
        <v>5061</v>
      </c>
      <c r="R4130" t="s">
        <v>313</v>
      </c>
    </row>
    <row r="4131" spans="17:18" ht="15" customHeight="1" x14ac:dyDescent="0.25">
      <c r="Q4131" t="s">
        <v>5062</v>
      </c>
      <c r="R4131" t="s">
        <v>313</v>
      </c>
    </row>
    <row r="4132" spans="17:18" ht="15" customHeight="1" x14ac:dyDescent="0.25">
      <c r="Q4132" t="s">
        <v>5063</v>
      </c>
      <c r="R4132" t="s">
        <v>313</v>
      </c>
    </row>
    <row r="4133" spans="17:18" ht="15" customHeight="1" x14ac:dyDescent="0.25">
      <c r="Q4133" t="s">
        <v>5064</v>
      </c>
      <c r="R4133" t="s">
        <v>313</v>
      </c>
    </row>
    <row r="4134" spans="17:18" ht="15" customHeight="1" x14ac:dyDescent="0.25">
      <c r="Q4134" t="s">
        <v>5065</v>
      </c>
      <c r="R4134" t="s">
        <v>313</v>
      </c>
    </row>
    <row r="4135" spans="17:18" ht="15" customHeight="1" x14ac:dyDescent="0.25">
      <c r="Q4135" t="s">
        <v>5066</v>
      </c>
      <c r="R4135" t="s">
        <v>313</v>
      </c>
    </row>
    <row r="4136" spans="17:18" ht="15" customHeight="1" x14ac:dyDescent="0.25">
      <c r="Q4136" t="s">
        <v>5067</v>
      </c>
      <c r="R4136" t="s">
        <v>313</v>
      </c>
    </row>
    <row r="4137" spans="17:18" ht="15" customHeight="1" x14ac:dyDescent="0.25">
      <c r="Q4137" t="s">
        <v>5068</v>
      </c>
      <c r="R4137" t="s">
        <v>313</v>
      </c>
    </row>
    <row r="4138" spans="17:18" ht="15" customHeight="1" x14ac:dyDescent="0.25">
      <c r="Q4138" t="s">
        <v>5069</v>
      </c>
      <c r="R4138" t="s">
        <v>313</v>
      </c>
    </row>
    <row r="4139" spans="17:18" ht="15" customHeight="1" x14ac:dyDescent="0.25">
      <c r="Q4139" t="s">
        <v>5070</v>
      </c>
      <c r="R4139" t="s">
        <v>313</v>
      </c>
    </row>
    <row r="4140" spans="17:18" ht="15" customHeight="1" x14ac:dyDescent="0.25">
      <c r="Q4140" t="s">
        <v>5071</v>
      </c>
      <c r="R4140" t="s">
        <v>313</v>
      </c>
    </row>
    <row r="4141" spans="17:18" ht="15" customHeight="1" x14ac:dyDescent="0.25">
      <c r="Q4141" t="s">
        <v>5072</v>
      </c>
      <c r="R4141" t="s">
        <v>313</v>
      </c>
    </row>
    <row r="4142" spans="17:18" ht="15" customHeight="1" x14ac:dyDescent="0.25">
      <c r="Q4142" t="s">
        <v>5073</v>
      </c>
      <c r="R4142" t="s">
        <v>313</v>
      </c>
    </row>
    <row r="4143" spans="17:18" ht="15" customHeight="1" x14ac:dyDescent="0.25">
      <c r="Q4143" t="s">
        <v>5074</v>
      </c>
      <c r="R4143" t="s">
        <v>313</v>
      </c>
    </row>
    <row r="4144" spans="17:18" ht="15" customHeight="1" x14ac:dyDescent="0.25">
      <c r="Q4144" t="s">
        <v>5075</v>
      </c>
      <c r="R4144" t="s">
        <v>313</v>
      </c>
    </row>
    <row r="4145" spans="17:18" ht="15" customHeight="1" x14ac:dyDescent="0.25">
      <c r="Q4145" t="s">
        <v>5076</v>
      </c>
      <c r="R4145" t="s">
        <v>313</v>
      </c>
    </row>
    <row r="4146" spans="17:18" ht="15" customHeight="1" x14ac:dyDescent="0.25">
      <c r="Q4146" t="s">
        <v>5077</v>
      </c>
      <c r="R4146" t="s">
        <v>313</v>
      </c>
    </row>
    <row r="4147" spans="17:18" ht="15" customHeight="1" x14ac:dyDescent="0.25">
      <c r="Q4147" t="s">
        <v>5078</v>
      </c>
      <c r="R4147" t="s">
        <v>313</v>
      </c>
    </row>
    <row r="4148" spans="17:18" ht="15" customHeight="1" x14ac:dyDescent="0.25">
      <c r="Q4148" t="s">
        <v>5079</v>
      </c>
      <c r="R4148" t="s">
        <v>313</v>
      </c>
    </row>
    <row r="4149" spans="17:18" ht="15" customHeight="1" x14ac:dyDescent="0.25">
      <c r="Q4149" t="s">
        <v>5080</v>
      </c>
      <c r="R4149" t="s">
        <v>2731</v>
      </c>
    </row>
    <row r="4150" spans="17:18" ht="15" customHeight="1" x14ac:dyDescent="0.25">
      <c r="Q4150" t="s">
        <v>5081</v>
      </c>
      <c r="R4150" t="s">
        <v>2731</v>
      </c>
    </row>
    <row r="4151" spans="17:18" ht="15" customHeight="1" x14ac:dyDescent="0.25">
      <c r="Q4151" t="s">
        <v>5082</v>
      </c>
      <c r="R4151" t="s">
        <v>2731</v>
      </c>
    </row>
    <row r="4152" spans="17:18" ht="15" customHeight="1" x14ac:dyDescent="0.25">
      <c r="Q4152" t="s">
        <v>5083</v>
      </c>
      <c r="R4152" t="s">
        <v>2731</v>
      </c>
    </row>
    <row r="4153" spans="17:18" ht="15" customHeight="1" x14ac:dyDescent="0.25">
      <c r="Q4153" t="s">
        <v>5084</v>
      </c>
      <c r="R4153" t="s">
        <v>2731</v>
      </c>
    </row>
    <row r="4154" spans="17:18" ht="15" customHeight="1" x14ac:dyDescent="0.25">
      <c r="Q4154" t="s">
        <v>5085</v>
      </c>
      <c r="R4154" t="s">
        <v>2731</v>
      </c>
    </row>
    <row r="4155" spans="17:18" ht="15" customHeight="1" x14ac:dyDescent="0.25">
      <c r="Q4155" t="s">
        <v>5086</v>
      </c>
      <c r="R4155" t="s">
        <v>2731</v>
      </c>
    </row>
    <row r="4156" spans="17:18" ht="15" customHeight="1" x14ac:dyDescent="0.25">
      <c r="Q4156" t="s">
        <v>5087</v>
      </c>
      <c r="R4156" t="s">
        <v>2731</v>
      </c>
    </row>
    <row r="4157" spans="17:18" ht="15" customHeight="1" x14ac:dyDescent="0.25">
      <c r="Q4157" t="s">
        <v>5088</v>
      </c>
      <c r="R4157" t="s">
        <v>2731</v>
      </c>
    </row>
    <row r="4158" spans="17:18" ht="15" customHeight="1" x14ac:dyDescent="0.25">
      <c r="Q4158" t="s">
        <v>5089</v>
      </c>
      <c r="R4158" t="s">
        <v>2731</v>
      </c>
    </row>
    <row r="4159" spans="17:18" ht="15" customHeight="1" x14ac:dyDescent="0.25">
      <c r="Q4159" t="s">
        <v>5090</v>
      </c>
      <c r="R4159" t="s">
        <v>2731</v>
      </c>
    </row>
    <row r="4160" spans="17:18" ht="15" customHeight="1" x14ac:dyDescent="0.25">
      <c r="Q4160" t="s">
        <v>5091</v>
      </c>
      <c r="R4160" t="s">
        <v>2731</v>
      </c>
    </row>
    <row r="4161" spans="17:18" ht="15" customHeight="1" x14ac:dyDescent="0.25">
      <c r="Q4161" t="s">
        <v>5092</v>
      </c>
      <c r="R4161" t="s">
        <v>2731</v>
      </c>
    </row>
    <row r="4162" spans="17:18" ht="15" customHeight="1" x14ac:dyDescent="0.25">
      <c r="Q4162" t="s">
        <v>5093</v>
      </c>
      <c r="R4162" t="s">
        <v>2731</v>
      </c>
    </row>
    <row r="4163" spans="17:18" ht="15" customHeight="1" x14ac:dyDescent="0.25">
      <c r="Q4163" t="s">
        <v>5094</v>
      </c>
      <c r="R4163" t="s">
        <v>2731</v>
      </c>
    </row>
    <row r="4164" spans="17:18" ht="15" customHeight="1" x14ac:dyDescent="0.25">
      <c r="Q4164" t="s">
        <v>5095</v>
      </c>
      <c r="R4164" t="s">
        <v>2731</v>
      </c>
    </row>
    <row r="4165" spans="17:18" ht="15" customHeight="1" x14ac:dyDescent="0.25">
      <c r="Q4165" t="s">
        <v>5096</v>
      </c>
      <c r="R4165" t="s">
        <v>2731</v>
      </c>
    </row>
    <row r="4166" spans="17:18" ht="15" customHeight="1" x14ac:dyDescent="0.25">
      <c r="Q4166" t="s">
        <v>5097</v>
      </c>
      <c r="R4166" t="s">
        <v>313</v>
      </c>
    </row>
    <row r="4167" spans="17:18" ht="15" customHeight="1" x14ac:dyDescent="0.25">
      <c r="Q4167" t="s">
        <v>5098</v>
      </c>
      <c r="R4167" t="s">
        <v>313</v>
      </c>
    </row>
    <row r="4168" spans="17:18" ht="15" customHeight="1" x14ac:dyDescent="0.25">
      <c r="Q4168" t="s">
        <v>5099</v>
      </c>
      <c r="R4168" t="s">
        <v>313</v>
      </c>
    </row>
    <row r="4169" spans="17:18" ht="15" customHeight="1" x14ac:dyDescent="0.25">
      <c r="Q4169" t="s">
        <v>5100</v>
      </c>
      <c r="R4169" t="s">
        <v>313</v>
      </c>
    </row>
    <row r="4170" spans="17:18" ht="15" customHeight="1" x14ac:dyDescent="0.25">
      <c r="Q4170" t="s">
        <v>5101</v>
      </c>
      <c r="R4170" t="s">
        <v>313</v>
      </c>
    </row>
    <row r="4171" spans="17:18" ht="15" customHeight="1" x14ac:dyDescent="0.25">
      <c r="Q4171" t="s">
        <v>5102</v>
      </c>
      <c r="R4171" t="s">
        <v>313</v>
      </c>
    </row>
    <row r="4172" spans="17:18" ht="15" customHeight="1" x14ac:dyDescent="0.25">
      <c r="Q4172" t="s">
        <v>5103</v>
      </c>
      <c r="R4172" t="s">
        <v>313</v>
      </c>
    </row>
    <row r="4173" spans="17:18" ht="15" customHeight="1" x14ac:dyDescent="0.25">
      <c r="Q4173" t="s">
        <v>5104</v>
      </c>
      <c r="R4173" t="s">
        <v>313</v>
      </c>
    </row>
    <row r="4174" spans="17:18" ht="15" customHeight="1" x14ac:dyDescent="0.25">
      <c r="Q4174" t="s">
        <v>5105</v>
      </c>
      <c r="R4174" t="s">
        <v>313</v>
      </c>
    </row>
    <row r="4175" spans="17:18" ht="15" customHeight="1" x14ac:dyDescent="0.25">
      <c r="Q4175" t="s">
        <v>5106</v>
      </c>
      <c r="R4175" t="s">
        <v>313</v>
      </c>
    </row>
    <row r="4176" spans="17:18" ht="15" customHeight="1" x14ac:dyDescent="0.25">
      <c r="Q4176" t="s">
        <v>5107</v>
      </c>
      <c r="R4176" t="s">
        <v>313</v>
      </c>
    </row>
    <row r="4177" spans="17:18" ht="15" customHeight="1" x14ac:dyDescent="0.25">
      <c r="Q4177" t="s">
        <v>5108</v>
      </c>
      <c r="R4177" t="s">
        <v>313</v>
      </c>
    </row>
    <row r="4178" spans="17:18" ht="15" customHeight="1" x14ac:dyDescent="0.25">
      <c r="Q4178" t="s">
        <v>5109</v>
      </c>
      <c r="R4178" t="s">
        <v>313</v>
      </c>
    </row>
    <row r="4179" spans="17:18" ht="15" customHeight="1" x14ac:dyDescent="0.25">
      <c r="Q4179" t="s">
        <v>5110</v>
      </c>
      <c r="R4179" t="s">
        <v>313</v>
      </c>
    </row>
    <row r="4180" spans="17:18" ht="15" customHeight="1" x14ac:dyDescent="0.25">
      <c r="Q4180" t="s">
        <v>5111</v>
      </c>
      <c r="R4180" t="s">
        <v>313</v>
      </c>
    </row>
    <row r="4181" spans="17:18" ht="15" customHeight="1" x14ac:dyDescent="0.25">
      <c r="Q4181" t="s">
        <v>5112</v>
      </c>
      <c r="R4181" t="s">
        <v>313</v>
      </c>
    </row>
    <row r="4182" spans="17:18" ht="15" customHeight="1" x14ac:dyDescent="0.25">
      <c r="Q4182" t="s">
        <v>5113</v>
      </c>
      <c r="R4182" t="s">
        <v>313</v>
      </c>
    </row>
    <row r="4183" spans="17:18" ht="15" customHeight="1" x14ac:dyDescent="0.25">
      <c r="Q4183" t="s">
        <v>5114</v>
      </c>
      <c r="R4183" t="s">
        <v>313</v>
      </c>
    </row>
    <row r="4184" spans="17:18" ht="15" customHeight="1" x14ac:dyDescent="0.25">
      <c r="Q4184" t="s">
        <v>5115</v>
      </c>
      <c r="R4184" t="s">
        <v>313</v>
      </c>
    </row>
    <row r="4185" spans="17:18" ht="15" customHeight="1" x14ac:dyDescent="0.25">
      <c r="Q4185" t="s">
        <v>5116</v>
      </c>
      <c r="R4185" t="s">
        <v>313</v>
      </c>
    </row>
    <row r="4186" spans="17:18" ht="15" customHeight="1" x14ac:dyDescent="0.25">
      <c r="Q4186" t="s">
        <v>5117</v>
      </c>
      <c r="R4186" t="s">
        <v>313</v>
      </c>
    </row>
    <row r="4187" spans="17:18" ht="15" customHeight="1" x14ac:dyDescent="0.25">
      <c r="Q4187" t="s">
        <v>5118</v>
      </c>
      <c r="R4187" t="s">
        <v>313</v>
      </c>
    </row>
    <row r="4188" spans="17:18" ht="15" customHeight="1" x14ac:dyDescent="0.25">
      <c r="Q4188" t="s">
        <v>5119</v>
      </c>
      <c r="R4188" t="s">
        <v>313</v>
      </c>
    </row>
    <row r="4189" spans="17:18" ht="15" customHeight="1" x14ac:dyDescent="0.25">
      <c r="Q4189" t="s">
        <v>5120</v>
      </c>
      <c r="R4189" t="s">
        <v>313</v>
      </c>
    </row>
    <row r="4190" spans="17:18" ht="15" customHeight="1" x14ac:dyDescent="0.25">
      <c r="Q4190" t="s">
        <v>5121</v>
      </c>
      <c r="R4190" t="s">
        <v>313</v>
      </c>
    </row>
    <row r="4191" spans="17:18" ht="15" customHeight="1" x14ac:dyDescent="0.25">
      <c r="Q4191" t="s">
        <v>5122</v>
      </c>
      <c r="R4191" t="s">
        <v>313</v>
      </c>
    </row>
    <row r="4192" spans="17:18" ht="15" customHeight="1" x14ac:dyDescent="0.25">
      <c r="Q4192" t="s">
        <v>5123</v>
      </c>
      <c r="R4192" t="s">
        <v>313</v>
      </c>
    </row>
    <row r="4193" spans="17:18" ht="15" customHeight="1" x14ac:dyDescent="0.25">
      <c r="Q4193" t="s">
        <v>5124</v>
      </c>
      <c r="R4193" t="s">
        <v>313</v>
      </c>
    </row>
    <row r="4194" spans="17:18" ht="15" customHeight="1" x14ac:dyDescent="0.25">
      <c r="Q4194" t="s">
        <v>5125</v>
      </c>
      <c r="R4194" t="s">
        <v>2731</v>
      </c>
    </row>
    <row r="4195" spans="17:18" ht="15" customHeight="1" x14ac:dyDescent="0.25">
      <c r="Q4195" t="s">
        <v>5126</v>
      </c>
      <c r="R4195" t="s">
        <v>2731</v>
      </c>
    </row>
    <row r="4196" spans="17:18" ht="15" customHeight="1" x14ac:dyDescent="0.25">
      <c r="Q4196" t="s">
        <v>5127</v>
      </c>
      <c r="R4196" t="s">
        <v>2731</v>
      </c>
    </row>
    <row r="4197" spans="17:18" ht="15" customHeight="1" x14ac:dyDescent="0.25">
      <c r="Q4197" t="s">
        <v>5128</v>
      </c>
      <c r="R4197" t="s">
        <v>313</v>
      </c>
    </row>
    <row r="4198" spans="17:18" ht="15" customHeight="1" x14ac:dyDescent="0.25">
      <c r="Q4198" t="s">
        <v>5129</v>
      </c>
      <c r="R4198" t="s">
        <v>313</v>
      </c>
    </row>
    <row r="4199" spans="17:18" ht="15" customHeight="1" x14ac:dyDescent="0.25">
      <c r="Q4199" t="s">
        <v>5130</v>
      </c>
      <c r="R4199" t="s">
        <v>313</v>
      </c>
    </row>
    <row r="4200" spans="17:18" ht="15" customHeight="1" x14ac:dyDescent="0.25">
      <c r="Q4200" t="s">
        <v>5131</v>
      </c>
      <c r="R4200" t="s">
        <v>313</v>
      </c>
    </row>
    <row r="4201" spans="17:18" ht="15" customHeight="1" x14ac:dyDescent="0.25">
      <c r="Q4201" t="s">
        <v>5132</v>
      </c>
      <c r="R4201" t="s">
        <v>313</v>
      </c>
    </row>
    <row r="4202" spans="17:18" ht="15" customHeight="1" x14ac:dyDescent="0.25">
      <c r="Q4202" t="s">
        <v>5133</v>
      </c>
      <c r="R4202" t="s">
        <v>313</v>
      </c>
    </row>
    <row r="4203" spans="17:18" ht="15" customHeight="1" x14ac:dyDescent="0.25">
      <c r="Q4203" t="s">
        <v>5134</v>
      </c>
      <c r="R4203" t="s">
        <v>313</v>
      </c>
    </row>
    <row r="4204" spans="17:18" ht="15" customHeight="1" x14ac:dyDescent="0.25">
      <c r="Q4204" t="s">
        <v>5135</v>
      </c>
      <c r="R4204" t="s">
        <v>313</v>
      </c>
    </row>
    <row r="4205" spans="17:18" ht="15" customHeight="1" x14ac:dyDescent="0.25">
      <c r="Q4205" t="s">
        <v>5136</v>
      </c>
      <c r="R4205" t="s">
        <v>313</v>
      </c>
    </row>
    <row r="4206" spans="17:18" ht="15" customHeight="1" x14ac:dyDescent="0.25">
      <c r="Q4206" t="s">
        <v>5137</v>
      </c>
      <c r="R4206" t="s">
        <v>313</v>
      </c>
    </row>
    <row r="4207" spans="17:18" ht="15" customHeight="1" x14ac:dyDescent="0.25">
      <c r="Q4207" t="s">
        <v>5138</v>
      </c>
      <c r="R4207" t="s">
        <v>313</v>
      </c>
    </row>
    <row r="4208" spans="17:18" ht="15" customHeight="1" x14ac:dyDescent="0.25">
      <c r="Q4208" t="s">
        <v>5139</v>
      </c>
      <c r="R4208" t="s">
        <v>313</v>
      </c>
    </row>
    <row r="4209" spans="17:18" ht="15" customHeight="1" x14ac:dyDescent="0.25">
      <c r="Q4209" t="s">
        <v>5140</v>
      </c>
      <c r="R4209" t="s">
        <v>313</v>
      </c>
    </row>
    <row r="4210" spans="17:18" ht="15" customHeight="1" x14ac:dyDescent="0.25">
      <c r="Q4210" t="s">
        <v>5141</v>
      </c>
      <c r="R4210" t="s">
        <v>313</v>
      </c>
    </row>
    <row r="4211" spans="17:18" ht="15" customHeight="1" x14ac:dyDescent="0.25">
      <c r="Q4211" t="s">
        <v>5142</v>
      </c>
      <c r="R4211" t="s">
        <v>313</v>
      </c>
    </row>
    <row r="4212" spans="17:18" ht="15" customHeight="1" x14ac:dyDescent="0.25">
      <c r="Q4212" t="s">
        <v>5143</v>
      </c>
      <c r="R4212" t="s">
        <v>313</v>
      </c>
    </row>
    <row r="4213" spans="17:18" ht="15" customHeight="1" x14ac:dyDescent="0.25">
      <c r="Q4213" t="s">
        <v>5144</v>
      </c>
      <c r="R4213" t="s">
        <v>313</v>
      </c>
    </row>
    <row r="4214" spans="17:18" ht="15" customHeight="1" x14ac:dyDescent="0.25">
      <c r="Q4214" t="s">
        <v>5145</v>
      </c>
      <c r="R4214" t="s">
        <v>313</v>
      </c>
    </row>
    <row r="4215" spans="17:18" ht="15" customHeight="1" x14ac:dyDescent="0.25">
      <c r="Q4215" t="s">
        <v>5146</v>
      </c>
      <c r="R4215" t="s">
        <v>313</v>
      </c>
    </row>
    <row r="4216" spans="17:18" ht="15" customHeight="1" x14ac:dyDescent="0.25">
      <c r="Q4216" t="s">
        <v>5147</v>
      </c>
      <c r="R4216" t="s">
        <v>313</v>
      </c>
    </row>
    <row r="4217" spans="17:18" ht="15" customHeight="1" x14ac:dyDescent="0.25">
      <c r="Q4217" t="s">
        <v>5148</v>
      </c>
      <c r="R4217" t="s">
        <v>313</v>
      </c>
    </row>
    <row r="4218" spans="17:18" ht="15" customHeight="1" x14ac:dyDescent="0.25">
      <c r="Q4218" t="s">
        <v>5149</v>
      </c>
      <c r="R4218" t="s">
        <v>313</v>
      </c>
    </row>
    <row r="4219" spans="17:18" ht="15" customHeight="1" x14ac:dyDescent="0.25">
      <c r="Q4219" t="s">
        <v>5150</v>
      </c>
      <c r="R4219" t="s">
        <v>313</v>
      </c>
    </row>
    <row r="4220" spans="17:18" ht="15" customHeight="1" x14ac:dyDescent="0.25">
      <c r="Q4220" t="s">
        <v>5151</v>
      </c>
      <c r="R4220" t="s">
        <v>2731</v>
      </c>
    </row>
    <row r="4221" spans="17:18" ht="15" customHeight="1" x14ac:dyDescent="0.25">
      <c r="Q4221" t="s">
        <v>5152</v>
      </c>
      <c r="R4221" t="s">
        <v>313</v>
      </c>
    </row>
    <row r="4222" spans="17:18" ht="15" customHeight="1" x14ac:dyDescent="0.25">
      <c r="Q4222" t="s">
        <v>5153</v>
      </c>
      <c r="R4222" t="s">
        <v>2731</v>
      </c>
    </row>
    <row r="4223" spans="17:18" ht="15" customHeight="1" x14ac:dyDescent="0.25">
      <c r="Q4223" t="s">
        <v>5154</v>
      </c>
      <c r="R4223" t="s">
        <v>2731</v>
      </c>
    </row>
    <row r="4224" spans="17:18" ht="15" customHeight="1" x14ac:dyDescent="0.25">
      <c r="Q4224" t="s">
        <v>5155</v>
      </c>
      <c r="R4224" t="s">
        <v>2731</v>
      </c>
    </row>
    <row r="4225" spans="17:18" ht="15" customHeight="1" x14ac:dyDescent="0.25">
      <c r="Q4225" t="s">
        <v>5156</v>
      </c>
      <c r="R4225" t="s">
        <v>2731</v>
      </c>
    </row>
    <row r="4226" spans="17:18" ht="15" customHeight="1" x14ac:dyDescent="0.25">
      <c r="Q4226" t="s">
        <v>5157</v>
      </c>
      <c r="R4226" t="s">
        <v>2731</v>
      </c>
    </row>
    <row r="4227" spans="17:18" ht="15" customHeight="1" x14ac:dyDescent="0.25">
      <c r="Q4227" t="s">
        <v>5158</v>
      </c>
      <c r="R4227" t="s">
        <v>313</v>
      </c>
    </row>
    <row r="4228" spans="17:18" ht="15" customHeight="1" x14ac:dyDescent="0.25">
      <c r="Q4228" t="s">
        <v>5159</v>
      </c>
      <c r="R4228" t="s">
        <v>2731</v>
      </c>
    </row>
    <row r="4229" spans="17:18" ht="15" customHeight="1" x14ac:dyDescent="0.25">
      <c r="Q4229" t="s">
        <v>5160</v>
      </c>
      <c r="R4229" t="s">
        <v>313</v>
      </c>
    </row>
    <row r="4230" spans="17:18" ht="15" customHeight="1" x14ac:dyDescent="0.25">
      <c r="Q4230" t="s">
        <v>5161</v>
      </c>
      <c r="R4230" t="s">
        <v>313</v>
      </c>
    </row>
    <row r="4231" spans="17:18" ht="15" customHeight="1" x14ac:dyDescent="0.25">
      <c r="Q4231" t="s">
        <v>5162</v>
      </c>
      <c r="R4231" t="s">
        <v>2731</v>
      </c>
    </row>
    <row r="4232" spans="17:18" ht="15" customHeight="1" x14ac:dyDescent="0.25">
      <c r="Q4232" t="s">
        <v>5163</v>
      </c>
      <c r="R4232" t="s">
        <v>2731</v>
      </c>
    </row>
    <row r="4233" spans="17:18" ht="15" customHeight="1" x14ac:dyDescent="0.25">
      <c r="Q4233" t="s">
        <v>5164</v>
      </c>
      <c r="R4233" t="s">
        <v>2731</v>
      </c>
    </row>
    <row r="4234" spans="17:18" ht="15" customHeight="1" x14ac:dyDescent="0.25">
      <c r="Q4234" t="s">
        <v>5165</v>
      </c>
      <c r="R4234" t="s">
        <v>313</v>
      </c>
    </row>
    <row r="4235" spans="17:18" ht="15" customHeight="1" x14ac:dyDescent="0.25">
      <c r="Q4235" t="s">
        <v>5166</v>
      </c>
      <c r="R4235" t="s">
        <v>313</v>
      </c>
    </row>
    <row r="4236" spans="17:18" ht="15" customHeight="1" x14ac:dyDescent="0.25">
      <c r="Q4236" t="s">
        <v>5167</v>
      </c>
      <c r="R4236" t="s">
        <v>313</v>
      </c>
    </row>
    <row r="4237" spans="17:18" ht="15" customHeight="1" x14ac:dyDescent="0.25">
      <c r="Q4237" t="s">
        <v>5168</v>
      </c>
      <c r="R4237" t="s">
        <v>313</v>
      </c>
    </row>
    <row r="4238" spans="17:18" ht="15" customHeight="1" x14ac:dyDescent="0.25">
      <c r="Q4238" t="s">
        <v>5169</v>
      </c>
      <c r="R4238" t="s">
        <v>313</v>
      </c>
    </row>
    <row r="4239" spans="17:18" ht="15" customHeight="1" x14ac:dyDescent="0.25">
      <c r="Q4239" t="s">
        <v>5170</v>
      </c>
      <c r="R4239" t="s">
        <v>313</v>
      </c>
    </row>
    <row r="4240" spans="17:18" ht="15" customHeight="1" x14ac:dyDescent="0.25">
      <c r="Q4240" t="s">
        <v>5171</v>
      </c>
      <c r="R4240" t="s">
        <v>313</v>
      </c>
    </row>
    <row r="4241" spans="17:18" ht="15" customHeight="1" x14ac:dyDescent="0.25">
      <c r="Q4241" t="s">
        <v>5172</v>
      </c>
      <c r="R4241" t="s">
        <v>313</v>
      </c>
    </row>
    <row r="4242" spans="17:18" ht="15" customHeight="1" x14ac:dyDescent="0.25">
      <c r="Q4242" t="s">
        <v>5173</v>
      </c>
      <c r="R4242" t="s">
        <v>313</v>
      </c>
    </row>
    <row r="4243" spans="17:18" ht="15" customHeight="1" x14ac:dyDescent="0.25">
      <c r="Q4243" t="s">
        <v>5174</v>
      </c>
      <c r="R4243" t="s">
        <v>313</v>
      </c>
    </row>
    <row r="4244" spans="17:18" ht="15" customHeight="1" x14ac:dyDescent="0.25">
      <c r="Q4244" t="s">
        <v>5175</v>
      </c>
      <c r="R4244" t="s">
        <v>313</v>
      </c>
    </row>
    <row r="4245" spans="17:18" ht="15" customHeight="1" x14ac:dyDescent="0.25">
      <c r="Q4245" t="s">
        <v>5176</v>
      </c>
      <c r="R4245" t="s">
        <v>313</v>
      </c>
    </row>
    <row r="4246" spans="17:18" ht="15" customHeight="1" x14ac:dyDescent="0.25">
      <c r="Q4246" t="s">
        <v>5177</v>
      </c>
      <c r="R4246" t="s">
        <v>313</v>
      </c>
    </row>
    <row r="4247" spans="17:18" ht="15" customHeight="1" x14ac:dyDescent="0.25">
      <c r="Q4247" t="s">
        <v>5178</v>
      </c>
      <c r="R4247" t="s">
        <v>313</v>
      </c>
    </row>
    <row r="4248" spans="17:18" ht="15" customHeight="1" x14ac:dyDescent="0.25">
      <c r="Q4248" t="s">
        <v>5179</v>
      </c>
      <c r="R4248" t="s">
        <v>313</v>
      </c>
    </row>
    <row r="4249" spans="17:18" ht="15" customHeight="1" x14ac:dyDescent="0.25">
      <c r="Q4249" t="s">
        <v>5180</v>
      </c>
      <c r="R4249" t="s">
        <v>313</v>
      </c>
    </row>
    <row r="4250" spans="17:18" ht="15" customHeight="1" x14ac:dyDescent="0.25">
      <c r="Q4250" t="s">
        <v>5181</v>
      </c>
      <c r="R4250" t="s">
        <v>313</v>
      </c>
    </row>
    <row r="4251" spans="17:18" ht="15" customHeight="1" x14ac:dyDescent="0.25">
      <c r="Q4251" t="s">
        <v>5182</v>
      </c>
      <c r="R4251" t="s">
        <v>313</v>
      </c>
    </row>
    <row r="4252" spans="17:18" ht="15" customHeight="1" x14ac:dyDescent="0.25">
      <c r="Q4252" t="s">
        <v>5183</v>
      </c>
      <c r="R4252" t="s">
        <v>313</v>
      </c>
    </row>
    <row r="4253" spans="17:18" ht="15" customHeight="1" x14ac:dyDescent="0.25">
      <c r="Q4253" t="s">
        <v>5184</v>
      </c>
      <c r="R4253" t="s">
        <v>313</v>
      </c>
    </row>
    <row r="4254" spans="17:18" ht="15" customHeight="1" x14ac:dyDescent="0.25">
      <c r="Q4254" t="s">
        <v>5185</v>
      </c>
      <c r="R4254" t="s">
        <v>313</v>
      </c>
    </row>
    <row r="4255" spans="17:18" ht="15" customHeight="1" x14ac:dyDescent="0.25">
      <c r="Q4255" t="s">
        <v>5186</v>
      </c>
      <c r="R4255" t="s">
        <v>313</v>
      </c>
    </row>
    <row r="4256" spans="17:18" ht="15" customHeight="1" x14ac:dyDescent="0.25">
      <c r="Q4256" t="s">
        <v>5187</v>
      </c>
      <c r="R4256" t="s">
        <v>313</v>
      </c>
    </row>
    <row r="4257" spans="17:18" ht="15" customHeight="1" x14ac:dyDescent="0.25">
      <c r="Q4257" t="s">
        <v>5188</v>
      </c>
      <c r="R4257" t="s">
        <v>313</v>
      </c>
    </row>
    <row r="4258" spans="17:18" ht="15" customHeight="1" x14ac:dyDescent="0.25">
      <c r="Q4258" t="s">
        <v>5189</v>
      </c>
      <c r="R4258" t="s">
        <v>313</v>
      </c>
    </row>
    <row r="4259" spans="17:18" ht="15" customHeight="1" x14ac:dyDescent="0.25">
      <c r="Q4259" t="s">
        <v>5190</v>
      </c>
      <c r="R4259" t="s">
        <v>313</v>
      </c>
    </row>
    <row r="4260" spans="17:18" ht="15" customHeight="1" x14ac:dyDescent="0.25">
      <c r="Q4260" t="s">
        <v>5191</v>
      </c>
      <c r="R4260" t="s">
        <v>313</v>
      </c>
    </row>
    <row r="4261" spans="17:18" ht="15" customHeight="1" x14ac:dyDescent="0.25">
      <c r="Q4261" t="s">
        <v>5192</v>
      </c>
      <c r="R4261" t="s">
        <v>313</v>
      </c>
    </row>
    <row r="4262" spans="17:18" ht="15" customHeight="1" x14ac:dyDescent="0.25">
      <c r="Q4262" t="s">
        <v>5193</v>
      </c>
      <c r="R4262" t="s">
        <v>313</v>
      </c>
    </row>
    <row r="4263" spans="17:18" ht="15" customHeight="1" x14ac:dyDescent="0.25">
      <c r="Q4263" t="s">
        <v>5194</v>
      </c>
      <c r="R4263" t="s">
        <v>253</v>
      </c>
    </row>
    <row r="4264" spans="17:18" ht="15" customHeight="1" x14ac:dyDescent="0.25">
      <c r="Q4264" t="s">
        <v>5195</v>
      </c>
      <c r="R4264" t="s">
        <v>253</v>
      </c>
    </row>
    <row r="4265" spans="17:18" ht="15" customHeight="1" x14ac:dyDescent="0.25">
      <c r="Q4265" t="s">
        <v>5196</v>
      </c>
      <c r="R4265" t="s">
        <v>253</v>
      </c>
    </row>
    <row r="4266" spans="17:18" ht="15" customHeight="1" x14ac:dyDescent="0.25">
      <c r="Q4266" t="s">
        <v>5197</v>
      </c>
      <c r="R4266" t="s">
        <v>253</v>
      </c>
    </row>
    <row r="4267" spans="17:18" ht="15" customHeight="1" x14ac:dyDescent="0.25">
      <c r="Q4267" t="s">
        <v>5198</v>
      </c>
      <c r="R4267" t="s">
        <v>253</v>
      </c>
    </row>
    <row r="4268" spans="17:18" ht="15" customHeight="1" x14ac:dyDescent="0.25">
      <c r="Q4268" t="s">
        <v>5199</v>
      </c>
      <c r="R4268" t="s">
        <v>253</v>
      </c>
    </row>
    <row r="4269" spans="17:18" ht="15" customHeight="1" x14ac:dyDescent="0.25">
      <c r="Q4269" t="s">
        <v>5200</v>
      </c>
      <c r="R4269" t="s">
        <v>253</v>
      </c>
    </row>
    <row r="4270" spans="17:18" ht="15" customHeight="1" x14ac:dyDescent="0.25">
      <c r="Q4270" t="s">
        <v>5201</v>
      </c>
      <c r="R4270" t="s">
        <v>253</v>
      </c>
    </row>
    <row r="4271" spans="17:18" ht="15" customHeight="1" x14ac:dyDescent="0.25">
      <c r="Q4271" t="s">
        <v>5202</v>
      </c>
      <c r="R4271" t="s">
        <v>253</v>
      </c>
    </row>
    <row r="4272" spans="17:18" ht="15" customHeight="1" x14ac:dyDescent="0.25">
      <c r="Q4272" t="s">
        <v>5203</v>
      </c>
      <c r="R4272" t="s">
        <v>253</v>
      </c>
    </row>
    <row r="4273" spans="17:18" ht="15" customHeight="1" x14ac:dyDescent="0.25">
      <c r="Q4273" t="s">
        <v>5204</v>
      </c>
      <c r="R4273" t="s">
        <v>253</v>
      </c>
    </row>
    <row r="4274" spans="17:18" ht="15" customHeight="1" x14ac:dyDescent="0.25">
      <c r="Q4274" t="s">
        <v>5205</v>
      </c>
      <c r="R4274" t="s">
        <v>253</v>
      </c>
    </row>
    <row r="4275" spans="17:18" ht="15" customHeight="1" x14ac:dyDescent="0.25">
      <c r="Q4275" t="s">
        <v>5206</v>
      </c>
      <c r="R4275" t="s">
        <v>253</v>
      </c>
    </row>
    <row r="4276" spans="17:18" ht="15" customHeight="1" x14ac:dyDescent="0.25">
      <c r="Q4276" t="s">
        <v>5207</v>
      </c>
      <c r="R4276" t="s">
        <v>253</v>
      </c>
    </row>
    <row r="4277" spans="17:18" ht="15" customHeight="1" x14ac:dyDescent="0.25">
      <c r="Q4277" t="s">
        <v>5208</v>
      </c>
      <c r="R4277" t="s">
        <v>253</v>
      </c>
    </row>
    <row r="4278" spans="17:18" ht="15" customHeight="1" x14ac:dyDescent="0.25">
      <c r="Q4278" t="s">
        <v>5209</v>
      </c>
      <c r="R4278" t="s">
        <v>253</v>
      </c>
    </row>
    <row r="4279" spans="17:18" ht="15" customHeight="1" x14ac:dyDescent="0.25">
      <c r="Q4279" t="s">
        <v>5210</v>
      </c>
      <c r="R4279" t="s">
        <v>253</v>
      </c>
    </row>
    <row r="4280" spans="17:18" ht="15" customHeight="1" x14ac:dyDescent="0.25">
      <c r="Q4280" t="s">
        <v>5211</v>
      </c>
      <c r="R4280" t="s">
        <v>253</v>
      </c>
    </row>
    <row r="4281" spans="17:18" ht="15" customHeight="1" x14ac:dyDescent="0.25">
      <c r="Q4281" t="s">
        <v>5212</v>
      </c>
      <c r="R4281" t="s">
        <v>5213</v>
      </c>
    </row>
    <row r="4282" spans="17:18" ht="15" customHeight="1" x14ac:dyDescent="0.25">
      <c r="Q4282" t="s">
        <v>5214</v>
      </c>
      <c r="R4282" t="s">
        <v>5213</v>
      </c>
    </row>
    <row r="4283" spans="17:18" ht="15" customHeight="1" x14ac:dyDescent="0.25">
      <c r="Q4283" t="s">
        <v>5215</v>
      </c>
      <c r="R4283" t="s">
        <v>5213</v>
      </c>
    </row>
    <row r="4284" spans="17:18" ht="15" customHeight="1" x14ac:dyDescent="0.25">
      <c r="Q4284" t="s">
        <v>5216</v>
      </c>
      <c r="R4284" t="s">
        <v>5213</v>
      </c>
    </row>
    <row r="4285" spans="17:18" ht="15" customHeight="1" x14ac:dyDescent="0.25">
      <c r="Q4285" t="s">
        <v>5217</v>
      </c>
      <c r="R4285" t="s">
        <v>5213</v>
      </c>
    </row>
    <row r="4286" spans="17:18" ht="15" customHeight="1" x14ac:dyDescent="0.25">
      <c r="Q4286" t="s">
        <v>5218</v>
      </c>
      <c r="R4286" t="s">
        <v>5213</v>
      </c>
    </row>
    <row r="4287" spans="17:18" ht="15" customHeight="1" x14ac:dyDescent="0.25">
      <c r="Q4287" t="s">
        <v>5219</v>
      </c>
      <c r="R4287" t="s">
        <v>5213</v>
      </c>
    </row>
    <row r="4288" spans="17:18" ht="15" customHeight="1" x14ac:dyDescent="0.25">
      <c r="Q4288" t="s">
        <v>5220</v>
      </c>
      <c r="R4288" t="s">
        <v>5213</v>
      </c>
    </row>
    <row r="4289" spans="17:18" ht="15" customHeight="1" x14ac:dyDescent="0.25">
      <c r="Q4289" t="s">
        <v>5221</v>
      </c>
      <c r="R4289" t="s">
        <v>5213</v>
      </c>
    </row>
    <row r="4290" spans="17:18" ht="15" customHeight="1" x14ac:dyDescent="0.25">
      <c r="Q4290" t="s">
        <v>5222</v>
      </c>
      <c r="R4290" t="s">
        <v>5213</v>
      </c>
    </row>
    <row r="4291" spans="17:18" ht="15" customHeight="1" x14ac:dyDescent="0.25">
      <c r="Q4291" t="s">
        <v>5223</v>
      </c>
      <c r="R4291" t="s">
        <v>5213</v>
      </c>
    </row>
    <row r="4292" spans="17:18" ht="15" customHeight="1" x14ac:dyDescent="0.25">
      <c r="Q4292" t="s">
        <v>5224</v>
      </c>
      <c r="R4292" t="s">
        <v>5213</v>
      </c>
    </row>
    <row r="4293" spans="17:18" ht="15" customHeight="1" x14ac:dyDescent="0.25">
      <c r="Q4293" t="s">
        <v>5225</v>
      </c>
      <c r="R4293" t="s">
        <v>253</v>
      </c>
    </row>
    <row r="4294" spans="17:18" ht="15" customHeight="1" x14ac:dyDescent="0.25">
      <c r="Q4294" t="s">
        <v>5226</v>
      </c>
      <c r="R4294" t="s">
        <v>253</v>
      </c>
    </row>
    <row r="4295" spans="17:18" ht="15" customHeight="1" x14ac:dyDescent="0.25">
      <c r="Q4295" t="s">
        <v>5227</v>
      </c>
      <c r="R4295" t="s">
        <v>253</v>
      </c>
    </row>
    <row r="4296" spans="17:18" ht="15" customHeight="1" x14ac:dyDescent="0.25">
      <c r="Q4296" t="s">
        <v>5228</v>
      </c>
      <c r="R4296" t="s">
        <v>253</v>
      </c>
    </row>
    <row r="4297" spans="17:18" ht="15" customHeight="1" x14ac:dyDescent="0.25">
      <c r="Q4297" t="s">
        <v>5229</v>
      </c>
      <c r="R4297" t="s">
        <v>253</v>
      </c>
    </row>
    <row r="4298" spans="17:18" ht="15" customHeight="1" x14ac:dyDescent="0.25">
      <c r="Q4298" t="s">
        <v>5230</v>
      </c>
      <c r="R4298" t="s">
        <v>253</v>
      </c>
    </row>
    <row r="4299" spans="17:18" ht="15" customHeight="1" x14ac:dyDescent="0.25">
      <c r="Q4299" t="s">
        <v>5231</v>
      </c>
      <c r="R4299" t="s">
        <v>253</v>
      </c>
    </row>
    <row r="4300" spans="17:18" ht="15" customHeight="1" x14ac:dyDescent="0.25">
      <c r="Q4300" t="s">
        <v>5232</v>
      </c>
      <c r="R4300" t="s">
        <v>253</v>
      </c>
    </row>
    <row r="4301" spans="17:18" ht="15" customHeight="1" x14ac:dyDescent="0.25">
      <c r="Q4301" t="s">
        <v>5233</v>
      </c>
      <c r="R4301" t="s">
        <v>253</v>
      </c>
    </row>
    <row r="4302" spans="17:18" ht="15" customHeight="1" x14ac:dyDescent="0.25">
      <c r="Q4302" t="s">
        <v>5234</v>
      </c>
      <c r="R4302" t="s">
        <v>253</v>
      </c>
    </row>
    <row r="4303" spans="17:18" ht="15" customHeight="1" x14ac:dyDescent="0.25">
      <c r="Q4303" t="s">
        <v>5235</v>
      </c>
      <c r="R4303" t="s">
        <v>253</v>
      </c>
    </row>
    <row r="4304" spans="17:18" ht="15" customHeight="1" x14ac:dyDescent="0.25">
      <c r="Q4304" t="s">
        <v>5236</v>
      </c>
      <c r="R4304" t="s">
        <v>253</v>
      </c>
    </row>
    <row r="4305" spans="17:18" ht="15" customHeight="1" x14ac:dyDescent="0.25">
      <c r="Q4305" t="s">
        <v>5237</v>
      </c>
      <c r="R4305" t="s">
        <v>253</v>
      </c>
    </row>
    <row r="4306" spans="17:18" ht="15" customHeight="1" x14ac:dyDescent="0.25">
      <c r="Q4306" t="s">
        <v>5238</v>
      </c>
      <c r="R4306" t="s">
        <v>253</v>
      </c>
    </row>
    <row r="4307" spans="17:18" ht="15" customHeight="1" x14ac:dyDescent="0.25">
      <c r="Q4307" t="s">
        <v>5239</v>
      </c>
      <c r="R4307" t="s">
        <v>253</v>
      </c>
    </row>
    <row r="4308" spans="17:18" ht="15" customHeight="1" x14ac:dyDescent="0.25">
      <c r="Q4308" t="s">
        <v>5240</v>
      </c>
      <c r="R4308" t="s">
        <v>253</v>
      </c>
    </row>
    <row r="4309" spans="17:18" ht="15" customHeight="1" x14ac:dyDescent="0.25">
      <c r="Q4309" t="s">
        <v>5241</v>
      </c>
      <c r="R4309" t="s">
        <v>5213</v>
      </c>
    </row>
    <row r="4310" spans="17:18" ht="15" customHeight="1" x14ac:dyDescent="0.25">
      <c r="Q4310" t="s">
        <v>5242</v>
      </c>
      <c r="R4310" t="s">
        <v>5213</v>
      </c>
    </row>
    <row r="4311" spans="17:18" ht="15" customHeight="1" x14ac:dyDescent="0.25">
      <c r="Q4311" t="s">
        <v>5243</v>
      </c>
      <c r="R4311" t="s">
        <v>5213</v>
      </c>
    </row>
    <row r="4312" spans="17:18" ht="15" customHeight="1" x14ac:dyDescent="0.25">
      <c r="Q4312" t="s">
        <v>5244</v>
      </c>
      <c r="R4312" t="s">
        <v>5213</v>
      </c>
    </row>
    <row r="4313" spans="17:18" ht="15" customHeight="1" x14ac:dyDescent="0.25">
      <c r="Q4313" t="s">
        <v>5245</v>
      </c>
      <c r="R4313" t="s">
        <v>5213</v>
      </c>
    </row>
    <row r="4314" spans="17:18" ht="15" customHeight="1" x14ac:dyDescent="0.25">
      <c r="Q4314" t="s">
        <v>5246</v>
      </c>
      <c r="R4314" t="s">
        <v>5213</v>
      </c>
    </row>
    <row r="4315" spans="17:18" ht="15" customHeight="1" x14ac:dyDescent="0.25">
      <c r="Q4315" t="s">
        <v>5247</v>
      </c>
      <c r="R4315" t="s">
        <v>5213</v>
      </c>
    </row>
    <row r="4316" spans="17:18" ht="15" customHeight="1" x14ac:dyDescent="0.25">
      <c r="Q4316" t="s">
        <v>5248</v>
      </c>
      <c r="R4316" t="s">
        <v>5213</v>
      </c>
    </row>
    <row r="4317" spans="17:18" ht="15" customHeight="1" x14ac:dyDescent="0.25">
      <c r="Q4317" t="s">
        <v>5249</v>
      </c>
      <c r="R4317" t="s">
        <v>5213</v>
      </c>
    </row>
    <row r="4318" spans="17:18" ht="15" customHeight="1" x14ac:dyDescent="0.25">
      <c r="Q4318" t="s">
        <v>5250</v>
      </c>
      <c r="R4318" t="s">
        <v>5213</v>
      </c>
    </row>
    <row r="4319" spans="17:18" ht="15" customHeight="1" x14ac:dyDescent="0.25">
      <c r="Q4319" t="s">
        <v>5251</v>
      </c>
      <c r="R4319" t="s">
        <v>5213</v>
      </c>
    </row>
    <row r="4320" spans="17:18" ht="15" customHeight="1" x14ac:dyDescent="0.25">
      <c r="Q4320" t="s">
        <v>5252</v>
      </c>
      <c r="R4320" t="s">
        <v>5213</v>
      </c>
    </row>
    <row r="4321" spans="17:18" ht="15" customHeight="1" x14ac:dyDescent="0.25">
      <c r="Q4321" t="s">
        <v>5253</v>
      </c>
      <c r="R4321" t="s">
        <v>5213</v>
      </c>
    </row>
    <row r="4322" spans="17:18" ht="15" customHeight="1" x14ac:dyDescent="0.25">
      <c r="Q4322" t="s">
        <v>5254</v>
      </c>
      <c r="R4322" t="s">
        <v>253</v>
      </c>
    </row>
    <row r="4323" spans="17:18" ht="15" customHeight="1" x14ac:dyDescent="0.25">
      <c r="Q4323" t="s">
        <v>5255</v>
      </c>
      <c r="R4323" t="s">
        <v>253</v>
      </c>
    </row>
    <row r="4324" spans="17:18" ht="15" customHeight="1" x14ac:dyDescent="0.25">
      <c r="Q4324" t="s">
        <v>5256</v>
      </c>
      <c r="R4324" t="s">
        <v>253</v>
      </c>
    </row>
    <row r="4325" spans="17:18" ht="15" customHeight="1" x14ac:dyDescent="0.25">
      <c r="Q4325" t="s">
        <v>5257</v>
      </c>
      <c r="R4325" t="s">
        <v>253</v>
      </c>
    </row>
    <row r="4326" spans="17:18" ht="15" customHeight="1" x14ac:dyDescent="0.25">
      <c r="Q4326" t="s">
        <v>5258</v>
      </c>
      <c r="R4326" t="s">
        <v>253</v>
      </c>
    </row>
    <row r="4327" spans="17:18" ht="15" customHeight="1" x14ac:dyDescent="0.25">
      <c r="Q4327" t="s">
        <v>5259</v>
      </c>
      <c r="R4327" t="s">
        <v>253</v>
      </c>
    </row>
    <row r="4328" spans="17:18" ht="15" customHeight="1" x14ac:dyDescent="0.25">
      <c r="Q4328" t="s">
        <v>5260</v>
      </c>
      <c r="R4328" t="s">
        <v>253</v>
      </c>
    </row>
    <row r="4329" spans="17:18" ht="15" customHeight="1" x14ac:dyDescent="0.25">
      <c r="Q4329" t="s">
        <v>5261</v>
      </c>
      <c r="R4329" t="s">
        <v>253</v>
      </c>
    </row>
    <row r="4330" spans="17:18" ht="15" customHeight="1" x14ac:dyDescent="0.25">
      <c r="Q4330" t="s">
        <v>5262</v>
      </c>
      <c r="R4330" t="s">
        <v>253</v>
      </c>
    </row>
    <row r="4331" spans="17:18" ht="15" customHeight="1" x14ac:dyDescent="0.25">
      <c r="Q4331" t="s">
        <v>5263</v>
      </c>
      <c r="R4331" t="s">
        <v>253</v>
      </c>
    </row>
    <row r="4332" spans="17:18" ht="15" customHeight="1" x14ac:dyDescent="0.25">
      <c r="Q4332" t="s">
        <v>5264</v>
      </c>
      <c r="R4332" t="s">
        <v>253</v>
      </c>
    </row>
    <row r="4333" spans="17:18" ht="15" customHeight="1" x14ac:dyDescent="0.25">
      <c r="Q4333" t="s">
        <v>5265</v>
      </c>
      <c r="R4333" t="s">
        <v>253</v>
      </c>
    </row>
    <row r="4334" spans="17:18" ht="15" customHeight="1" x14ac:dyDescent="0.25">
      <c r="Q4334" t="s">
        <v>5266</v>
      </c>
      <c r="R4334" t="s">
        <v>253</v>
      </c>
    </row>
    <row r="4335" spans="17:18" ht="15" customHeight="1" x14ac:dyDescent="0.25">
      <c r="Q4335" t="s">
        <v>5267</v>
      </c>
      <c r="R4335" t="s">
        <v>253</v>
      </c>
    </row>
    <row r="4336" spans="17:18" ht="15" customHeight="1" x14ac:dyDescent="0.25">
      <c r="Q4336" t="s">
        <v>5268</v>
      </c>
      <c r="R4336" t="s">
        <v>253</v>
      </c>
    </row>
    <row r="4337" spans="17:18" ht="15" customHeight="1" x14ac:dyDescent="0.25">
      <c r="Q4337" t="s">
        <v>5269</v>
      </c>
      <c r="R4337" t="s">
        <v>2236</v>
      </c>
    </row>
    <row r="4338" spans="17:18" ht="15" customHeight="1" x14ac:dyDescent="0.25">
      <c r="Q4338" t="s">
        <v>5270</v>
      </c>
      <c r="R4338" t="s">
        <v>2236</v>
      </c>
    </row>
    <row r="4339" spans="17:18" ht="15" customHeight="1" x14ac:dyDescent="0.25">
      <c r="Q4339" t="s">
        <v>5271</v>
      </c>
      <c r="R4339" t="s">
        <v>2236</v>
      </c>
    </row>
    <row r="4340" spans="17:18" ht="15" customHeight="1" x14ac:dyDescent="0.25">
      <c r="Q4340" t="s">
        <v>5272</v>
      </c>
      <c r="R4340" t="s">
        <v>2236</v>
      </c>
    </row>
    <row r="4341" spans="17:18" ht="15" customHeight="1" x14ac:dyDescent="0.25">
      <c r="Q4341" t="s">
        <v>5273</v>
      </c>
      <c r="R4341" t="s">
        <v>2236</v>
      </c>
    </row>
    <row r="4342" spans="17:18" ht="15" customHeight="1" x14ac:dyDescent="0.25">
      <c r="Q4342" t="s">
        <v>5274</v>
      </c>
      <c r="R4342" t="s">
        <v>2236</v>
      </c>
    </row>
    <row r="4343" spans="17:18" ht="15" customHeight="1" x14ac:dyDescent="0.25">
      <c r="Q4343" t="s">
        <v>5275</v>
      </c>
      <c r="R4343" t="s">
        <v>2236</v>
      </c>
    </row>
    <row r="4344" spans="17:18" ht="15" customHeight="1" x14ac:dyDescent="0.25">
      <c r="Q4344" t="s">
        <v>5276</v>
      </c>
      <c r="R4344" t="s">
        <v>2236</v>
      </c>
    </row>
    <row r="4345" spans="17:18" ht="15" customHeight="1" x14ac:dyDescent="0.25">
      <c r="Q4345" t="s">
        <v>5277</v>
      </c>
      <c r="R4345" t="s">
        <v>2236</v>
      </c>
    </row>
    <row r="4346" spans="17:18" ht="15" customHeight="1" x14ac:dyDescent="0.25">
      <c r="Q4346" t="s">
        <v>5278</v>
      </c>
      <c r="R4346" t="s">
        <v>2236</v>
      </c>
    </row>
    <row r="4347" spans="17:18" ht="15" customHeight="1" x14ac:dyDescent="0.25">
      <c r="Q4347" t="s">
        <v>5279</v>
      </c>
      <c r="R4347" t="s">
        <v>2236</v>
      </c>
    </row>
    <row r="4348" spans="17:18" ht="15" customHeight="1" x14ac:dyDescent="0.25">
      <c r="Q4348" t="s">
        <v>5280</v>
      </c>
      <c r="R4348" t="s">
        <v>2236</v>
      </c>
    </row>
    <row r="4349" spans="17:18" ht="15" customHeight="1" x14ac:dyDescent="0.25">
      <c r="Q4349" t="s">
        <v>5281</v>
      </c>
      <c r="R4349" t="s">
        <v>2236</v>
      </c>
    </row>
    <row r="4350" spans="17:18" ht="15" customHeight="1" x14ac:dyDescent="0.25">
      <c r="Q4350" t="s">
        <v>5282</v>
      </c>
      <c r="R4350" t="s">
        <v>2236</v>
      </c>
    </row>
    <row r="4351" spans="17:18" ht="15" customHeight="1" x14ac:dyDescent="0.25">
      <c r="Q4351" t="s">
        <v>5283</v>
      </c>
      <c r="R4351" t="s">
        <v>2236</v>
      </c>
    </row>
    <row r="4352" spans="17:18" ht="15" customHeight="1" x14ac:dyDescent="0.25">
      <c r="Q4352" t="s">
        <v>5284</v>
      </c>
      <c r="R4352" t="s">
        <v>2236</v>
      </c>
    </row>
    <row r="4353" spans="17:18" ht="15" customHeight="1" x14ac:dyDescent="0.25">
      <c r="Q4353" t="s">
        <v>5285</v>
      </c>
      <c r="R4353" t="s">
        <v>2236</v>
      </c>
    </row>
    <row r="4354" spans="17:18" ht="15" customHeight="1" x14ac:dyDescent="0.25">
      <c r="Q4354" t="s">
        <v>5286</v>
      </c>
      <c r="R4354" t="s">
        <v>2236</v>
      </c>
    </row>
    <row r="4355" spans="17:18" ht="15" customHeight="1" x14ac:dyDescent="0.25">
      <c r="Q4355" t="s">
        <v>5287</v>
      </c>
      <c r="R4355" t="s">
        <v>2236</v>
      </c>
    </row>
    <row r="4356" spans="17:18" ht="15" customHeight="1" x14ac:dyDescent="0.25">
      <c r="Q4356" t="s">
        <v>5288</v>
      </c>
      <c r="R4356" t="s">
        <v>2236</v>
      </c>
    </row>
    <row r="4357" spans="17:18" ht="15" customHeight="1" x14ac:dyDescent="0.25">
      <c r="Q4357" t="s">
        <v>5289</v>
      </c>
      <c r="R4357" t="s">
        <v>2236</v>
      </c>
    </row>
    <row r="4358" spans="17:18" ht="15" customHeight="1" x14ac:dyDescent="0.25">
      <c r="Q4358" t="s">
        <v>5290</v>
      </c>
      <c r="R4358" t="s">
        <v>2236</v>
      </c>
    </row>
    <row r="4359" spans="17:18" ht="15" customHeight="1" x14ac:dyDescent="0.25">
      <c r="Q4359" t="s">
        <v>5291</v>
      </c>
      <c r="R4359" t="s">
        <v>2236</v>
      </c>
    </row>
    <row r="4360" spans="17:18" ht="15" customHeight="1" x14ac:dyDescent="0.25">
      <c r="Q4360" t="s">
        <v>5292</v>
      </c>
      <c r="R4360" t="s">
        <v>2236</v>
      </c>
    </row>
    <row r="4361" spans="17:18" ht="15" customHeight="1" x14ac:dyDescent="0.25">
      <c r="Q4361" t="s">
        <v>5293</v>
      </c>
      <c r="R4361" t="s">
        <v>2236</v>
      </c>
    </row>
    <row r="4362" spans="17:18" ht="15" customHeight="1" x14ac:dyDescent="0.25">
      <c r="Q4362" t="s">
        <v>5294</v>
      </c>
      <c r="R4362" t="s">
        <v>2236</v>
      </c>
    </row>
    <row r="4363" spans="17:18" ht="15" customHeight="1" x14ac:dyDescent="0.25">
      <c r="Q4363" t="s">
        <v>5295</v>
      </c>
      <c r="R4363" t="s">
        <v>2236</v>
      </c>
    </row>
    <row r="4364" spans="17:18" ht="15" customHeight="1" x14ac:dyDescent="0.25">
      <c r="Q4364" t="s">
        <v>5296</v>
      </c>
      <c r="R4364" t="s">
        <v>2236</v>
      </c>
    </row>
    <row r="4365" spans="17:18" ht="15" customHeight="1" x14ac:dyDescent="0.25">
      <c r="Q4365" t="s">
        <v>5297</v>
      </c>
      <c r="R4365" t="s">
        <v>2236</v>
      </c>
    </row>
    <row r="4366" spans="17:18" ht="15" customHeight="1" x14ac:dyDescent="0.25">
      <c r="Q4366" t="s">
        <v>5298</v>
      </c>
      <c r="R4366" t="s">
        <v>2236</v>
      </c>
    </row>
    <row r="4367" spans="17:18" ht="15" customHeight="1" x14ac:dyDescent="0.25">
      <c r="Q4367" t="s">
        <v>5299</v>
      </c>
      <c r="R4367" t="s">
        <v>2236</v>
      </c>
    </row>
    <row r="4368" spans="17:18" ht="15" customHeight="1" x14ac:dyDescent="0.25">
      <c r="Q4368" t="s">
        <v>5300</v>
      </c>
      <c r="R4368" t="s">
        <v>2236</v>
      </c>
    </row>
    <row r="4369" spans="17:18" ht="15" customHeight="1" x14ac:dyDescent="0.25">
      <c r="Q4369" t="s">
        <v>5301</v>
      </c>
      <c r="R4369" t="s">
        <v>2236</v>
      </c>
    </row>
    <row r="4370" spans="17:18" ht="15" customHeight="1" x14ac:dyDescent="0.25">
      <c r="Q4370" t="s">
        <v>5302</v>
      </c>
      <c r="R4370" t="s">
        <v>2236</v>
      </c>
    </row>
    <row r="4371" spans="17:18" ht="15" customHeight="1" x14ac:dyDescent="0.25">
      <c r="Q4371" t="s">
        <v>5303</v>
      </c>
      <c r="R4371" t="s">
        <v>2236</v>
      </c>
    </row>
    <row r="4372" spans="17:18" ht="15" customHeight="1" x14ac:dyDescent="0.25">
      <c r="Q4372" t="s">
        <v>5304</v>
      </c>
      <c r="R4372" t="s">
        <v>2236</v>
      </c>
    </row>
    <row r="4373" spans="17:18" ht="15" customHeight="1" x14ac:dyDescent="0.25">
      <c r="Q4373" t="s">
        <v>5305</v>
      </c>
      <c r="R4373" t="s">
        <v>2236</v>
      </c>
    </row>
    <row r="4374" spans="17:18" ht="15" customHeight="1" x14ac:dyDescent="0.25">
      <c r="Q4374" t="s">
        <v>5306</v>
      </c>
      <c r="R4374" t="s">
        <v>2236</v>
      </c>
    </row>
    <row r="4375" spans="17:18" ht="15" customHeight="1" x14ac:dyDescent="0.25">
      <c r="Q4375" t="s">
        <v>5307</v>
      </c>
      <c r="R4375" t="s">
        <v>2236</v>
      </c>
    </row>
    <row r="4376" spans="17:18" ht="15" customHeight="1" x14ac:dyDescent="0.25">
      <c r="Q4376" t="s">
        <v>5308</v>
      </c>
      <c r="R4376" t="s">
        <v>2236</v>
      </c>
    </row>
    <row r="4377" spans="17:18" ht="15" customHeight="1" x14ac:dyDescent="0.25">
      <c r="Q4377" t="s">
        <v>5309</v>
      </c>
      <c r="R4377" t="s">
        <v>2236</v>
      </c>
    </row>
    <row r="4378" spans="17:18" ht="15" customHeight="1" x14ac:dyDescent="0.25">
      <c r="Q4378" t="s">
        <v>5310</v>
      </c>
      <c r="R4378" t="s">
        <v>2236</v>
      </c>
    </row>
    <row r="4379" spans="17:18" ht="15" customHeight="1" x14ac:dyDescent="0.25">
      <c r="Q4379" t="s">
        <v>5311</v>
      </c>
      <c r="R4379" t="s">
        <v>2236</v>
      </c>
    </row>
    <row r="4380" spans="17:18" ht="15" customHeight="1" x14ac:dyDescent="0.25">
      <c r="Q4380" t="s">
        <v>5312</v>
      </c>
      <c r="R4380" t="s">
        <v>2236</v>
      </c>
    </row>
    <row r="4381" spans="17:18" ht="15" customHeight="1" x14ac:dyDescent="0.25">
      <c r="Q4381" t="s">
        <v>5313</v>
      </c>
      <c r="R4381" t="s">
        <v>2236</v>
      </c>
    </row>
    <row r="4382" spans="17:18" ht="15" customHeight="1" x14ac:dyDescent="0.25">
      <c r="Q4382" t="s">
        <v>5314</v>
      </c>
      <c r="R4382" t="s">
        <v>2236</v>
      </c>
    </row>
    <row r="4383" spans="17:18" ht="15" customHeight="1" x14ac:dyDescent="0.25">
      <c r="Q4383" t="s">
        <v>5315</v>
      </c>
      <c r="R4383" t="s">
        <v>2236</v>
      </c>
    </row>
    <row r="4384" spans="17:18" ht="15" customHeight="1" x14ac:dyDescent="0.25">
      <c r="Q4384" t="s">
        <v>5316</v>
      </c>
      <c r="R4384" t="s">
        <v>2236</v>
      </c>
    </row>
    <row r="4385" spans="17:18" ht="15" customHeight="1" x14ac:dyDescent="0.25">
      <c r="Q4385" t="s">
        <v>5317</v>
      </c>
      <c r="R4385" t="s">
        <v>2236</v>
      </c>
    </row>
    <row r="4386" spans="17:18" ht="15" customHeight="1" x14ac:dyDescent="0.25">
      <c r="Q4386" t="s">
        <v>5318</v>
      </c>
      <c r="R4386" t="s">
        <v>2236</v>
      </c>
    </row>
    <row r="4387" spans="17:18" ht="15" customHeight="1" x14ac:dyDescent="0.25">
      <c r="Q4387" t="s">
        <v>5319</v>
      </c>
      <c r="R4387" t="s">
        <v>2236</v>
      </c>
    </row>
    <row r="4388" spans="17:18" ht="15" customHeight="1" x14ac:dyDescent="0.25">
      <c r="Q4388" t="s">
        <v>5320</v>
      </c>
      <c r="R4388" t="s">
        <v>2236</v>
      </c>
    </row>
    <row r="4389" spans="17:18" ht="15" customHeight="1" x14ac:dyDescent="0.25">
      <c r="Q4389" t="s">
        <v>5321</v>
      </c>
      <c r="R4389" t="s">
        <v>2236</v>
      </c>
    </row>
    <row r="4390" spans="17:18" ht="15" customHeight="1" x14ac:dyDescent="0.25">
      <c r="Q4390" t="s">
        <v>5322</v>
      </c>
      <c r="R4390" t="s">
        <v>2236</v>
      </c>
    </row>
    <row r="4391" spans="17:18" ht="15" customHeight="1" x14ac:dyDescent="0.25">
      <c r="Q4391" t="s">
        <v>5323</v>
      </c>
      <c r="R4391" t="s">
        <v>2236</v>
      </c>
    </row>
    <row r="4392" spans="17:18" ht="15" customHeight="1" x14ac:dyDescent="0.25">
      <c r="Q4392" t="s">
        <v>5324</v>
      </c>
      <c r="R4392" t="s">
        <v>2236</v>
      </c>
    </row>
    <row r="4393" spans="17:18" ht="15" customHeight="1" x14ac:dyDescent="0.25">
      <c r="Q4393" t="s">
        <v>5325</v>
      </c>
      <c r="R4393" t="s">
        <v>2236</v>
      </c>
    </row>
    <row r="4394" spans="17:18" ht="15" customHeight="1" x14ac:dyDescent="0.25">
      <c r="Q4394" t="s">
        <v>5326</v>
      </c>
      <c r="R4394" t="s">
        <v>2236</v>
      </c>
    </row>
    <row r="4395" spans="17:18" ht="15" customHeight="1" x14ac:dyDescent="0.25">
      <c r="Q4395" t="s">
        <v>5327</v>
      </c>
      <c r="R4395" t="s">
        <v>2236</v>
      </c>
    </row>
    <row r="4396" spans="17:18" ht="15" customHeight="1" x14ac:dyDescent="0.25">
      <c r="Q4396" t="s">
        <v>5328</v>
      </c>
      <c r="R4396" t="s">
        <v>2236</v>
      </c>
    </row>
    <row r="4397" spans="17:18" ht="15" customHeight="1" x14ac:dyDescent="0.25">
      <c r="Q4397" t="s">
        <v>5329</v>
      </c>
      <c r="R4397" t="s">
        <v>2236</v>
      </c>
    </row>
    <row r="4398" spans="17:18" ht="15" customHeight="1" x14ac:dyDescent="0.25">
      <c r="Q4398" t="s">
        <v>5330</v>
      </c>
      <c r="R4398" t="s">
        <v>2236</v>
      </c>
    </row>
    <row r="4399" spans="17:18" ht="15" customHeight="1" x14ac:dyDescent="0.25">
      <c r="Q4399" t="s">
        <v>5331</v>
      </c>
      <c r="R4399" t="s">
        <v>2236</v>
      </c>
    </row>
    <row r="4400" spans="17:18" ht="15" customHeight="1" x14ac:dyDescent="0.25">
      <c r="Q4400" t="s">
        <v>5332</v>
      </c>
      <c r="R4400" t="s">
        <v>2236</v>
      </c>
    </row>
    <row r="4401" spans="17:18" ht="15" customHeight="1" x14ac:dyDescent="0.25">
      <c r="Q4401" t="s">
        <v>5333</v>
      </c>
      <c r="R4401" t="s">
        <v>2236</v>
      </c>
    </row>
    <row r="4402" spans="17:18" ht="15" customHeight="1" x14ac:dyDescent="0.25">
      <c r="Q4402" t="s">
        <v>5334</v>
      </c>
      <c r="R4402" t="s">
        <v>2236</v>
      </c>
    </row>
    <row r="4403" spans="17:18" ht="15" customHeight="1" x14ac:dyDescent="0.25">
      <c r="Q4403" t="s">
        <v>5335</v>
      </c>
      <c r="R4403" t="s">
        <v>2236</v>
      </c>
    </row>
    <row r="4404" spans="17:18" ht="15" customHeight="1" x14ac:dyDescent="0.25">
      <c r="Q4404" t="s">
        <v>5336</v>
      </c>
      <c r="R4404" t="s">
        <v>2236</v>
      </c>
    </row>
    <row r="4405" spans="17:18" ht="15" customHeight="1" x14ac:dyDescent="0.25">
      <c r="Q4405" t="s">
        <v>5337</v>
      </c>
      <c r="R4405" t="s">
        <v>2236</v>
      </c>
    </row>
    <row r="4406" spans="17:18" ht="15" customHeight="1" x14ac:dyDescent="0.25">
      <c r="Q4406" t="s">
        <v>5338</v>
      </c>
      <c r="R4406" t="s">
        <v>2236</v>
      </c>
    </row>
    <row r="4407" spans="17:18" ht="15" customHeight="1" x14ac:dyDescent="0.25">
      <c r="Q4407" t="s">
        <v>5339</v>
      </c>
      <c r="R4407" t="s">
        <v>2236</v>
      </c>
    </row>
    <row r="4408" spans="17:18" ht="15" customHeight="1" x14ac:dyDescent="0.25">
      <c r="Q4408" t="s">
        <v>5340</v>
      </c>
      <c r="R4408" t="s">
        <v>2236</v>
      </c>
    </row>
    <row r="4409" spans="17:18" ht="15" customHeight="1" x14ac:dyDescent="0.25">
      <c r="Q4409" t="s">
        <v>5341</v>
      </c>
      <c r="R4409" t="s">
        <v>2236</v>
      </c>
    </row>
    <row r="4410" spans="17:18" ht="15" customHeight="1" x14ac:dyDescent="0.25">
      <c r="Q4410" t="s">
        <v>5342</v>
      </c>
      <c r="R4410" t="s">
        <v>2236</v>
      </c>
    </row>
    <row r="4411" spans="17:18" ht="15" customHeight="1" x14ac:dyDescent="0.25">
      <c r="Q4411" t="s">
        <v>5343</v>
      </c>
      <c r="R4411" t="s">
        <v>2236</v>
      </c>
    </row>
    <row r="4412" spans="17:18" ht="15" customHeight="1" x14ac:dyDescent="0.25">
      <c r="Q4412" t="s">
        <v>5344</v>
      </c>
      <c r="R4412" t="s">
        <v>2236</v>
      </c>
    </row>
    <row r="4413" spans="17:18" ht="15" customHeight="1" x14ac:dyDescent="0.25">
      <c r="Q4413" t="s">
        <v>5345</v>
      </c>
      <c r="R4413" t="s">
        <v>2236</v>
      </c>
    </row>
    <row r="4414" spans="17:18" ht="15" customHeight="1" x14ac:dyDescent="0.25">
      <c r="Q4414" t="s">
        <v>5346</v>
      </c>
      <c r="R4414" t="s">
        <v>2236</v>
      </c>
    </row>
    <row r="4415" spans="17:18" ht="15" customHeight="1" x14ac:dyDescent="0.25">
      <c r="Q4415" t="s">
        <v>5347</v>
      </c>
      <c r="R4415" t="s">
        <v>2236</v>
      </c>
    </row>
    <row r="4416" spans="17:18" ht="15" customHeight="1" x14ac:dyDescent="0.25">
      <c r="Q4416" t="s">
        <v>5348</v>
      </c>
      <c r="R4416" t="s">
        <v>2236</v>
      </c>
    </row>
    <row r="4417" spans="17:18" ht="15" customHeight="1" x14ac:dyDescent="0.25">
      <c r="Q4417" t="s">
        <v>5349</v>
      </c>
      <c r="R4417" t="s">
        <v>2236</v>
      </c>
    </row>
    <row r="4418" spans="17:18" ht="15" customHeight="1" x14ac:dyDescent="0.25">
      <c r="Q4418" t="s">
        <v>5350</v>
      </c>
      <c r="R4418" t="s">
        <v>2236</v>
      </c>
    </row>
    <row r="4419" spans="17:18" ht="15" customHeight="1" x14ac:dyDescent="0.25">
      <c r="Q4419" t="s">
        <v>5351</v>
      </c>
      <c r="R4419" t="s">
        <v>2731</v>
      </c>
    </row>
    <row r="4420" spans="17:18" ht="15" customHeight="1" x14ac:dyDescent="0.25">
      <c r="Q4420" t="s">
        <v>5352</v>
      </c>
      <c r="R4420" t="s">
        <v>2731</v>
      </c>
    </row>
    <row r="4421" spans="17:18" ht="15" customHeight="1" x14ac:dyDescent="0.25">
      <c r="Q4421" t="s">
        <v>5353</v>
      </c>
      <c r="R4421" t="s">
        <v>2731</v>
      </c>
    </row>
    <row r="4422" spans="17:18" ht="15" customHeight="1" x14ac:dyDescent="0.25">
      <c r="Q4422" t="s">
        <v>5354</v>
      </c>
      <c r="R4422" t="s">
        <v>2731</v>
      </c>
    </row>
    <row r="4423" spans="17:18" ht="15" customHeight="1" x14ac:dyDescent="0.25">
      <c r="Q4423" t="s">
        <v>5355</v>
      </c>
      <c r="R4423" t="s">
        <v>2236</v>
      </c>
    </row>
    <row r="4424" spans="17:18" ht="15" customHeight="1" x14ac:dyDescent="0.25">
      <c r="Q4424" t="s">
        <v>5356</v>
      </c>
      <c r="R4424" t="s">
        <v>2236</v>
      </c>
    </row>
    <row r="4425" spans="17:18" ht="15" customHeight="1" x14ac:dyDescent="0.25">
      <c r="Q4425" t="s">
        <v>5357</v>
      </c>
      <c r="R4425" t="s">
        <v>2236</v>
      </c>
    </row>
    <row r="4426" spans="17:18" ht="15" customHeight="1" x14ac:dyDescent="0.25">
      <c r="Q4426" t="s">
        <v>5358</v>
      </c>
      <c r="R4426" t="s">
        <v>2236</v>
      </c>
    </row>
    <row r="4427" spans="17:18" ht="15" customHeight="1" x14ac:dyDescent="0.25">
      <c r="Q4427" t="s">
        <v>5359</v>
      </c>
      <c r="R4427" t="s">
        <v>2236</v>
      </c>
    </row>
    <row r="4428" spans="17:18" ht="15" customHeight="1" x14ac:dyDescent="0.25">
      <c r="Q4428" t="s">
        <v>5360</v>
      </c>
      <c r="R4428" t="s">
        <v>2236</v>
      </c>
    </row>
    <row r="4429" spans="17:18" ht="15" customHeight="1" x14ac:dyDescent="0.25">
      <c r="Q4429" t="s">
        <v>5361</v>
      </c>
      <c r="R4429" t="s">
        <v>2236</v>
      </c>
    </row>
    <row r="4430" spans="17:18" ht="15" customHeight="1" x14ac:dyDescent="0.25">
      <c r="Q4430" t="s">
        <v>5362</v>
      </c>
      <c r="R4430" t="s">
        <v>2236</v>
      </c>
    </row>
    <row r="4431" spans="17:18" ht="15" customHeight="1" x14ac:dyDescent="0.25">
      <c r="Q4431" t="s">
        <v>5363</v>
      </c>
      <c r="R4431" t="s">
        <v>2236</v>
      </c>
    </row>
    <row r="4432" spans="17:18" ht="15" customHeight="1" x14ac:dyDescent="0.25">
      <c r="Q4432" t="s">
        <v>5364</v>
      </c>
      <c r="R4432" t="s">
        <v>2236</v>
      </c>
    </row>
    <row r="4433" spans="17:18" ht="15" customHeight="1" x14ac:dyDescent="0.25">
      <c r="Q4433" t="s">
        <v>5365</v>
      </c>
      <c r="R4433" t="s">
        <v>2236</v>
      </c>
    </row>
    <row r="4434" spans="17:18" ht="15" customHeight="1" x14ac:dyDescent="0.25">
      <c r="Q4434" t="s">
        <v>5366</v>
      </c>
      <c r="R4434" t="s">
        <v>2236</v>
      </c>
    </row>
    <row r="4435" spans="17:18" ht="15" customHeight="1" x14ac:dyDescent="0.25">
      <c r="Q4435" t="s">
        <v>5367</v>
      </c>
      <c r="R4435" t="s">
        <v>2236</v>
      </c>
    </row>
    <row r="4436" spans="17:18" ht="15" customHeight="1" x14ac:dyDescent="0.25">
      <c r="Q4436" t="s">
        <v>5368</v>
      </c>
      <c r="R4436" t="s">
        <v>2236</v>
      </c>
    </row>
    <row r="4437" spans="17:18" ht="15" customHeight="1" x14ac:dyDescent="0.25">
      <c r="Q4437" t="s">
        <v>5369</v>
      </c>
      <c r="R4437" t="s">
        <v>2236</v>
      </c>
    </row>
    <row r="4438" spans="17:18" ht="15" customHeight="1" x14ac:dyDescent="0.25">
      <c r="Q4438" t="s">
        <v>5370</v>
      </c>
      <c r="R4438" t="s">
        <v>2236</v>
      </c>
    </row>
    <row r="4439" spans="17:18" ht="15" customHeight="1" x14ac:dyDescent="0.25">
      <c r="Q4439" t="s">
        <v>5371</v>
      </c>
      <c r="R4439" t="s">
        <v>2236</v>
      </c>
    </row>
    <row r="4440" spans="17:18" ht="15" customHeight="1" x14ac:dyDescent="0.25">
      <c r="Q4440" t="s">
        <v>5372</v>
      </c>
      <c r="R4440" t="s">
        <v>2236</v>
      </c>
    </row>
    <row r="4441" spans="17:18" ht="15" customHeight="1" x14ac:dyDescent="0.25">
      <c r="Q4441" t="s">
        <v>5373</v>
      </c>
      <c r="R4441" t="s">
        <v>2236</v>
      </c>
    </row>
    <row r="4442" spans="17:18" ht="15" customHeight="1" x14ac:dyDescent="0.25">
      <c r="Q4442" t="s">
        <v>5374</v>
      </c>
      <c r="R4442" t="s">
        <v>2236</v>
      </c>
    </row>
    <row r="4443" spans="17:18" ht="15" customHeight="1" x14ac:dyDescent="0.25">
      <c r="Q4443" t="s">
        <v>5375</v>
      </c>
      <c r="R4443" t="s">
        <v>2236</v>
      </c>
    </row>
    <row r="4444" spans="17:18" ht="15" customHeight="1" x14ac:dyDescent="0.25">
      <c r="Q4444" t="s">
        <v>5376</v>
      </c>
      <c r="R4444" t="s">
        <v>2236</v>
      </c>
    </row>
    <row r="4445" spans="17:18" ht="15" customHeight="1" x14ac:dyDescent="0.25">
      <c r="Q4445" t="s">
        <v>5377</v>
      </c>
      <c r="R4445" t="s">
        <v>2236</v>
      </c>
    </row>
    <row r="4446" spans="17:18" ht="15" customHeight="1" x14ac:dyDescent="0.25">
      <c r="Q4446" t="s">
        <v>5378</v>
      </c>
      <c r="R4446" t="s">
        <v>2236</v>
      </c>
    </row>
    <row r="4447" spans="17:18" ht="15" customHeight="1" x14ac:dyDescent="0.25">
      <c r="Q4447" t="s">
        <v>5379</v>
      </c>
      <c r="R4447" t="s">
        <v>2236</v>
      </c>
    </row>
    <row r="4448" spans="17:18" ht="15" customHeight="1" x14ac:dyDescent="0.25">
      <c r="Q4448" t="s">
        <v>5380</v>
      </c>
      <c r="R4448" t="s">
        <v>2236</v>
      </c>
    </row>
    <row r="4449" spans="17:18" ht="15" customHeight="1" x14ac:dyDescent="0.25">
      <c r="Q4449" t="s">
        <v>5381</v>
      </c>
      <c r="R4449" t="s">
        <v>2236</v>
      </c>
    </row>
    <row r="4450" spans="17:18" ht="15" customHeight="1" x14ac:dyDescent="0.25">
      <c r="Q4450" t="s">
        <v>5382</v>
      </c>
      <c r="R4450" t="s">
        <v>2236</v>
      </c>
    </row>
    <row r="4451" spans="17:18" ht="15" customHeight="1" x14ac:dyDescent="0.25">
      <c r="Q4451" t="s">
        <v>5383</v>
      </c>
      <c r="R4451" t="s">
        <v>2236</v>
      </c>
    </row>
    <row r="4452" spans="17:18" ht="15" customHeight="1" x14ac:dyDescent="0.25">
      <c r="Q4452" t="s">
        <v>5384</v>
      </c>
      <c r="R4452" t="s">
        <v>2236</v>
      </c>
    </row>
    <row r="4453" spans="17:18" ht="15" customHeight="1" x14ac:dyDescent="0.25">
      <c r="Q4453" t="s">
        <v>5385</v>
      </c>
      <c r="R4453" t="s">
        <v>2236</v>
      </c>
    </row>
    <row r="4454" spans="17:18" ht="15" customHeight="1" x14ac:dyDescent="0.25">
      <c r="Q4454" t="s">
        <v>5386</v>
      </c>
      <c r="R4454" t="s">
        <v>2236</v>
      </c>
    </row>
    <row r="4455" spans="17:18" ht="15" customHeight="1" x14ac:dyDescent="0.25">
      <c r="Q4455" t="s">
        <v>5387</v>
      </c>
      <c r="R4455" t="s">
        <v>2236</v>
      </c>
    </row>
    <row r="4456" spans="17:18" ht="15" customHeight="1" x14ac:dyDescent="0.25">
      <c r="Q4456" t="s">
        <v>5388</v>
      </c>
      <c r="R4456" t="s">
        <v>2236</v>
      </c>
    </row>
    <row r="4457" spans="17:18" ht="15" customHeight="1" x14ac:dyDescent="0.25">
      <c r="Q4457" t="s">
        <v>5389</v>
      </c>
      <c r="R4457" t="s">
        <v>2236</v>
      </c>
    </row>
    <row r="4458" spans="17:18" ht="15" customHeight="1" x14ac:dyDescent="0.25">
      <c r="Q4458" t="s">
        <v>5390</v>
      </c>
      <c r="R4458" t="s">
        <v>2236</v>
      </c>
    </row>
    <row r="4459" spans="17:18" ht="15" customHeight="1" x14ac:dyDescent="0.25">
      <c r="Q4459" t="s">
        <v>5391</v>
      </c>
      <c r="R4459" t="s">
        <v>2236</v>
      </c>
    </row>
    <row r="4460" spans="17:18" ht="15" customHeight="1" x14ac:dyDescent="0.25">
      <c r="Q4460" t="s">
        <v>5392</v>
      </c>
      <c r="R4460" t="s">
        <v>2236</v>
      </c>
    </row>
    <row r="4461" spans="17:18" ht="15" customHeight="1" x14ac:dyDescent="0.25">
      <c r="Q4461" t="s">
        <v>5393</v>
      </c>
      <c r="R4461" t="s">
        <v>2236</v>
      </c>
    </row>
    <row r="4462" spans="17:18" ht="15" customHeight="1" x14ac:dyDescent="0.25">
      <c r="Q4462" t="s">
        <v>5394</v>
      </c>
      <c r="R4462" t="s">
        <v>2236</v>
      </c>
    </row>
    <row r="4463" spans="17:18" ht="15" customHeight="1" x14ac:dyDescent="0.25">
      <c r="Q4463" t="s">
        <v>5395</v>
      </c>
      <c r="R4463" t="s">
        <v>2236</v>
      </c>
    </row>
    <row r="4464" spans="17:18" ht="15" customHeight="1" x14ac:dyDescent="0.25">
      <c r="Q4464" t="s">
        <v>5396</v>
      </c>
      <c r="R4464" t="s">
        <v>2236</v>
      </c>
    </row>
    <row r="4465" spans="17:18" ht="15" customHeight="1" x14ac:dyDescent="0.25">
      <c r="Q4465" t="s">
        <v>5397</v>
      </c>
      <c r="R4465" t="s">
        <v>2236</v>
      </c>
    </row>
    <row r="4466" spans="17:18" ht="15" customHeight="1" x14ac:dyDescent="0.25">
      <c r="Q4466" t="s">
        <v>5398</v>
      </c>
      <c r="R4466" t="s">
        <v>2236</v>
      </c>
    </row>
    <row r="4467" spans="17:18" ht="15" customHeight="1" x14ac:dyDescent="0.25">
      <c r="Q4467" t="s">
        <v>5399</v>
      </c>
      <c r="R4467" t="s">
        <v>2236</v>
      </c>
    </row>
    <row r="4468" spans="17:18" ht="15" customHeight="1" x14ac:dyDescent="0.25">
      <c r="Q4468" t="s">
        <v>5400</v>
      </c>
      <c r="R4468" t="s">
        <v>2236</v>
      </c>
    </row>
    <row r="4469" spans="17:18" ht="15" customHeight="1" x14ac:dyDescent="0.25">
      <c r="Q4469" t="s">
        <v>5401</v>
      </c>
      <c r="R4469" t="s">
        <v>2236</v>
      </c>
    </row>
    <row r="4470" spans="17:18" ht="15" customHeight="1" x14ac:dyDescent="0.25">
      <c r="Q4470" t="s">
        <v>5402</v>
      </c>
      <c r="R4470" t="s">
        <v>2731</v>
      </c>
    </row>
    <row r="4471" spans="17:18" ht="15" customHeight="1" x14ac:dyDescent="0.25">
      <c r="Q4471" t="s">
        <v>5403</v>
      </c>
      <c r="R4471" t="s">
        <v>2731</v>
      </c>
    </row>
    <row r="4472" spans="17:18" ht="15" customHeight="1" x14ac:dyDescent="0.25">
      <c r="Q4472" t="s">
        <v>5404</v>
      </c>
      <c r="R4472" t="s">
        <v>2731</v>
      </c>
    </row>
    <row r="4473" spans="17:18" ht="15" customHeight="1" x14ac:dyDescent="0.25">
      <c r="Q4473" t="s">
        <v>5405</v>
      </c>
      <c r="R4473" t="s">
        <v>2731</v>
      </c>
    </row>
    <row r="4474" spans="17:18" ht="15" customHeight="1" x14ac:dyDescent="0.25">
      <c r="Q4474" t="s">
        <v>5406</v>
      </c>
      <c r="R4474" t="s">
        <v>2731</v>
      </c>
    </row>
    <row r="4475" spans="17:18" ht="15" customHeight="1" x14ac:dyDescent="0.25">
      <c r="Q4475" t="s">
        <v>5407</v>
      </c>
      <c r="R4475" t="s">
        <v>2731</v>
      </c>
    </row>
    <row r="4476" spans="17:18" ht="15" customHeight="1" x14ac:dyDescent="0.25">
      <c r="Q4476" t="s">
        <v>5408</v>
      </c>
      <c r="R4476" t="s">
        <v>2731</v>
      </c>
    </row>
    <row r="4477" spans="17:18" ht="15" customHeight="1" x14ac:dyDescent="0.25">
      <c r="Q4477" t="s">
        <v>5409</v>
      </c>
      <c r="R4477" t="s">
        <v>2731</v>
      </c>
    </row>
    <row r="4478" spans="17:18" ht="15" customHeight="1" x14ac:dyDescent="0.25">
      <c r="Q4478" t="s">
        <v>5410</v>
      </c>
      <c r="R4478" t="s">
        <v>2236</v>
      </c>
    </row>
    <row r="4479" spans="17:18" ht="15" customHeight="1" x14ac:dyDescent="0.25">
      <c r="Q4479" t="s">
        <v>5411</v>
      </c>
      <c r="R4479" t="s">
        <v>2236</v>
      </c>
    </row>
    <row r="4480" spans="17:18" ht="15" customHeight="1" x14ac:dyDescent="0.25">
      <c r="Q4480" t="s">
        <v>5412</v>
      </c>
      <c r="R4480" t="s">
        <v>2236</v>
      </c>
    </row>
    <row r="4481" spans="17:18" ht="15" customHeight="1" x14ac:dyDescent="0.25">
      <c r="Q4481" t="s">
        <v>5413</v>
      </c>
      <c r="R4481" t="s">
        <v>2236</v>
      </c>
    </row>
    <row r="4482" spans="17:18" ht="15" customHeight="1" x14ac:dyDescent="0.25">
      <c r="Q4482" t="s">
        <v>5414</v>
      </c>
      <c r="R4482" t="s">
        <v>2236</v>
      </c>
    </row>
    <row r="4483" spans="17:18" ht="15" customHeight="1" x14ac:dyDescent="0.25">
      <c r="Q4483" t="s">
        <v>5415</v>
      </c>
      <c r="R4483" t="s">
        <v>2236</v>
      </c>
    </row>
    <row r="4484" spans="17:18" ht="15" customHeight="1" x14ac:dyDescent="0.25">
      <c r="Q4484" t="s">
        <v>5416</v>
      </c>
      <c r="R4484" t="s">
        <v>2236</v>
      </c>
    </row>
    <row r="4485" spans="17:18" ht="15" customHeight="1" x14ac:dyDescent="0.25">
      <c r="Q4485" t="s">
        <v>5417</v>
      </c>
      <c r="R4485" t="s">
        <v>2236</v>
      </c>
    </row>
    <row r="4486" spans="17:18" ht="15" customHeight="1" x14ac:dyDescent="0.25">
      <c r="Q4486" t="s">
        <v>5418</v>
      </c>
      <c r="R4486" t="s">
        <v>2236</v>
      </c>
    </row>
    <row r="4487" spans="17:18" ht="15" customHeight="1" x14ac:dyDescent="0.25">
      <c r="Q4487" t="s">
        <v>5419</v>
      </c>
      <c r="R4487" t="s">
        <v>2236</v>
      </c>
    </row>
    <row r="4488" spans="17:18" ht="15" customHeight="1" x14ac:dyDescent="0.25">
      <c r="Q4488" t="s">
        <v>5420</v>
      </c>
      <c r="R4488" t="s">
        <v>2236</v>
      </c>
    </row>
    <row r="4489" spans="17:18" ht="15" customHeight="1" x14ac:dyDescent="0.25">
      <c r="Q4489" t="s">
        <v>5421</v>
      </c>
      <c r="R4489" t="s">
        <v>2236</v>
      </c>
    </row>
    <row r="4490" spans="17:18" ht="15" customHeight="1" x14ac:dyDescent="0.25">
      <c r="Q4490" t="s">
        <v>5422</v>
      </c>
      <c r="R4490" t="s">
        <v>2236</v>
      </c>
    </row>
    <row r="4491" spans="17:18" ht="15" customHeight="1" x14ac:dyDescent="0.25">
      <c r="Q4491" t="s">
        <v>5423</v>
      </c>
      <c r="R4491" t="s">
        <v>2236</v>
      </c>
    </row>
    <row r="4492" spans="17:18" ht="15" customHeight="1" x14ac:dyDescent="0.25">
      <c r="Q4492" t="s">
        <v>5424</v>
      </c>
      <c r="R4492" t="s">
        <v>2236</v>
      </c>
    </row>
    <row r="4493" spans="17:18" ht="15" customHeight="1" x14ac:dyDescent="0.25">
      <c r="Q4493" t="s">
        <v>5425</v>
      </c>
      <c r="R4493" t="s">
        <v>2236</v>
      </c>
    </row>
    <row r="4494" spans="17:18" ht="15" customHeight="1" x14ac:dyDescent="0.25">
      <c r="Q4494" t="s">
        <v>5426</v>
      </c>
      <c r="R4494" t="s">
        <v>2236</v>
      </c>
    </row>
    <row r="4495" spans="17:18" ht="15" customHeight="1" x14ac:dyDescent="0.25">
      <c r="Q4495" t="s">
        <v>5427</v>
      </c>
      <c r="R4495" t="s">
        <v>2236</v>
      </c>
    </row>
    <row r="4496" spans="17:18" ht="15" customHeight="1" x14ac:dyDescent="0.25">
      <c r="Q4496" t="s">
        <v>5428</v>
      </c>
      <c r="R4496" t="s">
        <v>2236</v>
      </c>
    </row>
    <row r="4497" spans="17:18" ht="15" customHeight="1" x14ac:dyDescent="0.25">
      <c r="Q4497" t="s">
        <v>5429</v>
      </c>
      <c r="R4497" t="s">
        <v>2236</v>
      </c>
    </row>
    <row r="4498" spans="17:18" ht="15" customHeight="1" x14ac:dyDescent="0.25">
      <c r="Q4498" t="s">
        <v>5430</v>
      </c>
      <c r="R4498" t="s">
        <v>2236</v>
      </c>
    </row>
    <row r="4499" spans="17:18" ht="15" customHeight="1" x14ac:dyDescent="0.25">
      <c r="Q4499" t="s">
        <v>5431</v>
      </c>
      <c r="R4499" t="s">
        <v>2236</v>
      </c>
    </row>
    <row r="4500" spans="17:18" ht="15" customHeight="1" x14ac:dyDescent="0.25">
      <c r="Q4500" t="s">
        <v>5432</v>
      </c>
      <c r="R4500" t="s">
        <v>2236</v>
      </c>
    </row>
    <row r="4501" spans="17:18" ht="15" customHeight="1" x14ac:dyDescent="0.25">
      <c r="Q4501" t="s">
        <v>5433</v>
      </c>
      <c r="R4501" t="s">
        <v>2236</v>
      </c>
    </row>
    <row r="4502" spans="17:18" ht="15" customHeight="1" x14ac:dyDescent="0.25">
      <c r="Q4502" t="s">
        <v>5434</v>
      </c>
      <c r="R4502" t="s">
        <v>2236</v>
      </c>
    </row>
    <row r="4503" spans="17:18" ht="15" customHeight="1" x14ac:dyDescent="0.25">
      <c r="Q4503" t="s">
        <v>5435</v>
      </c>
      <c r="R4503" t="s">
        <v>2236</v>
      </c>
    </row>
    <row r="4504" spans="17:18" ht="15" customHeight="1" x14ac:dyDescent="0.25">
      <c r="Q4504" t="s">
        <v>5436</v>
      </c>
      <c r="R4504" t="s">
        <v>2236</v>
      </c>
    </row>
    <row r="4505" spans="17:18" ht="15" customHeight="1" x14ac:dyDescent="0.25">
      <c r="Q4505" t="s">
        <v>5437</v>
      </c>
      <c r="R4505" t="s">
        <v>2236</v>
      </c>
    </row>
    <row r="4506" spans="17:18" ht="15" customHeight="1" x14ac:dyDescent="0.25">
      <c r="Q4506" t="s">
        <v>5438</v>
      </c>
      <c r="R4506" t="s">
        <v>5213</v>
      </c>
    </row>
    <row r="4507" spans="17:18" ht="15" customHeight="1" x14ac:dyDescent="0.25">
      <c r="Q4507" t="s">
        <v>5439</v>
      </c>
      <c r="R4507" t="s">
        <v>2236</v>
      </c>
    </row>
    <row r="4508" spans="17:18" ht="15" customHeight="1" x14ac:dyDescent="0.25">
      <c r="Q4508" t="s">
        <v>5440</v>
      </c>
      <c r="R4508" t="s">
        <v>2236</v>
      </c>
    </row>
    <row r="4509" spans="17:18" ht="15" customHeight="1" x14ac:dyDescent="0.25">
      <c r="Q4509" t="s">
        <v>5441</v>
      </c>
      <c r="R4509" t="s">
        <v>2236</v>
      </c>
    </row>
    <row r="4510" spans="17:18" ht="15" customHeight="1" x14ac:dyDescent="0.25">
      <c r="Q4510" t="s">
        <v>5442</v>
      </c>
      <c r="R4510" t="s">
        <v>2236</v>
      </c>
    </row>
    <row r="4511" spans="17:18" ht="15" customHeight="1" x14ac:dyDescent="0.25">
      <c r="Q4511" t="s">
        <v>5443</v>
      </c>
      <c r="R4511" t="s">
        <v>2236</v>
      </c>
    </row>
    <row r="4512" spans="17:18" ht="15" customHeight="1" x14ac:dyDescent="0.25">
      <c r="Q4512" t="s">
        <v>5444</v>
      </c>
      <c r="R4512" t="s">
        <v>2236</v>
      </c>
    </row>
    <row r="4513" spans="17:18" ht="15" customHeight="1" x14ac:dyDescent="0.25">
      <c r="Q4513" t="s">
        <v>5445</v>
      </c>
      <c r="R4513" t="s">
        <v>2236</v>
      </c>
    </row>
    <row r="4514" spans="17:18" ht="15" customHeight="1" x14ac:dyDescent="0.25">
      <c r="Q4514" t="s">
        <v>5446</v>
      </c>
      <c r="R4514" t="s">
        <v>2236</v>
      </c>
    </row>
    <row r="4515" spans="17:18" ht="15" customHeight="1" x14ac:dyDescent="0.25">
      <c r="Q4515" t="s">
        <v>5447</v>
      </c>
      <c r="R4515" t="s">
        <v>2236</v>
      </c>
    </row>
    <row r="4516" spans="17:18" ht="15" customHeight="1" x14ac:dyDescent="0.25">
      <c r="Q4516" t="s">
        <v>5448</v>
      </c>
      <c r="R4516" t="s">
        <v>5213</v>
      </c>
    </row>
    <row r="4517" spans="17:18" ht="15" customHeight="1" x14ac:dyDescent="0.25">
      <c r="Q4517" t="s">
        <v>5449</v>
      </c>
      <c r="R4517" t="s">
        <v>5213</v>
      </c>
    </row>
    <row r="4518" spans="17:18" ht="15" customHeight="1" x14ac:dyDescent="0.25">
      <c r="Q4518" t="s">
        <v>5450</v>
      </c>
      <c r="R4518" t="s">
        <v>5213</v>
      </c>
    </row>
    <row r="4519" spans="17:18" ht="15" customHeight="1" x14ac:dyDescent="0.25">
      <c r="Q4519" t="s">
        <v>5451</v>
      </c>
      <c r="R4519" t="s">
        <v>5213</v>
      </c>
    </row>
    <row r="4520" spans="17:18" ht="15" customHeight="1" x14ac:dyDescent="0.25">
      <c r="Q4520" t="s">
        <v>5452</v>
      </c>
      <c r="R4520" t="s">
        <v>5213</v>
      </c>
    </row>
    <row r="4521" spans="17:18" ht="15" customHeight="1" x14ac:dyDescent="0.25">
      <c r="Q4521" t="s">
        <v>5453</v>
      </c>
      <c r="R4521" t="s">
        <v>5213</v>
      </c>
    </row>
    <row r="4522" spans="17:18" ht="15" customHeight="1" x14ac:dyDescent="0.25">
      <c r="Q4522" t="s">
        <v>5454</v>
      </c>
      <c r="R4522" t="s">
        <v>2236</v>
      </c>
    </row>
    <row r="4523" spans="17:18" ht="15" customHeight="1" x14ac:dyDescent="0.25">
      <c r="Q4523" t="s">
        <v>5455</v>
      </c>
      <c r="R4523" t="s">
        <v>5213</v>
      </c>
    </row>
    <row r="4524" spans="17:18" ht="15" customHeight="1" x14ac:dyDescent="0.25">
      <c r="Q4524" t="s">
        <v>5456</v>
      </c>
      <c r="R4524" t="s">
        <v>5213</v>
      </c>
    </row>
    <row r="4525" spans="17:18" ht="15" customHeight="1" x14ac:dyDescent="0.25">
      <c r="Q4525" t="s">
        <v>5457</v>
      </c>
      <c r="R4525" t="s">
        <v>5213</v>
      </c>
    </row>
    <row r="4526" spans="17:18" ht="15" customHeight="1" x14ac:dyDescent="0.25">
      <c r="Q4526" t="s">
        <v>5458</v>
      </c>
      <c r="R4526" t="s">
        <v>5213</v>
      </c>
    </row>
    <row r="4527" spans="17:18" ht="15" customHeight="1" x14ac:dyDescent="0.25">
      <c r="Q4527" t="s">
        <v>5459</v>
      </c>
      <c r="R4527" t="s">
        <v>5213</v>
      </c>
    </row>
    <row r="4528" spans="17:18" ht="15" customHeight="1" x14ac:dyDescent="0.25">
      <c r="Q4528" t="s">
        <v>5460</v>
      </c>
      <c r="R4528" t="s">
        <v>5213</v>
      </c>
    </row>
    <row r="4529" spans="17:18" ht="15" customHeight="1" x14ac:dyDescent="0.25">
      <c r="Q4529" t="s">
        <v>5461</v>
      </c>
      <c r="R4529" t="s">
        <v>5213</v>
      </c>
    </row>
    <row r="4530" spans="17:18" ht="15" customHeight="1" x14ac:dyDescent="0.25">
      <c r="Q4530" t="s">
        <v>5462</v>
      </c>
      <c r="R4530" t="s">
        <v>5213</v>
      </c>
    </row>
    <row r="4531" spans="17:18" ht="15" customHeight="1" x14ac:dyDescent="0.25">
      <c r="Q4531" t="s">
        <v>5463</v>
      </c>
      <c r="R4531" t="s">
        <v>5213</v>
      </c>
    </row>
    <row r="4532" spans="17:18" ht="15" customHeight="1" x14ac:dyDescent="0.25">
      <c r="Q4532" t="s">
        <v>5464</v>
      </c>
      <c r="R4532" t="s">
        <v>5213</v>
      </c>
    </row>
    <row r="4533" spans="17:18" ht="15" customHeight="1" x14ac:dyDescent="0.25">
      <c r="Q4533" t="s">
        <v>5465</v>
      </c>
      <c r="R4533" t="s">
        <v>5213</v>
      </c>
    </row>
    <row r="4534" spans="17:18" ht="15" customHeight="1" x14ac:dyDescent="0.25">
      <c r="Q4534" t="s">
        <v>5466</v>
      </c>
      <c r="R4534" t="s">
        <v>5213</v>
      </c>
    </row>
    <row r="4535" spans="17:18" ht="15" customHeight="1" x14ac:dyDescent="0.25">
      <c r="Q4535" t="s">
        <v>5467</v>
      </c>
      <c r="R4535" t="s">
        <v>5213</v>
      </c>
    </row>
    <row r="4536" spans="17:18" ht="15" customHeight="1" x14ac:dyDescent="0.25">
      <c r="Q4536" t="s">
        <v>5468</v>
      </c>
      <c r="R4536" t="s">
        <v>5213</v>
      </c>
    </row>
    <row r="4537" spans="17:18" ht="15" customHeight="1" x14ac:dyDescent="0.25">
      <c r="Q4537" t="s">
        <v>5469</v>
      </c>
      <c r="R4537" t="s">
        <v>5213</v>
      </c>
    </row>
    <row r="4538" spans="17:18" ht="15" customHeight="1" x14ac:dyDescent="0.25">
      <c r="Q4538" t="s">
        <v>5470</v>
      </c>
      <c r="R4538" t="s">
        <v>5213</v>
      </c>
    </row>
    <row r="4539" spans="17:18" ht="15" customHeight="1" x14ac:dyDescent="0.25">
      <c r="Q4539" t="s">
        <v>5471</v>
      </c>
      <c r="R4539" t="s">
        <v>5213</v>
      </c>
    </row>
    <row r="4540" spans="17:18" ht="15" customHeight="1" x14ac:dyDescent="0.25">
      <c r="Q4540" t="s">
        <v>5472</v>
      </c>
      <c r="R4540" t="s">
        <v>5213</v>
      </c>
    </row>
    <row r="4541" spans="17:18" ht="15" customHeight="1" x14ac:dyDescent="0.25">
      <c r="Q4541" t="s">
        <v>5473</v>
      </c>
      <c r="R4541" t="s">
        <v>5213</v>
      </c>
    </row>
    <row r="4542" spans="17:18" ht="15" customHeight="1" x14ac:dyDescent="0.25">
      <c r="Q4542" t="s">
        <v>5474</v>
      </c>
      <c r="R4542" t="s">
        <v>5213</v>
      </c>
    </row>
    <row r="4543" spans="17:18" ht="15" customHeight="1" x14ac:dyDescent="0.25">
      <c r="Q4543" t="s">
        <v>5475</v>
      </c>
      <c r="R4543" t="s">
        <v>5213</v>
      </c>
    </row>
    <row r="4544" spans="17:18" ht="15" customHeight="1" x14ac:dyDescent="0.25">
      <c r="Q4544" t="s">
        <v>5476</v>
      </c>
      <c r="R4544" t="s">
        <v>5213</v>
      </c>
    </row>
    <row r="4545" spans="17:18" ht="15" customHeight="1" x14ac:dyDescent="0.25">
      <c r="Q4545" t="s">
        <v>5477</v>
      </c>
      <c r="R4545" t="s">
        <v>5213</v>
      </c>
    </row>
    <row r="4546" spans="17:18" ht="15" customHeight="1" x14ac:dyDescent="0.25">
      <c r="Q4546" t="s">
        <v>5478</v>
      </c>
      <c r="R4546" t="s">
        <v>5213</v>
      </c>
    </row>
    <row r="4547" spans="17:18" ht="15" customHeight="1" x14ac:dyDescent="0.25">
      <c r="Q4547" t="s">
        <v>5479</v>
      </c>
      <c r="R4547" t="s">
        <v>5213</v>
      </c>
    </row>
    <row r="4548" spans="17:18" ht="15" customHeight="1" x14ac:dyDescent="0.25">
      <c r="Q4548" t="s">
        <v>5480</v>
      </c>
      <c r="R4548" t="s">
        <v>5213</v>
      </c>
    </row>
    <row r="4549" spans="17:18" ht="15" customHeight="1" x14ac:dyDescent="0.25">
      <c r="Q4549" t="s">
        <v>5481</v>
      </c>
      <c r="R4549" t="s">
        <v>5213</v>
      </c>
    </row>
    <row r="4550" spans="17:18" ht="15" customHeight="1" x14ac:dyDescent="0.25">
      <c r="Q4550" t="s">
        <v>5482</v>
      </c>
      <c r="R4550" t="s">
        <v>5213</v>
      </c>
    </row>
    <row r="4551" spans="17:18" ht="15" customHeight="1" x14ac:dyDescent="0.25">
      <c r="Q4551" t="s">
        <v>5483</v>
      </c>
      <c r="R4551" t="s">
        <v>5213</v>
      </c>
    </row>
    <row r="4552" spans="17:18" ht="15" customHeight="1" x14ac:dyDescent="0.25">
      <c r="Q4552" t="s">
        <v>5484</v>
      </c>
      <c r="R4552" t="s">
        <v>5213</v>
      </c>
    </row>
    <row r="4553" spans="17:18" ht="15" customHeight="1" x14ac:dyDescent="0.25">
      <c r="Q4553" t="s">
        <v>5485</v>
      </c>
      <c r="R4553" t="s">
        <v>5213</v>
      </c>
    </row>
    <row r="4554" spans="17:18" ht="15" customHeight="1" x14ac:dyDescent="0.25">
      <c r="Q4554" t="s">
        <v>5486</v>
      </c>
      <c r="R4554" t="s">
        <v>5213</v>
      </c>
    </row>
    <row r="4555" spans="17:18" ht="15" customHeight="1" x14ac:dyDescent="0.25">
      <c r="Q4555" t="s">
        <v>5487</v>
      </c>
      <c r="R4555" t="s">
        <v>5213</v>
      </c>
    </row>
    <row r="4556" spans="17:18" ht="15" customHeight="1" x14ac:dyDescent="0.25">
      <c r="Q4556" t="s">
        <v>5488</v>
      </c>
      <c r="R4556" t="s">
        <v>5213</v>
      </c>
    </row>
    <row r="4557" spans="17:18" ht="15" customHeight="1" x14ac:dyDescent="0.25">
      <c r="Q4557" t="s">
        <v>5489</v>
      </c>
      <c r="R4557" t="s">
        <v>5213</v>
      </c>
    </row>
    <row r="4558" spans="17:18" ht="15" customHeight="1" x14ac:dyDescent="0.25">
      <c r="Q4558" t="s">
        <v>5490</v>
      </c>
      <c r="R4558" t="s">
        <v>5213</v>
      </c>
    </row>
    <row r="4559" spans="17:18" ht="15" customHeight="1" x14ac:dyDescent="0.25">
      <c r="Q4559" t="s">
        <v>5491</v>
      </c>
      <c r="R4559" t="s">
        <v>4214</v>
      </c>
    </row>
    <row r="4560" spans="17:18" ht="15" customHeight="1" x14ac:dyDescent="0.25">
      <c r="Q4560" t="s">
        <v>5492</v>
      </c>
      <c r="R4560" t="s">
        <v>4214</v>
      </c>
    </row>
    <row r="4561" spans="17:18" ht="15" customHeight="1" x14ac:dyDescent="0.25">
      <c r="Q4561" t="s">
        <v>5493</v>
      </c>
      <c r="R4561" t="s">
        <v>4214</v>
      </c>
    </row>
    <row r="4562" spans="17:18" ht="15" customHeight="1" x14ac:dyDescent="0.25">
      <c r="Q4562" t="s">
        <v>5494</v>
      </c>
      <c r="R4562" t="s">
        <v>4214</v>
      </c>
    </row>
    <row r="4563" spans="17:18" ht="15" customHeight="1" x14ac:dyDescent="0.25">
      <c r="Q4563" t="s">
        <v>5495</v>
      </c>
      <c r="R4563" t="s">
        <v>4214</v>
      </c>
    </row>
    <row r="4564" spans="17:18" ht="15" customHeight="1" x14ac:dyDescent="0.25">
      <c r="Q4564" t="s">
        <v>5496</v>
      </c>
      <c r="R4564" t="s">
        <v>4214</v>
      </c>
    </row>
    <row r="4565" spans="17:18" ht="15" customHeight="1" x14ac:dyDescent="0.25">
      <c r="Q4565" t="s">
        <v>5497</v>
      </c>
      <c r="R4565" t="s">
        <v>4214</v>
      </c>
    </row>
    <row r="4566" spans="17:18" ht="15" customHeight="1" x14ac:dyDescent="0.25">
      <c r="Q4566" t="s">
        <v>5498</v>
      </c>
      <c r="R4566" t="s">
        <v>4214</v>
      </c>
    </row>
    <row r="4567" spans="17:18" ht="15" customHeight="1" x14ac:dyDescent="0.25">
      <c r="Q4567" t="s">
        <v>5499</v>
      </c>
      <c r="R4567" t="s">
        <v>4214</v>
      </c>
    </row>
    <row r="4568" spans="17:18" ht="15" customHeight="1" x14ac:dyDescent="0.25">
      <c r="Q4568" t="s">
        <v>5500</v>
      </c>
      <c r="R4568" t="s">
        <v>4214</v>
      </c>
    </row>
    <row r="4569" spans="17:18" ht="15" customHeight="1" x14ac:dyDescent="0.25">
      <c r="Q4569" t="s">
        <v>5501</v>
      </c>
      <c r="R4569" t="s">
        <v>4214</v>
      </c>
    </row>
    <row r="4570" spans="17:18" ht="15" customHeight="1" x14ac:dyDescent="0.25">
      <c r="Q4570" t="s">
        <v>5502</v>
      </c>
      <c r="R4570" t="s">
        <v>4214</v>
      </c>
    </row>
    <row r="4571" spans="17:18" ht="15" customHeight="1" x14ac:dyDescent="0.25">
      <c r="Q4571" t="s">
        <v>5503</v>
      </c>
      <c r="R4571" t="s">
        <v>4214</v>
      </c>
    </row>
    <row r="4572" spans="17:18" ht="15" customHeight="1" x14ac:dyDescent="0.25">
      <c r="Q4572" t="s">
        <v>5504</v>
      </c>
      <c r="R4572" t="s">
        <v>4214</v>
      </c>
    </row>
    <row r="4573" spans="17:18" ht="15" customHeight="1" x14ac:dyDescent="0.25">
      <c r="Q4573" t="s">
        <v>5505</v>
      </c>
      <c r="R4573" t="s">
        <v>4214</v>
      </c>
    </row>
    <row r="4574" spans="17:18" ht="15" customHeight="1" x14ac:dyDescent="0.25">
      <c r="Q4574" t="s">
        <v>5506</v>
      </c>
      <c r="R4574" t="s">
        <v>4214</v>
      </c>
    </row>
    <row r="4575" spans="17:18" ht="15" customHeight="1" x14ac:dyDescent="0.25">
      <c r="Q4575" t="s">
        <v>5507</v>
      </c>
      <c r="R4575" t="s">
        <v>4214</v>
      </c>
    </row>
    <row r="4576" spans="17:18" ht="15" customHeight="1" x14ac:dyDescent="0.25">
      <c r="Q4576" t="s">
        <v>5508</v>
      </c>
      <c r="R4576" t="s">
        <v>4214</v>
      </c>
    </row>
    <row r="4577" spans="17:18" ht="15" customHeight="1" x14ac:dyDescent="0.25">
      <c r="Q4577" t="s">
        <v>5509</v>
      </c>
      <c r="R4577" t="s">
        <v>4214</v>
      </c>
    </row>
    <row r="4578" spans="17:18" ht="15" customHeight="1" x14ac:dyDescent="0.25">
      <c r="Q4578" t="s">
        <v>5510</v>
      </c>
      <c r="R4578" t="s">
        <v>4214</v>
      </c>
    </row>
    <row r="4579" spans="17:18" ht="15" customHeight="1" x14ac:dyDescent="0.25">
      <c r="Q4579" t="s">
        <v>5511</v>
      </c>
      <c r="R4579" t="s">
        <v>4214</v>
      </c>
    </row>
    <row r="4580" spans="17:18" ht="15" customHeight="1" x14ac:dyDescent="0.25">
      <c r="Q4580" t="s">
        <v>5512</v>
      </c>
      <c r="R4580" t="s">
        <v>4214</v>
      </c>
    </row>
    <row r="4581" spans="17:18" ht="15" customHeight="1" x14ac:dyDescent="0.25">
      <c r="Q4581" t="s">
        <v>5513</v>
      </c>
      <c r="R4581" t="s">
        <v>4214</v>
      </c>
    </row>
    <row r="4582" spans="17:18" ht="15" customHeight="1" x14ac:dyDescent="0.25">
      <c r="Q4582" t="s">
        <v>5514</v>
      </c>
      <c r="R4582" t="s">
        <v>4214</v>
      </c>
    </row>
    <row r="4583" spans="17:18" ht="15" customHeight="1" x14ac:dyDescent="0.25">
      <c r="Q4583" t="s">
        <v>5515</v>
      </c>
      <c r="R4583" t="s">
        <v>4214</v>
      </c>
    </row>
    <row r="4584" spans="17:18" ht="15" customHeight="1" x14ac:dyDescent="0.25">
      <c r="Q4584" t="s">
        <v>5516</v>
      </c>
      <c r="R4584" t="s">
        <v>4214</v>
      </c>
    </row>
    <row r="4585" spans="17:18" ht="15" customHeight="1" x14ac:dyDescent="0.25">
      <c r="Q4585" t="s">
        <v>5517</v>
      </c>
      <c r="R4585" t="s">
        <v>4214</v>
      </c>
    </row>
    <row r="4586" spans="17:18" ht="15" customHeight="1" x14ac:dyDescent="0.25">
      <c r="Q4586" t="s">
        <v>5518</v>
      </c>
      <c r="R4586" t="s">
        <v>4214</v>
      </c>
    </row>
    <row r="4587" spans="17:18" ht="15" customHeight="1" x14ac:dyDescent="0.25">
      <c r="Q4587" t="s">
        <v>5519</v>
      </c>
      <c r="R4587" t="s">
        <v>4214</v>
      </c>
    </row>
    <row r="4588" spans="17:18" ht="15" customHeight="1" x14ac:dyDescent="0.25">
      <c r="Q4588" t="s">
        <v>5520</v>
      </c>
      <c r="R4588" t="s">
        <v>4214</v>
      </c>
    </row>
    <row r="4589" spans="17:18" ht="15" customHeight="1" x14ac:dyDescent="0.25">
      <c r="Q4589" t="s">
        <v>5521</v>
      </c>
      <c r="R4589" t="s">
        <v>4214</v>
      </c>
    </row>
    <row r="4590" spans="17:18" ht="15" customHeight="1" x14ac:dyDescent="0.25">
      <c r="Q4590" t="s">
        <v>5522</v>
      </c>
      <c r="R4590" t="s">
        <v>4214</v>
      </c>
    </row>
    <row r="4591" spans="17:18" ht="15" customHeight="1" x14ac:dyDescent="0.25">
      <c r="Q4591" t="s">
        <v>5523</v>
      </c>
      <c r="R4591" t="s">
        <v>4214</v>
      </c>
    </row>
    <row r="4592" spans="17:18" ht="15" customHeight="1" x14ac:dyDescent="0.25">
      <c r="Q4592" t="s">
        <v>5524</v>
      </c>
      <c r="R4592" t="s">
        <v>4214</v>
      </c>
    </row>
    <row r="4593" spans="17:18" ht="15" customHeight="1" x14ac:dyDescent="0.25">
      <c r="Q4593" t="s">
        <v>5525</v>
      </c>
      <c r="R4593" t="s">
        <v>4214</v>
      </c>
    </row>
    <row r="4594" spans="17:18" ht="15" customHeight="1" x14ac:dyDescent="0.25">
      <c r="Q4594" t="s">
        <v>5526</v>
      </c>
      <c r="R4594" t="s">
        <v>4214</v>
      </c>
    </row>
    <row r="4595" spans="17:18" ht="15" customHeight="1" x14ac:dyDescent="0.25">
      <c r="Q4595" t="s">
        <v>5527</v>
      </c>
      <c r="R4595" t="s">
        <v>4214</v>
      </c>
    </row>
    <row r="4596" spans="17:18" ht="15" customHeight="1" x14ac:dyDescent="0.25">
      <c r="Q4596" t="s">
        <v>5528</v>
      </c>
      <c r="R4596" t="s">
        <v>4214</v>
      </c>
    </row>
    <row r="4597" spans="17:18" ht="15" customHeight="1" x14ac:dyDescent="0.25">
      <c r="Q4597" t="s">
        <v>5529</v>
      </c>
      <c r="R4597" t="s">
        <v>4214</v>
      </c>
    </row>
    <row r="4598" spans="17:18" ht="15" customHeight="1" x14ac:dyDescent="0.25">
      <c r="Q4598" t="s">
        <v>5530</v>
      </c>
      <c r="R4598" t="s">
        <v>4214</v>
      </c>
    </row>
    <row r="4599" spans="17:18" ht="15" customHeight="1" x14ac:dyDescent="0.25">
      <c r="Q4599" t="s">
        <v>5531</v>
      </c>
      <c r="R4599" t="s">
        <v>4214</v>
      </c>
    </row>
    <row r="4600" spans="17:18" ht="15" customHeight="1" x14ac:dyDescent="0.25">
      <c r="Q4600" t="s">
        <v>5532</v>
      </c>
      <c r="R4600" t="s">
        <v>4214</v>
      </c>
    </row>
    <row r="4601" spans="17:18" ht="15" customHeight="1" x14ac:dyDescent="0.25">
      <c r="Q4601" t="s">
        <v>5533</v>
      </c>
      <c r="R4601" t="s">
        <v>4214</v>
      </c>
    </row>
    <row r="4602" spans="17:18" ht="15" customHeight="1" x14ac:dyDescent="0.25">
      <c r="Q4602" t="s">
        <v>5534</v>
      </c>
      <c r="R4602" t="s">
        <v>4214</v>
      </c>
    </row>
    <row r="4603" spans="17:18" ht="15" customHeight="1" x14ac:dyDescent="0.25">
      <c r="Q4603" t="s">
        <v>5535</v>
      </c>
      <c r="R4603" t="s">
        <v>4214</v>
      </c>
    </row>
    <row r="4604" spans="17:18" ht="15" customHeight="1" x14ac:dyDescent="0.25">
      <c r="Q4604" t="s">
        <v>5536</v>
      </c>
      <c r="R4604" t="s">
        <v>4214</v>
      </c>
    </row>
    <row r="4605" spans="17:18" ht="15" customHeight="1" x14ac:dyDescent="0.25">
      <c r="Q4605" t="s">
        <v>5537</v>
      </c>
      <c r="R4605" t="s">
        <v>4214</v>
      </c>
    </row>
    <row r="4606" spans="17:18" ht="15" customHeight="1" x14ac:dyDescent="0.25">
      <c r="Q4606" t="s">
        <v>5538</v>
      </c>
      <c r="R4606" t="s">
        <v>4214</v>
      </c>
    </row>
    <row r="4607" spans="17:18" ht="15" customHeight="1" x14ac:dyDescent="0.25">
      <c r="Q4607" t="s">
        <v>5539</v>
      </c>
      <c r="R4607" t="s">
        <v>4214</v>
      </c>
    </row>
    <row r="4608" spans="17:18" ht="15" customHeight="1" x14ac:dyDescent="0.25">
      <c r="Q4608" t="s">
        <v>5540</v>
      </c>
      <c r="R4608" t="s">
        <v>4214</v>
      </c>
    </row>
    <row r="4609" spans="17:18" ht="15" customHeight="1" x14ac:dyDescent="0.25">
      <c r="Q4609" t="s">
        <v>5541</v>
      </c>
      <c r="R4609" t="s">
        <v>4214</v>
      </c>
    </row>
    <row r="4610" spans="17:18" ht="15" customHeight="1" x14ac:dyDescent="0.25">
      <c r="Q4610" t="s">
        <v>5542</v>
      </c>
      <c r="R4610" t="s">
        <v>4214</v>
      </c>
    </row>
    <row r="4611" spans="17:18" ht="15" customHeight="1" x14ac:dyDescent="0.25">
      <c r="Q4611" t="s">
        <v>5543</v>
      </c>
      <c r="R4611" t="s">
        <v>4214</v>
      </c>
    </row>
    <row r="4612" spans="17:18" ht="15" customHeight="1" x14ac:dyDescent="0.25">
      <c r="Q4612" t="s">
        <v>5544</v>
      </c>
      <c r="R4612" t="s">
        <v>4214</v>
      </c>
    </row>
    <row r="4613" spans="17:18" ht="15" customHeight="1" x14ac:dyDescent="0.25">
      <c r="Q4613" t="s">
        <v>5545</v>
      </c>
      <c r="R4613" t="s">
        <v>4214</v>
      </c>
    </row>
    <row r="4614" spans="17:18" ht="15" customHeight="1" x14ac:dyDescent="0.25">
      <c r="Q4614" t="s">
        <v>5546</v>
      </c>
      <c r="R4614" t="s">
        <v>4214</v>
      </c>
    </row>
    <row r="4615" spans="17:18" ht="15" customHeight="1" x14ac:dyDescent="0.25">
      <c r="Q4615" t="s">
        <v>5547</v>
      </c>
      <c r="R4615" t="s">
        <v>4214</v>
      </c>
    </row>
    <row r="4616" spans="17:18" ht="15" customHeight="1" x14ac:dyDescent="0.25">
      <c r="Q4616" t="s">
        <v>5548</v>
      </c>
      <c r="R4616" t="s">
        <v>4214</v>
      </c>
    </row>
    <row r="4617" spans="17:18" ht="15" customHeight="1" x14ac:dyDescent="0.25">
      <c r="Q4617" t="s">
        <v>5549</v>
      </c>
      <c r="R4617" t="s">
        <v>4214</v>
      </c>
    </row>
    <row r="4618" spans="17:18" ht="15" customHeight="1" x14ac:dyDescent="0.25">
      <c r="Q4618" t="s">
        <v>5550</v>
      </c>
      <c r="R4618" t="s">
        <v>4214</v>
      </c>
    </row>
    <row r="4619" spans="17:18" ht="15" customHeight="1" x14ac:dyDescent="0.25">
      <c r="Q4619" t="s">
        <v>5551</v>
      </c>
      <c r="R4619" t="s">
        <v>4214</v>
      </c>
    </row>
    <row r="4620" spans="17:18" ht="15" customHeight="1" x14ac:dyDescent="0.25">
      <c r="Q4620" t="s">
        <v>5552</v>
      </c>
      <c r="R4620" t="s">
        <v>4214</v>
      </c>
    </row>
    <row r="4621" spans="17:18" ht="15" customHeight="1" x14ac:dyDescent="0.25">
      <c r="Q4621" t="s">
        <v>5553</v>
      </c>
      <c r="R4621" t="s">
        <v>4214</v>
      </c>
    </row>
    <row r="4622" spans="17:18" ht="15" customHeight="1" x14ac:dyDescent="0.25">
      <c r="Q4622" t="s">
        <v>5554</v>
      </c>
      <c r="R4622" t="s">
        <v>4214</v>
      </c>
    </row>
    <row r="4623" spans="17:18" ht="15" customHeight="1" x14ac:dyDescent="0.25">
      <c r="Q4623" t="s">
        <v>5555</v>
      </c>
      <c r="R4623" t="s">
        <v>2236</v>
      </c>
    </row>
    <row r="4624" spans="17:18" ht="15" customHeight="1" x14ac:dyDescent="0.25">
      <c r="Q4624" t="s">
        <v>5556</v>
      </c>
      <c r="R4624" t="s">
        <v>2236</v>
      </c>
    </row>
    <row r="4625" spans="17:18" ht="15" customHeight="1" x14ac:dyDescent="0.25">
      <c r="Q4625" t="s">
        <v>5557</v>
      </c>
      <c r="R4625" t="s">
        <v>5213</v>
      </c>
    </row>
    <row r="4626" spans="17:18" ht="15" customHeight="1" x14ac:dyDescent="0.25">
      <c r="Q4626" t="s">
        <v>5558</v>
      </c>
      <c r="R4626" t="s">
        <v>2236</v>
      </c>
    </row>
    <row r="4627" spans="17:18" ht="15" customHeight="1" x14ac:dyDescent="0.25">
      <c r="Q4627" t="s">
        <v>5559</v>
      </c>
      <c r="R4627" t="s">
        <v>2236</v>
      </c>
    </row>
    <row r="4628" spans="17:18" ht="15" customHeight="1" x14ac:dyDescent="0.25">
      <c r="Q4628" t="s">
        <v>5560</v>
      </c>
      <c r="R4628" t="s">
        <v>4214</v>
      </c>
    </row>
    <row r="4629" spans="17:18" ht="15" customHeight="1" x14ac:dyDescent="0.25">
      <c r="Q4629" t="s">
        <v>5561</v>
      </c>
      <c r="R4629" t="s">
        <v>2236</v>
      </c>
    </row>
    <row r="4630" spans="17:18" ht="15" customHeight="1" x14ac:dyDescent="0.25">
      <c r="Q4630" t="s">
        <v>5562</v>
      </c>
      <c r="R4630" t="s">
        <v>2236</v>
      </c>
    </row>
    <row r="4631" spans="17:18" ht="15" customHeight="1" x14ac:dyDescent="0.25">
      <c r="Q4631" t="s">
        <v>5563</v>
      </c>
      <c r="R4631" t="s">
        <v>2236</v>
      </c>
    </row>
    <row r="4632" spans="17:18" ht="15" customHeight="1" x14ac:dyDescent="0.25">
      <c r="Q4632" t="s">
        <v>5564</v>
      </c>
      <c r="R4632" t="s">
        <v>5213</v>
      </c>
    </row>
    <row r="4633" spans="17:18" ht="15" customHeight="1" x14ac:dyDescent="0.25">
      <c r="Q4633" t="s">
        <v>5565</v>
      </c>
      <c r="R4633" t="s">
        <v>2236</v>
      </c>
    </row>
    <row r="4634" spans="17:18" ht="15" customHeight="1" x14ac:dyDescent="0.25">
      <c r="Q4634" t="s">
        <v>5566</v>
      </c>
      <c r="R4634" t="s">
        <v>2236</v>
      </c>
    </row>
    <row r="4635" spans="17:18" ht="15" customHeight="1" x14ac:dyDescent="0.25">
      <c r="Q4635" t="s">
        <v>5567</v>
      </c>
      <c r="R4635" t="s">
        <v>2236</v>
      </c>
    </row>
    <row r="4636" spans="17:18" ht="15" customHeight="1" x14ac:dyDescent="0.25">
      <c r="Q4636" t="s">
        <v>5568</v>
      </c>
      <c r="R4636" t="s">
        <v>2236</v>
      </c>
    </row>
    <row r="4637" spans="17:18" ht="15" customHeight="1" x14ac:dyDescent="0.25">
      <c r="Q4637" t="s">
        <v>5569</v>
      </c>
      <c r="R4637" t="s">
        <v>2236</v>
      </c>
    </row>
    <row r="4638" spans="17:18" ht="15" customHeight="1" x14ac:dyDescent="0.25">
      <c r="Q4638" t="s">
        <v>5570</v>
      </c>
      <c r="R4638" t="s">
        <v>2236</v>
      </c>
    </row>
    <row r="4639" spans="17:18" ht="15" customHeight="1" x14ac:dyDescent="0.25">
      <c r="Q4639" t="s">
        <v>5571</v>
      </c>
      <c r="R4639" t="s">
        <v>2236</v>
      </c>
    </row>
    <row r="4640" spans="17:18" ht="15" customHeight="1" x14ac:dyDescent="0.25">
      <c r="Q4640" t="s">
        <v>5572</v>
      </c>
      <c r="R4640" t="s">
        <v>2236</v>
      </c>
    </row>
    <row r="4641" spans="17:18" ht="15" customHeight="1" x14ac:dyDescent="0.25">
      <c r="Q4641" t="s">
        <v>5573</v>
      </c>
      <c r="R4641" t="s">
        <v>2236</v>
      </c>
    </row>
    <row r="4642" spans="17:18" ht="15" customHeight="1" x14ac:dyDescent="0.25">
      <c r="Q4642" t="s">
        <v>5574</v>
      </c>
      <c r="R4642" t="s">
        <v>2236</v>
      </c>
    </row>
    <row r="4643" spans="17:18" ht="15" customHeight="1" x14ac:dyDescent="0.25">
      <c r="Q4643" t="s">
        <v>5575</v>
      </c>
      <c r="R4643" t="s">
        <v>2236</v>
      </c>
    </row>
    <row r="4644" spans="17:18" ht="15" customHeight="1" x14ac:dyDescent="0.25">
      <c r="Q4644" t="s">
        <v>5576</v>
      </c>
      <c r="R4644" t="s">
        <v>4214</v>
      </c>
    </row>
    <row r="4645" spans="17:18" ht="15" customHeight="1" x14ac:dyDescent="0.25">
      <c r="Q4645" t="s">
        <v>5577</v>
      </c>
      <c r="R4645" t="s">
        <v>4214</v>
      </c>
    </row>
    <row r="4646" spans="17:18" ht="15" customHeight="1" x14ac:dyDescent="0.25">
      <c r="Q4646" t="s">
        <v>5578</v>
      </c>
      <c r="R4646" t="s">
        <v>4214</v>
      </c>
    </row>
    <row r="4647" spans="17:18" ht="15" customHeight="1" x14ac:dyDescent="0.25">
      <c r="Q4647" t="s">
        <v>5579</v>
      </c>
      <c r="R4647" t="s">
        <v>4214</v>
      </c>
    </row>
    <row r="4648" spans="17:18" ht="15" customHeight="1" x14ac:dyDescent="0.25">
      <c r="Q4648" t="s">
        <v>5580</v>
      </c>
      <c r="R4648" t="s">
        <v>4214</v>
      </c>
    </row>
    <row r="4649" spans="17:18" ht="15" customHeight="1" x14ac:dyDescent="0.25">
      <c r="Q4649" t="s">
        <v>5581</v>
      </c>
      <c r="R4649" t="s">
        <v>4214</v>
      </c>
    </row>
    <row r="4650" spans="17:18" ht="15" customHeight="1" x14ac:dyDescent="0.25">
      <c r="Q4650" t="s">
        <v>5582</v>
      </c>
      <c r="R4650" t="s">
        <v>4214</v>
      </c>
    </row>
    <row r="4651" spans="17:18" ht="15" customHeight="1" x14ac:dyDescent="0.25">
      <c r="Q4651" t="s">
        <v>5583</v>
      </c>
      <c r="R4651" t="s">
        <v>4214</v>
      </c>
    </row>
    <row r="4652" spans="17:18" ht="15" customHeight="1" x14ac:dyDescent="0.25">
      <c r="Q4652" t="s">
        <v>5584</v>
      </c>
      <c r="R4652" t="s">
        <v>4214</v>
      </c>
    </row>
    <row r="4653" spans="17:18" ht="15" customHeight="1" x14ac:dyDescent="0.25">
      <c r="Q4653" t="s">
        <v>5585</v>
      </c>
      <c r="R4653" t="s">
        <v>4214</v>
      </c>
    </row>
    <row r="4654" spans="17:18" ht="15" customHeight="1" x14ac:dyDescent="0.25">
      <c r="Q4654" t="s">
        <v>5586</v>
      </c>
      <c r="R4654" t="s">
        <v>4214</v>
      </c>
    </row>
    <row r="4655" spans="17:18" ht="15" customHeight="1" x14ac:dyDescent="0.25">
      <c r="Q4655" t="s">
        <v>5587</v>
      </c>
      <c r="R4655" t="s">
        <v>4214</v>
      </c>
    </row>
    <row r="4656" spans="17:18" ht="15" customHeight="1" x14ac:dyDescent="0.25">
      <c r="Q4656" t="s">
        <v>5588</v>
      </c>
      <c r="R4656" t="s">
        <v>4214</v>
      </c>
    </row>
    <row r="4657" spans="17:18" ht="15" customHeight="1" x14ac:dyDescent="0.25">
      <c r="Q4657" t="s">
        <v>5589</v>
      </c>
      <c r="R4657" t="s">
        <v>4214</v>
      </c>
    </row>
    <row r="4658" spans="17:18" ht="15" customHeight="1" x14ac:dyDescent="0.25">
      <c r="Q4658" t="s">
        <v>5590</v>
      </c>
      <c r="R4658" t="s">
        <v>4214</v>
      </c>
    </row>
    <row r="4659" spans="17:18" ht="15" customHeight="1" x14ac:dyDescent="0.25">
      <c r="Q4659" t="s">
        <v>5591</v>
      </c>
      <c r="R4659" t="s">
        <v>4214</v>
      </c>
    </row>
    <row r="4660" spans="17:18" ht="15" customHeight="1" x14ac:dyDescent="0.25">
      <c r="Q4660" t="s">
        <v>5592</v>
      </c>
      <c r="R4660" t="s">
        <v>4214</v>
      </c>
    </row>
    <row r="4661" spans="17:18" ht="15" customHeight="1" x14ac:dyDescent="0.25">
      <c r="Q4661" t="s">
        <v>5593</v>
      </c>
      <c r="R4661" t="s">
        <v>4214</v>
      </c>
    </row>
    <row r="4662" spans="17:18" ht="15" customHeight="1" x14ac:dyDescent="0.25">
      <c r="Q4662" t="s">
        <v>5594</v>
      </c>
      <c r="R4662" t="s">
        <v>4214</v>
      </c>
    </row>
    <row r="4663" spans="17:18" ht="15" customHeight="1" x14ac:dyDescent="0.25">
      <c r="Q4663" t="s">
        <v>5595</v>
      </c>
      <c r="R4663" t="s">
        <v>4214</v>
      </c>
    </row>
    <row r="4664" spans="17:18" ht="15" customHeight="1" x14ac:dyDescent="0.25">
      <c r="Q4664" t="s">
        <v>5596</v>
      </c>
      <c r="R4664" t="s">
        <v>4214</v>
      </c>
    </row>
    <row r="4665" spans="17:18" ht="15" customHeight="1" x14ac:dyDescent="0.25">
      <c r="Q4665" t="s">
        <v>5597</v>
      </c>
      <c r="R4665" t="s">
        <v>4214</v>
      </c>
    </row>
    <row r="4666" spans="17:18" ht="15" customHeight="1" x14ac:dyDescent="0.25">
      <c r="Q4666" t="s">
        <v>5598</v>
      </c>
      <c r="R4666" t="s">
        <v>4214</v>
      </c>
    </row>
    <row r="4667" spans="17:18" ht="15" customHeight="1" x14ac:dyDescent="0.25">
      <c r="Q4667" t="s">
        <v>5599</v>
      </c>
      <c r="R4667" t="s">
        <v>4214</v>
      </c>
    </row>
    <row r="4668" spans="17:18" ht="15" customHeight="1" x14ac:dyDescent="0.25">
      <c r="Q4668" t="s">
        <v>5600</v>
      </c>
      <c r="R4668" t="s">
        <v>4214</v>
      </c>
    </row>
    <row r="4669" spans="17:18" ht="15" customHeight="1" x14ac:dyDescent="0.25">
      <c r="Q4669" t="s">
        <v>5601</v>
      </c>
      <c r="R4669" t="s">
        <v>4214</v>
      </c>
    </row>
    <row r="4670" spans="17:18" ht="15" customHeight="1" x14ac:dyDescent="0.25">
      <c r="Q4670" t="s">
        <v>5602</v>
      </c>
      <c r="R4670" t="s">
        <v>4214</v>
      </c>
    </row>
    <row r="4671" spans="17:18" ht="15" customHeight="1" x14ac:dyDescent="0.25">
      <c r="Q4671" t="s">
        <v>5603</v>
      </c>
      <c r="R4671" t="s">
        <v>4214</v>
      </c>
    </row>
    <row r="4672" spans="17:18" ht="15" customHeight="1" x14ac:dyDescent="0.25">
      <c r="Q4672" t="s">
        <v>5604</v>
      </c>
      <c r="R4672" t="s">
        <v>4214</v>
      </c>
    </row>
    <row r="4673" spans="17:18" ht="15" customHeight="1" x14ac:dyDescent="0.25">
      <c r="Q4673" t="s">
        <v>5605</v>
      </c>
      <c r="R4673" t="s">
        <v>4214</v>
      </c>
    </row>
    <row r="4674" spans="17:18" ht="15" customHeight="1" x14ac:dyDescent="0.25">
      <c r="Q4674" t="s">
        <v>5606</v>
      </c>
      <c r="R4674" t="s">
        <v>4214</v>
      </c>
    </row>
    <row r="4675" spans="17:18" ht="15" customHeight="1" x14ac:dyDescent="0.25">
      <c r="Q4675" t="s">
        <v>5607</v>
      </c>
      <c r="R4675" t="s">
        <v>4214</v>
      </c>
    </row>
    <row r="4676" spans="17:18" ht="15" customHeight="1" x14ac:dyDescent="0.25">
      <c r="Q4676" t="s">
        <v>5608</v>
      </c>
      <c r="R4676" t="s">
        <v>4214</v>
      </c>
    </row>
    <row r="4677" spans="17:18" ht="15" customHeight="1" x14ac:dyDescent="0.25">
      <c r="Q4677" t="s">
        <v>5609</v>
      </c>
      <c r="R4677" t="s">
        <v>4214</v>
      </c>
    </row>
    <row r="4678" spans="17:18" ht="15" customHeight="1" x14ac:dyDescent="0.25">
      <c r="Q4678" t="s">
        <v>5610</v>
      </c>
      <c r="R4678" t="s">
        <v>313</v>
      </c>
    </row>
    <row r="4679" spans="17:18" ht="15" customHeight="1" x14ac:dyDescent="0.25">
      <c r="Q4679" t="s">
        <v>5611</v>
      </c>
      <c r="R4679" t="s">
        <v>2731</v>
      </c>
    </row>
    <row r="4680" spans="17:18" ht="15" customHeight="1" x14ac:dyDescent="0.25">
      <c r="Q4680" t="s">
        <v>5612</v>
      </c>
      <c r="R4680" t="s">
        <v>2731</v>
      </c>
    </row>
    <row r="4681" spans="17:18" ht="15" customHeight="1" x14ac:dyDescent="0.25">
      <c r="Q4681" t="s">
        <v>5613</v>
      </c>
      <c r="R4681" t="s">
        <v>2731</v>
      </c>
    </row>
    <row r="4682" spans="17:18" ht="15" customHeight="1" x14ac:dyDescent="0.25">
      <c r="Q4682" t="s">
        <v>5614</v>
      </c>
      <c r="R4682" t="s">
        <v>2731</v>
      </c>
    </row>
    <row r="4683" spans="17:18" ht="15" customHeight="1" x14ac:dyDescent="0.25">
      <c r="Q4683" t="s">
        <v>5615</v>
      </c>
      <c r="R4683" t="s">
        <v>2731</v>
      </c>
    </row>
    <row r="4684" spans="17:18" ht="15" customHeight="1" x14ac:dyDescent="0.25">
      <c r="Q4684" t="s">
        <v>5616</v>
      </c>
      <c r="R4684" t="s">
        <v>2731</v>
      </c>
    </row>
    <row r="4685" spans="17:18" ht="15" customHeight="1" x14ac:dyDescent="0.25">
      <c r="Q4685" t="s">
        <v>5617</v>
      </c>
      <c r="R4685" t="s">
        <v>2236</v>
      </c>
    </row>
    <row r="4686" spans="17:18" ht="15" customHeight="1" x14ac:dyDescent="0.25">
      <c r="Q4686" t="s">
        <v>5618</v>
      </c>
      <c r="R4686" t="s">
        <v>2731</v>
      </c>
    </row>
    <row r="4687" spans="17:18" ht="15" customHeight="1" x14ac:dyDescent="0.25">
      <c r="Q4687" t="s">
        <v>5619</v>
      </c>
      <c r="R4687" t="s">
        <v>2731</v>
      </c>
    </row>
    <row r="4688" spans="17:18" ht="15" customHeight="1" x14ac:dyDescent="0.25">
      <c r="Q4688" t="s">
        <v>5620</v>
      </c>
      <c r="R4688" t="s">
        <v>4214</v>
      </c>
    </row>
    <row r="4689" spans="17:18" ht="15" customHeight="1" x14ac:dyDescent="0.25">
      <c r="Q4689" t="s">
        <v>5621</v>
      </c>
      <c r="R4689" t="s">
        <v>4214</v>
      </c>
    </row>
    <row r="4690" spans="17:18" ht="15" customHeight="1" x14ac:dyDescent="0.25">
      <c r="Q4690" t="s">
        <v>5622</v>
      </c>
      <c r="R4690" t="s">
        <v>4214</v>
      </c>
    </row>
    <row r="4691" spans="17:18" ht="15" customHeight="1" x14ac:dyDescent="0.25">
      <c r="Q4691" t="s">
        <v>5623</v>
      </c>
      <c r="R4691" t="s">
        <v>4214</v>
      </c>
    </row>
    <row r="4692" spans="17:18" ht="15" customHeight="1" x14ac:dyDescent="0.25">
      <c r="Q4692" t="s">
        <v>5624</v>
      </c>
      <c r="R4692" t="s">
        <v>4214</v>
      </c>
    </row>
    <row r="4693" spans="17:18" ht="15" customHeight="1" x14ac:dyDescent="0.25">
      <c r="Q4693" t="s">
        <v>5625</v>
      </c>
      <c r="R4693" t="s">
        <v>4214</v>
      </c>
    </row>
    <row r="4694" spans="17:18" ht="15" customHeight="1" x14ac:dyDescent="0.25">
      <c r="Q4694" t="s">
        <v>5626</v>
      </c>
      <c r="R4694" t="s">
        <v>4214</v>
      </c>
    </row>
    <row r="4695" spans="17:18" ht="15" customHeight="1" x14ac:dyDescent="0.25">
      <c r="Q4695" t="s">
        <v>5627</v>
      </c>
      <c r="R4695" t="s">
        <v>4214</v>
      </c>
    </row>
    <row r="4696" spans="17:18" ht="15" customHeight="1" x14ac:dyDescent="0.25">
      <c r="Q4696" t="s">
        <v>5628</v>
      </c>
      <c r="R4696" t="s">
        <v>4214</v>
      </c>
    </row>
    <row r="4697" spans="17:18" ht="15" customHeight="1" x14ac:dyDescent="0.25">
      <c r="Q4697" t="s">
        <v>5629</v>
      </c>
      <c r="R4697" t="s">
        <v>4214</v>
      </c>
    </row>
    <row r="4698" spans="17:18" ht="15" customHeight="1" x14ac:dyDescent="0.25">
      <c r="Q4698" t="s">
        <v>5630</v>
      </c>
      <c r="R4698" t="s">
        <v>4214</v>
      </c>
    </row>
    <row r="4699" spans="17:18" ht="15" customHeight="1" x14ac:dyDescent="0.25">
      <c r="Q4699" t="s">
        <v>5631</v>
      </c>
      <c r="R4699" t="s">
        <v>4214</v>
      </c>
    </row>
    <row r="4700" spans="17:18" ht="15" customHeight="1" x14ac:dyDescent="0.25">
      <c r="Q4700" t="s">
        <v>5632</v>
      </c>
      <c r="R4700" t="s">
        <v>4214</v>
      </c>
    </row>
    <row r="4701" spans="17:18" ht="15" customHeight="1" x14ac:dyDescent="0.25">
      <c r="Q4701" t="s">
        <v>5633</v>
      </c>
      <c r="R4701" t="s">
        <v>4214</v>
      </c>
    </row>
    <row r="4702" spans="17:18" ht="15" customHeight="1" x14ac:dyDescent="0.25">
      <c r="Q4702" t="s">
        <v>5634</v>
      </c>
      <c r="R4702" t="s">
        <v>4214</v>
      </c>
    </row>
    <row r="4703" spans="17:18" ht="15" customHeight="1" x14ac:dyDescent="0.25">
      <c r="Q4703" t="s">
        <v>5635</v>
      </c>
      <c r="R4703" t="s">
        <v>4214</v>
      </c>
    </row>
    <row r="4704" spans="17:18" ht="15" customHeight="1" x14ac:dyDescent="0.25">
      <c r="Q4704" t="s">
        <v>5636</v>
      </c>
      <c r="R4704" t="s">
        <v>4214</v>
      </c>
    </row>
    <row r="4705" spans="17:18" ht="15" customHeight="1" x14ac:dyDescent="0.25">
      <c r="Q4705" t="s">
        <v>5637</v>
      </c>
      <c r="R4705" t="s">
        <v>4214</v>
      </c>
    </row>
    <row r="4706" spans="17:18" ht="15" customHeight="1" x14ac:dyDescent="0.25">
      <c r="Q4706" t="s">
        <v>5638</v>
      </c>
      <c r="R4706" t="s">
        <v>4214</v>
      </c>
    </row>
    <row r="4707" spans="17:18" ht="15" customHeight="1" x14ac:dyDescent="0.25">
      <c r="Q4707" t="s">
        <v>5639</v>
      </c>
      <c r="R4707" t="s">
        <v>4214</v>
      </c>
    </row>
    <row r="4708" spans="17:18" ht="15" customHeight="1" x14ac:dyDescent="0.25">
      <c r="Q4708" t="s">
        <v>5640</v>
      </c>
      <c r="R4708" t="s">
        <v>4214</v>
      </c>
    </row>
    <row r="4709" spans="17:18" ht="15" customHeight="1" x14ac:dyDescent="0.25">
      <c r="Q4709" t="s">
        <v>5641</v>
      </c>
      <c r="R4709" t="s">
        <v>4214</v>
      </c>
    </row>
    <row r="4710" spans="17:18" ht="15" customHeight="1" x14ac:dyDescent="0.25">
      <c r="Q4710" t="s">
        <v>5642</v>
      </c>
      <c r="R4710" t="s">
        <v>4214</v>
      </c>
    </row>
    <row r="4711" spans="17:18" ht="15" customHeight="1" x14ac:dyDescent="0.25">
      <c r="Q4711" t="s">
        <v>5643</v>
      </c>
      <c r="R4711" t="s">
        <v>4214</v>
      </c>
    </row>
    <row r="4712" spans="17:18" ht="15" customHeight="1" x14ac:dyDescent="0.25">
      <c r="Q4712" t="s">
        <v>5644</v>
      </c>
      <c r="R4712" t="s">
        <v>4214</v>
      </c>
    </row>
    <row r="4713" spans="17:18" ht="15" customHeight="1" x14ac:dyDescent="0.25">
      <c r="Q4713" t="s">
        <v>5645</v>
      </c>
      <c r="R4713" t="s">
        <v>4214</v>
      </c>
    </row>
    <row r="4714" spans="17:18" ht="15" customHeight="1" x14ac:dyDescent="0.25">
      <c r="Q4714" t="s">
        <v>5646</v>
      </c>
      <c r="R4714" t="s">
        <v>4214</v>
      </c>
    </row>
    <row r="4715" spans="17:18" ht="15" customHeight="1" x14ac:dyDescent="0.25">
      <c r="Q4715" t="s">
        <v>5647</v>
      </c>
      <c r="R4715" t="s">
        <v>4214</v>
      </c>
    </row>
    <row r="4716" spans="17:18" ht="15" customHeight="1" x14ac:dyDescent="0.25">
      <c r="Q4716" t="s">
        <v>5648</v>
      </c>
      <c r="R4716" t="s">
        <v>4214</v>
      </c>
    </row>
    <row r="4717" spans="17:18" ht="15" customHeight="1" x14ac:dyDescent="0.25">
      <c r="Q4717" t="s">
        <v>5649</v>
      </c>
      <c r="R4717" t="s">
        <v>4214</v>
      </c>
    </row>
    <row r="4718" spans="17:18" ht="15" customHeight="1" x14ac:dyDescent="0.25">
      <c r="Q4718" t="s">
        <v>5650</v>
      </c>
      <c r="R4718" t="s">
        <v>4214</v>
      </c>
    </row>
    <row r="4719" spans="17:18" ht="15" customHeight="1" x14ac:dyDescent="0.25">
      <c r="Q4719" t="s">
        <v>5651</v>
      </c>
      <c r="R4719" t="s">
        <v>4214</v>
      </c>
    </row>
    <row r="4720" spans="17:18" ht="15" customHeight="1" x14ac:dyDescent="0.25">
      <c r="Q4720" t="s">
        <v>5652</v>
      </c>
      <c r="R4720" t="s">
        <v>4214</v>
      </c>
    </row>
    <row r="4721" spans="17:18" ht="15" customHeight="1" x14ac:dyDescent="0.25">
      <c r="Q4721" t="s">
        <v>5653</v>
      </c>
      <c r="R4721" t="s">
        <v>4214</v>
      </c>
    </row>
    <row r="4722" spans="17:18" ht="15" customHeight="1" x14ac:dyDescent="0.25">
      <c r="Q4722" t="s">
        <v>5654</v>
      </c>
      <c r="R4722" t="s">
        <v>4214</v>
      </c>
    </row>
    <row r="4723" spans="17:18" ht="15" customHeight="1" x14ac:dyDescent="0.25">
      <c r="Q4723" t="s">
        <v>5655</v>
      </c>
      <c r="R4723" t="s">
        <v>4214</v>
      </c>
    </row>
    <row r="4724" spans="17:18" ht="15" customHeight="1" x14ac:dyDescent="0.25">
      <c r="Q4724" t="s">
        <v>5656</v>
      </c>
      <c r="R4724" t="s">
        <v>5213</v>
      </c>
    </row>
    <row r="4725" spans="17:18" ht="15" customHeight="1" x14ac:dyDescent="0.25">
      <c r="Q4725" t="s">
        <v>5657</v>
      </c>
      <c r="R4725" t="s">
        <v>2236</v>
      </c>
    </row>
    <row r="4726" spans="17:18" ht="15" customHeight="1" x14ac:dyDescent="0.25">
      <c r="Q4726" t="s">
        <v>5658</v>
      </c>
      <c r="R4726" t="s">
        <v>2236</v>
      </c>
    </row>
    <row r="4727" spans="17:18" ht="15" customHeight="1" x14ac:dyDescent="0.25">
      <c r="Q4727" t="s">
        <v>5659</v>
      </c>
      <c r="R4727" t="s">
        <v>2236</v>
      </c>
    </row>
    <row r="4728" spans="17:18" ht="15" customHeight="1" x14ac:dyDescent="0.25">
      <c r="Q4728" t="s">
        <v>5660</v>
      </c>
      <c r="R4728" t="s">
        <v>5213</v>
      </c>
    </row>
    <row r="4729" spans="17:18" ht="15" customHeight="1" x14ac:dyDescent="0.25">
      <c r="Q4729" t="s">
        <v>5661</v>
      </c>
      <c r="R4729" t="s">
        <v>2236</v>
      </c>
    </row>
    <row r="4730" spans="17:18" ht="15" customHeight="1" x14ac:dyDescent="0.25">
      <c r="Q4730" t="s">
        <v>5662</v>
      </c>
      <c r="R4730" t="s">
        <v>2236</v>
      </c>
    </row>
    <row r="4731" spans="17:18" ht="15" customHeight="1" x14ac:dyDescent="0.25">
      <c r="Q4731" t="s">
        <v>5663</v>
      </c>
      <c r="R4731" t="s">
        <v>2236</v>
      </c>
    </row>
    <row r="4732" spans="17:18" ht="15" customHeight="1" x14ac:dyDescent="0.25">
      <c r="Q4732" t="s">
        <v>5664</v>
      </c>
      <c r="R4732" t="s">
        <v>4214</v>
      </c>
    </row>
    <row r="4733" spans="17:18" ht="15" customHeight="1" x14ac:dyDescent="0.25">
      <c r="Q4733" t="s">
        <v>5665</v>
      </c>
      <c r="R4733" t="s">
        <v>4214</v>
      </c>
    </row>
    <row r="4734" spans="17:18" ht="15" customHeight="1" x14ac:dyDescent="0.25">
      <c r="Q4734" t="s">
        <v>5666</v>
      </c>
      <c r="R4734" t="s">
        <v>4214</v>
      </c>
    </row>
    <row r="4735" spans="17:18" ht="15" customHeight="1" x14ac:dyDescent="0.25">
      <c r="Q4735" t="s">
        <v>5667</v>
      </c>
      <c r="R4735" t="s">
        <v>4214</v>
      </c>
    </row>
    <row r="4736" spans="17:18" ht="15" customHeight="1" x14ac:dyDescent="0.25">
      <c r="Q4736" t="s">
        <v>5668</v>
      </c>
      <c r="R4736" t="s">
        <v>4214</v>
      </c>
    </row>
    <row r="4737" spans="17:18" ht="15" customHeight="1" x14ac:dyDescent="0.25">
      <c r="Q4737" t="s">
        <v>5669</v>
      </c>
      <c r="R4737" t="s">
        <v>4214</v>
      </c>
    </row>
    <row r="4738" spans="17:18" ht="15" customHeight="1" x14ac:dyDescent="0.25">
      <c r="Q4738" t="s">
        <v>5670</v>
      </c>
      <c r="R4738" t="s">
        <v>4214</v>
      </c>
    </row>
    <row r="4739" spans="17:18" ht="15" customHeight="1" x14ac:dyDescent="0.25">
      <c r="Q4739" t="s">
        <v>5671</v>
      </c>
      <c r="R4739" t="s">
        <v>4214</v>
      </c>
    </row>
    <row r="4740" spans="17:18" ht="15" customHeight="1" x14ac:dyDescent="0.25">
      <c r="Q4740" t="s">
        <v>5672</v>
      </c>
      <c r="R4740" t="s">
        <v>4214</v>
      </c>
    </row>
    <row r="4741" spans="17:18" ht="15" customHeight="1" x14ac:dyDescent="0.25">
      <c r="Q4741" t="s">
        <v>5673</v>
      </c>
      <c r="R4741" t="s">
        <v>4214</v>
      </c>
    </row>
    <row r="4742" spans="17:18" ht="15" customHeight="1" x14ac:dyDescent="0.25">
      <c r="Q4742" t="s">
        <v>5674</v>
      </c>
      <c r="R4742" t="s">
        <v>4214</v>
      </c>
    </row>
    <row r="4743" spans="17:18" ht="15" customHeight="1" x14ac:dyDescent="0.25">
      <c r="Q4743" t="s">
        <v>5675</v>
      </c>
      <c r="R4743" t="s">
        <v>4214</v>
      </c>
    </row>
    <row r="4744" spans="17:18" ht="15" customHeight="1" x14ac:dyDescent="0.25">
      <c r="Q4744" t="s">
        <v>5676</v>
      </c>
      <c r="R4744" t="s">
        <v>4214</v>
      </c>
    </row>
    <row r="4745" spans="17:18" ht="15" customHeight="1" x14ac:dyDescent="0.25">
      <c r="Q4745" t="s">
        <v>5677</v>
      </c>
      <c r="R4745" t="s">
        <v>4214</v>
      </c>
    </row>
    <row r="4746" spans="17:18" ht="15" customHeight="1" x14ac:dyDescent="0.25">
      <c r="Q4746" t="s">
        <v>5678</v>
      </c>
      <c r="R4746" t="s">
        <v>4214</v>
      </c>
    </row>
    <row r="4747" spans="17:18" ht="15" customHeight="1" x14ac:dyDescent="0.25">
      <c r="Q4747" t="s">
        <v>5679</v>
      </c>
      <c r="R4747" t="s">
        <v>4214</v>
      </c>
    </row>
    <row r="4748" spans="17:18" ht="15" customHeight="1" x14ac:dyDescent="0.25">
      <c r="Q4748" t="s">
        <v>5680</v>
      </c>
      <c r="R4748" t="s">
        <v>4214</v>
      </c>
    </row>
    <row r="4749" spans="17:18" ht="15" customHeight="1" x14ac:dyDescent="0.25">
      <c r="Q4749" t="s">
        <v>5681</v>
      </c>
      <c r="R4749" t="s">
        <v>4214</v>
      </c>
    </row>
    <row r="4750" spans="17:18" ht="15" customHeight="1" x14ac:dyDescent="0.25">
      <c r="Q4750" t="s">
        <v>5682</v>
      </c>
      <c r="R4750" t="s">
        <v>4214</v>
      </c>
    </row>
    <row r="4751" spans="17:18" ht="15" customHeight="1" x14ac:dyDescent="0.25">
      <c r="Q4751" t="s">
        <v>5683</v>
      </c>
      <c r="R4751" t="s">
        <v>4214</v>
      </c>
    </row>
    <row r="4752" spans="17:18" ht="15" customHeight="1" x14ac:dyDescent="0.25">
      <c r="Q4752" t="s">
        <v>5684</v>
      </c>
      <c r="R4752" t="s">
        <v>4214</v>
      </c>
    </row>
    <row r="4753" spans="17:18" ht="15" customHeight="1" x14ac:dyDescent="0.25">
      <c r="Q4753" t="s">
        <v>5685</v>
      </c>
      <c r="R4753" t="s">
        <v>4214</v>
      </c>
    </row>
    <row r="4754" spans="17:18" ht="15" customHeight="1" x14ac:dyDescent="0.25">
      <c r="Q4754" t="s">
        <v>5686</v>
      </c>
      <c r="R4754" t="s">
        <v>4214</v>
      </c>
    </row>
    <row r="4755" spans="17:18" ht="15" customHeight="1" x14ac:dyDescent="0.25">
      <c r="Q4755" t="s">
        <v>5687</v>
      </c>
      <c r="R4755" t="s">
        <v>4214</v>
      </c>
    </row>
    <row r="4756" spans="17:18" ht="15" customHeight="1" x14ac:dyDescent="0.25">
      <c r="Q4756" t="s">
        <v>5688</v>
      </c>
      <c r="R4756" t="s">
        <v>4214</v>
      </c>
    </row>
    <row r="4757" spans="17:18" ht="15" customHeight="1" x14ac:dyDescent="0.25">
      <c r="Q4757" t="s">
        <v>5689</v>
      </c>
      <c r="R4757" t="s">
        <v>4214</v>
      </c>
    </row>
    <row r="4758" spans="17:18" ht="15" customHeight="1" x14ac:dyDescent="0.25">
      <c r="Q4758" t="s">
        <v>5690</v>
      </c>
      <c r="R4758" t="s">
        <v>4214</v>
      </c>
    </row>
    <row r="4759" spans="17:18" ht="15" customHeight="1" x14ac:dyDescent="0.25">
      <c r="Q4759" t="s">
        <v>5691</v>
      </c>
      <c r="R4759" t="s">
        <v>4214</v>
      </c>
    </row>
    <row r="4760" spans="17:18" ht="15" customHeight="1" x14ac:dyDescent="0.25">
      <c r="Q4760" t="s">
        <v>5692</v>
      </c>
      <c r="R4760" t="s">
        <v>2236</v>
      </c>
    </row>
    <row r="4761" spans="17:18" ht="15" customHeight="1" x14ac:dyDescent="0.25">
      <c r="Q4761" t="s">
        <v>5693</v>
      </c>
      <c r="R4761" t="s">
        <v>2236</v>
      </c>
    </row>
    <row r="4762" spans="17:18" ht="15" customHeight="1" x14ac:dyDescent="0.25">
      <c r="Q4762" t="s">
        <v>5694</v>
      </c>
      <c r="R4762" t="s">
        <v>2236</v>
      </c>
    </row>
    <row r="4763" spans="17:18" ht="15" customHeight="1" x14ac:dyDescent="0.25">
      <c r="Q4763" t="s">
        <v>5695</v>
      </c>
      <c r="R4763" t="s">
        <v>2236</v>
      </c>
    </row>
    <row r="4764" spans="17:18" ht="15" customHeight="1" x14ac:dyDescent="0.25">
      <c r="Q4764" t="s">
        <v>5696</v>
      </c>
      <c r="R4764" t="s">
        <v>2236</v>
      </c>
    </row>
    <row r="4765" spans="17:18" ht="15" customHeight="1" x14ac:dyDescent="0.25">
      <c r="Q4765" t="s">
        <v>5697</v>
      </c>
      <c r="R4765" t="s">
        <v>2236</v>
      </c>
    </row>
    <row r="4766" spans="17:18" ht="15" customHeight="1" x14ac:dyDescent="0.25">
      <c r="Q4766" t="s">
        <v>5698</v>
      </c>
      <c r="R4766" t="s">
        <v>2236</v>
      </c>
    </row>
    <row r="4767" spans="17:18" ht="15" customHeight="1" x14ac:dyDescent="0.25">
      <c r="Q4767" t="s">
        <v>5699</v>
      </c>
      <c r="R4767" t="s">
        <v>2236</v>
      </c>
    </row>
    <row r="4768" spans="17:18" ht="15" customHeight="1" x14ac:dyDescent="0.25">
      <c r="Q4768" t="s">
        <v>5700</v>
      </c>
      <c r="R4768" t="s">
        <v>2236</v>
      </c>
    </row>
    <row r="4769" spans="17:18" ht="15" customHeight="1" x14ac:dyDescent="0.25">
      <c r="Q4769" t="s">
        <v>5701</v>
      </c>
      <c r="R4769" t="s">
        <v>2236</v>
      </c>
    </row>
    <row r="4770" spans="17:18" ht="15" customHeight="1" x14ac:dyDescent="0.25">
      <c r="Q4770" t="s">
        <v>5702</v>
      </c>
      <c r="R4770" t="s">
        <v>2236</v>
      </c>
    </row>
    <row r="4771" spans="17:18" ht="15" customHeight="1" x14ac:dyDescent="0.25">
      <c r="Q4771" t="s">
        <v>5703</v>
      </c>
      <c r="R4771" t="s">
        <v>2236</v>
      </c>
    </row>
    <row r="4772" spans="17:18" ht="15" customHeight="1" x14ac:dyDescent="0.25">
      <c r="Q4772" t="s">
        <v>5704</v>
      </c>
      <c r="R4772" t="s">
        <v>2236</v>
      </c>
    </row>
    <row r="4773" spans="17:18" ht="15" customHeight="1" x14ac:dyDescent="0.25">
      <c r="Q4773" t="s">
        <v>5705</v>
      </c>
      <c r="R4773" t="s">
        <v>2236</v>
      </c>
    </row>
    <row r="4774" spans="17:18" ht="15" customHeight="1" x14ac:dyDescent="0.25">
      <c r="Q4774" t="s">
        <v>5706</v>
      </c>
      <c r="R4774" t="s">
        <v>2236</v>
      </c>
    </row>
    <row r="4775" spans="17:18" ht="15" customHeight="1" x14ac:dyDescent="0.25">
      <c r="Q4775" t="s">
        <v>5707</v>
      </c>
      <c r="R4775" t="s">
        <v>2236</v>
      </c>
    </row>
    <row r="4776" spans="17:18" ht="15" customHeight="1" x14ac:dyDescent="0.25">
      <c r="Q4776" t="s">
        <v>5708</v>
      </c>
      <c r="R4776" t="s">
        <v>2236</v>
      </c>
    </row>
    <row r="4777" spans="17:18" ht="15" customHeight="1" x14ac:dyDescent="0.25">
      <c r="Q4777" t="s">
        <v>5709</v>
      </c>
      <c r="R4777" t="s">
        <v>2236</v>
      </c>
    </row>
    <row r="4778" spans="17:18" ht="15" customHeight="1" x14ac:dyDescent="0.25">
      <c r="Q4778" t="s">
        <v>5710</v>
      </c>
      <c r="R4778" t="s">
        <v>2236</v>
      </c>
    </row>
    <row r="4779" spans="17:18" ht="15" customHeight="1" x14ac:dyDescent="0.25">
      <c r="Q4779" t="s">
        <v>5711</v>
      </c>
      <c r="R4779" t="s">
        <v>2236</v>
      </c>
    </row>
    <row r="4780" spans="17:18" ht="15" customHeight="1" x14ac:dyDescent="0.25">
      <c r="Q4780" t="s">
        <v>5712</v>
      </c>
      <c r="R4780" t="s">
        <v>2236</v>
      </c>
    </row>
    <row r="4781" spans="17:18" ht="15" customHeight="1" x14ac:dyDescent="0.25">
      <c r="Q4781" t="s">
        <v>5713</v>
      </c>
      <c r="R4781" t="s">
        <v>2236</v>
      </c>
    </row>
    <row r="4782" spans="17:18" ht="15" customHeight="1" x14ac:dyDescent="0.25">
      <c r="Q4782" t="s">
        <v>5714</v>
      </c>
      <c r="R4782" t="s">
        <v>2236</v>
      </c>
    </row>
    <row r="4783" spans="17:18" ht="15" customHeight="1" x14ac:dyDescent="0.25">
      <c r="Q4783" t="s">
        <v>5715</v>
      </c>
      <c r="R4783" t="s">
        <v>2236</v>
      </c>
    </row>
    <row r="4784" spans="17:18" ht="15" customHeight="1" x14ac:dyDescent="0.25">
      <c r="Q4784" t="s">
        <v>5716</v>
      </c>
      <c r="R4784" t="s">
        <v>2236</v>
      </c>
    </row>
    <row r="4785" spans="17:18" ht="15" customHeight="1" x14ac:dyDescent="0.25">
      <c r="Q4785" t="s">
        <v>5717</v>
      </c>
      <c r="R4785" t="s">
        <v>2236</v>
      </c>
    </row>
    <row r="4786" spans="17:18" ht="15" customHeight="1" x14ac:dyDescent="0.25">
      <c r="Q4786" t="s">
        <v>5718</v>
      </c>
      <c r="R4786" t="s">
        <v>2236</v>
      </c>
    </row>
    <row r="4787" spans="17:18" ht="15" customHeight="1" x14ac:dyDescent="0.25">
      <c r="Q4787" t="s">
        <v>5719</v>
      </c>
      <c r="R4787" t="s">
        <v>2236</v>
      </c>
    </row>
    <row r="4788" spans="17:18" ht="15" customHeight="1" x14ac:dyDescent="0.25">
      <c r="Q4788" t="s">
        <v>5720</v>
      </c>
      <c r="R4788" t="s">
        <v>2236</v>
      </c>
    </row>
    <row r="4789" spans="17:18" ht="15" customHeight="1" x14ac:dyDescent="0.25">
      <c r="Q4789" t="s">
        <v>5721</v>
      </c>
      <c r="R4789" t="s">
        <v>2236</v>
      </c>
    </row>
    <row r="4790" spans="17:18" ht="15" customHeight="1" x14ac:dyDescent="0.25">
      <c r="Q4790" t="s">
        <v>5722</v>
      </c>
      <c r="R4790" t="s">
        <v>2236</v>
      </c>
    </row>
    <row r="4791" spans="17:18" ht="15" customHeight="1" x14ac:dyDescent="0.25">
      <c r="Q4791" t="s">
        <v>5723</v>
      </c>
      <c r="R4791" t="s">
        <v>2236</v>
      </c>
    </row>
    <row r="4792" spans="17:18" ht="15" customHeight="1" x14ac:dyDescent="0.25">
      <c r="Q4792" t="s">
        <v>5724</v>
      </c>
      <c r="R4792" t="s">
        <v>2236</v>
      </c>
    </row>
    <row r="4793" spans="17:18" ht="15" customHeight="1" x14ac:dyDescent="0.25">
      <c r="Q4793" t="s">
        <v>5725</v>
      </c>
      <c r="R4793" t="s">
        <v>2236</v>
      </c>
    </row>
    <row r="4794" spans="17:18" ht="15" customHeight="1" x14ac:dyDescent="0.25">
      <c r="Q4794" t="s">
        <v>5726</v>
      </c>
      <c r="R4794" t="s">
        <v>2236</v>
      </c>
    </row>
    <row r="4795" spans="17:18" ht="15" customHeight="1" x14ac:dyDescent="0.25">
      <c r="Q4795" t="s">
        <v>5727</v>
      </c>
      <c r="R4795" t="s">
        <v>2236</v>
      </c>
    </row>
    <row r="4796" spans="17:18" ht="15" customHeight="1" x14ac:dyDescent="0.25">
      <c r="Q4796" t="s">
        <v>5728</v>
      </c>
      <c r="R4796" t="s">
        <v>2236</v>
      </c>
    </row>
    <row r="4797" spans="17:18" ht="15" customHeight="1" x14ac:dyDescent="0.25">
      <c r="Q4797" t="s">
        <v>5729</v>
      </c>
      <c r="R4797" t="s">
        <v>2236</v>
      </c>
    </row>
    <row r="4798" spans="17:18" ht="15" customHeight="1" x14ac:dyDescent="0.25">
      <c r="Q4798" t="s">
        <v>5730</v>
      </c>
      <c r="R4798" t="s">
        <v>2236</v>
      </c>
    </row>
    <row r="4799" spans="17:18" ht="15" customHeight="1" x14ac:dyDescent="0.25">
      <c r="Q4799" t="s">
        <v>5731</v>
      </c>
      <c r="R4799" t="s">
        <v>2236</v>
      </c>
    </row>
    <row r="4800" spans="17:18" ht="15" customHeight="1" x14ac:dyDescent="0.25">
      <c r="Q4800" t="s">
        <v>5732</v>
      </c>
      <c r="R4800" t="s">
        <v>2236</v>
      </c>
    </row>
    <row r="4801" spans="17:18" ht="15" customHeight="1" x14ac:dyDescent="0.25">
      <c r="Q4801" t="s">
        <v>5733</v>
      </c>
      <c r="R4801" t="s">
        <v>2236</v>
      </c>
    </row>
    <row r="4802" spans="17:18" ht="15" customHeight="1" x14ac:dyDescent="0.25">
      <c r="Q4802" t="s">
        <v>5734</v>
      </c>
      <c r="R4802" t="s">
        <v>2236</v>
      </c>
    </row>
    <row r="4803" spans="17:18" ht="15" customHeight="1" x14ac:dyDescent="0.25">
      <c r="Q4803" t="s">
        <v>5735</v>
      </c>
      <c r="R4803" t="s">
        <v>2236</v>
      </c>
    </row>
    <row r="4804" spans="17:18" ht="15" customHeight="1" x14ac:dyDescent="0.25">
      <c r="Q4804" t="s">
        <v>5736</v>
      </c>
      <c r="R4804" t="s">
        <v>2236</v>
      </c>
    </row>
    <row r="4805" spans="17:18" ht="15" customHeight="1" x14ac:dyDescent="0.25">
      <c r="Q4805" t="s">
        <v>5737</v>
      </c>
      <c r="R4805" t="s">
        <v>2236</v>
      </c>
    </row>
    <row r="4806" spans="17:18" ht="15" customHeight="1" x14ac:dyDescent="0.25">
      <c r="Q4806" t="s">
        <v>5738</v>
      </c>
      <c r="R4806" t="s">
        <v>2236</v>
      </c>
    </row>
    <row r="4807" spans="17:18" ht="15" customHeight="1" x14ac:dyDescent="0.25">
      <c r="Q4807" t="s">
        <v>5739</v>
      </c>
      <c r="R4807" t="s">
        <v>2236</v>
      </c>
    </row>
    <row r="4808" spans="17:18" ht="15" customHeight="1" x14ac:dyDescent="0.25">
      <c r="Q4808" t="s">
        <v>5740</v>
      </c>
      <c r="R4808" t="s">
        <v>2236</v>
      </c>
    </row>
    <row r="4809" spans="17:18" ht="15" customHeight="1" x14ac:dyDescent="0.25">
      <c r="Q4809" t="s">
        <v>5741</v>
      </c>
      <c r="R4809" t="s">
        <v>2236</v>
      </c>
    </row>
    <row r="4810" spans="17:18" ht="15" customHeight="1" x14ac:dyDescent="0.25">
      <c r="Q4810" t="s">
        <v>5742</v>
      </c>
      <c r="R4810" t="s">
        <v>2236</v>
      </c>
    </row>
    <row r="4811" spans="17:18" ht="15" customHeight="1" x14ac:dyDescent="0.25">
      <c r="Q4811" t="s">
        <v>5743</v>
      </c>
      <c r="R4811" t="s">
        <v>2236</v>
      </c>
    </row>
    <row r="4812" spans="17:18" ht="15" customHeight="1" x14ac:dyDescent="0.25">
      <c r="Q4812" t="s">
        <v>5744</v>
      </c>
      <c r="R4812" t="s">
        <v>2236</v>
      </c>
    </row>
    <row r="4813" spans="17:18" ht="15" customHeight="1" x14ac:dyDescent="0.25">
      <c r="Q4813" t="s">
        <v>5745</v>
      </c>
      <c r="R4813" t="s">
        <v>2236</v>
      </c>
    </row>
    <row r="4814" spans="17:18" ht="15" customHeight="1" x14ac:dyDescent="0.25">
      <c r="Q4814" t="s">
        <v>5746</v>
      </c>
      <c r="R4814" t="s">
        <v>2236</v>
      </c>
    </row>
    <row r="4815" spans="17:18" ht="15" customHeight="1" x14ac:dyDescent="0.25">
      <c r="Q4815" t="s">
        <v>5747</v>
      </c>
      <c r="R4815" t="s">
        <v>2236</v>
      </c>
    </row>
    <row r="4816" spans="17:18" ht="15" customHeight="1" x14ac:dyDescent="0.25">
      <c r="Q4816" t="s">
        <v>5748</v>
      </c>
      <c r="R4816" t="s">
        <v>2236</v>
      </c>
    </row>
    <row r="4817" spans="17:18" ht="15" customHeight="1" x14ac:dyDescent="0.25">
      <c r="Q4817" t="s">
        <v>5749</v>
      </c>
      <c r="R4817" t="s">
        <v>2236</v>
      </c>
    </row>
    <row r="4818" spans="17:18" ht="15" customHeight="1" x14ac:dyDescent="0.25">
      <c r="Q4818" t="s">
        <v>5750</v>
      </c>
      <c r="R4818" t="s">
        <v>2236</v>
      </c>
    </row>
    <row r="4819" spans="17:18" ht="15" customHeight="1" x14ac:dyDescent="0.25">
      <c r="Q4819" t="s">
        <v>5751</v>
      </c>
      <c r="R4819" t="s">
        <v>2236</v>
      </c>
    </row>
    <row r="4820" spans="17:18" ht="15" customHeight="1" x14ac:dyDescent="0.25">
      <c r="Q4820" t="s">
        <v>5752</v>
      </c>
      <c r="R4820" t="s">
        <v>2236</v>
      </c>
    </row>
    <row r="4821" spans="17:18" ht="15" customHeight="1" x14ac:dyDescent="0.25">
      <c r="Q4821" t="s">
        <v>5753</v>
      </c>
      <c r="R4821" t="s">
        <v>2236</v>
      </c>
    </row>
    <row r="4822" spans="17:18" ht="15" customHeight="1" x14ac:dyDescent="0.25">
      <c r="Q4822" t="s">
        <v>5754</v>
      </c>
      <c r="R4822" t="s">
        <v>2236</v>
      </c>
    </row>
    <row r="4823" spans="17:18" ht="15" customHeight="1" x14ac:dyDescent="0.25">
      <c r="Q4823" t="s">
        <v>5755</v>
      </c>
      <c r="R4823" t="s">
        <v>2236</v>
      </c>
    </row>
    <row r="4824" spans="17:18" ht="15" customHeight="1" x14ac:dyDescent="0.25">
      <c r="Q4824" t="s">
        <v>5756</v>
      </c>
      <c r="R4824" t="s">
        <v>2236</v>
      </c>
    </row>
    <row r="4825" spans="17:18" ht="15" customHeight="1" x14ac:dyDescent="0.25">
      <c r="Q4825" t="s">
        <v>5757</v>
      </c>
      <c r="R4825" t="s">
        <v>2236</v>
      </c>
    </row>
    <row r="4826" spans="17:18" ht="15" customHeight="1" x14ac:dyDescent="0.25">
      <c r="Q4826" t="s">
        <v>5758</v>
      </c>
      <c r="R4826" t="s">
        <v>2236</v>
      </c>
    </row>
    <row r="4827" spans="17:18" ht="15" customHeight="1" x14ac:dyDescent="0.25">
      <c r="Q4827" t="s">
        <v>5759</v>
      </c>
      <c r="R4827" t="s">
        <v>2236</v>
      </c>
    </row>
    <row r="4828" spans="17:18" ht="15" customHeight="1" x14ac:dyDescent="0.25">
      <c r="Q4828" t="s">
        <v>5760</v>
      </c>
      <c r="R4828" t="s">
        <v>2236</v>
      </c>
    </row>
    <row r="4829" spans="17:18" ht="15" customHeight="1" x14ac:dyDescent="0.25">
      <c r="Q4829" t="s">
        <v>5761</v>
      </c>
      <c r="R4829" t="s">
        <v>2236</v>
      </c>
    </row>
    <row r="4830" spans="17:18" ht="15" customHeight="1" x14ac:dyDescent="0.25">
      <c r="Q4830" t="s">
        <v>5762</v>
      </c>
      <c r="R4830" t="s">
        <v>2236</v>
      </c>
    </row>
    <row r="4831" spans="17:18" ht="15" customHeight="1" x14ac:dyDescent="0.25">
      <c r="Q4831" t="s">
        <v>5763</v>
      </c>
      <c r="R4831" t="s">
        <v>2236</v>
      </c>
    </row>
    <row r="4832" spans="17:18" ht="15" customHeight="1" x14ac:dyDescent="0.25">
      <c r="Q4832" t="s">
        <v>5764</v>
      </c>
      <c r="R4832" t="s">
        <v>2236</v>
      </c>
    </row>
    <row r="4833" spans="17:18" ht="15" customHeight="1" x14ac:dyDescent="0.25">
      <c r="Q4833" t="s">
        <v>5765</v>
      </c>
      <c r="R4833" t="s">
        <v>2236</v>
      </c>
    </row>
    <row r="4834" spans="17:18" ht="15" customHeight="1" x14ac:dyDescent="0.25">
      <c r="Q4834" t="s">
        <v>5766</v>
      </c>
      <c r="R4834" t="s">
        <v>2236</v>
      </c>
    </row>
    <row r="4835" spans="17:18" ht="15" customHeight="1" x14ac:dyDescent="0.25">
      <c r="Q4835" t="s">
        <v>5767</v>
      </c>
      <c r="R4835" t="s">
        <v>2236</v>
      </c>
    </row>
    <row r="4836" spans="17:18" ht="15" customHeight="1" x14ac:dyDescent="0.25">
      <c r="Q4836" t="s">
        <v>5768</v>
      </c>
      <c r="R4836" t="s">
        <v>2236</v>
      </c>
    </row>
    <row r="4837" spans="17:18" ht="15" customHeight="1" x14ac:dyDescent="0.25">
      <c r="Q4837" t="s">
        <v>5769</v>
      </c>
      <c r="R4837" t="s">
        <v>2236</v>
      </c>
    </row>
    <row r="4838" spans="17:18" ht="15" customHeight="1" x14ac:dyDescent="0.25">
      <c r="Q4838" t="s">
        <v>5770</v>
      </c>
      <c r="R4838" t="s">
        <v>2236</v>
      </c>
    </row>
    <row r="4839" spans="17:18" ht="15" customHeight="1" x14ac:dyDescent="0.25">
      <c r="Q4839" t="s">
        <v>5771</v>
      </c>
      <c r="R4839" t="s">
        <v>2236</v>
      </c>
    </row>
    <row r="4840" spans="17:18" ht="15" customHeight="1" x14ac:dyDescent="0.25">
      <c r="Q4840" t="s">
        <v>5772</v>
      </c>
      <c r="R4840" t="s">
        <v>2236</v>
      </c>
    </row>
    <row r="4841" spans="17:18" ht="15" customHeight="1" x14ac:dyDescent="0.25">
      <c r="Q4841" t="s">
        <v>5773</v>
      </c>
      <c r="R4841" t="s">
        <v>2236</v>
      </c>
    </row>
    <row r="4842" spans="17:18" ht="15" customHeight="1" x14ac:dyDescent="0.25">
      <c r="Q4842" t="s">
        <v>5774</v>
      </c>
      <c r="R4842" t="s">
        <v>2236</v>
      </c>
    </row>
    <row r="4843" spans="17:18" ht="15" customHeight="1" x14ac:dyDescent="0.25">
      <c r="Q4843" t="s">
        <v>5775</v>
      </c>
      <c r="R4843" t="s">
        <v>2358</v>
      </c>
    </row>
    <row r="4844" spans="17:18" ht="15" customHeight="1" x14ac:dyDescent="0.25">
      <c r="Q4844" t="s">
        <v>5776</v>
      </c>
      <c r="R4844" t="s">
        <v>2358</v>
      </c>
    </row>
    <row r="4845" spans="17:18" ht="15" customHeight="1" x14ac:dyDescent="0.25">
      <c r="Q4845" t="s">
        <v>5777</v>
      </c>
      <c r="R4845" t="s">
        <v>2358</v>
      </c>
    </row>
    <row r="4846" spans="17:18" ht="15" customHeight="1" x14ac:dyDescent="0.25">
      <c r="Q4846" t="s">
        <v>5778</v>
      </c>
      <c r="R4846" t="s">
        <v>2358</v>
      </c>
    </row>
    <row r="4847" spans="17:18" ht="15" customHeight="1" x14ac:dyDescent="0.25">
      <c r="Q4847" t="s">
        <v>5779</v>
      </c>
      <c r="R4847" t="s">
        <v>2358</v>
      </c>
    </row>
    <row r="4848" spans="17:18" ht="15" customHeight="1" x14ac:dyDescent="0.25">
      <c r="Q4848" t="s">
        <v>5780</v>
      </c>
      <c r="R4848" t="s">
        <v>2236</v>
      </c>
    </row>
    <row r="4849" spans="17:18" ht="15" customHeight="1" x14ac:dyDescent="0.25">
      <c r="Q4849" t="s">
        <v>5781</v>
      </c>
      <c r="R4849" t="s">
        <v>2236</v>
      </c>
    </row>
    <row r="4850" spans="17:18" ht="15" customHeight="1" x14ac:dyDescent="0.25">
      <c r="Q4850" t="s">
        <v>5782</v>
      </c>
      <c r="R4850" t="s">
        <v>2236</v>
      </c>
    </row>
    <row r="4851" spans="17:18" ht="15" customHeight="1" x14ac:dyDescent="0.25">
      <c r="Q4851" t="s">
        <v>5783</v>
      </c>
      <c r="R4851" t="s">
        <v>2236</v>
      </c>
    </row>
    <row r="4852" spans="17:18" ht="15" customHeight="1" x14ac:dyDescent="0.25">
      <c r="Q4852" t="s">
        <v>5784</v>
      </c>
      <c r="R4852" t="s">
        <v>2236</v>
      </c>
    </row>
    <row r="4853" spans="17:18" ht="15" customHeight="1" x14ac:dyDescent="0.25">
      <c r="Q4853" t="s">
        <v>5785</v>
      </c>
      <c r="R4853" t="s">
        <v>2236</v>
      </c>
    </row>
    <row r="4854" spans="17:18" ht="15" customHeight="1" x14ac:dyDescent="0.25">
      <c r="Q4854" t="s">
        <v>5786</v>
      </c>
      <c r="R4854" t="s">
        <v>2236</v>
      </c>
    </row>
    <row r="4855" spans="17:18" ht="15" customHeight="1" x14ac:dyDescent="0.25">
      <c r="Q4855" t="s">
        <v>5787</v>
      </c>
      <c r="R4855" t="s">
        <v>2358</v>
      </c>
    </row>
    <row r="4856" spans="17:18" ht="15" customHeight="1" x14ac:dyDescent="0.25">
      <c r="Q4856" t="s">
        <v>5788</v>
      </c>
      <c r="R4856" t="s">
        <v>2358</v>
      </c>
    </row>
    <row r="4857" spans="17:18" ht="15" customHeight="1" x14ac:dyDescent="0.25">
      <c r="Q4857" t="s">
        <v>5789</v>
      </c>
      <c r="R4857" t="s">
        <v>2236</v>
      </c>
    </row>
    <row r="4858" spans="17:18" ht="15" customHeight="1" x14ac:dyDescent="0.25">
      <c r="Q4858" t="s">
        <v>5790</v>
      </c>
      <c r="R4858" t="s">
        <v>2236</v>
      </c>
    </row>
    <row r="4859" spans="17:18" ht="15" customHeight="1" x14ac:dyDescent="0.25">
      <c r="Q4859" t="s">
        <v>5791</v>
      </c>
      <c r="R4859" t="s">
        <v>2236</v>
      </c>
    </row>
    <row r="4860" spans="17:18" ht="15" customHeight="1" x14ac:dyDescent="0.25">
      <c r="Q4860" t="s">
        <v>5792</v>
      </c>
      <c r="R4860" t="s">
        <v>2236</v>
      </c>
    </row>
    <row r="4861" spans="17:18" ht="15" customHeight="1" x14ac:dyDescent="0.25">
      <c r="Q4861" t="s">
        <v>5793</v>
      </c>
      <c r="R4861" t="s">
        <v>2236</v>
      </c>
    </row>
    <row r="4862" spans="17:18" ht="15" customHeight="1" x14ac:dyDescent="0.25">
      <c r="Q4862" t="s">
        <v>5794</v>
      </c>
      <c r="R4862" t="s">
        <v>2236</v>
      </c>
    </row>
    <row r="4863" spans="17:18" ht="15" customHeight="1" x14ac:dyDescent="0.25">
      <c r="Q4863" t="s">
        <v>5795</v>
      </c>
      <c r="R4863" t="s">
        <v>2236</v>
      </c>
    </row>
    <row r="4864" spans="17:18" ht="15" customHeight="1" x14ac:dyDescent="0.25">
      <c r="Q4864" t="s">
        <v>5796</v>
      </c>
      <c r="R4864" t="s">
        <v>2236</v>
      </c>
    </row>
    <row r="4865" spans="17:18" ht="15" customHeight="1" x14ac:dyDescent="0.25">
      <c r="Q4865" t="s">
        <v>5797</v>
      </c>
      <c r="R4865" t="s">
        <v>2236</v>
      </c>
    </row>
    <row r="4866" spans="17:18" ht="15" customHeight="1" x14ac:dyDescent="0.25">
      <c r="Q4866" t="s">
        <v>5798</v>
      </c>
      <c r="R4866" t="s">
        <v>4214</v>
      </c>
    </row>
    <row r="4867" spans="17:18" ht="15" customHeight="1" x14ac:dyDescent="0.25">
      <c r="Q4867" t="s">
        <v>5799</v>
      </c>
      <c r="R4867" t="s">
        <v>2236</v>
      </c>
    </row>
    <row r="4868" spans="17:18" ht="15" customHeight="1" x14ac:dyDescent="0.25">
      <c r="Q4868" t="s">
        <v>5800</v>
      </c>
      <c r="R4868" t="s">
        <v>2236</v>
      </c>
    </row>
    <row r="4869" spans="17:18" ht="15" customHeight="1" x14ac:dyDescent="0.25">
      <c r="Q4869" t="s">
        <v>5801</v>
      </c>
      <c r="R4869" t="s">
        <v>4214</v>
      </c>
    </row>
    <row r="4870" spans="17:18" ht="15" customHeight="1" x14ac:dyDescent="0.25">
      <c r="Q4870" t="s">
        <v>5802</v>
      </c>
      <c r="R4870" t="s">
        <v>2236</v>
      </c>
    </row>
    <row r="4871" spans="17:18" ht="15" customHeight="1" x14ac:dyDescent="0.25">
      <c r="Q4871" t="s">
        <v>5803</v>
      </c>
      <c r="R4871" t="s">
        <v>2236</v>
      </c>
    </row>
    <row r="4872" spans="17:18" ht="15" customHeight="1" x14ac:dyDescent="0.25">
      <c r="Q4872" t="s">
        <v>5804</v>
      </c>
      <c r="R4872" t="s">
        <v>4214</v>
      </c>
    </row>
    <row r="4873" spans="17:18" ht="15" customHeight="1" x14ac:dyDescent="0.25">
      <c r="Q4873" t="s">
        <v>5805</v>
      </c>
      <c r="R4873" t="s">
        <v>2358</v>
      </c>
    </row>
    <row r="4874" spans="17:18" ht="15" customHeight="1" x14ac:dyDescent="0.25">
      <c r="Q4874" t="s">
        <v>5806</v>
      </c>
      <c r="R4874" t="s">
        <v>2358</v>
      </c>
    </row>
    <row r="4875" spans="17:18" ht="15" customHeight="1" x14ac:dyDescent="0.25">
      <c r="Q4875" t="s">
        <v>5807</v>
      </c>
      <c r="R4875" t="s">
        <v>2358</v>
      </c>
    </row>
    <row r="4876" spans="17:18" ht="15" customHeight="1" x14ac:dyDescent="0.25">
      <c r="Q4876" t="s">
        <v>5808</v>
      </c>
      <c r="R4876" t="s">
        <v>2358</v>
      </c>
    </row>
    <row r="4877" spans="17:18" ht="15" customHeight="1" x14ac:dyDescent="0.25">
      <c r="Q4877" t="s">
        <v>5809</v>
      </c>
      <c r="R4877" t="s">
        <v>2358</v>
      </c>
    </row>
    <row r="4878" spans="17:18" ht="15" customHeight="1" x14ac:dyDescent="0.25">
      <c r="Q4878" t="s">
        <v>5810</v>
      </c>
      <c r="R4878" t="s">
        <v>2358</v>
      </c>
    </row>
    <row r="4879" spans="17:18" ht="15" customHeight="1" x14ac:dyDescent="0.25">
      <c r="Q4879" t="s">
        <v>5811</v>
      </c>
      <c r="R4879" t="s">
        <v>2358</v>
      </c>
    </row>
    <row r="4880" spans="17:18" ht="15" customHeight="1" x14ac:dyDescent="0.25">
      <c r="Q4880" t="s">
        <v>5812</v>
      </c>
      <c r="R4880" t="s">
        <v>2358</v>
      </c>
    </row>
    <row r="4881" spans="17:18" ht="15" customHeight="1" x14ac:dyDescent="0.25">
      <c r="Q4881" t="s">
        <v>5813</v>
      </c>
      <c r="R4881" t="s">
        <v>2358</v>
      </c>
    </row>
    <row r="4882" spans="17:18" ht="15" customHeight="1" x14ac:dyDescent="0.25">
      <c r="Q4882" t="s">
        <v>5814</v>
      </c>
      <c r="R4882" t="s">
        <v>2358</v>
      </c>
    </row>
    <row r="4883" spans="17:18" ht="15" customHeight="1" x14ac:dyDescent="0.25">
      <c r="Q4883" t="s">
        <v>5815</v>
      </c>
      <c r="R4883" t="s">
        <v>2358</v>
      </c>
    </row>
    <row r="4884" spans="17:18" ht="15" customHeight="1" x14ac:dyDescent="0.25">
      <c r="Q4884" t="s">
        <v>5816</v>
      </c>
      <c r="R4884" t="s">
        <v>2358</v>
      </c>
    </row>
    <row r="4885" spans="17:18" ht="15" customHeight="1" x14ac:dyDescent="0.25">
      <c r="Q4885" t="s">
        <v>5817</v>
      </c>
      <c r="R4885" t="s">
        <v>2358</v>
      </c>
    </row>
    <row r="4886" spans="17:18" ht="15" customHeight="1" x14ac:dyDescent="0.25">
      <c r="Q4886" t="s">
        <v>5818</v>
      </c>
      <c r="R4886" t="s">
        <v>2236</v>
      </c>
    </row>
    <row r="4887" spans="17:18" ht="15" customHeight="1" x14ac:dyDescent="0.25">
      <c r="Q4887" t="s">
        <v>5819</v>
      </c>
      <c r="R4887" t="s">
        <v>2358</v>
      </c>
    </row>
    <row r="4888" spans="17:18" ht="15" customHeight="1" x14ac:dyDescent="0.25">
      <c r="Q4888" t="s">
        <v>5820</v>
      </c>
      <c r="R4888" t="s">
        <v>2358</v>
      </c>
    </row>
    <row r="4889" spans="17:18" ht="15" customHeight="1" x14ac:dyDescent="0.25">
      <c r="Q4889" t="s">
        <v>5821</v>
      </c>
      <c r="R4889" t="s">
        <v>2358</v>
      </c>
    </row>
    <row r="4890" spans="17:18" ht="15" customHeight="1" x14ac:dyDescent="0.25">
      <c r="Q4890" t="s">
        <v>5822</v>
      </c>
      <c r="R4890" t="s">
        <v>2358</v>
      </c>
    </row>
    <row r="4891" spans="17:18" ht="15" customHeight="1" x14ac:dyDescent="0.25">
      <c r="Q4891" t="s">
        <v>5823</v>
      </c>
      <c r="R4891" t="s">
        <v>2358</v>
      </c>
    </row>
    <row r="4892" spans="17:18" ht="15" customHeight="1" x14ac:dyDescent="0.25">
      <c r="Q4892" t="s">
        <v>5824</v>
      </c>
      <c r="R4892" t="s">
        <v>2358</v>
      </c>
    </row>
    <row r="4893" spans="17:18" ht="15" customHeight="1" x14ac:dyDescent="0.25">
      <c r="Q4893" t="s">
        <v>5825</v>
      </c>
      <c r="R4893" t="s">
        <v>2358</v>
      </c>
    </row>
    <row r="4894" spans="17:18" ht="15" customHeight="1" x14ac:dyDescent="0.25">
      <c r="Q4894" t="s">
        <v>5826</v>
      </c>
      <c r="R4894" t="s">
        <v>2358</v>
      </c>
    </row>
    <row r="4895" spans="17:18" ht="15" customHeight="1" x14ac:dyDescent="0.25">
      <c r="Q4895" t="s">
        <v>5827</v>
      </c>
      <c r="R4895" t="s">
        <v>2358</v>
      </c>
    </row>
    <row r="4896" spans="17:18" ht="15" customHeight="1" x14ac:dyDescent="0.25">
      <c r="Q4896" t="s">
        <v>5828</v>
      </c>
      <c r="R4896" t="s">
        <v>2358</v>
      </c>
    </row>
    <row r="4897" spans="17:18" ht="15" customHeight="1" x14ac:dyDescent="0.25">
      <c r="Q4897" t="s">
        <v>5829</v>
      </c>
      <c r="R4897" t="s">
        <v>2358</v>
      </c>
    </row>
    <row r="4898" spans="17:18" ht="15" customHeight="1" x14ac:dyDescent="0.25">
      <c r="Q4898" t="s">
        <v>5830</v>
      </c>
      <c r="R4898" t="s">
        <v>2358</v>
      </c>
    </row>
    <row r="4899" spans="17:18" ht="15" customHeight="1" x14ac:dyDescent="0.25">
      <c r="Q4899" t="s">
        <v>5831</v>
      </c>
      <c r="R4899" t="s">
        <v>2358</v>
      </c>
    </row>
    <row r="4900" spans="17:18" ht="15" customHeight="1" x14ac:dyDescent="0.25">
      <c r="Q4900" t="s">
        <v>5832</v>
      </c>
      <c r="R4900" t="s">
        <v>2358</v>
      </c>
    </row>
    <row r="4901" spans="17:18" ht="15" customHeight="1" x14ac:dyDescent="0.25">
      <c r="Q4901" t="s">
        <v>5833</v>
      </c>
      <c r="R4901" t="s">
        <v>2358</v>
      </c>
    </row>
    <row r="4902" spans="17:18" ht="15" customHeight="1" x14ac:dyDescent="0.25">
      <c r="Q4902" t="s">
        <v>5834</v>
      </c>
      <c r="R4902" t="s">
        <v>2358</v>
      </c>
    </row>
    <row r="4903" spans="17:18" ht="15" customHeight="1" x14ac:dyDescent="0.25">
      <c r="Q4903" t="s">
        <v>5835</v>
      </c>
      <c r="R4903" t="s">
        <v>2358</v>
      </c>
    </row>
    <row r="4904" spans="17:18" ht="15" customHeight="1" x14ac:dyDescent="0.25">
      <c r="Q4904" t="s">
        <v>5836</v>
      </c>
      <c r="R4904" t="s">
        <v>2236</v>
      </c>
    </row>
    <row r="4905" spans="17:18" ht="15" customHeight="1" x14ac:dyDescent="0.25">
      <c r="Q4905" t="s">
        <v>5837</v>
      </c>
      <c r="R4905" t="s">
        <v>2236</v>
      </c>
    </row>
    <row r="4906" spans="17:18" ht="15" customHeight="1" x14ac:dyDescent="0.25">
      <c r="Q4906" t="s">
        <v>5838</v>
      </c>
      <c r="R4906" t="s">
        <v>2236</v>
      </c>
    </row>
    <row r="4907" spans="17:18" ht="15" customHeight="1" x14ac:dyDescent="0.25">
      <c r="Q4907" t="s">
        <v>5839</v>
      </c>
      <c r="R4907" t="s">
        <v>2236</v>
      </c>
    </row>
    <row r="4908" spans="17:18" ht="15" customHeight="1" x14ac:dyDescent="0.25">
      <c r="Q4908" t="s">
        <v>5840</v>
      </c>
      <c r="R4908" t="s">
        <v>2236</v>
      </c>
    </row>
    <row r="4909" spans="17:18" ht="15" customHeight="1" x14ac:dyDescent="0.25">
      <c r="Q4909" t="s">
        <v>5841</v>
      </c>
      <c r="R4909" t="s">
        <v>2236</v>
      </c>
    </row>
    <row r="4910" spans="17:18" ht="15" customHeight="1" x14ac:dyDescent="0.25">
      <c r="Q4910" t="s">
        <v>5842</v>
      </c>
      <c r="R4910" t="s">
        <v>2236</v>
      </c>
    </row>
    <row r="4911" spans="17:18" ht="15" customHeight="1" x14ac:dyDescent="0.25">
      <c r="Q4911" t="s">
        <v>5843</v>
      </c>
      <c r="R4911" t="s">
        <v>2236</v>
      </c>
    </row>
    <row r="4912" spans="17:18" ht="15" customHeight="1" x14ac:dyDescent="0.25">
      <c r="Q4912" t="s">
        <v>5844</v>
      </c>
      <c r="R4912" t="s">
        <v>2236</v>
      </c>
    </row>
    <row r="4913" spans="17:18" ht="15" customHeight="1" x14ac:dyDescent="0.25">
      <c r="Q4913" t="s">
        <v>5845</v>
      </c>
      <c r="R4913" t="s">
        <v>2358</v>
      </c>
    </row>
    <row r="4914" spans="17:18" ht="15" customHeight="1" x14ac:dyDescent="0.25">
      <c r="Q4914" t="s">
        <v>5846</v>
      </c>
      <c r="R4914" t="s">
        <v>2358</v>
      </c>
    </row>
    <row r="4915" spans="17:18" ht="15" customHeight="1" x14ac:dyDescent="0.25">
      <c r="Q4915" t="s">
        <v>5847</v>
      </c>
      <c r="R4915" t="s">
        <v>2358</v>
      </c>
    </row>
    <row r="4916" spans="17:18" ht="15" customHeight="1" x14ac:dyDescent="0.25">
      <c r="Q4916" t="s">
        <v>5848</v>
      </c>
      <c r="R4916" t="s">
        <v>2358</v>
      </c>
    </row>
    <row r="4917" spans="17:18" ht="15" customHeight="1" x14ac:dyDescent="0.25">
      <c r="Q4917" t="s">
        <v>5849</v>
      </c>
      <c r="R4917" t="s">
        <v>2358</v>
      </c>
    </row>
    <row r="4918" spans="17:18" ht="15" customHeight="1" x14ac:dyDescent="0.25">
      <c r="Q4918" t="s">
        <v>5850</v>
      </c>
      <c r="R4918" t="s">
        <v>2358</v>
      </c>
    </row>
    <row r="4919" spans="17:18" ht="15" customHeight="1" x14ac:dyDescent="0.25">
      <c r="Q4919" t="s">
        <v>5851</v>
      </c>
      <c r="R4919" t="s">
        <v>2358</v>
      </c>
    </row>
    <row r="4920" spans="17:18" ht="15" customHeight="1" x14ac:dyDescent="0.25">
      <c r="Q4920" t="s">
        <v>5852</v>
      </c>
      <c r="R4920" t="s">
        <v>2358</v>
      </c>
    </row>
    <row r="4921" spans="17:18" ht="15" customHeight="1" x14ac:dyDescent="0.25">
      <c r="Q4921" t="s">
        <v>5853</v>
      </c>
      <c r="R4921" t="s">
        <v>2358</v>
      </c>
    </row>
    <row r="4922" spans="17:18" ht="15" customHeight="1" x14ac:dyDescent="0.25">
      <c r="Q4922" t="s">
        <v>5854</v>
      </c>
      <c r="R4922" t="s">
        <v>2358</v>
      </c>
    </row>
    <row r="4923" spans="17:18" ht="15" customHeight="1" x14ac:dyDescent="0.25">
      <c r="Q4923" t="s">
        <v>5855</v>
      </c>
      <c r="R4923" t="s">
        <v>2358</v>
      </c>
    </row>
    <row r="4924" spans="17:18" ht="15" customHeight="1" x14ac:dyDescent="0.25">
      <c r="Q4924" t="s">
        <v>5856</v>
      </c>
      <c r="R4924" t="s">
        <v>2358</v>
      </c>
    </row>
    <row r="4925" spans="17:18" ht="15" customHeight="1" x14ac:dyDescent="0.25">
      <c r="Q4925" t="s">
        <v>5857</v>
      </c>
      <c r="R4925" t="s">
        <v>2358</v>
      </c>
    </row>
    <row r="4926" spans="17:18" ht="15" customHeight="1" x14ac:dyDescent="0.25">
      <c r="Q4926" t="s">
        <v>5858</v>
      </c>
      <c r="R4926" t="s">
        <v>2358</v>
      </c>
    </row>
    <row r="4927" spans="17:18" ht="15" customHeight="1" x14ac:dyDescent="0.25">
      <c r="Q4927" t="s">
        <v>5859</v>
      </c>
      <c r="R4927" t="s">
        <v>2358</v>
      </c>
    </row>
    <row r="4928" spans="17:18" ht="15" customHeight="1" x14ac:dyDescent="0.25">
      <c r="Q4928" t="s">
        <v>5860</v>
      </c>
      <c r="R4928" t="s">
        <v>2358</v>
      </c>
    </row>
    <row r="4929" spans="17:18" ht="15" customHeight="1" x14ac:dyDescent="0.25">
      <c r="Q4929" t="s">
        <v>5861</v>
      </c>
      <c r="R4929" t="s">
        <v>2358</v>
      </c>
    </row>
    <row r="4930" spans="17:18" ht="15" customHeight="1" x14ac:dyDescent="0.25">
      <c r="Q4930" t="s">
        <v>5862</v>
      </c>
      <c r="R4930" t="s">
        <v>2358</v>
      </c>
    </row>
    <row r="4931" spans="17:18" ht="15" customHeight="1" x14ac:dyDescent="0.25">
      <c r="Q4931" t="s">
        <v>5863</v>
      </c>
      <c r="R4931" t="s">
        <v>2358</v>
      </c>
    </row>
    <row r="4932" spans="17:18" ht="15" customHeight="1" x14ac:dyDescent="0.25">
      <c r="Q4932" t="s">
        <v>5864</v>
      </c>
      <c r="R4932" t="s">
        <v>2358</v>
      </c>
    </row>
    <row r="4933" spans="17:18" ht="15" customHeight="1" x14ac:dyDescent="0.25">
      <c r="Q4933" t="s">
        <v>5865</v>
      </c>
      <c r="R4933" t="s">
        <v>2358</v>
      </c>
    </row>
    <row r="4934" spans="17:18" ht="15" customHeight="1" x14ac:dyDescent="0.25">
      <c r="Q4934" t="s">
        <v>5866</v>
      </c>
      <c r="R4934" t="s">
        <v>2358</v>
      </c>
    </row>
    <row r="4935" spans="17:18" ht="15" customHeight="1" x14ac:dyDescent="0.25">
      <c r="Q4935" t="s">
        <v>5867</v>
      </c>
      <c r="R4935" t="s">
        <v>2358</v>
      </c>
    </row>
    <row r="4936" spans="17:18" ht="15" customHeight="1" x14ac:dyDescent="0.25">
      <c r="Q4936" t="s">
        <v>5868</v>
      </c>
      <c r="R4936" t="s">
        <v>2358</v>
      </c>
    </row>
    <row r="4937" spans="17:18" ht="15" customHeight="1" x14ac:dyDescent="0.25">
      <c r="Q4937" t="s">
        <v>5869</v>
      </c>
      <c r="R4937" t="s">
        <v>2358</v>
      </c>
    </row>
    <row r="4938" spans="17:18" ht="15" customHeight="1" x14ac:dyDescent="0.25">
      <c r="Q4938" t="s">
        <v>5870</v>
      </c>
      <c r="R4938" t="s">
        <v>2358</v>
      </c>
    </row>
    <row r="4939" spans="17:18" ht="15" customHeight="1" x14ac:dyDescent="0.25">
      <c r="Q4939" t="s">
        <v>5871</v>
      </c>
      <c r="R4939" t="s">
        <v>2236</v>
      </c>
    </row>
    <row r="4940" spans="17:18" ht="15" customHeight="1" x14ac:dyDescent="0.25">
      <c r="Q4940" t="s">
        <v>5872</v>
      </c>
      <c r="R4940" t="s">
        <v>2236</v>
      </c>
    </row>
    <row r="4941" spans="17:18" ht="15" customHeight="1" x14ac:dyDescent="0.25">
      <c r="Q4941" t="s">
        <v>5873</v>
      </c>
      <c r="R4941" t="s">
        <v>2236</v>
      </c>
    </row>
    <row r="4942" spans="17:18" ht="15" customHeight="1" x14ac:dyDescent="0.25">
      <c r="Q4942" t="s">
        <v>5874</v>
      </c>
      <c r="R4942" t="s">
        <v>2236</v>
      </c>
    </row>
    <row r="4943" spans="17:18" ht="15" customHeight="1" x14ac:dyDescent="0.25">
      <c r="Q4943" t="s">
        <v>5875</v>
      </c>
      <c r="R4943" t="s">
        <v>2236</v>
      </c>
    </row>
    <row r="4944" spans="17:18" ht="15" customHeight="1" x14ac:dyDescent="0.25">
      <c r="Q4944" t="s">
        <v>5876</v>
      </c>
      <c r="R4944" t="s">
        <v>2236</v>
      </c>
    </row>
    <row r="4945" spans="17:18" ht="15" customHeight="1" x14ac:dyDescent="0.25">
      <c r="Q4945" t="s">
        <v>5877</v>
      </c>
      <c r="R4945" t="s">
        <v>2236</v>
      </c>
    </row>
    <row r="4946" spans="17:18" ht="15" customHeight="1" x14ac:dyDescent="0.25">
      <c r="Q4946" t="s">
        <v>5878</v>
      </c>
      <c r="R4946" t="s">
        <v>2236</v>
      </c>
    </row>
    <row r="4947" spans="17:18" ht="15" customHeight="1" x14ac:dyDescent="0.25">
      <c r="Q4947" t="s">
        <v>5879</v>
      </c>
      <c r="R4947" t="s">
        <v>2236</v>
      </c>
    </row>
    <row r="4948" spans="17:18" ht="15" customHeight="1" x14ac:dyDescent="0.25">
      <c r="Q4948" t="s">
        <v>5880</v>
      </c>
      <c r="R4948" t="s">
        <v>2358</v>
      </c>
    </row>
    <row r="4949" spans="17:18" ht="15" customHeight="1" x14ac:dyDescent="0.25">
      <c r="Q4949" t="s">
        <v>5881</v>
      </c>
      <c r="R4949" t="s">
        <v>2236</v>
      </c>
    </row>
    <row r="4950" spans="17:18" ht="15" customHeight="1" x14ac:dyDescent="0.25">
      <c r="Q4950" t="s">
        <v>5882</v>
      </c>
      <c r="R4950" t="s">
        <v>2236</v>
      </c>
    </row>
    <row r="4951" spans="17:18" ht="15" customHeight="1" x14ac:dyDescent="0.25">
      <c r="Q4951" t="s">
        <v>5883</v>
      </c>
      <c r="R4951" t="s">
        <v>2358</v>
      </c>
    </row>
    <row r="4952" spans="17:18" ht="15" customHeight="1" x14ac:dyDescent="0.25">
      <c r="Q4952" t="s">
        <v>5884</v>
      </c>
      <c r="R4952" t="s">
        <v>2358</v>
      </c>
    </row>
    <row r="4953" spans="17:18" ht="15" customHeight="1" x14ac:dyDescent="0.25">
      <c r="Q4953" t="s">
        <v>5885</v>
      </c>
      <c r="R4953" t="s">
        <v>2358</v>
      </c>
    </row>
    <row r="4954" spans="17:18" ht="15" customHeight="1" x14ac:dyDescent="0.25">
      <c r="Q4954" t="s">
        <v>5886</v>
      </c>
      <c r="R4954" t="s">
        <v>2358</v>
      </c>
    </row>
    <row r="4955" spans="17:18" ht="15" customHeight="1" x14ac:dyDescent="0.25">
      <c r="Q4955" t="s">
        <v>5887</v>
      </c>
      <c r="R4955" t="s">
        <v>2358</v>
      </c>
    </row>
    <row r="4956" spans="17:18" ht="15" customHeight="1" x14ac:dyDescent="0.25">
      <c r="Q4956" t="s">
        <v>5888</v>
      </c>
      <c r="R4956" t="s">
        <v>4214</v>
      </c>
    </row>
    <row r="4957" spans="17:18" ht="15" customHeight="1" x14ac:dyDescent="0.25">
      <c r="Q4957" t="s">
        <v>5889</v>
      </c>
      <c r="R4957" t="s">
        <v>4214</v>
      </c>
    </row>
    <row r="4958" spans="17:18" ht="15" customHeight="1" x14ac:dyDescent="0.25">
      <c r="Q4958" t="s">
        <v>5890</v>
      </c>
      <c r="R4958" t="s">
        <v>4214</v>
      </c>
    </row>
    <row r="4959" spans="17:18" ht="15" customHeight="1" x14ac:dyDescent="0.25">
      <c r="Q4959" t="s">
        <v>5891</v>
      </c>
      <c r="R4959" t="s">
        <v>4214</v>
      </c>
    </row>
    <row r="4960" spans="17:18" ht="15" customHeight="1" x14ac:dyDescent="0.25">
      <c r="Q4960" t="s">
        <v>5892</v>
      </c>
      <c r="R4960" t="s">
        <v>4214</v>
      </c>
    </row>
    <row r="4961" spans="17:18" ht="15" customHeight="1" x14ac:dyDescent="0.25">
      <c r="Q4961" t="s">
        <v>5893</v>
      </c>
      <c r="R4961" t="s">
        <v>4214</v>
      </c>
    </row>
    <row r="4962" spans="17:18" ht="15" customHeight="1" x14ac:dyDescent="0.25">
      <c r="Q4962" t="s">
        <v>5894</v>
      </c>
      <c r="R4962" t="s">
        <v>4214</v>
      </c>
    </row>
    <row r="4963" spans="17:18" ht="15" customHeight="1" x14ac:dyDescent="0.25">
      <c r="Q4963" t="s">
        <v>5895</v>
      </c>
      <c r="R4963" t="s">
        <v>4214</v>
      </c>
    </row>
    <row r="4964" spans="17:18" ht="15" customHeight="1" x14ac:dyDescent="0.25">
      <c r="Q4964" t="s">
        <v>5896</v>
      </c>
      <c r="R4964" t="s">
        <v>4214</v>
      </c>
    </row>
    <row r="4965" spans="17:18" ht="15" customHeight="1" x14ac:dyDescent="0.25">
      <c r="Q4965" t="s">
        <v>5897</v>
      </c>
      <c r="R4965" t="s">
        <v>4214</v>
      </c>
    </row>
    <row r="4966" spans="17:18" ht="15" customHeight="1" x14ac:dyDescent="0.25">
      <c r="Q4966" t="s">
        <v>5898</v>
      </c>
      <c r="R4966" t="s">
        <v>4214</v>
      </c>
    </row>
    <row r="4967" spans="17:18" ht="15" customHeight="1" x14ac:dyDescent="0.25">
      <c r="Q4967" t="s">
        <v>5899</v>
      </c>
      <c r="R4967" t="s">
        <v>4214</v>
      </c>
    </row>
    <row r="4968" spans="17:18" ht="15" customHeight="1" x14ac:dyDescent="0.25">
      <c r="Q4968" t="s">
        <v>5900</v>
      </c>
      <c r="R4968" t="s">
        <v>4214</v>
      </c>
    </row>
    <row r="4969" spans="17:18" ht="15" customHeight="1" x14ac:dyDescent="0.25">
      <c r="Q4969" t="s">
        <v>5901</v>
      </c>
      <c r="R4969" t="s">
        <v>4214</v>
      </c>
    </row>
    <row r="4970" spans="17:18" ht="15" customHeight="1" x14ac:dyDescent="0.25">
      <c r="Q4970" t="s">
        <v>5902</v>
      </c>
      <c r="R4970" t="s">
        <v>4214</v>
      </c>
    </row>
    <row r="4971" spans="17:18" ht="15" customHeight="1" x14ac:dyDescent="0.25">
      <c r="Q4971" t="s">
        <v>5903</v>
      </c>
      <c r="R4971" t="s">
        <v>4214</v>
      </c>
    </row>
    <row r="4972" spans="17:18" ht="15" customHeight="1" x14ac:dyDescent="0.25">
      <c r="Q4972" t="s">
        <v>5904</v>
      </c>
      <c r="R4972" t="s">
        <v>2236</v>
      </c>
    </row>
    <row r="4973" spans="17:18" ht="15" customHeight="1" x14ac:dyDescent="0.25">
      <c r="Q4973" t="s">
        <v>5905</v>
      </c>
      <c r="R4973" t="s">
        <v>4214</v>
      </c>
    </row>
    <row r="4974" spans="17:18" ht="15" customHeight="1" x14ac:dyDescent="0.25">
      <c r="Q4974" t="s">
        <v>5906</v>
      </c>
      <c r="R4974" t="s">
        <v>4214</v>
      </c>
    </row>
    <row r="4975" spans="17:18" ht="15" customHeight="1" x14ac:dyDescent="0.25">
      <c r="Q4975" t="s">
        <v>5907</v>
      </c>
      <c r="R4975" t="s">
        <v>4214</v>
      </c>
    </row>
    <row r="4976" spans="17:18" ht="15" customHeight="1" x14ac:dyDescent="0.25">
      <c r="Q4976" t="s">
        <v>5908</v>
      </c>
      <c r="R4976" t="s">
        <v>4214</v>
      </c>
    </row>
    <row r="4977" spans="17:18" ht="15" customHeight="1" x14ac:dyDescent="0.25">
      <c r="Q4977" t="s">
        <v>5909</v>
      </c>
      <c r="R4977" t="s">
        <v>4214</v>
      </c>
    </row>
    <row r="4978" spans="17:18" ht="15" customHeight="1" x14ac:dyDescent="0.25">
      <c r="Q4978" t="s">
        <v>5910</v>
      </c>
      <c r="R4978" t="s">
        <v>4214</v>
      </c>
    </row>
    <row r="4979" spans="17:18" ht="15" customHeight="1" x14ac:dyDescent="0.25">
      <c r="Q4979" t="s">
        <v>5911</v>
      </c>
      <c r="R4979" t="s">
        <v>4214</v>
      </c>
    </row>
    <row r="4980" spans="17:18" ht="15" customHeight="1" x14ac:dyDescent="0.25">
      <c r="Q4980" t="s">
        <v>5912</v>
      </c>
      <c r="R4980" t="s">
        <v>4214</v>
      </c>
    </row>
    <row r="4981" spans="17:18" ht="15" customHeight="1" x14ac:dyDescent="0.25">
      <c r="Q4981" t="s">
        <v>5913</v>
      </c>
      <c r="R4981" t="s">
        <v>4214</v>
      </c>
    </row>
    <row r="4982" spans="17:18" ht="15" customHeight="1" x14ac:dyDescent="0.25">
      <c r="Q4982" t="s">
        <v>5914</v>
      </c>
      <c r="R4982" t="s">
        <v>4214</v>
      </c>
    </row>
    <row r="4983" spans="17:18" ht="15" customHeight="1" x14ac:dyDescent="0.25">
      <c r="Q4983" t="s">
        <v>5915</v>
      </c>
      <c r="R4983" t="s">
        <v>4214</v>
      </c>
    </row>
    <row r="4984" spans="17:18" ht="15" customHeight="1" x14ac:dyDescent="0.25">
      <c r="Q4984" t="s">
        <v>5916</v>
      </c>
      <c r="R4984" t="s">
        <v>4214</v>
      </c>
    </row>
    <row r="4985" spans="17:18" ht="15" customHeight="1" x14ac:dyDescent="0.25">
      <c r="Q4985" t="s">
        <v>5917</v>
      </c>
      <c r="R4985" t="s">
        <v>4214</v>
      </c>
    </row>
    <row r="4986" spans="17:18" ht="15" customHeight="1" x14ac:dyDescent="0.25">
      <c r="Q4986" t="s">
        <v>5918</v>
      </c>
      <c r="R4986" t="s">
        <v>4214</v>
      </c>
    </row>
    <row r="4987" spans="17:18" ht="15" customHeight="1" x14ac:dyDescent="0.25">
      <c r="Q4987" t="s">
        <v>5919</v>
      </c>
      <c r="R4987" t="s">
        <v>4214</v>
      </c>
    </row>
    <row r="4988" spans="17:18" ht="15" customHeight="1" x14ac:dyDescent="0.25">
      <c r="Q4988" t="s">
        <v>5920</v>
      </c>
      <c r="R4988" t="s">
        <v>2236</v>
      </c>
    </row>
    <row r="4989" spans="17:18" ht="15" customHeight="1" x14ac:dyDescent="0.25">
      <c r="Q4989" t="s">
        <v>5921</v>
      </c>
      <c r="R4989" t="s">
        <v>4214</v>
      </c>
    </row>
    <row r="4990" spans="17:18" ht="15" customHeight="1" x14ac:dyDescent="0.25">
      <c r="Q4990" t="s">
        <v>5922</v>
      </c>
      <c r="R4990" t="s">
        <v>4214</v>
      </c>
    </row>
    <row r="4991" spans="17:18" ht="15" customHeight="1" x14ac:dyDescent="0.25">
      <c r="Q4991" t="s">
        <v>5923</v>
      </c>
      <c r="R4991" t="s">
        <v>2358</v>
      </c>
    </row>
    <row r="4992" spans="17:18" ht="15" customHeight="1" x14ac:dyDescent="0.25">
      <c r="Q4992" t="s">
        <v>5924</v>
      </c>
      <c r="R4992" t="s">
        <v>2358</v>
      </c>
    </row>
    <row r="4993" spans="17:18" ht="15" customHeight="1" x14ac:dyDescent="0.25">
      <c r="Q4993" t="s">
        <v>5925</v>
      </c>
      <c r="R4993" t="s">
        <v>2358</v>
      </c>
    </row>
    <row r="4994" spans="17:18" ht="15" customHeight="1" x14ac:dyDescent="0.25">
      <c r="Q4994" t="s">
        <v>5926</v>
      </c>
      <c r="R4994" t="s">
        <v>2358</v>
      </c>
    </row>
    <row r="4995" spans="17:18" ht="15" customHeight="1" x14ac:dyDescent="0.25">
      <c r="Q4995" t="s">
        <v>5927</v>
      </c>
      <c r="R4995" t="s">
        <v>4214</v>
      </c>
    </row>
    <row r="4996" spans="17:18" ht="15" customHeight="1" x14ac:dyDescent="0.25">
      <c r="Q4996" t="s">
        <v>5928</v>
      </c>
      <c r="R4996" t="s">
        <v>4214</v>
      </c>
    </row>
    <row r="4997" spans="17:18" ht="15" customHeight="1" x14ac:dyDescent="0.25">
      <c r="Q4997" t="s">
        <v>5929</v>
      </c>
      <c r="R4997" t="s">
        <v>4214</v>
      </c>
    </row>
    <row r="4998" spans="17:18" ht="15" customHeight="1" x14ac:dyDescent="0.25">
      <c r="Q4998" t="s">
        <v>5930</v>
      </c>
      <c r="R4998" t="s">
        <v>4214</v>
      </c>
    </row>
    <row r="4999" spans="17:18" ht="15" customHeight="1" x14ac:dyDescent="0.25">
      <c r="Q4999" t="s">
        <v>5931</v>
      </c>
      <c r="R4999" t="s">
        <v>4214</v>
      </c>
    </row>
    <row r="5000" spans="17:18" ht="15" customHeight="1" x14ac:dyDescent="0.25">
      <c r="Q5000" t="s">
        <v>5932</v>
      </c>
      <c r="R5000" t="s">
        <v>4214</v>
      </c>
    </row>
    <row r="5001" spans="17:18" ht="15" customHeight="1" x14ac:dyDescent="0.25">
      <c r="Q5001" t="s">
        <v>5933</v>
      </c>
      <c r="R5001" t="s">
        <v>4214</v>
      </c>
    </row>
    <row r="5002" spans="17:18" ht="15" customHeight="1" x14ac:dyDescent="0.25">
      <c r="Q5002" t="s">
        <v>5934</v>
      </c>
      <c r="R5002" t="s">
        <v>4214</v>
      </c>
    </row>
    <row r="5003" spans="17:18" ht="15" customHeight="1" x14ac:dyDescent="0.25">
      <c r="Q5003" t="s">
        <v>5935</v>
      </c>
      <c r="R5003" t="s">
        <v>4214</v>
      </c>
    </row>
    <row r="5004" spans="17:18" ht="15" customHeight="1" x14ac:dyDescent="0.25">
      <c r="Q5004" t="s">
        <v>5936</v>
      </c>
      <c r="R5004" t="s">
        <v>4214</v>
      </c>
    </row>
    <row r="5005" spans="17:18" ht="15" customHeight="1" x14ac:dyDescent="0.25">
      <c r="Q5005" t="s">
        <v>5937</v>
      </c>
      <c r="R5005" t="s">
        <v>4214</v>
      </c>
    </row>
    <row r="5006" spans="17:18" ht="15" customHeight="1" x14ac:dyDescent="0.25">
      <c r="Q5006" t="s">
        <v>5938</v>
      </c>
      <c r="R5006" t="s">
        <v>4214</v>
      </c>
    </row>
    <row r="5007" spans="17:18" ht="15" customHeight="1" x14ac:dyDescent="0.25">
      <c r="Q5007" t="s">
        <v>5939</v>
      </c>
      <c r="R5007" t="s">
        <v>4214</v>
      </c>
    </row>
    <row r="5008" spans="17:18" ht="15" customHeight="1" x14ac:dyDescent="0.25">
      <c r="Q5008" t="s">
        <v>5940</v>
      </c>
      <c r="R5008" t="s">
        <v>4214</v>
      </c>
    </row>
    <row r="5009" spans="17:18" ht="15" customHeight="1" x14ac:dyDescent="0.25">
      <c r="Q5009" t="s">
        <v>5941</v>
      </c>
      <c r="R5009" t="s">
        <v>4214</v>
      </c>
    </row>
    <row r="5010" spans="17:18" ht="15" customHeight="1" x14ac:dyDescent="0.25">
      <c r="Q5010" t="s">
        <v>5942</v>
      </c>
      <c r="R5010" t="s">
        <v>4214</v>
      </c>
    </row>
    <row r="5011" spans="17:18" ht="15" customHeight="1" x14ac:dyDescent="0.25">
      <c r="Q5011" t="s">
        <v>5943</v>
      </c>
      <c r="R5011" t="s">
        <v>4214</v>
      </c>
    </row>
    <row r="5012" spans="17:18" ht="15" customHeight="1" x14ac:dyDescent="0.25">
      <c r="Q5012" t="s">
        <v>5944</v>
      </c>
      <c r="R5012" t="s">
        <v>4214</v>
      </c>
    </row>
    <row r="5013" spans="17:18" ht="15" customHeight="1" x14ac:dyDescent="0.25">
      <c r="Q5013" t="s">
        <v>5945</v>
      </c>
      <c r="R5013" t="s">
        <v>4214</v>
      </c>
    </row>
    <row r="5014" spans="17:18" ht="15" customHeight="1" x14ac:dyDescent="0.25">
      <c r="Q5014" t="s">
        <v>5946</v>
      </c>
      <c r="R5014" t="s">
        <v>4214</v>
      </c>
    </row>
    <row r="5015" spans="17:18" ht="15" customHeight="1" x14ac:dyDescent="0.25">
      <c r="Q5015" t="s">
        <v>5947</v>
      </c>
      <c r="R5015" t="s">
        <v>4214</v>
      </c>
    </row>
    <row r="5016" spans="17:18" ht="15" customHeight="1" x14ac:dyDescent="0.25">
      <c r="Q5016" t="s">
        <v>5948</v>
      </c>
      <c r="R5016" t="s">
        <v>4214</v>
      </c>
    </row>
    <row r="5017" spans="17:18" ht="15" customHeight="1" x14ac:dyDescent="0.25">
      <c r="Q5017" t="s">
        <v>5949</v>
      </c>
      <c r="R5017" t="s">
        <v>4214</v>
      </c>
    </row>
    <row r="5018" spans="17:18" ht="15" customHeight="1" x14ac:dyDescent="0.25">
      <c r="Q5018" t="s">
        <v>5950</v>
      </c>
      <c r="R5018" t="s">
        <v>4214</v>
      </c>
    </row>
    <row r="5019" spans="17:18" ht="15" customHeight="1" x14ac:dyDescent="0.25">
      <c r="Q5019" t="s">
        <v>5951</v>
      </c>
      <c r="R5019" t="s">
        <v>4214</v>
      </c>
    </row>
    <row r="5020" spans="17:18" ht="15" customHeight="1" x14ac:dyDescent="0.25">
      <c r="Q5020" t="s">
        <v>5952</v>
      </c>
      <c r="R5020" t="s">
        <v>4214</v>
      </c>
    </row>
    <row r="5021" spans="17:18" ht="15" customHeight="1" x14ac:dyDescent="0.25">
      <c r="Q5021" t="s">
        <v>5953</v>
      </c>
      <c r="R5021" t="s">
        <v>4214</v>
      </c>
    </row>
    <row r="5022" spans="17:18" ht="15" customHeight="1" x14ac:dyDescent="0.25">
      <c r="Q5022" t="s">
        <v>5954</v>
      </c>
      <c r="R5022" t="s">
        <v>4214</v>
      </c>
    </row>
    <row r="5023" spans="17:18" ht="15" customHeight="1" x14ac:dyDescent="0.25">
      <c r="Q5023" t="s">
        <v>5955</v>
      </c>
      <c r="R5023" t="s">
        <v>4214</v>
      </c>
    </row>
    <row r="5024" spans="17:18" ht="15" customHeight="1" x14ac:dyDescent="0.25">
      <c r="Q5024" t="s">
        <v>5956</v>
      </c>
      <c r="R5024" t="s">
        <v>4214</v>
      </c>
    </row>
    <row r="5025" spans="17:18" ht="15" customHeight="1" x14ac:dyDescent="0.25">
      <c r="Q5025" t="s">
        <v>5957</v>
      </c>
      <c r="R5025" t="s">
        <v>4214</v>
      </c>
    </row>
    <row r="5026" spans="17:18" ht="15" customHeight="1" x14ac:dyDescent="0.25">
      <c r="Q5026" t="s">
        <v>5958</v>
      </c>
      <c r="R5026" t="s">
        <v>4214</v>
      </c>
    </row>
    <row r="5027" spans="17:18" ht="15" customHeight="1" x14ac:dyDescent="0.25">
      <c r="Q5027" t="s">
        <v>5959</v>
      </c>
      <c r="R5027" t="s">
        <v>4214</v>
      </c>
    </row>
    <row r="5028" spans="17:18" ht="15" customHeight="1" x14ac:dyDescent="0.25">
      <c r="Q5028" t="s">
        <v>5960</v>
      </c>
      <c r="R5028" t="s">
        <v>4214</v>
      </c>
    </row>
    <row r="5029" spans="17:18" ht="15" customHeight="1" x14ac:dyDescent="0.25">
      <c r="Q5029" t="s">
        <v>5961</v>
      </c>
      <c r="R5029" t="s">
        <v>4214</v>
      </c>
    </row>
    <row r="5030" spans="17:18" ht="15" customHeight="1" x14ac:dyDescent="0.25">
      <c r="Q5030" t="s">
        <v>5962</v>
      </c>
      <c r="R5030" t="s">
        <v>4214</v>
      </c>
    </row>
    <row r="5031" spans="17:18" ht="15" customHeight="1" x14ac:dyDescent="0.25">
      <c r="Q5031" t="s">
        <v>5963</v>
      </c>
      <c r="R5031" t="s">
        <v>4214</v>
      </c>
    </row>
    <row r="5032" spans="17:18" ht="15" customHeight="1" x14ac:dyDescent="0.25">
      <c r="Q5032" t="s">
        <v>5964</v>
      </c>
      <c r="R5032" t="s">
        <v>4214</v>
      </c>
    </row>
    <row r="5033" spans="17:18" ht="15" customHeight="1" x14ac:dyDescent="0.25">
      <c r="Q5033" t="s">
        <v>5965</v>
      </c>
      <c r="R5033" t="s">
        <v>4214</v>
      </c>
    </row>
    <row r="5034" spans="17:18" ht="15" customHeight="1" x14ac:dyDescent="0.25">
      <c r="Q5034" t="s">
        <v>5966</v>
      </c>
      <c r="R5034" t="s">
        <v>4214</v>
      </c>
    </row>
    <row r="5035" spans="17:18" ht="15" customHeight="1" x14ac:dyDescent="0.25">
      <c r="Q5035" t="s">
        <v>5967</v>
      </c>
      <c r="R5035" t="s">
        <v>4214</v>
      </c>
    </row>
    <row r="5036" spans="17:18" ht="15" customHeight="1" x14ac:dyDescent="0.25">
      <c r="Q5036" t="s">
        <v>5968</v>
      </c>
      <c r="R5036" t="s">
        <v>4214</v>
      </c>
    </row>
    <row r="5037" spans="17:18" ht="15" customHeight="1" x14ac:dyDescent="0.25">
      <c r="Q5037" t="s">
        <v>5969</v>
      </c>
      <c r="R5037" t="s">
        <v>4214</v>
      </c>
    </row>
    <row r="5038" spans="17:18" ht="15" customHeight="1" x14ac:dyDescent="0.25">
      <c r="Q5038" t="s">
        <v>5970</v>
      </c>
      <c r="R5038" t="s">
        <v>4214</v>
      </c>
    </row>
    <row r="5039" spans="17:18" ht="15" customHeight="1" x14ac:dyDescent="0.25">
      <c r="Q5039" t="s">
        <v>5971</v>
      </c>
      <c r="R5039" t="s">
        <v>4214</v>
      </c>
    </row>
    <row r="5040" spans="17:18" ht="15" customHeight="1" x14ac:dyDescent="0.25">
      <c r="Q5040" t="s">
        <v>5972</v>
      </c>
      <c r="R5040" t="s">
        <v>4214</v>
      </c>
    </row>
    <row r="5041" spans="17:18" ht="15" customHeight="1" x14ac:dyDescent="0.25">
      <c r="Q5041" t="s">
        <v>5973</v>
      </c>
      <c r="R5041" t="s">
        <v>4214</v>
      </c>
    </row>
    <row r="5042" spans="17:18" ht="15" customHeight="1" x14ac:dyDescent="0.25">
      <c r="Q5042" t="s">
        <v>5974</v>
      </c>
      <c r="R5042" t="s">
        <v>4214</v>
      </c>
    </row>
    <row r="5043" spans="17:18" ht="15" customHeight="1" x14ac:dyDescent="0.25">
      <c r="Q5043" t="s">
        <v>5975</v>
      </c>
      <c r="R5043" t="s">
        <v>4214</v>
      </c>
    </row>
    <row r="5044" spans="17:18" ht="15" customHeight="1" x14ac:dyDescent="0.25">
      <c r="Q5044" t="s">
        <v>5976</v>
      </c>
      <c r="R5044" t="s">
        <v>4214</v>
      </c>
    </row>
    <row r="5045" spans="17:18" ht="15" customHeight="1" x14ac:dyDescent="0.25">
      <c r="Q5045" t="s">
        <v>5977</v>
      </c>
      <c r="R5045" t="s">
        <v>4214</v>
      </c>
    </row>
    <row r="5046" spans="17:18" ht="15" customHeight="1" x14ac:dyDescent="0.25">
      <c r="Q5046" t="s">
        <v>5978</v>
      </c>
      <c r="R5046" t="s">
        <v>4214</v>
      </c>
    </row>
    <row r="5047" spans="17:18" ht="15" customHeight="1" x14ac:dyDescent="0.25">
      <c r="Q5047" t="s">
        <v>5979</v>
      </c>
      <c r="R5047" t="s">
        <v>4214</v>
      </c>
    </row>
    <row r="5048" spans="17:18" ht="15" customHeight="1" x14ac:dyDescent="0.25">
      <c r="Q5048" t="s">
        <v>5980</v>
      </c>
      <c r="R5048" t="s">
        <v>4214</v>
      </c>
    </row>
    <row r="5049" spans="17:18" ht="15" customHeight="1" x14ac:dyDescent="0.25">
      <c r="Q5049" t="s">
        <v>5981</v>
      </c>
      <c r="R5049" t="s">
        <v>4214</v>
      </c>
    </row>
    <row r="5050" spans="17:18" ht="15" customHeight="1" x14ac:dyDescent="0.25">
      <c r="Q5050" t="s">
        <v>5982</v>
      </c>
      <c r="R5050" t="s">
        <v>4214</v>
      </c>
    </row>
    <row r="5051" spans="17:18" ht="15" customHeight="1" x14ac:dyDescent="0.25">
      <c r="Q5051" t="s">
        <v>5983</v>
      </c>
      <c r="R5051" t="s">
        <v>4214</v>
      </c>
    </row>
    <row r="5052" spans="17:18" ht="15" customHeight="1" x14ac:dyDescent="0.25">
      <c r="Q5052" t="s">
        <v>5984</v>
      </c>
      <c r="R5052" t="s">
        <v>4214</v>
      </c>
    </row>
    <row r="5053" spans="17:18" ht="15" customHeight="1" x14ac:dyDescent="0.25">
      <c r="Q5053" t="s">
        <v>5985</v>
      </c>
      <c r="R5053" t="s">
        <v>4214</v>
      </c>
    </row>
    <row r="5054" spans="17:18" ht="15" customHeight="1" x14ac:dyDescent="0.25">
      <c r="Q5054" t="s">
        <v>5986</v>
      </c>
      <c r="R5054" t="s">
        <v>4214</v>
      </c>
    </row>
    <row r="5055" spans="17:18" ht="15" customHeight="1" x14ac:dyDescent="0.25">
      <c r="Q5055" t="s">
        <v>5987</v>
      </c>
      <c r="R5055" t="s">
        <v>4214</v>
      </c>
    </row>
    <row r="5056" spans="17:18" ht="15" customHeight="1" x14ac:dyDescent="0.25">
      <c r="Q5056" t="s">
        <v>5988</v>
      </c>
      <c r="R5056" t="s">
        <v>4214</v>
      </c>
    </row>
    <row r="5057" spans="17:18" ht="15" customHeight="1" x14ac:dyDescent="0.25">
      <c r="Q5057" t="s">
        <v>5989</v>
      </c>
      <c r="R5057" t="s">
        <v>2358</v>
      </c>
    </row>
    <row r="5058" spans="17:18" ht="15" customHeight="1" x14ac:dyDescent="0.25">
      <c r="Q5058" t="s">
        <v>5990</v>
      </c>
      <c r="R5058" t="s">
        <v>2358</v>
      </c>
    </row>
    <row r="5059" spans="17:18" ht="15" customHeight="1" x14ac:dyDescent="0.25">
      <c r="Q5059" t="s">
        <v>5991</v>
      </c>
      <c r="R5059" t="s">
        <v>2358</v>
      </c>
    </row>
    <row r="5060" spans="17:18" ht="15" customHeight="1" x14ac:dyDescent="0.25">
      <c r="Q5060" t="s">
        <v>5992</v>
      </c>
      <c r="R5060" t="s">
        <v>2358</v>
      </c>
    </row>
    <row r="5061" spans="17:18" ht="15" customHeight="1" x14ac:dyDescent="0.25">
      <c r="Q5061" t="s">
        <v>5993</v>
      </c>
      <c r="R5061" t="s">
        <v>2358</v>
      </c>
    </row>
    <row r="5062" spans="17:18" ht="15" customHeight="1" x14ac:dyDescent="0.25">
      <c r="Q5062" t="s">
        <v>5994</v>
      </c>
      <c r="R5062" t="s">
        <v>2358</v>
      </c>
    </row>
    <row r="5063" spans="17:18" ht="15" customHeight="1" x14ac:dyDescent="0.25">
      <c r="Q5063" t="s">
        <v>5995</v>
      </c>
      <c r="R5063" t="s">
        <v>2358</v>
      </c>
    </row>
    <row r="5064" spans="17:18" ht="15" customHeight="1" x14ac:dyDescent="0.25">
      <c r="Q5064" t="s">
        <v>5996</v>
      </c>
      <c r="R5064" t="s">
        <v>2358</v>
      </c>
    </row>
    <row r="5065" spans="17:18" ht="15" customHeight="1" x14ac:dyDescent="0.25">
      <c r="Q5065" t="s">
        <v>5997</v>
      </c>
      <c r="R5065" t="s">
        <v>5998</v>
      </c>
    </row>
    <row r="5066" spans="17:18" ht="15" customHeight="1" x14ac:dyDescent="0.25">
      <c r="Q5066" t="s">
        <v>5999</v>
      </c>
      <c r="R5066" t="s">
        <v>5998</v>
      </c>
    </row>
    <row r="5067" spans="17:18" ht="15" customHeight="1" x14ac:dyDescent="0.25">
      <c r="Q5067" t="s">
        <v>6000</v>
      </c>
      <c r="R5067" t="s">
        <v>5998</v>
      </c>
    </row>
    <row r="5068" spans="17:18" ht="15" customHeight="1" x14ac:dyDescent="0.25">
      <c r="Q5068" t="s">
        <v>6001</v>
      </c>
      <c r="R5068" t="s">
        <v>5998</v>
      </c>
    </row>
    <row r="5069" spans="17:18" ht="15" customHeight="1" x14ac:dyDescent="0.25">
      <c r="Q5069" t="s">
        <v>6002</v>
      </c>
      <c r="R5069" t="s">
        <v>4214</v>
      </c>
    </row>
    <row r="5070" spans="17:18" ht="15" customHeight="1" x14ac:dyDescent="0.25">
      <c r="Q5070" t="s">
        <v>6003</v>
      </c>
      <c r="R5070" t="s">
        <v>4214</v>
      </c>
    </row>
    <row r="5071" spans="17:18" ht="15" customHeight="1" x14ac:dyDescent="0.25">
      <c r="Q5071" t="s">
        <v>6004</v>
      </c>
      <c r="R5071" t="s">
        <v>4214</v>
      </c>
    </row>
    <row r="5072" spans="17:18" ht="15" customHeight="1" x14ac:dyDescent="0.25">
      <c r="Q5072" t="s">
        <v>6005</v>
      </c>
      <c r="R5072" t="s">
        <v>4214</v>
      </c>
    </row>
    <row r="5073" spans="17:18" ht="15" customHeight="1" x14ac:dyDescent="0.25">
      <c r="Q5073" t="s">
        <v>6006</v>
      </c>
      <c r="R5073" t="s">
        <v>4214</v>
      </c>
    </row>
    <row r="5074" spans="17:18" ht="15" customHeight="1" x14ac:dyDescent="0.25">
      <c r="Q5074" t="s">
        <v>6007</v>
      </c>
      <c r="R5074" t="s">
        <v>4214</v>
      </c>
    </row>
    <row r="5075" spans="17:18" ht="15" customHeight="1" x14ac:dyDescent="0.25">
      <c r="Q5075" t="s">
        <v>6008</v>
      </c>
      <c r="R5075" t="s">
        <v>4214</v>
      </c>
    </row>
    <row r="5076" spans="17:18" ht="15" customHeight="1" x14ac:dyDescent="0.25">
      <c r="Q5076" t="s">
        <v>6009</v>
      </c>
      <c r="R5076" t="s">
        <v>4214</v>
      </c>
    </row>
    <row r="5077" spans="17:18" ht="15" customHeight="1" x14ac:dyDescent="0.25">
      <c r="Q5077" t="s">
        <v>6010</v>
      </c>
      <c r="R5077" t="s">
        <v>4214</v>
      </c>
    </row>
    <row r="5078" spans="17:18" ht="15" customHeight="1" x14ac:dyDescent="0.25">
      <c r="Q5078" t="s">
        <v>6011</v>
      </c>
      <c r="R5078" t="s">
        <v>4214</v>
      </c>
    </row>
    <row r="5079" spans="17:18" ht="15" customHeight="1" x14ac:dyDescent="0.25">
      <c r="Q5079" t="s">
        <v>6012</v>
      </c>
      <c r="R5079" t="s">
        <v>4214</v>
      </c>
    </row>
    <row r="5080" spans="17:18" ht="15" customHeight="1" x14ac:dyDescent="0.25">
      <c r="Q5080" t="s">
        <v>6013</v>
      </c>
      <c r="R5080" t="s">
        <v>4214</v>
      </c>
    </row>
    <row r="5081" spans="17:18" ht="15" customHeight="1" x14ac:dyDescent="0.25">
      <c r="Q5081" t="s">
        <v>6014</v>
      </c>
      <c r="R5081" t="s">
        <v>4214</v>
      </c>
    </row>
    <row r="5082" spans="17:18" ht="15" customHeight="1" x14ac:dyDescent="0.25">
      <c r="Q5082" t="s">
        <v>6015</v>
      </c>
      <c r="R5082" t="s">
        <v>4214</v>
      </c>
    </row>
    <row r="5083" spans="17:18" ht="15" customHeight="1" x14ac:dyDescent="0.25">
      <c r="Q5083" t="s">
        <v>6016</v>
      </c>
      <c r="R5083" t="s">
        <v>4214</v>
      </c>
    </row>
    <row r="5084" spans="17:18" ht="15" customHeight="1" x14ac:dyDescent="0.25">
      <c r="Q5084" t="s">
        <v>6017</v>
      </c>
      <c r="R5084" t="s">
        <v>4214</v>
      </c>
    </row>
    <row r="5085" spans="17:18" ht="15" customHeight="1" x14ac:dyDescent="0.25">
      <c r="Q5085" t="s">
        <v>6018</v>
      </c>
      <c r="R5085" t="s">
        <v>4214</v>
      </c>
    </row>
    <row r="5086" spans="17:18" ht="15" customHeight="1" x14ac:dyDescent="0.25">
      <c r="Q5086" t="s">
        <v>6019</v>
      </c>
      <c r="R5086" t="s">
        <v>4214</v>
      </c>
    </row>
    <row r="5087" spans="17:18" ht="15" customHeight="1" x14ac:dyDescent="0.25">
      <c r="Q5087" t="s">
        <v>6020</v>
      </c>
      <c r="R5087" t="s">
        <v>4214</v>
      </c>
    </row>
    <row r="5088" spans="17:18" ht="15" customHeight="1" x14ac:dyDescent="0.25">
      <c r="Q5088" t="s">
        <v>6021</v>
      </c>
      <c r="R5088" t="s">
        <v>4214</v>
      </c>
    </row>
    <row r="5089" spans="17:18" ht="15" customHeight="1" x14ac:dyDescent="0.25">
      <c r="Q5089" t="s">
        <v>6022</v>
      </c>
      <c r="R5089" t="s">
        <v>4214</v>
      </c>
    </row>
    <row r="5090" spans="17:18" ht="15" customHeight="1" x14ac:dyDescent="0.25">
      <c r="Q5090" t="s">
        <v>6023</v>
      </c>
      <c r="R5090" t="s">
        <v>936</v>
      </c>
    </row>
    <row r="5091" spans="17:18" ht="15" customHeight="1" x14ac:dyDescent="0.25">
      <c r="Q5091" t="s">
        <v>6024</v>
      </c>
      <c r="R5091" t="s">
        <v>936</v>
      </c>
    </row>
    <row r="5092" spans="17:18" ht="15" customHeight="1" x14ac:dyDescent="0.25">
      <c r="Q5092" t="s">
        <v>6025</v>
      </c>
      <c r="R5092" t="s">
        <v>936</v>
      </c>
    </row>
    <row r="5093" spans="17:18" ht="15" customHeight="1" x14ac:dyDescent="0.25">
      <c r="Q5093" t="s">
        <v>6026</v>
      </c>
      <c r="R5093" t="s">
        <v>277</v>
      </c>
    </row>
    <row r="5094" spans="17:18" ht="15" customHeight="1" x14ac:dyDescent="0.25">
      <c r="Q5094" t="s">
        <v>6027</v>
      </c>
      <c r="R5094" t="s">
        <v>936</v>
      </c>
    </row>
    <row r="5095" spans="17:18" ht="15" customHeight="1" x14ac:dyDescent="0.25">
      <c r="Q5095" t="s">
        <v>6028</v>
      </c>
      <c r="R5095" t="s">
        <v>936</v>
      </c>
    </row>
    <row r="5096" spans="17:18" ht="15" customHeight="1" x14ac:dyDescent="0.25">
      <c r="Q5096" t="s">
        <v>6029</v>
      </c>
      <c r="R5096" t="s">
        <v>936</v>
      </c>
    </row>
    <row r="5097" spans="17:18" ht="15" customHeight="1" x14ac:dyDescent="0.25">
      <c r="Q5097" t="s">
        <v>6030</v>
      </c>
      <c r="R5097" t="s">
        <v>936</v>
      </c>
    </row>
    <row r="5098" spans="17:18" ht="15" customHeight="1" x14ac:dyDescent="0.25">
      <c r="Q5098" t="s">
        <v>6031</v>
      </c>
      <c r="R5098" t="s">
        <v>936</v>
      </c>
    </row>
    <row r="5099" spans="17:18" ht="15" customHeight="1" x14ac:dyDescent="0.25">
      <c r="Q5099" t="s">
        <v>6032</v>
      </c>
      <c r="R5099" t="s">
        <v>936</v>
      </c>
    </row>
    <row r="5100" spans="17:18" ht="15" customHeight="1" x14ac:dyDescent="0.25">
      <c r="Q5100" t="s">
        <v>6033</v>
      </c>
      <c r="R5100" t="s">
        <v>936</v>
      </c>
    </row>
    <row r="5101" spans="17:18" ht="15" customHeight="1" x14ac:dyDescent="0.25">
      <c r="Q5101" t="s">
        <v>6034</v>
      </c>
      <c r="R5101" t="s">
        <v>936</v>
      </c>
    </row>
    <row r="5102" spans="17:18" ht="15" customHeight="1" x14ac:dyDescent="0.25">
      <c r="Q5102" t="s">
        <v>6035</v>
      </c>
      <c r="R5102" t="s">
        <v>936</v>
      </c>
    </row>
    <row r="5103" spans="17:18" ht="15" customHeight="1" x14ac:dyDescent="0.25">
      <c r="Q5103" t="s">
        <v>6036</v>
      </c>
      <c r="R5103" t="s">
        <v>936</v>
      </c>
    </row>
    <row r="5104" spans="17:18" ht="15" customHeight="1" x14ac:dyDescent="0.25">
      <c r="Q5104" t="s">
        <v>6037</v>
      </c>
      <c r="R5104" t="s">
        <v>936</v>
      </c>
    </row>
    <row r="5105" spans="17:18" ht="15" customHeight="1" x14ac:dyDescent="0.25">
      <c r="Q5105" t="s">
        <v>6038</v>
      </c>
      <c r="R5105" t="s">
        <v>936</v>
      </c>
    </row>
    <row r="5106" spans="17:18" ht="15" customHeight="1" x14ac:dyDescent="0.25">
      <c r="Q5106" t="s">
        <v>6039</v>
      </c>
      <c r="R5106" t="s">
        <v>936</v>
      </c>
    </row>
    <row r="5107" spans="17:18" ht="15" customHeight="1" x14ac:dyDescent="0.25">
      <c r="Q5107" t="s">
        <v>6040</v>
      </c>
      <c r="R5107" t="s">
        <v>936</v>
      </c>
    </row>
    <row r="5108" spans="17:18" ht="15" customHeight="1" x14ac:dyDescent="0.25">
      <c r="Q5108" t="s">
        <v>6041</v>
      </c>
      <c r="R5108" t="s">
        <v>936</v>
      </c>
    </row>
    <row r="5109" spans="17:18" ht="15" customHeight="1" x14ac:dyDescent="0.25">
      <c r="Q5109" t="s">
        <v>6042</v>
      </c>
      <c r="R5109" t="s">
        <v>936</v>
      </c>
    </row>
    <row r="5110" spans="17:18" ht="15" customHeight="1" x14ac:dyDescent="0.25">
      <c r="Q5110" t="s">
        <v>6043</v>
      </c>
      <c r="R5110" t="s">
        <v>936</v>
      </c>
    </row>
    <row r="5111" spans="17:18" ht="15" customHeight="1" x14ac:dyDescent="0.25">
      <c r="Q5111" t="s">
        <v>6044</v>
      </c>
      <c r="R5111" t="s">
        <v>936</v>
      </c>
    </row>
    <row r="5112" spans="17:18" ht="15" customHeight="1" x14ac:dyDescent="0.25">
      <c r="Q5112" t="s">
        <v>6045</v>
      </c>
      <c r="R5112" t="s">
        <v>936</v>
      </c>
    </row>
    <row r="5113" spans="17:18" ht="15" customHeight="1" x14ac:dyDescent="0.25">
      <c r="Q5113" t="s">
        <v>6046</v>
      </c>
      <c r="R5113" t="s">
        <v>936</v>
      </c>
    </row>
    <row r="5114" spans="17:18" ht="15" customHeight="1" x14ac:dyDescent="0.25">
      <c r="Q5114" t="s">
        <v>6047</v>
      </c>
      <c r="R5114" t="s">
        <v>936</v>
      </c>
    </row>
    <row r="5115" spans="17:18" ht="15" customHeight="1" x14ac:dyDescent="0.25">
      <c r="Q5115" t="s">
        <v>6048</v>
      </c>
      <c r="R5115" t="s">
        <v>936</v>
      </c>
    </row>
    <row r="5116" spans="17:18" ht="15" customHeight="1" x14ac:dyDescent="0.25">
      <c r="Q5116" t="s">
        <v>6049</v>
      </c>
      <c r="R5116" t="s">
        <v>936</v>
      </c>
    </row>
    <row r="5117" spans="17:18" ht="15" customHeight="1" x14ac:dyDescent="0.25">
      <c r="Q5117" t="s">
        <v>6050</v>
      </c>
      <c r="R5117" t="s">
        <v>936</v>
      </c>
    </row>
    <row r="5118" spans="17:18" ht="15" customHeight="1" x14ac:dyDescent="0.25">
      <c r="Q5118" t="s">
        <v>6051</v>
      </c>
      <c r="R5118" t="s">
        <v>936</v>
      </c>
    </row>
    <row r="5119" spans="17:18" ht="15" customHeight="1" x14ac:dyDescent="0.25">
      <c r="Q5119" t="s">
        <v>6052</v>
      </c>
      <c r="R5119" t="s">
        <v>936</v>
      </c>
    </row>
    <row r="5120" spans="17:18" ht="15" customHeight="1" x14ac:dyDescent="0.25">
      <c r="Q5120" t="s">
        <v>6053</v>
      </c>
      <c r="R5120" t="s">
        <v>936</v>
      </c>
    </row>
    <row r="5121" spans="17:18" ht="15" customHeight="1" x14ac:dyDescent="0.25">
      <c r="Q5121" t="s">
        <v>6054</v>
      </c>
      <c r="R5121" t="s">
        <v>936</v>
      </c>
    </row>
    <row r="5122" spans="17:18" ht="15" customHeight="1" x14ac:dyDescent="0.25">
      <c r="Q5122" t="s">
        <v>6055</v>
      </c>
      <c r="R5122" t="s">
        <v>936</v>
      </c>
    </row>
    <row r="5123" spans="17:18" ht="15" customHeight="1" x14ac:dyDescent="0.25">
      <c r="Q5123" t="s">
        <v>6056</v>
      </c>
      <c r="R5123" t="s">
        <v>936</v>
      </c>
    </row>
    <row r="5124" spans="17:18" ht="15" customHeight="1" x14ac:dyDescent="0.25">
      <c r="Q5124" t="s">
        <v>6057</v>
      </c>
      <c r="R5124" t="s">
        <v>936</v>
      </c>
    </row>
    <row r="5125" spans="17:18" ht="15" customHeight="1" x14ac:dyDescent="0.25">
      <c r="Q5125" t="s">
        <v>6058</v>
      </c>
      <c r="R5125" t="s">
        <v>936</v>
      </c>
    </row>
    <row r="5126" spans="17:18" ht="15" customHeight="1" x14ac:dyDescent="0.25">
      <c r="Q5126" t="s">
        <v>6059</v>
      </c>
      <c r="R5126" t="s">
        <v>936</v>
      </c>
    </row>
    <row r="5127" spans="17:18" ht="15" customHeight="1" x14ac:dyDescent="0.25">
      <c r="Q5127" t="s">
        <v>6060</v>
      </c>
      <c r="R5127" t="s">
        <v>936</v>
      </c>
    </row>
    <row r="5128" spans="17:18" ht="15" customHeight="1" x14ac:dyDescent="0.25">
      <c r="Q5128" t="s">
        <v>6061</v>
      </c>
      <c r="R5128" t="s">
        <v>936</v>
      </c>
    </row>
    <row r="5129" spans="17:18" ht="15" customHeight="1" x14ac:dyDescent="0.25">
      <c r="Q5129" t="s">
        <v>6062</v>
      </c>
      <c r="R5129" t="s">
        <v>936</v>
      </c>
    </row>
    <row r="5130" spans="17:18" ht="15" customHeight="1" x14ac:dyDescent="0.25">
      <c r="Q5130" t="s">
        <v>6063</v>
      </c>
      <c r="R5130" t="s">
        <v>936</v>
      </c>
    </row>
    <row r="5131" spans="17:18" ht="15" customHeight="1" x14ac:dyDescent="0.25">
      <c r="Q5131" t="s">
        <v>6064</v>
      </c>
      <c r="R5131" t="s">
        <v>936</v>
      </c>
    </row>
    <row r="5132" spans="17:18" ht="15" customHeight="1" x14ac:dyDescent="0.25">
      <c r="Q5132" t="s">
        <v>6065</v>
      </c>
      <c r="R5132" t="s">
        <v>936</v>
      </c>
    </row>
    <row r="5133" spans="17:18" ht="15" customHeight="1" x14ac:dyDescent="0.25">
      <c r="Q5133" t="s">
        <v>6066</v>
      </c>
      <c r="R5133" t="s">
        <v>936</v>
      </c>
    </row>
    <row r="5134" spans="17:18" ht="15" customHeight="1" x14ac:dyDescent="0.25">
      <c r="Q5134" t="s">
        <v>6067</v>
      </c>
      <c r="R5134" t="s">
        <v>936</v>
      </c>
    </row>
    <row r="5135" spans="17:18" ht="15" customHeight="1" x14ac:dyDescent="0.25">
      <c r="Q5135" t="s">
        <v>6068</v>
      </c>
      <c r="R5135" t="s">
        <v>936</v>
      </c>
    </row>
    <row r="5136" spans="17:18" ht="15" customHeight="1" x14ac:dyDescent="0.25">
      <c r="Q5136" t="s">
        <v>6069</v>
      </c>
      <c r="R5136" t="s">
        <v>936</v>
      </c>
    </row>
    <row r="5137" spans="17:18" ht="15" customHeight="1" x14ac:dyDescent="0.25">
      <c r="Q5137" t="s">
        <v>6070</v>
      </c>
      <c r="R5137" t="s">
        <v>936</v>
      </c>
    </row>
    <row r="5138" spans="17:18" ht="15" customHeight="1" x14ac:dyDescent="0.25">
      <c r="Q5138" t="s">
        <v>6071</v>
      </c>
      <c r="R5138" t="s">
        <v>936</v>
      </c>
    </row>
    <row r="5139" spans="17:18" ht="15" customHeight="1" x14ac:dyDescent="0.25">
      <c r="Q5139" t="s">
        <v>6072</v>
      </c>
      <c r="R5139" t="s">
        <v>936</v>
      </c>
    </row>
    <row r="5140" spans="17:18" ht="15" customHeight="1" x14ac:dyDescent="0.25">
      <c r="Q5140" t="s">
        <v>6073</v>
      </c>
      <c r="R5140" t="s">
        <v>936</v>
      </c>
    </row>
    <row r="5141" spans="17:18" ht="15" customHeight="1" x14ac:dyDescent="0.25">
      <c r="Q5141" t="s">
        <v>6074</v>
      </c>
      <c r="R5141" t="s">
        <v>936</v>
      </c>
    </row>
    <row r="5142" spans="17:18" ht="15" customHeight="1" x14ac:dyDescent="0.25">
      <c r="Q5142" t="s">
        <v>6075</v>
      </c>
      <c r="R5142" t="s">
        <v>936</v>
      </c>
    </row>
    <row r="5143" spans="17:18" ht="15" customHeight="1" x14ac:dyDescent="0.25">
      <c r="Q5143" t="s">
        <v>6076</v>
      </c>
      <c r="R5143" t="s">
        <v>936</v>
      </c>
    </row>
    <row r="5144" spans="17:18" ht="15" customHeight="1" x14ac:dyDescent="0.25">
      <c r="Q5144" t="s">
        <v>6077</v>
      </c>
      <c r="R5144" t="s">
        <v>936</v>
      </c>
    </row>
    <row r="5145" spans="17:18" ht="15" customHeight="1" x14ac:dyDescent="0.25">
      <c r="Q5145" t="s">
        <v>6078</v>
      </c>
      <c r="R5145" t="s">
        <v>936</v>
      </c>
    </row>
    <row r="5146" spans="17:18" ht="15" customHeight="1" x14ac:dyDescent="0.25">
      <c r="Q5146" t="s">
        <v>6079</v>
      </c>
      <c r="R5146" t="s">
        <v>936</v>
      </c>
    </row>
    <row r="5147" spans="17:18" ht="15" customHeight="1" x14ac:dyDescent="0.25">
      <c r="Q5147" t="s">
        <v>6080</v>
      </c>
      <c r="R5147" t="s">
        <v>936</v>
      </c>
    </row>
    <row r="5148" spans="17:18" ht="15" customHeight="1" x14ac:dyDescent="0.25">
      <c r="Q5148" t="s">
        <v>6081</v>
      </c>
      <c r="R5148" t="s">
        <v>936</v>
      </c>
    </row>
    <row r="5149" spans="17:18" ht="15" customHeight="1" x14ac:dyDescent="0.25">
      <c r="Q5149" t="s">
        <v>6082</v>
      </c>
      <c r="R5149" t="s">
        <v>936</v>
      </c>
    </row>
    <row r="5150" spans="17:18" ht="15" customHeight="1" x14ac:dyDescent="0.25">
      <c r="Q5150" t="s">
        <v>6083</v>
      </c>
      <c r="R5150" t="s">
        <v>936</v>
      </c>
    </row>
    <row r="5151" spans="17:18" ht="15" customHeight="1" x14ac:dyDescent="0.25">
      <c r="Q5151" t="s">
        <v>6084</v>
      </c>
      <c r="R5151" t="s">
        <v>936</v>
      </c>
    </row>
    <row r="5152" spans="17:18" ht="15" customHeight="1" x14ac:dyDescent="0.25">
      <c r="Q5152" t="s">
        <v>6085</v>
      </c>
      <c r="R5152" t="s">
        <v>936</v>
      </c>
    </row>
    <row r="5153" spans="17:18" ht="15" customHeight="1" x14ac:dyDescent="0.25">
      <c r="Q5153" t="s">
        <v>6086</v>
      </c>
      <c r="R5153" t="s">
        <v>936</v>
      </c>
    </row>
    <row r="5154" spans="17:18" ht="15" customHeight="1" x14ac:dyDescent="0.25">
      <c r="Q5154" t="s">
        <v>6087</v>
      </c>
      <c r="R5154" t="s">
        <v>936</v>
      </c>
    </row>
    <row r="5155" spans="17:18" ht="15" customHeight="1" x14ac:dyDescent="0.25">
      <c r="Q5155" t="s">
        <v>6088</v>
      </c>
      <c r="R5155" t="s">
        <v>936</v>
      </c>
    </row>
    <row r="5156" spans="17:18" ht="15" customHeight="1" x14ac:dyDescent="0.25">
      <c r="Q5156" t="s">
        <v>6089</v>
      </c>
      <c r="R5156" t="s">
        <v>936</v>
      </c>
    </row>
    <row r="5157" spans="17:18" ht="15" customHeight="1" x14ac:dyDescent="0.25">
      <c r="Q5157" t="s">
        <v>6090</v>
      </c>
      <c r="R5157" t="s">
        <v>936</v>
      </c>
    </row>
    <row r="5158" spans="17:18" ht="15" customHeight="1" x14ac:dyDescent="0.25">
      <c r="Q5158" t="s">
        <v>6091</v>
      </c>
      <c r="R5158" t="s">
        <v>936</v>
      </c>
    </row>
    <row r="5159" spans="17:18" ht="15" customHeight="1" x14ac:dyDescent="0.25">
      <c r="Q5159" t="s">
        <v>6092</v>
      </c>
      <c r="R5159" t="s">
        <v>936</v>
      </c>
    </row>
    <row r="5160" spans="17:18" ht="15" customHeight="1" x14ac:dyDescent="0.25">
      <c r="Q5160" t="s">
        <v>6093</v>
      </c>
      <c r="R5160" t="s">
        <v>936</v>
      </c>
    </row>
    <row r="5161" spans="17:18" ht="15" customHeight="1" x14ac:dyDescent="0.25">
      <c r="Q5161" t="s">
        <v>6094</v>
      </c>
      <c r="R5161" t="s">
        <v>936</v>
      </c>
    </row>
    <row r="5162" spans="17:18" ht="15" customHeight="1" x14ac:dyDescent="0.25">
      <c r="Q5162" t="s">
        <v>6095</v>
      </c>
      <c r="R5162" t="s">
        <v>936</v>
      </c>
    </row>
    <row r="5163" spans="17:18" ht="15" customHeight="1" x14ac:dyDescent="0.25">
      <c r="Q5163" t="s">
        <v>6096</v>
      </c>
      <c r="R5163" t="s">
        <v>936</v>
      </c>
    </row>
    <row r="5164" spans="17:18" ht="15" customHeight="1" x14ac:dyDescent="0.25">
      <c r="Q5164" t="s">
        <v>6097</v>
      </c>
      <c r="R5164" t="s">
        <v>936</v>
      </c>
    </row>
    <row r="5165" spans="17:18" ht="15" customHeight="1" x14ac:dyDescent="0.25">
      <c r="Q5165" t="s">
        <v>6098</v>
      </c>
      <c r="R5165" t="s">
        <v>936</v>
      </c>
    </row>
    <row r="5166" spans="17:18" ht="15" customHeight="1" x14ac:dyDescent="0.25">
      <c r="Q5166" t="s">
        <v>6099</v>
      </c>
      <c r="R5166" t="s">
        <v>936</v>
      </c>
    </row>
    <row r="5167" spans="17:18" ht="15" customHeight="1" x14ac:dyDescent="0.25">
      <c r="Q5167" t="s">
        <v>6100</v>
      </c>
      <c r="R5167" t="s">
        <v>936</v>
      </c>
    </row>
    <row r="5168" spans="17:18" ht="15" customHeight="1" x14ac:dyDescent="0.25">
      <c r="Q5168" t="s">
        <v>6101</v>
      </c>
      <c r="R5168" t="s">
        <v>936</v>
      </c>
    </row>
    <row r="5169" spans="17:18" ht="15" customHeight="1" x14ac:dyDescent="0.25">
      <c r="Q5169" t="s">
        <v>6102</v>
      </c>
      <c r="R5169" t="s">
        <v>936</v>
      </c>
    </row>
    <row r="5170" spans="17:18" ht="15" customHeight="1" x14ac:dyDescent="0.25">
      <c r="Q5170" t="s">
        <v>6103</v>
      </c>
      <c r="R5170" t="s">
        <v>936</v>
      </c>
    </row>
    <row r="5171" spans="17:18" ht="15" customHeight="1" x14ac:dyDescent="0.25">
      <c r="Q5171" t="s">
        <v>6104</v>
      </c>
      <c r="R5171" t="s">
        <v>936</v>
      </c>
    </row>
    <row r="5172" spans="17:18" ht="15" customHeight="1" x14ac:dyDescent="0.25">
      <c r="Q5172" t="s">
        <v>6105</v>
      </c>
      <c r="R5172" t="s">
        <v>936</v>
      </c>
    </row>
    <row r="5173" spans="17:18" ht="15" customHeight="1" x14ac:dyDescent="0.25">
      <c r="Q5173" t="s">
        <v>6106</v>
      </c>
      <c r="R5173" t="s">
        <v>936</v>
      </c>
    </row>
    <row r="5174" spans="17:18" ht="15" customHeight="1" x14ac:dyDescent="0.25">
      <c r="Q5174" t="s">
        <v>6107</v>
      </c>
      <c r="R5174" t="s">
        <v>936</v>
      </c>
    </row>
    <row r="5175" spans="17:18" ht="15" customHeight="1" x14ac:dyDescent="0.25">
      <c r="Q5175" t="s">
        <v>6108</v>
      </c>
      <c r="R5175" t="s">
        <v>936</v>
      </c>
    </row>
    <row r="5176" spans="17:18" ht="15" customHeight="1" x14ac:dyDescent="0.25">
      <c r="Q5176" t="s">
        <v>6109</v>
      </c>
      <c r="R5176" t="s">
        <v>936</v>
      </c>
    </row>
    <row r="5177" spans="17:18" ht="15" customHeight="1" x14ac:dyDescent="0.25">
      <c r="Q5177" t="s">
        <v>6110</v>
      </c>
      <c r="R5177" t="s">
        <v>936</v>
      </c>
    </row>
    <row r="5178" spans="17:18" ht="15" customHeight="1" x14ac:dyDescent="0.25">
      <c r="Q5178" t="s">
        <v>6111</v>
      </c>
      <c r="R5178" t="s">
        <v>936</v>
      </c>
    </row>
    <row r="5179" spans="17:18" ht="15" customHeight="1" x14ac:dyDescent="0.25">
      <c r="Q5179" t="s">
        <v>6112</v>
      </c>
      <c r="R5179" t="s">
        <v>936</v>
      </c>
    </row>
    <row r="5180" spans="17:18" ht="15" customHeight="1" x14ac:dyDescent="0.25">
      <c r="Q5180" t="s">
        <v>6113</v>
      </c>
      <c r="R5180" t="s">
        <v>936</v>
      </c>
    </row>
    <row r="5181" spans="17:18" ht="15" customHeight="1" x14ac:dyDescent="0.25">
      <c r="Q5181" t="s">
        <v>6114</v>
      </c>
      <c r="R5181" t="s">
        <v>936</v>
      </c>
    </row>
    <row r="5182" spans="17:18" ht="15" customHeight="1" x14ac:dyDescent="0.25">
      <c r="Q5182" t="s">
        <v>6115</v>
      </c>
      <c r="R5182" t="s">
        <v>936</v>
      </c>
    </row>
    <row r="5183" spans="17:18" ht="15" customHeight="1" x14ac:dyDescent="0.25">
      <c r="Q5183" t="s">
        <v>6116</v>
      </c>
      <c r="R5183" t="s">
        <v>936</v>
      </c>
    </row>
    <row r="5184" spans="17:18" ht="15" customHeight="1" x14ac:dyDescent="0.25">
      <c r="Q5184" t="s">
        <v>6117</v>
      </c>
      <c r="R5184" t="s">
        <v>936</v>
      </c>
    </row>
    <row r="5185" spans="17:18" ht="15" customHeight="1" x14ac:dyDescent="0.25">
      <c r="Q5185" t="s">
        <v>6118</v>
      </c>
      <c r="R5185" t="s">
        <v>936</v>
      </c>
    </row>
    <row r="5186" spans="17:18" ht="15" customHeight="1" x14ac:dyDescent="0.25">
      <c r="Q5186" t="s">
        <v>6119</v>
      </c>
      <c r="R5186" t="s">
        <v>936</v>
      </c>
    </row>
    <row r="5187" spans="17:18" ht="15" customHeight="1" x14ac:dyDescent="0.25">
      <c r="Q5187" t="s">
        <v>6120</v>
      </c>
      <c r="R5187" t="s">
        <v>936</v>
      </c>
    </row>
    <row r="5188" spans="17:18" ht="15" customHeight="1" x14ac:dyDescent="0.25">
      <c r="Q5188" t="s">
        <v>6121</v>
      </c>
      <c r="R5188" t="s">
        <v>936</v>
      </c>
    </row>
    <row r="5189" spans="17:18" ht="15" customHeight="1" x14ac:dyDescent="0.25">
      <c r="Q5189" t="s">
        <v>6122</v>
      </c>
      <c r="R5189" t="s">
        <v>936</v>
      </c>
    </row>
    <row r="5190" spans="17:18" ht="15" customHeight="1" x14ac:dyDescent="0.25">
      <c r="Q5190" t="s">
        <v>6123</v>
      </c>
      <c r="R5190" t="s">
        <v>936</v>
      </c>
    </row>
    <row r="5191" spans="17:18" ht="15" customHeight="1" x14ac:dyDescent="0.25">
      <c r="Q5191" t="s">
        <v>6124</v>
      </c>
      <c r="R5191" t="s">
        <v>936</v>
      </c>
    </row>
    <row r="5192" spans="17:18" ht="15" customHeight="1" x14ac:dyDescent="0.25">
      <c r="Q5192" t="s">
        <v>6125</v>
      </c>
      <c r="R5192" t="s">
        <v>936</v>
      </c>
    </row>
    <row r="5193" spans="17:18" ht="15" customHeight="1" x14ac:dyDescent="0.25">
      <c r="Q5193" t="s">
        <v>6126</v>
      </c>
      <c r="R5193" t="s">
        <v>936</v>
      </c>
    </row>
    <row r="5194" spans="17:18" ht="15" customHeight="1" x14ac:dyDescent="0.25">
      <c r="Q5194" t="s">
        <v>6127</v>
      </c>
      <c r="R5194" t="s">
        <v>936</v>
      </c>
    </row>
    <row r="5195" spans="17:18" ht="15" customHeight="1" x14ac:dyDescent="0.25">
      <c r="Q5195" t="s">
        <v>6128</v>
      </c>
      <c r="R5195" t="s">
        <v>936</v>
      </c>
    </row>
    <row r="5196" spans="17:18" ht="15" customHeight="1" x14ac:dyDescent="0.25">
      <c r="Q5196" t="s">
        <v>6129</v>
      </c>
      <c r="R5196" t="s">
        <v>936</v>
      </c>
    </row>
    <row r="5197" spans="17:18" ht="15" customHeight="1" x14ac:dyDescent="0.25">
      <c r="Q5197" t="s">
        <v>6130</v>
      </c>
      <c r="R5197" t="s">
        <v>936</v>
      </c>
    </row>
    <row r="5198" spans="17:18" ht="15" customHeight="1" x14ac:dyDescent="0.25">
      <c r="Q5198" t="s">
        <v>6131</v>
      </c>
      <c r="R5198" t="s">
        <v>936</v>
      </c>
    </row>
    <row r="5199" spans="17:18" ht="15" customHeight="1" x14ac:dyDescent="0.25">
      <c r="Q5199" t="s">
        <v>6132</v>
      </c>
      <c r="R5199" t="s">
        <v>936</v>
      </c>
    </row>
    <row r="5200" spans="17:18" ht="15" customHeight="1" x14ac:dyDescent="0.25">
      <c r="Q5200" t="s">
        <v>6133</v>
      </c>
      <c r="R5200" t="s">
        <v>936</v>
      </c>
    </row>
    <row r="5201" spans="17:18" ht="15" customHeight="1" x14ac:dyDescent="0.25">
      <c r="Q5201" t="s">
        <v>6134</v>
      </c>
      <c r="R5201" t="s">
        <v>936</v>
      </c>
    </row>
    <row r="5202" spans="17:18" ht="15" customHeight="1" x14ac:dyDescent="0.25">
      <c r="Q5202" t="s">
        <v>6135</v>
      </c>
      <c r="R5202" t="s">
        <v>936</v>
      </c>
    </row>
    <row r="5203" spans="17:18" ht="15" customHeight="1" x14ac:dyDescent="0.25">
      <c r="Q5203" t="s">
        <v>6136</v>
      </c>
      <c r="R5203" t="s">
        <v>936</v>
      </c>
    </row>
    <row r="5204" spans="17:18" ht="15" customHeight="1" x14ac:dyDescent="0.25">
      <c r="Q5204" t="s">
        <v>6137</v>
      </c>
      <c r="R5204" t="s">
        <v>936</v>
      </c>
    </row>
    <row r="5205" spans="17:18" ht="15" customHeight="1" x14ac:dyDescent="0.25">
      <c r="Q5205" t="s">
        <v>6138</v>
      </c>
      <c r="R5205" t="s">
        <v>936</v>
      </c>
    </row>
    <row r="5206" spans="17:18" ht="15" customHeight="1" x14ac:dyDescent="0.25">
      <c r="Q5206" t="s">
        <v>6139</v>
      </c>
      <c r="R5206" t="s">
        <v>936</v>
      </c>
    </row>
    <row r="5207" spans="17:18" ht="15" customHeight="1" x14ac:dyDescent="0.25">
      <c r="Q5207" t="s">
        <v>6140</v>
      </c>
      <c r="R5207" t="s">
        <v>936</v>
      </c>
    </row>
    <row r="5208" spans="17:18" ht="15" customHeight="1" x14ac:dyDescent="0.25">
      <c r="Q5208" t="s">
        <v>6141</v>
      </c>
      <c r="R5208" t="s">
        <v>936</v>
      </c>
    </row>
    <row r="5209" spans="17:18" ht="15" customHeight="1" x14ac:dyDescent="0.25">
      <c r="Q5209" t="s">
        <v>6142</v>
      </c>
      <c r="R5209" t="s">
        <v>936</v>
      </c>
    </row>
    <row r="5210" spans="17:18" ht="15" customHeight="1" x14ac:dyDescent="0.25">
      <c r="Q5210" t="s">
        <v>6143</v>
      </c>
      <c r="R5210" t="s">
        <v>936</v>
      </c>
    </row>
    <row r="5211" spans="17:18" ht="15" customHeight="1" x14ac:dyDescent="0.25">
      <c r="Q5211" t="s">
        <v>6144</v>
      </c>
      <c r="R5211" t="s">
        <v>936</v>
      </c>
    </row>
    <row r="5212" spans="17:18" ht="15" customHeight="1" x14ac:dyDescent="0.25">
      <c r="Q5212" t="s">
        <v>6145</v>
      </c>
      <c r="R5212" t="s">
        <v>936</v>
      </c>
    </row>
    <row r="5213" spans="17:18" ht="15" customHeight="1" x14ac:dyDescent="0.25">
      <c r="Q5213" t="s">
        <v>6146</v>
      </c>
      <c r="R5213" t="s">
        <v>936</v>
      </c>
    </row>
    <row r="5214" spans="17:18" ht="15" customHeight="1" x14ac:dyDescent="0.25">
      <c r="Q5214" t="s">
        <v>6147</v>
      </c>
      <c r="R5214" t="s">
        <v>936</v>
      </c>
    </row>
    <row r="5215" spans="17:18" ht="15" customHeight="1" x14ac:dyDescent="0.25">
      <c r="Q5215" t="s">
        <v>6148</v>
      </c>
      <c r="R5215" t="s">
        <v>936</v>
      </c>
    </row>
    <row r="5216" spans="17:18" ht="15" customHeight="1" x14ac:dyDescent="0.25">
      <c r="Q5216" t="s">
        <v>6149</v>
      </c>
      <c r="R5216" t="s">
        <v>936</v>
      </c>
    </row>
    <row r="5217" spans="17:18" ht="15" customHeight="1" x14ac:dyDescent="0.25">
      <c r="Q5217" t="s">
        <v>6150</v>
      </c>
      <c r="R5217" t="s">
        <v>936</v>
      </c>
    </row>
    <row r="5218" spans="17:18" ht="15" customHeight="1" x14ac:dyDescent="0.25">
      <c r="Q5218" t="s">
        <v>6151</v>
      </c>
      <c r="R5218" t="s">
        <v>936</v>
      </c>
    </row>
    <row r="5219" spans="17:18" ht="15" customHeight="1" x14ac:dyDescent="0.25">
      <c r="Q5219" t="s">
        <v>6152</v>
      </c>
      <c r="R5219" t="s">
        <v>936</v>
      </c>
    </row>
    <row r="5220" spans="17:18" ht="15" customHeight="1" x14ac:dyDescent="0.25">
      <c r="Q5220" t="s">
        <v>6153</v>
      </c>
      <c r="R5220" t="s">
        <v>936</v>
      </c>
    </row>
    <row r="5221" spans="17:18" ht="15" customHeight="1" x14ac:dyDescent="0.25">
      <c r="Q5221" t="s">
        <v>6154</v>
      </c>
      <c r="R5221" t="s">
        <v>936</v>
      </c>
    </row>
    <row r="5222" spans="17:18" ht="15" customHeight="1" x14ac:dyDescent="0.25">
      <c r="Q5222" t="s">
        <v>6155</v>
      </c>
      <c r="R5222" t="s">
        <v>936</v>
      </c>
    </row>
    <row r="5223" spans="17:18" ht="15" customHeight="1" x14ac:dyDescent="0.25">
      <c r="Q5223" t="s">
        <v>6156</v>
      </c>
      <c r="R5223" t="s">
        <v>936</v>
      </c>
    </row>
    <row r="5224" spans="17:18" ht="15" customHeight="1" x14ac:dyDescent="0.25">
      <c r="Q5224" t="s">
        <v>6157</v>
      </c>
      <c r="R5224" t="s">
        <v>936</v>
      </c>
    </row>
    <row r="5225" spans="17:18" ht="15" customHeight="1" x14ac:dyDescent="0.25">
      <c r="Q5225" t="s">
        <v>6158</v>
      </c>
      <c r="R5225" t="s">
        <v>936</v>
      </c>
    </row>
    <row r="5226" spans="17:18" ht="15" customHeight="1" x14ac:dyDescent="0.25">
      <c r="Q5226" t="s">
        <v>6159</v>
      </c>
      <c r="R5226" t="s">
        <v>936</v>
      </c>
    </row>
    <row r="5227" spans="17:18" ht="15" customHeight="1" x14ac:dyDescent="0.25">
      <c r="Q5227" t="s">
        <v>6160</v>
      </c>
      <c r="R5227" t="s">
        <v>936</v>
      </c>
    </row>
    <row r="5228" spans="17:18" ht="15" customHeight="1" x14ac:dyDescent="0.25">
      <c r="Q5228" t="s">
        <v>6161</v>
      </c>
      <c r="R5228" t="s">
        <v>936</v>
      </c>
    </row>
    <row r="5229" spans="17:18" ht="15" customHeight="1" x14ac:dyDescent="0.25">
      <c r="Q5229" t="s">
        <v>6162</v>
      </c>
      <c r="R5229" t="s">
        <v>936</v>
      </c>
    </row>
    <row r="5230" spans="17:18" ht="15" customHeight="1" x14ac:dyDescent="0.25">
      <c r="Q5230" t="s">
        <v>6163</v>
      </c>
      <c r="R5230" t="s">
        <v>936</v>
      </c>
    </row>
    <row r="5231" spans="17:18" ht="15" customHeight="1" x14ac:dyDescent="0.25">
      <c r="Q5231" t="s">
        <v>6164</v>
      </c>
      <c r="R5231" t="s">
        <v>936</v>
      </c>
    </row>
    <row r="5232" spans="17:18" ht="15" customHeight="1" x14ac:dyDescent="0.25">
      <c r="Q5232" t="s">
        <v>6165</v>
      </c>
      <c r="R5232" t="s">
        <v>936</v>
      </c>
    </row>
    <row r="5233" spans="17:18" ht="15" customHeight="1" x14ac:dyDescent="0.25">
      <c r="Q5233" t="s">
        <v>6166</v>
      </c>
      <c r="R5233" t="s">
        <v>936</v>
      </c>
    </row>
    <row r="5234" spans="17:18" ht="15" customHeight="1" x14ac:dyDescent="0.25">
      <c r="Q5234" t="s">
        <v>6167</v>
      </c>
      <c r="R5234" t="s">
        <v>936</v>
      </c>
    </row>
    <row r="5235" spans="17:18" ht="15" customHeight="1" x14ac:dyDescent="0.25">
      <c r="Q5235" t="s">
        <v>6168</v>
      </c>
      <c r="R5235" t="s">
        <v>936</v>
      </c>
    </row>
    <row r="5236" spans="17:18" ht="15" customHeight="1" x14ac:dyDescent="0.25">
      <c r="Q5236" t="s">
        <v>6169</v>
      </c>
      <c r="R5236" t="s">
        <v>936</v>
      </c>
    </row>
    <row r="5237" spans="17:18" ht="15" customHeight="1" x14ac:dyDescent="0.25">
      <c r="Q5237" t="s">
        <v>6170</v>
      </c>
      <c r="R5237" t="s">
        <v>936</v>
      </c>
    </row>
    <row r="5238" spans="17:18" ht="15" customHeight="1" x14ac:dyDescent="0.25">
      <c r="Q5238" t="s">
        <v>6171</v>
      </c>
      <c r="R5238" t="s">
        <v>936</v>
      </c>
    </row>
    <row r="5239" spans="17:18" ht="15" customHeight="1" x14ac:dyDescent="0.25">
      <c r="Q5239" t="s">
        <v>6172</v>
      </c>
      <c r="R5239" t="s">
        <v>936</v>
      </c>
    </row>
    <row r="5240" spans="17:18" ht="15" customHeight="1" x14ac:dyDescent="0.25">
      <c r="Q5240" t="s">
        <v>6173</v>
      </c>
      <c r="R5240" t="s">
        <v>936</v>
      </c>
    </row>
    <row r="5241" spans="17:18" ht="15" customHeight="1" x14ac:dyDescent="0.25">
      <c r="Q5241" t="s">
        <v>6174</v>
      </c>
      <c r="R5241" t="s">
        <v>936</v>
      </c>
    </row>
    <row r="5242" spans="17:18" ht="15" customHeight="1" x14ac:dyDescent="0.25">
      <c r="Q5242" t="s">
        <v>6175</v>
      </c>
      <c r="R5242" t="s">
        <v>936</v>
      </c>
    </row>
    <row r="5243" spans="17:18" ht="15" customHeight="1" x14ac:dyDescent="0.25">
      <c r="Q5243" t="s">
        <v>6176</v>
      </c>
      <c r="R5243" t="s">
        <v>936</v>
      </c>
    </row>
    <row r="5244" spans="17:18" ht="15" customHeight="1" x14ac:dyDescent="0.25">
      <c r="Q5244" t="s">
        <v>6177</v>
      </c>
      <c r="R5244" t="s">
        <v>936</v>
      </c>
    </row>
    <row r="5245" spans="17:18" ht="15" customHeight="1" x14ac:dyDescent="0.25">
      <c r="Q5245" t="s">
        <v>6178</v>
      </c>
      <c r="R5245" t="s">
        <v>936</v>
      </c>
    </row>
    <row r="5246" spans="17:18" ht="15" customHeight="1" x14ac:dyDescent="0.25">
      <c r="Q5246" t="s">
        <v>6179</v>
      </c>
      <c r="R5246" t="s">
        <v>936</v>
      </c>
    </row>
    <row r="5247" spans="17:18" ht="15" customHeight="1" x14ac:dyDescent="0.25">
      <c r="Q5247" t="s">
        <v>6180</v>
      </c>
      <c r="R5247" t="s">
        <v>936</v>
      </c>
    </row>
    <row r="5248" spans="17:18" ht="15" customHeight="1" x14ac:dyDescent="0.25">
      <c r="Q5248" t="s">
        <v>6181</v>
      </c>
      <c r="R5248" t="s">
        <v>936</v>
      </c>
    </row>
    <row r="5249" spans="17:18" ht="15" customHeight="1" x14ac:dyDescent="0.25">
      <c r="Q5249" t="s">
        <v>6182</v>
      </c>
      <c r="R5249" t="s">
        <v>936</v>
      </c>
    </row>
    <row r="5250" spans="17:18" ht="15" customHeight="1" x14ac:dyDescent="0.25">
      <c r="Q5250" t="s">
        <v>6183</v>
      </c>
      <c r="R5250" t="s">
        <v>936</v>
      </c>
    </row>
    <row r="5251" spans="17:18" ht="15" customHeight="1" x14ac:dyDescent="0.25">
      <c r="Q5251" t="s">
        <v>6184</v>
      </c>
      <c r="R5251" t="s">
        <v>936</v>
      </c>
    </row>
    <row r="5252" spans="17:18" ht="15" customHeight="1" x14ac:dyDescent="0.25">
      <c r="Q5252" t="s">
        <v>6185</v>
      </c>
      <c r="R5252" t="s">
        <v>936</v>
      </c>
    </row>
    <row r="5253" spans="17:18" ht="15" customHeight="1" x14ac:dyDescent="0.25">
      <c r="Q5253" t="s">
        <v>6186</v>
      </c>
      <c r="R5253" t="s">
        <v>936</v>
      </c>
    </row>
    <row r="5254" spans="17:18" ht="15" customHeight="1" x14ac:dyDescent="0.25">
      <c r="Q5254" t="s">
        <v>6187</v>
      </c>
      <c r="R5254" t="s">
        <v>936</v>
      </c>
    </row>
    <row r="5255" spans="17:18" ht="15" customHeight="1" x14ac:dyDescent="0.25">
      <c r="Q5255" t="s">
        <v>6188</v>
      </c>
      <c r="R5255" t="s">
        <v>936</v>
      </c>
    </row>
    <row r="5256" spans="17:18" ht="15" customHeight="1" x14ac:dyDescent="0.25">
      <c r="Q5256" t="s">
        <v>6189</v>
      </c>
      <c r="R5256" t="s">
        <v>936</v>
      </c>
    </row>
    <row r="5257" spans="17:18" ht="15" customHeight="1" x14ac:dyDescent="0.25">
      <c r="Q5257" t="s">
        <v>6190</v>
      </c>
      <c r="R5257" t="s">
        <v>936</v>
      </c>
    </row>
    <row r="5258" spans="17:18" ht="15" customHeight="1" x14ac:dyDescent="0.25">
      <c r="Q5258" t="s">
        <v>6191</v>
      </c>
      <c r="R5258" t="s">
        <v>936</v>
      </c>
    </row>
    <row r="5259" spans="17:18" ht="15" customHeight="1" x14ac:dyDescent="0.25">
      <c r="Q5259" t="s">
        <v>6192</v>
      </c>
      <c r="R5259" t="s">
        <v>936</v>
      </c>
    </row>
    <row r="5260" spans="17:18" ht="15" customHeight="1" x14ac:dyDescent="0.25">
      <c r="Q5260" t="s">
        <v>6193</v>
      </c>
      <c r="R5260" t="s">
        <v>936</v>
      </c>
    </row>
    <row r="5261" spans="17:18" ht="15" customHeight="1" x14ac:dyDescent="0.25">
      <c r="Q5261" t="s">
        <v>6194</v>
      </c>
      <c r="R5261" t="s">
        <v>936</v>
      </c>
    </row>
    <row r="5262" spans="17:18" ht="15" customHeight="1" x14ac:dyDescent="0.25">
      <c r="Q5262" t="s">
        <v>6195</v>
      </c>
      <c r="R5262" t="s">
        <v>936</v>
      </c>
    </row>
    <row r="5263" spans="17:18" ht="15" customHeight="1" x14ac:dyDescent="0.25">
      <c r="Q5263" t="s">
        <v>6196</v>
      </c>
      <c r="R5263" t="s">
        <v>936</v>
      </c>
    </row>
    <row r="5264" spans="17:18" ht="15" customHeight="1" x14ac:dyDescent="0.25">
      <c r="Q5264" t="s">
        <v>6197</v>
      </c>
      <c r="R5264" t="s">
        <v>936</v>
      </c>
    </row>
    <row r="5265" spans="17:18" ht="15" customHeight="1" x14ac:dyDescent="0.25">
      <c r="Q5265" t="s">
        <v>6198</v>
      </c>
      <c r="R5265" t="s">
        <v>936</v>
      </c>
    </row>
    <row r="5266" spans="17:18" ht="15" customHeight="1" x14ac:dyDescent="0.25">
      <c r="Q5266" t="s">
        <v>6199</v>
      </c>
      <c r="R5266" t="s">
        <v>936</v>
      </c>
    </row>
    <row r="5267" spans="17:18" ht="15" customHeight="1" x14ac:dyDescent="0.25">
      <c r="Q5267" t="s">
        <v>6200</v>
      </c>
      <c r="R5267" t="s">
        <v>936</v>
      </c>
    </row>
    <row r="5268" spans="17:18" ht="15" customHeight="1" x14ac:dyDescent="0.25">
      <c r="Q5268" t="s">
        <v>6201</v>
      </c>
      <c r="R5268" t="s">
        <v>936</v>
      </c>
    </row>
    <row r="5269" spans="17:18" ht="15" customHeight="1" x14ac:dyDescent="0.25">
      <c r="Q5269" t="s">
        <v>6202</v>
      </c>
      <c r="R5269" t="s">
        <v>936</v>
      </c>
    </row>
    <row r="5270" spans="17:18" ht="15" customHeight="1" x14ac:dyDescent="0.25">
      <c r="Q5270" t="s">
        <v>6203</v>
      </c>
      <c r="R5270" t="s">
        <v>936</v>
      </c>
    </row>
    <row r="5271" spans="17:18" ht="15" customHeight="1" x14ac:dyDescent="0.25">
      <c r="Q5271" t="s">
        <v>6204</v>
      </c>
      <c r="R5271" t="s">
        <v>936</v>
      </c>
    </row>
    <row r="5272" spans="17:18" ht="15" customHeight="1" x14ac:dyDescent="0.25">
      <c r="Q5272" t="s">
        <v>6205</v>
      </c>
      <c r="R5272" t="s">
        <v>936</v>
      </c>
    </row>
    <row r="5273" spans="17:18" ht="15" customHeight="1" x14ac:dyDescent="0.25">
      <c r="Q5273" t="s">
        <v>6206</v>
      </c>
      <c r="R5273" t="s">
        <v>936</v>
      </c>
    </row>
    <row r="5274" spans="17:18" ht="15" customHeight="1" x14ac:dyDescent="0.25">
      <c r="Q5274" t="s">
        <v>6207</v>
      </c>
      <c r="R5274" t="s">
        <v>936</v>
      </c>
    </row>
    <row r="5275" spans="17:18" ht="15" customHeight="1" x14ac:dyDescent="0.25">
      <c r="Q5275" t="s">
        <v>6208</v>
      </c>
      <c r="R5275" t="s">
        <v>936</v>
      </c>
    </row>
    <row r="5276" spans="17:18" ht="15" customHeight="1" x14ac:dyDescent="0.25">
      <c r="Q5276" t="s">
        <v>6209</v>
      </c>
      <c r="R5276" t="s">
        <v>936</v>
      </c>
    </row>
    <row r="5277" spans="17:18" ht="15" customHeight="1" x14ac:dyDescent="0.25">
      <c r="Q5277" t="s">
        <v>6210</v>
      </c>
      <c r="R5277" t="s">
        <v>936</v>
      </c>
    </row>
    <row r="5278" spans="17:18" ht="15" customHeight="1" x14ac:dyDescent="0.25">
      <c r="Q5278" t="s">
        <v>6211</v>
      </c>
      <c r="R5278" t="s">
        <v>936</v>
      </c>
    </row>
    <row r="5279" spans="17:18" ht="15" customHeight="1" x14ac:dyDescent="0.25">
      <c r="Q5279" t="s">
        <v>6212</v>
      </c>
      <c r="R5279" t="s">
        <v>936</v>
      </c>
    </row>
    <row r="5280" spans="17:18" ht="15" customHeight="1" x14ac:dyDescent="0.25">
      <c r="Q5280" t="s">
        <v>6213</v>
      </c>
      <c r="R5280" t="s">
        <v>936</v>
      </c>
    </row>
    <row r="5281" spans="17:18" ht="15" customHeight="1" x14ac:dyDescent="0.25">
      <c r="Q5281" t="s">
        <v>6214</v>
      </c>
      <c r="R5281" t="s">
        <v>936</v>
      </c>
    </row>
    <row r="5282" spans="17:18" ht="15" customHeight="1" x14ac:dyDescent="0.25">
      <c r="Q5282" t="s">
        <v>6215</v>
      </c>
      <c r="R5282" t="s">
        <v>936</v>
      </c>
    </row>
    <row r="5283" spans="17:18" ht="15" customHeight="1" x14ac:dyDescent="0.25">
      <c r="Q5283" t="s">
        <v>6216</v>
      </c>
      <c r="R5283" t="s">
        <v>936</v>
      </c>
    </row>
    <row r="5284" spans="17:18" ht="15" customHeight="1" x14ac:dyDescent="0.25">
      <c r="Q5284" t="s">
        <v>6217</v>
      </c>
      <c r="R5284" t="s">
        <v>936</v>
      </c>
    </row>
    <row r="5285" spans="17:18" ht="15" customHeight="1" x14ac:dyDescent="0.25">
      <c r="Q5285" t="s">
        <v>6218</v>
      </c>
      <c r="R5285" t="s">
        <v>936</v>
      </c>
    </row>
    <row r="5286" spans="17:18" ht="15" customHeight="1" x14ac:dyDescent="0.25">
      <c r="Q5286" t="s">
        <v>6219</v>
      </c>
      <c r="R5286" t="s">
        <v>936</v>
      </c>
    </row>
    <row r="5287" spans="17:18" ht="15" customHeight="1" x14ac:dyDescent="0.25">
      <c r="Q5287" t="s">
        <v>6220</v>
      </c>
      <c r="R5287" t="s">
        <v>936</v>
      </c>
    </row>
    <row r="5288" spans="17:18" ht="15" customHeight="1" x14ac:dyDescent="0.25">
      <c r="Q5288" t="s">
        <v>6221</v>
      </c>
      <c r="R5288" t="s">
        <v>936</v>
      </c>
    </row>
    <row r="5289" spans="17:18" ht="15" customHeight="1" x14ac:dyDescent="0.25">
      <c r="Q5289" t="s">
        <v>6222</v>
      </c>
      <c r="R5289" t="s">
        <v>936</v>
      </c>
    </row>
    <row r="5290" spans="17:18" ht="15" customHeight="1" x14ac:dyDescent="0.25">
      <c r="Q5290" t="s">
        <v>6223</v>
      </c>
      <c r="R5290" t="s">
        <v>936</v>
      </c>
    </row>
    <row r="5291" spans="17:18" ht="15" customHeight="1" x14ac:dyDescent="0.25">
      <c r="Q5291" t="s">
        <v>6224</v>
      </c>
      <c r="R5291" t="s">
        <v>936</v>
      </c>
    </row>
    <row r="5292" spans="17:18" ht="15" customHeight="1" x14ac:dyDescent="0.25">
      <c r="Q5292" t="s">
        <v>6225</v>
      </c>
      <c r="R5292" t="s">
        <v>936</v>
      </c>
    </row>
    <row r="5293" spans="17:18" ht="15" customHeight="1" x14ac:dyDescent="0.25">
      <c r="Q5293" t="s">
        <v>6226</v>
      </c>
      <c r="R5293" t="s">
        <v>936</v>
      </c>
    </row>
    <row r="5294" spans="17:18" ht="15" customHeight="1" x14ac:dyDescent="0.25">
      <c r="Q5294" t="s">
        <v>6227</v>
      </c>
      <c r="R5294" t="s">
        <v>936</v>
      </c>
    </row>
    <row r="5295" spans="17:18" ht="15" customHeight="1" x14ac:dyDescent="0.25">
      <c r="Q5295" t="s">
        <v>6228</v>
      </c>
      <c r="R5295" t="s">
        <v>936</v>
      </c>
    </row>
    <row r="5296" spans="17:18" ht="15" customHeight="1" x14ac:dyDescent="0.25">
      <c r="Q5296" t="s">
        <v>6229</v>
      </c>
      <c r="R5296" t="s">
        <v>936</v>
      </c>
    </row>
    <row r="5297" spans="17:18" ht="15" customHeight="1" x14ac:dyDescent="0.25">
      <c r="Q5297" t="s">
        <v>6230</v>
      </c>
      <c r="R5297" t="s">
        <v>936</v>
      </c>
    </row>
    <row r="5298" spans="17:18" ht="15" customHeight="1" x14ac:dyDescent="0.25">
      <c r="Q5298" t="s">
        <v>6231</v>
      </c>
      <c r="R5298" t="s">
        <v>936</v>
      </c>
    </row>
    <row r="5299" spans="17:18" ht="15" customHeight="1" x14ac:dyDescent="0.25">
      <c r="Q5299" t="s">
        <v>6232</v>
      </c>
      <c r="R5299" t="s">
        <v>936</v>
      </c>
    </row>
    <row r="5300" spans="17:18" ht="15" customHeight="1" x14ac:dyDescent="0.25">
      <c r="Q5300" t="s">
        <v>6233</v>
      </c>
      <c r="R5300" t="s">
        <v>936</v>
      </c>
    </row>
    <row r="5301" spans="17:18" ht="15" customHeight="1" x14ac:dyDescent="0.25">
      <c r="Q5301" t="s">
        <v>6234</v>
      </c>
      <c r="R5301" t="s">
        <v>936</v>
      </c>
    </row>
    <row r="5302" spans="17:18" ht="15" customHeight="1" x14ac:dyDescent="0.25">
      <c r="Q5302" t="s">
        <v>6235</v>
      </c>
      <c r="R5302" t="s">
        <v>936</v>
      </c>
    </row>
    <row r="5303" spans="17:18" ht="15" customHeight="1" x14ac:dyDescent="0.25">
      <c r="Q5303" t="s">
        <v>6236</v>
      </c>
      <c r="R5303" t="s">
        <v>936</v>
      </c>
    </row>
    <row r="5304" spans="17:18" ht="15" customHeight="1" x14ac:dyDescent="0.25">
      <c r="Q5304" t="s">
        <v>6237</v>
      </c>
      <c r="R5304" t="s">
        <v>936</v>
      </c>
    </row>
    <row r="5305" spans="17:18" ht="15" customHeight="1" x14ac:dyDescent="0.25">
      <c r="Q5305" t="s">
        <v>6238</v>
      </c>
      <c r="R5305" t="s">
        <v>936</v>
      </c>
    </row>
    <row r="5306" spans="17:18" ht="15" customHeight="1" x14ac:dyDescent="0.25">
      <c r="Q5306" t="s">
        <v>6239</v>
      </c>
      <c r="R5306" t="s">
        <v>936</v>
      </c>
    </row>
    <row r="5307" spans="17:18" ht="15" customHeight="1" x14ac:dyDescent="0.25">
      <c r="Q5307" t="s">
        <v>6240</v>
      </c>
      <c r="R5307" t="s">
        <v>936</v>
      </c>
    </row>
    <row r="5308" spans="17:18" ht="15" customHeight="1" x14ac:dyDescent="0.25">
      <c r="Q5308" t="s">
        <v>6241</v>
      </c>
      <c r="R5308" t="s">
        <v>936</v>
      </c>
    </row>
    <row r="5309" spans="17:18" ht="15" customHeight="1" x14ac:dyDescent="0.25">
      <c r="Q5309" t="s">
        <v>6242</v>
      </c>
      <c r="R5309" t="s">
        <v>936</v>
      </c>
    </row>
    <row r="5310" spans="17:18" ht="15" customHeight="1" x14ac:dyDescent="0.25">
      <c r="Q5310" t="s">
        <v>6243</v>
      </c>
      <c r="R5310" t="s">
        <v>936</v>
      </c>
    </row>
    <row r="5311" spans="17:18" ht="15" customHeight="1" x14ac:dyDescent="0.25">
      <c r="Q5311" t="s">
        <v>6244</v>
      </c>
      <c r="R5311" t="s">
        <v>936</v>
      </c>
    </row>
    <row r="5312" spans="17:18" ht="15" customHeight="1" x14ac:dyDescent="0.25">
      <c r="Q5312" t="s">
        <v>6245</v>
      </c>
      <c r="R5312" t="s">
        <v>936</v>
      </c>
    </row>
    <row r="5313" spans="17:18" ht="15" customHeight="1" x14ac:dyDescent="0.25">
      <c r="Q5313" t="s">
        <v>6246</v>
      </c>
      <c r="R5313" t="s">
        <v>936</v>
      </c>
    </row>
    <row r="5314" spans="17:18" ht="15" customHeight="1" x14ac:dyDescent="0.25">
      <c r="Q5314" t="s">
        <v>6247</v>
      </c>
      <c r="R5314" t="s">
        <v>936</v>
      </c>
    </row>
    <row r="5315" spans="17:18" ht="15" customHeight="1" x14ac:dyDescent="0.25">
      <c r="Q5315" t="s">
        <v>6248</v>
      </c>
      <c r="R5315" t="s">
        <v>936</v>
      </c>
    </row>
    <row r="5316" spans="17:18" ht="15" customHeight="1" x14ac:dyDescent="0.25">
      <c r="Q5316" t="s">
        <v>6249</v>
      </c>
      <c r="R5316" t="s">
        <v>936</v>
      </c>
    </row>
    <row r="5317" spans="17:18" ht="15" customHeight="1" x14ac:dyDescent="0.25">
      <c r="Q5317" t="s">
        <v>6250</v>
      </c>
      <c r="R5317" t="s">
        <v>936</v>
      </c>
    </row>
    <row r="5318" spans="17:18" ht="15" customHeight="1" x14ac:dyDescent="0.25">
      <c r="Q5318" t="s">
        <v>6251</v>
      </c>
      <c r="R5318" t="s">
        <v>936</v>
      </c>
    </row>
    <row r="5319" spans="17:18" ht="15" customHeight="1" x14ac:dyDescent="0.25">
      <c r="Q5319" t="s">
        <v>6252</v>
      </c>
      <c r="R5319" t="s">
        <v>936</v>
      </c>
    </row>
    <row r="5320" spans="17:18" ht="15" customHeight="1" x14ac:dyDescent="0.25">
      <c r="Q5320" t="s">
        <v>6253</v>
      </c>
      <c r="R5320" t="s">
        <v>936</v>
      </c>
    </row>
    <row r="5321" spans="17:18" ht="15" customHeight="1" x14ac:dyDescent="0.25">
      <c r="Q5321" t="s">
        <v>6254</v>
      </c>
      <c r="R5321" t="s">
        <v>936</v>
      </c>
    </row>
    <row r="5322" spans="17:18" ht="15" customHeight="1" x14ac:dyDescent="0.25">
      <c r="Q5322" t="s">
        <v>6255</v>
      </c>
      <c r="R5322" t="s">
        <v>936</v>
      </c>
    </row>
    <row r="5323" spans="17:18" ht="15" customHeight="1" x14ac:dyDescent="0.25">
      <c r="Q5323" t="s">
        <v>6256</v>
      </c>
      <c r="R5323" t="s">
        <v>936</v>
      </c>
    </row>
    <row r="5324" spans="17:18" ht="15" customHeight="1" x14ac:dyDescent="0.25">
      <c r="Q5324" t="s">
        <v>6257</v>
      </c>
      <c r="R5324" t="s">
        <v>936</v>
      </c>
    </row>
    <row r="5325" spans="17:18" ht="15" customHeight="1" x14ac:dyDescent="0.25">
      <c r="Q5325" t="s">
        <v>6258</v>
      </c>
      <c r="R5325" t="s">
        <v>936</v>
      </c>
    </row>
    <row r="5326" spans="17:18" ht="15" customHeight="1" x14ac:dyDescent="0.25">
      <c r="Q5326" t="s">
        <v>6259</v>
      </c>
      <c r="R5326" t="s">
        <v>936</v>
      </c>
    </row>
    <row r="5327" spans="17:18" ht="15" customHeight="1" x14ac:dyDescent="0.25">
      <c r="Q5327" t="s">
        <v>6260</v>
      </c>
      <c r="R5327" t="s">
        <v>936</v>
      </c>
    </row>
    <row r="5328" spans="17:18" ht="15" customHeight="1" x14ac:dyDescent="0.25">
      <c r="Q5328" t="s">
        <v>6261</v>
      </c>
      <c r="R5328" t="s">
        <v>936</v>
      </c>
    </row>
    <row r="5329" spans="17:18" ht="15" customHeight="1" x14ac:dyDescent="0.25">
      <c r="Q5329" t="s">
        <v>6262</v>
      </c>
      <c r="R5329" t="s">
        <v>936</v>
      </c>
    </row>
    <row r="5330" spans="17:18" ht="15" customHeight="1" x14ac:dyDescent="0.25">
      <c r="Q5330" t="s">
        <v>6263</v>
      </c>
      <c r="R5330" t="s">
        <v>936</v>
      </c>
    </row>
    <row r="5331" spans="17:18" ht="15" customHeight="1" x14ac:dyDescent="0.25">
      <c r="Q5331" t="s">
        <v>6264</v>
      </c>
      <c r="R5331" t="s">
        <v>936</v>
      </c>
    </row>
    <row r="5332" spans="17:18" ht="15" customHeight="1" x14ac:dyDescent="0.25">
      <c r="Q5332" t="s">
        <v>6265</v>
      </c>
      <c r="R5332" t="s">
        <v>936</v>
      </c>
    </row>
    <row r="5333" spans="17:18" ht="15" customHeight="1" x14ac:dyDescent="0.25">
      <c r="Q5333" t="s">
        <v>6266</v>
      </c>
      <c r="R5333" t="s">
        <v>936</v>
      </c>
    </row>
    <row r="5334" spans="17:18" ht="15" customHeight="1" x14ac:dyDescent="0.25">
      <c r="Q5334" t="s">
        <v>6267</v>
      </c>
      <c r="R5334" t="s">
        <v>936</v>
      </c>
    </row>
    <row r="5335" spans="17:18" ht="15" customHeight="1" x14ac:dyDescent="0.25">
      <c r="Q5335" t="s">
        <v>6268</v>
      </c>
      <c r="R5335" t="s">
        <v>936</v>
      </c>
    </row>
    <row r="5336" spans="17:18" ht="15" customHeight="1" x14ac:dyDescent="0.25">
      <c r="Q5336" t="s">
        <v>6269</v>
      </c>
      <c r="R5336" t="s">
        <v>936</v>
      </c>
    </row>
    <row r="5337" spans="17:18" ht="15" customHeight="1" x14ac:dyDescent="0.25">
      <c r="Q5337" t="s">
        <v>6270</v>
      </c>
      <c r="R5337" t="s">
        <v>936</v>
      </c>
    </row>
    <row r="5338" spans="17:18" ht="15" customHeight="1" x14ac:dyDescent="0.25">
      <c r="Q5338" t="s">
        <v>6271</v>
      </c>
      <c r="R5338" t="s">
        <v>936</v>
      </c>
    </row>
    <row r="5339" spans="17:18" ht="15" customHeight="1" x14ac:dyDescent="0.25">
      <c r="Q5339" t="s">
        <v>6272</v>
      </c>
      <c r="R5339" t="s">
        <v>936</v>
      </c>
    </row>
    <row r="5340" spans="17:18" ht="15" customHeight="1" x14ac:dyDescent="0.25">
      <c r="Q5340" t="s">
        <v>6273</v>
      </c>
      <c r="R5340" t="s">
        <v>936</v>
      </c>
    </row>
    <row r="5341" spans="17:18" ht="15" customHeight="1" x14ac:dyDescent="0.25">
      <c r="Q5341" t="s">
        <v>6274</v>
      </c>
      <c r="R5341" t="s">
        <v>936</v>
      </c>
    </row>
    <row r="5342" spans="17:18" ht="15" customHeight="1" x14ac:dyDescent="0.25">
      <c r="Q5342" t="s">
        <v>6275</v>
      </c>
      <c r="R5342" t="s">
        <v>936</v>
      </c>
    </row>
    <row r="5343" spans="17:18" ht="15" customHeight="1" x14ac:dyDescent="0.25">
      <c r="Q5343" t="s">
        <v>6276</v>
      </c>
      <c r="R5343" t="s">
        <v>936</v>
      </c>
    </row>
    <row r="5344" spans="17:18" ht="15" customHeight="1" x14ac:dyDescent="0.25">
      <c r="Q5344" t="s">
        <v>6277</v>
      </c>
      <c r="R5344" t="s">
        <v>936</v>
      </c>
    </row>
    <row r="5345" spans="17:18" ht="15" customHeight="1" x14ac:dyDescent="0.25">
      <c r="Q5345" t="s">
        <v>6278</v>
      </c>
      <c r="R5345" t="s">
        <v>936</v>
      </c>
    </row>
    <row r="5346" spans="17:18" ht="15" customHeight="1" x14ac:dyDescent="0.25">
      <c r="Q5346" t="s">
        <v>6279</v>
      </c>
      <c r="R5346" t="s">
        <v>936</v>
      </c>
    </row>
    <row r="5347" spans="17:18" ht="15" customHeight="1" x14ac:dyDescent="0.25">
      <c r="Q5347" t="s">
        <v>6280</v>
      </c>
      <c r="R5347" t="s">
        <v>936</v>
      </c>
    </row>
    <row r="5348" spans="17:18" ht="15" customHeight="1" x14ac:dyDescent="0.25">
      <c r="Q5348" t="s">
        <v>6281</v>
      </c>
      <c r="R5348" t="s">
        <v>936</v>
      </c>
    </row>
    <row r="5349" spans="17:18" ht="15" customHeight="1" x14ac:dyDescent="0.25">
      <c r="Q5349" t="s">
        <v>6282</v>
      </c>
      <c r="R5349" t="s">
        <v>936</v>
      </c>
    </row>
    <row r="5350" spans="17:18" ht="15" customHeight="1" x14ac:dyDescent="0.25">
      <c r="Q5350" t="s">
        <v>6283</v>
      </c>
      <c r="R5350" t="s">
        <v>936</v>
      </c>
    </row>
    <row r="5351" spans="17:18" ht="15" customHeight="1" x14ac:dyDescent="0.25">
      <c r="Q5351" t="s">
        <v>6284</v>
      </c>
      <c r="R5351" t="s">
        <v>936</v>
      </c>
    </row>
    <row r="5352" spans="17:18" ht="15" customHeight="1" x14ac:dyDescent="0.25">
      <c r="Q5352" t="s">
        <v>6285</v>
      </c>
      <c r="R5352" t="s">
        <v>936</v>
      </c>
    </row>
    <row r="5353" spans="17:18" ht="15" customHeight="1" x14ac:dyDescent="0.25">
      <c r="Q5353" t="s">
        <v>6286</v>
      </c>
      <c r="R5353" t="s">
        <v>936</v>
      </c>
    </row>
    <row r="5354" spans="17:18" ht="15" customHeight="1" x14ac:dyDescent="0.25">
      <c r="Q5354" t="s">
        <v>6287</v>
      </c>
      <c r="R5354" t="s">
        <v>936</v>
      </c>
    </row>
    <row r="5355" spans="17:18" ht="15" customHeight="1" x14ac:dyDescent="0.25">
      <c r="Q5355" t="s">
        <v>6288</v>
      </c>
      <c r="R5355" t="s">
        <v>936</v>
      </c>
    </row>
    <row r="5356" spans="17:18" ht="15" customHeight="1" x14ac:dyDescent="0.25">
      <c r="Q5356" t="s">
        <v>6289</v>
      </c>
      <c r="R5356" t="s">
        <v>936</v>
      </c>
    </row>
    <row r="5357" spans="17:18" ht="15" customHeight="1" x14ac:dyDescent="0.25">
      <c r="Q5357" t="s">
        <v>6290</v>
      </c>
      <c r="R5357" t="s">
        <v>936</v>
      </c>
    </row>
    <row r="5358" spans="17:18" ht="15" customHeight="1" x14ac:dyDescent="0.25">
      <c r="Q5358" t="s">
        <v>6291</v>
      </c>
      <c r="R5358" t="s">
        <v>936</v>
      </c>
    </row>
    <row r="5359" spans="17:18" ht="15" customHeight="1" x14ac:dyDescent="0.25">
      <c r="Q5359" t="s">
        <v>6292</v>
      </c>
      <c r="R5359" t="s">
        <v>936</v>
      </c>
    </row>
    <row r="5360" spans="17:18" ht="15" customHeight="1" x14ac:dyDescent="0.25">
      <c r="Q5360" t="s">
        <v>6293</v>
      </c>
      <c r="R5360" t="s">
        <v>936</v>
      </c>
    </row>
    <row r="5361" spans="17:18" ht="15" customHeight="1" x14ac:dyDescent="0.25">
      <c r="Q5361" t="s">
        <v>6294</v>
      </c>
      <c r="R5361" t="s">
        <v>5213</v>
      </c>
    </row>
    <row r="5362" spans="17:18" ht="15" customHeight="1" x14ac:dyDescent="0.25">
      <c r="Q5362" t="s">
        <v>6295</v>
      </c>
      <c r="R5362" t="s">
        <v>5213</v>
      </c>
    </row>
    <row r="5363" spans="17:18" ht="15" customHeight="1" x14ac:dyDescent="0.25">
      <c r="Q5363" t="s">
        <v>6296</v>
      </c>
      <c r="R5363" t="s">
        <v>5213</v>
      </c>
    </row>
    <row r="5364" spans="17:18" ht="15" customHeight="1" x14ac:dyDescent="0.25">
      <c r="Q5364" t="s">
        <v>6297</v>
      </c>
      <c r="R5364" t="s">
        <v>5213</v>
      </c>
    </row>
    <row r="5365" spans="17:18" ht="15" customHeight="1" x14ac:dyDescent="0.25">
      <c r="Q5365" t="s">
        <v>6298</v>
      </c>
      <c r="R5365" t="s">
        <v>5213</v>
      </c>
    </row>
    <row r="5366" spans="17:18" ht="15" customHeight="1" x14ac:dyDescent="0.25">
      <c r="Q5366" t="s">
        <v>6299</v>
      </c>
      <c r="R5366" t="s">
        <v>5213</v>
      </c>
    </row>
    <row r="5367" spans="17:18" ht="15" customHeight="1" x14ac:dyDescent="0.25">
      <c r="Q5367" t="s">
        <v>6300</v>
      </c>
      <c r="R5367" t="s">
        <v>5213</v>
      </c>
    </row>
    <row r="5368" spans="17:18" ht="15" customHeight="1" x14ac:dyDescent="0.25">
      <c r="Q5368" t="s">
        <v>6301</v>
      </c>
      <c r="R5368" t="s">
        <v>5213</v>
      </c>
    </row>
    <row r="5369" spans="17:18" ht="15" customHeight="1" x14ac:dyDescent="0.25">
      <c r="Q5369" t="s">
        <v>6302</v>
      </c>
      <c r="R5369" t="s">
        <v>5213</v>
      </c>
    </row>
    <row r="5370" spans="17:18" ht="15" customHeight="1" x14ac:dyDescent="0.25">
      <c r="Q5370" t="s">
        <v>6303</v>
      </c>
      <c r="R5370" t="s">
        <v>5213</v>
      </c>
    </row>
    <row r="5371" spans="17:18" ht="15" customHeight="1" x14ac:dyDescent="0.25">
      <c r="Q5371" t="s">
        <v>6304</v>
      </c>
      <c r="R5371" t="s">
        <v>5213</v>
      </c>
    </row>
    <row r="5372" spans="17:18" ht="15" customHeight="1" x14ac:dyDescent="0.25">
      <c r="Q5372" t="s">
        <v>6305</v>
      </c>
      <c r="R5372" t="s">
        <v>5213</v>
      </c>
    </row>
    <row r="5373" spans="17:18" ht="15" customHeight="1" x14ac:dyDescent="0.25">
      <c r="Q5373" t="s">
        <v>6306</v>
      </c>
      <c r="R5373" t="s">
        <v>5213</v>
      </c>
    </row>
    <row r="5374" spans="17:18" ht="15" customHeight="1" x14ac:dyDescent="0.25">
      <c r="Q5374" t="s">
        <v>6307</v>
      </c>
      <c r="R5374" t="s">
        <v>5213</v>
      </c>
    </row>
    <row r="5375" spans="17:18" ht="15" customHeight="1" x14ac:dyDescent="0.25">
      <c r="Q5375" t="s">
        <v>6308</v>
      </c>
      <c r="R5375" t="s">
        <v>5213</v>
      </c>
    </row>
    <row r="5376" spans="17:18" ht="15" customHeight="1" x14ac:dyDescent="0.25">
      <c r="Q5376" t="s">
        <v>6309</v>
      </c>
      <c r="R5376" t="s">
        <v>5213</v>
      </c>
    </row>
    <row r="5377" spans="17:18" ht="15" customHeight="1" x14ac:dyDescent="0.25">
      <c r="Q5377" t="s">
        <v>6310</v>
      </c>
      <c r="R5377" t="s">
        <v>5213</v>
      </c>
    </row>
    <row r="5378" spans="17:18" ht="15" customHeight="1" x14ac:dyDescent="0.25">
      <c r="Q5378" t="s">
        <v>6311</v>
      </c>
      <c r="R5378" t="s">
        <v>5213</v>
      </c>
    </row>
    <row r="5379" spans="17:18" ht="15" customHeight="1" x14ac:dyDescent="0.25">
      <c r="Q5379" t="s">
        <v>6312</v>
      </c>
      <c r="R5379" t="s">
        <v>5213</v>
      </c>
    </row>
    <row r="5380" spans="17:18" ht="15" customHeight="1" x14ac:dyDescent="0.25">
      <c r="Q5380" t="s">
        <v>6313</v>
      </c>
      <c r="R5380" t="s">
        <v>5213</v>
      </c>
    </row>
    <row r="5381" spans="17:18" ht="15" customHeight="1" x14ac:dyDescent="0.25">
      <c r="Q5381" t="s">
        <v>6314</v>
      </c>
      <c r="R5381" t="s">
        <v>5213</v>
      </c>
    </row>
    <row r="5382" spans="17:18" ht="15" customHeight="1" x14ac:dyDescent="0.25">
      <c r="Q5382" t="s">
        <v>6315</v>
      </c>
      <c r="R5382" t="s">
        <v>5213</v>
      </c>
    </row>
    <row r="5383" spans="17:18" ht="15" customHeight="1" x14ac:dyDescent="0.25">
      <c r="Q5383" t="s">
        <v>6316</v>
      </c>
      <c r="R5383" t="s">
        <v>5213</v>
      </c>
    </row>
    <row r="5384" spans="17:18" ht="15" customHeight="1" x14ac:dyDescent="0.25">
      <c r="Q5384" t="s">
        <v>6317</v>
      </c>
      <c r="R5384" t="s">
        <v>5213</v>
      </c>
    </row>
    <row r="5385" spans="17:18" ht="15" customHeight="1" x14ac:dyDescent="0.25">
      <c r="Q5385" t="s">
        <v>6318</v>
      </c>
      <c r="R5385" t="s">
        <v>5213</v>
      </c>
    </row>
    <row r="5386" spans="17:18" ht="15" customHeight="1" x14ac:dyDescent="0.25">
      <c r="Q5386" t="s">
        <v>6319</v>
      </c>
      <c r="R5386" t="s">
        <v>5213</v>
      </c>
    </row>
    <row r="5387" spans="17:18" ht="15" customHeight="1" x14ac:dyDescent="0.25">
      <c r="Q5387" t="s">
        <v>6320</v>
      </c>
      <c r="R5387" t="s">
        <v>5213</v>
      </c>
    </row>
    <row r="5388" spans="17:18" ht="15" customHeight="1" x14ac:dyDescent="0.25">
      <c r="Q5388" t="s">
        <v>6321</v>
      </c>
      <c r="R5388" t="s">
        <v>5213</v>
      </c>
    </row>
    <row r="5389" spans="17:18" ht="15" customHeight="1" x14ac:dyDescent="0.25">
      <c r="Q5389" t="s">
        <v>6322</v>
      </c>
      <c r="R5389" t="s">
        <v>5213</v>
      </c>
    </row>
    <row r="5390" spans="17:18" ht="15" customHeight="1" x14ac:dyDescent="0.25">
      <c r="Q5390" t="s">
        <v>6323</v>
      </c>
      <c r="R5390" t="s">
        <v>5213</v>
      </c>
    </row>
    <row r="5391" spans="17:18" ht="15" customHeight="1" x14ac:dyDescent="0.25">
      <c r="Q5391" t="s">
        <v>6324</v>
      </c>
      <c r="R5391" t="s">
        <v>5213</v>
      </c>
    </row>
    <row r="5392" spans="17:18" ht="15" customHeight="1" x14ac:dyDescent="0.25">
      <c r="Q5392" t="s">
        <v>6325</v>
      </c>
      <c r="R5392" t="s">
        <v>5213</v>
      </c>
    </row>
    <row r="5393" spans="17:18" ht="15" customHeight="1" x14ac:dyDescent="0.25">
      <c r="Q5393" t="s">
        <v>6326</v>
      </c>
      <c r="R5393" t="s">
        <v>5213</v>
      </c>
    </row>
    <row r="5394" spans="17:18" ht="15" customHeight="1" x14ac:dyDescent="0.25">
      <c r="Q5394" t="s">
        <v>6327</v>
      </c>
      <c r="R5394" t="s">
        <v>5213</v>
      </c>
    </row>
    <row r="5395" spans="17:18" ht="15" customHeight="1" x14ac:dyDescent="0.25">
      <c r="Q5395" t="s">
        <v>6328</v>
      </c>
      <c r="R5395" t="s">
        <v>5213</v>
      </c>
    </row>
    <row r="5396" spans="17:18" ht="15" customHeight="1" x14ac:dyDescent="0.25">
      <c r="Q5396" t="s">
        <v>6329</v>
      </c>
      <c r="R5396" t="s">
        <v>5213</v>
      </c>
    </row>
    <row r="5397" spans="17:18" ht="15" customHeight="1" x14ac:dyDescent="0.25">
      <c r="Q5397" t="s">
        <v>6330</v>
      </c>
      <c r="R5397" t="s">
        <v>5213</v>
      </c>
    </row>
    <row r="5398" spans="17:18" ht="15" customHeight="1" x14ac:dyDescent="0.25">
      <c r="Q5398" t="s">
        <v>6331</v>
      </c>
      <c r="R5398" t="s">
        <v>5213</v>
      </c>
    </row>
    <row r="5399" spans="17:18" ht="15" customHeight="1" x14ac:dyDescent="0.25">
      <c r="Q5399" t="s">
        <v>6332</v>
      </c>
      <c r="R5399" t="s">
        <v>5213</v>
      </c>
    </row>
    <row r="5400" spans="17:18" ht="15" customHeight="1" x14ac:dyDescent="0.25">
      <c r="Q5400" t="s">
        <v>6333</v>
      </c>
      <c r="R5400" t="s">
        <v>5213</v>
      </c>
    </row>
    <row r="5401" spans="17:18" ht="15" customHeight="1" x14ac:dyDescent="0.25">
      <c r="Q5401" t="s">
        <v>6334</v>
      </c>
      <c r="R5401" t="s">
        <v>5213</v>
      </c>
    </row>
    <row r="5402" spans="17:18" ht="15" customHeight="1" x14ac:dyDescent="0.25">
      <c r="Q5402" t="s">
        <v>6335</v>
      </c>
      <c r="R5402" t="s">
        <v>5213</v>
      </c>
    </row>
    <row r="5403" spans="17:18" ht="15" customHeight="1" x14ac:dyDescent="0.25">
      <c r="Q5403" t="s">
        <v>6336</v>
      </c>
      <c r="R5403" t="s">
        <v>5213</v>
      </c>
    </row>
    <row r="5404" spans="17:18" ht="15" customHeight="1" x14ac:dyDescent="0.25">
      <c r="Q5404" t="s">
        <v>6337</v>
      </c>
      <c r="R5404" t="s">
        <v>5213</v>
      </c>
    </row>
    <row r="5405" spans="17:18" ht="15" customHeight="1" x14ac:dyDescent="0.25">
      <c r="Q5405" t="s">
        <v>6338</v>
      </c>
      <c r="R5405" t="s">
        <v>5213</v>
      </c>
    </row>
    <row r="5406" spans="17:18" ht="15" customHeight="1" x14ac:dyDescent="0.25">
      <c r="Q5406" t="s">
        <v>6339</v>
      </c>
      <c r="R5406" t="s">
        <v>5213</v>
      </c>
    </row>
    <row r="5407" spans="17:18" ht="15" customHeight="1" x14ac:dyDescent="0.25">
      <c r="Q5407" t="s">
        <v>6340</v>
      </c>
      <c r="R5407" t="s">
        <v>5213</v>
      </c>
    </row>
    <row r="5408" spans="17:18" ht="15" customHeight="1" x14ac:dyDescent="0.25">
      <c r="Q5408" t="s">
        <v>6341</v>
      </c>
      <c r="R5408" t="s">
        <v>4214</v>
      </c>
    </row>
    <row r="5409" spans="17:18" ht="15" customHeight="1" x14ac:dyDescent="0.25">
      <c r="Q5409" t="s">
        <v>6342</v>
      </c>
      <c r="R5409" t="s">
        <v>4214</v>
      </c>
    </row>
    <row r="5410" spans="17:18" ht="15" customHeight="1" x14ac:dyDescent="0.25">
      <c r="Q5410" t="s">
        <v>6343</v>
      </c>
      <c r="R5410" t="s">
        <v>4214</v>
      </c>
    </row>
    <row r="5411" spans="17:18" ht="15" customHeight="1" x14ac:dyDescent="0.25">
      <c r="Q5411" t="s">
        <v>6344</v>
      </c>
      <c r="R5411" t="s">
        <v>4214</v>
      </c>
    </row>
    <row r="5412" spans="17:18" ht="15" customHeight="1" x14ac:dyDescent="0.25">
      <c r="Q5412" t="s">
        <v>6345</v>
      </c>
      <c r="R5412" t="s">
        <v>4214</v>
      </c>
    </row>
    <row r="5413" spans="17:18" ht="15" customHeight="1" x14ac:dyDescent="0.25">
      <c r="Q5413" t="s">
        <v>6346</v>
      </c>
      <c r="R5413" t="s">
        <v>4214</v>
      </c>
    </row>
    <row r="5414" spans="17:18" ht="15" customHeight="1" x14ac:dyDescent="0.25">
      <c r="Q5414" t="s">
        <v>6347</v>
      </c>
      <c r="R5414" t="s">
        <v>4214</v>
      </c>
    </row>
    <row r="5415" spans="17:18" ht="15" customHeight="1" x14ac:dyDescent="0.25">
      <c r="Q5415" t="s">
        <v>6348</v>
      </c>
      <c r="R5415" t="s">
        <v>4214</v>
      </c>
    </row>
    <row r="5416" spans="17:18" ht="15" customHeight="1" x14ac:dyDescent="0.25">
      <c r="Q5416" t="s">
        <v>6349</v>
      </c>
      <c r="R5416" t="s">
        <v>4214</v>
      </c>
    </row>
    <row r="5417" spans="17:18" ht="15" customHeight="1" x14ac:dyDescent="0.25">
      <c r="Q5417" t="s">
        <v>6350</v>
      </c>
      <c r="R5417" t="s">
        <v>4214</v>
      </c>
    </row>
    <row r="5418" spans="17:18" ht="15" customHeight="1" x14ac:dyDescent="0.25">
      <c r="Q5418" t="s">
        <v>6351</v>
      </c>
      <c r="R5418" t="s">
        <v>4214</v>
      </c>
    </row>
    <row r="5419" spans="17:18" ht="15" customHeight="1" x14ac:dyDescent="0.25">
      <c r="Q5419" t="s">
        <v>6352</v>
      </c>
      <c r="R5419" t="s">
        <v>4214</v>
      </c>
    </row>
    <row r="5420" spans="17:18" ht="15" customHeight="1" x14ac:dyDescent="0.25">
      <c r="Q5420" t="s">
        <v>6353</v>
      </c>
      <c r="R5420" t="s">
        <v>4214</v>
      </c>
    </row>
    <row r="5421" spans="17:18" ht="15" customHeight="1" x14ac:dyDescent="0.25">
      <c r="Q5421" t="s">
        <v>6354</v>
      </c>
      <c r="R5421" t="s">
        <v>4214</v>
      </c>
    </row>
    <row r="5422" spans="17:18" ht="15" customHeight="1" x14ac:dyDescent="0.25">
      <c r="Q5422" t="s">
        <v>6355</v>
      </c>
      <c r="R5422" t="s">
        <v>5213</v>
      </c>
    </row>
    <row r="5423" spans="17:18" ht="15" customHeight="1" x14ac:dyDescent="0.25">
      <c r="Q5423" t="s">
        <v>6356</v>
      </c>
      <c r="R5423" t="s">
        <v>5213</v>
      </c>
    </row>
    <row r="5424" spans="17:18" ht="15" customHeight="1" x14ac:dyDescent="0.25">
      <c r="Q5424" t="s">
        <v>6357</v>
      </c>
      <c r="R5424" t="s">
        <v>5213</v>
      </c>
    </row>
    <row r="5425" spans="17:18" ht="15" customHeight="1" x14ac:dyDescent="0.25">
      <c r="Q5425" t="s">
        <v>6358</v>
      </c>
      <c r="R5425" t="s">
        <v>5213</v>
      </c>
    </row>
    <row r="5426" spans="17:18" ht="15" customHeight="1" x14ac:dyDescent="0.25">
      <c r="Q5426" t="s">
        <v>6359</v>
      </c>
      <c r="R5426" t="s">
        <v>5213</v>
      </c>
    </row>
    <row r="5427" spans="17:18" ht="15" customHeight="1" x14ac:dyDescent="0.25">
      <c r="Q5427" t="s">
        <v>6360</v>
      </c>
      <c r="R5427" t="s">
        <v>5213</v>
      </c>
    </row>
    <row r="5428" spans="17:18" ht="15" customHeight="1" x14ac:dyDescent="0.25">
      <c r="Q5428" t="s">
        <v>6361</v>
      </c>
      <c r="R5428" t="s">
        <v>5213</v>
      </c>
    </row>
    <row r="5429" spans="17:18" ht="15" customHeight="1" x14ac:dyDescent="0.25">
      <c r="Q5429" t="s">
        <v>6362</v>
      </c>
      <c r="R5429" t="s">
        <v>5213</v>
      </c>
    </row>
    <row r="5430" spans="17:18" ht="15" customHeight="1" x14ac:dyDescent="0.25">
      <c r="Q5430" t="s">
        <v>6363</v>
      </c>
      <c r="R5430" t="s">
        <v>5213</v>
      </c>
    </row>
    <row r="5431" spans="17:18" ht="15" customHeight="1" x14ac:dyDescent="0.25">
      <c r="Q5431" t="s">
        <v>6364</v>
      </c>
      <c r="R5431" t="s">
        <v>5213</v>
      </c>
    </row>
    <row r="5432" spans="17:18" ht="15" customHeight="1" x14ac:dyDescent="0.25">
      <c r="Q5432" t="s">
        <v>6365</v>
      </c>
      <c r="R5432" t="s">
        <v>5213</v>
      </c>
    </row>
    <row r="5433" spans="17:18" ht="15" customHeight="1" x14ac:dyDescent="0.25">
      <c r="Q5433" t="s">
        <v>6366</v>
      </c>
      <c r="R5433" t="s">
        <v>5213</v>
      </c>
    </row>
    <row r="5434" spans="17:18" ht="15" customHeight="1" x14ac:dyDescent="0.25">
      <c r="Q5434" t="s">
        <v>6367</v>
      </c>
      <c r="R5434" t="s">
        <v>5213</v>
      </c>
    </row>
    <row r="5435" spans="17:18" ht="15" customHeight="1" x14ac:dyDescent="0.25">
      <c r="Q5435" t="s">
        <v>6368</v>
      </c>
      <c r="R5435" t="s">
        <v>5213</v>
      </c>
    </row>
    <row r="5436" spans="17:18" ht="15" customHeight="1" x14ac:dyDescent="0.25">
      <c r="Q5436" t="s">
        <v>6369</v>
      </c>
      <c r="R5436" t="s">
        <v>5213</v>
      </c>
    </row>
    <row r="5437" spans="17:18" ht="15" customHeight="1" x14ac:dyDescent="0.25">
      <c r="Q5437" t="s">
        <v>6370</v>
      </c>
      <c r="R5437" t="s">
        <v>5213</v>
      </c>
    </row>
    <row r="5438" spans="17:18" ht="15" customHeight="1" x14ac:dyDescent="0.25">
      <c r="Q5438" t="s">
        <v>6371</v>
      </c>
      <c r="R5438" t="s">
        <v>5213</v>
      </c>
    </row>
    <row r="5439" spans="17:18" ht="15" customHeight="1" x14ac:dyDescent="0.25">
      <c r="Q5439" t="s">
        <v>6372</v>
      </c>
      <c r="R5439" t="s">
        <v>5213</v>
      </c>
    </row>
    <row r="5440" spans="17:18" ht="15" customHeight="1" x14ac:dyDescent="0.25">
      <c r="Q5440" t="s">
        <v>6373</v>
      </c>
      <c r="R5440" t="s">
        <v>5213</v>
      </c>
    </row>
    <row r="5441" spans="17:18" ht="15" customHeight="1" x14ac:dyDescent="0.25">
      <c r="Q5441" t="s">
        <v>6374</v>
      </c>
      <c r="R5441" t="s">
        <v>5213</v>
      </c>
    </row>
    <row r="5442" spans="17:18" ht="15" customHeight="1" x14ac:dyDescent="0.25">
      <c r="Q5442" t="s">
        <v>6375</v>
      </c>
      <c r="R5442" t="s">
        <v>5213</v>
      </c>
    </row>
    <row r="5443" spans="17:18" ht="15" customHeight="1" x14ac:dyDescent="0.25">
      <c r="Q5443" t="s">
        <v>6376</v>
      </c>
      <c r="R5443" t="s">
        <v>5213</v>
      </c>
    </row>
    <row r="5444" spans="17:18" ht="15" customHeight="1" x14ac:dyDescent="0.25">
      <c r="Q5444" t="s">
        <v>6377</v>
      </c>
      <c r="R5444" t="s">
        <v>5213</v>
      </c>
    </row>
    <row r="5445" spans="17:18" ht="15" customHeight="1" x14ac:dyDescent="0.25">
      <c r="Q5445" t="s">
        <v>6378</v>
      </c>
      <c r="R5445" t="s">
        <v>5213</v>
      </c>
    </row>
    <row r="5446" spans="17:18" ht="15" customHeight="1" x14ac:dyDescent="0.25">
      <c r="Q5446" t="s">
        <v>6379</v>
      </c>
      <c r="R5446" t="s">
        <v>5213</v>
      </c>
    </row>
    <row r="5447" spans="17:18" ht="15" customHeight="1" x14ac:dyDescent="0.25">
      <c r="Q5447" t="s">
        <v>6380</v>
      </c>
      <c r="R5447" t="s">
        <v>5213</v>
      </c>
    </row>
    <row r="5448" spans="17:18" ht="15" customHeight="1" x14ac:dyDescent="0.25">
      <c r="Q5448" t="s">
        <v>6381</v>
      </c>
      <c r="R5448" t="s">
        <v>5213</v>
      </c>
    </row>
    <row r="5449" spans="17:18" ht="15" customHeight="1" x14ac:dyDescent="0.25">
      <c r="Q5449" t="s">
        <v>6382</v>
      </c>
      <c r="R5449" t="s">
        <v>5213</v>
      </c>
    </row>
    <row r="5450" spans="17:18" ht="15" customHeight="1" x14ac:dyDescent="0.25">
      <c r="Q5450" t="s">
        <v>6383</v>
      </c>
      <c r="R5450" t="s">
        <v>5213</v>
      </c>
    </row>
    <row r="5451" spans="17:18" ht="15" customHeight="1" x14ac:dyDescent="0.25">
      <c r="Q5451" t="s">
        <v>6384</v>
      </c>
      <c r="R5451" t="s">
        <v>5213</v>
      </c>
    </row>
    <row r="5452" spans="17:18" ht="15" customHeight="1" x14ac:dyDescent="0.25">
      <c r="Q5452" t="s">
        <v>6385</v>
      </c>
      <c r="R5452" t="s">
        <v>5213</v>
      </c>
    </row>
    <row r="5453" spans="17:18" ht="15" customHeight="1" x14ac:dyDescent="0.25">
      <c r="Q5453" t="s">
        <v>6386</v>
      </c>
      <c r="R5453" t="s">
        <v>5213</v>
      </c>
    </row>
    <row r="5454" spans="17:18" ht="15" customHeight="1" x14ac:dyDescent="0.25">
      <c r="Q5454" t="s">
        <v>6387</v>
      </c>
      <c r="R5454" t="s">
        <v>5213</v>
      </c>
    </row>
    <row r="5455" spans="17:18" ht="15" customHeight="1" x14ac:dyDescent="0.25">
      <c r="Q5455" t="s">
        <v>6388</v>
      </c>
      <c r="R5455" t="s">
        <v>5213</v>
      </c>
    </row>
    <row r="5456" spans="17:18" ht="15" customHeight="1" x14ac:dyDescent="0.25">
      <c r="Q5456" t="s">
        <v>6389</v>
      </c>
      <c r="R5456" t="s">
        <v>5213</v>
      </c>
    </row>
    <row r="5457" spans="17:18" ht="15" customHeight="1" x14ac:dyDescent="0.25">
      <c r="Q5457" t="s">
        <v>6390</v>
      </c>
      <c r="R5457" t="s">
        <v>5213</v>
      </c>
    </row>
    <row r="5458" spans="17:18" ht="15" customHeight="1" x14ac:dyDescent="0.25">
      <c r="Q5458" t="s">
        <v>6391</v>
      </c>
      <c r="R5458" t="s">
        <v>5213</v>
      </c>
    </row>
    <row r="5459" spans="17:18" ht="15" customHeight="1" x14ac:dyDescent="0.25">
      <c r="Q5459" t="s">
        <v>6392</v>
      </c>
      <c r="R5459" t="s">
        <v>4214</v>
      </c>
    </row>
    <row r="5460" spans="17:18" ht="15" customHeight="1" x14ac:dyDescent="0.25">
      <c r="Q5460" t="s">
        <v>6393</v>
      </c>
      <c r="R5460" t="s">
        <v>4214</v>
      </c>
    </row>
    <row r="5461" spans="17:18" ht="15" customHeight="1" x14ac:dyDescent="0.25">
      <c r="Q5461" t="s">
        <v>6394</v>
      </c>
      <c r="R5461" t="s">
        <v>4214</v>
      </c>
    </row>
    <row r="5462" spans="17:18" ht="15" customHeight="1" x14ac:dyDescent="0.25">
      <c r="Q5462" t="s">
        <v>6395</v>
      </c>
      <c r="R5462" t="s">
        <v>4214</v>
      </c>
    </row>
    <row r="5463" spans="17:18" ht="15" customHeight="1" x14ac:dyDescent="0.25">
      <c r="Q5463" t="s">
        <v>6396</v>
      </c>
      <c r="R5463" t="s">
        <v>4214</v>
      </c>
    </row>
    <row r="5464" spans="17:18" ht="15" customHeight="1" x14ac:dyDescent="0.25">
      <c r="Q5464" t="s">
        <v>6397</v>
      </c>
      <c r="R5464" t="s">
        <v>4214</v>
      </c>
    </row>
    <row r="5465" spans="17:18" ht="15" customHeight="1" x14ac:dyDescent="0.25">
      <c r="Q5465" t="s">
        <v>6398</v>
      </c>
      <c r="R5465" t="s">
        <v>4214</v>
      </c>
    </row>
    <row r="5466" spans="17:18" ht="15" customHeight="1" x14ac:dyDescent="0.25">
      <c r="Q5466" t="s">
        <v>6399</v>
      </c>
      <c r="R5466" t="s">
        <v>4214</v>
      </c>
    </row>
    <row r="5467" spans="17:18" ht="15" customHeight="1" x14ac:dyDescent="0.25">
      <c r="Q5467" t="s">
        <v>6400</v>
      </c>
      <c r="R5467" t="s">
        <v>4214</v>
      </c>
    </row>
    <row r="5468" spans="17:18" ht="15" customHeight="1" x14ac:dyDescent="0.25">
      <c r="Q5468" t="s">
        <v>6401</v>
      </c>
      <c r="R5468" t="s">
        <v>4214</v>
      </c>
    </row>
    <row r="5469" spans="17:18" ht="15" customHeight="1" x14ac:dyDescent="0.25">
      <c r="Q5469" t="s">
        <v>6402</v>
      </c>
      <c r="R5469" t="s">
        <v>4214</v>
      </c>
    </row>
    <row r="5470" spans="17:18" ht="15" customHeight="1" x14ac:dyDescent="0.25">
      <c r="Q5470" t="s">
        <v>6403</v>
      </c>
      <c r="R5470" t="s">
        <v>4214</v>
      </c>
    </row>
    <row r="5471" spans="17:18" ht="15" customHeight="1" x14ac:dyDescent="0.25">
      <c r="Q5471" t="s">
        <v>6404</v>
      </c>
      <c r="R5471" t="s">
        <v>4214</v>
      </c>
    </row>
    <row r="5472" spans="17:18" ht="15" customHeight="1" x14ac:dyDescent="0.25">
      <c r="Q5472" t="s">
        <v>6405</v>
      </c>
      <c r="R5472" t="s">
        <v>4214</v>
      </c>
    </row>
    <row r="5473" spans="17:18" ht="15" customHeight="1" x14ac:dyDescent="0.25">
      <c r="Q5473" t="s">
        <v>6406</v>
      </c>
      <c r="R5473" t="s">
        <v>4214</v>
      </c>
    </row>
    <row r="5474" spans="17:18" ht="15" customHeight="1" x14ac:dyDescent="0.25">
      <c r="Q5474" t="s">
        <v>6407</v>
      </c>
      <c r="R5474" t="s">
        <v>5213</v>
      </c>
    </row>
    <row r="5475" spans="17:18" ht="15" customHeight="1" x14ac:dyDescent="0.25">
      <c r="Q5475" t="s">
        <v>6408</v>
      </c>
      <c r="R5475" t="s">
        <v>5213</v>
      </c>
    </row>
    <row r="5476" spans="17:18" ht="15" customHeight="1" x14ac:dyDescent="0.25">
      <c r="Q5476" t="s">
        <v>6409</v>
      </c>
      <c r="R5476" t="s">
        <v>5213</v>
      </c>
    </row>
    <row r="5477" spans="17:18" ht="15" customHeight="1" x14ac:dyDescent="0.25">
      <c r="Q5477" t="s">
        <v>6410</v>
      </c>
      <c r="R5477" t="s">
        <v>4214</v>
      </c>
    </row>
    <row r="5478" spans="17:18" ht="15" customHeight="1" x14ac:dyDescent="0.25">
      <c r="Q5478" t="s">
        <v>6411</v>
      </c>
      <c r="R5478" t="s">
        <v>4214</v>
      </c>
    </row>
    <row r="5479" spans="17:18" ht="15" customHeight="1" x14ac:dyDescent="0.25">
      <c r="Q5479" t="s">
        <v>6412</v>
      </c>
      <c r="R5479" t="s">
        <v>4214</v>
      </c>
    </row>
    <row r="5480" spans="17:18" ht="15" customHeight="1" x14ac:dyDescent="0.25">
      <c r="Q5480" t="s">
        <v>6413</v>
      </c>
      <c r="R5480" t="s">
        <v>4214</v>
      </c>
    </row>
    <row r="5481" spans="17:18" ht="15" customHeight="1" x14ac:dyDescent="0.25">
      <c r="Q5481" t="s">
        <v>6414</v>
      </c>
      <c r="R5481" t="s">
        <v>4214</v>
      </c>
    </row>
    <row r="5482" spans="17:18" ht="15" customHeight="1" x14ac:dyDescent="0.25">
      <c r="Q5482" t="s">
        <v>6415</v>
      </c>
      <c r="R5482" t="s">
        <v>4214</v>
      </c>
    </row>
    <row r="5483" spans="17:18" ht="15" customHeight="1" x14ac:dyDescent="0.25">
      <c r="Q5483" t="s">
        <v>6416</v>
      </c>
      <c r="R5483" t="s">
        <v>5213</v>
      </c>
    </row>
    <row r="5484" spans="17:18" ht="15" customHeight="1" x14ac:dyDescent="0.25">
      <c r="Q5484" t="s">
        <v>6417</v>
      </c>
      <c r="R5484" t="s">
        <v>6418</v>
      </c>
    </row>
    <row r="5485" spans="17:18" ht="15" customHeight="1" x14ac:dyDescent="0.25">
      <c r="Q5485" t="s">
        <v>6419</v>
      </c>
      <c r="R5485" t="s">
        <v>5213</v>
      </c>
    </row>
    <row r="5486" spans="17:18" ht="15" customHeight="1" x14ac:dyDescent="0.25">
      <c r="Q5486" t="s">
        <v>6420</v>
      </c>
      <c r="R5486" t="s">
        <v>5213</v>
      </c>
    </row>
    <row r="5487" spans="17:18" ht="15" customHeight="1" x14ac:dyDescent="0.25">
      <c r="Q5487" t="s">
        <v>6421</v>
      </c>
      <c r="R5487" t="s">
        <v>6418</v>
      </c>
    </row>
    <row r="5488" spans="17:18" ht="15" customHeight="1" x14ac:dyDescent="0.25">
      <c r="Q5488" t="s">
        <v>6422</v>
      </c>
      <c r="R5488" t="s">
        <v>5213</v>
      </c>
    </row>
    <row r="5489" spans="17:18" ht="15" customHeight="1" x14ac:dyDescent="0.25">
      <c r="Q5489" t="s">
        <v>6423</v>
      </c>
      <c r="R5489" t="s">
        <v>5213</v>
      </c>
    </row>
    <row r="5490" spans="17:18" ht="15" customHeight="1" x14ac:dyDescent="0.25">
      <c r="Q5490" t="s">
        <v>6424</v>
      </c>
      <c r="R5490" t="s">
        <v>5213</v>
      </c>
    </row>
    <row r="5491" spans="17:18" ht="15" customHeight="1" x14ac:dyDescent="0.25">
      <c r="Q5491" t="s">
        <v>6425</v>
      </c>
      <c r="R5491" t="s">
        <v>5213</v>
      </c>
    </row>
    <row r="5492" spans="17:18" ht="15" customHeight="1" x14ac:dyDescent="0.25">
      <c r="Q5492" t="s">
        <v>6426</v>
      </c>
      <c r="R5492" t="s">
        <v>5213</v>
      </c>
    </row>
    <row r="5493" spans="17:18" ht="15" customHeight="1" x14ac:dyDescent="0.25">
      <c r="Q5493" t="s">
        <v>6427</v>
      </c>
      <c r="R5493" t="s">
        <v>5213</v>
      </c>
    </row>
    <row r="5494" spans="17:18" ht="15" customHeight="1" x14ac:dyDescent="0.25">
      <c r="Q5494" t="s">
        <v>6428</v>
      </c>
      <c r="R5494" t="s">
        <v>5213</v>
      </c>
    </row>
    <row r="5495" spans="17:18" ht="15" customHeight="1" x14ac:dyDescent="0.25">
      <c r="Q5495" t="s">
        <v>6429</v>
      </c>
      <c r="R5495" t="s">
        <v>5213</v>
      </c>
    </row>
    <row r="5496" spans="17:18" ht="15" customHeight="1" x14ac:dyDescent="0.25">
      <c r="Q5496" t="s">
        <v>6430</v>
      </c>
      <c r="R5496" t="s">
        <v>5213</v>
      </c>
    </row>
    <row r="5497" spans="17:18" ht="15" customHeight="1" x14ac:dyDescent="0.25">
      <c r="Q5497" t="s">
        <v>6431</v>
      </c>
      <c r="R5497" t="s">
        <v>5213</v>
      </c>
    </row>
    <row r="5498" spans="17:18" ht="15" customHeight="1" x14ac:dyDescent="0.25">
      <c r="Q5498" t="s">
        <v>6432</v>
      </c>
      <c r="R5498" t="s">
        <v>5213</v>
      </c>
    </row>
    <row r="5499" spans="17:18" ht="15" customHeight="1" x14ac:dyDescent="0.25">
      <c r="Q5499" t="s">
        <v>6433</v>
      </c>
      <c r="R5499" t="s">
        <v>5213</v>
      </c>
    </row>
    <row r="5500" spans="17:18" ht="15" customHeight="1" x14ac:dyDescent="0.25">
      <c r="Q5500" t="s">
        <v>6434</v>
      </c>
      <c r="R5500" t="s">
        <v>5213</v>
      </c>
    </row>
    <row r="5501" spans="17:18" ht="15" customHeight="1" x14ac:dyDescent="0.25">
      <c r="Q5501" t="s">
        <v>6435</v>
      </c>
      <c r="R5501" t="s">
        <v>5213</v>
      </c>
    </row>
    <row r="5502" spans="17:18" ht="15" customHeight="1" x14ac:dyDescent="0.25">
      <c r="Q5502" t="s">
        <v>6436</v>
      </c>
      <c r="R5502" t="s">
        <v>5213</v>
      </c>
    </row>
    <row r="5503" spans="17:18" ht="15" customHeight="1" x14ac:dyDescent="0.25">
      <c r="Q5503" t="s">
        <v>6437</v>
      </c>
      <c r="R5503" t="s">
        <v>5213</v>
      </c>
    </row>
    <row r="5504" spans="17:18" ht="15" customHeight="1" x14ac:dyDescent="0.25">
      <c r="Q5504" t="s">
        <v>6438</v>
      </c>
      <c r="R5504" t="s">
        <v>5213</v>
      </c>
    </row>
    <row r="5505" spans="17:18" ht="15" customHeight="1" x14ac:dyDescent="0.25">
      <c r="Q5505" t="s">
        <v>6439</v>
      </c>
      <c r="R5505" t="s">
        <v>5213</v>
      </c>
    </row>
    <row r="5506" spans="17:18" ht="15" customHeight="1" x14ac:dyDescent="0.25">
      <c r="Q5506" t="s">
        <v>6440</v>
      </c>
      <c r="R5506" t="s">
        <v>6418</v>
      </c>
    </row>
    <row r="5507" spans="17:18" ht="15" customHeight="1" x14ac:dyDescent="0.25">
      <c r="Q5507" t="s">
        <v>6441</v>
      </c>
      <c r="R5507" t="s">
        <v>6418</v>
      </c>
    </row>
    <row r="5508" spans="17:18" ht="15" customHeight="1" x14ac:dyDescent="0.25">
      <c r="Q5508" t="s">
        <v>6442</v>
      </c>
      <c r="R5508" t="s">
        <v>6418</v>
      </c>
    </row>
    <row r="5509" spans="17:18" ht="15" customHeight="1" x14ac:dyDescent="0.25">
      <c r="Q5509" t="s">
        <v>6443</v>
      </c>
      <c r="R5509" t="s">
        <v>4214</v>
      </c>
    </row>
    <row r="5510" spans="17:18" ht="15" customHeight="1" x14ac:dyDescent="0.25">
      <c r="Q5510" t="s">
        <v>6444</v>
      </c>
      <c r="R5510" t="s">
        <v>4214</v>
      </c>
    </row>
    <row r="5511" spans="17:18" ht="15" customHeight="1" x14ac:dyDescent="0.25">
      <c r="Q5511" t="s">
        <v>6445</v>
      </c>
      <c r="R5511" t="s">
        <v>4214</v>
      </c>
    </row>
    <row r="5512" spans="17:18" ht="15" customHeight="1" x14ac:dyDescent="0.25">
      <c r="Q5512" t="s">
        <v>6446</v>
      </c>
      <c r="R5512" t="s">
        <v>4214</v>
      </c>
    </row>
    <row r="5513" spans="17:18" ht="15" customHeight="1" x14ac:dyDescent="0.25">
      <c r="Q5513" t="s">
        <v>6447</v>
      </c>
      <c r="R5513" t="s">
        <v>4214</v>
      </c>
    </row>
    <row r="5514" spans="17:18" ht="15" customHeight="1" x14ac:dyDescent="0.25">
      <c r="Q5514" t="s">
        <v>6448</v>
      </c>
      <c r="R5514" t="s">
        <v>4214</v>
      </c>
    </row>
    <row r="5515" spans="17:18" ht="15" customHeight="1" x14ac:dyDescent="0.25">
      <c r="Q5515" t="s">
        <v>6449</v>
      </c>
      <c r="R5515" t="s">
        <v>4214</v>
      </c>
    </row>
    <row r="5516" spans="17:18" ht="15" customHeight="1" x14ac:dyDescent="0.25">
      <c r="Q5516" t="s">
        <v>6450</v>
      </c>
      <c r="R5516" t="s">
        <v>4214</v>
      </c>
    </row>
    <row r="5517" spans="17:18" ht="15" customHeight="1" x14ac:dyDescent="0.25">
      <c r="Q5517" t="s">
        <v>6451</v>
      </c>
      <c r="R5517" t="s">
        <v>4214</v>
      </c>
    </row>
    <row r="5518" spans="17:18" ht="15" customHeight="1" x14ac:dyDescent="0.25">
      <c r="Q5518" t="s">
        <v>6452</v>
      </c>
      <c r="R5518" t="s">
        <v>4214</v>
      </c>
    </row>
    <row r="5519" spans="17:18" ht="15" customHeight="1" x14ac:dyDescent="0.25">
      <c r="Q5519" t="s">
        <v>6453</v>
      </c>
      <c r="R5519" t="s">
        <v>4214</v>
      </c>
    </row>
    <row r="5520" spans="17:18" ht="15" customHeight="1" x14ac:dyDescent="0.25">
      <c r="Q5520" t="s">
        <v>6454</v>
      </c>
      <c r="R5520" t="s">
        <v>4214</v>
      </c>
    </row>
    <row r="5521" spans="17:18" ht="15" customHeight="1" x14ac:dyDescent="0.25">
      <c r="Q5521" t="s">
        <v>6455</v>
      </c>
      <c r="R5521" t="s">
        <v>4214</v>
      </c>
    </row>
    <row r="5522" spans="17:18" ht="15" customHeight="1" x14ac:dyDescent="0.25">
      <c r="Q5522" t="s">
        <v>6456</v>
      </c>
      <c r="R5522" t="s">
        <v>4214</v>
      </c>
    </row>
    <row r="5523" spans="17:18" ht="15" customHeight="1" x14ac:dyDescent="0.25">
      <c r="Q5523" t="s">
        <v>6457</v>
      </c>
      <c r="R5523" t="s">
        <v>4214</v>
      </c>
    </row>
    <row r="5524" spans="17:18" ht="15" customHeight="1" x14ac:dyDescent="0.25">
      <c r="Q5524" t="s">
        <v>6458</v>
      </c>
      <c r="R5524" t="s">
        <v>4214</v>
      </c>
    </row>
    <row r="5525" spans="17:18" ht="15" customHeight="1" x14ac:dyDescent="0.25">
      <c r="Q5525" t="s">
        <v>6459</v>
      </c>
      <c r="R5525" t="s">
        <v>4214</v>
      </c>
    </row>
    <row r="5526" spans="17:18" ht="15" customHeight="1" x14ac:dyDescent="0.25">
      <c r="Q5526" t="s">
        <v>6460</v>
      </c>
      <c r="R5526" t="s">
        <v>4214</v>
      </c>
    </row>
    <row r="5527" spans="17:18" ht="15" customHeight="1" x14ac:dyDescent="0.25">
      <c r="Q5527" t="s">
        <v>6461</v>
      </c>
      <c r="R5527" t="s">
        <v>5213</v>
      </c>
    </row>
    <row r="5528" spans="17:18" ht="15" customHeight="1" x14ac:dyDescent="0.25">
      <c r="Q5528" t="s">
        <v>6462</v>
      </c>
      <c r="R5528" t="s">
        <v>5213</v>
      </c>
    </row>
    <row r="5529" spans="17:18" ht="15" customHeight="1" x14ac:dyDescent="0.25">
      <c r="Q5529" t="s">
        <v>6463</v>
      </c>
      <c r="R5529" t="s">
        <v>5213</v>
      </c>
    </row>
    <row r="5530" spans="17:18" ht="15" customHeight="1" x14ac:dyDescent="0.25">
      <c r="Q5530" t="s">
        <v>6464</v>
      </c>
      <c r="R5530" t="s">
        <v>5213</v>
      </c>
    </row>
    <row r="5531" spans="17:18" ht="15" customHeight="1" x14ac:dyDescent="0.25">
      <c r="Q5531" t="s">
        <v>6465</v>
      </c>
      <c r="R5531" t="s">
        <v>5213</v>
      </c>
    </row>
    <row r="5532" spans="17:18" ht="15" customHeight="1" x14ac:dyDescent="0.25">
      <c r="Q5532" t="s">
        <v>6466</v>
      </c>
      <c r="R5532" t="s">
        <v>5213</v>
      </c>
    </row>
    <row r="5533" spans="17:18" ht="15" customHeight="1" x14ac:dyDescent="0.25">
      <c r="Q5533" t="s">
        <v>6467</v>
      </c>
      <c r="R5533" t="s">
        <v>5213</v>
      </c>
    </row>
    <row r="5534" spans="17:18" ht="15" customHeight="1" x14ac:dyDescent="0.25">
      <c r="Q5534" t="s">
        <v>6468</v>
      </c>
      <c r="R5534" t="s">
        <v>5213</v>
      </c>
    </row>
    <row r="5535" spans="17:18" ht="15" customHeight="1" x14ac:dyDescent="0.25">
      <c r="Q5535" t="s">
        <v>6469</v>
      </c>
      <c r="R5535" t="s">
        <v>5213</v>
      </c>
    </row>
    <row r="5536" spans="17:18" ht="15" customHeight="1" x14ac:dyDescent="0.25">
      <c r="Q5536" t="s">
        <v>6470</v>
      </c>
      <c r="R5536" t="s">
        <v>5213</v>
      </c>
    </row>
    <row r="5537" spans="17:18" ht="15" customHeight="1" x14ac:dyDescent="0.25">
      <c r="Q5537" t="s">
        <v>6471</v>
      </c>
      <c r="R5537" t="s">
        <v>5213</v>
      </c>
    </row>
    <row r="5538" spans="17:18" ht="15" customHeight="1" x14ac:dyDescent="0.25">
      <c r="Q5538" t="s">
        <v>6472</v>
      </c>
      <c r="R5538" t="s">
        <v>5213</v>
      </c>
    </row>
    <row r="5539" spans="17:18" ht="15" customHeight="1" x14ac:dyDescent="0.25">
      <c r="Q5539" t="s">
        <v>6473</v>
      </c>
      <c r="R5539" t="s">
        <v>5213</v>
      </c>
    </row>
    <row r="5540" spans="17:18" ht="15" customHeight="1" x14ac:dyDescent="0.25">
      <c r="Q5540" t="s">
        <v>6474</v>
      </c>
      <c r="R5540" t="s">
        <v>5213</v>
      </c>
    </row>
    <row r="5541" spans="17:18" ht="15" customHeight="1" x14ac:dyDescent="0.25">
      <c r="Q5541" t="s">
        <v>6475</v>
      </c>
      <c r="R5541" t="s">
        <v>5213</v>
      </c>
    </row>
    <row r="5542" spans="17:18" ht="15" customHeight="1" x14ac:dyDescent="0.25">
      <c r="Q5542" t="s">
        <v>6476</v>
      </c>
      <c r="R5542" t="s">
        <v>5213</v>
      </c>
    </row>
    <row r="5543" spans="17:18" ht="15" customHeight="1" x14ac:dyDescent="0.25">
      <c r="Q5543" t="s">
        <v>6477</v>
      </c>
      <c r="R5543" t="s">
        <v>5213</v>
      </c>
    </row>
    <row r="5544" spans="17:18" ht="15" customHeight="1" x14ac:dyDescent="0.25">
      <c r="Q5544" t="s">
        <v>6478</v>
      </c>
      <c r="R5544" t="s">
        <v>5213</v>
      </c>
    </row>
    <row r="5545" spans="17:18" ht="15" customHeight="1" x14ac:dyDescent="0.25">
      <c r="Q5545" t="s">
        <v>6479</v>
      </c>
      <c r="R5545" t="s">
        <v>5213</v>
      </c>
    </row>
    <row r="5546" spans="17:18" ht="15" customHeight="1" x14ac:dyDescent="0.25">
      <c r="Q5546" t="s">
        <v>6480</v>
      </c>
      <c r="R5546" t="s">
        <v>5213</v>
      </c>
    </row>
    <row r="5547" spans="17:18" ht="15" customHeight="1" x14ac:dyDescent="0.25">
      <c r="Q5547" t="s">
        <v>6481</v>
      </c>
      <c r="R5547" t="s">
        <v>5213</v>
      </c>
    </row>
    <row r="5548" spans="17:18" ht="15" customHeight="1" x14ac:dyDescent="0.25">
      <c r="Q5548" t="s">
        <v>6482</v>
      </c>
      <c r="R5548" t="s">
        <v>5213</v>
      </c>
    </row>
    <row r="5549" spans="17:18" ht="15" customHeight="1" x14ac:dyDescent="0.25">
      <c r="Q5549" t="s">
        <v>6483</v>
      </c>
      <c r="R5549" t="s">
        <v>5213</v>
      </c>
    </row>
    <row r="5550" spans="17:18" ht="15" customHeight="1" x14ac:dyDescent="0.25">
      <c r="Q5550" t="s">
        <v>6484</v>
      </c>
      <c r="R5550" t="s">
        <v>5213</v>
      </c>
    </row>
    <row r="5551" spans="17:18" ht="15" customHeight="1" x14ac:dyDescent="0.25">
      <c r="Q5551" t="s">
        <v>6485</v>
      </c>
      <c r="R5551" t="s">
        <v>5213</v>
      </c>
    </row>
    <row r="5552" spans="17:18" ht="15" customHeight="1" x14ac:dyDescent="0.25">
      <c r="Q5552" t="s">
        <v>6486</v>
      </c>
      <c r="R5552" t="s">
        <v>5213</v>
      </c>
    </row>
    <row r="5553" spans="17:18" ht="15" customHeight="1" x14ac:dyDescent="0.25">
      <c r="Q5553" t="s">
        <v>6487</v>
      </c>
      <c r="R5553" t="s">
        <v>6418</v>
      </c>
    </row>
    <row r="5554" spans="17:18" ht="15" customHeight="1" x14ac:dyDescent="0.25">
      <c r="Q5554" t="s">
        <v>6488</v>
      </c>
      <c r="R5554" t="s">
        <v>6418</v>
      </c>
    </row>
    <row r="5555" spans="17:18" ht="15" customHeight="1" x14ac:dyDescent="0.25">
      <c r="Q5555" t="s">
        <v>6489</v>
      </c>
      <c r="R5555" t="s">
        <v>6418</v>
      </c>
    </row>
    <row r="5556" spans="17:18" ht="15" customHeight="1" x14ac:dyDescent="0.25">
      <c r="Q5556" t="s">
        <v>6490</v>
      </c>
      <c r="R5556" t="s">
        <v>6418</v>
      </c>
    </row>
    <row r="5557" spans="17:18" ht="15" customHeight="1" x14ac:dyDescent="0.25">
      <c r="Q5557" t="s">
        <v>6491</v>
      </c>
      <c r="R5557" t="s">
        <v>6418</v>
      </c>
    </row>
    <row r="5558" spans="17:18" ht="15" customHeight="1" x14ac:dyDescent="0.25">
      <c r="Q5558" t="s">
        <v>6492</v>
      </c>
      <c r="R5558" t="s">
        <v>6418</v>
      </c>
    </row>
    <row r="5559" spans="17:18" ht="15" customHeight="1" x14ac:dyDescent="0.25">
      <c r="Q5559" t="s">
        <v>6493</v>
      </c>
      <c r="R5559" t="s">
        <v>6418</v>
      </c>
    </row>
    <row r="5560" spans="17:18" ht="15" customHeight="1" x14ac:dyDescent="0.25">
      <c r="Q5560" t="s">
        <v>6494</v>
      </c>
      <c r="R5560" t="s">
        <v>6418</v>
      </c>
    </row>
    <row r="5561" spans="17:18" ht="15" customHeight="1" x14ac:dyDescent="0.25">
      <c r="Q5561" t="s">
        <v>6495</v>
      </c>
      <c r="R5561" t="s">
        <v>6418</v>
      </c>
    </row>
    <row r="5562" spans="17:18" ht="15" customHeight="1" x14ac:dyDescent="0.25">
      <c r="Q5562" t="s">
        <v>6496</v>
      </c>
      <c r="R5562" t="s">
        <v>5213</v>
      </c>
    </row>
    <row r="5563" spans="17:18" ht="15" customHeight="1" x14ac:dyDescent="0.25">
      <c r="Q5563" t="s">
        <v>6497</v>
      </c>
      <c r="R5563" t="s">
        <v>5213</v>
      </c>
    </row>
    <row r="5564" spans="17:18" ht="15" customHeight="1" x14ac:dyDescent="0.25">
      <c r="Q5564" t="s">
        <v>6498</v>
      </c>
      <c r="R5564" t="s">
        <v>6418</v>
      </c>
    </row>
    <row r="5565" spans="17:18" ht="15" customHeight="1" x14ac:dyDescent="0.25">
      <c r="Q5565" t="s">
        <v>6499</v>
      </c>
      <c r="R5565" t="s">
        <v>6418</v>
      </c>
    </row>
    <row r="5566" spans="17:18" ht="15" customHeight="1" x14ac:dyDescent="0.25">
      <c r="Q5566" t="s">
        <v>6500</v>
      </c>
      <c r="R5566" t="s">
        <v>6418</v>
      </c>
    </row>
    <row r="5567" spans="17:18" ht="15" customHeight="1" x14ac:dyDescent="0.25">
      <c r="Q5567" t="s">
        <v>6501</v>
      </c>
      <c r="R5567" t="s">
        <v>4214</v>
      </c>
    </row>
    <row r="5568" spans="17:18" ht="15" customHeight="1" x14ac:dyDescent="0.25">
      <c r="Q5568" t="s">
        <v>6502</v>
      </c>
      <c r="R5568" t="s">
        <v>4214</v>
      </c>
    </row>
    <row r="5569" spans="17:18" ht="15" customHeight="1" x14ac:dyDescent="0.25">
      <c r="Q5569" t="s">
        <v>6503</v>
      </c>
      <c r="R5569" t="s">
        <v>4214</v>
      </c>
    </row>
    <row r="5570" spans="17:18" ht="15" customHeight="1" x14ac:dyDescent="0.25">
      <c r="Q5570" t="s">
        <v>6504</v>
      </c>
      <c r="R5570" t="s">
        <v>4214</v>
      </c>
    </row>
    <row r="5571" spans="17:18" ht="15" customHeight="1" x14ac:dyDescent="0.25">
      <c r="Q5571" t="s">
        <v>6505</v>
      </c>
      <c r="R5571" t="s">
        <v>6418</v>
      </c>
    </row>
    <row r="5572" spans="17:18" ht="15" customHeight="1" x14ac:dyDescent="0.25">
      <c r="Q5572" t="s">
        <v>6506</v>
      </c>
      <c r="R5572" t="s">
        <v>6418</v>
      </c>
    </row>
    <row r="5573" spans="17:18" ht="15" customHeight="1" x14ac:dyDescent="0.25">
      <c r="Q5573" t="s">
        <v>6507</v>
      </c>
      <c r="R5573" t="s">
        <v>6418</v>
      </c>
    </row>
    <row r="5574" spans="17:18" ht="15" customHeight="1" x14ac:dyDescent="0.25">
      <c r="Q5574" t="s">
        <v>6508</v>
      </c>
      <c r="R5574" t="s">
        <v>6418</v>
      </c>
    </row>
    <row r="5575" spans="17:18" ht="15" customHeight="1" x14ac:dyDescent="0.25">
      <c r="Q5575" t="s">
        <v>6509</v>
      </c>
      <c r="R5575" t="s">
        <v>6418</v>
      </c>
    </row>
    <row r="5576" spans="17:18" ht="15" customHeight="1" x14ac:dyDescent="0.25">
      <c r="Q5576" t="s">
        <v>6510</v>
      </c>
      <c r="R5576" t="s">
        <v>6418</v>
      </c>
    </row>
    <row r="5577" spans="17:18" ht="15" customHeight="1" x14ac:dyDescent="0.25">
      <c r="Q5577" t="s">
        <v>6511</v>
      </c>
      <c r="R5577" t="s">
        <v>6418</v>
      </c>
    </row>
    <row r="5578" spans="17:18" ht="15" customHeight="1" x14ac:dyDescent="0.25">
      <c r="Q5578" t="s">
        <v>6512</v>
      </c>
      <c r="R5578" t="s">
        <v>6418</v>
      </c>
    </row>
    <row r="5579" spans="17:18" ht="15" customHeight="1" x14ac:dyDescent="0.25">
      <c r="Q5579" t="s">
        <v>6513</v>
      </c>
      <c r="R5579" t="s">
        <v>6418</v>
      </c>
    </row>
    <row r="5580" spans="17:18" ht="15" customHeight="1" x14ac:dyDescent="0.25">
      <c r="Q5580" t="s">
        <v>6514</v>
      </c>
      <c r="R5580" t="s">
        <v>6418</v>
      </c>
    </row>
    <row r="5581" spans="17:18" ht="15" customHeight="1" x14ac:dyDescent="0.25">
      <c r="Q5581" t="s">
        <v>6515</v>
      </c>
      <c r="R5581" t="s">
        <v>6418</v>
      </c>
    </row>
    <row r="5582" spans="17:18" ht="15" customHeight="1" x14ac:dyDescent="0.25">
      <c r="Q5582" t="s">
        <v>6516</v>
      </c>
      <c r="R5582" t="s">
        <v>6418</v>
      </c>
    </row>
    <row r="5583" spans="17:18" ht="15" customHeight="1" x14ac:dyDescent="0.25">
      <c r="Q5583" t="s">
        <v>6517</v>
      </c>
      <c r="R5583" t="s">
        <v>6418</v>
      </c>
    </row>
    <row r="5584" spans="17:18" ht="15" customHeight="1" x14ac:dyDescent="0.25">
      <c r="Q5584" t="s">
        <v>6518</v>
      </c>
      <c r="R5584" t="s">
        <v>6418</v>
      </c>
    </row>
    <row r="5585" spans="17:18" ht="15" customHeight="1" x14ac:dyDescent="0.25">
      <c r="Q5585" t="s">
        <v>6519</v>
      </c>
      <c r="R5585" t="s">
        <v>6418</v>
      </c>
    </row>
    <row r="5586" spans="17:18" ht="15" customHeight="1" x14ac:dyDescent="0.25">
      <c r="Q5586" t="s">
        <v>6520</v>
      </c>
      <c r="R5586" t="s">
        <v>6418</v>
      </c>
    </row>
    <row r="5587" spans="17:18" ht="15" customHeight="1" x14ac:dyDescent="0.25">
      <c r="Q5587" t="s">
        <v>6521</v>
      </c>
      <c r="R5587" t="s">
        <v>6418</v>
      </c>
    </row>
    <row r="5588" spans="17:18" ht="15" customHeight="1" x14ac:dyDescent="0.25">
      <c r="Q5588" t="s">
        <v>6522</v>
      </c>
      <c r="R5588" t="s">
        <v>6418</v>
      </c>
    </row>
    <row r="5589" spans="17:18" ht="15" customHeight="1" x14ac:dyDescent="0.25">
      <c r="Q5589" t="s">
        <v>6523</v>
      </c>
      <c r="R5589" t="s">
        <v>6418</v>
      </c>
    </row>
    <row r="5590" spans="17:18" ht="15" customHeight="1" x14ac:dyDescent="0.25">
      <c r="Q5590" t="s">
        <v>6524</v>
      </c>
      <c r="R5590" t="s">
        <v>6418</v>
      </c>
    </row>
    <row r="5591" spans="17:18" ht="15" customHeight="1" x14ac:dyDescent="0.25">
      <c r="Q5591" t="s">
        <v>6525</v>
      </c>
      <c r="R5591" t="s">
        <v>6418</v>
      </c>
    </row>
    <row r="5592" spans="17:18" ht="15" customHeight="1" x14ac:dyDescent="0.25">
      <c r="Q5592" t="s">
        <v>6526</v>
      </c>
      <c r="R5592" t="s">
        <v>6418</v>
      </c>
    </row>
    <row r="5593" spans="17:18" ht="15" customHeight="1" x14ac:dyDescent="0.25">
      <c r="Q5593" t="s">
        <v>6527</v>
      </c>
      <c r="R5593" t="s">
        <v>6418</v>
      </c>
    </row>
    <row r="5594" spans="17:18" ht="15" customHeight="1" x14ac:dyDescent="0.25">
      <c r="Q5594" t="s">
        <v>6528</v>
      </c>
      <c r="R5594" t="s">
        <v>6418</v>
      </c>
    </row>
    <row r="5595" spans="17:18" ht="15" customHeight="1" x14ac:dyDescent="0.25">
      <c r="Q5595" t="s">
        <v>6529</v>
      </c>
      <c r="R5595" t="s">
        <v>6418</v>
      </c>
    </row>
    <row r="5596" spans="17:18" ht="15" customHeight="1" x14ac:dyDescent="0.25">
      <c r="Q5596" t="s">
        <v>6530</v>
      </c>
      <c r="R5596" t="s">
        <v>6418</v>
      </c>
    </row>
    <row r="5597" spans="17:18" ht="15" customHeight="1" x14ac:dyDescent="0.25">
      <c r="Q5597" t="s">
        <v>6531</v>
      </c>
      <c r="R5597" t="s">
        <v>6418</v>
      </c>
    </row>
    <row r="5598" spans="17:18" ht="15" customHeight="1" x14ac:dyDescent="0.25">
      <c r="Q5598" t="s">
        <v>6532</v>
      </c>
      <c r="R5598" t="s">
        <v>6418</v>
      </c>
    </row>
    <row r="5599" spans="17:18" ht="15" customHeight="1" x14ac:dyDescent="0.25">
      <c r="Q5599" t="s">
        <v>6533</v>
      </c>
      <c r="R5599" t="s">
        <v>6418</v>
      </c>
    </row>
    <row r="5600" spans="17:18" ht="15" customHeight="1" x14ac:dyDescent="0.25">
      <c r="Q5600" t="s">
        <v>6534</v>
      </c>
      <c r="R5600" t="s">
        <v>6418</v>
      </c>
    </row>
    <row r="5601" spans="17:18" ht="15" customHeight="1" x14ac:dyDescent="0.25">
      <c r="Q5601" t="s">
        <v>6535</v>
      </c>
      <c r="R5601" t="s">
        <v>6418</v>
      </c>
    </row>
    <row r="5602" spans="17:18" ht="15" customHeight="1" x14ac:dyDescent="0.25">
      <c r="Q5602" t="s">
        <v>6536</v>
      </c>
      <c r="R5602" t="s">
        <v>6418</v>
      </c>
    </row>
    <row r="5603" spans="17:18" ht="15" customHeight="1" x14ac:dyDescent="0.25">
      <c r="Q5603" t="s">
        <v>6537</v>
      </c>
      <c r="R5603" t="s">
        <v>6418</v>
      </c>
    </row>
    <row r="5604" spans="17:18" ht="15" customHeight="1" x14ac:dyDescent="0.25">
      <c r="Q5604" t="s">
        <v>6538</v>
      </c>
      <c r="R5604" t="s">
        <v>6418</v>
      </c>
    </row>
    <row r="5605" spans="17:18" ht="15" customHeight="1" x14ac:dyDescent="0.25">
      <c r="Q5605" t="s">
        <v>6539</v>
      </c>
      <c r="R5605" t="s">
        <v>6418</v>
      </c>
    </row>
    <row r="5606" spans="17:18" ht="15" customHeight="1" x14ac:dyDescent="0.25">
      <c r="Q5606" t="s">
        <v>6540</v>
      </c>
      <c r="R5606" t="s">
        <v>6418</v>
      </c>
    </row>
    <row r="5607" spans="17:18" ht="15" customHeight="1" x14ac:dyDescent="0.25">
      <c r="Q5607" t="s">
        <v>6541</v>
      </c>
      <c r="R5607" t="s">
        <v>6418</v>
      </c>
    </row>
    <row r="5608" spans="17:18" ht="15" customHeight="1" x14ac:dyDescent="0.25">
      <c r="Q5608" t="s">
        <v>6542</v>
      </c>
      <c r="R5608" t="s">
        <v>6418</v>
      </c>
    </row>
    <row r="5609" spans="17:18" ht="15" customHeight="1" x14ac:dyDescent="0.25">
      <c r="Q5609" t="s">
        <v>6543</v>
      </c>
      <c r="R5609" t="s">
        <v>6418</v>
      </c>
    </row>
    <row r="5610" spans="17:18" ht="15" customHeight="1" x14ac:dyDescent="0.25">
      <c r="Q5610" t="s">
        <v>6544</v>
      </c>
      <c r="R5610" t="s">
        <v>6418</v>
      </c>
    </row>
    <row r="5611" spans="17:18" ht="15" customHeight="1" x14ac:dyDescent="0.25">
      <c r="Q5611" t="s">
        <v>6545</v>
      </c>
      <c r="R5611" t="s">
        <v>6418</v>
      </c>
    </row>
    <row r="5612" spans="17:18" ht="15" customHeight="1" x14ac:dyDescent="0.25">
      <c r="Q5612" t="s">
        <v>6546</v>
      </c>
      <c r="R5612" t="s">
        <v>6418</v>
      </c>
    </row>
    <row r="5613" spans="17:18" ht="15" customHeight="1" x14ac:dyDescent="0.25">
      <c r="Q5613" t="s">
        <v>6547</v>
      </c>
      <c r="R5613" t="s">
        <v>6418</v>
      </c>
    </row>
    <row r="5614" spans="17:18" ht="15" customHeight="1" x14ac:dyDescent="0.25">
      <c r="Q5614" t="s">
        <v>6548</v>
      </c>
      <c r="R5614" t="s">
        <v>6418</v>
      </c>
    </row>
    <row r="5615" spans="17:18" ht="15" customHeight="1" x14ac:dyDescent="0.25">
      <c r="Q5615" t="s">
        <v>6549</v>
      </c>
      <c r="R5615" t="s">
        <v>6418</v>
      </c>
    </row>
    <row r="5616" spans="17:18" ht="15" customHeight="1" x14ac:dyDescent="0.25">
      <c r="Q5616" t="s">
        <v>6550</v>
      </c>
      <c r="R5616" t="s">
        <v>6418</v>
      </c>
    </row>
    <row r="5617" spans="17:18" ht="15" customHeight="1" x14ac:dyDescent="0.25">
      <c r="Q5617" t="s">
        <v>6551</v>
      </c>
      <c r="R5617" t="s">
        <v>6418</v>
      </c>
    </row>
    <row r="5618" spans="17:18" ht="15" customHeight="1" x14ac:dyDescent="0.25">
      <c r="Q5618" t="s">
        <v>6552</v>
      </c>
      <c r="R5618" t="s">
        <v>6418</v>
      </c>
    </row>
    <row r="5619" spans="17:18" ht="15" customHeight="1" x14ac:dyDescent="0.25">
      <c r="Q5619" t="s">
        <v>6553</v>
      </c>
      <c r="R5619" t="s">
        <v>6418</v>
      </c>
    </row>
    <row r="5620" spans="17:18" ht="15" customHeight="1" x14ac:dyDescent="0.25">
      <c r="Q5620" t="s">
        <v>6554</v>
      </c>
      <c r="R5620" t="s">
        <v>6418</v>
      </c>
    </row>
    <row r="5621" spans="17:18" ht="15" customHeight="1" x14ac:dyDescent="0.25">
      <c r="Q5621" t="s">
        <v>6555</v>
      </c>
      <c r="R5621" t="s">
        <v>6418</v>
      </c>
    </row>
    <row r="5622" spans="17:18" ht="15" customHeight="1" x14ac:dyDescent="0.25">
      <c r="Q5622" t="s">
        <v>6556</v>
      </c>
      <c r="R5622" t="s">
        <v>6418</v>
      </c>
    </row>
    <row r="5623" spans="17:18" ht="15" customHeight="1" x14ac:dyDescent="0.25">
      <c r="Q5623" t="s">
        <v>6557</v>
      </c>
      <c r="R5623" t="s">
        <v>6418</v>
      </c>
    </row>
    <row r="5624" spans="17:18" ht="15" customHeight="1" x14ac:dyDescent="0.25">
      <c r="Q5624" t="s">
        <v>6558</v>
      </c>
      <c r="R5624" t="s">
        <v>6418</v>
      </c>
    </row>
    <row r="5625" spans="17:18" ht="15" customHeight="1" x14ac:dyDescent="0.25">
      <c r="Q5625" t="s">
        <v>6559</v>
      </c>
      <c r="R5625" t="s">
        <v>6418</v>
      </c>
    </row>
    <row r="5626" spans="17:18" ht="15" customHeight="1" x14ac:dyDescent="0.25">
      <c r="Q5626" t="s">
        <v>6560</v>
      </c>
      <c r="R5626" t="s">
        <v>6418</v>
      </c>
    </row>
    <row r="5627" spans="17:18" ht="15" customHeight="1" x14ac:dyDescent="0.25">
      <c r="Q5627" t="s">
        <v>6561</v>
      </c>
      <c r="R5627" t="s">
        <v>6418</v>
      </c>
    </row>
    <row r="5628" spans="17:18" ht="15" customHeight="1" x14ac:dyDescent="0.25">
      <c r="Q5628" t="s">
        <v>6562</v>
      </c>
      <c r="R5628" t="s">
        <v>6418</v>
      </c>
    </row>
    <row r="5629" spans="17:18" ht="15" customHeight="1" x14ac:dyDescent="0.25">
      <c r="Q5629" t="s">
        <v>6563</v>
      </c>
      <c r="R5629" t="s">
        <v>6418</v>
      </c>
    </row>
    <row r="5630" spans="17:18" ht="15" customHeight="1" x14ac:dyDescent="0.25">
      <c r="Q5630" t="s">
        <v>6564</v>
      </c>
      <c r="R5630" t="s">
        <v>6418</v>
      </c>
    </row>
    <row r="5631" spans="17:18" ht="15" customHeight="1" x14ac:dyDescent="0.25">
      <c r="Q5631" t="s">
        <v>6565</v>
      </c>
      <c r="R5631" t="s">
        <v>6418</v>
      </c>
    </row>
    <row r="5632" spans="17:18" ht="15" customHeight="1" x14ac:dyDescent="0.25">
      <c r="Q5632" t="s">
        <v>6566</v>
      </c>
      <c r="R5632" t="s">
        <v>6418</v>
      </c>
    </row>
    <row r="5633" spans="17:18" ht="15" customHeight="1" x14ac:dyDescent="0.25">
      <c r="Q5633" t="s">
        <v>6567</v>
      </c>
      <c r="R5633" t="s">
        <v>6418</v>
      </c>
    </row>
    <row r="5634" spans="17:18" ht="15" customHeight="1" x14ac:dyDescent="0.25">
      <c r="Q5634" t="s">
        <v>6568</v>
      </c>
      <c r="R5634" t="s">
        <v>6418</v>
      </c>
    </row>
    <row r="5635" spans="17:18" ht="15" customHeight="1" x14ac:dyDescent="0.25">
      <c r="Q5635" t="s">
        <v>6569</v>
      </c>
      <c r="R5635" t="s">
        <v>6418</v>
      </c>
    </row>
    <row r="5636" spans="17:18" ht="15" customHeight="1" x14ac:dyDescent="0.25">
      <c r="Q5636" t="s">
        <v>6570</v>
      </c>
      <c r="R5636" t="s">
        <v>6418</v>
      </c>
    </row>
    <row r="5637" spans="17:18" ht="15" customHeight="1" x14ac:dyDescent="0.25">
      <c r="Q5637" t="s">
        <v>6571</v>
      </c>
      <c r="R5637" t="s">
        <v>6418</v>
      </c>
    </row>
    <row r="5638" spans="17:18" ht="15" customHeight="1" x14ac:dyDescent="0.25">
      <c r="Q5638" t="s">
        <v>6572</v>
      </c>
      <c r="R5638" t="s">
        <v>6418</v>
      </c>
    </row>
    <row r="5639" spans="17:18" ht="15" customHeight="1" x14ac:dyDescent="0.25">
      <c r="Q5639" t="s">
        <v>6573</v>
      </c>
      <c r="R5639" t="s">
        <v>5213</v>
      </c>
    </row>
    <row r="5640" spans="17:18" ht="15" customHeight="1" x14ac:dyDescent="0.25">
      <c r="Q5640" t="s">
        <v>6574</v>
      </c>
      <c r="R5640" t="s">
        <v>6418</v>
      </c>
    </row>
    <row r="5641" spans="17:18" ht="15" customHeight="1" x14ac:dyDescent="0.25">
      <c r="Q5641" t="s">
        <v>6575</v>
      </c>
      <c r="R5641" t="s">
        <v>5213</v>
      </c>
    </row>
    <row r="5642" spans="17:18" ht="15" customHeight="1" x14ac:dyDescent="0.25">
      <c r="Q5642" t="s">
        <v>6576</v>
      </c>
      <c r="R5642" t="s">
        <v>6418</v>
      </c>
    </row>
    <row r="5643" spans="17:18" ht="15" customHeight="1" x14ac:dyDescent="0.25">
      <c r="Q5643" t="s">
        <v>6577</v>
      </c>
      <c r="R5643" t="s">
        <v>6418</v>
      </c>
    </row>
    <row r="5644" spans="17:18" ht="15" customHeight="1" x14ac:dyDescent="0.25">
      <c r="Q5644" t="s">
        <v>6578</v>
      </c>
      <c r="R5644" t="s">
        <v>6418</v>
      </c>
    </row>
    <row r="5645" spans="17:18" ht="15" customHeight="1" x14ac:dyDescent="0.25">
      <c r="Q5645" t="s">
        <v>6579</v>
      </c>
      <c r="R5645" t="s">
        <v>6418</v>
      </c>
    </row>
    <row r="5646" spans="17:18" ht="15" customHeight="1" x14ac:dyDescent="0.25">
      <c r="Q5646" t="s">
        <v>6580</v>
      </c>
      <c r="R5646" t="s">
        <v>6418</v>
      </c>
    </row>
    <row r="5647" spans="17:18" ht="15" customHeight="1" x14ac:dyDescent="0.25">
      <c r="Q5647" t="s">
        <v>6581</v>
      </c>
      <c r="R5647" t="s">
        <v>6418</v>
      </c>
    </row>
    <row r="5648" spans="17:18" ht="15" customHeight="1" x14ac:dyDescent="0.25">
      <c r="Q5648" t="s">
        <v>6582</v>
      </c>
      <c r="R5648" t="s">
        <v>6418</v>
      </c>
    </row>
    <row r="5649" spans="17:18" ht="15" customHeight="1" x14ac:dyDescent="0.25">
      <c r="Q5649" t="s">
        <v>6583</v>
      </c>
      <c r="R5649" t="s">
        <v>6418</v>
      </c>
    </row>
    <row r="5650" spans="17:18" ht="15" customHeight="1" x14ac:dyDescent="0.25">
      <c r="Q5650" t="s">
        <v>6584</v>
      </c>
      <c r="R5650" t="s">
        <v>6418</v>
      </c>
    </row>
    <row r="5651" spans="17:18" ht="15" customHeight="1" x14ac:dyDescent="0.25">
      <c r="Q5651" t="s">
        <v>6585</v>
      </c>
      <c r="R5651" t="s">
        <v>6418</v>
      </c>
    </row>
    <row r="5652" spans="17:18" ht="15" customHeight="1" x14ac:dyDescent="0.25">
      <c r="Q5652" t="s">
        <v>6586</v>
      </c>
      <c r="R5652" t="s">
        <v>6418</v>
      </c>
    </row>
    <row r="5653" spans="17:18" ht="15" customHeight="1" x14ac:dyDescent="0.25">
      <c r="Q5653" t="s">
        <v>6587</v>
      </c>
      <c r="R5653" t="s">
        <v>6418</v>
      </c>
    </row>
    <row r="5654" spans="17:18" ht="15" customHeight="1" x14ac:dyDescent="0.25">
      <c r="Q5654" t="s">
        <v>6588</v>
      </c>
      <c r="R5654" t="s">
        <v>6418</v>
      </c>
    </row>
    <row r="5655" spans="17:18" ht="15" customHeight="1" x14ac:dyDescent="0.25">
      <c r="Q5655" t="s">
        <v>6589</v>
      </c>
      <c r="R5655" t="s">
        <v>6418</v>
      </c>
    </row>
    <row r="5656" spans="17:18" ht="15" customHeight="1" x14ac:dyDescent="0.25">
      <c r="Q5656" t="s">
        <v>6590</v>
      </c>
      <c r="R5656" t="s">
        <v>6418</v>
      </c>
    </row>
    <row r="5657" spans="17:18" ht="15" customHeight="1" x14ac:dyDescent="0.25">
      <c r="Q5657" t="s">
        <v>6591</v>
      </c>
      <c r="R5657" t="s">
        <v>936</v>
      </c>
    </row>
    <row r="5658" spans="17:18" ht="15" customHeight="1" x14ac:dyDescent="0.25">
      <c r="Q5658" t="s">
        <v>6592</v>
      </c>
      <c r="R5658" t="s">
        <v>936</v>
      </c>
    </row>
    <row r="5659" spans="17:18" ht="15" customHeight="1" x14ac:dyDescent="0.25">
      <c r="Q5659" t="s">
        <v>6593</v>
      </c>
      <c r="R5659" t="s">
        <v>936</v>
      </c>
    </row>
    <row r="5660" spans="17:18" ht="15" customHeight="1" x14ac:dyDescent="0.25">
      <c r="Q5660" t="s">
        <v>6594</v>
      </c>
      <c r="R5660" t="s">
        <v>936</v>
      </c>
    </row>
    <row r="5661" spans="17:18" ht="15" customHeight="1" x14ac:dyDescent="0.25">
      <c r="Q5661" t="s">
        <v>6595</v>
      </c>
      <c r="R5661" t="s">
        <v>5998</v>
      </c>
    </row>
    <row r="5662" spans="17:18" ht="15" customHeight="1" x14ac:dyDescent="0.25">
      <c r="Q5662" t="s">
        <v>6596</v>
      </c>
      <c r="R5662" t="s">
        <v>5998</v>
      </c>
    </row>
    <row r="5663" spans="17:18" ht="15" customHeight="1" x14ac:dyDescent="0.25">
      <c r="Q5663" t="s">
        <v>6597</v>
      </c>
      <c r="R5663" t="s">
        <v>5998</v>
      </c>
    </row>
    <row r="5664" spans="17:18" ht="15" customHeight="1" x14ac:dyDescent="0.25">
      <c r="Q5664" t="s">
        <v>6598</v>
      </c>
      <c r="R5664" t="s">
        <v>5998</v>
      </c>
    </row>
    <row r="5665" spans="17:18" ht="15" customHeight="1" x14ac:dyDescent="0.25">
      <c r="Q5665" t="s">
        <v>6599</v>
      </c>
      <c r="R5665" t="s">
        <v>936</v>
      </c>
    </row>
    <row r="5666" spans="17:18" ht="15" customHeight="1" x14ac:dyDescent="0.25">
      <c r="Q5666" t="s">
        <v>6600</v>
      </c>
      <c r="R5666" t="s">
        <v>936</v>
      </c>
    </row>
    <row r="5667" spans="17:18" ht="15" customHeight="1" x14ac:dyDescent="0.25">
      <c r="Q5667" t="s">
        <v>6601</v>
      </c>
      <c r="R5667" t="s">
        <v>936</v>
      </c>
    </row>
    <row r="5668" spans="17:18" ht="15" customHeight="1" x14ac:dyDescent="0.25">
      <c r="Q5668" t="s">
        <v>6602</v>
      </c>
      <c r="R5668" t="s">
        <v>936</v>
      </c>
    </row>
    <row r="5669" spans="17:18" ht="15" customHeight="1" x14ac:dyDescent="0.25">
      <c r="Q5669" t="s">
        <v>6603</v>
      </c>
      <c r="R5669" t="s">
        <v>936</v>
      </c>
    </row>
    <row r="5670" spans="17:18" ht="15" customHeight="1" x14ac:dyDescent="0.25">
      <c r="Q5670" t="s">
        <v>6604</v>
      </c>
      <c r="R5670" t="s">
        <v>936</v>
      </c>
    </row>
    <row r="5671" spans="17:18" ht="15" customHeight="1" x14ac:dyDescent="0.25">
      <c r="Q5671" t="s">
        <v>6605</v>
      </c>
      <c r="R5671" t="s">
        <v>936</v>
      </c>
    </row>
    <row r="5672" spans="17:18" ht="15" customHeight="1" x14ac:dyDescent="0.25">
      <c r="Q5672" t="s">
        <v>6606</v>
      </c>
      <c r="R5672" t="s">
        <v>936</v>
      </c>
    </row>
    <row r="5673" spans="17:18" ht="15" customHeight="1" x14ac:dyDescent="0.25">
      <c r="Q5673" t="s">
        <v>6607</v>
      </c>
      <c r="R5673" t="s">
        <v>936</v>
      </c>
    </row>
    <row r="5674" spans="17:18" ht="15" customHeight="1" x14ac:dyDescent="0.25">
      <c r="Q5674" t="s">
        <v>6608</v>
      </c>
      <c r="R5674" t="s">
        <v>4214</v>
      </c>
    </row>
    <row r="5675" spans="17:18" ht="15" customHeight="1" x14ac:dyDescent="0.25">
      <c r="Q5675" t="s">
        <v>6609</v>
      </c>
      <c r="R5675" t="s">
        <v>4214</v>
      </c>
    </row>
    <row r="5676" spans="17:18" ht="15" customHeight="1" x14ac:dyDescent="0.25">
      <c r="Q5676" t="s">
        <v>6610</v>
      </c>
      <c r="R5676" t="s">
        <v>4214</v>
      </c>
    </row>
    <row r="5677" spans="17:18" ht="15" customHeight="1" x14ac:dyDescent="0.25">
      <c r="Q5677" t="s">
        <v>6611</v>
      </c>
      <c r="R5677" t="s">
        <v>4214</v>
      </c>
    </row>
    <row r="5678" spans="17:18" ht="15" customHeight="1" x14ac:dyDescent="0.25">
      <c r="Q5678" t="s">
        <v>6612</v>
      </c>
      <c r="R5678" t="s">
        <v>4214</v>
      </c>
    </row>
    <row r="5679" spans="17:18" ht="15" customHeight="1" x14ac:dyDescent="0.25">
      <c r="Q5679" t="s">
        <v>6613</v>
      </c>
      <c r="R5679" t="s">
        <v>4214</v>
      </c>
    </row>
    <row r="5680" spans="17:18" ht="15" customHeight="1" x14ac:dyDescent="0.25">
      <c r="Q5680" t="s">
        <v>6614</v>
      </c>
      <c r="R5680" t="s">
        <v>4214</v>
      </c>
    </row>
    <row r="5681" spans="17:18" ht="15" customHeight="1" x14ac:dyDescent="0.25">
      <c r="Q5681" t="s">
        <v>6615</v>
      </c>
      <c r="R5681" t="s">
        <v>4214</v>
      </c>
    </row>
    <row r="5682" spans="17:18" ht="15" customHeight="1" x14ac:dyDescent="0.25">
      <c r="Q5682" t="s">
        <v>6616</v>
      </c>
      <c r="R5682" t="s">
        <v>4214</v>
      </c>
    </row>
    <row r="5683" spans="17:18" ht="15" customHeight="1" x14ac:dyDescent="0.25">
      <c r="Q5683" t="s">
        <v>6617</v>
      </c>
      <c r="R5683" t="s">
        <v>4214</v>
      </c>
    </row>
    <row r="5684" spans="17:18" ht="15" customHeight="1" x14ac:dyDescent="0.25">
      <c r="Q5684" t="s">
        <v>6618</v>
      </c>
      <c r="R5684" t="s">
        <v>4214</v>
      </c>
    </row>
    <row r="5685" spans="17:18" ht="15" customHeight="1" x14ac:dyDescent="0.25">
      <c r="Q5685" t="s">
        <v>6619</v>
      </c>
      <c r="R5685" t="s">
        <v>4214</v>
      </c>
    </row>
    <row r="5686" spans="17:18" ht="15" customHeight="1" x14ac:dyDescent="0.25">
      <c r="Q5686" t="s">
        <v>6620</v>
      </c>
      <c r="R5686" t="s">
        <v>4214</v>
      </c>
    </row>
    <row r="5687" spans="17:18" ht="15" customHeight="1" x14ac:dyDescent="0.25">
      <c r="Q5687" t="s">
        <v>6621</v>
      </c>
      <c r="R5687" t="s">
        <v>2358</v>
      </c>
    </row>
    <row r="5688" spans="17:18" ht="15" customHeight="1" x14ac:dyDescent="0.25">
      <c r="Q5688" t="s">
        <v>6622</v>
      </c>
      <c r="R5688" t="s">
        <v>2358</v>
      </c>
    </row>
    <row r="5689" spans="17:18" ht="15" customHeight="1" x14ac:dyDescent="0.25">
      <c r="Q5689" t="s">
        <v>6623</v>
      </c>
      <c r="R5689" t="s">
        <v>2358</v>
      </c>
    </row>
    <row r="5690" spans="17:18" ht="15" customHeight="1" x14ac:dyDescent="0.25">
      <c r="Q5690" t="s">
        <v>6624</v>
      </c>
      <c r="R5690" t="s">
        <v>2358</v>
      </c>
    </row>
    <row r="5691" spans="17:18" ht="15" customHeight="1" x14ac:dyDescent="0.25">
      <c r="Q5691" t="s">
        <v>6625</v>
      </c>
      <c r="R5691" t="s">
        <v>5998</v>
      </c>
    </row>
    <row r="5692" spans="17:18" ht="15" customHeight="1" x14ac:dyDescent="0.25">
      <c r="Q5692" t="s">
        <v>6626</v>
      </c>
      <c r="R5692" t="s">
        <v>4214</v>
      </c>
    </row>
    <row r="5693" spans="17:18" ht="15" customHeight="1" x14ac:dyDescent="0.25">
      <c r="Q5693" t="s">
        <v>6627</v>
      </c>
      <c r="R5693" t="s">
        <v>4214</v>
      </c>
    </row>
    <row r="5694" spans="17:18" ht="15" customHeight="1" x14ac:dyDescent="0.25">
      <c r="Q5694" t="s">
        <v>6628</v>
      </c>
      <c r="R5694" t="s">
        <v>4214</v>
      </c>
    </row>
    <row r="5695" spans="17:18" ht="15" customHeight="1" x14ac:dyDescent="0.25">
      <c r="Q5695" t="s">
        <v>6629</v>
      </c>
      <c r="R5695" t="s">
        <v>4214</v>
      </c>
    </row>
    <row r="5696" spans="17:18" ht="15" customHeight="1" x14ac:dyDescent="0.25">
      <c r="Q5696" t="s">
        <v>6630</v>
      </c>
      <c r="R5696" t="s">
        <v>4214</v>
      </c>
    </row>
    <row r="5697" spans="17:18" ht="15" customHeight="1" x14ac:dyDescent="0.25">
      <c r="Q5697" t="s">
        <v>6631</v>
      </c>
      <c r="R5697" t="s">
        <v>4214</v>
      </c>
    </row>
    <row r="5698" spans="17:18" ht="15" customHeight="1" x14ac:dyDescent="0.25">
      <c r="Q5698" t="s">
        <v>6632</v>
      </c>
      <c r="R5698" t="s">
        <v>4214</v>
      </c>
    </row>
    <row r="5699" spans="17:18" ht="15" customHeight="1" x14ac:dyDescent="0.25">
      <c r="Q5699" t="s">
        <v>6633</v>
      </c>
      <c r="R5699" t="s">
        <v>4214</v>
      </c>
    </row>
    <row r="5700" spans="17:18" ht="15" customHeight="1" x14ac:dyDescent="0.25">
      <c r="Q5700" t="s">
        <v>6634</v>
      </c>
      <c r="R5700" t="s">
        <v>4214</v>
      </c>
    </row>
    <row r="5701" spans="17:18" ht="15" customHeight="1" x14ac:dyDescent="0.25">
      <c r="Q5701" t="s">
        <v>6635</v>
      </c>
      <c r="R5701" t="s">
        <v>4214</v>
      </c>
    </row>
    <row r="5702" spans="17:18" ht="15" customHeight="1" x14ac:dyDescent="0.25">
      <c r="Q5702" t="s">
        <v>6636</v>
      </c>
      <c r="R5702" t="s">
        <v>4214</v>
      </c>
    </row>
    <row r="5703" spans="17:18" ht="15" customHeight="1" x14ac:dyDescent="0.25">
      <c r="Q5703" t="s">
        <v>6637</v>
      </c>
      <c r="R5703" t="s">
        <v>4214</v>
      </c>
    </row>
    <row r="5704" spans="17:18" ht="15" customHeight="1" x14ac:dyDescent="0.25">
      <c r="Q5704" t="s">
        <v>6638</v>
      </c>
      <c r="R5704" t="s">
        <v>4214</v>
      </c>
    </row>
    <row r="5705" spans="17:18" ht="15" customHeight="1" x14ac:dyDescent="0.25">
      <c r="Q5705" t="s">
        <v>6639</v>
      </c>
      <c r="R5705" t="s">
        <v>4214</v>
      </c>
    </row>
    <row r="5706" spans="17:18" ht="15" customHeight="1" x14ac:dyDescent="0.25">
      <c r="Q5706" t="s">
        <v>6640</v>
      </c>
      <c r="R5706" t="s">
        <v>4214</v>
      </c>
    </row>
    <row r="5707" spans="17:18" ht="15" customHeight="1" x14ac:dyDescent="0.25">
      <c r="Q5707" t="s">
        <v>6641</v>
      </c>
      <c r="R5707" t="s">
        <v>4214</v>
      </c>
    </row>
    <row r="5708" spans="17:18" ht="15" customHeight="1" x14ac:dyDescent="0.25">
      <c r="Q5708" t="s">
        <v>6642</v>
      </c>
      <c r="R5708" t="s">
        <v>4214</v>
      </c>
    </row>
    <row r="5709" spans="17:18" ht="15" customHeight="1" x14ac:dyDescent="0.25">
      <c r="Q5709" t="s">
        <v>6643</v>
      </c>
      <c r="R5709" t="s">
        <v>4214</v>
      </c>
    </row>
    <row r="5710" spans="17:18" ht="15" customHeight="1" x14ac:dyDescent="0.25">
      <c r="Q5710" t="s">
        <v>6644</v>
      </c>
      <c r="R5710" t="s">
        <v>4214</v>
      </c>
    </row>
    <row r="5711" spans="17:18" ht="15" customHeight="1" x14ac:dyDescent="0.25">
      <c r="Q5711" t="s">
        <v>6645</v>
      </c>
      <c r="R5711" t="s">
        <v>4214</v>
      </c>
    </row>
    <row r="5712" spans="17:18" ht="15" customHeight="1" x14ac:dyDescent="0.25">
      <c r="Q5712" t="s">
        <v>6646</v>
      </c>
      <c r="R5712" t="s">
        <v>4214</v>
      </c>
    </row>
    <row r="5713" spans="17:18" ht="15" customHeight="1" x14ac:dyDescent="0.25">
      <c r="Q5713" t="s">
        <v>6647</v>
      </c>
      <c r="R5713" t="s">
        <v>4214</v>
      </c>
    </row>
    <row r="5714" spans="17:18" ht="15" customHeight="1" x14ac:dyDescent="0.25">
      <c r="Q5714" t="s">
        <v>6648</v>
      </c>
      <c r="R5714" t="s">
        <v>4214</v>
      </c>
    </row>
    <row r="5715" spans="17:18" ht="15" customHeight="1" x14ac:dyDescent="0.25">
      <c r="Q5715" t="s">
        <v>6649</v>
      </c>
      <c r="R5715" t="s">
        <v>4214</v>
      </c>
    </row>
    <row r="5716" spans="17:18" ht="15" customHeight="1" x14ac:dyDescent="0.25">
      <c r="Q5716" t="s">
        <v>6650</v>
      </c>
      <c r="R5716" t="s">
        <v>4214</v>
      </c>
    </row>
    <row r="5717" spans="17:18" ht="15" customHeight="1" x14ac:dyDescent="0.25">
      <c r="Q5717" t="s">
        <v>6651</v>
      </c>
      <c r="R5717" t="s">
        <v>4214</v>
      </c>
    </row>
    <row r="5718" spans="17:18" ht="15" customHeight="1" x14ac:dyDescent="0.25">
      <c r="Q5718" t="s">
        <v>6652</v>
      </c>
      <c r="R5718" t="s">
        <v>4214</v>
      </c>
    </row>
    <row r="5719" spans="17:18" ht="15" customHeight="1" x14ac:dyDescent="0.25">
      <c r="Q5719" t="s">
        <v>6653</v>
      </c>
      <c r="R5719" t="s">
        <v>4214</v>
      </c>
    </row>
    <row r="5720" spans="17:18" ht="15" customHeight="1" x14ac:dyDescent="0.25">
      <c r="Q5720" t="s">
        <v>6654</v>
      </c>
      <c r="R5720" t="s">
        <v>4214</v>
      </c>
    </row>
    <row r="5721" spans="17:18" ht="15" customHeight="1" x14ac:dyDescent="0.25">
      <c r="Q5721" t="s">
        <v>6655</v>
      </c>
      <c r="R5721" t="s">
        <v>4214</v>
      </c>
    </row>
    <row r="5722" spans="17:18" ht="15" customHeight="1" x14ac:dyDescent="0.25">
      <c r="Q5722" t="s">
        <v>6656</v>
      </c>
      <c r="R5722" t="s">
        <v>4214</v>
      </c>
    </row>
    <row r="5723" spans="17:18" ht="15" customHeight="1" x14ac:dyDescent="0.25">
      <c r="Q5723" t="s">
        <v>6657</v>
      </c>
      <c r="R5723" t="s">
        <v>4214</v>
      </c>
    </row>
    <row r="5724" spans="17:18" ht="15" customHeight="1" x14ac:dyDescent="0.25">
      <c r="Q5724" t="s">
        <v>6658</v>
      </c>
      <c r="R5724" t="s">
        <v>4214</v>
      </c>
    </row>
    <row r="5725" spans="17:18" ht="15" customHeight="1" x14ac:dyDescent="0.25">
      <c r="Q5725" t="s">
        <v>6659</v>
      </c>
      <c r="R5725" t="s">
        <v>4214</v>
      </c>
    </row>
    <row r="5726" spans="17:18" ht="15" customHeight="1" x14ac:dyDescent="0.25">
      <c r="Q5726" t="s">
        <v>6660</v>
      </c>
      <c r="R5726" t="s">
        <v>4214</v>
      </c>
    </row>
    <row r="5727" spans="17:18" ht="15" customHeight="1" x14ac:dyDescent="0.25">
      <c r="Q5727" t="s">
        <v>6661</v>
      </c>
      <c r="R5727" t="s">
        <v>4214</v>
      </c>
    </row>
    <row r="5728" spans="17:18" ht="15" customHeight="1" x14ac:dyDescent="0.25">
      <c r="Q5728" t="s">
        <v>6662</v>
      </c>
      <c r="R5728" t="s">
        <v>4214</v>
      </c>
    </row>
    <row r="5729" spans="17:18" ht="15" customHeight="1" x14ac:dyDescent="0.25">
      <c r="Q5729" t="s">
        <v>6663</v>
      </c>
      <c r="R5729" t="s">
        <v>4214</v>
      </c>
    </row>
    <row r="5730" spans="17:18" ht="15" customHeight="1" x14ac:dyDescent="0.25">
      <c r="Q5730" t="s">
        <v>6664</v>
      </c>
      <c r="R5730" t="s">
        <v>4214</v>
      </c>
    </row>
    <row r="5731" spans="17:18" ht="15" customHeight="1" x14ac:dyDescent="0.25">
      <c r="Q5731" t="s">
        <v>6665</v>
      </c>
      <c r="R5731" t="s">
        <v>4214</v>
      </c>
    </row>
    <row r="5732" spans="17:18" ht="15" customHeight="1" x14ac:dyDescent="0.25">
      <c r="Q5732" t="s">
        <v>6666</v>
      </c>
      <c r="R5732" t="s">
        <v>4214</v>
      </c>
    </row>
    <row r="5733" spans="17:18" ht="15" customHeight="1" x14ac:dyDescent="0.25">
      <c r="Q5733" t="s">
        <v>6667</v>
      </c>
      <c r="R5733" t="s">
        <v>4214</v>
      </c>
    </row>
    <row r="5734" spans="17:18" ht="15" customHeight="1" x14ac:dyDescent="0.25">
      <c r="Q5734" t="s">
        <v>6668</v>
      </c>
      <c r="R5734" t="s">
        <v>4214</v>
      </c>
    </row>
    <row r="5735" spans="17:18" ht="15" customHeight="1" x14ac:dyDescent="0.25">
      <c r="Q5735" t="s">
        <v>6669</v>
      </c>
      <c r="R5735" t="s">
        <v>4214</v>
      </c>
    </row>
    <row r="5736" spans="17:18" ht="15" customHeight="1" x14ac:dyDescent="0.25">
      <c r="Q5736" t="s">
        <v>6670</v>
      </c>
      <c r="R5736" t="s">
        <v>4214</v>
      </c>
    </row>
    <row r="5737" spans="17:18" ht="15" customHeight="1" x14ac:dyDescent="0.25">
      <c r="Q5737" t="s">
        <v>6671</v>
      </c>
      <c r="R5737" t="s">
        <v>4214</v>
      </c>
    </row>
    <row r="5738" spans="17:18" ht="15" customHeight="1" x14ac:dyDescent="0.25">
      <c r="Q5738" t="s">
        <v>6672</v>
      </c>
      <c r="R5738" t="s">
        <v>4214</v>
      </c>
    </row>
    <row r="5739" spans="17:18" ht="15" customHeight="1" x14ac:dyDescent="0.25">
      <c r="Q5739" t="s">
        <v>6673</v>
      </c>
      <c r="R5739" t="s">
        <v>4214</v>
      </c>
    </row>
    <row r="5740" spans="17:18" ht="15" customHeight="1" x14ac:dyDescent="0.25">
      <c r="Q5740" t="s">
        <v>6674</v>
      </c>
      <c r="R5740" t="s">
        <v>4214</v>
      </c>
    </row>
    <row r="5741" spans="17:18" ht="15" customHeight="1" x14ac:dyDescent="0.25">
      <c r="Q5741" t="s">
        <v>6675</v>
      </c>
      <c r="R5741" t="s">
        <v>4214</v>
      </c>
    </row>
    <row r="5742" spans="17:18" ht="15" customHeight="1" x14ac:dyDescent="0.25">
      <c r="Q5742" t="s">
        <v>6676</v>
      </c>
      <c r="R5742" t="s">
        <v>4214</v>
      </c>
    </row>
    <row r="5743" spans="17:18" ht="15" customHeight="1" x14ac:dyDescent="0.25">
      <c r="Q5743" t="s">
        <v>6677</v>
      </c>
      <c r="R5743" t="s">
        <v>4214</v>
      </c>
    </row>
    <row r="5744" spans="17:18" ht="15" customHeight="1" x14ac:dyDescent="0.25">
      <c r="Q5744" t="s">
        <v>6678</v>
      </c>
      <c r="R5744" t="s">
        <v>4214</v>
      </c>
    </row>
    <row r="5745" spans="17:18" ht="15" customHeight="1" x14ac:dyDescent="0.25">
      <c r="Q5745" t="s">
        <v>6679</v>
      </c>
      <c r="R5745" t="s">
        <v>4214</v>
      </c>
    </row>
    <row r="5746" spans="17:18" ht="15" customHeight="1" x14ac:dyDescent="0.25">
      <c r="Q5746" t="s">
        <v>6680</v>
      </c>
      <c r="R5746" t="s">
        <v>4214</v>
      </c>
    </row>
    <row r="5747" spans="17:18" ht="15" customHeight="1" x14ac:dyDescent="0.25">
      <c r="Q5747" t="s">
        <v>6681</v>
      </c>
      <c r="R5747" t="s">
        <v>6682</v>
      </c>
    </row>
    <row r="5748" spans="17:18" ht="15" customHeight="1" x14ac:dyDescent="0.25">
      <c r="Q5748" t="s">
        <v>6683</v>
      </c>
      <c r="R5748" t="s">
        <v>6682</v>
      </c>
    </row>
    <row r="5749" spans="17:18" ht="15" customHeight="1" x14ac:dyDescent="0.25">
      <c r="Q5749" t="s">
        <v>6684</v>
      </c>
      <c r="R5749" t="s">
        <v>4214</v>
      </c>
    </row>
    <row r="5750" spans="17:18" ht="15" customHeight="1" x14ac:dyDescent="0.25">
      <c r="Q5750" t="s">
        <v>6685</v>
      </c>
      <c r="R5750" t="s">
        <v>4214</v>
      </c>
    </row>
    <row r="5751" spans="17:18" ht="15" customHeight="1" x14ac:dyDescent="0.25">
      <c r="Q5751" t="s">
        <v>6686</v>
      </c>
      <c r="R5751" t="s">
        <v>6682</v>
      </c>
    </row>
    <row r="5752" spans="17:18" ht="15" customHeight="1" x14ac:dyDescent="0.25">
      <c r="Q5752" t="s">
        <v>6687</v>
      </c>
      <c r="R5752" t="s">
        <v>6682</v>
      </c>
    </row>
    <row r="5753" spans="17:18" ht="15" customHeight="1" x14ac:dyDescent="0.25">
      <c r="Q5753" t="s">
        <v>6688</v>
      </c>
      <c r="R5753" t="s">
        <v>6682</v>
      </c>
    </row>
    <row r="5754" spans="17:18" ht="15" customHeight="1" x14ac:dyDescent="0.25">
      <c r="Q5754" t="s">
        <v>6689</v>
      </c>
      <c r="R5754" t="s">
        <v>6682</v>
      </c>
    </row>
    <row r="5755" spans="17:18" ht="15" customHeight="1" x14ac:dyDescent="0.25">
      <c r="Q5755" t="s">
        <v>6690</v>
      </c>
      <c r="R5755" t="s">
        <v>6682</v>
      </c>
    </row>
    <row r="5756" spans="17:18" ht="15" customHeight="1" x14ac:dyDescent="0.25">
      <c r="Q5756" t="s">
        <v>6691</v>
      </c>
      <c r="R5756" t="s">
        <v>6682</v>
      </c>
    </row>
    <row r="5757" spans="17:18" ht="15" customHeight="1" x14ac:dyDescent="0.25">
      <c r="Q5757" t="s">
        <v>6692</v>
      </c>
      <c r="R5757" t="s">
        <v>6682</v>
      </c>
    </row>
    <row r="5758" spans="17:18" ht="15" customHeight="1" x14ac:dyDescent="0.25">
      <c r="Q5758" t="s">
        <v>6693</v>
      </c>
      <c r="R5758" t="s">
        <v>6682</v>
      </c>
    </row>
    <row r="5759" spans="17:18" ht="15" customHeight="1" x14ac:dyDescent="0.25">
      <c r="Q5759" t="s">
        <v>6694</v>
      </c>
      <c r="R5759" t="s">
        <v>6682</v>
      </c>
    </row>
    <row r="5760" spans="17:18" ht="15" customHeight="1" x14ac:dyDescent="0.25">
      <c r="Q5760" t="s">
        <v>6695</v>
      </c>
      <c r="R5760" t="s">
        <v>4214</v>
      </c>
    </row>
    <row r="5761" spans="17:18" ht="15" customHeight="1" x14ac:dyDescent="0.25">
      <c r="Q5761" t="s">
        <v>6696</v>
      </c>
      <c r="R5761" t="s">
        <v>6682</v>
      </c>
    </row>
    <row r="5762" spans="17:18" ht="15" customHeight="1" x14ac:dyDescent="0.25">
      <c r="Q5762" t="s">
        <v>6697</v>
      </c>
      <c r="R5762" t="s">
        <v>6682</v>
      </c>
    </row>
    <row r="5763" spans="17:18" ht="15" customHeight="1" x14ac:dyDescent="0.25">
      <c r="Q5763" t="s">
        <v>6698</v>
      </c>
      <c r="R5763" t="s">
        <v>6682</v>
      </c>
    </row>
    <row r="5764" spans="17:18" ht="15" customHeight="1" x14ac:dyDescent="0.25">
      <c r="Q5764" t="s">
        <v>6699</v>
      </c>
      <c r="R5764" t="s">
        <v>6682</v>
      </c>
    </row>
    <row r="5765" spans="17:18" ht="15" customHeight="1" x14ac:dyDescent="0.25">
      <c r="Q5765" t="s">
        <v>6700</v>
      </c>
      <c r="R5765" t="s">
        <v>936</v>
      </c>
    </row>
    <row r="5766" spans="17:18" ht="15" customHeight="1" x14ac:dyDescent="0.25">
      <c r="Q5766" t="s">
        <v>6701</v>
      </c>
      <c r="R5766" t="s">
        <v>6682</v>
      </c>
    </row>
    <row r="5767" spans="17:18" ht="15" customHeight="1" x14ac:dyDescent="0.25">
      <c r="Q5767" t="s">
        <v>6702</v>
      </c>
      <c r="R5767" t="s">
        <v>6682</v>
      </c>
    </row>
    <row r="5768" spans="17:18" ht="15" customHeight="1" x14ac:dyDescent="0.25">
      <c r="Q5768" t="s">
        <v>6703</v>
      </c>
      <c r="R5768" t="s">
        <v>6682</v>
      </c>
    </row>
    <row r="5769" spans="17:18" ht="15" customHeight="1" x14ac:dyDescent="0.25">
      <c r="Q5769" t="s">
        <v>6704</v>
      </c>
      <c r="R5769" t="s">
        <v>6682</v>
      </c>
    </row>
    <row r="5770" spans="17:18" ht="15" customHeight="1" x14ac:dyDescent="0.25">
      <c r="Q5770" t="s">
        <v>6705</v>
      </c>
      <c r="R5770" t="s">
        <v>5998</v>
      </c>
    </row>
    <row r="5771" spans="17:18" ht="15" customHeight="1" x14ac:dyDescent="0.25">
      <c r="Q5771" t="s">
        <v>6706</v>
      </c>
      <c r="R5771" t="s">
        <v>5998</v>
      </c>
    </row>
    <row r="5772" spans="17:18" ht="15" customHeight="1" x14ac:dyDescent="0.25">
      <c r="Q5772" t="s">
        <v>6707</v>
      </c>
      <c r="R5772" t="s">
        <v>4214</v>
      </c>
    </row>
    <row r="5773" spans="17:18" ht="15" customHeight="1" x14ac:dyDescent="0.25">
      <c r="Q5773" t="s">
        <v>6708</v>
      </c>
      <c r="R5773" t="s">
        <v>4214</v>
      </c>
    </row>
    <row r="5774" spans="17:18" ht="15" customHeight="1" x14ac:dyDescent="0.25">
      <c r="Q5774" t="s">
        <v>6709</v>
      </c>
      <c r="R5774" t="s">
        <v>4214</v>
      </c>
    </row>
    <row r="5775" spans="17:18" ht="15" customHeight="1" x14ac:dyDescent="0.25">
      <c r="Q5775" t="s">
        <v>6710</v>
      </c>
      <c r="R5775" t="s">
        <v>4214</v>
      </c>
    </row>
    <row r="5776" spans="17:18" ht="15" customHeight="1" x14ac:dyDescent="0.25">
      <c r="Q5776" t="s">
        <v>6711</v>
      </c>
      <c r="R5776" t="s">
        <v>4214</v>
      </c>
    </row>
    <row r="5777" spans="17:18" ht="15" customHeight="1" x14ac:dyDescent="0.25">
      <c r="Q5777" t="s">
        <v>6712</v>
      </c>
      <c r="R5777" t="s">
        <v>4214</v>
      </c>
    </row>
    <row r="5778" spans="17:18" ht="15" customHeight="1" x14ac:dyDescent="0.25">
      <c r="Q5778" t="s">
        <v>6713</v>
      </c>
      <c r="R5778" t="s">
        <v>4214</v>
      </c>
    </row>
    <row r="5779" spans="17:18" ht="15" customHeight="1" x14ac:dyDescent="0.25">
      <c r="Q5779" t="s">
        <v>6714</v>
      </c>
      <c r="R5779" t="s">
        <v>4214</v>
      </c>
    </row>
    <row r="5780" spans="17:18" ht="15" customHeight="1" x14ac:dyDescent="0.25">
      <c r="Q5780" t="s">
        <v>6715</v>
      </c>
      <c r="R5780" t="s">
        <v>4214</v>
      </c>
    </row>
    <row r="5781" spans="17:18" ht="15" customHeight="1" x14ac:dyDescent="0.25">
      <c r="Q5781" t="s">
        <v>6716</v>
      </c>
      <c r="R5781" t="s">
        <v>6682</v>
      </c>
    </row>
    <row r="5782" spans="17:18" ht="15" customHeight="1" x14ac:dyDescent="0.25">
      <c r="Q5782" t="s">
        <v>6717</v>
      </c>
      <c r="R5782" t="s">
        <v>4214</v>
      </c>
    </row>
    <row r="5783" spans="17:18" ht="15" customHeight="1" x14ac:dyDescent="0.25">
      <c r="Q5783" t="s">
        <v>6718</v>
      </c>
      <c r="R5783" t="s">
        <v>4214</v>
      </c>
    </row>
    <row r="5784" spans="17:18" ht="15" customHeight="1" x14ac:dyDescent="0.25">
      <c r="Q5784" t="s">
        <v>6719</v>
      </c>
      <c r="R5784" t="s">
        <v>6682</v>
      </c>
    </row>
    <row r="5785" spans="17:18" ht="15" customHeight="1" x14ac:dyDescent="0.25">
      <c r="Q5785" t="s">
        <v>6720</v>
      </c>
      <c r="R5785" t="s">
        <v>4214</v>
      </c>
    </row>
    <row r="5786" spans="17:18" ht="15" customHeight="1" x14ac:dyDescent="0.25">
      <c r="Q5786" t="s">
        <v>6721</v>
      </c>
      <c r="R5786" t="s">
        <v>4214</v>
      </c>
    </row>
    <row r="5787" spans="17:18" ht="15" customHeight="1" x14ac:dyDescent="0.25">
      <c r="Q5787" t="s">
        <v>6722</v>
      </c>
      <c r="R5787" t="s">
        <v>6682</v>
      </c>
    </row>
    <row r="5788" spans="17:18" ht="15" customHeight="1" x14ac:dyDescent="0.25">
      <c r="Q5788" t="s">
        <v>6723</v>
      </c>
      <c r="R5788" t="s">
        <v>6682</v>
      </c>
    </row>
    <row r="5789" spans="17:18" ht="15" customHeight="1" x14ac:dyDescent="0.25">
      <c r="Q5789" t="s">
        <v>6724</v>
      </c>
      <c r="R5789" t="s">
        <v>6682</v>
      </c>
    </row>
    <row r="5790" spans="17:18" ht="15" customHeight="1" x14ac:dyDescent="0.25">
      <c r="Q5790" t="s">
        <v>6725</v>
      </c>
      <c r="R5790" t="s">
        <v>6682</v>
      </c>
    </row>
    <row r="5791" spans="17:18" ht="15" customHeight="1" x14ac:dyDescent="0.25">
      <c r="Q5791" t="s">
        <v>6726</v>
      </c>
      <c r="R5791" t="s">
        <v>6682</v>
      </c>
    </row>
    <row r="5792" spans="17:18" ht="15" customHeight="1" x14ac:dyDescent="0.25">
      <c r="Q5792" t="s">
        <v>6727</v>
      </c>
      <c r="R5792" t="s">
        <v>6682</v>
      </c>
    </row>
    <row r="5793" spans="17:18" ht="15" customHeight="1" x14ac:dyDescent="0.25">
      <c r="Q5793" t="s">
        <v>6728</v>
      </c>
      <c r="R5793" t="s">
        <v>6682</v>
      </c>
    </row>
    <row r="5794" spans="17:18" ht="15" customHeight="1" x14ac:dyDescent="0.25">
      <c r="Q5794" t="s">
        <v>6729</v>
      </c>
      <c r="R5794" t="s">
        <v>6682</v>
      </c>
    </row>
    <row r="5795" spans="17:18" ht="15" customHeight="1" x14ac:dyDescent="0.25">
      <c r="Q5795" t="s">
        <v>6730</v>
      </c>
      <c r="R5795" t="s">
        <v>6682</v>
      </c>
    </row>
    <row r="5796" spans="17:18" ht="15" customHeight="1" x14ac:dyDescent="0.25">
      <c r="Q5796" t="s">
        <v>6731</v>
      </c>
      <c r="R5796" t="s">
        <v>6682</v>
      </c>
    </row>
    <row r="5797" spans="17:18" ht="15" customHeight="1" x14ac:dyDescent="0.25">
      <c r="Q5797" t="s">
        <v>6732</v>
      </c>
      <c r="R5797" t="s">
        <v>6682</v>
      </c>
    </row>
    <row r="5798" spans="17:18" ht="15" customHeight="1" x14ac:dyDescent="0.25">
      <c r="Q5798" t="s">
        <v>6733</v>
      </c>
      <c r="R5798" t="s">
        <v>936</v>
      </c>
    </row>
    <row r="5799" spans="17:18" ht="15" customHeight="1" x14ac:dyDescent="0.25">
      <c r="Q5799" t="s">
        <v>6734</v>
      </c>
      <c r="R5799" t="s">
        <v>936</v>
      </c>
    </row>
    <row r="5800" spans="17:18" ht="15" customHeight="1" x14ac:dyDescent="0.25">
      <c r="Q5800" t="s">
        <v>6735</v>
      </c>
      <c r="R5800" t="s">
        <v>6682</v>
      </c>
    </row>
    <row r="5801" spans="17:18" ht="15" customHeight="1" x14ac:dyDescent="0.25">
      <c r="Q5801" t="s">
        <v>6736</v>
      </c>
      <c r="R5801" t="s">
        <v>6682</v>
      </c>
    </row>
    <row r="5802" spans="17:18" ht="15" customHeight="1" x14ac:dyDescent="0.25">
      <c r="Q5802" t="s">
        <v>6737</v>
      </c>
      <c r="R5802" t="s">
        <v>936</v>
      </c>
    </row>
    <row r="5803" spans="17:18" ht="15" customHeight="1" x14ac:dyDescent="0.25">
      <c r="Q5803" t="s">
        <v>6738</v>
      </c>
      <c r="R5803" t="s">
        <v>936</v>
      </c>
    </row>
    <row r="5804" spans="17:18" ht="15" customHeight="1" x14ac:dyDescent="0.25">
      <c r="Q5804" t="s">
        <v>6739</v>
      </c>
      <c r="R5804" t="s">
        <v>936</v>
      </c>
    </row>
    <row r="5805" spans="17:18" ht="15" customHeight="1" x14ac:dyDescent="0.25">
      <c r="Q5805" t="s">
        <v>6740</v>
      </c>
      <c r="R5805" t="s">
        <v>936</v>
      </c>
    </row>
    <row r="5806" spans="17:18" ht="15" customHeight="1" x14ac:dyDescent="0.25">
      <c r="Q5806" t="s">
        <v>6741</v>
      </c>
      <c r="R5806" t="s">
        <v>936</v>
      </c>
    </row>
    <row r="5807" spans="17:18" ht="15" customHeight="1" x14ac:dyDescent="0.25">
      <c r="Q5807" t="s">
        <v>6742</v>
      </c>
      <c r="R5807" t="s">
        <v>6682</v>
      </c>
    </row>
    <row r="5808" spans="17:18" ht="15" customHeight="1" x14ac:dyDescent="0.25">
      <c r="Q5808" t="s">
        <v>6743</v>
      </c>
      <c r="R5808" t="s">
        <v>6682</v>
      </c>
    </row>
    <row r="5809" spans="17:18" ht="15" customHeight="1" x14ac:dyDescent="0.25">
      <c r="Q5809" t="s">
        <v>6744</v>
      </c>
      <c r="R5809" t="s">
        <v>6682</v>
      </c>
    </row>
    <row r="5810" spans="17:18" ht="15" customHeight="1" x14ac:dyDescent="0.25">
      <c r="Q5810" t="s">
        <v>6745</v>
      </c>
      <c r="R5810" t="s">
        <v>6682</v>
      </c>
    </row>
    <row r="5811" spans="17:18" ht="15" customHeight="1" x14ac:dyDescent="0.25">
      <c r="Q5811" t="s">
        <v>6746</v>
      </c>
      <c r="R5811" t="s">
        <v>6682</v>
      </c>
    </row>
    <row r="5812" spans="17:18" ht="15" customHeight="1" x14ac:dyDescent="0.25">
      <c r="Q5812" t="s">
        <v>6747</v>
      </c>
      <c r="R5812" t="s">
        <v>6682</v>
      </c>
    </row>
    <row r="5813" spans="17:18" ht="15" customHeight="1" x14ac:dyDescent="0.25">
      <c r="Q5813" t="s">
        <v>6748</v>
      </c>
      <c r="R5813" t="s">
        <v>6682</v>
      </c>
    </row>
    <row r="5814" spans="17:18" ht="15" customHeight="1" x14ac:dyDescent="0.25">
      <c r="Q5814" t="s">
        <v>6749</v>
      </c>
      <c r="R5814" t="s">
        <v>6682</v>
      </c>
    </row>
    <row r="5815" spans="17:18" ht="15" customHeight="1" x14ac:dyDescent="0.25">
      <c r="Q5815" t="s">
        <v>6750</v>
      </c>
      <c r="R5815" t="s">
        <v>6682</v>
      </c>
    </row>
    <row r="5816" spans="17:18" ht="15" customHeight="1" x14ac:dyDescent="0.25">
      <c r="Q5816" t="s">
        <v>6751</v>
      </c>
      <c r="R5816" t="s">
        <v>6682</v>
      </c>
    </row>
    <row r="5817" spans="17:18" ht="15" customHeight="1" x14ac:dyDescent="0.25">
      <c r="Q5817" t="s">
        <v>6752</v>
      </c>
      <c r="R5817" t="s">
        <v>6682</v>
      </c>
    </row>
    <row r="5818" spans="17:18" ht="15" customHeight="1" x14ac:dyDescent="0.25">
      <c r="Q5818" t="s">
        <v>6753</v>
      </c>
      <c r="R5818" t="s">
        <v>6682</v>
      </c>
    </row>
    <row r="5819" spans="17:18" ht="15" customHeight="1" x14ac:dyDescent="0.25">
      <c r="Q5819" t="s">
        <v>6754</v>
      </c>
      <c r="R5819" t="s">
        <v>6682</v>
      </c>
    </row>
    <row r="5820" spans="17:18" ht="15" customHeight="1" x14ac:dyDescent="0.25">
      <c r="Q5820" t="s">
        <v>6755</v>
      </c>
      <c r="R5820" t="s">
        <v>6682</v>
      </c>
    </row>
    <row r="5821" spans="17:18" ht="15" customHeight="1" x14ac:dyDescent="0.25">
      <c r="Q5821" t="s">
        <v>6756</v>
      </c>
      <c r="R5821" t="s">
        <v>936</v>
      </c>
    </row>
    <row r="5822" spans="17:18" ht="15" customHeight="1" x14ac:dyDescent="0.25">
      <c r="Q5822" t="s">
        <v>6757</v>
      </c>
      <c r="R5822" t="s">
        <v>6682</v>
      </c>
    </row>
    <row r="5823" spans="17:18" ht="15" customHeight="1" x14ac:dyDescent="0.25">
      <c r="Q5823" t="s">
        <v>6758</v>
      </c>
      <c r="R5823" t="s">
        <v>6418</v>
      </c>
    </row>
    <row r="5824" spans="17:18" ht="15" customHeight="1" x14ac:dyDescent="0.25">
      <c r="Q5824" t="s">
        <v>6759</v>
      </c>
      <c r="R5824" t="s">
        <v>6418</v>
      </c>
    </row>
    <row r="5825" spans="17:18" ht="15" customHeight="1" x14ac:dyDescent="0.25">
      <c r="Q5825" t="s">
        <v>6760</v>
      </c>
      <c r="R5825" t="s">
        <v>6418</v>
      </c>
    </row>
    <row r="5826" spans="17:18" ht="15" customHeight="1" x14ac:dyDescent="0.25">
      <c r="Q5826" t="s">
        <v>6761</v>
      </c>
      <c r="R5826" t="s">
        <v>6418</v>
      </c>
    </row>
    <row r="5827" spans="17:18" ht="15" customHeight="1" x14ac:dyDescent="0.25">
      <c r="Q5827" t="s">
        <v>6762</v>
      </c>
      <c r="R5827" t="s">
        <v>6418</v>
      </c>
    </row>
    <row r="5828" spans="17:18" ht="15" customHeight="1" x14ac:dyDescent="0.25">
      <c r="Q5828" t="s">
        <v>6763</v>
      </c>
      <c r="R5828" t="s">
        <v>6418</v>
      </c>
    </row>
    <row r="5829" spans="17:18" ht="15" customHeight="1" x14ac:dyDescent="0.25">
      <c r="Q5829" t="s">
        <v>6764</v>
      </c>
      <c r="R5829" t="s">
        <v>6418</v>
      </c>
    </row>
    <row r="5830" spans="17:18" ht="15" customHeight="1" x14ac:dyDescent="0.25">
      <c r="Q5830" t="s">
        <v>6765</v>
      </c>
      <c r="R5830" t="s">
        <v>4214</v>
      </c>
    </row>
    <row r="5831" spans="17:18" ht="15" customHeight="1" x14ac:dyDescent="0.25">
      <c r="Q5831" t="s">
        <v>6766</v>
      </c>
      <c r="R5831" t="s">
        <v>6418</v>
      </c>
    </row>
    <row r="5832" spans="17:18" ht="15" customHeight="1" x14ac:dyDescent="0.25">
      <c r="Q5832" t="s">
        <v>6767</v>
      </c>
      <c r="R5832" t="s">
        <v>6418</v>
      </c>
    </row>
    <row r="5833" spans="17:18" ht="15" customHeight="1" x14ac:dyDescent="0.25">
      <c r="Q5833" t="s">
        <v>6768</v>
      </c>
      <c r="R5833" t="s">
        <v>6682</v>
      </c>
    </row>
    <row r="5834" spans="17:18" ht="15" customHeight="1" x14ac:dyDescent="0.25">
      <c r="Q5834" t="s">
        <v>6769</v>
      </c>
      <c r="R5834" t="s">
        <v>6682</v>
      </c>
    </row>
    <row r="5835" spans="17:18" ht="15" customHeight="1" x14ac:dyDescent="0.25">
      <c r="Q5835" t="s">
        <v>6770</v>
      </c>
      <c r="R5835" t="s">
        <v>6682</v>
      </c>
    </row>
    <row r="5836" spans="17:18" ht="15" customHeight="1" x14ac:dyDescent="0.25">
      <c r="Q5836" t="s">
        <v>6771</v>
      </c>
      <c r="R5836" t="s">
        <v>6682</v>
      </c>
    </row>
    <row r="5837" spans="17:18" ht="15" customHeight="1" x14ac:dyDescent="0.25">
      <c r="Q5837" t="s">
        <v>6772</v>
      </c>
      <c r="R5837" t="s">
        <v>6682</v>
      </c>
    </row>
    <row r="5838" spans="17:18" ht="15" customHeight="1" x14ac:dyDescent="0.25">
      <c r="Q5838" t="s">
        <v>6773</v>
      </c>
      <c r="R5838" t="s">
        <v>6682</v>
      </c>
    </row>
    <row r="5839" spans="17:18" ht="15" customHeight="1" x14ac:dyDescent="0.25">
      <c r="Q5839" t="s">
        <v>6774</v>
      </c>
      <c r="R5839" t="s">
        <v>6682</v>
      </c>
    </row>
    <row r="5840" spans="17:18" ht="15" customHeight="1" x14ac:dyDescent="0.25">
      <c r="Q5840" t="s">
        <v>6775</v>
      </c>
      <c r="R5840" t="s">
        <v>6682</v>
      </c>
    </row>
    <row r="5841" spans="17:18" ht="15" customHeight="1" x14ac:dyDescent="0.25">
      <c r="Q5841" t="s">
        <v>6776</v>
      </c>
      <c r="R5841" t="s">
        <v>6682</v>
      </c>
    </row>
    <row r="5842" spans="17:18" ht="15" customHeight="1" x14ac:dyDescent="0.25">
      <c r="Q5842" t="s">
        <v>6777</v>
      </c>
      <c r="R5842" t="s">
        <v>6682</v>
      </c>
    </row>
    <row r="5843" spans="17:18" ht="15" customHeight="1" x14ac:dyDescent="0.25">
      <c r="Q5843" t="s">
        <v>6778</v>
      </c>
      <c r="R5843" t="s">
        <v>6682</v>
      </c>
    </row>
    <row r="5844" spans="17:18" ht="15" customHeight="1" x14ac:dyDescent="0.25">
      <c r="Q5844" t="s">
        <v>6779</v>
      </c>
      <c r="R5844" t="s">
        <v>6682</v>
      </c>
    </row>
    <row r="5845" spans="17:18" ht="15" customHeight="1" x14ac:dyDescent="0.25">
      <c r="Q5845" t="s">
        <v>6780</v>
      </c>
      <c r="R5845" t="s">
        <v>6682</v>
      </c>
    </row>
    <row r="5846" spans="17:18" ht="15" customHeight="1" x14ac:dyDescent="0.25">
      <c r="Q5846" t="s">
        <v>6781</v>
      </c>
      <c r="R5846" t="s">
        <v>6682</v>
      </c>
    </row>
    <row r="5847" spans="17:18" ht="15" customHeight="1" x14ac:dyDescent="0.25">
      <c r="Q5847" t="s">
        <v>6782</v>
      </c>
      <c r="R5847" t="s">
        <v>6682</v>
      </c>
    </row>
    <row r="5848" spans="17:18" ht="15" customHeight="1" x14ac:dyDescent="0.25">
      <c r="Q5848" t="s">
        <v>6783</v>
      </c>
      <c r="R5848" t="s">
        <v>6682</v>
      </c>
    </row>
    <row r="5849" spans="17:18" ht="15" customHeight="1" x14ac:dyDescent="0.25">
      <c r="Q5849" t="s">
        <v>6784</v>
      </c>
      <c r="R5849" t="s">
        <v>6682</v>
      </c>
    </row>
    <row r="5850" spans="17:18" ht="15" customHeight="1" x14ac:dyDescent="0.25">
      <c r="Q5850" t="s">
        <v>6785</v>
      </c>
      <c r="R5850" t="s">
        <v>6682</v>
      </c>
    </row>
    <row r="5851" spans="17:18" ht="15" customHeight="1" x14ac:dyDescent="0.25">
      <c r="Q5851" t="s">
        <v>6786</v>
      </c>
      <c r="R5851" t="s">
        <v>6682</v>
      </c>
    </row>
    <row r="5852" spans="17:18" ht="15" customHeight="1" x14ac:dyDescent="0.25">
      <c r="Q5852" t="s">
        <v>6787</v>
      </c>
      <c r="R5852" t="s">
        <v>6682</v>
      </c>
    </row>
    <row r="5853" spans="17:18" ht="15" customHeight="1" x14ac:dyDescent="0.25">
      <c r="Q5853" t="s">
        <v>6788</v>
      </c>
      <c r="R5853" t="s">
        <v>6682</v>
      </c>
    </row>
    <row r="5854" spans="17:18" ht="15" customHeight="1" x14ac:dyDescent="0.25">
      <c r="Q5854" t="s">
        <v>6789</v>
      </c>
      <c r="R5854" t="s">
        <v>6682</v>
      </c>
    </row>
    <row r="5855" spans="17:18" ht="15" customHeight="1" x14ac:dyDescent="0.25">
      <c r="Q5855" t="s">
        <v>6790</v>
      </c>
      <c r="R5855" t="s">
        <v>6682</v>
      </c>
    </row>
    <row r="5856" spans="17:18" ht="15" customHeight="1" x14ac:dyDescent="0.25">
      <c r="Q5856" t="s">
        <v>6791</v>
      </c>
      <c r="R5856" t="s">
        <v>6682</v>
      </c>
    </row>
    <row r="5857" spans="17:18" ht="15" customHeight="1" x14ac:dyDescent="0.25">
      <c r="Q5857" t="s">
        <v>6792</v>
      </c>
      <c r="R5857" t="s">
        <v>6682</v>
      </c>
    </row>
    <row r="5858" spans="17:18" ht="15" customHeight="1" x14ac:dyDescent="0.25">
      <c r="Q5858" t="s">
        <v>6793</v>
      </c>
      <c r="R5858" t="s">
        <v>6682</v>
      </c>
    </row>
    <row r="5859" spans="17:18" ht="15" customHeight="1" x14ac:dyDescent="0.25">
      <c r="Q5859" t="s">
        <v>6794</v>
      </c>
      <c r="R5859" t="s">
        <v>6682</v>
      </c>
    </row>
    <row r="5860" spans="17:18" ht="15" customHeight="1" x14ac:dyDescent="0.25">
      <c r="Q5860" t="s">
        <v>6795</v>
      </c>
      <c r="R5860" t="s">
        <v>936</v>
      </c>
    </row>
    <row r="5861" spans="17:18" ht="15" customHeight="1" x14ac:dyDescent="0.25">
      <c r="Q5861" t="s">
        <v>6796</v>
      </c>
      <c r="R5861" t="s">
        <v>6682</v>
      </c>
    </row>
    <row r="5862" spans="17:18" ht="15" customHeight="1" x14ac:dyDescent="0.25">
      <c r="Q5862" t="s">
        <v>6797</v>
      </c>
      <c r="R5862" t="s">
        <v>6798</v>
      </c>
    </row>
    <row r="5863" spans="17:18" ht="15" customHeight="1" x14ac:dyDescent="0.25">
      <c r="Q5863" t="s">
        <v>6799</v>
      </c>
      <c r="R5863" t="s">
        <v>6798</v>
      </c>
    </row>
    <row r="5864" spans="17:18" ht="15" customHeight="1" x14ac:dyDescent="0.25">
      <c r="Q5864" t="s">
        <v>6800</v>
      </c>
      <c r="R5864" t="s">
        <v>6798</v>
      </c>
    </row>
    <row r="5865" spans="17:18" ht="15" customHeight="1" x14ac:dyDescent="0.25">
      <c r="Q5865" t="s">
        <v>6801</v>
      </c>
      <c r="R5865" t="s">
        <v>6798</v>
      </c>
    </row>
    <row r="5866" spans="17:18" ht="15" customHeight="1" x14ac:dyDescent="0.25">
      <c r="Q5866" t="s">
        <v>6802</v>
      </c>
      <c r="R5866" t="s">
        <v>6798</v>
      </c>
    </row>
    <row r="5867" spans="17:18" ht="15" customHeight="1" x14ac:dyDescent="0.25">
      <c r="Q5867" t="s">
        <v>6803</v>
      </c>
      <c r="R5867" t="s">
        <v>6798</v>
      </c>
    </row>
    <row r="5868" spans="17:18" ht="15" customHeight="1" x14ac:dyDescent="0.25">
      <c r="Q5868" t="s">
        <v>6804</v>
      </c>
      <c r="R5868" t="s">
        <v>6798</v>
      </c>
    </row>
    <row r="5869" spans="17:18" ht="15" customHeight="1" x14ac:dyDescent="0.25">
      <c r="Q5869" t="s">
        <v>6805</v>
      </c>
      <c r="R5869" t="s">
        <v>6798</v>
      </c>
    </row>
    <row r="5870" spans="17:18" ht="15" customHeight="1" x14ac:dyDescent="0.25">
      <c r="Q5870" t="s">
        <v>6806</v>
      </c>
      <c r="R5870" t="s">
        <v>6798</v>
      </c>
    </row>
    <row r="5871" spans="17:18" ht="15" customHeight="1" x14ac:dyDescent="0.25">
      <c r="Q5871" t="s">
        <v>6807</v>
      </c>
      <c r="R5871" t="s">
        <v>6798</v>
      </c>
    </row>
    <row r="5872" spans="17:18" ht="15" customHeight="1" x14ac:dyDescent="0.25">
      <c r="Q5872" t="s">
        <v>6808</v>
      </c>
      <c r="R5872" t="s">
        <v>6798</v>
      </c>
    </row>
    <row r="5873" spans="17:18" ht="15" customHeight="1" x14ac:dyDescent="0.25">
      <c r="Q5873" t="s">
        <v>6809</v>
      </c>
      <c r="R5873" t="s">
        <v>6798</v>
      </c>
    </row>
    <row r="5874" spans="17:18" ht="15" customHeight="1" x14ac:dyDescent="0.25">
      <c r="Q5874" t="s">
        <v>6810</v>
      </c>
      <c r="R5874" t="s">
        <v>6798</v>
      </c>
    </row>
    <row r="5875" spans="17:18" ht="15" customHeight="1" x14ac:dyDescent="0.25">
      <c r="Q5875" t="s">
        <v>6811</v>
      </c>
      <c r="R5875" t="s">
        <v>6798</v>
      </c>
    </row>
    <row r="5876" spans="17:18" ht="15" customHeight="1" x14ac:dyDescent="0.25">
      <c r="Q5876" t="s">
        <v>6812</v>
      </c>
      <c r="R5876" t="s">
        <v>6798</v>
      </c>
    </row>
    <row r="5877" spans="17:18" ht="15" customHeight="1" x14ac:dyDescent="0.25">
      <c r="Q5877" t="s">
        <v>6813</v>
      </c>
      <c r="R5877" t="s">
        <v>6798</v>
      </c>
    </row>
    <row r="5878" spans="17:18" ht="15" customHeight="1" x14ac:dyDescent="0.25">
      <c r="Q5878" t="s">
        <v>6814</v>
      </c>
      <c r="R5878" t="s">
        <v>6798</v>
      </c>
    </row>
    <row r="5879" spans="17:18" ht="15" customHeight="1" x14ac:dyDescent="0.25">
      <c r="Q5879" t="s">
        <v>6815</v>
      </c>
      <c r="R5879" t="s">
        <v>6798</v>
      </c>
    </row>
    <row r="5880" spans="17:18" ht="15" customHeight="1" x14ac:dyDescent="0.25">
      <c r="Q5880" t="s">
        <v>6816</v>
      </c>
      <c r="R5880" t="s">
        <v>6798</v>
      </c>
    </row>
    <row r="5881" spans="17:18" ht="15" customHeight="1" x14ac:dyDescent="0.25">
      <c r="Q5881" t="s">
        <v>6817</v>
      </c>
      <c r="R5881" t="s">
        <v>6798</v>
      </c>
    </row>
    <row r="5882" spans="17:18" ht="15" customHeight="1" x14ac:dyDescent="0.25">
      <c r="Q5882" t="s">
        <v>6818</v>
      </c>
      <c r="R5882" t="s">
        <v>6798</v>
      </c>
    </row>
    <row r="5883" spans="17:18" ht="15" customHeight="1" x14ac:dyDescent="0.25">
      <c r="Q5883" t="s">
        <v>6819</v>
      </c>
      <c r="R5883" t="s">
        <v>6798</v>
      </c>
    </row>
    <row r="5884" spans="17:18" ht="15" customHeight="1" x14ac:dyDescent="0.25">
      <c r="Q5884" t="s">
        <v>6820</v>
      </c>
      <c r="R5884" t="s">
        <v>6798</v>
      </c>
    </row>
    <row r="5885" spans="17:18" ht="15" customHeight="1" x14ac:dyDescent="0.25">
      <c r="Q5885" t="s">
        <v>6821</v>
      </c>
      <c r="R5885" t="s">
        <v>6798</v>
      </c>
    </row>
    <row r="5886" spans="17:18" ht="15" customHeight="1" x14ac:dyDescent="0.25">
      <c r="Q5886" t="s">
        <v>6822</v>
      </c>
      <c r="R5886" t="s">
        <v>6798</v>
      </c>
    </row>
    <row r="5887" spans="17:18" ht="15" customHeight="1" x14ac:dyDescent="0.25">
      <c r="Q5887" t="s">
        <v>6823</v>
      </c>
      <c r="R5887" t="s">
        <v>6798</v>
      </c>
    </row>
    <row r="5888" spans="17:18" ht="15" customHeight="1" x14ac:dyDescent="0.25">
      <c r="Q5888" t="s">
        <v>6824</v>
      </c>
      <c r="R5888" t="s">
        <v>6798</v>
      </c>
    </row>
    <row r="5889" spans="17:18" ht="15" customHeight="1" x14ac:dyDescent="0.25">
      <c r="Q5889" t="s">
        <v>6825</v>
      </c>
      <c r="R5889" t="s">
        <v>6798</v>
      </c>
    </row>
    <row r="5890" spans="17:18" ht="15" customHeight="1" x14ac:dyDescent="0.25">
      <c r="Q5890" t="s">
        <v>6826</v>
      </c>
      <c r="R5890" t="s">
        <v>6798</v>
      </c>
    </row>
    <row r="5891" spans="17:18" ht="15" customHeight="1" x14ac:dyDescent="0.25">
      <c r="Q5891" t="s">
        <v>6827</v>
      </c>
      <c r="R5891" t="s">
        <v>6798</v>
      </c>
    </row>
    <row r="5892" spans="17:18" ht="15" customHeight="1" x14ac:dyDescent="0.25">
      <c r="Q5892" t="s">
        <v>6828</v>
      </c>
      <c r="R5892" t="s">
        <v>6798</v>
      </c>
    </row>
    <row r="5893" spans="17:18" ht="15" customHeight="1" x14ac:dyDescent="0.25">
      <c r="Q5893" t="s">
        <v>6829</v>
      </c>
      <c r="R5893" t="s">
        <v>6798</v>
      </c>
    </row>
    <row r="5894" spans="17:18" ht="15" customHeight="1" x14ac:dyDescent="0.25">
      <c r="Q5894" t="s">
        <v>6830</v>
      </c>
      <c r="R5894" t="s">
        <v>6798</v>
      </c>
    </row>
    <row r="5895" spans="17:18" ht="15" customHeight="1" x14ac:dyDescent="0.25">
      <c r="Q5895" t="s">
        <v>6831</v>
      </c>
      <c r="R5895" t="s">
        <v>6798</v>
      </c>
    </row>
    <row r="5896" spans="17:18" ht="15" customHeight="1" x14ac:dyDescent="0.25">
      <c r="Q5896" t="s">
        <v>6832</v>
      </c>
      <c r="R5896" t="s">
        <v>6798</v>
      </c>
    </row>
    <row r="5897" spans="17:18" ht="15" customHeight="1" x14ac:dyDescent="0.25">
      <c r="Q5897" t="s">
        <v>6833</v>
      </c>
      <c r="R5897" t="s">
        <v>6798</v>
      </c>
    </row>
    <row r="5898" spans="17:18" ht="15" customHeight="1" x14ac:dyDescent="0.25">
      <c r="Q5898" t="s">
        <v>6834</v>
      </c>
      <c r="R5898" t="s">
        <v>6798</v>
      </c>
    </row>
    <row r="5899" spans="17:18" ht="15" customHeight="1" x14ac:dyDescent="0.25">
      <c r="Q5899" t="s">
        <v>6835</v>
      </c>
      <c r="R5899" t="s">
        <v>6798</v>
      </c>
    </row>
    <row r="5900" spans="17:18" ht="15" customHeight="1" x14ac:dyDescent="0.25">
      <c r="Q5900" t="s">
        <v>6836</v>
      </c>
      <c r="R5900" t="s">
        <v>253</v>
      </c>
    </row>
    <row r="5901" spans="17:18" ht="15" customHeight="1" x14ac:dyDescent="0.25">
      <c r="Q5901" t="s">
        <v>6837</v>
      </c>
      <c r="R5901" t="s">
        <v>253</v>
      </c>
    </row>
    <row r="5902" spans="17:18" ht="15" customHeight="1" x14ac:dyDescent="0.25">
      <c r="Q5902" t="s">
        <v>6838</v>
      </c>
      <c r="R5902" t="s">
        <v>253</v>
      </c>
    </row>
    <row r="5903" spans="17:18" ht="15" customHeight="1" x14ac:dyDescent="0.25">
      <c r="Q5903" t="s">
        <v>6839</v>
      </c>
      <c r="R5903" t="s">
        <v>253</v>
      </c>
    </row>
    <row r="5904" spans="17:18" ht="15" customHeight="1" x14ac:dyDescent="0.25">
      <c r="Q5904" t="s">
        <v>6840</v>
      </c>
      <c r="R5904" t="s">
        <v>253</v>
      </c>
    </row>
    <row r="5905" spans="17:18" ht="15" customHeight="1" x14ac:dyDescent="0.25">
      <c r="Q5905" t="s">
        <v>6841</v>
      </c>
      <c r="R5905" t="s">
        <v>255</v>
      </c>
    </row>
    <row r="5906" spans="17:18" ht="15" customHeight="1" x14ac:dyDescent="0.25">
      <c r="Q5906" t="s">
        <v>6842</v>
      </c>
      <c r="R5906" t="s">
        <v>253</v>
      </c>
    </row>
    <row r="5907" spans="17:18" ht="15" customHeight="1" x14ac:dyDescent="0.25">
      <c r="Q5907" t="s">
        <v>6843</v>
      </c>
      <c r="R5907" t="s">
        <v>2731</v>
      </c>
    </row>
    <row r="5908" spans="17:18" ht="15" customHeight="1" x14ac:dyDescent="0.25">
      <c r="Q5908" t="s">
        <v>6844</v>
      </c>
      <c r="R5908" t="s">
        <v>253</v>
      </c>
    </row>
    <row r="5909" spans="17:18" ht="15" customHeight="1" x14ac:dyDescent="0.25">
      <c r="Q5909" t="s">
        <v>6845</v>
      </c>
      <c r="R5909" t="s">
        <v>253</v>
      </c>
    </row>
    <row r="5910" spans="17:18" ht="15" customHeight="1" x14ac:dyDescent="0.25">
      <c r="Q5910" t="s">
        <v>6846</v>
      </c>
      <c r="R5910" t="s">
        <v>253</v>
      </c>
    </row>
    <row r="5911" spans="17:18" ht="15" customHeight="1" x14ac:dyDescent="0.25">
      <c r="Q5911" t="s">
        <v>6847</v>
      </c>
      <c r="R5911" t="s">
        <v>253</v>
      </c>
    </row>
    <row r="5912" spans="17:18" ht="15" customHeight="1" x14ac:dyDescent="0.25">
      <c r="Q5912" t="s">
        <v>6848</v>
      </c>
      <c r="R5912" t="s">
        <v>253</v>
      </c>
    </row>
    <row r="5913" spans="17:18" ht="15" customHeight="1" x14ac:dyDescent="0.25">
      <c r="Q5913" t="s">
        <v>6849</v>
      </c>
      <c r="R5913" t="s">
        <v>317</v>
      </c>
    </row>
    <row r="5914" spans="17:18" ht="15" customHeight="1" x14ac:dyDescent="0.25">
      <c r="Q5914" t="s">
        <v>6850</v>
      </c>
      <c r="R5914" t="s">
        <v>315</v>
      </c>
    </row>
    <row r="5915" spans="17:18" ht="15" customHeight="1" x14ac:dyDescent="0.25">
      <c r="Q5915" t="s">
        <v>6851</v>
      </c>
      <c r="R5915" t="s">
        <v>317</v>
      </c>
    </row>
    <row r="5916" spans="17:18" ht="15" customHeight="1" x14ac:dyDescent="0.25">
      <c r="Q5916" t="s">
        <v>6852</v>
      </c>
      <c r="R5916" t="s">
        <v>317</v>
      </c>
    </row>
    <row r="5917" spans="17:18" ht="15" customHeight="1" x14ac:dyDescent="0.25">
      <c r="Q5917" t="s">
        <v>6853</v>
      </c>
      <c r="R5917" t="s">
        <v>253</v>
      </c>
    </row>
    <row r="5918" spans="17:18" ht="15" customHeight="1" x14ac:dyDescent="0.25">
      <c r="Q5918" t="s">
        <v>6854</v>
      </c>
      <c r="R5918" t="s">
        <v>253</v>
      </c>
    </row>
    <row r="5919" spans="17:18" ht="15" customHeight="1" x14ac:dyDescent="0.25">
      <c r="Q5919" t="s">
        <v>6855</v>
      </c>
      <c r="R5919" t="s">
        <v>253</v>
      </c>
    </row>
    <row r="5920" spans="17:18" ht="15" customHeight="1" x14ac:dyDescent="0.25">
      <c r="Q5920" t="s">
        <v>6856</v>
      </c>
      <c r="R5920" t="s">
        <v>253</v>
      </c>
    </row>
    <row r="5921" spans="17:18" ht="15" customHeight="1" x14ac:dyDescent="0.25">
      <c r="Q5921" t="s">
        <v>6857</v>
      </c>
      <c r="R5921" t="s">
        <v>253</v>
      </c>
    </row>
    <row r="5922" spans="17:18" ht="15" customHeight="1" x14ac:dyDescent="0.25">
      <c r="Q5922" t="s">
        <v>6858</v>
      </c>
      <c r="R5922" t="s">
        <v>253</v>
      </c>
    </row>
    <row r="5923" spans="17:18" ht="15" customHeight="1" x14ac:dyDescent="0.25">
      <c r="Q5923" t="s">
        <v>6859</v>
      </c>
      <c r="R5923" t="s">
        <v>253</v>
      </c>
    </row>
    <row r="5924" spans="17:18" ht="15" customHeight="1" x14ac:dyDescent="0.25">
      <c r="Q5924" t="s">
        <v>6860</v>
      </c>
      <c r="R5924" t="s">
        <v>253</v>
      </c>
    </row>
    <row r="5925" spans="17:18" ht="15" customHeight="1" x14ac:dyDescent="0.25">
      <c r="Q5925" t="s">
        <v>6861</v>
      </c>
      <c r="R5925" t="s">
        <v>253</v>
      </c>
    </row>
    <row r="5926" spans="17:18" ht="15" customHeight="1" x14ac:dyDescent="0.25">
      <c r="Q5926" t="s">
        <v>6862</v>
      </c>
      <c r="R5926" t="s">
        <v>253</v>
      </c>
    </row>
    <row r="5927" spans="17:18" ht="15" customHeight="1" x14ac:dyDescent="0.25">
      <c r="Q5927" t="s">
        <v>6863</v>
      </c>
      <c r="R5927" t="s">
        <v>253</v>
      </c>
    </row>
    <row r="5928" spans="17:18" ht="15" customHeight="1" x14ac:dyDescent="0.25">
      <c r="Q5928" t="s">
        <v>6864</v>
      </c>
      <c r="R5928" t="s">
        <v>253</v>
      </c>
    </row>
    <row r="5929" spans="17:18" ht="15" customHeight="1" x14ac:dyDescent="0.25">
      <c r="Q5929" t="s">
        <v>6865</v>
      </c>
      <c r="R5929" t="s">
        <v>253</v>
      </c>
    </row>
    <row r="5930" spans="17:18" ht="15" customHeight="1" x14ac:dyDescent="0.25">
      <c r="Q5930" t="s">
        <v>6866</v>
      </c>
      <c r="R5930" t="s">
        <v>317</v>
      </c>
    </row>
    <row r="5931" spans="17:18" ht="15" customHeight="1" x14ac:dyDescent="0.25">
      <c r="Q5931" t="s">
        <v>6867</v>
      </c>
      <c r="R5931" t="s">
        <v>317</v>
      </c>
    </row>
    <row r="5932" spans="17:18" ht="15" customHeight="1" x14ac:dyDescent="0.25">
      <c r="Q5932" t="s">
        <v>6868</v>
      </c>
      <c r="R5932" t="s">
        <v>317</v>
      </c>
    </row>
    <row r="5933" spans="17:18" ht="15" customHeight="1" x14ac:dyDescent="0.25">
      <c r="Q5933" t="s">
        <v>6869</v>
      </c>
      <c r="R5933" t="s">
        <v>255</v>
      </c>
    </row>
    <row r="5934" spans="17:18" ht="15" customHeight="1" x14ac:dyDescent="0.25">
      <c r="Q5934" t="s">
        <v>6870</v>
      </c>
      <c r="R5934" t="s">
        <v>255</v>
      </c>
    </row>
    <row r="5935" spans="17:18" ht="15" customHeight="1" x14ac:dyDescent="0.25">
      <c r="Q5935" t="s">
        <v>6871</v>
      </c>
      <c r="R5935" t="s">
        <v>255</v>
      </c>
    </row>
    <row r="5936" spans="17:18" ht="15" customHeight="1" x14ac:dyDescent="0.25">
      <c r="Q5936" t="s">
        <v>6872</v>
      </c>
      <c r="R5936" t="s">
        <v>255</v>
      </c>
    </row>
    <row r="5937" spans="17:18" ht="15" customHeight="1" x14ac:dyDescent="0.25">
      <c r="Q5937" t="s">
        <v>6873</v>
      </c>
      <c r="R5937" t="s">
        <v>255</v>
      </c>
    </row>
    <row r="5938" spans="17:18" ht="15" customHeight="1" x14ac:dyDescent="0.25">
      <c r="Q5938" t="s">
        <v>6874</v>
      </c>
      <c r="R5938" t="s">
        <v>255</v>
      </c>
    </row>
    <row r="5939" spans="17:18" ht="15" customHeight="1" x14ac:dyDescent="0.25">
      <c r="Q5939" t="s">
        <v>6875</v>
      </c>
      <c r="R5939" t="s">
        <v>255</v>
      </c>
    </row>
    <row r="5940" spans="17:18" ht="15" customHeight="1" x14ac:dyDescent="0.25">
      <c r="Q5940" t="s">
        <v>6876</v>
      </c>
      <c r="R5940" t="s">
        <v>255</v>
      </c>
    </row>
    <row r="5941" spans="17:18" ht="15" customHeight="1" x14ac:dyDescent="0.25">
      <c r="Q5941" t="s">
        <v>6877</v>
      </c>
      <c r="R5941" t="s">
        <v>255</v>
      </c>
    </row>
    <row r="5942" spans="17:18" ht="15" customHeight="1" x14ac:dyDescent="0.25">
      <c r="Q5942" t="s">
        <v>6878</v>
      </c>
      <c r="R5942" t="s">
        <v>317</v>
      </c>
    </row>
    <row r="5943" spans="17:18" ht="15" customHeight="1" x14ac:dyDescent="0.25">
      <c r="Q5943" t="s">
        <v>6879</v>
      </c>
      <c r="R5943" t="s">
        <v>317</v>
      </c>
    </row>
    <row r="5944" spans="17:18" ht="15" customHeight="1" x14ac:dyDescent="0.25">
      <c r="Q5944" t="s">
        <v>6880</v>
      </c>
      <c r="R5944" t="s">
        <v>317</v>
      </c>
    </row>
    <row r="5945" spans="17:18" ht="15" customHeight="1" x14ac:dyDescent="0.25">
      <c r="Q5945" t="s">
        <v>6881</v>
      </c>
      <c r="R5945" t="s">
        <v>317</v>
      </c>
    </row>
    <row r="5946" spans="17:18" ht="15" customHeight="1" x14ac:dyDescent="0.25">
      <c r="Q5946" t="s">
        <v>6882</v>
      </c>
      <c r="R5946" t="s">
        <v>317</v>
      </c>
    </row>
    <row r="5947" spans="17:18" ht="15" customHeight="1" x14ac:dyDescent="0.25">
      <c r="Q5947" t="s">
        <v>6883</v>
      </c>
      <c r="R5947" t="s">
        <v>317</v>
      </c>
    </row>
    <row r="5948" spans="17:18" ht="15" customHeight="1" x14ac:dyDescent="0.25">
      <c r="Q5948" t="s">
        <v>6884</v>
      </c>
      <c r="R5948" t="s">
        <v>317</v>
      </c>
    </row>
    <row r="5949" spans="17:18" ht="15" customHeight="1" x14ac:dyDescent="0.25">
      <c r="Q5949" t="s">
        <v>6885</v>
      </c>
      <c r="R5949" t="s">
        <v>317</v>
      </c>
    </row>
    <row r="5950" spans="17:18" ht="15" customHeight="1" x14ac:dyDescent="0.25">
      <c r="Q5950" t="s">
        <v>6886</v>
      </c>
      <c r="R5950" t="s">
        <v>317</v>
      </c>
    </row>
    <row r="5951" spans="17:18" ht="15" customHeight="1" x14ac:dyDescent="0.25">
      <c r="Q5951" t="s">
        <v>6887</v>
      </c>
      <c r="R5951" t="s">
        <v>317</v>
      </c>
    </row>
    <row r="5952" spans="17:18" ht="15" customHeight="1" x14ac:dyDescent="0.25">
      <c r="Q5952" t="s">
        <v>6888</v>
      </c>
      <c r="R5952" t="s">
        <v>317</v>
      </c>
    </row>
    <row r="5953" spans="17:18" ht="15" customHeight="1" x14ac:dyDescent="0.25">
      <c r="Q5953" t="s">
        <v>6889</v>
      </c>
      <c r="R5953" t="s">
        <v>317</v>
      </c>
    </row>
    <row r="5954" spans="17:18" ht="15" customHeight="1" x14ac:dyDescent="0.25">
      <c r="Q5954" t="s">
        <v>6890</v>
      </c>
      <c r="R5954" t="s">
        <v>317</v>
      </c>
    </row>
    <row r="5955" spans="17:18" ht="15" customHeight="1" x14ac:dyDescent="0.25">
      <c r="Q5955" t="s">
        <v>6891</v>
      </c>
      <c r="R5955" t="s">
        <v>317</v>
      </c>
    </row>
    <row r="5956" spans="17:18" ht="15" customHeight="1" x14ac:dyDescent="0.25">
      <c r="Q5956" t="s">
        <v>6892</v>
      </c>
      <c r="R5956" t="s">
        <v>317</v>
      </c>
    </row>
    <row r="5957" spans="17:18" ht="15" customHeight="1" x14ac:dyDescent="0.25">
      <c r="Q5957" t="s">
        <v>6893</v>
      </c>
      <c r="R5957" t="s">
        <v>317</v>
      </c>
    </row>
    <row r="5958" spans="17:18" ht="15" customHeight="1" x14ac:dyDescent="0.25">
      <c r="Q5958" t="s">
        <v>6894</v>
      </c>
      <c r="R5958" t="s">
        <v>317</v>
      </c>
    </row>
    <row r="5959" spans="17:18" ht="15" customHeight="1" x14ac:dyDescent="0.25">
      <c r="Q5959" t="s">
        <v>6895</v>
      </c>
      <c r="R5959" t="s">
        <v>317</v>
      </c>
    </row>
    <row r="5960" spans="17:18" ht="15" customHeight="1" x14ac:dyDescent="0.25">
      <c r="Q5960" t="s">
        <v>6896</v>
      </c>
      <c r="R5960" t="s">
        <v>317</v>
      </c>
    </row>
    <row r="5961" spans="17:18" ht="15" customHeight="1" x14ac:dyDescent="0.25">
      <c r="Q5961" t="s">
        <v>6897</v>
      </c>
      <c r="R5961" t="s">
        <v>317</v>
      </c>
    </row>
    <row r="5962" spans="17:18" ht="15" customHeight="1" x14ac:dyDescent="0.25">
      <c r="Q5962" t="s">
        <v>6898</v>
      </c>
      <c r="R5962" t="s">
        <v>317</v>
      </c>
    </row>
    <row r="5963" spans="17:18" ht="15" customHeight="1" x14ac:dyDescent="0.25">
      <c r="Q5963" t="s">
        <v>6899</v>
      </c>
      <c r="R5963" t="s">
        <v>317</v>
      </c>
    </row>
    <row r="5964" spans="17:18" ht="15" customHeight="1" x14ac:dyDescent="0.25">
      <c r="Q5964" t="s">
        <v>6900</v>
      </c>
      <c r="R5964" t="s">
        <v>317</v>
      </c>
    </row>
    <row r="5965" spans="17:18" ht="15" customHeight="1" x14ac:dyDescent="0.25">
      <c r="Q5965" t="s">
        <v>6901</v>
      </c>
      <c r="R5965" t="s">
        <v>317</v>
      </c>
    </row>
    <row r="5966" spans="17:18" ht="15" customHeight="1" x14ac:dyDescent="0.25">
      <c r="Q5966" t="s">
        <v>6902</v>
      </c>
      <c r="R5966" t="s">
        <v>317</v>
      </c>
    </row>
    <row r="5967" spans="17:18" ht="15" customHeight="1" x14ac:dyDescent="0.25">
      <c r="Q5967" t="s">
        <v>6903</v>
      </c>
      <c r="R5967" t="s">
        <v>317</v>
      </c>
    </row>
    <row r="5968" spans="17:18" ht="15" customHeight="1" x14ac:dyDescent="0.25">
      <c r="Q5968" t="s">
        <v>6904</v>
      </c>
      <c r="R5968" t="s">
        <v>317</v>
      </c>
    </row>
    <row r="5969" spans="17:18" ht="15" customHeight="1" x14ac:dyDescent="0.25">
      <c r="Q5969" t="s">
        <v>6905</v>
      </c>
      <c r="R5969" t="s">
        <v>317</v>
      </c>
    </row>
    <row r="5970" spans="17:18" ht="15" customHeight="1" x14ac:dyDescent="0.25">
      <c r="Q5970" t="s">
        <v>6906</v>
      </c>
      <c r="R5970" t="s">
        <v>317</v>
      </c>
    </row>
    <row r="5971" spans="17:18" ht="15" customHeight="1" x14ac:dyDescent="0.25">
      <c r="Q5971" t="s">
        <v>6907</v>
      </c>
      <c r="R5971" t="s">
        <v>317</v>
      </c>
    </row>
    <row r="5972" spans="17:18" ht="15" customHeight="1" x14ac:dyDescent="0.25">
      <c r="Q5972" t="s">
        <v>6908</v>
      </c>
      <c r="R5972" t="s">
        <v>317</v>
      </c>
    </row>
    <row r="5973" spans="17:18" ht="15" customHeight="1" x14ac:dyDescent="0.25">
      <c r="Q5973" t="s">
        <v>6909</v>
      </c>
      <c r="R5973" t="s">
        <v>317</v>
      </c>
    </row>
    <row r="5974" spans="17:18" ht="15" customHeight="1" x14ac:dyDescent="0.25">
      <c r="Q5974" t="s">
        <v>6910</v>
      </c>
      <c r="R5974" t="s">
        <v>317</v>
      </c>
    </row>
    <row r="5975" spans="17:18" ht="15" customHeight="1" x14ac:dyDescent="0.25">
      <c r="Q5975" t="s">
        <v>6911</v>
      </c>
      <c r="R5975" t="s">
        <v>317</v>
      </c>
    </row>
    <row r="5976" spans="17:18" ht="15" customHeight="1" x14ac:dyDescent="0.25">
      <c r="Q5976" t="s">
        <v>6912</v>
      </c>
      <c r="R5976" t="s">
        <v>6418</v>
      </c>
    </row>
    <row r="5977" spans="17:18" ht="15" customHeight="1" x14ac:dyDescent="0.25">
      <c r="Q5977" t="s">
        <v>6913</v>
      </c>
      <c r="R5977" t="s">
        <v>6418</v>
      </c>
    </row>
    <row r="5978" spans="17:18" ht="15" customHeight="1" x14ac:dyDescent="0.25">
      <c r="Q5978" t="s">
        <v>6914</v>
      </c>
      <c r="R5978" t="s">
        <v>6418</v>
      </c>
    </row>
    <row r="5979" spans="17:18" ht="15" customHeight="1" x14ac:dyDescent="0.25">
      <c r="Q5979" t="s">
        <v>6915</v>
      </c>
      <c r="R5979" t="s">
        <v>6418</v>
      </c>
    </row>
    <row r="5980" spans="17:18" ht="15" customHeight="1" x14ac:dyDescent="0.25">
      <c r="Q5980" t="s">
        <v>6916</v>
      </c>
      <c r="R5980" t="s">
        <v>6418</v>
      </c>
    </row>
    <row r="5981" spans="17:18" ht="15" customHeight="1" x14ac:dyDescent="0.25">
      <c r="Q5981" t="s">
        <v>6917</v>
      </c>
      <c r="R5981" t="s">
        <v>6418</v>
      </c>
    </row>
    <row r="5982" spans="17:18" ht="15" customHeight="1" x14ac:dyDescent="0.25">
      <c r="Q5982" t="s">
        <v>6918</v>
      </c>
      <c r="R5982" t="s">
        <v>6418</v>
      </c>
    </row>
    <row r="5983" spans="17:18" ht="15" customHeight="1" x14ac:dyDescent="0.25">
      <c r="Q5983" t="s">
        <v>6919</v>
      </c>
      <c r="R5983" t="s">
        <v>6418</v>
      </c>
    </row>
    <row r="5984" spans="17:18" ht="15" customHeight="1" x14ac:dyDescent="0.25">
      <c r="Q5984" t="s">
        <v>6920</v>
      </c>
      <c r="R5984" t="s">
        <v>6418</v>
      </c>
    </row>
    <row r="5985" spans="17:18" ht="15" customHeight="1" x14ac:dyDescent="0.25">
      <c r="Q5985" t="s">
        <v>6921</v>
      </c>
      <c r="R5985" t="s">
        <v>6418</v>
      </c>
    </row>
    <row r="5986" spans="17:18" ht="15" customHeight="1" x14ac:dyDescent="0.25">
      <c r="Q5986" t="s">
        <v>6922</v>
      </c>
      <c r="R5986" t="s">
        <v>6418</v>
      </c>
    </row>
    <row r="5987" spans="17:18" ht="15" customHeight="1" x14ac:dyDescent="0.25">
      <c r="Q5987" t="s">
        <v>6923</v>
      </c>
      <c r="R5987" t="s">
        <v>6418</v>
      </c>
    </row>
    <row r="5988" spans="17:18" ht="15" customHeight="1" x14ac:dyDescent="0.25">
      <c r="Q5988" t="s">
        <v>6924</v>
      </c>
      <c r="R5988" t="s">
        <v>317</v>
      </c>
    </row>
    <row r="5989" spans="17:18" ht="15" customHeight="1" x14ac:dyDescent="0.25">
      <c r="Q5989" t="s">
        <v>6925</v>
      </c>
      <c r="R5989" t="s">
        <v>317</v>
      </c>
    </row>
    <row r="5990" spans="17:18" ht="15" customHeight="1" x14ac:dyDescent="0.25">
      <c r="Q5990" t="s">
        <v>6926</v>
      </c>
      <c r="R5990" t="s">
        <v>317</v>
      </c>
    </row>
    <row r="5991" spans="17:18" ht="15" customHeight="1" x14ac:dyDescent="0.25">
      <c r="Q5991" t="s">
        <v>6927</v>
      </c>
      <c r="R5991" t="s">
        <v>317</v>
      </c>
    </row>
    <row r="5992" spans="17:18" ht="15" customHeight="1" x14ac:dyDescent="0.25">
      <c r="Q5992" t="s">
        <v>6928</v>
      </c>
      <c r="R5992" t="s">
        <v>317</v>
      </c>
    </row>
    <row r="5993" spans="17:18" ht="15" customHeight="1" x14ac:dyDescent="0.25">
      <c r="Q5993" t="s">
        <v>6929</v>
      </c>
      <c r="R5993" t="s">
        <v>317</v>
      </c>
    </row>
    <row r="5994" spans="17:18" ht="15" customHeight="1" x14ac:dyDescent="0.25">
      <c r="Q5994" t="s">
        <v>6930</v>
      </c>
      <c r="R5994" t="s">
        <v>317</v>
      </c>
    </row>
    <row r="5995" spans="17:18" ht="15" customHeight="1" x14ac:dyDescent="0.25">
      <c r="Q5995" t="s">
        <v>6931</v>
      </c>
      <c r="R5995" t="s">
        <v>317</v>
      </c>
    </row>
    <row r="5996" spans="17:18" ht="15" customHeight="1" x14ac:dyDescent="0.25">
      <c r="Q5996" t="s">
        <v>6932</v>
      </c>
      <c r="R5996" t="s">
        <v>6418</v>
      </c>
    </row>
    <row r="5997" spans="17:18" ht="15" customHeight="1" x14ac:dyDescent="0.25">
      <c r="Q5997" t="s">
        <v>6933</v>
      </c>
      <c r="R5997" t="s">
        <v>6418</v>
      </c>
    </row>
    <row r="5998" spans="17:18" ht="15" customHeight="1" x14ac:dyDescent="0.25">
      <c r="Q5998" t="s">
        <v>6934</v>
      </c>
      <c r="R5998" t="s">
        <v>6418</v>
      </c>
    </row>
    <row r="5999" spans="17:18" ht="15" customHeight="1" x14ac:dyDescent="0.25">
      <c r="Q5999" t="s">
        <v>6935</v>
      </c>
      <c r="R5999" t="s">
        <v>6418</v>
      </c>
    </row>
    <row r="6000" spans="17:18" ht="15" customHeight="1" x14ac:dyDescent="0.25">
      <c r="Q6000" t="s">
        <v>6936</v>
      </c>
      <c r="R6000" t="s">
        <v>6418</v>
      </c>
    </row>
    <row r="6001" spans="17:18" ht="15" customHeight="1" x14ac:dyDescent="0.25">
      <c r="Q6001" t="s">
        <v>6937</v>
      </c>
      <c r="R6001" t="s">
        <v>6418</v>
      </c>
    </row>
    <row r="6002" spans="17:18" ht="15" customHeight="1" x14ac:dyDescent="0.25">
      <c r="Q6002" t="s">
        <v>6938</v>
      </c>
      <c r="R6002" t="s">
        <v>6418</v>
      </c>
    </row>
    <row r="6003" spans="17:18" ht="15" customHeight="1" x14ac:dyDescent="0.25">
      <c r="Q6003" t="s">
        <v>6939</v>
      </c>
      <c r="R6003" t="s">
        <v>6418</v>
      </c>
    </row>
    <row r="6004" spans="17:18" ht="15" customHeight="1" x14ac:dyDescent="0.25">
      <c r="Q6004" t="s">
        <v>6940</v>
      </c>
      <c r="R6004" t="s">
        <v>6418</v>
      </c>
    </row>
    <row r="6005" spans="17:18" ht="15" customHeight="1" x14ac:dyDescent="0.25">
      <c r="Q6005" t="s">
        <v>6941</v>
      </c>
      <c r="R6005" t="s">
        <v>6418</v>
      </c>
    </row>
    <row r="6006" spans="17:18" ht="15" customHeight="1" x14ac:dyDescent="0.25">
      <c r="Q6006" t="s">
        <v>6942</v>
      </c>
      <c r="R6006" t="s">
        <v>6418</v>
      </c>
    </row>
    <row r="6007" spans="17:18" ht="15" customHeight="1" x14ac:dyDescent="0.25">
      <c r="Q6007" t="s">
        <v>6943</v>
      </c>
      <c r="R6007" t="s">
        <v>6418</v>
      </c>
    </row>
    <row r="6008" spans="17:18" ht="15" customHeight="1" x14ac:dyDescent="0.25">
      <c r="Q6008" t="s">
        <v>6944</v>
      </c>
      <c r="R6008" t="s">
        <v>6418</v>
      </c>
    </row>
    <row r="6009" spans="17:18" ht="15" customHeight="1" x14ac:dyDescent="0.25">
      <c r="Q6009" t="s">
        <v>6945</v>
      </c>
      <c r="R6009" t="s">
        <v>6418</v>
      </c>
    </row>
    <row r="6010" spans="17:18" ht="15" customHeight="1" x14ac:dyDescent="0.25">
      <c r="Q6010" t="s">
        <v>6946</v>
      </c>
      <c r="R6010" t="s">
        <v>6418</v>
      </c>
    </row>
    <row r="6011" spans="17:18" ht="15" customHeight="1" x14ac:dyDescent="0.25">
      <c r="Q6011" t="s">
        <v>6947</v>
      </c>
      <c r="R6011" t="s">
        <v>6418</v>
      </c>
    </row>
    <row r="6012" spans="17:18" ht="15" customHeight="1" x14ac:dyDescent="0.25">
      <c r="Q6012" t="s">
        <v>6948</v>
      </c>
      <c r="R6012" t="s">
        <v>6418</v>
      </c>
    </row>
    <row r="6013" spans="17:18" ht="15" customHeight="1" x14ac:dyDescent="0.25">
      <c r="Q6013" t="s">
        <v>6949</v>
      </c>
      <c r="R6013" t="s">
        <v>6418</v>
      </c>
    </row>
    <row r="6014" spans="17:18" ht="15" customHeight="1" x14ac:dyDescent="0.25">
      <c r="Q6014" t="s">
        <v>6950</v>
      </c>
      <c r="R6014" t="s">
        <v>6418</v>
      </c>
    </row>
    <row r="6015" spans="17:18" ht="15" customHeight="1" x14ac:dyDescent="0.25">
      <c r="Q6015" t="s">
        <v>6951</v>
      </c>
      <c r="R6015" t="s">
        <v>6418</v>
      </c>
    </row>
    <row r="6016" spans="17:18" ht="15" customHeight="1" x14ac:dyDescent="0.25">
      <c r="Q6016" t="s">
        <v>6952</v>
      </c>
      <c r="R6016" t="s">
        <v>6418</v>
      </c>
    </row>
    <row r="6017" spans="17:18" ht="15" customHeight="1" x14ac:dyDescent="0.25">
      <c r="Q6017" t="s">
        <v>6953</v>
      </c>
      <c r="R6017" t="s">
        <v>6418</v>
      </c>
    </row>
    <row r="6018" spans="17:18" ht="15" customHeight="1" x14ac:dyDescent="0.25">
      <c r="Q6018" t="s">
        <v>6954</v>
      </c>
      <c r="R6018" t="s">
        <v>6418</v>
      </c>
    </row>
    <row r="6019" spans="17:18" ht="15" customHeight="1" x14ac:dyDescent="0.25">
      <c r="Q6019" t="s">
        <v>6955</v>
      </c>
      <c r="R6019" t="s">
        <v>6418</v>
      </c>
    </row>
    <row r="6020" spans="17:18" ht="15" customHeight="1" x14ac:dyDescent="0.25">
      <c r="Q6020" t="s">
        <v>6956</v>
      </c>
      <c r="R6020" t="s">
        <v>6418</v>
      </c>
    </row>
    <row r="6021" spans="17:18" ht="15" customHeight="1" x14ac:dyDescent="0.25">
      <c r="Q6021" t="s">
        <v>6957</v>
      </c>
      <c r="R6021" t="s">
        <v>6418</v>
      </c>
    </row>
    <row r="6022" spans="17:18" ht="15" customHeight="1" x14ac:dyDescent="0.25">
      <c r="Q6022" t="s">
        <v>6958</v>
      </c>
      <c r="R6022" t="s">
        <v>6418</v>
      </c>
    </row>
    <row r="6023" spans="17:18" ht="15" customHeight="1" x14ac:dyDescent="0.25">
      <c r="Q6023" t="s">
        <v>6959</v>
      </c>
      <c r="R6023" t="s">
        <v>6418</v>
      </c>
    </row>
    <row r="6024" spans="17:18" ht="15" customHeight="1" x14ac:dyDescent="0.25">
      <c r="Q6024" t="s">
        <v>6960</v>
      </c>
      <c r="R6024" t="s">
        <v>6418</v>
      </c>
    </row>
    <row r="6025" spans="17:18" ht="15" customHeight="1" x14ac:dyDescent="0.25">
      <c r="Q6025" t="s">
        <v>6961</v>
      </c>
      <c r="R6025" t="s">
        <v>237</v>
      </c>
    </row>
    <row r="6026" spans="17:18" ht="15" customHeight="1" x14ac:dyDescent="0.25">
      <c r="Q6026" t="s">
        <v>6962</v>
      </c>
      <c r="R6026" t="s">
        <v>237</v>
      </c>
    </row>
    <row r="6027" spans="17:18" ht="15" customHeight="1" x14ac:dyDescent="0.25">
      <c r="Q6027" t="s">
        <v>6963</v>
      </c>
      <c r="R6027" t="s">
        <v>237</v>
      </c>
    </row>
    <row r="6028" spans="17:18" ht="15" customHeight="1" x14ac:dyDescent="0.25">
      <c r="Q6028" t="s">
        <v>6964</v>
      </c>
      <c r="R6028" t="s">
        <v>237</v>
      </c>
    </row>
    <row r="6029" spans="17:18" ht="15" customHeight="1" x14ac:dyDescent="0.25">
      <c r="Q6029" t="s">
        <v>6965</v>
      </c>
      <c r="R6029" t="s">
        <v>237</v>
      </c>
    </row>
    <row r="6030" spans="17:18" ht="15" customHeight="1" x14ac:dyDescent="0.25">
      <c r="Q6030" t="s">
        <v>6966</v>
      </c>
      <c r="R6030" t="s">
        <v>237</v>
      </c>
    </row>
    <row r="6031" spans="17:18" ht="15" customHeight="1" x14ac:dyDescent="0.25">
      <c r="Q6031" t="s">
        <v>6967</v>
      </c>
      <c r="R6031" t="s">
        <v>936</v>
      </c>
    </row>
    <row r="6032" spans="17:18" ht="15" customHeight="1" x14ac:dyDescent="0.25">
      <c r="Q6032" t="s">
        <v>6968</v>
      </c>
      <c r="R6032" t="s">
        <v>936</v>
      </c>
    </row>
    <row r="6033" spans="17:18" ht="15" customHeight="1" x14ac:dyDescent="0.25">
      <c r="Q6033" t="s">
        <v>6969</v>
      </c>
      <c r="R6033" t="s">
        <v>936</v>
      </c>
    </row>
    <row r="6034" spans="17:18" ht="15" customHeight="1" x14ac:dyDescent="0.25">
      <c r="Q6034" t="s">
        <v>6970</v>
      </c>
      <c r="R6034" t="s">
        <v>936</v>
      </c>
    </row>
    <row r="6035" spans="17:18" ht="15" customHeight="1" x14ac:dyDescent="0.25">
      <c r="Q6035" t="s">
        <v>6971</v>
      </c>
      <c r="R6035" t="s">
        <v>936</v>
      </c>
    </row>
    <row r="6036" spans="17:18" ht="15" customHeight="1" x14ac:dyDescent="0.25">
      <c r="Q6036" t="s">
        <v>6972</v>
      </c>
      <c r="R6036" t="s">
        <v>936</v>
      </c>
    </row>
    <row r="6037" spans="17:18" ht="15" customHeight="1" x14ac:dyDescent="0.25">
      <c r="Q6037" t="s">
        <v>6973</v>
      </c>
      <c r="R6037" t="s">
        <v>936</v>
      </c>
    </row>
    <row r="6038" spans="17:18" ht="15" customHeight="1" x14ac:dyDescent="0.25">
      <c r="Q6038" t="s">
        <v>6974</v>
      </c>
      <c r="R6038" t="s">
        <v>936</v>
      </c>
    </row>
    <row r="6039" spans="17:18" ht="15" customHeight="1" x14ac:dyDescent="0.25">
      <c r="Q6039" t="s">
        <v>6975</v>
      </c>
      <c r="R6039" t="s">
        <v>936</v>
      </c>
    </row>
    <row r="6040" spans="17:18" ht="15" customHeight="1" x14ac:dyDescent="0.25">
      <c r="Q6040" t="s">
        <v>6976</v>
      </c>
      <c r="R6040" t="s">
        <v>936</v>
      </c>
    </row>
    <row r="6041" spans="17:18" ht="15" customHeight="1" x14ac:dyDescent="0.25">
      <c r="Q6041" t="s">
        <v>6977</v>
      </c>
      <c r="R6041" t="s">
        <v>936</v>
      </c>
    </row>
    <row r="6042" spans="17:18" ht="15" customHeight="1" x14ac:dyDescent="0.25">
      <c r="Q6042" t="s">
        <v>6978</v>
      </c>
      <c r="R6042" t="s">
        <v>227</v>
      </c>
    </row>
    <row r="6043" spans="17:18" ht="15" customHeight="1" x14ac:dyDescent="0.25">
      <c r="Q6043" t="s">
        <v>6979</v>
      </c>
      <c r="R6043" t="s">
        <v>227</v>
      </c>
    </row>
    <row r="6044" spans="17:18" ht="15" customHeight="1" x14ac:dyDescent="0.25">
      <c r="Q6044" t="s">
        <v>6980</v>
      </c>
      <c r="R6044" t="s">
        <v>6682</v>
      </c>
    </row>
    <row r="6045" spans="17:18" ht="15" customHeight="1" x14ac:dyDescent="0.25">
      <c r="Q6045" t="s">
        <v>6981</v>
      </c>
      <c r="R6045" t="s">
        <v>6682</v>
      </c>
    </row>
    <row r="6046" spans="17:18" ht="15" customHeight="1" x14ac:dyDescent="0.25">
      <c r="Q6046" t="s">
        <v>6982</v>
      </c>
      <c r="R6046" t="s">
        <v>936</v>
      </c>
    </row>
    <row r="6047" spans="17:18" ht="15" customHeight="1" x14ac:dyDescent="0.25">
      <c r="Q6047" t="s">
        <v>6983</v>
      </c>
      <c r="R6047" t="s">
        <v>6682</v>
      </c>
    </row>
    <row r="6048" spans="17:18" ht="15" customHeight="1" x14ac:dyDescent="0.25">
      <c r="Q6048" t="s">
        <v>6984</v>
      </c>
      <c r="R6048" t="s">
        <v>936</v>
      </c>
    </row>
    <row r="6049" spans="17:18" ht="15" customHeight="1" x14ac:dyDescent="0.25">
      <c r="Q6049" t="s">
        <v>6985</v>
      </c>
      <c r="R6049" t="s">
        <v>936</v>
      </c>
    </row>
    <row r="6050" spans="17:18" ht="15" customHeight="1" x14ac:dyDescent="0.25">
      <c r="Q6050" t="s">
        <v>6986</v>
      </c>
      <c r="R6050" t="s">
        <v>936</v>
      </c>
    </row>
    <row r="6051" spans="17:18" ht="15" customHeight="1" x14ac:dyDescent="0.25">
      <c r="Q6051" t="s">
        <v>6987</v>
      </c>
      <c r="R6051" t="s">
        <v>936</v>
      </c>
    </row>
    <row r="6052" spans="17:18" ht="15" customHeight="1" x14ac:dyDescent="0.25">
      <c r="Q6052" t="s">
        <v>6988</v>
      </c>
      <c r="R6052" t="s">
        <v>936</v>
      </c>
    </row>
    <row r="6053" spans="17:18" ht="15" customHeight="1" x14ac:dyDescent="0.25">
      <c r="Q6053" t="s">
        <v>6989</v>
      </c>
      <c r="R6053" t="s">
        <v>936</v>
      </c>
    </row>
    <row r="6054" spans="17:18" ht="15" customHeight="1" x14ac:dyDescent="0.25">
      <c r="Q6054" t="s">
        <v>6990</v>
      </c>
      <c r="R6054" t="s">
        <v>936</v>
      </c>
    </row>
    <row r="6055" spans="17:18" ht="15" customHeight="1" x14ac:dyDescent="0.25">
      <c r="Q6055" t="s">
        <v>6991</v>
      </c>
      <c r="R6055" t="s">
        <v>936</v>
      </c>
    </row>
    <row r="6056" spans="17:18" ht="15" customHeight="1" x14ac:dyDescent="0.25">
      <c r="Q6056" t="s">
        <v>6992</v>
      </c>
      <c r="R6056" t="s">
        <v>6682</v>
      </c>
    </row>
    <row r="6057" spans="17:18" ht="15" customHeight="1" x14ac:dyDescent="0.25">
      <c r="Q6057" t="s">
        <v>6993</v>
      </c>
      <c r="R6057" t="s">
        <v>6682</v>
      </c>
    </row>
    <row r="6058" spans="17:18" ht="15" customHeight="1" x14ac:dyDescent="0.25">
      <c r="Q6058" t="s">
        <v>6994</v>
      </c>
      <c r="R6058" t="s">
        <v>6682</v>
      </c>
    </row>
    <row r="6059" spans="17:18" ht="15" customHeight="1" x14ac:dyDescent="0.25">
      <c r="Q6059" t="s">
        <v>6995</v>
      </c>
      <c r="R6059" t="s">
        <v>6682</v>
      </c>
    </row>
    <row r="6060" spans="17:18" ht="15" customHeight="1" x14ac:dyDescent="0.25">
      <c r="Q6060" t="s">
        <v>6996</v>
      </c>
      <c r="R6060" t="s">
        <v>6682</v>
      </c>
    </row>
    <row r="6061" spans="17:18" ht="15" customHeight="1" x14ac:dyDescent="0.25">
      <c r="Q6061" t="s">
        <v>6997</v>
      </c>
      <c r="R6061" t="s">
        <v>6682</v>
      </c>
    </row>
    <row r="6062" spans="17:18" ht="15" customHeight="1" x14ac:dyDescent="0.25">
      <c r="Q6062" t="s">
        <v>6998</v>
      </c>
      <c r="R6062" t="s">
        <v>6682</v>
      </c>
    </row>
    <row r="6063" spans="17:18" ht="15" customHeight="1" x14ac:dyDescent="0.25">
      <c r="Q6063" t="s">
        <v>6999</v>
      </c>
      <c r="R6063" t="s">
        <v>6682</v>
      </c>
    </row>
    <row r="6064" spans="17:18" ht="15" customHeight="1" x14ac:dyDescent="0.25">
      <c r="Q6064" t="s">
        <v>7000</v>
      </c>
      <c r="R6064" t="s">
        <v>6682</v>
      </c>
    </row>
    <row r="6065" spans="17:18" ht="15" customHeight="1" x14ac:dyDescent="0.25">
      <c r="Q6065" t="s">
        <v>7001</v>
      </c>
      <c r="R6065" t="s">
        <v>6682</v>
      </c>
    </row>
    <row r="6066" spans="17:18" ht="15" customHeight="1" x14ac:dyDescent="0.25">
      <c r="Q6066" t="s">
        <v>7002</v>
      </c>
      <c r="R6066" t="s">
        <v>6682</v>
      </c>
    </row>
    <row r="6067" spans="17:18" ht="15" customHeight="1" x14ac:dyDescent="0.25">
      <c r="Q6067" t="s">
        <v>7003</v>
      </c>
      <c r="R6067" t="s">
        <v>6682</v>
      </c>
    </row>
    <row r="6068" spans="17:18" ht="15" customHeight="1" x14ac:dyDescent="0.25">
      <c r="Q6068" t="s">
        <v>7004</v>
      </c>
      <c r="R6068" t="s">
        <v>6682</v>
      </c>
    </row>
    <row r="6069" spans="17:18" ht="15" customHeight="1" x14ac:dyDescent="0.25">
      <c r="Q6069" t="s">
        <v>7005</v>
      </c>
      <c r="R6069" t="s">
        <v>6682</v>
      </c>
    </row>
    <row r="6070" spans="17:18" ht="15" customHeight="1" x14ac:dyDescent="0.25">
      <c r="Q6070" t="s">
        <v>7006</v>
      </c>
      <c r="R6070" t="s">
        <v>6682</v>
      </c>
    </row>
    <row r="6071" spans="17:18" ht="15" customHeight="1" x14ac:dyDescent="0.25">
      <c r="Q6071" t="s">
        <v>7007</v>
      </c>
      <c r="R6071" t="s">
        <v>6682</v>
      </c>
    </row>
    <row r="6072" spans="17:18" ht="15" customHeight="1" x14ac:dyDescent="0.25">
      <c r="Q6072" t="s">
        <v>7008</v>
      </c>
      <c r="R6072" t="s">
        <v>6682</v>
      </c>
    </row>
    <row r="6073" spans="17:18" ht="15" customHeight="1" x14ac:dyDescent="0.25">
      <c r="Q6073" t="s">
        <v>7009</v>
      </c>
      <c r="R6073" t="s">
        <v>6418</v>
      </c>
    </row>
    <row r="6074" spans="17:18" ht="15" customHeight="1" x14ac:dyDescent="0.25">
      <c r="Q6074" t="s">
        <v>7010</v>
      </c>
      <c r="R6074" t="s">
        <v>6418</v>
      </c>
    </row>
    <row r="6075" spans="17:18" ht="15" customHeight="1" x14ac:dyDescent="0.25">
      <c r="Q6075" t="s">
        <v>7011</v>
      </c>
      <c r="R6075" t="s">
        <v>6418</v>
      </c>
    </row>
    <row r="6076" spans="17:18" ht="15" customHeight="1" x14ac:dyDescent="0.25">
      <c r="Q6076" t="s">
        <v>7012</v>
      </c>
      <c r="R6076" t="s">
        <v>6418</v>
      </c>
    </row>
    <row r="6077" spans="17:18" ht="15" customHeight="1" x14ac:dyDescent="0.25">
      <c r="Q6077" t="s">
        <v>7013</v>
      </c>
      <c r="R6077" t="s">
        <v>6682</v>
      </c>
    </row>
    <row r="6078" spans="17:18" ht="15" customHeight="1" x14ac:dyDescent="0.25">
      <c r="Q6078" t="s">
        <v>7014</v>
      </c>
      <c r="R6078" t="s">
        <v>6682</v>
      </c>
    </row>
    <row r="6079" spans="17:18" ht="15" customHeight="1" x14ac:dyDescent="0.25">
      <c r="Q6079" t="s">
        <v>7015</v>
      </c>
      <c r="R6079" t="s">
        <v>6682</v>
      </c>
    </row>
    <row r="6080" spans="17:18" ht="15" customHeight="1" x14ac:dyDescent="0.25">
      <c r="Q6080" t="s">
        <v>7016</v>
      </c>
      <c r="R6080" t="s">
        <v>6682</v>
      </c>
    </row>
    <row r="6081" spans="17:18" ht="15" customHeight="1" x14ac:dyDescent="0.25">
      <c r="Q6081" t="s">
        <v>7017</v>
      </c>
      <c r="R6081" t="s">
        <v>6682</v>
      </c>
    </row>
    <row r="6082" spans="17:18" ht="15" customHeight="1" x14ac:dyDescent="0.25">
      <c r="Q6082" t="s">
        <v>7018</v>
      </c>
      <c r="R6082" t="s">
        <v>6682</v>
      </c>
    </row>
    <row r="6083" spans="17:18" ht="15" customHeight="1" x14ac:dyDescent="0.25">
      <c r="Q6083" t="s">
        <v>7019</v>
      </c>
      <c r="R6083" t="s">
        <v>6682</v>
      </c>
    </row>
    <row r="6084" spans="17:18" ht="15" customHeight="1" x14ac:dyDescent="0.25">
      <c r="Q6084" t="s">
        <v>7020</v>
      </c>
      <c r="R6084" t="s">
        <v>6682</v>
      </c>
    </row>
    <row r="6085" spans="17:18" ht="15" customHeight="1" x14ac:dyDescent="0.25">
      <c r="Q6085" t="s">
        <v>7021</v>
      </c>
      <c r="R6085" t="s">
        <v>6682</v>
      </c>
    </row>
    <row r="6086" spans="17:18" ht="15" customHeight="1" x14ac:dyDescent="0.25">
      <c r="Q6086" t="s">
        <v>7022</v>
      </c>
      <c r="R6086" t="s">
        <v>6682</v>
      </c>
    </row>
    <row r="6087" spans="17:18" ht="15" customHeight="1" x14ac:dyDescent="0.25">
      <c r="Q6087" t="s">
        <v>7023</v>
      </c>
      <c r="R6087" t="s">
        <v>6682</v>
      </c>
    </row>
    <row r="6088" spans="17:18" ht="15" customHeight="1" x14ac:dyDescent="0.25">
      <c r="Q6088" t="s">
        <v>7024</v>
      </c>
      <c r="R6088" t="s">
        <v>6682</v>
      </c>
    </row>
    <row r="6089" spans="17:18" ht="15" customHeight="1" x14ac:dyDescent="0.25">
      <c r="Q6089" t="s">
        <v>7025</v>
      </c>
      <c r="R6089" t="s">
        <v>6682</v>
      </c>
    </row>
    <row r="6090" spans="17:18" ht="15" customHeight="1" x14ac:dyDescent="0.25">
      <c r="Q6090" t="s">
        <v>7026</v>
      </c>
      <c r="R6090" t="s">
        <v>6682</v>
      </c>
    </row>
    <row r="6091" spans="17:18" ht="15" customHeight="1" x14ac:dyDescent="0.25">
      <c r="Q6091" t="s">
        <v>7027</v>
      </c>
      <c r="R6091" t="s">
        <v>6682</v>
      </c>
    </row>
    <row r="6092" spans="17:18" ht="15" customHeight="1" x14ac:dyDescent="0.25">
      <c r="Q6092" t="s">
        <v>7028</v>
      </c>
      <c r="R6092" t="s">
        <v>6682</v>
      </c>
    </row>
    <row r="6093" spans="17:18" ht="15" customHeight="1" x14ac:dyDescent="0.25">
      <c r="Q6093" t="s">
        <v>7029</v>
      </c>
      <c r="R6093" t="s">
        <v>6682</v>
      </c>
    </row>
    <row r="6094" spans="17:18" ht="15" customHeight="1" x14ac:dyDescent="0.25">
      <c r="Q6094" t="s">
        <v>7030</v>
      </c>
      <c r="R6094" t="s">
        <v>6682</v>
      </c>
    </row>
    <row r="6095" spans="17:18" ht="15" customHeight="1" x14ac:dyDescent="0.25">
      <c r="Q6095" t="s">
        <v>7031</v>
      </c>
      <c r="R6095" t="s">
        <v>6682</v>
      </c>
    </row>
    <row r="6096" spans="17:18" ht="15" customHeight="1" x14ac:dyDescent="0.25">
      <c r="Q6096" t="s">
        <v>7032</v>
      </c>
      <c r="R6096" t="s">
        <v>6682</v>
      </c>
    </row>
    <row r="6097" spans="17:18" ht="15" customHeight="1" x14ac:dyDescent="0.25">
      <c r="Q6097" t="s">
        <v>7033</v>
      </c>
      <c r="R6097" t="s">
        <v>6682</v>
      </c>
    </row>
    <row r="6098" spans="17:18" ht="15" customHeight="1" x14ac:dyDescent="0.25">
      <c r="Q6098" t="s">
        <v>7034</v>
      </c>
      <c r="R6098" t="s">
        <v>6682</v>
      </c>
    </row>
    <row r="6099" spans="17:18" ht="15" customHeight="1" x14ac:dyDescent="0.25">
      <c r="Q6099" t="s">
        <v>7035</v>
      </c>
      <c r="R6099" t="s">
        <v>6682</v>
      </c>
    </row>
    <row r="6100" spans="17:18" ht="15" customHeight="1" x14ac:dyDescent="0.25">
      <c r="Q6100" t="s">
        <v>7036</v>
      </c>
      <c r="R6100" t="s">
        <v>6682</v>
      </c>
    </row>
    <row r="6101" spans="17:18" ht="15" customHeight="1" x14ac:dyDescent="0.25">
      <c r="Q6101" t="s">
        <v>7037</v>
      </c>
      <c r="R6101" t="s">
        <v>6682</v>
      </c>
    </row>
    <row r="6102" spans="17:18" ht="15" customHeight="1" x14ac:dyDescent="0.25">
      <c r="Q6102" t="s">
        <v>7038</v>
      </c>
      <c r="R6102" t="s">
        <v>6682</v>
      </c>
    </row>
    <row r="6103" spans="17:18" ht="15" customHeight="1" x14ac:dyDescent="0.25">
      <c r="Q6103" t="s">
        <v>7039</v>
      </c>
      <c r="R6103" t="s">
        <v>6682</v>
      </c>
    </row>
    <row r="6104" spans="17:18" ht="15" customHeight="1" x14ac:dyDescent="0.25">
      <c r="Q6104" t="s">
        <v>7040</v>
      </c>
      <c r="R6104" t="s">
        <v>6682</v>
      </c>
    </row>
    <row r="6105" spans="17:18" ht="15" customHeight="1" x14ac:dyDescent="0.25">
      <c r="Q6105" t="s">
        <v>7041</v>
      </c>
      <c r="R6105" t="s">
        <v>6682</v>
      </c>
    </row>
    <row r="6106" spans="17:18" ht="15" customHeight="1" x14ac:dyDescent="0.25">
      <c r="Q6106" t="s">
        <v>7042</v>
      </c>
      <c r="R6106" t="s">
        <v>6682</v>
      </c>
    </row>
    <row r="6107" spans="17:18" ht="15" customHeight="1" x14ac:dyDescent="0.25">
      <c r="Q6107" t="s">
        <v>7043</v>
      </c>
      <c r="R6107" t="s">
        <v>6682</v>
      </c>
    </row>
    <row r="6108" spans="17:18" ht="15" customHeight="1" x14ac:dyDescent="0.25">
      <c r="Q6108" t="s">
        <v>7044</v>
      </c>
      <c r="R6108" t="s">
        <v>936</v>
      </c>
    </row>
    <row r="6109" spans="17:18" ht="15" customHeight="1" x14ac:dyDescent="0.25">
      <c r="Q6109" t="s">
        <v>7045</v>
      </c>
      <c r="R6109" t="s">
        <v>936</v>
      </c>
    </row>
    <row r="6110" spans="17:18" ht="15" customHeight="1" x14ac:dyDescent="0.25">
      <c r="Q6110" t="s">
        <v>7046</v>
      </c>
      <c r="R6110" t="s">
        <v>936</v>
      </c>
    </row>
    <row r="6111" spans="17:18" ht="15" customHeight="1" x14ac:dyDescent="0.25">
      <c r="Q6111" t="s">
        <v>7047</v>
      </c>
      <c r="R6111" t="s">
        <v>936</v>
      </c>
    </row>
    <row r="6112" spans="17:18" ht="15" customHeight="1" x14ac:dyDescent="0.25">
      <c r="Q6112" t="s">
        <v>7048</v>
      </c>
      <c r="R6112" t="s">
        <v>936</v>
      </c>
    </row>
    <row r="6113" spans="17:18" ht="15" customHeight="1" x14ac:dyDescent="0.25">
      <c r="Q6113" t="s">
        <v>7049</v>
      </c>
      <c r="R6113" t="s">
        <v>936</v>
      </c>
    </row>
    <row r="6114" spans="17:18" ht="15" customHeight="1" x14ac:dyDescent="0.25">
      <c r="Q6114" t="s">
        <v>7050</v>
      </c>
      <c r="R6114" t="s">
        <v>936</v>
      </c>
    </row>
    <row r="6115" spans="17:18" ht="15" customHeight="1" x14ac:dyDescent="0.25">
      <c r="Q6115" t="s">
        <v>7051</v>
      </c>
      <c r="R6115" t="s">
        <v>936</v>
      </c>
    </row>
    <row r="6116" spans="17:18" ht="15" customHeight="1" x14ac:dyDescent="0.25">
      <c r="Q6116" t="s">
        <v>7052</v>
      </c>
      <c r="R6116" t="s">
        <v>6418</v>
      </c>
    </row>
    <row r="6117" spans="17:18" ht="15" customHeight="1" x14ac:dyDescent="0.25">
      <c r="Q6117" t="s">
        <v>7053</v>
      </c>
      <c r="R6117" t="s">
        <v>237</v>
      </c>
    </row>
    <row r="6118" spans="17:18" ht="15" customHeight="1" x14ac:dyDescent="0.25">
      <c r="Q6118" t="s">
        <v>7054</v>
      </c>
      <c r="R6118" t="s">
        <v>6418</v>
      </c>
    </row>
    <row r="6119" spans="17:18" ht="15" customHeight="1" x14ac:dyDescent="0.25">
      <c r="Q6119" t="s">
        <v>7055</v>
      </c>
      <c r="R6119" t="s">
        <v>6418</v>
      </c>
    </row>
    <row r="6120" spans="17:18" ht="15" customHeight="1" x14ac:dyDescent="0.25">
      <c r="Q6120" t="s">
        <v>7056</v>
      </c>
      <c r="R6120" t="s">
        <v>6418</v>
      </c>
    </row>
    <row r="6121" spans="17:18" ht="15" customHeight="1" x14ac:dyDescent="0.25">
      <c r="Q6121" t="s">
        <v>7057</v>
      </c>
      <c r="R6121" t="s">
        <v>6418</v>
      </c>
    </row>
    <row r="6122" spans="17:18" ht="15" customHeight="1" x14ac:dyDescent="0.25">
      <c r="Q6122" t="s">
        <v>7058</v>
      </c>
      <c r="R6122" t="s">
        <v>6418</v>
      </c>
    </row>
    <row r="6123" spans="17:18" ht="15" customHeight="1" x14ac:dyDescent="0.25">
      <c r="Q6123" t="s">
        <v>7059</v>
      </c>
      <c r="R6123" t="s">
        <v>6418</v>
      </c>
    </row>
    <row r="6124" spans="17:18" ht="15" customHeight="1" x14ac:dyDescent="0.25">
      <c r="Q6124" t="s">
        <v>7060</v>
      </c>
      <c r="R6124" t="s">
        <v>6418</v>
      </c>
    </row>
    <row r="6125" spans="17:18" ht="15" customHeight="1" x14ac:dyDescent="0.25">
      <c r="Q6125" t="s">
        <v>7061</v>
      </c>
      <c r="R6125" t="s">
        <v>6418</v>
      </c>
    </row>
    <row r="6126" spans="17:18" ht="15" customHeight="1" x14ac:dyDescent="0.25">
      <c r="Q6126" t="s">
        <v>7062</v>
      </c>
      <c r="R6126" t="s">
        <v>6418</v>
      </c>
    </row>
    <row r="6127" spans="17:18" ht="15" customHeight="1" x14ac:dyDescent="0.25">
      <c r="Q6127" t="s">
        <v>7063</v>
      </c>
      <c r="R6127" t="s">
        <v>6418</v>
      </c>
    </row>
    <row r="6128" spans="17:18" ht="15" customHeight="1" x14ac:dyDescent="0.25">
      <c r="Q6128" t="s">
        <v>7064</v>
      </c>
      <c r="R6128" t="s">
        <v>6682</v>
      </c>
    </row>
    <row r="6129" spans="17:18" ht="15" customHeight="1" x14ac:dyDescent="0.25">
      <c r="Q6129" t="s">
        <v>7065</v>
      </c>
      <c r="R6129" t="s">
        <v>6682</v>
      </c>
    </row>
    <row r="6130" spans="17:18" ht="15" customHeight="1" x14ac:dyDescent="0.25">
      <c r="Q6130" t="s">
        <v>7066</v>
      </c>
      <c r="R6130" t="s">
        <v>6682</v>
      </c>
    </row>
    <row r="6131" spans="17:18" ht="15" customHeight="1" x14ac:dyDescent="0.25">
      <c r="Q6131" t="s">
        <v>7067</v>
      </c>
      <c r="R6131" t="s">
        <v>6682</v>
      </c>
    </row>
    <row r="6132" spans="17:18" ht="15" customHeight="1" x14ac:dyDescent="0.25">
      <c r="Q6132" t="s">
        <v>7068</v>
      </c>
      <c r="R6132" t="s">
        <v>6682</v>
      </c>
    </row>
    <row r="6133" spans="17:18" ht="15" customHeight="1" x14ac:dyDescent="0.25">
      <c r="Q6133" t="s">
        <v>7069</v>
      </c>
      <c r="R6133" t="s">
        <v>6682</v>
      </c>
    </row>
    <row r="6134" spans="17:18" ht="15" customHeight="1" x14ac:dyDescent="0.25">
      <c r="Q6134" t="s">
        <v>7070</v>
      </c>
      <c r="R6134" t="s">
        <v>6682</v>
      </c>
    </row>
    <row r="6135" spans="17:18" ht="15" customHeight="1" x14ac:dyDescent="0.25">
      <c r="Q6135" t="s">
        <v>7071</v>
      </c>
      <c r="R6135" t="s">
        <v>6682</v>
      </c>
    </row>
    <row r="6136" spans="17:18" ht="15" customHeight="1" x14ac:dyDescent="0.25">
      <c r="Q6136" t="s">
        <v>7072</v>
      </c>
      <c r="R6136" t="s">
        <v>6682</v>
      </c>
    </row>
    <row r="6137" spans="17:18" ht="15" customHeight="1" x14ac:dyDescent="0.25">
      <c r="Q6137" t="s">
        <v>7073</v>
      </c>
      <c r="R6137" t="s">
        <v>6682</v>
      </c>
    </row>
    <row r="6138" spans="17:18" ht="15" customHeight="1" x14ac:dyDescent="0.25">
      <c r="Q6138" t="s">
        <v>7074</v>
      </c>
      <c r="R6138" t="s">
        <v>6682</v>
      </c>
    </row>
    <row r="6139" spans="17:18" ht="15" customHeight="1" x14ac:dyDescent="0.25">
      <c r="Q6139" t="s">
        <v>7075</v>
      </c>
      <c r="R6139" t="s">
        <v>6682</v>
      </c>
    </row>
    <row r="6140" spans="17:18" ht="15" customHeight="1" x14ac:dyDescent="0.25">
      <c r="Q6140" t="s">
        <v>7076</v>
      </c>
      <c r="R6140" t="s">
        <v>6682</v>
      </c>
    </row>
    <row r="6141" spans="17:18" ht="15" customHeight="1" x14ac:dyDescent="0.25">
      <c r="Q6141" t="s">
        <v>7077</v>
      </c>
      <c r="R6141" t="s">
        <v>6682</v>
      </c>
    </row>
    <row r="6142" spans="17:18" ht="15" customHeight="1" x14ac:dyDescent="0.25">
      <c r="Q6142" t="s">
        <v>7078</v>
      </c>
      <c r="R6142" t="s">
        <v>6682</v>
      </c>
    </row>
    <row r="6143" spans="17:18" ht="15" customHeight="1" x14ac:dyDescent="0.25">
      <c r="Q6143" t="s">
        <v>7079</v>
      </c>
      <c r="R6143" t="s">
        <v>6682</v>
      </c>
    </row>
    <row r="6144" spans="17:18" ht="15" customHeight="1" x14ac:dyDescent="0.25">
      <c r="Q6144" t="s">
        <v>7080</v>
      </c>
      <c r="R6144" t="s">
        <v>6682</v>
      </c>
    </row>
    <row r="6145" spans="17:18" ht="15" customHeight="1" x14ac:dyDescent="0.25">
      <c r="Q6145" t="s">
        <v>7081</v>
      </c>
      <c r="R6145" t="s">
        <v>936</v>
      </c>
    </row>
    <row r="6146" spans="17:18" ht="15" customHeight="1" x14ac:dyDescent="0.25">
      <c r="Q6146" t="s">
        <v>7082</v>
      </c>
      <c r="R6146" t="s">
        <v>936</v>
      </c>
    </row>
    <row r="6147" spans="17:18" ht="15" customHeight="1" x14ac:dyDescent="0.25">
      <c r="Q6147" t="s">
        <v>7083</v>
      </c>
      <c r="R6147" t="s">
        <v>936</v>
      </c>
    </row>
    <row r="6148" spans="17:18" ht="15" customHeight="1" x14ac:dyDescent="0.25">
      <c r="Q6148" t="s">
        <v>7084</v>
      </c>
      <c r="R6148" t="s">
        <v>936</v>
      </c>
    </row>
    <row r="6149" spans="17:18" ht="15" customHeight="1" x14ac:dyDescent="0.25">
      <c r="Q6149" t="s">
        <v>7085</v>
      </c>
      <c r="R6149" t="s">
        <v>936</v>
      </c>
    </row>
    <row r="6150" spans="17:18" ht="15" customHeight="1" x14ac:dyDescent="0.25">
      <c r="Q6150" t="s">
        <v>7086</v>
      </c>
      <c r="R6150" t="s">
        <v>936</v>
      </c>
    </row>
    <row r="6151" spans="17:18" ht="15" customHeight="1" x14ac:dyDescent="0.25">
      <c r="Q6151" t="s">
        <v>7087</v>
      </c>
      <c r="R6151" t="s">
        <v>936</v>
      </c>
    </row>
    <row r="6152" spans="17:18" ht="15" customHeight="1" x14ac:dyDescent="0.25">
      <c r="Q6152" t="s">
        <v>7088</v>
      </c>
      <c r="R6152" t="s">
        <v>936</v>
      </c>
    </row>
    <row r="6153" spans="17:18" ht="15" customHeight="1" x14ac:dyDescent="0.25">
      <c r="Q6153" t="s">
        <v>7089</v>
      </c>
      <c r="R6153" t="s">
        <v>936</v>
      </c>
    </row>
    <row r="6154" spans="17:18" ht="15" customHeight="1" x14ac:dyDescent="0.25">
      <c r="Q6154" t="s">
        <v>7090</v>
      </c>
      <c r="R6154" t="s">
        <v>936</v>
      </c>
    </row>
    <row r="6155" spans="17:18" ht="15" customHeight="1" x14ac:dyDescent="0.25">
      <c r="Q6155" t="s">
        <v>7091</v>
      </c>
      <c r="R6155" t="s">
        <v>936</v>
      </c>
    </row>
    <row r="6156" spans="17:18" ht="15" customHeight="1" x14ac:dyDescent="0.25">
      <c r="Q6156" t="s">
        <v>7092</v>
      </c>
      <c r="R6156" t="s">
        <v>936</v>
      </c>
    </row>
    <row r="6157" spans="17:18" ht="15" customHeight="1" x14ac:dyDescent="0.25">
      <c r="Q6157" t="s">
        <v>7093</v>
      </c>
      <c r="R6157" t="s">
        <v>936</v>
      </c>
    </row>
    <row r="6158" spans="17:18" ht="15" customHeight="1" x14ac:dyDescent="0.25">
      <c r="Q6158" t="s">
        <v>7094</v>
      </c>
      <c r="R6158" t="s">
        <v>936</v>
      </c>
    </row>
    <row r="6159" spans="17:18" ht="15" customHeight="1" x14ac:dyDescent="0.25">
      <c r="Q6159" t="s">
        <v>7095</v>
      </c>
      <c r="R6159" t="s">
        <v>936</v>
      </c>
    </row>
    <row r="6160" spans="17:18" ht="15" customHeight="1" x14ac:dyDescent="0.25">
      <c r="Q6160" t="s">
        <v>7096</v>
      </c>
      <c r="R6160" t="s">
        <v>936</v>
      </c>
    </row>
    <row r="6161" spans="17:18" ht="15" customHeight="1" x14ac:dyDescent="0.25">
      <c r="Q6161" t="s">
        <v>7097</v>
      </c>
      <c r="R6161" t="s">
        <v>936</v>
      </c>
    </row>
    <row r="6162" spans="17:18" ht="15" customHeight="1" x14ac:dyDescent="0.25">
      <c r="Q6162" t="s">
        <v>7098</v>
      </c>
      <c r="R6162" t="s">
        <v>936</v>
      </c>
    </row>
    <row r="6163" spans="17:18" ht="15" customHeight="1" x14ac:dyDescent="0.25">
      <c r="Q6163" t="s">
        <v>7099</v>
      </c>
      <c r="R6163" t="s">
        <v>936</v>
      </c>
    </row>
    <row r="6164" spans="17:18" ht="15" customHeight="1" x14ac:dyDescent="0.25">
      <c r="Q6164" t="s">
        <v>7100</v>
      </c>
      <c r="R6164" t="s">
        <v>936</v>
      </c>
    </row>
    <row r="6165" spans="17:18" ht="15" customHeight="1" x14ac:dyDescent="0.25">
      <c r="Q6165" t="s">
        <v>7101</v>
      </c>
      <c r="R6165" t="s">
        <v>936</v>
      </c>
    </row>
    <row r="6166" spans="17:18" ht="15" customHeight="1" x14ac:dyDescent="0.25">
      <c r="Q6166" t="s">
        <v>7102</v>
      </c>
      <c r="R6166" t="s">
        <v>936</v>
      </c>
    </row>
    <row r="6167" spans="17:18" ht="15" customHeight="1" x14ac:dyDescent="0.25">
      <c r="Q6167" t="s">
        <v>7103</v>
      </c>
      <c r="R6167" t="s">
        <v>936</v>
      </c>
    </row>
    <row r="6168" spans="17:18" ht="15" customHeight="1" x14ac:dyDescent="0.25">
      <c r="Q6168" t="s">
        <v>7104</v>
      </c>
      <c r="R6168" t="s">
        <v>936</v>
      </c>
    </row>
    <row r="6169" spans="17:18" ht="15" customHeight="1" x14ac:dyDescent="0.25">
      <c r="Q6169" t="s">
        <v>7105</v>
      </c>
      <c r="R6169" t="s">
        <v>936</v>
      </c>
    </row>
    <row r="6170" spans="17:18" ht="15" customHeight="1" x14ac:dyDescent="0.25">
      <c r="Q6170" t="s">
        <v>7106</v>
      </c>
      <c r="R6170" t="s">
        <v>6682</v>
      </c>
    </row>
    <row r="6171" spans="17:18" ht="15" customHeight="1" x14ac:dyDescent="0.25">
      <c r="Q6171" t="s">
        <v>7107</v>
      </c>
      <c r="R6171" t="s">
        <v>6682</v>
      </c>
    </row>
    <row r="6172" spans="17:18" ht="15" customHeight="1" x14ac:dyDescent="0.25">
      <c r="Q6172" t="s">
        <v>7108</v>
      </c>
      <c r="R6172" t="s">
        <v>6682</v>
      </c>
    </row>
    <row r="6173" spans="17:18" ht="15" customHeight="1" x14ac:dyDescent="0.25">
      <c r="Q6173" t="s">
        <v>7109</v>
      </c>
      <c r="R6173" t="s">
        <v>6682</v>
      </c>
    </row>
    <row r="6174" spans="17:18" ht="15" customHeight="1" x14ac:dyDescent="0.25">
      <c r="Q6174" t="s">
        <v>7110</v>
      </c>
      <c r="R6174" t="s">
        <v>6682</v>
      </c>
    </row>
    <row r="6175" spans="17:18" ht="15" customHeight="1" x14ac:dyDescent="0.25">
      <c r="Q6175" t="s">
        <v>7111</v>
      </c>
      <c r="R6175" t="s">
        <v>6682</v>
      </c>
    </row>
    <row r="6176" spans="17:18" ht="15" customHeight="1" x14ac:dyDescent="0.25">
      <c r="Q6176" t="s">
        <v>7112</v>
      </c>
      <c r="R6176" t="s">
        <v>6682</v>
      </c>
    </row>
    <row r="6177" spans="17:18" ht="15" customHeight="1" x14ac:dyDescent="0.25">
      <c r="Q6177" t="s">
        <v>7113</v>
      </c>
      <c r="R6177" t="s">
        <v>6682</v>
      </c>
    </row>
    <row r="6178" spans="17:18" ht="15" customHeight="1" x14ac:dyDescent="0.25">
      <c r="Q6178" t="s">
        <v>7114</v>
      </c>
      <c r="R6178" t="s">
        <v>6682</v>
      </c>
    </row>
    <row r="6179" spans="17:18" ht="15" customHeight="1" x14ac:dyDescent="0.25">
      <c r="Q6179" t="s">
        <v>7115</v>
      </c>
      <c r="R6179" t="s">
        <v>6682</v>
      </c>
    </row>
    <row r="6180" spans="17:18" ht="15" customHeight="1" x14ac:dyDescent="0.25">
      <c r="Q6180" t="s">
        <v>7116</v>
      </c>
      <c r="R6180" t="s">
        <v>6682</v>
      </c>
    </row>
    <row r="6181" spans="17:18" ht="15" customHeight="1" x14ac:dyDescent="0.25">
      <c r="Q6181" t="s">
        <v>7117</v>
      </c>
      <c r="R6181" t="s">
        <v>6682</v>
      </c>
    </row>
    <row r="6182" spans="17:18" ht="15" customHeight="1" x14ac:dyDescent="0.25">
      <c r="Q6182" t="s">
        <v>7118</v>
      </c>
      <c r="R6182" t="s">
        <v>6682</v>
      </c>
    </row>
    <row r="6183" spans="17:18" ht="15" customHeight="1" x14ac:dyDescent="0.25">
      <c r="Q6183" t="s">
        <v>7119</v>
      </c>
      <c r="R6183" t="s">
        <v>6682</v>
      </c>
    </row>
    <row r="6184" spans="17:18" ht="15" customHeight="1" x14ac:dyDescent="0.25">
      <c r="Q6184" t="s">
        <v>7120</v>
      </c>
      <c r="R6184" t="s">
        <v>237</v>
      </c>
    </row>
    <row r="6185" spans="17:18" ht="15" customHeight="1" x14ac:dyDescent="0.25">
      <c r="Q6185" t="s">
        <v>7121</v>
      </c>
      <c r="R6185" t="s">
        <v>237</v>
      </c>
    </row>
    <row r="6186" spans="17:18" ht="15" customHeight="1" x14ac:dyDescent="0.25">
      <c r="Q6186" t="s">
        <v>7122</v>
      </c>
      <c r="R6186" t="s">
        <v>237</v>
      </c>
    </row>
    <row r="6187" spans="17:18" ht="15" customHeight="1" x14ac:dyDescent="0.25">
      <c r="Q6187" t="s">
        <v>7123</v>
      </c>
      <c r="R6187" t="s">
        <v>237</v>
      </c>
    </row>
    <row r="6188" spans="17:18" ht="15" customHeight="1" x14ac:dyDescent="0.25">
      <c r="Q6188" t="s">
        <v>7124</v>
      </c>
      <c r="R6188" t="s">
        <v>237</v>
      </c>
    </row>
    <row r="6189" spans="17:18" ht="15" customHeight="1" x14ac:dyDescent="0.25">
      <c r="Q6189" t="s">
        <v>7125</v>
      </c>
      <c r="R6189" t="s">
        <v>237</v>
      </c>
    </row>
    <row r="6190" spans="17:18" ht="15" customHeight="1" x14ac:dyDescent="0.25">
      <c r="Q6190" t="s">
        <v>7126</v>
      </c>
      <c r="R6190" t="s">
        <v>237</v>
      </c>
    </row>
    <row r="6191" spans="17:18" ht="15" customHeight="1" x14ac:dyDescent="0.25">
      <c r="Q6191" t="s">
        <v>7127</v>
      </c>
      <c r="R6191" t="s">
        <v>237</v>
      </c>
    </row>
    <row r="6192" spans="17:18" ht="15" customHeight="1" x14ac:dyDescent="0.25">
      <c r="Q6192" t="s">
        <v>7128</v>
      </c>
      <c r="R6192" t="s">
        <v>237</v>
      </c>
    </row>
    <row r="6193" spans="17:18" ht="15" customHeight="1" x14ac:dyDescent="0.25">
      <c r="Q6193" t="s">
        <v>7129</v>
      </c>
      <c r="R6193" t="s">
        <v>237</v>
      </c>
    </row>
    <row r="6194" spans="17:18" ht="15" customHeight="1" x14ac:dyDescent="0.25">
      <c r="Q6194" t="s">
        <v>7130</v>
      </c>
      <c r="R6194" t="s">
        <v>237</v>
      </c>
    </row>
    <row r="6195" spans="17:18" ht="15" customHeight="1" x14ac:dyDescent="0.25">
      <c r="Q6195" t="s">
        <v>7131</v>
      </c>
      <c r="R6195" t="s">
        <v>237</v>
      </c>
    </row>
    <row r="6196" spans="17:18" ht="15" customHeight="1" x14ac:dyDescent="0.25">
      <c r="Q6196" t="s">
        <v>7132</v>
      </c>
      <c r="R6196" t="s">
        <v>237</v>
      </c>
    </row>
    <row r="6197" spans="17:18" ht="15" customHeight="1" x14ac:dyDescent="0.25">
      <c r="Q6197" t="s">
        <v>7133</v>
      </c>
      <c r="R6197" t="s">
        <v>237</v>
      </c>
    </row>
    <row r="6198" spans="17:18" ht="15" customHeight="1" x14ac:dyDescent="0.25">
      <c r="Q6198" t="s">
        <v>7134</v>
      </c>
      <c r="R6198" t="s">
        <v>237</v>
      </c>
    </row>
    <row r="6199" spans="17:18" ht="15" customHeight="1" x14ac:dyDescent="0.25">
      <c r="Q6199" t="s">
        <v>7135</v>
      </c>
      <c r="R6199" t="s">
        <v>237</v>
      </c>
    </row>
    <row r="6200" spans="17:18" ht="15" customHeight="1" x14ac:dyDescent="0.25">
      <c r="Q6200" t="s">
        <v>7136</v>
      </c>
      <c r="R6200" t="s">
        <v>237</v>
      </c>
    </row>
    <row r="6201" spans="17:18" ht="15" customHeight="1" x14ac:dyDescent="0.25">
      <c r="Q6201" t="s">
        <v>7137</v>
      </c>
      <c r="R6201" t="s">
        <v>237</v>
      </c>
    </row>
    <row r="6202" spans="17:18" ht="15" customHeight="1" x14ac:dyDescent="0.25">
      <c r="Q6202" t="s">
        <v>7138</v>
      </c>
      <c r="R6202" t="s">
        <v>237</v>
      </c>
    </row>
    <row r="6203" spans="17:18" ht="15" customHeight="1" x14ac:dyDescent="0.25">
      <c r="Q6203" t="s">
        <v>7139</v>
      </c>
      <c r="R6203" t="s">
        <v>237</v>
      </c>
    </row>
    <row r="6204" spans="17:18" ht="15" customHeight="1" x14ac:dyDescent="0.25">
      <c r="Q6204" t="s">
        <v>7140</v>
      </c>
      <c r="R6204" t="s">
        <v>237</v>
      </c>
    </row>
    <row r="6205" spans="17:18" ht="15" customHeight="1" x14ac:dyDescent="0.25">
      <c r="Q6205" t="s">
        <v>7141</v>
      </c>
      <c r="R6205" t="s">
        <v>237</v>
      </c>
    </row>
    <row r="6206" spans="17:18" ht="15" customHeight="1" x14ac:dyDescent="0.25">
      <c r="Q6206" t="s">
        <v>7142</v>
      </c>
      <c r="R6206" t="s">
        <v>237</v>
      </c>
    </row>
    <row r="6207" spans="17:18" ht="15" customHeight="1" x14ac:dyDescent="0.25">
      <c r="Q6207" t="s">
        <v>7143</v>
      </c>
      <c r="R6207" t="s">
        <v>237</v>
      </c>
    </row>
    <row r="6208" spans="17:18" ht="15" customHeight="1" x14ac:dyDescent="0.25">
      <c r="Q6208" t="s">
        <v>7144</v>
      </c>
      <c r="R6208" t="s">
        <v>237</v>
      </c>
    </row>
    <row r="6209" spans="17:18" ht="15" customHeight="1" x14ac:dyDescent="0.25">
      <c r="Q6209" t="s">
        <v>7145</v>
      </c>
      <c r="R6209" t="s">
        <v>237</v>
      </c>
    </row>
    <row r="6210" spans="17:18" ht="15" customHeight="1" x14ac:dyDescent="0.25">
      <c r="Q6210" t="s">
        <v>7146</v>
      </c>
      <c r="R6210" t="s">
        <v>237</v>
      </c>
    </row>
    <row r="6211" spans="17:18" ht="15" customHeight="1" x14ac:dyDescent="0.25">
      <c r="Q6211" t="s">
        <v>7147</v>
      </c>
      <c r="R6211" t="s">
        <v>237</v>
      </c>
    </row>
    <row r="6212" spans="17:18" ht="15" customHeight="1" x14ac:dyDescent="0.25">
      <c r="Q6212" t="s">
        <v>7148</v>
      </c>
      <c r="R6212" t="s">
        <v>237</v>
      </c>
    </row>
    <row r="6213" spans="17:18" ht="15" customHeight="1" x14ac:dyDescent="0.25">
      <c r="Q6213" t="s">
        <v>7149</v>
      </c>
      <c r="R6213" t="s">
        <v>237</v>
      </c>
    </row>
    <row r="6214" spans="17:18" ht="15" customHeight="1" x14ac:dyDescent="0.25">
      <c r="Q6214" t="s">
        <v>7150</v>
      </c>
      <c r="R6214" t="s">
        <v>237</v>
      </c>
    </row>
    <row r="6215" spans="17:18" ht="15" customHeight="1" x14ac:dyDescent="0.25">
      <c r="Q6215" t="s">
        <v>7151</v>
      </c>
      <c r="R6215" t="s">
        <v>237</v>
      </c>
    </row>
    <row r="6216" spans="17:18" ht="15" customHeight="1" x14ac:dyDescent="0.25">
      <c r="Q6216" t="s">
        <v>7152</v>
      </c>
      <c r="R6216" t="s">
        <v>6682</v>
      </c>
    </row>
    <row r="6217" spans="17:18" ht="15" customHeight="1" x14ac:dyDescent="0.25">
      <c r="Q6217" t="s">
        <v>7153</v>
      </c>
      <c r="R6217" t="s">
        <v>6682</v>
      </c>
    </row>
    <row r="6218" spans="17:18" ht="15" customHeight="1" x14ac:dyDescent="0.25">
      <c r="Q6218" t="s">
        <v>7154</v>
      </c>
      <c r="R6218" t="s">
        <v>6682</v>
      </c>
    </row>
    <row r="6219" spans="17:18" ht="15" customHeight="1" x14ac:dyDescent="0.25">
      <c r="Q6219" t="s">
        <v>7155</v>
      </c>
      <c r="R6219" t="s">
        <v>6682</v>
      </c>
    </row>
    <row r="6220" spans="17:18" ht="15" customHeight="1" x14ac:dyDescent="0.25">
      <c r="Q6220" t="s">
        <v>7156</v>
      </c>
      <c r="R6220" t="s">
        <v>6682</v>
      </c>
    </row>
    <row r="6221" spans="17:18" ht="15" customHeight="1" x14ac:dyDescent="0.25">
      <c r="Q6221" t="s">
        <v>7157</v>
      </c>
      <c r="R6221" t="s">
        <v>6682</v>
      </c>
    </row>
    <row r="6222" spans="17:18" ht="15" customHeight="1" x14ac:dyDescent="0.25">
      <c r="Q6222" t="s">
        <v>7158</v>
      </c>
      <c r="R6222" t="s">
        <v>6682</v>
      </c>
    </row>
    <row r="6223" spans="17:18" ht="15" customHeight="1" x14ac:dyDescent="0.25">
      <c r="Q6223" t="s">
        <v>7159</v>
      </c>
      <c r="R6223" t="s">
        <v>6682</v>
      </c>
    </row>
    <row r="6224" spans="17:18" ht="15" customHeight="1" x14ac:dyDescent="0.25">
      <c r="Q6224" t="s">
        <v>7160</v>
      </c>
      <c r="R6224" t="s">
        <v>936</v>
      </c>
    </row>
    <row r="6225" spans="17:18" ht="15" customHeight="1" x14ac:dyDescent="0.25">
      <c r="Q6225" t="s">
        <v>7161</v>
      </c>
      <c r="R6225" t="s">
        <v>227</v>
      </c>
    </row>
    <row r="6226" spans="17:18" ht="15" customHeight="1" x14ac:dyDescent="0.25">
      <c r="Q6226" t="s">
        <v>7162</v>
      </c>
      <c r="R6226" t="s">
        <v>227</v>
      </c>
    </row>
    <row r="6227" spans="17:18" ht="15" customHeight="1" x14ac:dyDescent="0.25">
      <c r="Q6227" t="s">
        <v>7163</v>
      </c>
      <c r="R6227" t="s">
        <v>227</v>
      </c>
    </row>
    <row r="6228" spans="17:18" ht="15" customHeight="1" x14ac:dyDescent="0.25">
      <c r="Q6228" t="s">
        <v>7164</v>
      </c>
      <c r="R6228" t="s">
        <v>227</v>
      </c>
    </row>
    <row r="6229" spans="17:18" ht="15" customHeight="1" x14ac:dyDescent="0.25">
      <c r="Q6229" t="s">
        <v>7165</v>
      </c>
      <c r="R6229" t="s">
        <v>227</v>
      </c>
    </row>
    <row r="6230" spans="17:18" ht="15" customHeight="1" x14ac:dyDescent="0.25">
      <c r="Q6230" t="s">
        <v>7166</v>
      </c>
      <c r="R6230" t="s">
        <v>227</v>
      </c>
    </row>
    <row r="6231" spans="17:18" ht="15" customHeight="1" x14ac:dyDescent="0.25">
      <c r="Q6231" t="s">
        <v>7167</v>
      </c>
      <c r="R6231" t="s">
        <v>227</v>
      </c>
    </row>
    <row r="6232" spans="17:18" ht="15" customHeight="1" x14ac:dyDescent="0.25">
      <c r="Q6232" t="s">
        <v>7168</v>
      </c>
      <c r="R6232" t="s">
        <v>227</v>
      </c>
    </row>
    <row r="6233" spans="17:18" ht="15" customHeight="1" x14ac:dyDescent="0.25">
      <c r="Q6233" t="s">
        <v>7169</v>
      </c>
      <c r="R6233" t="s">
        <v>227</v>
      </c>
    </row>
    <row r="6234" spans="17:18" ht="15" customHeight="1" x14ac:dyDescent="0.25">
      <c r="Q6234" t="s">
        <v>7170</v>
      </c>
      <c r="R6234" t="s">
        <v>227</v>
      </c>
    </row>
    <row r="6235" spans="17:18" ht="15" customHeight="1" x14ac:dyDescent="0.25">
      <c r="Q6235" t="s">
        <v>7171</v>
      </c>
      <c r="R6235" t="s">
        <v>227</v>
      </c>
    </row>
    <row r="6236" spans="17:18" ht="15" customHeight="1" x14ac:dyDescent="0.25">
      <c r="Q6236" t="s">
        <v>7172</v>
      </c>
      <c r="R6236" t="s">
        <v>227</v>
      </c>
    </row>
    <row r="6237" spans="17:18" ht="15" customHeight="1" x14ac:dyDescent="0.25">
      <c r="Q6237" t="s">
        <v>7173</v>
      </c>
      <c r="R6237" t="s">
        <v>227</v>
      </c>
    </row>
    <row r="6238" spans="17:18" ht="15" customHeight="1" x14ac:dyDescent="0.25">
      <c r="Q6238" t="s">
        <v>7174</v>
      </c>
      <c r="R6238" t="s">
        <v>249</v>
      </c>
    </row>
    <row r="6239" spans="17:18" ht="15" customHeight="1" x14ac:dyDescent="0.25">
      <c r="Q6239" t="s">
        <v>7175</v>
      </c>
      <c r="R6239" t="s">
        <v>227</v>
      </c>
    </row>
    <row r="6240" spans="17:18" ht="15" customHeight="1" x14ac:dyDescent="0.25">
      <c r="Q6240" t="s">
        <v>7176</v>
      </c>
      <c r="R6240" t="s">
        <v>227</v>
      </c>
    </row>
    <row r="6241" spans="17:18" ht="15" customHeight="1" x14ac:dyDescent="0.25">
      <c r="Q6241" t="s">
        <v>7177</v>
      </c>
      <c r="R6241" t="s">
        <v>227</v>
      </c>
    </row>
    <row r="6242" spans="17:18" ht="15" customHeight="1" x14ac:dyDescent="0.25">
      <c r="Q6242" t="s">
        <v>7178</v>
      </c>
      <c r="R6242" t="s">
        <v>227</v>
      </c>
    </row>
    <row r="6243" spans="17:18" ht="15" customHeight="1" x14ac:dyDescent="0.25">
      <c r="Q6243" t="s">
        <v>7179</v>
      </c>
      <c r="R6243" t="s">
        <v>227</v>
      </c>
    </row>
    <row r="6244" spans="17:18" ht="15" customHeight="1" x14ac:dyDescent="0.25">
      <c r="Q6244" t="s">
        <v>7180</v>
      </c>
      <c r="R6244" t="s">
        <v>227</v>
      </c>
    </row>
    <row r="6245" spans="17:18" ht="15" customHeight="1" x14ac:dyDescent="0.25">
      <c r="Q6245" t="s">
        <v>7181</v>
      </c>
      <c r="R6245" t="s">
        <v>227</v>
      </c>
    </row>
    <row r="6246" spans="17:18" ht="15" customHeight="1" x14ac:dyDescent="0.25">
      <c r="Q6246" t="s">
        <v>7182</v>
      </c>
      <c r="R6246" t="s">
        <v>227</v>
      </c>
    </row>
    <row r="6247" spans="17:18" ht="15" customHeight="1" x14ac:dyDescent="0.25">
      <c r="Q6247" t="s">
        <v>7183</v>
      </c>
      <c r="R6247" t="s">
        <v>227</v>
      </c>
    </row>
    <row r="6248" spans="17:18" ht="15" customHeight="1" x14ac:dyDescent="0.25">
      <c r="Q6248" t="s">
        <v>7184</v>
      </c>
      <c r="R6248" t="s">
        <v>227</v>
      </c>
    </row>
    <row r="6249" spans="17:18" ht="15" customHeight="1" x14ac:dyDescent="0.25">
      <c r="Q6249" t="s">
        <v>7185</v>
      </c>
      <c r="R6249" t="s">
        <v>227</v>
      </c>
    </row>
    <row r="6250" spans="17:18" ht="15" customHeight="1" x14ac:dyDescent="0.25">
      <c r="Q6250" t="s">
        <v>7186</v>
      </c>
      <c r="R6250" t="s">
        <v>227</v>
      </c>
    </row>
    <row r="6251" spans="17:18" ht="15" customHeight="1" x14ac:dyDescent="0.25">
      <c r="Q6251" t="s">
        <v>7187</v>
      </c>
      <c r="R6251" t="s">
        <v>227</v>
      </c>
    </row>
    <row r="6252" spans="17:18" ht="15" customHeight="1" x14ac:dyDescent="0.25">
      <c r="Q6252" t="s">
        <v>7188</v>
      </c>
      <c r="R6252" t="s">
        <v>227</v>
      </c>
    </row>
    <row r="6253" spans="17:18" ht="15" customHeight="1" x14ac:dyDescent="0.25">
      <c r="Q6253" t="s">
        <v>7189</v>
      </c>
      <c r="R6253" t="s">
        <v>227</v>
      </c>
    </row>
    <row r="6254" spans="17:18" ht="15" customHeight="1" x14ac:dyDescent="0.25">
      <c r="Q6254" t="s">
        <v>7190</v>
      </c>
      <c r="R6254" t="s">
        <v>227</v>
      </c>
    </row>
    <row r="6255" spans="17:18" ht="15" customHeight="1" x14ac:dyDescent="0.25">
      <c r="Q6255" t="s">
        <v>7191</v>
      </c>
      <c r="R6255" t="s">
        <v>227</v>
      </c>
    </row>
    <row r="6256" spans="17:18" ht="15" customHeight="1" x14ac:dyDescent="0.25">
      <c r="Q6256" t="s">
        <v>7192</v>
      </c>
      <c r="R6256" t="s">
        <v>227</v>
      </c>
    </row>
    <row r="6257" spans="17:18" ht="15" customHeight="1" x14ac:dyDescent="0.25">
      <c r="Q6257" t="s">
        <v>7193</v>
      </c>
      <c r="R6257" t="s">
        <v>227</v>
      </c>
    </row>
    <row r="6258" spans="17:18" ht="15" customHeight="1" x14ac:dyDescent="0.25">
      <c r="Q6258" t="s">
        <v>7194</v>
      </c>
      <c r="R6258" t="s">
        <v>227</v>
      </c>
    </row>
    <row r="6259" spans="17:18" ht="15" customHeight="1" x14ac:dyDescent="0.25">
      <c r="Q6259" t="s">
        <v>7195</v>
      </c>
      <c r="R6259" t="s">
        <v>227</v>
      </c>
    </row>
    <row r="6260" spans="17:18" ht="15" customHeight="1" x14ac:dyDescent="0.25">
      <c r="Q6260" t="s">
        <v>7196</v>
      </c>
      <c r="R6260" t="s">
        <v>227</v>
      </c>
    </row>
    <row r="6261" spans="17:18" ht="15" customHeight="1" x14ac:dyDescent="0.25">
      <c r="Q6261" t="s">
        <v>7197</v>
      </c>
      <c r="R6261" t="s">
        <v>227</v>
      </c>
    </row>
    <row r="6262" spans="17:18" ht="15" customHeight="1" x14ac:dyDescent="0.25">
      <c r="Q6262" t="s">
        <v>7198</v>
      </c>
      <c r="R6262" t="s">
        <v>227</v>
      </c>
    </row>
    <row r="6263" spans="17:18" ht="15" customHeight="1" x14ac:dyDescent="0.25">
      <c r="Q6263" t="s">
        <v>7199</v>
      </c>
      <c r="R6263" t="s">
        <v>227</v>
      </c>
    </row>
    <row r="6264" spans="17:18" ht="15" customHeight="1" x14ac:dyDescent="0.25">
      <c r="Q6264" t="s">
        <v>7200</v>
      </c>
      <c r="R6264" t="s">
        <v>227</v>
      </c>
    </row>
    <row r="6265" spans="17:18" ht="15" customHeight="1" x14ac:dyDescent="0.25">
      <c r="Q6265" t="s">
        <v>7201</v>
      </c>
      <c r="R6265" t="s">
        <v>227</v>
      </c>
    </row>
    <row r="6266" spans="17:18" ht="15" customHeight="1" x14ac:dyDescent="0.25">
      <c r="Q6266" t="s">
        <v>7202</v>
      </c>
      <c r="R6266" t="s">
        <v>227</v>
      </c>
    </row>
    <row r="6267" spans="17:18" ht="15" customHeight="1" x14ac:dyDescent="0.25">
      <c r="Q6267" t="s">
        <v>7203</v>
      </c>
      <c r="R6267" t="s">
        <v>227</v>
      </c>
    </row>
    <row r="6268" spans="17:18" ht="15" customHeight="1" x14ac:dyDescent="0.25">
      <c r="Q6268" t="s">
        <v>7204</v>
      </c>
      <c r="R6268" t="s">
        <v>227</v>
      </c>
    </row>
    <row r="6269" spans="17:18" ht="15" customHeight="1" x14ac:dyDescent="0.25">
      <c r="Q6269" t="s">
        <v>7205</v>
      </c>
      <c r="R6269" t="s">
        <v>251</v>
      </c>
    </row>
    <row r="6270" spans="17:18" ht="15" customHeight="1" x14ac:dyDescent="0.25">
      <c r="Q6270" t="s">
        <v>7206</v>
      </c>
      <c r="R6270" t="s">
        <v>227</v>
      </c>
    </row>
    <row r="6271" spans="17:18" ht="15" customHeight="1" x14ac:dyDescent="0.25">
      <c r="Q6271" t="s">
        <v>7207</v>
      </c>
      <c r="R6271" t="s">
        <v>317</v>
      </c>
    </row>
    <row r="6272" spans="17:18" ht="15" customHeight="1" x14ac:dyDescent="0.25">
      <c r="Q6272" t="s">
        <v>7208</v>
      </c>
      <c r="R6272" t="s">
        <v>317</v>
      </c>
    </row>
    <row r="6273" spans="17:18" ht="15" customHeight="1" x14ac:dyDescent="0.25">
      <c r="Q6273" t="s">
        <v>7209</v>
      </c>
      <c r="R6273" t="s">
        <v>317</v>
      </c>
    </row>
    <row r="6274" spans="17:18" ht="15" customHeight="1" x14ac:dyDescent="0.25">
      <c r="Q6274" t="s">
        <v>7210</v>
      </c>
      <c r="R6274" t="s">
        <v>317</v>
      </c>
    </row>
    <row r="6275" spans="17:18" ht="15" customHeight="1" x14ac:dyDescent="0.25">
      <c r="Q6275" t="s">
        <v>7211</v>
      </c>
      <c r="R6275" t="s">
        <v>317</v>
      </c>
    </row>
    <row r="6276" spans="17:18" ht="15" customHeight="1" x14ac:dyDescent="0.25">
      <c r="Q6276" t="s">
        <v>7212</v>
      </c>
      <c r="R6276" t="s">
        <v>317</v>
      </c>
    </row>
    <row r="6277" spans="17:18" ht="15" customHeight="1" x14ac:dyDescent="0.25">
      <c r="Q6277" t="s">
        <v>7213</v>
      </c>
      <c r="R6277" t="s">
        <v>317</v>
      </c>
    </row>
    <row r="6278" spans="17:18" ht="15" customHeight="1" x14ac:dyDescent="0.25">
      <c r="Q6278" t="s">
        <v>7214</v>
      </c>
      <c r="R6278" t="s">
        <v>317</v>
      </c>
    </row>
    <row r="6279" spans="17:18" ht="15" customHeight="1" x14ac:dyDescent="0.25">
      <c r="Q6279" t="s">
        <v>7215</v>
      </c>
      <c r="R6279" t="s">
        <v>317</v>
      </c>
    </row>
    <row r="6280" spans="17:18" ht="15" customHeight="1" x14ac:dyDescent="0.25">
      <c r="Q6280" t="s">
        <v>7216</v>
      </c>
      <c r="R6280" t="s">
        <v>317</v>
      </c>
    </row>
    <row r="6281" spans="17:18" ht="15" customHeight="1" x14ac:dyDescent="0.25">
      <c r="Q6281" t="s">
        <v>7217</v>
      </c>
      <c r="R6281" t="s">
        <v>317</v>
      </c>
    </row>
    <row r="6282" spans="17:18" ht="15" customHeight="1" x14ac:dyDescent="0.25">
      <c r="Q6282" t="s">
        <v>7218</v>
      </c>
      <c r="R6282" t="s">
        <v>317</v>
      </c>
    </row>
    <row r="6283" spans="17:18" ht="15" customHeight="1" x14ac:dyDescent="0.25">
      <c r="Q6283" t="s">
        <v>7219</v>
      </c>
      <c r="R6283" t="s">
        <v>317</v>
      </c>
    </row>
    <row r="6284" spans="17:18" ht="15" customHeight="1" x14ac:dyDescent="0.25">
      <c r="Q6284" t="s">
        <v>7220</v>
      </c>
      <c r="R6284" t="s">
        <v>317</v>
      </c>
    </row>
    <row r="6285" spans="17:18" ht="15" customHeight="1" x14ac:dyDescent="0.25">
      <c r="Q6285" t="s">
        <v>7221</v>
      </c>
      <c r="R6285" t="s">
        <v>317</v>
      </c>
    </row>
    <row r="6286" spans="17:18" ht="15" customHeight="1" x14ac:dyDescent="0.25">
      <c r="Q6286" t="s">
        <v>7222</v>
      </c>
      <c r="R6286" t="s">
        <v>317</v>
      </c>
    </row>
    <row r="6287" spans="17:18" ht="15" customHeight="1" x14ac:dyDescent="0.25">
      <c r="Q6287" t="s">
        <v>7223</v>
      </c>
      <c r="R6287" t="s">
        <v>317</v>
      </c>
    </row>
    <row r="6288" spans="17:18" ht="15" customHeight="1" x14ac:dyDescent="0.25">
      <c r="Q6288" t="s">
        <v>7224</v>
      </c>
      <c r="R6288" t="s">
        <v>317</v>
      </c>
    </row>
    <row r="6289" spans="17:18" ht="15" customHeight="1" x14ac:dyDescent="0.25">
      <c r="Q6289" t="s">
        <v>7225</v>
      </c>
      <c r="R6289" t="s">
        <v>317</v>
      </c>
    </row>
    <row r="6290" spans="17:18" ht="15" customHeight="1" x14ac:dyDescent="0.25">
      <c r="Q6290" t="s">
        <v>7226</v>
      </c>
      <c r="R6290" t="s">
        <v>317</v>
      </c>
    </row>
    <row r="6291" spans="17:18" ht="15" customHeight="1" x14ac:dyDescent="0.25">
      <c r="Q6291" t="s">
        <v>7227</v>
      </c>
      <c r="R6291" t="s">
        <v>317</v>
      </c>
    </row>
    <row r="6292" spans="17:18" ht="15" customHeight="1" x14ac:dyDescent="0.25">
      <c r="Q6292" t="s">
        <v>7228</v>
      </c>
      <c r="R6292" t="s">
        <v>245</v>
      </c>
    </row>
    <row r="6293" spans="17:18" ht="15" customHeight="1" x14ac:dyDescent="0.25">
      <c r="Q6293" t="s">
        <v>7229</v>
      </c>
      <c r="R6293" t="s">
        <v>245</v>
      </c>
    </row>
    <row r="6294" spans="17:18" ht="15" customHeight="1" x14ac:dyDescent="0.25">
      <c r="Q6294" t="s">
        <v>7230</v>
      </c>
      <c r="R6294" t="s">
        <v>245</v>
      </c>
    </row>
    <row r="6295" spans="17:18" ht="15" customHeight="1" x14ac:dyDescent="0.25">
      <c r="Q6295" t="s">
        <v>7231</v>
      </c>
      <c r="R6295" t="s">
        <v>245</v>
      </c>
    </row>
    <row r="6296" spans="17:18" ht="15" customHeight="1" x14ac:dyDescent="0.25">
      <c r="Q6296" t="s">
        <v>7232</v>
      </c>
      <c r="R6296" t="s">
        <v>235</v>
      </c>
    </row>
    <row r="6297" spans="17:18" ht="15" customHeight="1" x14ac:dyDescent="0.25">
      <c r="Q6297" t="s">
        <v>7233</v>
      </c>
      <c r="R6297" t="s">
        <v>235</v>
      </c>
    </row>
    <row r="6298" spans="17:18" ht="15" customHeight="1" x14ac:dyDescent="0.25">
      <c r="Q6298" t="s">
        <v>7234</v>
      </c>
      <c r="R6298" t="s">
        <v>235</v>
      </c>
    </row>
    <row r="6299" spans="17:18" ht="15" customHeight="1" x14ac:dyDescent="0.25">
      <c r="Q6299" t="s">
        <v>7235</v>
      </c>
      <c r="R6299" t="s">
        <v>235</v>
      </c>
    </row>
    <row r="6300" spans="17:18" ht="15" customHeight="1" x14ac:dyDescent="0.25">
      <c r="Q6300" t="s">
        <v>7236</v>
      </c>
      <c r="R6300" t="s">
        <v>6418</v>
      </c>
    </row>
    <row r="6301" spans="17:18" ht="15" customHeight="1" x14ac:dyDescent="0.25">
      <c r="Q6301" t="s">
        <v>7237</v>
      </c>
      <c r="R6301" t="s">
        <v>6418</v>
      </c>
    </row>
    <row r="6302" spans="17:18" ht="15" customHeight="1" x14ac:dyDescent="0.25">
      <c r="Q6302" t="s">
        <v>7238</v>
      </c>
      <c r="R6302" t="s">
        <v>6418</v>
      </c>
    </row>
    <row r="6303" spans="17:18" ht="15" customHeight="1" x14ac:dyDescent="0.25">
      <c r="Q6303" t="s">
        <v>7239</v>
      </c>
      <c r="R6303" t="s">
        <v>6418</v>
      </c>
    </row>
    <row r="6304" spans="17:18" ht="15" customHeight="1" x14ac:dyDescent="0.25">
      <c r="Q6304" t="s">
        <v>7240</v>
      </c>
      <c r="R6304" t="s">
        <v>6418</v>
      </c>
    </row>
    <row r="6305" spans="17:18" ht="15" customHeight="1" x14ac:dyDescent="0.25">
      <c r="Q6305" t="s">
        <v>7241</v>
      </c>
      <c r="R6305" t="s">
        <v>6418</v>
      </c>
    </row>
    <row r="6306" spans="17:18" ht="15" customHeight="1" x14ac:dyDescent="0.25">
      <c r="Q6306" t="s">
        <v>7242</v>
      </c>
      <c r="R6306" t="s">
        <v>6418</v>
      </c>
    </row>
    <row r="6307" spans="17:18" ht="15" customHeight="1" x14ac:dyDescent="0.25">
      <c r="Q6307" t="s">
        <v>7243</v>
      </c>
      <c r="R6307" t="s">
        <v>6418</v>
      </c>
    </row>
    <row r="6308" spans="17:18" ht="15" customHeight="1" x14ac:dyDescent="0.25">
      <c r="Q6308" t="s">
        <v>7244</v>
      </c>
      <c r="R6308" t="s">
        <v>6418</v>
      </c>
    </row>
    <row r="6309" spans="17:18" ht="15" customHeight="1" x14ac:dyDescent="0.25">
      <c r="Q6309" t="s">
        <v>7245</v>
      </c>
      <c r="R6309" t="s">
        <v>6682</v>
      </c>
    </row>
    <row r="6310" spans="17:18" ht="15" customHeight="1" x14ac:dyDescent="0.25">
      <c r="Q6310" t="s">
        <v>7246</v>
      </c>
      <c r="R6310" t="s">
        <v>6418</v>
      </c>
    </row>
    <row r="6311" spans="17:18" ht="15" customHeight="1" x14ac:dyDescent="0.25">
      <c r="Q6311" t="s">
        <v>7247</v>
      </c>
      <c r="R6311" t="s">
        <v>6418</v>
      </c>
    </row>
    <row r="6312" spans="17:18" ht="15" customHeight="1" x14ac:dyDescent="0.25">
      <c r="Q6312" t="s">
        <v>7248</v>
      </c>
      <c r="R6312" t="s">
        <v>6418</v>
      </c>
    </row>
    <row r="6313" spans="17:18" ht="15" customHeight="1" x14ac:dyDescent="0.25">
      <c r="Q6313" t="s">
        <v>7249</v>
      </c>
      <c r="R6313" t="s">
        <v>6418</v>
      </c>
    </row>
    <row r="6314" spans="17:18" ht="15" customHeight="1" x14ac:dyDescent="0.25">
      <c r="Q6314" t="s">
        <v>7250</v>
      </c>
      <c r="R6314" t="s">
        <v>6418</v>
      </c>
    </row>
    <row r="6315" spans="17:18" ht="15" customHeight="1" x14ac:dyDescent="0.25">
      <c r="Q6315" t="s">
        <v>7251</v>
      </c>
      <c r="R6315" t="s">
        <v>6418</v>
      </c>
    </row>
    <row r="6316" spans="17:18" ht="15" customHeight="1" x14ac:dyDescent="0.25">
      <c r="Q6316" t="s">
        <v>7252</v>
      </c>
      <c r="R6316" t="s">
        <v>6418</v>
      </c>
    </row>
    <row r="6317" spans="17:18" ht="15" customHeight="1" x14ac:dyDescent="0.25">
      <c r="Q6317" t="s">
        <v>7253</v>
      </c>
      <c r="R6317" t="s">
        <v>6418</v>
      </c>
    </row>
    <row r="6318" spans="17:18" ht="15" customHeight="1" x14ac:dyDescent="0.25">
      <c r="Q6318" t="s">
        <v>7254</v>
      </c>
      <c r="R6318" t="s">
        <v>6418</v>
      </c>
    </row>
    <row r="6319" spans="17:18" ht="15" customHeight="1" x14ac:dyDescent="0.25">
      <c r="Q6319" t="s">
        <v>7255</v>
      </c>
      <c r="R6319" t="s">
        <v>6418</v>
      </c>
    </row>
    <row r="6320" spans="17:18" ht="15" customHeight="1" x14ac:dyDescent="0.25">
      <c r="Q6320" t="s">
        <v>7256</v>
      </c>
      <c r="R6320" t="s">
        <v>6418</v>
      </c>
    </row>
    <row r="6321" spans="17:18" ht="15" customHeight="1" x14ac:dyDescent="0.25">
      <c r="Q6321" t="s">
        <v>7257</v>
      </c>
      <c r="R6321" t="s">
        <v>6418</v>
      </c>
    </row>
    <row r="6322" spans="17:18" ht="15" customHeight="1" x14ac:dyDescent="0.25">
      <c r="Q6322" t="s">
        <v>7258</v>
      </c>
      <c r="R6322" t="s">
        <v>6418</v>
      </c>
    </row>
    <row r="6323" spans="17:18" ht="15" customHeight="1" x14ac:dyDescent="0.25">
      <c r="Q6323" t="s">
        <v>7259</v>
      </c>
      <c r="R6323" t="s">
        <v>6418</v>
      </c>
    </row>
    <row r="6324" spans="17:18" ht="15" customHeight="1" x14ac:dyDescent="0.25">
      <c r="Q6324" t="s">
        <v>7260</v>
      </c>
      <c r="R6324" t="s">
        <v>6418</v>
      </c>
    </row>
    <row r="6325" spans="17:18" ht="15" customHeight="1" x14ac:dyDescent="0.25">
      <c r="Q6325" t="s">
        <v>7261</v>
      </c>
      <c r="R6325" t="s">
        <v>6418</v>
      </c>
    </row>
    <row r="6326" spans="17:18" ht="15" customHeight="1" x14ac:dyDescent="0.25">
      <c r="Q6326" t="s">
        <v>7262</v>
      </c>
      <c r="R6326" t="s">
        <v>6418</v>
      </c>
    </row>
    <row r="6327" spans="17:18" ht="15" customHeight="1" x14ac:dyDescent="0.25">
      <c r="Q6327" t="s">
        <v>7263</v>
      </c>
      <c r="R6327" t="s">
        <v>6418</v>
      </c>
    </row>
    <row r="6328" spans="17:18" ht="15" customHeight="1" x14ac:dyDescent="0.25">
      <c r="Q6328" t="s">
        <v>7264</v>
      </c>
      <c r="R6328" t="s">
        <v>6418</v>
      </c>
    </row>
    <row r="6329" spans="17:18" ht="15" customHeight="1" x14ac:dyDescent="0.25">
      <c r="Q6329" t="s">
        <v>7265</v>
      </c>
      <c r="R6329" t="s">
        <v>6418</v>
      </c>
    </row>
    <row r="6330" spans="17:18" ht="15" customHeight="1" x14ac:dyDescent="0.25">
      <c r="Q6330" t="s">
        <v>7266</v>
      </c>
      <c r="R6330" t="s">
        <v>6418</v>
      </c>
    </row>
    <row r="6331" spans="17:18" ht="15" customHeight="1" x14ac:dyDescent="0.25">
      <c r="Q6331" t="s">
        <v>7267</v>
      </c>
      <c r="R6331" t="s">
        <v>6418</v>
      </c>
    </row>
    <row r="6332" spans="17:18" ht="15" customHeight="1" x14ac:dyDescent="0.25">
      <c r="Q6332" t="s">
        <v>7268</v>
      </c>
      <c r="R6332" t="s">
        <v>6418</v>
      </c>
    </row>
    <row r="6333" spans="17:18" ht="15" customHeight="1" x14ac:dyDescent="0.25">
      <c r="Q6333" t="s">
        <v>7269</v>
      </c>
      <c r="R6333" t="s">
        <v>6418</v>
      </c>
    </row>
    <row r="6334" spans="17:18" ht="15" customHeight="1" x14ac:dyDescent="0.25">
      <c r="Q6334" t="s">
        <v>7270</v>
      </c>
      <c r="R6334" t="s">
        <v>6418</v>
      </c>
    </row>
    <row r="6335" spans="17:18" ht="15" customHeight="1" x14ac:dyDescent="0.25">
      <c r="Q6335" t="s">
        <v>7271</v>
      </c>
      <c r="R6335" t="s">
        <v>6418</v>
      </c>
    </row>
    <row r="6336" spans="17:18" ht="15" customHeight="1" x14ac:dyDescent="0.25">
      <c r="Q6336" t="s">
        <v>7272</v>
      </c>
      <c r="R6336" t="s">
        <v>6418</v>
      </c>
    </row>
    <row r="6337" spans="17:18" ht="15" customHeight="1" x14ac:dyDescent="0.25">
      <c r="Q6337" t="s">
        <v>7273</v>
      </c>
      <c r="R6337" t="s">
        <v>6418</v>
      </c>
    </row>
    <row r="6338" spans="17:18" ht="15" customHeight="1" x14ac:dyDescent="0.25">
      <c r="Q6338" t="s">
        <v>7274</v>
      </c>
      <c r="R6338" t="s">
        <v>6418</v>
      </c>
    </row>
    <row r="6339" spans="17:18" ht="15" customHeight="1" x14ac:dyDescent="0.25">
      <c r="Q6339" t="s">
        <v>7275</v>
      </c>
      <c r="R6339" t="s">
        <v>6418</v>
      </c>
    </row>
    <row r="6340" spans="17:18" ht="15" customHeight="1" x14ac:dyDescent="0.25">
      <c r="Q6340" t="s">
        <v>7276</v>
      </c>
      <c r="R6340" t="s">
        <v>6418</v>
      </c>
    </row>
    <row r="6341" spans="17:18" ht="15" customHeight="1" x14ac:dyDescent="0.25">
      <c r="Q6341" t="s">
        <v>7277</v>
      </c>
      <c r="R6341" t="s">
        <v>6418</v>
      </c>
    </row>
    <row r="6342" spans="17:18" ht="15" customHeight="1" x14ac:dyDescent="0.25">
      <c r="Q6342" t="s">
        <v>7278</v>
      </c>
      <c r="R6342" t="s">
        <v>6418</v>
      </c>
    </row>
    <row r="6343" spans="17:18" ht="15" customHeight="1" x14ac:dyDescent="0.25">
      <c r="Q6343" t="s">
        <v>7279</v>
      </c>
      <c r="R6343" t="s">
        <v>6418</v>
      </c>
    </row>
    <row r="6344" spans="17:18" ht="15" customHeight="1" x14ac:dyDescent="0.25">
      <c r="Q6344" t="s">
        <v>7280</v>
      </c>
      <c r="R6344" t="s">
        <v>6418</v>
      </c>
    </row>
    <row r="6345" spans="17:18" ht="15" customHeight="1" x14ac:dyDescent="0.25">
      <c r="Q6345" t="s">
        <v>7281</v>
      </c>
      <c r="R6345" t="s">
        <v>6418</v>
      </c>
    </row>
    <row r="6346" spans="17:18" ht="15" customHeight="1" x14ac:dyDescent="0.25">
      <c r="Q6346" t="s">
        <v>7282</v>
      </c>
      <c r="R6346" t="s">
        <v>6418</v>
      </c>
    </row>
    <row r="6347" spans="17:18" ht="15" customHeight="1" x14ac:dyDescent="0.25">
      <c r="Q6347" t="s">
        <v>7283</v>
      </c>
      <c r="R6347" t="s">
        <v>6418</v>
      </c>
    </row>
    <row r="6348" spans="17:18" ht="15" customHeight="1" x14ac:dyDescent="0.25">
      <c r="Q6348" t="s">
        <v>7284</v>
      </c>
      <c r="R6348" t="s">
        <v>6418</v>
      </c>
    </row>
    <row r="6349" spans="17:18" ht="15" customHeight="1" x14ac:dyDescent="0.25">
      <c r="Q6349" t="s">
        <v>7285</v>
      </c>
      <c r="R6349" t="s">
        <v>6418</v>
      </c>
    </row>
    <row r="6350" spans="17:18" ht="15" customHeight="1" x14ac:dyDescent="0.25">
      <c r="Q6350" t="s">
        <v>7286</v>
      </c>
      <c r="R6350" t="s">
        <v>6418</v>
      </c>
    </row>
    <row r="6351" spans="17:18" ht="15" customHeight="1" x14ac:dyDescent="0.25">
      <c r="Q6351" t="s">
        <v>7287</v>
      </c>
      <c r="R6351" t="s">
        <v>6418</v>
      </c>
    </row>
    <row r="6352" spans="17:18" ht="15" customHeight="1" x14ac:dyDescent="0.25">
      <c r="Q6352" t="s">
        <v>7288</v>
      </c>
      <c r="R6352" t="s">
        <v>6418</v>
      </c>
    </row>
    <row r="6353" spans="17:18" ht="15" customHeight="1" x14ac:dyDescent="0.25">
      <c r="Q6353" t="s">
        <v>7289</v>
      </c>
      <c r="R6353" t="s">
        <v>6418</v>
      </c>
    </row>
    <row r="6354" spans="17:18" ht="15" customHeight="1" x14ac:dyDescent="0.25">
      <c r="Q6354" t="s">
        <v>7290</v>
      </c>
      <c r="R6354" t="s">
        <v>6418</v>
      </c>
    </row>
    <row r="6355" spans="17:18" ht="15" customHeight="1" x14ac:dyDescent="0.25">
      <c r="Q6355" t="s">
        <v>7291</v>
      </c>
      <c r="R6355" t="s">
        <v>6418</v>
      </c>
    </row>
    <row r="6356" spans="17:18" ht="15" customHeight="1" x14ac:dyDescent="0.25">
      <c r="Q6356" t="s">
        <v>7292</v>
      </c>
      <c r="R6356" t="s">
        <v>6418</v>
      </c>
    </row>
    <row r="6357" spans="17:18" ht="15" customHeight="1" x14ac:dyDescent="0.25">
      <c r="Q6357" t="s">
        <v>7293</v>
      </c>
      <c r="R6357" t="s">
        <v>6418</v>
      </c>
    </row>
    <row r="6358" spans="17:18" ht="15" customHeight="1" x14ac:dyDescent="0.25">
      <c r="Q6358" t="s">
        <v>7294</v>
      </c>
      <c r="R6358" t="s">
        <v>6418</v>
      </c>
    </row>
    <row r="6359" spans="17:18" ht="15" customHeight="1" x14ac:dyDescent="0.25">
      <c r="Q6359" t="s">
        <v>7295</v>
      </c>
      <c r="R6359" t="s">
        <v>6418</v>
      </c>
    </row>
    <row r="6360" spans="17:18" ht="15" customHeight="1" x14ac:dyDescent="0.25">
      <c r="Q6360" t="s">
        <v>7296</v>
      </c>
      <c r="R6360" t="s">
        <v>6418</v>
      </c>
    </row>
    <row r="6361" spans="17:18" ht="15" customHeight="1" x14ac:dyDescent="0.25">
      <c r="Q6361" t="s">
        <v>7297</v>
      </c>
      <c r="R6361" t="s">
        <v>6418</v>
      </c>
    </row>
    <row r="6362" spans="17:18" ht="15" customHeight="1" x14ac:dyDescent="0.25">
      <c r="Q6362" t="s">
        <v>7298</v>
      </c>
      <c r="R6362" t="s">
        <v>6418</v>
      </c>
    </row>
    <row r="6363" spans="17:18" ht="15" customHeight="1" x14ac:dyDescent="0.25">
      <c r="Q6363" t="s">
        <v>7299</v>
      </c>
      <c r="R6363" t="s">
        <v>6418</v>
      </c>
    </row>
    <row r="6364" spans="17:18" ht="15" customHeight="1" x14ac:dyDescent="0.25">
      <c r="Q6364" t="s">
        <v>7300</v>
      </c>
      <c r="R6364" t="s">
        <v>6418</v>
      </c>
    </row>
    <row r="6365" spans="17:18" ht="15" customHeight="1" x14ac:dyDescent="0.25">
      <c r="Q6365" t="s">
        <v>7301</v>
      </c>
      <c r="R6365" t="s">
        <v>6418</v>
      </c>
    </row>
    <row r="6366" spans="17:18" ht="15" customHeight="1" x14ac:dyDescent="0.25">
      <c r="Q6366" t="s">
        <v>7302</v>
      </c>
      <c r="R6366" t="s">
        <v>6418</v>
      </c>
    </row>
    <row r="6367" spans="17:18" ht="15" customHeight="1" x14ac:dyDescent="0.25">
      <c r="Q6367" t="s">
        <v>7303</v>
      </c>
      <c r="R6367" t="s">
        <v>6418</v>
      </c>
    </row>
    <row r="6368" spans="17:18" ht="15" customHeight="1" x14ac:dyDescent="0.25">
      <c r="Q6368" t="s">
        <v>7304</v>
      </c>
      <c r="R6368" t="s">
        <v>6418</v>
      </c>
    </row>
    <row r="6369" spans="17:18" ht="15" customHeight="1" x14ac:dyDescent="0.25">
      <c r="Q6369" t="s">
        <v>7305</v>
      </c>
      <c r="R6369" t="s">
        <v>6418</v>
      </c>
    </row>
    <row r="6370" spans="17:18" ht="15" customHeight="1" x14ac:dyDescent="0.25">
      <c r="Q6370" t="s">
        <v>7306</v>
      </c>
      <c r="R6370" t="s">
        <v>6418</v>
      </c>
    </row>
    <row r="6371" spans="17:18" ht="15" customHeight="1" x14ac:dyDescent="0.25">
      <c r="Q6371" t="s">
        <v>7307</v>
      </c>
      <c r="R6371" t="s">
        <v>6418</v>
      </c>
    </row>
    <row r="6372" spans="17:18" ht="15" customHeight="1" x14ac:dyDescent="0.25">
      <c r="Q6372" t="s">
        <v>7308</v>
      </c>
      <c r="R6372" t="s">
        <v>6418</v>
      </c>
    </row>
    <row r="6373" spans="17:18" ht="15" customHeight="1" x14ac:dyDescent="0.25">
      <c r="Q6373" t="s">
        <v>7309</v>
      </c>
      <c r="R6373" t="s">
        <v>6418</v>
      </c>
    </row>
    <row r="6374" spans="17:18" ht="15" customHeight="1" x14ac:dyDescent="0.25">
      <c r="Q6374" t="s">
        <v>7310</v>
      </c>
      <c r="R6374" t="s">
        <v>6418</v>
      </c>
    </row>
    <row r="6375" spans="17:18" ht="15" customHeight="1" x14ac:dyDescent="0.25">
      <c r="Q6375" t="s">
        <v>7311</v>
      </c>
      <c r="R6375" t="s">
        <v>6418</v>
      </c>
    </row>
    <row r="6376" spans="17:18" ht="15" customHeight="1" x14ac:dyDescent="0.25">
      <c r="Q6376" t="s">
        <v>7312</v>
      </c>
      <c r="R6376" t="s">
        <v>6418</v>
      </c>
    </row>
    <row r="6377" spans="17:18" ht="15" customHeight="1" x14ac:dyDescent="0.25">
      <c r="Q6377" t="s">
        <v>7313</v>
      </c>
      <c r="R6377" t="s">
        <v>6418</v>
      </c>
    </row>
    <row r="6378" spans="17:18" ht="15" customHeight="1" x14ac:dyDescent="0.25">
      <c r="Q6378" t="s">
        <v>7314</v>
      </c>
      <c r="R6378" t="s">
        <v>6418</v>
      </c>
    </row>
    <row r="6379" spans="17:18" ht="15" customHeight="1" x14ac:dyDescent="0.25">
      <c r="Q6379" t="s">
        <v>7315</v>
      </c>
      <c r="R6379" t="s">
        <v>6418</v>
      </c>
    </row>
    <row r="6380" spans="17:18" ht="15" customHeight="1" x14ac:dyDescent="0.25">
      <c r="Q6380" t="s">
        <v>7316</v>
      </c>
      <c r="R6380" t="s">
        <v>6418</v>
      </c>
    </row>
    <row r="6381" spans="17:18" ht="15" customHeight="1" x14ac:dyDescent="0.25">
      <c r="Q6381" t="s">
        <v>7317</v>
      </c>
      <c r="R6381" t="s">
        <v>6418</v>
      </c>
    </row>
    <row r="6382" spans="17:18" ht="15" customHeight="1" x14ac:dyDescent="0.25">
      <c r="Q6382" t="s">
        <v>7318</v>
      </c>
      <c r="R6382" t="s">
        <v>6418</v>
      </c>
    </row>
    <row r="6383" spans="17:18" ht="15" customHeight="1" x14ac:dyDescent="0.25">
      <c r="Q6383" t="s">
        <v>7319</v>
      </c>
      <c r="R6383" t="s">
        <v>6418</v>
      </c>
    </row>
    <row r="6384" spans="17:18" ht="15" customHeight="1" x14ac:dyDescent="0.25">
      <c r="Q6384" t="s">
        <v>7320</v>
      </c>
      <c r="R6384" t="s">
        <v>6418</v>
      </c>
    </row>
    <row r="6385" spans="17:18" ht="15" customHeight="1" x14ac:dyDescent="0.25">
      <c r="Q6385" t="s">
        <v>7321</v>
      </c>
      <c r="R6385" t="s">
        <v>6418</v>
      </c>
    </row>
    <row r="6386" spans="17:18" ht="15" customHeight="1" x14ac:dyDescent="0.25">
      <c r="Q6386" t="s">
        <v>7322</v>
      </c>
      <c r="R6386" t="s">
        <v>6418</v>
      </c>
    </row>
    <row r="6387" spans="17:18" ht="15" customHeight="1" x14ac:dyDescent="0.25">
      <c r="Q6387" t="s">
        <v>7323</v>
      </c>
      <c r="R6387" t="s">
        <v>6418</v>
      </c>
    </row>
    <row r="6388" spans="17:18" ht="15" customHeight="1" x14ac:dyDescent="0.25">
      <c r="Q6388" t="s">
        <v>7324</v>
      </c>
      <c r="R6388" t="s">
        <v>6418</v>
      </c>
    </row>
    <row r="6389" spans="17:18" ht="15" customHeight="1" x14ac:dyDescent="0.25">
      <c r="Q6389" t="s">
        <v>7325</v>
      </c>
      <c r="R6389" t="s">
        <v>6418</v>
      </c>
    </row>
    <row r="6390" spans="17:18" ht="15" customHeight="1" x14ac:dyDescent="0.25">
      <c r="Q6390" t="s">
        <v>7326</v>
      </c>
      <c r="R6390" t="s">
        <v>6418</v>
      </c>
    </row>
    <row r="6391" spans="17:18" ht="15" customHeight="1" x14ac:dyDescent="0.25">
      <c r="Q6391" t="s">
        <v>7327</v>
      </c>
      <c r="R6391" t="s">
        <v>6418</v>
      </c>
    </row>
    <row r="6392" spans="17:18" ht="15" customHeight="1" x14ac:dyDescent="0.25">
      <c r="Q6392" t="s">
        <v>7328</v>
      </c>
      <c r="R6392" t="s">
        <v>6418</v>
      </c>
    </row>
    <row r="6393" spans="17:18" ht="15" customHeight="1" x14ac:dyDescent="0.25">
      <c r="Q6393" t="s">
        <v>7329</v>
      </c>
      <c r="R6393" t="s">
        <v>6418</v>
      </c>
    </row>
    <row r="6394" spans="17:18" ht="15" customHeight="1" x14ac:dyDescent="0.25">
      <c r="Q6394" t="s">
        <v>7330</v>
      </c>
      <c r="R6394" t="s">
        <v>6418</v>
      </c>
    </row>
    <row r="6395" spans="17:18" ht="15" customHeight="1" x14ac:dyDescent="0.25">
      <c r="Q6395" t="s">
        <v>7331</v>
      </c>
      <c r="R6395" t="s">
        <v>6418</v>
      </c>
    </row>
    <row r="6396" spans="17:18" ht="15" customHeight="1" x14ac:dyDescent="0.25">
      <c r="Q6396" t="s">
        <v>7332</v>
      </c>
      <c r="R6396" t="s">
        <v>6418</v>
      </c>
    </row>
    <row r="6397" spans="17:18" ht="15" customHeight="1" x14ac:dyDescent="0.25">
      <c r="Q6397" t="s">
        <v>7333</v>
      </c>
      <c r="R6397" t="s">
        <v>6418</v>
      </c>
    </row>
    <row r="6398" spans="17:18" ht="15" customHeight="1" x14ac:dyDescent="0.25">
      <c r="Q6398" t="s">
        <v>7334</v>
      </c>
      <c r="R6398" t="s">
        <v>6418</v>
      </c>
    </row>
    <row r="6399" spans="17:18" ht="15" customHeight="1" x14ac:dyDescent="0.25">
      <c r="Q6399" t="s">
        <v>7335</v>
      </c>
      <c r="R6399" t="s">
        <v>6418</v>
      </c>
    </row>
    <row r="6400" spans="17:18" ht="15" customHeight="1" x14ac:dyDescent="0.25">
      <c r="Q6400" t="s">
        <v>7336</v>
      </c>
      <c r="R6400" t="s">
        <v>6418</v>
      </c>
    </row>
    <row r="6401" spans="17:18" ht="15" customHeight="1" x14ac:dyDescent="0.25">
      <c r="Q6401" t="s">
        <v>7337</v>
      </c>
      <c r="R6401" t="s">
        <v>6418</v>
      </c>
    </row>
    <row r="6402" spans="17:18" ht="15" customHeight="1" x14ac:dyDescent="0.25">
      <c r="Q6402" t="s">
        <v>7338</v>
      </c>
      <c r="R6402" t="s">
        <v>6418</v>
      </c>
    </row>
    <row r="6403" spans="17:18" ht="15" customHeight="1" x14ac:dyDescent="0.25">
      <c r="Q6403" t="s">
        <v>7339</v>
      </c>
      <c r="R6403" t="s">
        <v>6418</v>
      </c>
    </row>
    <row r="6404" spans="17:18" ht="15" customHeight="1" x14ac:dyDescent="0.25">
      <c r="Q6404" t="s">
        <v>7340</v>
      </c>
      <c r="R6404" t="s">
        <v>6418</v>
      </c>
    </row>
    <row r="6405" spans="17:18" ht="15" customHeight="1" x14ac:dyDescent="0.25">
      <c r="Q6405" t="s">
        <v>7341</v>
      </c>
      <c r="R6405" t="s">
        <v>6418</v>
      </c>
    </row>
    <row r="6406" spans="17:18" ht="15" customHeight="1" x14ac:dyDescent="0.25">
      <c r="Q6406" t="s">
        <v>7342</v>
      </c>
      <c r="R6406" t="s">
        <v>6418</v>
      </c>
    </row>
    <row r="6407" spans="17:18" ht="15" customHeight="1" x14ac:dyDescent="0.25">
      <c r="Q6407" t="s">
        <v>7343</v>
      </c>
      <c r="R6407" t="s">
        <v>6418</v>
      </c>
    </row>
    <row r="6408" spans="17:18" ht="15" customHeight="1" x14ac:dyDescent="0.25">
      <c r="Q6408" t="s">
        <v>7344</v>
      </c>
      <c r="R6408" t="s">
        <v>6418</v>
      </c>
    </row>
    <row r="6409" spans="17:18" ht="15" customHeight="1" x14ac:dyDescent="0.25">
      <c r="Q6409" t="s">
        <v>7345</v>
      </c>
      <c r="R6409" t="s">
        <v>6418</v>
      </c>
    </row>
    <row r="6410" spans="17:18" ht="15" customHeight="1" x14ac:dyDescent="0.25">
      <c r="Q6410" t="s">
        <v>7346</v>
      </c>
      <c r="R6410" t="s">
        <v>6418</v>
      </c>
    </row>
    <row r="6411" spans="17:18" ht="15" customHeight="1" x14ac:dyDescent="0.25">
      <c r="Q6411" t="s">
        <v>7347</v>
      </c>
      <c r="R6411" t="s">
        <v>6418</v>
      </c>
    </row>
    <row r="6412" spans="17:18" ht="15" customHeight="1" x14ac:dyDescent="0.25">
      <c r="Q6412" t="s">
        <v>7348</v>
      </c>
      <c r="R6412" t="s">
        <v>6418</v>
      </c>
    </row>
    <row r="6413" spans="17:18" ht="15" customHeight="1" x14ac:dyDescent="0.25">
      <c r="Q6413" t="s">
        <v>7349</v>
      </c>
      <c r="R6413" t="s">
        <v>6418</v>
      </c>
    </row>
    <row r="6414" spans="17:18" ht="15" customHeight="1" x14ac:dyDescent="0.25">
      <c r="Q6414" t="s">
        <v>7350</v>
      </c>
      <c r="R6414" t="s">
        <v>6418</v>
      </c>
    </row>
    <row r="6415" spans="17:18" ht="15" customHeight="1" x14ac:dyDescent="0.25">
      <c r="Q6415" t="s">
        <v>7351</v>
      </c>
      <c r="R6415" t="s">
        <v>237</v>
      </c>
    </row>
    <row r="6416" spans="17:18" ht="15" customHeight="1" x14ac:dyDescent="0.25">
      <c r="Q6416" t="s">
        <v>7352</v>
      </c>
      <c r="R6416" t="s">
        <v>237</v>
      </c>
    </row>
    <row r="6417" spans="17:18" ht="15" customHeight="1" x14ac:dyDescent="0.25">
      <c r="Q6417" t="s">
        <v>7353</v>
      </c>
      <c r="R6417" t="s">
        <v>237</v>
      </c>
    </row>
    <row r="6418" spans="17:18" ht="15" customHeight="1" x14ac:dyDescent="0.25">
      <c r="Q6418" t="s">
        <v>7354</v>
      </c>
      <c r="R6418" t="s">
        <v>237</v>
      </c>
    </row>
    <row r="6419" spans="17:18" ht="15" customHeight="1" x14ac:dyDescent="0.25">
      <c r="Q6419" t="s">
        <v>7355</v>
      </c>
      <c r="R6419" t="s">
        <v>237</v>
      </c>
    </row>
    <row r="6420" spans="17:18" ht="15" customHeight="1" x14ac:dyDescent="0.25">
      <c r="Q6420" t="s">
        <v>7356</v>
      </c>
      <c r="R6420" t="s">
        <v>237</v>
      </c>
    </row>
    <row r="6421" spans="17:18" ht="15" customHeight="1" x14ac:dyDescent="0.25">
      <c r="Q6421" t="s">
        <v>7357</v>
      </c>
      <c r="R6421" t="s">
        <v>237</v>
      </c>
    </row>
    <row r="6422" spans="17:18" ht="15" customHeight="1" x14ac:dyDescent="0.25">
      <c r="Q6422" t="s">
        <v>7358</v>
      </c>
      <c r="R6422" t="s">
        <v>237</v>
      </c>
    </row>
    <row r="6423" spans="17:18" ht="15" customHeight="1" x14ac:dyDescent="0.25">
      <c r="Q6423" t="s">
        <v>7359</v>
      </c>
      <c r="R6423" t="s">
        <v>237</v>
      </c>
    </row>
    <row r="6424" spans="17:18" ht="15" customHeight="1" x14ac:dyDescent="0.25">
      <c r="Q6424" t="s">
        <v>7360</v>
      </c>
      <c r="R6424" t="s">
        <v>237</v>
      </c>
    </row>
    <row r="6425" spans="17:18" ht="15" customHeight="1" x14ac:dyDescent="0.25">
      <c r="Q6425" t="s">
        <v>7361</v>
      </c>
      <c r="R6425" t="s">
        <v>237</v>
      </c>
    </row>
    <row r="6426" spans="17:18" ht="15" customHeight="1" x14ac:dyDescent="0.25">
      <c r="Q6426" t="s">
        <v>7362</v>
      </c>
      <c r="R6426" t="s">
        <v>6682</v>
      </c>
    </row>
    <row r="6427" spans="17:18" ht="15" customHeight="1" x14ac:dyDescent="0.25">
      <c r="Q6427" t="s">
        <v>7363</v>
      </c>
      <c r="R6427" t="s">
        <v>6682</v>
      </c>
    </row>
    <row r="6428" spans="17:18" ht="15" customHeight="1" x14ac:dyDescent="0.25">
      <c r="Q6428" t="s">
        <v>7364</v>
      </c>
      <c r="R6428" t="s">
        <v>6682</v>
      </c>
    </row>
    <row r="6429" spans="17:18" ht="15" customHeight="1" x14ac:dyDescent="0.25">
      <c r="Q6429" t="s">
        <v>7365</v>
      </c>
      <c r="R6429" t="s">
        <v>6682</v>
      </c>
    </row>
    <row r="6430" spans="17:18" ht="15" customHeight="1" x14ac:dyDescent="0.25">
      <c r="Q6430" t="s">
        <v>7366</v>
      </c>
      <c r="R6430" t="s">
        <v>6682</v>
      </c>
    </row>
    <row r="6431" spans="17:18" ht="15" customHeight="1" x14ac:dyDescent="0.25">
      <c r="Q6431" t="s">
        <v>7367</v>
      </c>
      <c r="R6431" t="s">
        <v>6682</v>
      </c>
    </row>
    <row r="6432" spans="17:18" ht="15" customHeight="1" x14ac:dyDescent="0.25">
      <c r="Q6432" t="s">
        <v>7368</v>
      </c>
      <c r="R6432" t="s">
        <v>6682</v>
      </c>
    </row>
    <row r="6433" spans="17:18" ht="15" customHeight="1" x14ac:dyDescent="0.25">
      <c r="Q6433" t="s">
        <v>7369</v>
      </c>
      <c r="R6433" t="s">
        <v>237</v>
      </c>
    </row>
    <row r="6434" spans="17:18" ht="15" customHeight="1" x14ac:dyDescent="0.25">
      <c r="Q6434" t="s">
        <v>7370</v>
      </c>
      <c r="R6434" t="s">
        <v>237</v>
      </c>
    </row>
    <row r="6435" spans="17:18" ht="15" customHeight="1" x14ac:dyDescent="0.25">
      <c r="Q6435" t="s">
        <v>7371</v>
      </c>
      <c r="R6435" t="s">
        <v>237</v>
      </c>
    </row>
    <row r="6436" spans="17:18" ht="15" customHeight="1" x14ac:dyDescent="0.25">
      <c r="Q6436" t="s">
        <v>7372</v>
      </c>
      <c r="R6436" t="s">
        <v>237</v>
      </c>
    </row>
    <row r="6437" spans="17:18" ht="15" customHeight="1" x14ac:dyDescent="0.25">
      <c r="Q6437" t="s">
        <v>7373</v>
      </c>
      <c r="R6437" t="s">
        <v>237</v>
      </c>
    </row>
    <row r="6438" spans="17:18" ht="15" customHeight="1" x14ac:dyDescent="0.25">
      <c r="Q6438" t="s">
        <v>7374</v>
      </c>
      <c r="R6438" t="s">
        <v>237</v>
      </c>
    </row>
    <row r="6439" spans="17:18" ht="15" customHeight="1" x14ac:dyDescent="0.25">
      <c r="Q6439" t="s">
        <v>7375</v>
      </c>
      <c r="R6439" t="s">
        <v>237</v>
      </c>
    </row>
    <row r="6440" spans="17:18" ht="15" customHeight="1" x14ac:dyDescent="0.25">
      <c r="Q6440" t="s">
        <v>7376</v>
      </c>
      <c r="R6440" t="s">
        <v>237</v>
      </c>
    </row>
    <row r="6441" spans="17:18" ht="15" customHeight="1" x14ac:dyDescent="0.25">
      <c r="Q6441" t="s">
        <v>7377</v>
      </c>
      <c r="R6441" t="s">
        <v>237</v>
      </c>
    </row>
    <row r="6442" spans="17:18" ht="15" customHeight="1" x14ac:dyDescent="0.25">
      <c r="Q6442" t="s">
        <v>7378</v>
      </c>
      <c r="R6442" t="s">
        <v>227</v>
      </c>
    </row>
    <row r="6443" spans="17:18" ht="15" customHeight="1" x14ac:dyDescent="0.25">
      <c r="Q6443" t="s">
        <v>7379</v>
      </c>
      <c r="R6443" t="s">
        <v>237</v>
      </c>
    </row>
    <row r="6444" spans="17:18" ht="15" customHeight="1" x14ac:dyDescent="0.25">
      <c r="Q6444" t="s">
        <v>7380</v>
      </c>
      <c r="R6444" t="s">
        <v>237</v>
      </c>
    </row>
    <row r="6445" spans="17:18" ht="15" customHeight="1" x14ac:dyDescent="0.25">
      <c r="Q6445" t="s">
        <v>7381</v>
      </c>
      <c r="R6445" t="s">
        <v>237</v>
      </c>
    </row>
    <row r="6446" spans="17:18" ht="15" customHeight="1" x14ac:dyDescent="0.25">
      <c r="Q6446" t="s">
        <v>7382</v>
      </c>
      <c r="R6446" t="s">
        <v>237</v>
      </c>
    </row>
    <row r="6447" spans="17:18" ht="15" customHeight="1" x14ac:dyDescent="0.25">
      <c r="Q6447" t="s">
        <v>7383</v>
      </c>
      <c r="R6447" t="s">
        <v>237</v>
      </c>
    </row>
    <row r="6448" spans="17:18" ht="15" customHeight="1" x14ac:dyDescent="0.25">
      <c r="Q6448" t="s">
        <v>7384</v>
      </c>
      <c r="R6448" t="s">
        <v>237</v>
      </c>
    </row>
    <row r="6449" spans="17:18" ht="15" customHeight="1" x14ac:dyDescent="0.25">
      <c r="Q6449" t="s">
        <v>7385</v>
      </c>
      <c r="R6449" t="s">
        <v>247</v>
      </c>
    </row>
    <row r="6450" spans="17:18" ht="15" customHeight="1" x14ac:dyDescent="0.25">
      <c r="Q6450" t="s">
        <v>7386</v>
      </c>
      <c r="R6450" t="s">
        <v>247</v>
      </c>
    </row>
    <row r="6451" spans="17:18" ht="15" customHeight="1" x14ac:dyDescent="0.25">
      <c r="Q6451" t="s">
        <v>7387</v>
      </c>
      <c r="R6451" t="s">
        <v>247</v>
      </c>
    </row>
    <row r="6452" spans="17:18" ht="15" customHeight="1" x14ac:dyDescent="0.25">
      <c r="Q6452" t="s">
        <v>7388</v>
      </c>
      <c r="R6452" t="s">
        <v>247</v>
      </c>
    </row>
    <row r="6453" spans="17:18" ht="15" customHeight="1" x14ac:dyDescent="0.25">
      <c r="Q6453" t="s">
        <v>7389</v>
      </c>
      <c r="R6453" t="s">
        <v>247</v>
      </c>
    </row>
    <row r="6454" spans="17:18" ht="15" customHeight="1" x14ac:dyDescent="0.25">
      <c r="Q6454" t="s">
        <v>7390</v>
      </c>
      <c r="R6454" t="s">
        <v>247</v>
      </c>
    </row>
    <row r="6455" spans="17:18" ht="15" customHeight="1" x14ac:dyDescent="0.25">
      <c r="Q6455" t="s">
        <v>7391</v>
      </c>
      <c r="R6455" t="s">
        <v>247</v>
      </c>
    </row>
    <row r="6456" spans="17:18" ht="15" customHeight="1" x14ac:dyDescent="0.25">
      <c r="Q6456" t="s">
        <v>7392</v>
      </c>
      <c r="R6456" t="s">
        <v>247</v>
      </c>
    </row>
    <row r="6457" spans="17:18" ht="15" customHeight="1" x14ac:dyDescent="0.25">
      <c r="Q6457" t="s">
        <v>7393</v>
      </c>
      <c r="R6457" t="s">
        <v>247</v>
      </c>
    </row>
    <row r="6458" spans="17:18" ht="15" customHeight="1" x14ac:dyDescent="0.25">
      <c r="Q6458" t="s">
        <v>7394</v>
      </c>
      <c r="R6458" t="s">
        <v>247</v>
      </c>
    </row>
    <row r="6459" spans="17:18" ht="15" customHeight="1" x14ac:dyDescent="0.25">
      <c r="Q6459" t="s">
        <v>7395</v>
      </c>
      <c r="R6459" t="s">
        <v>251</v>
      </c>
    </row>
    <row r="6460" spans="17:18" ht="15" customHeight="1" x14ac:dyDescent="0.25">
      <c r="Q6460" t="s">
        <v>7396</v>
      </c>
      <c r="R6460" t="s">
        <v>247</v>
      </c>
    </row>
    <row r="6461" spans="17:18" ht="15" customHeight="1" x14ac:dyDescent="0.25">
      <c r="Q6461" t="s">
        <v>7397</v>
      </c>
      <c r="R6461" t="s">
        <v>247</v>
      </c>
    </row>
    <row r="6462" spans="17:18" ht="15" customHeight="1" x14ac:dyDescent="0.25">
      <c r="Q6462" t="s">
        <v>7398</v>
      </c>
      <c r="R6462" t="s">
        <v>247</v>
      </c>
    </row>
    <row r="6463" spans="17:18" ht="15" customHeight="1" x14ac:dyDescent="0.25">
      <c r="Q6463" t="s">
        <v>7399</v>
      </c>
      <c r="R6463" t="s">
        <v>237</v>
      </c>
    </row>
    <row r="6464" spans="17:18" ht="15" customHeight="1" x14ac:dyDescent="0.25">
      <c r="Q6464" t="s">
        <v>7400</v>
      </c>
      <c r="R6464" t="s">
        <v>237</v>
      </c>
    </row>
    <row r="6465" spans="17:18" ht="15" customHeight="1" x14ac:dyDescent="0.25">
      <c r="Q6465" t="s">
        <v>7401</v>
      </c>
      <c r="R6465" t="s">
        <v>237</v>
      </c>
    </row>
    <row r="6466" spans="17:18" ht="15" customHeight="1" x14ac:dyDescent="0.25">
      <c r="Q6466" t="s">
        <v>7402</v>
      </c>
      <c r="R6466" t="s">
        <v>247</v>
      </c>
    </row>
    <row r="6467" spans="17:18" ht="15" customHeight="1" x14ac:dyDescent="0.25">
      <c r="Q6467" t="s">
        <v>7403</v>
      </c>
      <c r="R6467" t="s">
        <v>247</v>
      </c>
    </row>
    <row r="6468" spans="17:18" ht="15" customHeight="1" x14ac:dyDescent="0.25">
      <c r="Q6468" t="s">
        <v>7404</v>
      </c>
      <c r="R6468" t="s">
        <v>247</v>
      </c>
    </row>
    <row r="6469" spans="17:18" ht="15" customHeight="1" x14ac:dyDescent="0.25">
      <c r="Q6469" t="s">
        <v>7405</v>
      </c>
      <c r="R6469" t="s">
        <v>247</v>
      </c>
    </row>
    <row r="6470" spans="17:18" ht="15" customHeight="1" x14ac:dyDescent="0.25">
      <c r="Q6470" t="s">
        <v>7406</v>
      </c>
      <c r="R6470" t="s">
        <v>247</v>
      </c>
    </row>
    <row r="6471" spans="17:18" ht="15" customHeight="1" x14ac:dyDescent="0.25">
      <c r="Q6471" t="s">
        <v>7407</v>
      </c>
      <c r="R6471" t="s">
        <v>247</v>
      </c>
    </row>
    <row r="6472" spans="17:18" ht="15" customHeight="1" x14ac:dyDescent="0.25">
      <c r="Q6472" t="s">
        <v>7408</v>
      </c>
      <c r="R6472" t="s">
        <v>247</v>
      </c>
    </row>
    <row r="6473" spans="17:18" ht="15" customHeight="1" x14ac:dyDescent="0.25">
      <c r="Q6473" t="s">
        <v>7409</v>
      </c>
      <c r="R6473" t="s">
        <v>247</v>
      </c>
    </row>
    <row r="6474" spans="17:18" ht="15" customHeight="1" x14ac:dyDescent="0.25">
      <c r="Q6474" t="s">
        <v>7410</v>
      </c>
      <c r="R6474" t="s">
        <v>247</v>
      </c>
    </row>
    <row r="6475" spans="17:18" ht="15" customHeight="1" x14ac:dyDescent="0.25">
      <c r="Q6475" t="s">
        <v>7411</v>
      </c>
      <c r="R6475" t="s">
        <v>247</v>
      </c>
    </row>
    <row r="6476" spans="17:18" ht="15" customHeight="1" x14ac:dyDescent="0.25">
      <c r="Q6476" t="s">
        <v>7412</v>
      </c>
      <c r="R6476" t="s">
        <v>247</v>
      </c>
    </row>
    <row r="6477" spans="17:18" ht="15" customHeight="1" x14ac:dyDescent="0.25">
      <c r="Q6477" t="s">
        <v>7413</v>
      </c>
      <c r="R6477" t="s">
        <v>247</v>
      </c>
    </row>
    <row r="6478" spans="17:18" ht="15" customHeight="1" x14ac:dyDescent="0.25">
      <c r="Q6478" t="s">
        <v>7414</v>
      </c>
      <c r="R6478" t="s">
        <v>247</v>
      </c>
    </row>
    <row r="6479" spans="17:18" ht="15" customHeight="1" x14ac:dyDescent="0.25">
      <c r="Q6479" t="s">
        <v>7415</v>
      </c>
      <c r="R6479" t="s">
        <v>247</v>
      </c>
    </row>
    <row r="6480" spans="17:18" ht="15" customHeight="1" x14ac:dyDescent="0.25">
      <c r="Q6480" t="s">
        <v>7416</v>
      </c>
      <c r="R6480" t="s">
        <v>247</v>
      </c>
    </row>
    <row r="6481" spans="17:18" ht="15" customHeight="1" x14ac:dyDescent="0.25">
      <c r="Q6481" t="s">
        <v>7417</v>
      </c>
      <c r="R6481" t="s">
        <v>247</v>
      </c>
    </row>
    <row r="6482" spans="17:18" ht="15" customHeight="1" x14ac:dyDescent="0.25">
      <c r="Q6482" t="s">
        <v>7418</v>
      </c>
      <c r="R6482" t="s">
        <v>247</v>
      </c>
    </row>
    <row r="6483" spans="17:18" ht="15" customHeight="1" x14ac:dyDescent="0.25">
      <c r="Q6483" t="s">
        <v>7419</v>
      </c>
      <c r="R6483" t="s">
        <v>247</v>
      </c>
    </row>
    <row r="6484" spans="17:18" ht="15" customHeight="1" x14ac:dyDescent="0.25">
      <c r="Q6484" t="s">
        <v>7420</v>
      </c>
      <c r="R6484" t="s">
        <v>247</v>
      </c>
    </row>
    <row r="6485" spans="17:18" ht="15" customHeight="1" x14ac:dyDescent="0.25">
      <c r="Q6485" t="s">
        <v>7421</v>
      </c>
      <c r="R6485" t="s">
        <v>247</v>
      </c>
    </row>
    <row r="6486" spans="17:18" ht="15" customHeight="1" x14ac:dyDescent="0.25">
      <c r="Q6486" t="s">
        <v>7422</v>
      </c>
      <c r="R6486" t="s">
        <v>247</v>
      </c>
    </row>
    <row r="6487" spans="17:18" ht="15" customHeight="1" x14ac:dyDescent="0.25">
      <c r="Q6487" t="s">
        <v>7423</v>
      </c>
      <c r="R6487" t="s">
        <v>247</v>
      </c>
    </row>
    <row r="6488" spans="17:18" ht="15" customHeight="1" x14ac:dyDescent="0.25">
      <c r="Q6488" t="s">
        <v>7424</v>
      </c>
      <c r="R6488" t="s">
        <v>247</v>
      </c>
    </row>
    <row r="6489" spans="17:18" ht="15" customHeight="1" x14ac:dyDescent="0.25">
      <c r="Q6489" t="s">
        <v>7425</v>
      </c>
      <c r="R6489" t="s">
        <v>247</v>
      </c>
    </row>
    <row r="6490" spans="17:18" ht="15" customHeight="1" x14ac:dyDescent="0.25">
      <c r="Q6490" t="s">
        <v>7426</v>
      </c>
      <c r="R6490" t="s">
        <v>247</v>
      </c>
    </row>
    <row r="6491" spans="17:18" ht="15" customHeight="1" x14ac:dyDescent="0.25">
      <c r="Q6491" t="s">
        <v>7427</v>
      </c>
      <c r="R6491" t="s">
        <v>247</v>
      </c>
    </row>
    <row r="6492" spans="17:18" ht="15" customHeight="1" x14ac:dyDescent="0.25">
      <c r="Q6492" t="s">
        <v>7428</v>
      </c>
      <c r="R6492" t="s">
        <v>247</v>
      </c>
    </row>
    <row r="6493" spans="17:18" ht="15" customHeight="1" x14ac:dyDescent="0.25">
      <c r="Q6493" t="s">
        <v>7429</v>
      </c>
      <c r="R6493" t="s">
        <v>247</v>
      </c>
    </row>
    <row r="6494" spans="17:18" ht="15" customHeight="1" x14ac:dyDescent="0.25">
      <c r="Q6494" t="s">
        <v>7430</v>
      </c>
      <c r="R6494" t="s">
        <v>247</v>
      </c>
    </row>
    <row r="6495" spans="17:18" ht="15" customHeight="1" x14ac:dyDescent="0.25">
      <c r="Q6495" t="s">
        <v>7431</v>
      </c>
      <c r="R6495" t="s">
        <v>247</v>
      </c>
    </row>
    <row r="6496" spans="17:18" ht="15" customHeight="1" x14ac:dyDescent="0.25">
      <c r="Q6496" t="s">
        <v>7432</v>
      </c>
      <c r="R6496" t="s">
        <v>247</v>
      </c>
    </row>
    <row r="6497" spans="17:18" ht="15" customHeight="1" x14ac:dyDescent="0.25">
      <c r="Q6497" t="s">
        <v>7433</v>
      </c>
      <c r="R6497" t="s">
        <v>247</v>
      </c>
    </row>
    <row r="6498" spans="17:18" ht="15" customHeight="1" x14ac:dyDescent="0.25">
      <c r="Q6498" t="s">
        <v>7434</v>
      </c>
      <c r="R6498" t="s">
        <v>247</v>
      </c>
    </row>
    <row r="6499" spans="17:18" ht="15" customHeight="1" x14ac:dyDescent="0.25">
      <c r="Q6499" t="s">
        <v>7435</v>
      </c>
      <c r="R6499" t="s">
        <v>247</v>
      </c>
    </row>
    <row r="6500" spans="17:18" ht="15" customHeight="1" x14ac:dyDescent="0.25">
      <c r="Q6500" t="s">
        <v>7436</v>
      </c>
      <c r="R6500" t="s">
        <v>247</v>
      </c>
    </row>
    <row r="6501" spans="17:18" ht="15" customHeight="1" x14ac:dyDescent="0.25">
      <c r="Q6501" t="s">
        <v>7437</v>
      </c>
      <c r="R6501" t="s">
        <v>247</v>
      </c>
    </row>
    <row r="6502" spans="17:18" ht="15" customHeight="1" x14ac:dyDescent="0.25">
      <c r="Q6502" t="s">
        <v>7438</v>
      </c>
      <c r="R6502" t="s">
        <v>247</v>
      </c>
    </row>
    <row r="6503" spans="17:18" ht="15" customHeight="1" x14ac:dyDescent="0.25">
      <c r="Q6503" t="s">
        <v>7439</v>
      </c>
      <c r="R6503" t="s">
        <v>247</v>
      </c>
    </row>
    <row r="6504" spans="17:18" ht="15" customHeight="1" x14ac:dyDescent="0.25">
      <c r="Q6504" t="s">
        <v>7440</v>
      </c>
      <c r="R6504" t="s">
        <v>247</v>
      </c>
    </row>
    <row r="6505" spans="17:18" ht="15" customHeight="1" x14ac:dyDescent="0.25">
      <c r="Q6505" t="s">
        <v>7441</v>
      </c>
      <c r="R6505" t="s">
        <v>247</v>
      </c>
    </row>
    <row r="6506" spans="17:18" ht="15" customHeight="1" x14ac:dyDescent="0.25">
      <c r="Q6506" t="s">
        <v>7442</v>
      </c>
      <c r="R6506" t="s">
        <v>247</v>
      </c>
    </row>
    <row r="6507" spans="17:18" ht="15" customHeight="1" x14ac:dyDescent="0.25">
      <c r="Q6507" t="s">
        <v>7443</v>
      </c>
      <c r="R6507" t="s">
        <v>247</v>
      </c>
    </row>
    <row r="6508" spans="17:18" ht="15" customHeight="1" x14ac:dyDescent="0.25">
      <c r="Q6508" t="s">
        <v>7444</v>
      </c>
      <c r="R6508" t="s">
        <v>247</v>
      </c>
    </row>
    <row r="6509" spans="17:18" ht="15" customHeight="1" x14ac:dyDescent="0.25">
      <c r="Q6509" t="s">
        <v>7445</v>
      </c>
      <c r="R6509" t="s">
        <v>247</v>
      </c>
    </row>
    <row r="6510" spans="17:18" ht="15" customHeight="1" x14ac:dyDescent="0.25">
      <c r="Q6510" t="s">
        <v>7446</v>
      </c>
      <c r="R6510" t="s">
        <v>247</v>
      </c>
    </row>
    <row r="6511" spans="17:18" ht="15" customHeight="1" x14ac:dyDescent="0.25">
      <c r="Q6511" t="s">
        <v>7447</v>
      </c>
      <c r="R6511" t="s">
        <v>247</v>
      </c>
    </row>
    <row r="6512" spans="17:18" ht="15" customHeight="1" x14ac:dyDescent="0.25">
      <c r="Q6512" t="s">
        <v>7448</v>
      </c>
      <c r="R6512" t="s">
        <v>247</v>
      </c>
    </row>
    <row r="6513" spans="17:18" ht="15" customHeight="1" x14ac:dyDescent="0.25">
      <c r="Q6513" t="s">
        <v>7449</v>
      </c>
      <c r="R6513" t="s">
        <v>247</v>
      </c>
    </row>
    <row r="6514" spans="17:18" ht="15" customHeight="1" x14ac:dyDescent="0.25">
      <c r="Q6514" t="s">
        <v>7450</v>
      </c>
      <c r="R6514" t="s">
        <v>247</v>
      </c>
    </row>
    <row r="6515" spans="17:18" ht="15" customHeight="1" x14ac:dyDescent="0.25">
      <c r="Q6515" t="s">
        <v>7451</v>
      </c>
      <c r="R6515" t="s">
        <v>247</v>
      </c>
    </row>
    <row r="6516" spans="17:18" ht="15" customHeight="1" x14ac:dyDescent="0.25">
      <c r="Q6516" t="s">
        <v>7452</v>
      </c>
      <c r="R6516" t="s">
        <v>247</v>
      </c>
    </row>
    <row r="6517" spans="17:18" ht="15" customHeight="1" x14ac:dyDescent="0.25">
      <c r="Q6517" t="s">
        <v>7453</v>
      </c>
      <c r="R6517" t="s">
        <v>247</v>
      </c>
    </row>
    <row r="6518" spans="17:18" ht="15" customHeight="1" x14ac:dyDescent="0.25">
      <c r="Q6518" t="s">
        <v>7454</v>
      </c>
      <c r="R6518" t="s">
        <v>247</v>
      </c>
    </row>
    <row r="6519" spans="17:18" ht="15" customHeight="1" x14ac:dyDescent="0.25">
      <c r="Q6519" t="s">
        <v>7455</v>
      </c>
      <c r="R6519" t="s">
        <v>247</v>
      </c>
    </row>
    <row r="6520" spans="17:18" ht="15" customHeight="1" x14ac:dyDescent="0.25">
      <c r="Q6520" t="s">
        <v>7456</v>
      </c>
      <c r="R6520" t="s">
        <v>247</v>
      </c>
    </row>
    <row r="6521" spans="17:18" ht="15" customHeight="1" x14ac:dyDescent="0.25">
      <c r="Q6521" t="s">
        <v>7457</v>
      </c>
      <c r="R6521" t="s">
        <v>247</v>
      </c>
    </row>
    <row r="6522" spans="17:18" ht="15" customHeight="1" x14ac:dyDescent="0.25">
      <c r="Q6522" t="s">
        <v>7458</v>
      </c>
      <c r="R6522" t="s">
        <v>247</v>
      </c>
    </row>
    <row r="6523" spans="17:18" ht="15" customHeight="1" x14ac:dyDescent="0.25">
      <c r="Q6523" t="s">
        <v>7459</v>
      </c>
      <c r="R6523" t="s">
        <v>247</v>
      </c>
    </row>
    <row r="6524" spans="17:18" ht="15" customHeight="1" x14ac:dyDescent="0.25">
      <c r="Q6524" t="s">
        <v>7460</v>
      </c>
      <c r="R6524" t="s">
        <v>247</v>
      </c>
    </row>
    <row r="6525" spans="17:18" ht="15" customHeight="1" x14ac:dyDescent="0.25">
      <c r="Q6525" t="s">
        <v>7461</v>
      </c>
      <c r="R6525" t="s">
        <v>247</v>
      </c>
    </row>
    <row r="6526" spans="17:18" ht="15" customHeight="1" x14ac:dyDescent="0.25">
      <c r="Q6526" t="s">
        <v>7462</v>
      </c>
      <c r="R6526" t="s">
        <v>231</v>
      </c>
    </row>
    <row r="6527" spans="17:18" ht="15" customHeight="1" x14ac:dyDescent="0.25">
      <c r="Q6527" t="s">
        <v>7463</v>
      </c>
      <c r="R6527" t="s">
        <v>231</v>
      </c>
    </row>
    <row r="6528" spans="17:18" ht="15" customHeight="1" x14ac:dyDescent="0.25">
      <c r="Q6528" t="s">
        <v>7464</v>
      </c>
      <c r="R6528" t="s">
        <v>231</v>
      </c>
    </row>
    <row r="6529" spans="17:18" ht="15" customHeight="1" x14ac:dyDescent="0.25">
      <c r="Q6529" t="s">
        <v>7465</v>
      </c>
      <c r="R6529" t="s">
        <v>231</v>
      </c>
    </row>
    <row r="6530" spans="17:18" ht="15" customHeight="1" x14ac:dyDescent="0.25">
      <c r="Q6530" t="s">
        <v>7466</v>
      </c>
      <c r="R6530" t="s">
        <v>231</v>
      </c>
    </row>
    <row r="6531" spans="17:18" ht="15" customHeight="1" x14ac:dyDescent="0.25">
      <c r="Q6531" t="s">
        <v>7467</v>
      </c>
      <c r="R6531" t="s">
        <v>229</v>
      </c>
    </row>
    <row r="6532" spans="17:18" ht="15" customHeight="1" x14ac:dyDescent="0.25">
      <c r="Q6532" t="s">
        <v>7468</v>
      </c>
      <c r="R6532" t="s">
        <v>229</v>
      </c>
    </row>
    <row r="6533" spans="17:18" ht="15" customHeight="1" x14ac:dyDescent="0.25">
      <c r="Q6533" t="s">
        <v>7469</v>
      </c>
      <c r="R6533" t="s">
        <v>229</v>
      </c>
    </row>
    <row r="6534" spans="17:18" ht="15" customHeight="1" x14ac:dyDescent="0.25">
      <c r="Q6534" t="s">
        <v>7470</v>
      </c>
      <c r="R6534" t="s">
        <v>231</v>
      </c>
    </row>
    <row r="6535" spans="17:18" ht="15" customHeight="1" x14ac:dyDescent="0.25">
      <c r="Q6535" t="s">
        <v>7471</v>
      </c>
      <c r="R6535" t="s">
        <v>229</v>
      </c>
    </row>
    <row r="6536" spans="17:18" ht="15" customHeight="1" x14ac:dyDescent="0.25">
      <c r="Q6536" t="s">
        <v>7472</v>
      </c>
      <c r="R6536" t="s">
        <v>231</v>
      </c>
    </row>
    <row r="6537" spans="17:18" ht="15" customHeight="1" x14ac:dyDescent="0.25">
      <c r="Q6537" t="s">
        <v>7473</v>
      </c>
      <c r="R6537" t="s">
        <v>231</v>
      </c>
    </row>
    <row r="6538" spans="17:18" ht="15" customHeight="1" x14ac:dyDescent="0.25">
      <c r="Q6538" t="s">
        <v>7474</v>
      </c>
      <c r="R6538" t="s">
        <v>229</v>
      </c>
    </row>
    <row r="6539" spans="17:18" ht="15" customHeight="1" x14ac:dyDescent="0.25">
      <c r="Q6539" t="s">
        <v>7475</v>
      </c>
      <c r="R6539" t="s">
        <v>229</v>
      </c>
    </row>
    <row r="6540" spans="17:18" ht="15" customHeight="1" x14ac:dyDescent="0.25">
      <c r="Q6540" t="s">
        <v>7476</v>
      </c>
      <c r="R6540" t="s">
        <v>229</v>
      </c>
    </row>
    <row r="6541" spans="17:18" ht="15" customHeight="1" x14ac:dyDescent="0.25">
      <c r="Q6541" t="s">
        <v>7477</v>
      </c>
      <c r="R6541" t="s">
        <v>231</v>
      </c>
    </row>
    <row r="6542" spans="17:18" ht="15" customHeight="1" x14ac:dyDescent="0.25">
      <c r="Q6542" t="s">
        <v>7478</v>
      </c>
      <c r="R6542" t="s">
        <v>231</v>
      </c>
    </row>
    <row r="6543" spans="17:18" ht="15" customHeight="1" x14ac:dyDescent="0.25">
      <c r="Q6543" t="s">
        <v>7479</v>
      </c>
      <c r="R6543" t="s">
        <v>229</v>
      </c>
    </row>
    <row r="6544" spans="17:18" ht="15" customHeight="1" x14ac:dyDescent="0.25">
      <c r="Q6544" t="s">
        <v>7480</v>
      </c>
      <c r="R6544" t="s">
        <v>229</v>
      </c>
    </row>
    <row r="6545" spans="17:18" ht="15" customHeight="1" x14ac:dyDescent="0.25">
      <c r="Q6545" t="s">
        <v>7481</v>
      </c>
      <c r="R6545" t="s">
        <v>249</v>
      </c>
    </row>
    <row r="6546" spans="17:18" ht="15" customHeight="1" x14ac:dyDescent="0.25">
      <c r="Q6546" t="s">
        <v>7482</v>
      </c>
      <c r="R6546" t="s">
        <v>249</v>
      </c>
    </row>
    <row r="6547" spans="17:18" ht="15" customHeight="1" x14ac:dyDescent="0.25">
      <c r="Q6547" t="s">
        <v>7483</v>
      </c>
      <c r="R6547" t="s">
        <v>229</v>
      </c>
    </row>
    <row r="6548" spans="17:18" ht="15" customHeight="1" x14ac:dyDescent="0.25">
      <c r="Q6548" t="s">
        <v>7484</v>
      </c>
      <c r="R6548" t="s">
        <v>229</v>
      </c>
    </row>
    <row r="6549" spans="17:18" ht="15" customHeight="1" x14ac:dyDescent="0.25">
      <c r="Q6549" t="s">
        <v>7485</v>
      </c>
      <c r="R6549" t="s">
        <v>229</v>
      </c>
    </row>
    <row r="6550" spans="17:18" ht="15" customHeight="1" x14ac:dyDescent="0.25">
      <c r="Q6550" t="s">
        <v>7486</v>
      </c>
      <c r="R6550" t="s">
        <v>229</v>
      </c>
    </row>
    <row r="6551" spans="17:18" ht="15" customHeight="1" x14ac:dyDescent="0.25">
      <c r="Q6551" t="s">
        <v>7487</v>
      </c>
      <c r="R6551" t="s">
        <v>229</v>
      </c>
    </row>
    <row r="6552" spans="17:18" ht="15" customHeight="1" x14ac:dyDescent="0.25">
      <c r="Q6552" t="s">
        <v>7488</v>
      </c>
      <c r="R6552" t="s">
        <v>229</v>
      </c>
    </row>
    <row r="6553" spans="17:18" ht="15" customHeight="1" x14ac:dyDescent="0.25">
      <c r="Q6553" t="s">
        <v>7489</v>
      </c>
      <c r="R6553" t="s">
        <v>229</v>
      </c>
    </row>
    <row r="6554" spans="17:18" ht="15" customHeight="1" x14ac:dyDescent="0.25">
      <c r="Q6554" t="s">
        <v>7490</v>
      </c>
      <c r="R6554" t="s">
        <v>229</v>
      </c>
    </row>
    <row r="6555" spans="17:18" ht="15" customHeight="1" x14ac:dyDescent="0.25">
      <c r="Q6555" t="s">
        <v>7491</v>
      </c>
      <c r="R6555" t="s">
        <v>229</v>
      </c>
    </row>
    <row r="6556" spans="17:18" ht="15" customHeight="1" x14ac:dyDescent="0.25">
      <c r="Q6556" t="s">
        <v>7492</v>
      </c>
      <c r="R6556" t="s">
        <v>229</v>
      </c>
    </row>
    <row r="6557" spans="17:18" ht="15" customHeight="1" x14ac:dyDescent="0.25">
      <c r="Q6557" t="s">
        <v>7493</v>
      </c>
      <c r="R6557" t="s">
        <v>229</v>
      </c>
    </row>
    <row r="6558" spans="17:18" ht="15" customHeight="1" x14ac:dyDescent="0.25">
      <c r="Q6558" t="s">
        <v>7494</v>
      </c>
      <c r="R6558" t="s">
        <v>229</v>
      </c>
    </row>
    <row r="6559" spans="17:18" ht="15" customHeight="1" x14ac:dyDescent="0.25">
      <c r="Q6559" t="s">
        <v>7495</v>
      </c>
      <c r="R6559" t="s">
        <v>229</v>
      </c>
    </row>
    <row r="6560" spans="17:18" ht="15" customHeight="1" x14ac:dyDescent="0.25">
      <c r="Q6560" t="s">
        <v>7496</v>
      </c>
      <c r="R6560" t="s">
        <v>229</v>
      </c>
    </row>
    <row r="6561" spans="17:18" ht="15" customHeight="1" x14ac:dyDescent="0.25">
      <c r="Q6561" t="s">
        <v>7497</v>
      </c>
      <c r="R6561" t="s">
        <v>229</v>
      </c>
    </row>
    <row r="6562" spans="17:18" ht="15" customHeight="1" x14ac:dyDescent="0.25">
      <c r="Q6562" t="s">
        <v>7498</v>
      </c>
      <c r="R6562" t="s">
        <v>229</v>
      </c>
    </row>
    <row r="6563" spans="17:18" ht="15" customHeight="1" x14ac:dyDescent="0.25">
      <c r="Q6563" t="s">
        <v>7499</v>
      </c>
      <c r="R6563" t="s">
        <v>229</v>
      </c>
    </row>
    <row r="6564" spans="17:18" ht="15" customHeight="1" x14ac:dyDescent="0.25">
      <c r="Q6564" t="s">
        <v>7500</v>
      </c>
      <c r="R6564" t="s">
        <v>229</v>
      </c>
    </row>
    <row r="6565" spans="17:18" ht="15" customHeight="1" x14ac:dyDescent="0.25">
      <c r="Q6565" t="s">
        <v>7501</v>
      </c>
      <c r="R6565" t="s">
        <v>229</v>
      </c>
    </row>
    <row r="6566" spans="17:18" ht="15" customHeight="1" x14ac:dyDescent="0.25">
      <c r="Q6566" t="s">
        <v>7502</v>
      </c>
      <c r="R6566" t="s">
        <v>229</v>
      </c>
    </row>
    <row r="6567" spans="17:18" ht="15" customHeight="1" x14ac:dyDescent="0.25">
      <c r="Q6567" t="s">
        <v>7503</v>
      </c>
      <c r="R6567" t="s">
        <v>229</v>
      </c>
    </row>
    <row r="6568" spans="17:18" ht="15" customHeight="1" x14ac:dyDescent="0.25">
      <c r="Q6568" t="s">
        <v>7504</v>
      </c>
      <c r="R6568" t="s">
        <v>229</v>
      </c>
    </row>
    <row r="6569" spans="17:18" ht="15" customHeight="1" x14ac:dyDescent="0.25">
      <c r="Q6569" t="s">
        <v>7505</v>
      </c>
      <c r="R6569" t="s">
        <v>229</v>
      </c>
    </row>
    <row r="6570" spans="17:18" ht="15" customHeight="1" x14ac:dyDescent="0.25">
      <c r="Q6570" t="s">
        <v>7506</v>
      </c>
      <c r="R6570" t="s">
        <v>229</v>
      </c>
    </row>
    <row r="6571" spans="17:18" ht="15" customHeight="1" x14ac:dyDescent="0.25">
      <c r="Q6571" t="s">
        <v>7507</v>
      </c>
      <c r="R6571" t="s">
        <v>229</v>
      </c>
    </row>
    <row r="6572" spans="17:18" ht="15" customHeight="1" x14ac:dyDescent="0.25">
      <c r="Q6572" t="s">
        <v>7508</v>
      </c>
      <c r="R6572" t="s">
        <v>229</v>
      </c>
    </row>
    <row r="6573" spans="17:18" ht="15" customHeight="1" x14ac:dyDescent="0.25">
      <c r="Q6573" t="s">
        <v>7509</v>
      </c>
      <c r="R6573" t="s">
        <v>229</v>
      </c>
    </row>
    <row r="6574" spans="17:18" ht="15" customHeight="1" x14ac:dyDescent="0.25">
      <c r="Q6574" t="s">
        <v>7510</v>
      </c>
      <c r="R6574" t="s">
        <v>229</v>
      </c>
    </row>
    <row r="6575" spans="17:18" ht="15" customHeight="1" x14ac:dyDescent="0.25">
      <c r="Q6575" t="s">
        <v>7511</v>
      </c>
      <c r="R6575" t="s">
        <v>249</v>
      </c>
    </row>
    <row r="6576" spans="17:18" ht="15" customHeight="1" x14ac:dyDescent="0.25">
      <c r="Q6576" t="s">
        <v>7512</v>
      </c>
      <c r="R6576" t="s">
        <v>229</v>
      </c>
    </row>
    <row r="6577" spans="17:18" ht="15" customHeight="1" x14ac:dyDescent="0.25">
      <c r="Q6577" t="s">
        <v>7513</v>
      </c>
      <c r="R6577" t="s">
        <v>231</v>
      </c>
    </row>
    <row r="6578" spans="17:18" ht="15" customHeight="1" x14ac:dyDescent="0.25">
      <c r="Q6578" t="s">
        <v>7514</v>
      </c>
      <c r="R6578" t="s">
        <v>249</v>
      </c>
    </row>
    <row r="6579" spans="17:18" ht="15" customHeight="1" x14ac:dyDescent="0.25">
      <c r="Q6579" t="s">
        <v>7515</v>
      </c>
      <c r="R6579" t="s">
        <v>249</v>
      </c>
    </row>
    <row r="6580" spans="17:18" ht="15" customHeight="1" x14ac:dyDescent="0.25">
      <c r="Q6580" t="s">
        <v>7516</v>
      </c>
      <c r="R6580" t="s">
        <v>249</v>
      </c>
    </row>
    <row r="6581" spans="17:18" ht="15" customHeight="1" x14ac:dyDescent="0.25">
      <c r="Q6581" t="s">
        <v>7517</v>
      </c>
      <c r="R6581" t="s">
        <v>249</v>
      </c>
    </row>
    <row r="6582" spans="17:18" ht="15" customHeight="1" x14ac:dyDescent="0.25">
      <c r="Q6582" t="s">
        <v>7518</v>
      </c>
      <c r="R6582" t="s">
        <v>249</v>
      </c>
    </row>
    <row r="6583" spans="17:18" ht="15" customHeight="1" x14ac:dyDescent="0.25">
      <c r="Q6583" t="s">
        <v>7519</v>
      </c>
      <c r="R6583" t="s">
        <v>249</v>
      </c>
    </row>
    <row r="6584" spans="17:18" ht="15" customHeight="1" x14ac:dyDescent="0.25">
      <c r="Q6584" t="s">
        <v>7520</v>
      </c>
      <c r="R6584" t="s">
        <v>249</v>
      </c>
    </row>
    <row r="6585" spans="17:18" ht="15" customHeight="1" x14ac:dyDescent="0.25">
      <c r="Q6585" t="s">
        <v>7521</v>
      </c>
      <c r="R6585" t="s">
        <v>249</v>
      </c>
    </row>
    <row r="6586" spans="17:18" ht="15" customHeight="1" x14ac:dyDescent="0.25">
      <c r="Q6586" t="s">
        <v>7522</v>
      </c>
      <c r="R6586" t="s">
        <v>249</v>
      </c>
    </row>
    <row r="6587" spans="17:18" ht="15" customHeight="1" x14ac:dyDescent="0.25">
      <c r="Q6587" t="s">
        <v>7523</v>
      </c>
      <c r="R6587" t="s">
        <v>249</v>
      </c>
    </row>
    <row r="6588" spans="17:18" ht="15" customHeight="1" x14ac:dyDescent="0.25">
      <c r="Q6588" t="s">
        <v>7524</v>
      </c>
      <c r="R6588" t="s">
        <v>229</v>
      </c>
    </row>
    <row r="6589" spans="17:18" ht="15" customHeight="1" x14ac:dyDescent="0.25">
      <c r="Q6589" t="s">
        <v>7525</v>
      </c>
      <c r="R6589" t="s">
        <v>229</v>
      </c>
    </row>
    <row r="6590" spans="17:18" ht="15" customHeight="1" x14ac:dyDescent="0.25">
      <c r="Q6590" t="s">
        <v>7526</v>
      </c>
      <c r="R6590" t="s">
        <v>229</v>
      </c>
    </row>
    <row r="6591" spans="17:18" ht="15" customHeight="1" x14ac:dyDescent="0.25">
      <c r="Q6591" t="s">
        <v>7527</v>
      </c>
      <c r="R6591" t="s">
        <v>229</v>
      </c>
    </row>
    <row r="6592" spans="17:18" ht="15" customHeight="1" x14ac:dyDescent="0.25">
      <c r="Q6592" t="s">
        <v>7528</v>
      </c>
      <c r="R6592" t="s">
        <v>229</v>
      </c>
    </row>
    <row r="6593" spans="17:18" ht="15" customHeight="1" x14ac:dyDescent="0.25">
      <c r="Q6593" t="s">
        <v>7529</v>
      </c>
      <c r="R6593" t="s">
        <v>229</v>
      </c>
    </row>
    <row r="6594" spans="17:18" ht="15" customHeight="1" x14ac:dyDescent="0.25">
      <c r="Q6594" t="s">
        <v>7530</v>
      </c>
      <c r="R6594" t="s">
        <v>229</v>
      </c>
    </row>
    <row r="6595" spans="17:18" ht="15" customHeight="1" x14ac:dyDescent="0.25">
      <c r="Q6595" t="s">
        <v>7531</v>
      </c>
      <c r="R6595" t="s">
        <v>229</v>
      </c>
    </row>
    <row r="6596" spans="17:18" ht="15" customHeight="1" x14ac:dyDescent="0.25">
      <c r="Q6596" t="s">
        <v>7532</v>
      </c>
      <c r="R6596" t="s">
        <v>229</v>
      </c>
    </row>
    <row r="6597" spans="17:18" ht="15" customHeight="1" x14ac:dyDescent="0.25">
      <c r="Q6597" t="s">
        <v>7533</v>
      </c>
      <c r="R6597" t="s">
        <v>229</v>
      </c>
    </row>
    <row r="6598" spans="17:18" ht="15" customHeight="1" x14ac:dyDescent="0.25">
      <c r="Q6598" t="s">
        <v>7534</v>
      </c>
      <c r="R6598" t="s">
        <v>229</v>
      </c>
    </row>
    <row r="6599" spans="17:18" ht="15" customHeight="1" x14ac:dyDescent="0.25">
      <c r="Q6599" t="s">
        <v>7535</v>
      </c>
      <c r="R6599" t="s">
        <v>229</v>
      </c>
    </row>
    <row r="6600" spans="17:18" ht="15" customHeight="1" x14ac:dyDescent="0.25">
      <c r="Q6600" t="s">
        <v>7536</v>
      </c>
      <c r="R6600" t="s">
        <v>229</v>
      </c>
    </row>
    <row r="6601" spans="17:18" ht="15" customHeight="1" x14ac:dyDescent="0.25">
      <c r="Q6601" t="s">
        <v>7537</v>
      </c>
      <c r="R6601" t="s">
        <v>229</v>
      </c>
    </row>
    <row r="6602" spans="17:18" ht="15" customHeight="1" x14ac:dyDescent="0.25">
      <c r="Q6602" t="s">
        <v>7538</v>
      </c>
      <c r="R6602" t="s">
        <v>229</v>
      </c>
    </row>
    <row r="6603" spans="17:18" ht="15" customHeight="1" x14ac:dyDescent="0.25">
      <c r="Q6603" t="s">
        <v>7539</v>
      </c>
      <c r="R6603" t="s">
        <v>229</v>
      </c>
    </row>
    <row r="6604" spans="17:18" ht="15" customHeight="1" x14ac:dyDescent="0.25">
      <c r="Q6604" t="s">
        <v>7540</v>
      </c>
      <c r="R6604" t="s">
        <v>229</v>
      </c>
    </row>
    <row r="6605" spans="17:18" ht="15" customHeight="1" x14ac:dyDescent="0.25">
      <c r="Q6605" t="s">
        <v>7541</v>
      </c>
      <c r="R6605" t="s">
        <v>229</v>
      </c>
    </row>
    <row r="6606" spans="17:18" ht="15" customHeight="1" x14ac:dyDescent="0.25">
      <c r="Q6606" t="s">
        <v>7542</v>
      </c>
      <c r="R6606" t="s">
        <v>229</v>
      </c>
    </row>
    <row r="6607" spans="17:18" ht="15" customHeight="1" x14ac:dyDescent="0.25">
      <c r="Q6607" t="s">
        <v>7543</v>
      </c>
      <c r="R6607" t="s">
        <v>229</v>
      </c>
    </row>
    <row r="6608" spans="17:18" ht="15" customHeight="1" x14ac:dyDescent="0.25">
      <c r="Q6608" t="s">
        <v>7544</v>
      </c>
      <c r="R6608" t="s">
        <v>229</v>
      </c>
    </row>
    <row r="6609" spans="17:18" ht="15" customHeight="1" x14ac:dyDescent="0.25">
      <c r="Q6609" t="s">
        <v>7545</v>
      </c>
      <c r="R6609" t="s">
        <v>229</v>
      </c>
    </row>
    <row r="6610" spans="17:18" ht="15" customHeight="1" x14ac:dyDescent="0.25">
      <c r="Q6610" t="s">
        <v>7546</v>
      </c>
      <c r="R6610" t="s">
        <v>229</v>
      </c>
    </row>
    <row r="6611" spans="17:18" ht="15" customHeight="1" x14ac:dyDescent="0.25">
      <c r="Q6611" t="s">
        <v>7547</v>
      </c>
      <c r="R6611" t="s">
        <v>229</v>
      </c>
    </row>
    <row r="6612" spans="17:18" ht="15" customHeight="1" x14ac:dyDescent="0.25">
      <c r="Q6612" t="s">
        <v>7548</v>
      </c>
      <c r="R6612" t="s">
        <v>229</v>
      </c>
    </row>
    <row r="6613" spans="17:18" ht="15" customHeight="1" x14ac:dyDescent="0.25">
      <c r="Q6613" t="s">
        <v>7549</v>
      </c>
      <c r="R6613" t="s">
        <v>229</v>
      </c>
    </row>
    <row r="6614" spans="17:18" ht="15" customHeight="1" x14ac:dyDescent="0.25">
      <c r="Q6614" t="s">
        <v>7550</v>
      </c>
      <c r="R6614" t="s">
        <v>229</v>
      </c>
    </row>
    <row r="6615" spans="17:18" ht="15" customHeight="1" x14ac:dyDescent="0.25">
      <c r="Q6615" t="s">
        <v>7551</v>
      </c>
      <c r="R6615" t="s">
        <v>229</v>
      </c>
    </row>
    <row r="6616" spans="17:18" ht="15" customHeight="1" x14ac:dyDescent="0.25">
      <c r="Q6616" t="s">
        <v>7552</v>
      </c>
      <c r="R6616" t="s">
        <v>251</v>
      </c>
    </row>
    <row r="6617" spans="17:18" ht="15" customHeight="1" x14ac:dyDescent="0.25">
      <c r="Q6617" t="s">
        <v>7553</v>
      </c>
      <c r="R6617" t="s">
        <v>233</v>
      </c>
    </row>
    <row r="6618" spans="17:18" ht="15" customHeight="1" x14ac:dyDescent="0.25">
      <c r="Q6618" t="s">
        <v>7554</v>
      </c>
      <c r="R6618" t="s">
        <v>233</v>
      </c>
    </row>
    <row r="6619" spans="17:18" ht="15" customHeight="1" x14ac:dyDescent="0.25">
      <c r="Q6619" t="s">
        <v>7555</v>
      </c>
      <c r="R6619" t="s">
        <v>233</v>
      </c>
    </row>
    <row r="6620" spans="17:18" ht="15" customHeight="1" x14ac:dyDescent="0.25">
      <c r="Q6620" t="s">
        <v>7556</v>
      </c>
      <c r="R6620" t="s">
        <v>233</v>
      </c>
    </row>
    <row r="6621" spans="17:18" ht="15" customHeight="1" x14ac:dyDescent="0.25">
      <c r="Q6621" t="s">
        <v>7557</v>
      </c>
      <c r="R6621" t="s">
        <v>233</v>
      </c>
    </row>
    <row r="6622" spans="17:18" ht="15" customHeight="1" x14ac:dyDescent="0.25">
      <c r="Q6622" t="s">
        <v>7558</v>
      </c>
      <c r="R6622" t="s">
        <v>233</v>
      </c>
    </row>
    <row r="6623" spans="17:18" ht="15" customHeight="1" x14ac:dyDescent="0.25">
      <c r="Q6623" t="s">
        <v>7559</v>
      </c>
      <c r="R6623" t="s">
        <v>233</v>
      </c>
    </row>
    <row r="6624" spans="17:18" ht="15" customHeight="1" x14ac:dyDescent="0.25">
      <c r="Q6624" t="s">
        <v>7560</v>
      </c>
      <c r="R6624" t="s">
        <v>233</v>
      </c>
    </row>
    <row r="6625" spans="17:18" ht="15" customHeight="1" x14ac:dyDescent="0.25">
      <c r="Q6625" t="s">
        <v>7561</v>
      </c>
      <c r="R6625" t="s">
        <v>233</v>
      </c>
    </row>
    <row r="6626" spans="17:18" ht="15" customHeight="1" x14ac:dyDescent="0.25">
      <c r="Q6626" t="s">
        <v>7562</v>
      </c>
      <c r="R6626" t="s">
        <v>233</v>
      </c>
    </row>
    <row r="6627" spans="17:18" ht="15" customHeight="1" x14ac:dyDescent="0.25">
      <c r="Q6627" t="s">
        <v>7563</v>
      </c>
      <c r="R6627" t="s">
        <v>233</v>
      </c>
    </row>
    <row r="6628" spans="17:18" ht="15" customHeight="1" x14ac:dyDescent="0.25">
      <c r="Q6628" t="s">
        <v>7564</v>
      </c>
      <c r="R6628" t="s">
        <v>249</v>
      </c>
    </row>
    <row r="6629" spans="17:18" ht="15" customHeight="1" x14ac:dyDescent="0.25">
      <c r="Q6629" t="s">
        <v>7565</v>
      </c>
      <c r="R6629" t="s">
        <v>249</v>
      </c>
    </row>
    <row r="6630" spans="17:18" ht="15" customHeight="1" x14ac:dyDescent="0.25">
      <c r="Q6630" t="s">
        <v>7566</v>
      </c>
      <c r="R6630" t="s">
        <v>249</v>
      </c>
    </row>
    <row r="6631" spans="17:18" ht="15" customHeight="1" x14ac:dyDescent="0.25">
      <c r="Q6631" t="s">
        <v>7567</v>
      </c>
      <c r="R6631" t="s">
        <v>229</v>
      </c>
    </row>
    <row r="6632" spans="17:18" ht="15" customHeight="1" x14ac:dyDescent="0.25">
      <c r="Q6632" t="s">
        <v>7568</v>
      </c>
      <c r="R6632" t="s">
        <v>229</v>
      </c>
    </row>
    <row r="6633" spans="17:18" ht="15" customHeight="1" x14ac:dyDescent="0.25">
      <c r="Q6633" t="s">
        <v>7569</v>
      </c>
      <c r="R6633" t="s">
        <v>229</v>
      </c>
    </row>
    <row r="6634" spans="17:18" ht="15" customHeight="1" x14ac:dyDescent="0.25">
      <c r="Q6634" t="s">
        <v>7570</v>
      </c>
      <c r="R6634" t="s">
        <v>229</v>
      </c>
    </row>
    <row r="6635" spans="17:18" ht="15" customHeight="1" x14ac:dyDescent="0.25">
      <c r="Q6635" t="s">
        <v>7571</v>
      </c>
      <c r="R6635" t="s">
        <v>229</v>
      </c>
    </row>
    <row r="6636" spans="17:18" ht="15" customHeight="1" x14ac:dyDescent="0.25">
      <c r="Q6636" t="s">
        <v>7572</v>
      </c>
      <c r="R6636" t="s">
        <v>229</v>
      </c>
    </row>
    <row r="6637" spans="17:18" ht="15" customHeight="1" x14ac:dyDescent="0.25">
      <c r="Q6637" t="s">
        <v>7573</v>
      </c>
      <c r="R6637" t="s">
        <v>229</v>
      </c>
    </row>
    <row r="6638" spans="17:18" ht="15" customHeight="1" x14ac:dyDescent="0.25">
      <c r="Q6638" t="s">
        <v>7574</v>
      </c>
      <c r="R6638" t="s">
        <v>229</v>
      </c>
    </row>
    <row r="6639" spans="17:18" ht="15" customHeight="1" x14ac:dyDescent="0.25">
      <c r="Q6639" t="s">
        <v>7575</v>
      </c>
      <c r="R6639" t="s">
        <v>229</v>
      </c>
    </row>
    <row r="6640" spans="17:18" ht="15" customHeight="1" x14ac:dyDescent="0.25">
      <c r="Q6640" t="s">
        <v>7576</v>
      </c>
      <c r="R6640" t="s">
        <v>229</v>
      </c>
    </row>
    <row r="6641" spans="17:18" ht="15" customHeight="1" x14ac:dyDescent="0.25">
      <c r="Q6641" t="s">
        <v>7577</v>
      </c>
      <c r="R6641" t="s">
        <v>229</v>
      </c>
    </row>
    <row r="6642" spans="17:18" ht="15" customHeight="1" x14ac:dyDescent="0.25">
      <c r="Q6642" t="s">
        <v>7578</v>
      </c>
      <c r="R6642" t="s">
        <v>229</v>
      </c>
    </row>
    <row r="6643" spans="17:18" ht="15" customHeight="1" x14ac:dyDescent="0.25">
      <c r="Q6643" t="s">
        <v>7579</v>
      </c>
      <c r="R6643" t="s">
        <v>229</v>
      </c>
    </row>
    <row r="6644" spans="17:18" ht="15" customHeight="1" x14ac:dyDescent="0.25">
      <c r="Q6644" t="s">
        <v>7580</v>
      </c>
      <c r="R6644" t="s">
        <v>229</v>
      </c>
    </row>
    <row r="6645" spans="17:18" ht="15" customHeight="1" x14ac:dyDescent="0.25">
      <c r="Q6645" t="s">
        <v>7581</v>
      </c>
      <c r="R6645" t="s">
        <v>229</v>
      </c>
    </row>
    <row r="6646" spans="17:18" ht="15" customHeight="1" x14ac:dyDescent="0.25">
      <c r="Q6646" t="s">
        <v>7582</v>
      </c>
      <c r="R6646" t="s">
        <v>229</v>
      </c>
    </row>
    <row r="6647" spans="17:18" ht="15" customHeight="1" x14ac:dyDescent="0.25">
      <c r="Q6647" t="s">
        <v>7583</v>
      </c>
      <c r="R6647" t="s">
        <v>229</v>
      </c>
    </row>
    <row r="6648" spans="17:18" ht="15" customHeight="1" x14ac:dyDescent="0.25">
      <c r="Q6648" t="s">
        <v>7584</v>
      </c>
      <c r="R6648" t="s">
        <v>229</v>
      </c>
    </row>
    <row r="6649" spans="17:18" ht="15" customHeight="1" x14ac:dyDescent="0.25">
      <c r="Q6649" t="s">
        <v>7585</v>
      </c>
      <c r="R6649" t="s">
        <v>229</v>
      </c>
    </row>
    <row r="6650" spans="17:18" ht="15" customHeight="1" x14ac:dyDescent="0.25">
      <c r="Q6650" t="s">
        <v>7586</v>
      </c>
      <c r="R6650" t="s">
        <v>229</v>
      </c>
    </row>
    <row r="6651" spans="17:18" ht="15" customHeight="1" x14ac:dyDescent="0.25">
      <c r="Q6651" t="s">
        <v>7587</v>
      </c>
      <c r="R6651" t="s">
        <v>229</v>
      </c>
    </row>
    <row r="6652" spans="17:18" ht="15" customHeight="1" x14ac:dyDescent="0.25">
      <c r="Q6652" t="s">
        <v>7588</v>
      </c>
      <c r="R6652" t="s">
        <v>229</v>
      </c>
    </row>
    <row r="6653" spans="17:18" ht="15" customHeight="1" x14ac:dyDescent="0.25">
      <c r="Q6653" t="s">
        <v>7589</v>
      </c>
      <c r="R6653" t="s">
        <v>229</v>
      </c>
    </row>
    <row r="6654" spans="17:18" ht="15" customHeight="1" x14ac:dyDescent="0.25">
      <c r="Q6654" t="s">
        <v>7590</v>
      </c>
      <c r="R6654" t="s">
        <v>229</v>
      </c>
    </row>
    <row r="6655" spans="17:18" ht="15" customHeight="1" x14ac:dyDescent="0.25">
      <c r="Q6655" t="s">
        <v>7591</v>
      </c>
      <c r="R6655" t="s">
        <v>229</v>
      </c>
    </row>
    <row r="6656" spans="17:18" ht="15" customHeight="1" x14ac:dyDescent="0.25">
      <c r="Q6656" t="s">
        <v>7592</v>
      </c>
      <c r="R6656" t="s">
        <v>229</v>
      </c>
    </row>
    <row r="6657" spans="17:18" ht="15" customHeight="1" x14ac:dyDescent="0.25">
      <c r="Q6657" t="s">
        <v>7593</v>
      </c>
      <c r="R6657" t="s">
        <v>229</v>
      </c>
    </row>
    <row r="6658" spans="17:18" ht="15" customHeight="1" x14ac:dyDescent="0.25">
      <c r="Q6658" t="s">
        <v>7594</v>
      </c>
      <c r="R6658" t="s">
        <v>229</v>
      </c>
    </row>
    <row r="6659" spans="17:18" ht="15" customHeight="1" x14ac:dyDescent="0.25">
      <c r="Q6659" t="s">
        <v>7595</v>
      </c>
      <c r="R6659" t="s">
        <v>229</v>
      </c>
    </row>
    <row r="6660" spans="17:18" ht="15" customHeight="1" x14ac:dyDescent="0.25">
      <c r="Q6660" t="s">
        <v>7596</v>
      </c>
      <c r="R6660" t="s">
        <v>229</v>
      </c>
    </row>
    <row r="6661" spans="17:18" ht="15" customHeight="1" x14ac:dyDescent="0.25">
      <c r="Q6661" t="s">
        <v>7597</v>
      </c>
      <c r="R6661" t="s">
        <v>251</v>
      </c>
    </row>
    <row r="6662" spans="17:18" ht="15" customHeight="1" x14ac:dyDescent="0.25">
      <c r="Q6662" t="s">
        <v>7598</v>
      </c>
      <c r="R6662" t="s">
        <v>251</v>
      </c>
    </row>
    <row r="6663" spans="17:18" ht="15" customHeight="1" x14ac:dyDescent="0.25">
      <c r="Q6663" t="s">
        <v>7599</v>
      </c>
      <c r="R6663" t="s">
        <v>229</v>
      </c>
    </row>
    <row r="6664" spans="17:18" ht="15" customHeight="1" x14ac:dyDescent="0.25">
      <c r="Q6664" t="s">
        <v>7600</v>
      </c>
      <c r="R6664" t="s">
        <v>229</v>
      </c>
    </row>
    <row r="6665" spans="17:18" ht="15" customHeight="1" x14ac:dyDescent="0.25">
      <c r="Q6665" t="s">
        <v>7601</v>
      </c>
      <c r="R6665" t="s">
        <v>229</v>
      </c>
    </row>
    <row r="6666" spans="17:18" ht="15" customHeight="1" x14ac:dyDescent="0.25">
      <c r="Q6666" t="s">
        <v>7602</v>
      </c>
      <c r="R6666" t="s">
        <v>229</v>
      </c>
    </row>
    <row r="6667" spans="17:18" ht="15" customHeight="1" x14ac:dyDescent="0.25">
      <c r="Q6667" t="s">
        <v>7603</v>
      </c>
      <c r="R6667" t="s">
        <v>229</v>
      </c>
    </row>
    <row r="6668" spans="17:18" ht="15" customHeight="1" x14ac:dyDescent="0.25">
      <c r="Q6668" t="s">
        <v>7604</v>
      </c>
      <c r="R6668" t="s">
        <v>229</v>
      </c>
    </row>
    <row r="6669" spans="17:18" ht="15" customHeight="1" x14ac:dyDescent="0.25">
      <c r="Q6669" t="s">
        <v>7605</v>
      </c>
      <c r="R6669" t="s">
        <v>229</v>
      </c>
    </row>
    <row r="6670" spans="17:18" ht="15" customHeight="1" x14ac:dyDescent="0.25">
      <c r="Q6670" t="s">
        <v>7606</v>
      </c>
      <c r="R6670" t="s">
        <v>251</v>
      </c>
    </row>
    <row r="6671" spans="17:18" ht="15" customHeight="1" x14ac:dyDescent="0.25">
      <c r="Q6671" t="s">
        <v>7607</v>
      </c>
      <c r="R6671" t="s">
        <v>233</v>
      </c>
    </row>
    <row r="6672" spans="17:18" ht="15" customHeight="1" x14ac:dyDescent="0.25">
      <c r="Q6672" t="s">
        <v>7608</v>
      </c>
      <c r="R6672" t="s">
        <v>233</v>
      </c>
    </row>
    <row r="6673" spans="17:18" ht="15" customHeight="1" x14ac:dyDescent="0.25">
      <c r="Q6673" t="s">
        <v>7609</v>
      </c>
      <c r="R6673" t="s">
        <v>251</v>
      </c>
    </row>
    <row r="6674" spans="17:18" ht="15" customHeight="1" x14ac:dyDescent="0.25">
      <c r="Q6674" t="s">
        <v>7610</v>
      </c>
      <c r="R6674" t="s">
        <v>251</v>
      </c>
    </row>
    <row r="6675" spans="17:18" ht="15" customHeight="1" x14ac:dyDescent="0.25">
      <c r="Q6675" t="s">
        <v>7611</v>
      </c>
      <c r="R6675" t="s">
        <v>227</v>
      </c>
    </row>
    <row r="6676" spans="17:18" ht="15" customHeight="1" x14ac:dyDescent="0.25">
      <c r="Q6676" t="s">
        <v>7612</v>
      </c>
      <c r="R6676" t="s">
        <v>251</v>
      </c>
    </row>
    <row r="6677" spans="17:18" ht="15" customHeight="1" x14ac:dyDescent="0.25">
      <c r="Q6677" t="s">
        <v>7613</v>
      </c>
      <c r="R6677" t="s">
        <v>251</v>
      </c>
    </row>
    <row r="6678" spans="17:18" ht="15" customHeight="1" x14ac:dyDescent="0.25">
      <c r="Q6678" t="s">
        <v>7614</v>
      </c>
      <c r="R6678" t="s">
        <v>251</v>
      </c>
    </row>
    <row r="6679" spans="17:18" ht="15" customHeight="1" x14ac:dyDescent="0.25">
      <c r="Q6679" t="s">
        <v>7615</v>
      </c>
      <c r="R6679" t="s">
        <v>251</v>
      </c>
    </row>
    <row r="6680" spans="17:18" ht="15" customHeight="1" x14ac:dyDescent="0.25">
      <c r="Q6680" t="s">
        <v>7616</v>
      </c>
      <c r="R6680" t="s">
        <v>251</v>
      </c>
    </row>
    <row r="6681" spans="17:18" ht="15" customHeight="1" x14ac:dyDescent="0.25">
      <c r="Q6681" t="s">
        <v>7617</v>
      </c>
      <c r="R6681" t="s">
        <v>251</v>
      </c>
    </row>
    <row r="6682" spans="17:18" ht="15" customHeight="1" x14ac:dyDescent="0.25">
      <c r="Q6682" t="s">
        <v>7618</v>
      </c>
      <c r="R6682" t="s">
        <v>245</v>
      </c>
    </row>
    <row r="6683" spans="17:18" ht="15" customHeight="1" x14ac:dyDescent="0.25">
      <c r="Q6683" t="s">
        <v>7619</v>
      </c>
      <c r="R6683" t="s">
        <v>235</v>
      </c>
    </row>
    <row r="6684" spans="17:18" ht="15" customHeight="1" x14ac:dyDescent="0.25">
      <c r="Q6684" t="s">
        <v>7620</v>
      </c>
      <c r="R6684" t="s">
        <v>235</v>
      </c>
    </row>
    <row r="6685" spans="17:18" ht="15" customHeight="1" x14ac:dyDescent="0.25">
      <c r="Q6685" t="s">
        <v>7621</v>
      </c>
      <c r="R6685" t="s">
        <v>245</v>
      </c>
    </row>
    <row r="6686" spans="17:18" ht="15" customHeight="1" x14ac:dyDescent="0.25">
      <c r="Q6686" t="s">
        <v>7622</v>
      </c>
      <c r="R6686" t="s">
        <v>245</v>
      </c>
    </row>
    <row r="6687" spans="17:18" ht="15" customHeight="1" x14ac:dyDescent="0.25">
      <c r="Q6687" t="s">
        <v>7623</v>
      </c>
      <c r="R6687" t="s">
        <v>245</v>
      </c>
    </row>
    <row r="6688" spans="17:18" ht="15" customHeight="1" x14ac:dyDescent="0.25">
      <c r="Q6688" t="s">
        <v>7624</v>
      </c>
      <c r="R6688" t="s">
        <v>245</v>
      </c>
    </row>
    <row r="6689" spans="17:18" ht="15" customHeight="1" x14ac:dyDescent="0.25">
      <c r="Q6689" t="s">
        <v>7625</v>
      </c>
      <c r="R6689" t="s">
        <v>245</v>
      </c>
    </row>
    <row r="6690" spans="17:18" ht="15" customHeight="1" x14ac:dyDescent="0.25">
      <c r="Q6690" t="s">
        <v>7626</v>
      </c>
      <c r="R6690" t="s">
        <v>245</v>
      </c>
    </row>
    <row r="6691" spans="17:18" ht="15" customHeight="1" x14ac:dyDescent="0.25">
      <c r="Q6691" t="s">
        <v>7627</v>
      </c>
      <c r="R6691" t="s">
        <v>245</v>
      </c>
    </row>
    <row r="6692" spans="17:18" ht="15" customHeight="1" x14ac:dyDescent="0.25">
      <c r="Q6692" t="s">
        <v>7628</v>
      </c>
      <c r="R6692" t="s">
        <v>245</v>
      </c>
    </row>
    <row r="6693" spans="17:18" ht="15" customHeight="1" x14ac:dyDescent="0.25">
      <c r="Q6693" t="s">
        <v>7629</v>
      </c>
      <c r="R6693" t="s">
        <v>245</v>
      </c>
    </row>
    <row r="6694" spans="17:18" ht="15" customHeight="1" x14ac:dyDescent="0.25">
      <c r="Q6694" t="s">
        <v>7630</v>
      </c>
      <c r="R6694" t="s">
        <v>245</v>
      </c>
    </row>
    <row r="6695" spans="17:18" ht="15" customHeight="1" x14ac:dyDescent="0.25">
      <c r="Q6695" t="s">
        <v>7631</v>
      </c>
      <c r="R6695" t="s">
        <v>245</v>
      </c>
    </row>
    <row r="6696" spans="17:18" ht="15" customHeight="1" x14ac:dyDescent="0.25">
      <c r="Q6696" t="s">
        <v>7632</v>
      </c>
      <c r="R6696" t="s">
        <v>245</v>
      </c>
    </row>
    <row r="6697" spans="17:18" ht="15" customHeight="1" x14ac:dyDescent="0.25">
      <c r="Q6697" t="s">
        <v>7633</v>
      </c>
      <c r="R6697" t="s">
        <v>235</v>
      </c>
    </row>
    <row r="6698" spans="17:18" ht="15" customHeight="1" x14ac:dyDescent="0.25">
      <c r="Q6698" t="s">
        <v>7634</v>
      </c>
      <c r="R6698" t="s">
        <v>237</v>
      </c>
    </row>
    <row r="6699" spans="17:18" ht="15" customHeight="1" x14ac:dyDescent="0.25">
      <c r="Q6699" t="s">
        <v>7635</v>
      </c>
      <c r="R6699" t="s">
        <v>237</v>
      </c>
    </row>
    <row r="6700" spans="17:18" ht="15" customHeight="1" x14ac:dyDescent="0.25">
      <c r="Q6700" t="s">
        <v>7636</v>
      </c>
      <c r="R6700" t="s">
        <v>237</v>
      </c>
    </row>
    <row r="6701" spans="17:18" ht="15" customHeight="1" x14ac:dyDescent="0.25">
      <c r="Q6701" t="s">
        <v>7637</v>
      </c>
      <c r="R6701" t="s">
        <v>237</v>
      </c>
    </row>
    <row r="6702" spans="17:18" ht="15" customHeight="1" x14ac:dyDescent="0.25">
      <c r="Q6702" t="s">
        <v>7638</v>
      </c>
      <c r="R6702" t="s">
        <v>235</v>
      </c>
    </row>
    <row r="6703" spans="17:18" ht="15" customHeight="1" x14ac:dyDescent="0.25">
      <c r="Q6703" t="s">
        <v>7639</v>
      </c>
      <c r="R6703" t="s">
        <v>245</v>
      </c>
    </row>
    <row r="6704" spans="17:18" ht="15" customHeight="1" x14ac:dyDescent="0.25">
      <c r="Q6704" t="s">
        <v>7640</v>
      </c>
      <c r="R6704" t="s">
        <v>235</v>
      </c>
    </row>
    <row r="6705" spans="17:18" ht="15" customHeight="1" x14ac:dyDescent="0.25">
      <c r="Q6705" t="s">
        <v>7641</v>
      </c>
      <c r="R6705" t="s">
        <v>235</v>
      </c>
    </row>
    <row r="6706" spans="17:18" ht="15" customHeight="1" x14ac:dyDescent="0.25">
      <c r="Q6706" t="s">
        <v>7642</v>
      </c>
      <c r="R6706" t="s">
        <v>235</v>
      </c>
    </row>
    <row r="6707" spans="17:18" ht="15" customHeight="1" x14ac:dyDescent="0.25">
      <c r="Q6707" t="s">
        <v>7643</v>
      </c>
      <c r="R6707" t="s">
        <v>235</v>
      </c>
    </row>
    <row r="6708" spans="17:18" ht="15" customHeight="1" x14ac:dyDescent="0.25">
      <c r="Q6708" t="s">
        <v>7644</v>
      </c>
      <c r="R6708" t="s">
        <v>235</v>
      </c>
    </row>
    <row r="6709" spans="17:18" ht="15" customHeight="1" x14ac:dyDescent="0.25">
      <c r="Q6709" t="s">
        <v>7645</v>
      </c>
      <c r="R6709" t="s">
        <v>235</v>
      </c>
    </row>
    <row r="6710" spans="17:18" ht="15" customHeight="1" x14ac:dyDescent="0.25">
      <c r="Q6710" t="s">
        <v>7646</v>
      </c>
      <c r="R6710" t="s">
        <v>235</v>
      </c>
    </row>
    <row r="6711" spans="17:18" ht="15" customHeight="1" x14ac:dyDescent="0.25">
      <c r="Q6711" t="s">
        <v>7647</v>
      </c>
      <c r="R6711" t="s">
        <v>235</v>
      </c>
    </row>
    <row r="6712" spans="17:18" ht="15" customHeight="1" x14ac:dyDescent="0.25">
      <c r="Q6712" t="s">
        <v>7648</v>
      </c>
      <c r="R6712" t="s">
        <v>235</v>
      </c>
    </row>
    <row r="6713" spans="17:18" ht="15" customHeight="1" x14ac:dyDescent="0.25">
      <c r="Q6713" t="s">
        <v>7649</v>
      </c>
      <c r="R6713" t="s">
        <v>235</v>
      </c>
    </row>
    <row r="6714" spans="17:18" ht="15" customHeight="1" x14ac:dyDescent="0.25">
      <c r="Q6714" t="s">
        <v>7650</v>
      </c>
      <c r="R6714" t="s">
        <v>235</v>
      </c>
    </row>
    <row r="6715" spans="17:18" ht="15" customHeight="1" x14ac:dyDescent="0.25">
      <c r="Q6715" t="s">
        <v>7651</v>
      </c>
      <c r="R6715" t="s">
        <v>235</v>
      </c>
    </row>
    <row r="6716" spans="17:18" ht="15" customHeight="1" x14ac:dyDescent="0.25">
      <c r="Q6716" t="s">
        <v>7652</v>
      </c>
      <c r="R6716" t="s">
        <v>235</v>
      </c>
    </row>
    <row r="6717" spans="17:18" ht="15" customHeight="1" x14ac:dyDescent="0.25">
      <c r="Q6717" t="s">
        <v>7653</v>
      </c>
      <c r="R6717" t="s">
        <v>235</v>
      </c>
    </row>
    <row r="6718" spans="17:18" ht="15" customHeight="1" x14ac:dyDescent="0.25">
      <c r="Q6718" t="s">
        <v>7654</v>
      </c>
      <c r="R6718" t="s">
        <v>235</v>
      </c>
    </row>
    <row r="6719" spans="17:18" ht="15" customHeight="1" x14ac:dyDescent="0.25">
      <c r="Q6719" t="s">
        <v>7655</v>
      </c>
      <c r="R6719" t="s">
        <v>235</v>
      </c>
    </row>
    <row r="6720" spans="17:18" ht="15" customHeight="1" x14ac:dyDescent="0.25">
      <c r="Q6720" t="s">
        <v>7656</v>
      </c>
      <c r="R6720" t="s">
        <v>235</v>
      </c>
    </row>
    <row r="6721" spans="17:18" ht="15" customHeight="1" x14ac:dyDescent="0.25">
      <c r="Q6721" t="s">
        <v>7657</v>
      </c>
      <c r="R6721" t="s">
        <v>235</v>
      </c>
    </row>
    <row r="6722" spans="17:18" ht="15" customHeight="1" x14ac:dyDescent="0.25">
      <c r="Q6722" t="s">
        <v>7658</v>
      </c>
      <c r="R6722" t="s">
        <v>235</v>
      </c>
    </row>
    <row r="6723" spans="17:18" ht="15" customHeight="1" x14ac:dyDescent="0.25">
      <c r="Q6723" t="s">
        <v>7659</v>
      </c>
      <c r="R6723" t="s">
        <v>235</v>
      </c>
    </row>
    <row r="6724" spans="17:18" ht="15" customHeight="1" x14ac:dyDescent="0.25">
      <c r="Q6724" t="s">
        <v>7660</v>
      </c>
      <c r="R6724" t="s">
        <v>235</v>
      </c>
    </row>
    <row r="6725" spans="17:18" ht="15" customHeight="1" x14ac:dyDescent="0.25">
      <c r="Q6725" t="s">
        <v>7661</v>
      </c>
      <c r="R6725" t="s">
        <v>235</v>
      </c>
    </row>
    <row r="6726" spans="17:18" ht="15" customHeight="1" x14ac:dyDescent="0.25">
      <c r="Q6726" t="s">
        <v>7662</v>
      </c>
      <c r="R6726" t="s">
        <v>235</v>
      </c>
    </row>
    <row r="6727" spans="17:18" ht="15" customHeight="1" x14ac:dyDescent="0.25">
      <c r="Q6727" t="s">
        <v>7663</v>
      </c>
      <c r="R6727" t="s">
        <v>235</v>
      </c>
    </row>
    <row r="6728" spans="17:18" ht="15" customHeight="1" x14ac:dyDescent="0.25">
      <c r="Q6728" t="s">
        <v>7664</v>
      </c>
      <c r="R6728" t="s">
        <v>235</v>
      </c>
    </row>
    <row r="6729" spans="17:18" ht="15" customHeight="1" x14ac:dyDescent="0.25">
      <c r="Q6729" t="s">
        <v>7665</v>
      </c>
      <c r="R6729" t="s">
        <v>235</v>
      </c>
    </row>
    <row r="6730" spans="17:18" ht="15" customHeight="1" x14ac:dyDescent="0.25">
      <c r="Q6730" t="s">
        <v>7666</v>
      </c>
      <c r="R6730" t="s">
        <v>235</v>
      </c>
    </row>
    <row r="6731" spans="17:18" ht="15" customHeight="1" x14ac:dyDescent="0.25">
      <c r="Q6731" t="s">
        <v>7667</v>
      </c>
      <c r="R6731" t="s">
        <v>235</v>
      </c>
    </row>
    <row r="6732" spans="17:18" ht="15" customHeight="1" x14ac:dyDescent="0.25">
      <c r="Q6732" t="s">
        <v>7668</v>
      </c>
      <c r="R6732" t="s">
        <v>235</v>
      </c>
    </row>
    <row r="6733" spans="17:18" ht="15" customHeight="1" x14ac:dyDescent="0.25">
      <c r="Q6733" t="s">
        <v>7669</v>
      </c>
      <c r="R6733" t="s">
        <v>235</v>
      </c>
    </row>
    <row r="6734" spans="17:18" ht="15" customHeight="1" x14ac:dyDescent="0.25">
      <c r="Q6734" t="s">
        <v>7670</v>
      </c>
      <c r="R6734" t="s">
        <v>235</v>
      </c>
    </row>
    <row r="6735" spans="17:18" ht="15" customHeight="1" x14ac:dyDescent="0.25">
      <c r="Q6735" t="s">
        <v>7671</v>
      </c>
      <c r="R6735" t="s">
        <v>235</v>
      </c>
    </row>
    <row r="6736" spans="17:18" ht="15" customHeight="1" x14ac:dyDescent="0.25">
      <c r="Q6736" t="s">
        <v>7672</v>
      </c>
      <c r="R6736" t="s">
        <v>235</v>
      </c>
    </row>
    <row r="6737" spans="17:18" ht="15" customHeight="1" x14ac:dyDescent="0.25">
      <c r="Q6737" t="s">
        <v>7673</v>
      </c>
      <c r="R6737" t="s">
        <v>235</v>
      </c>
    </row>
    <row r="6738" spans="17:18" ht="15" customHeight="1" x14ac:dyDescent="0.25">
      <c r="Q6738" t="s">
        <v>7674</v>
      </c>
      <c r="R6738" t="s">
        <v>235</v>
      </c>
    </row>
    <row r="6739" spans="17:18" ht="15" customHeight="1" x14ac:dyDescent="0.25">
      <c r="Q6739" t="s">
        <v>7675</v>
      </c>
      <c r="R6739" t="s">
        <v>235</v>
      </c>
    </row>
    <row r="6740" spans="17:18" ht="15" customHeight="1" x14ac:dyDescent="0.25">
      <c r="Q6740" t="s">
        <v>7676</v>
      </c>
      <c r="R6740" t="s">
        <v>235</v>
      </c>
    </row>
    <row r="6741" spans="17:18" ht="15" customHeight="1" x14ac:dyDescent="0.25">
      <c r="Q6741" t="s">
        <v>7677</v>
      </c>
      <c r="R6741" t="s">
        <v>235</v>
      </c>
    </row>
    <row r="6742" spans="17:18" ht="15" customHeight="1" x14ac:dyDescent="0.25">
      <c r="Q6742" t="s">
        <v>7678</v>
      </c>
      <c r="R6742" t="s">
        <v>235</v>
      </c>
    </row>
    <row r="6743" spans="17:18" ht="15" customHeight="1" x14ac:dyDescent="0.25">
      <c r="Q6743" t="s">
        <v>7679</v>
      </c>
      <c r="R6743" t="s">
        <v>235</v>
      </c>
    </row>
    <row r="6744" spans="17:18" ht="15" customHeight="1" x14ac:dyDescent="0.25">
      <c r="Q6744" t="s">
        <v>7680</v>
      </c>
      <c r="R6744" t="s">
        <v>235</v>
      </c>
    </row>
    <row r="6745" spans="17:18" ht="15" customHeight="1" x14ac:dyDescent="0.25">
      <c r="Q6745" t="s">
        <v>7681</v>
      </c>
      <c r="R6745" t="s">
        <v>235</v>
      </c>
    </row>
    <row r="6746" spans="17:18" ht="15" customHeight="1" x14ac:dyDescent="0.25">
      <c r="Q6746" t="s">
        <v>7682</v>
      </c>
      <c r="R6746" t="s">
        <v>235</v>
      </c>
    </row>
    <row r="6747" spans="17:18" ht="15" customHeight="1" x14ac:dyDescent="0.25">
      <c r="Q6747" t="s">
        <v>7683</v>
      </c>
      <c r="R6747" t="s">
        <v>235</v>
      </c>
    </row>
    <row r="6748" spans="17:18" ht="15" customHeight="1" x14ac:dyDescent="0.25">
      <c r="Q6748" t="s">
        <v>7684</v>
      </c>
      <c r="R6748" t="s">
        <v>235</v>
      </c>
    </row>
    <row r="6749" spans="17:18" ht="15" customHeight="1" x14ac:dyDescent="0.25">
      <c r="Q6749" t="s">
        <v>7685</v>
      </c>
      <c r="R6749" t="s">
        <v>235</v>
      </c>
    </row>
    <row r="6750" spans="17:18" ht="15" customHeight="1" x14ac:dyDescent="0.25">
      <c r="Q6750" t="s">
        <v>7686</v>
      </c>
      <c r="R6750" t="s">
        <v>235</v>
      </c>
    </row>
    <row r="6751" spans="17:18" ht="15" customHeight="1" x14ac:dyDescent="0.25">
      <c r="Q6751" t="s">
        <v>7687</v>
      </c>
      <c r="R6751" t="s">
        <v>235</v>
      </c>
    </row>
    <row r="6752" spans="17:18" ht="15" customHeight="1" x14ac:dyDescent="0.25">
      <c r="Q6752" t="s">
        <v>7688</v>
      </c>
      <c r="R6752" t="s">
        <v>235</v>
      </c>
    </row>
    <row r="6753" spans="17:18" ht="15" customHeight="1" x14ac:dyDescent="0.25">
      <c r="Q6753" t="s">
        <v>7689</v>
      </c>
      <c r="R6753" t="s">
        <v>235</v>
      </c>
    </row>
    <row r="6754" spans="17:18" ht="15" customHeight="1" x14ac:dyDescent="0.25">
      <c r="Q6754" t="s">
        <v>7690</v>
      </c>
      <c r="R6754" t="s">
        <v>235</v>
      </c>
    </row>
    <row r="6755" spans="17:18" ht="15" customHeight="1" x14ac:dyDescent="0.25">
      <c r="Q6755" t="s">
        <v>7691</v>
      </c>
      <c r="R6755" t="s">
        <v>235</v>
      </c>
    </row>
    <row r="6756" spans="17:18" ht="15" customHeight="1" x14ac:dyDescent="0.25">
      <c r="Q6756" t="s">
        <v>7692</v>
      </c>
      <c r="R6756" t="s">
        <v>235</v>
      </c>
    </row>
    <row r="6757" spans="17:18" ht="15" customHeight="1" x14ac:dyDescent="0.25">
      <c r="Q6757" t="s">
        <v>7693</v>
      </c>
      <c r="R6757" t="s">
        <v>235</v>
      </c>
    </row>
    <row r="6758" spans="17:18" ht="15" customHeight="1" x14ac:dyDescent="0.25">
      <c r="Q6758" t="s">
        <v>7694</v>
      </c>
      <c r="R6758" t="s">
        <v>235</v>
      </c>
    </row>
    <row r="6759" spans="17:18" ht="15" customHeight="1" x14ac:dyDescent="0.25">
      <c r="Q6759" t="s">
        <v>7695</v>
      </c>
      <c r="R6759" t="s">
        <v>235</v>
      </c>
    </row>
    <row r="6760" spans="17:18" ht="15" customHeight="1" x14ac:dyDescent="0.25">
      <c r="Q6760" t="s">
        <v>7696</v>
      </c>
      <c r="R6760" t="s">
        <v>235</v>
      </c>
    </row>
    <row r="6761" spans="17:18" ht="15" customHeight="1" x14ac:dyDescent="0.25">
      <c r="Q6761" t="s">
        <v>7697</v>
      </c>
      <c r="R6761" t="s">
        <v>235</v>
      </c>
    </row>
    <row r="6762" spans="17:18" ht="15" customHeight="1" x14ac:dyDescent="0.25">
      <c r="Q6762" t="s">
        <v>7698</v>
      </c>
      <c r="R6762" t="s">
        <v>235</v>
      </c>
    </row>
    <row r="6763" spans="17:18" ht="15" customHeight="1" x14ac:dyDescent="0.25">
      <c r="Q6763" t="s">
        <v>7699</v>
      </c>
      <c r="R6763" t="s">
        <v>235</v>
      </c>
    </row>
    <row r="6764" spans="17:18" ht="15" customHeight="1" x14ac:dyDescent="0.25">
      <c r="Q6764" t="s">
        <v>7700</v>
      </c>
      <c r="R6764" t="s">
        <v>235</v>
      </c>
    </row>
    <row r="6765" spans="17:18" ht="15" customHeight="1" x14ac:dyDescent="0.25">
      <c r="Q6765" t="s">
        <v>7701</v>
      </c>
      <c r="R6765" t="s">
        <v>235</v>
      </c>
    </row>
    <row r="6766" spans="17:18" ht="15" customHeight="1" x14ac:dyDescent="0.25">
      <c r="Q6766" t="s">
        <v>7702</v>
      </c>
      <c r="R6766" t="s">
        <v>235</v>
      </c>
    </row>
    <row r="6767" spans="17:18" ht="15" customHeight="1" x14ac:dyDescent="0.25">
      <c r="Q6767" t="s">
        <v>7703</v>
      </c>
      <c r="R6767" t="s">
        <v>235</v>
      </c>
    </row>
    <row r="6768" spans="17:18" ht="15" customHeight="1" x14ac:dyDescent="0.25">
      <c r="Q6768" t="s">
        <v>7704</v>
      </c>
      <c r="R6768" t="s">
        <v>235</v>
      </c>
    </row>
    <row r="6769" spans="17:18" ht="15" customHeight="1" x14ac:dyDescent="0.25">
      <c r="Q6769" t="s">
        <v>7705</v>
      </c>
      <c r="R6769" t="s">
        <v>235</v>
      </c>
    </row>
    <row r="6770" spans="17:18" ht="15" customHeight="1" x14ac:dyDescent="0.25">
      <c r="Q6770" t="s">
        <v>7706</v>
      </c>
      <c r="R6770" t="s">
        <v>235</v>
      </c>
    </row>
    <row r="6771" spans="17:18" ht="15" customHeight="1" x14ac:dyDescent="0.25">
      <c r="Q6771" t="s">
        <v>7707</v>
      </c>
      <c r="R6771" t="s">
        <v>235</v>
      </c>
    </row>
    <row r="6772" spans="17:18" ht="15" customHeight="1" x14ac:dyDescent="0.25">
      <c r="Q6772" t="s">
        <v>7708</v>
      </c>
      <c r="R6772" t="s">
        <v>247</v>
      </c>
    </row>
    <row r="6773" spans="17:18" ht="15" customHeight="1" x14ac:dyDescent="0.25">
      <c r="Q6773" t="s">
        <v>7709</v>
      </c>
      <c r="R6773" t="s">
        <v>235</v>
      </c>
    </row>
    <row r="6774" spans="17:18" ht="15" customHeight="1" x14ac:dyDescent="0.25">
      <c r="Q6774" t="s">
        <v>7710</v>
      </c>
      <c r="R6774" t="s">
        <v>245</v>
      </c>
    </row>
    <row r="6775" spans="17:18" ht="15" customHeight="1" x14ac:dyDescent="0.25">
      <c r="Q6775" t="s">
        <v>7711</v>
      </c>
      <c r="R6775" t="s">
        <v>245</v>
      </c>
    </row>
    <row r="6776" spans="17:18" ht="15" customHeight="1" x14ac:dyDescent="0.25">
      <c r="Q6776" t="s">
        <v>7712</v>
      </c>
      <c r="R6776" t="s">
        <v>235</v>
      </c>
    </row>
    <row r="6777" spans="17:18" ht="15" customHeight="1" x14ac:dyDescent="0.25">
      <c r="Q6777" t="s">
        <v>7713</v>
      </c>
      <c r="R6777" t="s">
        <v>235</v>
      </c>
    </row>
    <row r="6778" spans="17:18" ht="15" customHeight="1" x14ac:dyDescent="0.25">
      <c r="Q6778" t="s">
        <v>7714</v>
      </c>
      <c r="R6778" t="s">
        <v>235</v>
      </c>
    </row>
    <row r="6779" spans="17:18" ht="15" customHeight="1" x14ac:dyDescent="0.25">
      <c r="Q6779" t="s">
        <v>7715</v>
      </c>
      <c r="R6779" t="s">
        <v>235</v>
      </c>
    </row>
    <row r="6780" spans="17:18" ht="15" customHeight="1" x14ac:dyDescent="0.25">
      <c r="Q6780" t="s">
        <v>7716</v>
      </c>
      <c r="R6780" t="s">
        <v>235</v>
      </c>
    </row>
    <row r="6781" spans="17:18" ht="15" customHeight="1" x14ac:dyDescent="0.25">
      <c r="Q6781" t="s">
        <v>7717</v>
      </c>
      <c r="R6781" t="s">
        <v>235</v>
      </c>
    </row>
    <row r="6782" spans="17:18" ht="15" customHeight="1" x14ac:dyDescent="0.25">
      <c r="Q6782" t="s">
        <v>7718</v>
      </c>
      <c r="R6782" t="s">
        <v>235</v>
      </c>
    </row>
    <row r="6783" spans="17:18" ht="15" customHeight="1" x14ac:dyDescent="0.25">
      <c r="Q6783" t="s">
        <v>7719</v>
      </c>
      <c r="R6783" t="s">
        <v>235</v>
      </c>
    </row>
    <row r="6784" spans="17:18" ht="15" customHeight="1" x14ac:dyDescent="0.25">
      <c r="Q6784" t="s">
        <v>7720</v>
      </c>
      <c r="R6784" t="s">
        <v>235</v>
      </c>
    </row>
    <row r="6785" spans="17:18" ht="15" customHeight="1" x14ac:dyDescent="0.25">
      <c r="Q6785" t="s">
        <v>7721</v>
      </c>
      <c r="R6785" t="s">
        <v>235</v>
      </c>
    </row>
    <row r="6786" spans="17:18" ht="15" customHeight="1" x14ac:dyDescent="0.25">
      <c r="Q6786" t="s">
        <v>7722</v>
      </c>
      <c r="R6786" t="s">
        <v>239</v>
      </c>
    </row>
    <row r="6787" spans="17:18" ht="15" customHeight="1" x14ac:dyDescent="0.25">
      <c r="Q6787" t="s">
        <v>7723</v>
      </c>
      <c r="R6787" t="s">
        <v>239</v>
      </c>
    </row>
    <row r="6788" spans="17:18" ht="15" customHeight="1" x14ac:dyDescent="0.25">
      <c r="Q6788" t="s">
        <v>7724</v>
      </c>
      <c r="R6788" t="s">
        <v>235</v>
      </c>
    </row>
    <row r="6789" spans="17:18" ht="15" customHeight="1" x14ac:dyDescent="0.25">
      <c r="Q6789" t="s">
        <v>7725</v>
      </c>
      <c r="R6789" t="s">
        <v>235</v>
      </c>
    </row>
    <row r="6790" spans="17:18" ht="15" customHeight="1" x14ac:dyDescent="0.25">
      <c r="Q6790" t="s">
        <v>7726</v>
      </c>
      <c r="R6790" t="s">
        <v>235</v>
      </c>
    </row>
    <row r="6791" spans="17:18" ht="15" customHeight="1" x14ac:dyDescent="0.25">
      <c r="Q6791" t="s">
        <v>7727</v>
      </c>
      <c r="R6791" t="s">
        <v>235</v>
      </c>
    </row>
    <row r="6792" spans="17:18" ht="15" customHeight="1" x14ac:dyDescent="0.25">
      <c r="Q6792" t="s">
        <v>7728</v>
      </c>
      <c r="R6792" t="s">
        <v>235</v>
      </c>
    </row>
    <row r="6793" spans="17:18" ht="15" customHeight="1" x14ac:dyDescent="0.25">
      <c r="Q6793" t="s">
        <v>7729</v>
      </c>
      <c r="R6793" t="s">
        <v>235</v>
      </c>
    </row>
    <row r="6794" spans="17:18" ht="15" customHeight="1" x14ac:dyDescent="0.25">
      <c r="Q6794" t="s">
        <v>7730</v>
      </c>
      <c r="R6794" t="s">
        <v>235</v>
      </c>
    </row>
    <row r="6795" spans="17:18" ht="15" customHeight="1" x14ac:dyDescent="0.25">
      <c r="Q6795" t="s">
        <v>7731</v>
      </c>
      <c r="R6795" t="s">
        <v>235</v>
      </c>
    </row>
    <row r="6796" spans="17:18" ht="15" customHeight="1" x14ac:dyDescent="0.25">
      <c r="Q6796" t="s">
        <v>7732</v>
      </c>
      <c r="R6796" t="s">
        <v>235</v>
      </c>
    </row>
    <row r="6797" spans="17:18" ht="15" customHeight="1" x14ac:dyDescent="0.25">
      <c r="Q6797" t="s">
        <v>7733</v>
      </c>
      <c r="R6797" t="s">
        <v>235</v>
      </c>
    </row>
    <row r="6798" spans="17:18" ht="15" customHeight="1" x14ac:dyDescent="0.25">
      <c r="Q6798" t="s">
        <v>7734</v>
      </c>
      <c r="R6798" t="s">
        <v>235</v>
      </c>
    </row>
    <row r="6799" spans="17:18" ht="15" customHeight="1" x14ac:dyDescent="0.25">
      <c r="Q6799" t="s">
        <v>7735</v>
      </c>
      <c r="R6799" t="s">
        <v>235</v>
      </c>
    </row>
    <row r="6800" spans="17:18" ht="15" customHeight="1" x14ac:dyDescent="0.25">
      <c r="Q6800" t="s">
        <v>7736</v>
      </c>
      <c r="R6800" t="s">
        <v>235</v>
      </c>
    </row>
    <row r="6801" spans="17:18" ht="15" customHeight="1" x14ac:dyDescent="0.25">
      <c r="Q6801" t="s">
        <v>7737</v>
      </c>
      <c r="R6801" t="s">
        <v>235</v>
      </c>
    </row>
    <row r="6802" spans="17:18" ht="15" customHeight="1" x14ac:dyDescent="0.25">
      <c r="Q6802" t="s">
        <v>7738</v>
      </c>
      <c r="R6802" t="s">
        <v>235</v>
      </c>
    </row>
    <row r="6803" spans="17:18" ht="15" customHeight="1" x14ac:dyDescent="0.25">
      <c r="Q6803" t="s">
        <v>7739</v>
      </c>
      <c r="R6803" t="s">
        <v>235</v>
      </c>
    </row>
    <row r="6804" spans="17:18" ht="15" customHeight="1" x14ac:dyDescent="0.25">
      <c r="Q6804" t="s">
        <v>7740</v>
      </c>
      <c r="R6804" t="s">
        <v>235</v>
      </c>
    </row>
    <row r="6805" spans="17:18" ht="15" customHeight="1" x14ac:dyDescent="0.25">
      <c r="Q6805" t="s">
        <v>7741</v>
      </c>
      <c r="R6805" t="s">
        <v>235</v>
      </c>
    </row>
    <row r="6806" spans="17:18" ht="15" customHeight="1" x14ac:dyDescent="0.25">
      <c r="Q6806" t="s">
        <v>7742</v>
      </c>
      <c r="R6806" t="s">
        <v>245</v>
      </c>
    </row>
    <row r="6807" spans="17:18" ht="15" customHeight="1" x14ac:dyDescent="0.25">
      <c r="Q6807" t="s">
        <v>7743</v>
      </c>
      <c r="R6807" t="s">
        <v>235</v>
      </c>
    </row>
    <row r="6808" spans="17:18" ht="15" customHeight="1" x14ac:dyDescent="0.25">
      <c r="Q6808" t="s">
        <v>7744</v>
      </c>
      <c r="R6808" t="s">
        <v>235</v>
      </c>
    </row>
    <row r="6809" spans="17:18" ht="15" customHeight="1" x14ac:dyDescent="0.25">
      <c r="Q6809" t="s">
        <v>7745</v>
      </c>
      <c r="R6809" t="s">
        <v>235</v>
      </c>
    </row>
    <row r="6810" spans="17:18" ht="15" customHeight="1" x14ac:dyDescent="0.25">
      <c r="Q6810" t="s">
        <v>7746</v>
      </c>
      <c r="R6810" t="s">
        <v>235</v>
      </c>
    </row>
    <row r="6811" spans="17:18" ht="15" customHeight="1" x14ac:dyDescent="0.25">
      <c r="Q6811" t="s">
        <v>7747</v>
      </c>
      <c r="R6811" t="s">
        <v>235</v>
      </c>
    </row>
    <row r="6812" spans="17:18" ht="15" customHeight="1" x14ac:dyDescent="0.25">
      <c r="Q6812" t="s">
        <v>7748</v>
      </c>
      <c r="R6812" t="s">
        <v>235</v>
      </c>
    </row>
    <row r="6813" spans="17:18" ht="15" customHeight="1" x14ac:dyDescent="0.25">
      <c r="Q6813" t="s">
        <v>7749</v>
      </c>
      <c r="R6813" t="s">
        <v>235</v>
      </c>
    </row>
    <row r="6814" spans="17:18" ht="15" customHeight="1" x14ac:dyDescent="0.25">
      <c r="Q6814" t="s">
        <v>7750</v>
      </c>
      <c r="R6814" t="s">
        <v>235</v>
      </c>
    </row>
    <row r="6815" spans="17:18" ht="15" customHeight="1" x14ac:dyDescent="0.25">
      <c r="Q6815" t="s">
        <v>7751</v>
      </c>
      <c r="R6815" t="s">
        <v>235</v>
      </c>
    </row>
    <row r="6816" spans="17:18" ht="15" customHeight="1" x14ac:dyDescent="0.25">
      <c r="Q6816" t="s">
        <v>7752</v>
      </c>
      <c r="R6816" t="s">
        <v>235</v>
      </c>
    </row>
    <row r="6817" spans="17:18" ht="15" customHeight="1" x14ac:dyDescent="0.25">
      <c r="Q6817" t="s">
        <v>7753</v>
      </c>
      <c r="R6817" t="s">
        <v>235</v>
      </c>
    </row>
    <row r="6818" spans="17:18" ht="15" customHeight="1" x14ac:dyDescent="0.25">
      <c r="Q6818" t="s">
        <v>7754</v>
      </c>
      <c r="R6818" t="s">
        <v>239</v>
      </c>
    </row>
    <row r="6819" spans="17:18" ht="15" customHeight="1" x14ac:dyDescent="0.25">
      <c r="Q6819" t="s">
        <v>7755</v>
      </c>
      <c r="R6819" t="s">
        <v>235</v>
      </c>
    </row>
    <row r="6820" spans="17:18" ht="15" customHeight="1" x14ac:dyDescent="0.25">
      <c r="Q6820" t="s">
        <v>7756</v>
      </c>
      <c r="R6820" t="s">
        <v>235</v>
      </c>
    </row>
    <row r="6821" spans="17:18" ht="15" customHeight="1" x14ac:dyDescent="0.25">
      <c r="Q6821" t="s">
        <v>7757</v>
      </c>
      <c r="R6821" t="s">
        <v>235</v>
      </c>
    </row>
    <row r="6822" spans="17:18" ht="15" customHeight="1" x14ac:dyDescent="0.25">
      <c r="Q6822" t="s">
        <v>7758</v>
      </c>
      <c r="R6822" t="s">
        <v>235</v>
      </c>
    </row>
    <row r="6823" spans="17:18" ht="15" customHeight="1" x14ac:dyDescent="0.25">
      <c r="Q6823" t="s">
        <v>7759</v>
      </c>
      <c r="R6823" t="s">
        <v>235</v>
      </c>
    </row>
    <row r="6824" spans="17:18" ht="15" customHeight="1" x14ac:dyDescent="0.25">
      <c r="Q6824" t="s">
        <v>7760</v>
      </c>
      <c r="R6824" t="s">
        <v>235</v>
      </c>
    </row>
    <row r="6825" spans="17:18" ht="15" customHeight="1" x14ac:dyDescent="0.25">
      <c r="Q6825" t="s">
        <v>7761</v>
      </c>
      <c r="R6825" t="s">
        <v>235</v>
      </c>
    </row>
    <row r="6826" spans="17:18" ht="15" customHeight="1" x14ac:dyDescent="0.25">
      <c r="Q6826" t="s">
        <v>7762</v>
      </c>
      <c r="R6826" t="s">
        <v>235</v>
      </c>
    </row>
    <row r="6827" spans="17:18" ht="15" customHeight="1" x14ac:dyDescent="0.25">
      <c r="Q6827" t="s">
        <v>7763</v>
      </c>
      <c r="R6827" t="s">
        <v>235</v>
      </c>
    </row>
    <row r="6828" spans="17:18" ht="15" customHeight="1" x14ac:dyDescent="0.25">
      <c r="Q6828" t="s">
        <v>7764</v>
      </c>
      <c r="R6828" t="s">
        <v>235</v>
      </c>
    </row>
    <row r="6829" spans="17:18" ht="15" customHeight="1" x14ac:dyDescent="0.25">
      <c r="Q6829" t="s">
        <v>7765</v>
      </c>
      <c r="R6829" t="s">
        <v>235</v>
      </c>
    </row>
    <row r="6830" spans="17:18" ht="15" customHeight="1" x14ac:dyDescent="0.25">
      <c r="Q6830" t="s">
        <v>7766</v>
      </c>
      <c r="R6830" t="s">
        <v>239</v>
      </c>
    </row>
    <row r="6831" spans="17:18" ht="15" customHeight="1" x14ac:dyDescent="0.25">
      <c r="Q6831" t="s">
        <v>7767</v>
      </c>
      <c r="R6831" t="s">
        <v>239</v>
      </c>
    </row>
    <row r="6832" spans="17:18" ht="15" customHeight="1" x14ac:dyDescent="0.25">
      <c r="Q6832" t="s">
        <v>7768</v>
      </c>
      <c r="R6832" t="s">
        <v>239</v>
      </c>
    </row>
    <row r="6833" spans="17:18" ht="15" customHeight="1" x14ac:dyDescent="0.25">
      <c r="Q6833" t="s">
        <v>7769</v>
      </c>
      <c r="R6833" t="s">
        <v>239</v>
      </c>
    </row>
    <row r="6834" spans="17:18" ht="15" customHeight="1" x14ac:dyDescent="0.25">
      <c r="Q6834" t="s">
        <v>7770</v>
      </c>
      <c r="R6834" t="s">
        <v>239</v>
      </c>
    </row>
    <row r="6835" spans="17:18" ht="15" customHeight="1" x14ac:dyDescent="0.25">
      <c r="Q6835" t="s">
        <v>7771</v>
      </c>
      <c r="R6835" t="s">
        <v>239</v>
      </c>
    </row>
    <row r="6836" spans="17:18" ht="15" customHeight="1" x14ac:dyDescent="0.25">
      <c r="Q6836" t="s">
        <v>7772</v>
      </c>
      <c r="R6836" t="s">
        <v>239</v>
      </c>
    </row>
    <row r="6837" spans="17:18" ht="15" customHeight="1" x14ac:dyDescent="0.25">
      <c r="Q6837" t="s">
        <v>7773</v>
      </c>
      <c r="R6837" t="s">
        <v>239</v>
      </c>
    </row>
    <row r="6838" spans="17:18" ht="15" customHeight="1" x14ac:dyDescent="0.25">
      <c r="Q6838" t="s">
        <v>7774</v>
      </c>
      <c r="R6838" t="s">
        <v>243</v>
      </c>
    </row>
    <row r="6839" spans="17:18" ht="15" customHeight="1" x14ac:dyDescent="0.25">
      <c r="Q6839" t="s">
        <v>7775</v>
      </c>
      <c r="R6839" t="s">
        <v>247</v>
      </c>
    </row>
    <row r="6840" spans="17:18" ht="15" customHeight="1" x14ac:dyDescent="0.25">
      <c r="Q6840" t="s">
        <v>7776</v>
      </c>
      <c r="R6840" t="s">
        <v>247</v>
      </c>
    </row>
    <row r="6841" spans="17:18" ht="15" customHeight="1" x14ac:dyDescent="0.25">
      <c r="Q6841" t="s">
        <v>7777</v>
      </c>
      <c r="R6841" t="s">
        <v>247</v>
      </c>
    </row>
    <row r="6842" spans="17:18" ht="15" customHeight="1" x14ac:dyDescent="0.25">
      <c r="Q6842" t="s">
        <v>7778</v>
      </c>
      <c r="R6842" t="s">
        <v>247</v>
      </c>
    </row>
    <row r="6843" spans="17:18" ht="15" customHeight="1" x14ac:dyDescent="0.25">
      <c r="Q6843" t="s">
        <v>7779</v>
      </c>
      <c r="R6843" t="s">
        <v>247</v>
      </c>
    </row>
    <row r="6844" spans="17:18" ht="15" customHeight="1" x14ac:dyDescent="0.25">
      <c r="Q6844" t="s">
        <v>7780</v>
      </c>
      <c r="R6844" t="s">
        <v>247</v>
      </c>
    </row>
    <row r="6845" spans="17:18" ht="15" customHeight="1" x14ac:dyDescent="0.25">
      <c r="Q6845" t="s">
        <v>7781</v>
      </c>
      <c r="R6845" t="s">
        <v>247</v>
      </c>
    </row>
    <row r="6846" spans="17:18" ht="15" customHeight="1" x14ac:dyDescent="0.25">
      <c r="Q6846" t="s">
        <v>7782</v>
      </c>
      <c r="R6846" t="s">
        <v>247</v>
      </c>
    </row>
    <row r="6847" spans="17:18" ht="15" customHeight="1" x14ac:dyDescent="0.25">
      <c r="Q6847" t="s">
        <v>7783</v>
      </c>
      <c r="R6847" t="s">
        <v>247</v>
      </c>
    </row>
    <row r="6848" spans="17:18" ht="15" customHeight="1" x14ac:dyDescent="0.25">
      <c r="Q6848" t="s">
        <v>7784</v>
      </c>
      <c r="R6848" t="s">
        <v>247</v>
      </c>
    </row>
    <row r="6849" spans="17:18" ht="15" customHeight="1" x14ac:dyDescent="0.25">
      <c r="Q6849" t="s">
        <v>7785</v>
      </c>
      <c r="R6849" t="s">
        <v>247</v>
      </c>
    </row>
    <row r="6850" spans="17:18" ht="15" customHeight="1" x14ac:dyDescent="0.25">
      <c r="Q6850" t="s">
        <v>7786</v>
      </c>
      <c r="R6850" t="s">
        <v>247</v>
      </c>
    </row>
    <row r="6851" spans="17:18" ht="15" customHeight="1" x14ac:dyDescent="0.25">
      <c r="Q6851" t="s">
        <v>7787</v>
      </c>
      <c r="R6851" t="s">
        <v>247</v>
      </c>
    </row>
    <row r="6852" spans="17:18" ht="15" customHeight="1" x14ac:dyDescent="0.25">
      <c r="Q6852" t="s">
        <v>7788</v>
      </c>
      <c r="R6852" t="s">
        <v>247</v>
      </c>
    </row>
    <row r="6853" spans="17:18" ht="15" customHeight="1" x14ac:dyDescent="0.25">
      <c r="Q6853" t="s">
        <v>7789</v>
      </c>
      <c r="R6853" t="s">
        <v>247</v>
      </c>
    </row>
    <row r="6854" spans="17:18" ht="15" customHeight="1" x14ac:dyDescent="0.25">
      <c r="Q6854" t="s">
        <v>7790</v>
      </c>
      <c r="R6854" t="s">
        <v>247</v>
      </c>
    </row>
    <row r="6855" spans="17:18" ht="15" customHeight="1" x14ac:dyDescent="0.25">
      <c r="Q6855" t="s">
        <v>7791</v>
      </c>
      <c r="R6855" t="s">
        <v>247</v>
      </c>
    </row>
    <row r="6856" spans="17:18" ht="15" customHeight="1" x14ac:dyDescent="0.25">
      <c r="Q6856" t="s">
        <v>7792</v>
      </c>
      <c r="R6856" t="s">
        <v>247</v>
      </c>
    </row>
    <row r="6857" spans="17:18" ht="15" customHeight="1" x14ac:dyDescent="0.25">
      <c r="Q6857" t="s">
        <v>7793</v>
      </c>
      <c r="R6857" t="s">
        <v>247</v>
      </c>
    </row>
    <row r="6858" spans="17:18" ht="15" customHeight="1" x14ac:dyDescent="0.25">
      <c r="Q6858" t="s">
        <v>7794</v>
      </c>
      <c r="R6858" t="s">
        <v>247</v>
      </c>
    </row>
    <row r="6859" spans="17:18" ht="15" customHeight="1" x14ac:dyDescent="0.25">
      <c r="Q6859" t="s">
        <v>7795</v>
      </c>
      <c r="R6859" t="s">
        <v>247</v>
      </c>
    </row>
    <row r="6860" spans="17:18" ht="15" customHeight="1" x14ac:dyDescent="0.25">
      <c r="Q6860" t="s">
        <v>7796</v>
      </c>
      <c r="R6860" t="s">
        <v>247</v>
      </c>
    </row>
    <row r="6861" spans="17:18" ht="15" customHeight="1" x14ac:dyDescent="0.25">
      <c r="Q6861" t="s">
        <v>7797</v>
      </c>
      <c r="R6861" t="s">
        <v>247</v>
      </c>
    </row>
    <row r="6862" spans="17:18" ht="15" customHeight="1" x14ac:dyDescent="0.25">
      <c r="Q6862" t="s">
        <v>7798</v>
      </c>
      <c r="R6862" t="s">
        <v>247</v>
      </c>
    </row>
    <row r="6863" spans="17:18" ht="15" customHeight="1" x14ac:dyDescent="0.25">
      <c r="Q6863" t="s">
        <v>7799</v>
      </c>
      <c r="R6863" t="s">
        <v>247</v>
      </c>
    </row>
    <row r="6864" spans="17:18" ht="15" customHeight="1" x14ac:dyDescent="0.25">
      <c r="Q6864" t="s">
        <v>7800</v>
      </c>
      <c r="R6864" t="s">
        <v>247</v>
      </c>
    </row>
    <row r="6865" spans="17:18" ht="15" customHeight="1" x14ac:dyDescent="0.25">
      <c r="Q6865" t="s">
        <v>7801</v>
      </c>
      <c r="R6865" t="s">
        <v>247</v>
      </c>
    </row>
    <row r="6866" spans="17:18" ht="15" customHeight="1" x14ac:dyDescent="0.25">
      <c r="Q6866" t="s">
        <v>7802</v>
      </c>
      <c r="R6866" t="s">
        <v>247</v>
      </c>
    </row>
    <row r="6867" spans="17:18" ht="15" customHeight="1" x14ac:dyDescent="0.25">
      <c r="Q6867" t="s">
        <v>7803</v>
      </c>
      <c r="R6867" t="s">
        <v>247</v>
      </c>
    </row>
    <row r="6868" spans="17:18" ht="15" customHeight="1" x14ac:dyDescent="0.25">
      <c r="Q6868" t="s">
        <v>7804</v>
      </c>
      <c r="R6868" t="s">
        <v>247</v>
      </c>
    </row>
    <row r="6869" spans="17:18" ht="15" customHeight="1" x14ac:dyDescent="0.25">
      <c r="Q6869" t="s">
        <v>7805</v>
      </c>
      <c r="R6869" t="s">
        <v>247</v>
      </c>
    </row>
    <row r="6870" spans="17:18" ht="15" customHeight="1" x14ac:dyDescent="0.25">
      <c r="Q6870" t="s">
        <v>7806</v>
      </c>
      <c r="R6870" t="s">
        <v>247</v>
      </c>
    </row>
    <row r="6871" spans="17:18" ht="15" customHeight="1" x14ac:dyDescent="0.25">
      <c r="Q6871" t="s">
        <v>7807</v>
      </c>
      <c r="R6871" t="s">
        <v>247</v>
      </c>
    </row>
    <row r="6872" spans="17:18" ht="15" customHeight="1" x14ac:dyDescent="0.25">
      <c r="Q6872" t="s">
        <v>7808</v>
      </c>
      <c r="R6872" t="s">
        <v>251</v>
      </c>
    </row>
    <row r="6873" spans="17:18" ht="15" customHeight="1" x14ac:dyDescent="0.25">
      <c r="Q6873" t="s">
        <v>7809</v>
      </c>
      <c r="R6873" t="s">
        <v>239</v>
      </c>
    </row>
    <row r="6874" spans="17:18" ht="15" customHeight="1" x14ac:dyDescent="0.25">
      <c r="Q6874" t="s">
        <v>7810</v>
      </c>
      <c r="R6874" t="s">
        <v>239</v>
      </c>
    </row>
    <row r="6875" spans="17:18" ht="15" customHeight="1" x14ac:dyDescent="0.25">
      <c r="Q6875" t="s">
        <v>7811</v>
      </c>
      <c r="R6875" t="s">
        <v>239</v>
      </c>
    </row>
    <row r="6876" spans="17:18" ht="15" customHeight="1" x14ac:dyDescent="0.25">
      <c r="Q6876" t="s">
        <v>7812</v>
      </c>
      <c r="R6876" t="s">
        <v>239</v>
      </c>
    </row>
    <row r="6877" spans="17:18" ht="15" customHeight="1" x14ac:dyDescent="0.25">
      <c r="Q6877" t="s">
        <v>7813</v>
      </c>
      <c r="R6877" t="s">
        <v>239</v>
      </c>
    </row>
    <row r="6878" spans="17:18" ht="15" customHeight="1" x14ac:dyDescent="0.25">
      <c r="Q6878" t="s">
        <v>7814</v>
      </c>
      <c r="R6878" t="s">
        <v>239</v>
      </c>
    </row>
    <row r="6879" spans="17:18" ht="15" customHeight="1" x14ac:dyDescent="0.25">
      <c r="Q6879" t="s">
        <v>7815</v>
      </c>
      <c r="R6879" t="s">
        <v>239</v>
      </c>
    </row>
    <row r="6880" spans="17:18" ht="15" customHeight="1" x14ac:dyDescent="0.25">
      <c r="Q6880" t="s">
        <v>7816</v>
      </c>
      <c r="R6880" t="s">
        <v>239</v>
      </c>
    </row>
    <row r="6881" spans="17:18" ht="15" customHeight="1" x14ac:dyDescent="0.25">
      <c r="Q6881" t="s">
        <v>7817</v>
      </c>
      <c r="R6881" t="s">
        <v>239</v>
      </c>
    </row>
    <row r="6882" spans="17:18" ht="15" customHeight="1" x14ac:dyDescent="0.25">
      <c r="Q6882" t="s">
        <v>7818</v>
      </c>
      <c r="R6882" t="s">
        <v>239</v>
      </c>
    </row>
    <row r="6883" spans="17:18" ht="15" customHeight="1" x14ac:dyDescent="0.25">
      <c r="Q6883" t="s">
        <v>7819</v>
      </c>
      <c r="R6883" t="s">
        <v>239</v>
      </c>
    </row>
    <row r="6884" spans="17:18" ht="15" customHeight="1" x14ac:dyDescent="0.25">
      <c r="Q6884" t="s">
        <v>7820</v>
      </c>
      <c r="R6884" t="s">
        <v>239</v>
      </c>
    </row>
    <row r="6885" spans="17:18" ht="15" customHeight="1" x14ac:dyDescent="0.25">
      <c r="Q6885" t="s">
        <v>7821</v>
      </c>
      <c r="R6885" t="s">
        <v>239</v>
      </c>
    </row>
    <row r="6886" spans="17:18" ht="15" customHeight="1" x14ac:dyDescent="0.25">
      <c r="Q6886" t="s">
        <v>7822</v>
      </c>
      <c r="R6886" t="s">
        <v>239</v>
      </c>
    </row>
    <row r="6887" spans="17:18" ht="15" customHeight="1" x14ac:dyDescent="0.25">
      <c r="Q6887" t="s">
        <v>7823</v>
      </c>
      <c r="R6887" t="s">
        <v>239</v>
      </c>
    </row>
    <row r="6888" spans="17:18" ht="15" customHeight="1" x14ac:dyDescent="0.25">
      <c r="Q6888" t="s">
        <v>7824</v>
      </c>
      <c r="R6888" t="s">
        <v>239</v>
      </c>
    </row>
    <row r="6889" spans="17:18" ht="15" customHeight="1" x14ac:dyDescent="0.25">
      <c r="Q6889" t="s">
        <v>7825</v>
      </c>
      <c r="R6889" t="s">
        <v>239</v>
      </c>
    </row>
    <row r="6890" spans="17:18" ht="15" customHeight="1" x14ac:dyDescent="0.25">
      <c r="Q6890" t="s">
        <v>7826</v>
      </c>
      <c r="R6890" t="s">
        <v>241</v>
      </c>
    </row>
    <row r="6891" spans="17:18" ht="15" customHeight="1" x14ac:dyDescent="0.25">
      <c r="Q6891" t="s">
        <v>7827</v>
      </c>
      <c r="R6891" t="s">
        <v>245</v>
      </c>
    </row>
    <row r="6892" spans="17:18" ht="15" customHeight="1" x14ac:dyDescent="0.25">
      <c r="Q6892" t="s">
        <v>7828</v>
      </c>
      <c r="R6892" t="s">
        <v>245</v>
      </c>
    </row>
    <row r="6893" spans="17:18" ht="15" customHeight="1" x14ac:dyDescent="0.25">
      <c r="Q6893" t="s">
        <v>7829</v>
      </c>
      <c r="R6893" t="s">
        <v>247</v>
      </c>
    </row>
    <row r="6894" spans="17:18" ht="15" customHeight="1" x14ac:dyDescent="0.25">
      <c r="Q6894" t="s">
        <v>7830</v>
      </c>
      <c r="R6894" t="s">
        <v>247</v>
      </c>
    </row>
    <row r="6895" spans="17:18" ht="15" customHeight="1" x14ac:dyDescent="0.25">
      <c r="Q6895" t="s">
        <v>7831</v>
      </c>
      <c r="R6895" t="s">
        <v>241</v>
      </c>
    </row>
    <row r="6896" spans="17:18" ht="15" customHeight="1" x14ac:dyDescent="0.25">
      <c r="Q6896" t="s">
        <v>7832</v>
      </c>
      <c r="R6896" t="s">
        <v>241</v>
      </c>
    </row>
    <row r="6897" spans="17:18" ht="15" customHeight="1" x14ac:dyDescent="0.25">
      <c r="Q6897" t="s">
        <v>7833</v>
      </c>
      <c r="R6897" t="s">
        <v>251</v>
      </c>
    </row>
    <row r="6898" spans="17:18" ht="15" customHeight="1" x14ac:dyDescent="0.25">
      <c r="Q6898" t="s">
        <v>7834</v>
      </c>
      <c r="R6898" t="s">
        <v>251</v>
      </c>
    </row>
    <row r="6899" spans="17:18" ht="15" customHeight="1" x14ac:dyDescent="0.25">
      <c r="Q6899" t="s">
        <v>7835</v>
      </c>
      <c r="R6899" t="s">
        <v>251</v>
      </c>
    </row>
    <row r="6900" spans="17:18" ht="15" customHeight="1" x14ac:dyDescent="0.25">
      <c r="Q6900" t="s">
        <v>7836</v>
      </c>
      <c r="R6900" t="s">
        <v>251</v>
      </c>
    </row>
    <row r="6901" spans="17:18" ht="15" customHeight="1" x14ac:dyDescent="0.25">
      <c r="Q6901" t="s">
        <v>7837</v>
      </c>
      <c r="R6901" t="s">
        <v>251</v>
      </c>
    </row>
    <row r="6902" spans="17:18" ht="15" customHeight="1" x14ac:dyDescent="0.25">
      <c r="Q6902" t="s">
        <v>7838</v>
      </c>
      <c r="R6902" t="s">
        <v>251</v>
      </c>
    </row>
    <row r="6903" spans="17:18" ht="15" customHeight="1" x14ac:dyDescent="0.25">
      <c r="Q6903" t="s">
        <v>7839</v>
      </c>
      <c r="R6903" t="s">
        <v>251</v>
      </c>
    </row>
    <row r="6904" spans="17:18" ht="15" customHeight="1" x14ac:dyDescent="0.25">
      <c r="Q6904" t="s">
        <v>7840</v>
      </c>
      <c r="R6904" t="s">
        <v>247</v>
      </c>
    </row>
    <row r="6905" spans="17:18" ht="15" customHeight="1" x14ac:dyDescent="0.25">
      <c r="Q6905" t="s">
        <v>7841</v>
      </c>
      <c r="R6905" t="s">
        <v>251</v>
      </c>
    </row>
    <row r="6906" spans="17:18" ht="15" customHeight="1" x14ac:dyDescent="0.25">
      <c r="Q6906" t="s">
        <v>7842</v>
      </c>
      <c r="R6906" t="s">
        <v>251</v>
      </c>
    </row>
    <row r="6907" spans="17:18" ht="15" customHeight="1" x14ac:dyDescent="0.25">
      <c r="Q6907" t="s">
        <v>7843</v>
      </c>
      <c r="R6907" t="s">
        <v>241</v>
      </c>
    </row>
    <row r="6908" spans="17:18" ht="15" customHeight="1" x14ac:dyDescent="0.25">
      <c r="Q6908" t="s">
        <v>7844</v>
      </c>
      <c r="R6908" t="s">
        <v>241</v>
      </c>
    </row>
    <row r="6909" spans="17:18" ht="15" customHeight="1" x14ac:dyDescent="0.25">
      <c r="Q6909" t="s">
        <v>7845</v>
      </c>
      <c r="R6909" t="s">
        <v>239</v>
      </c>
    </row>
    <row r="6910" spans="17:18" ht="15" customHeight="1" x14ac:dyDescent="0.25">
      <c r="Q6910" t="s">
        <v>7846</v>
      </c>
      <c r="R6910" t="s">
        <v>241</v>
      </c>
    </row>
    <row r="6911" spans="17:18" ht="15" customHeight="1" x14ac:dyDescent="0.25">
      <c r="Q6911" t="s">
        <v>7847</v>
      </c>
      <c r="R6911" t="s">
        <v>239</v>
      </c>
    </row>
    <row r="6912" spans="17:18" ht="15" customHeight="1" x14ac:dyDescent="0.25">
      <c r="Q6912" t="s">
        <v>7848</v>
      </c>
      <c r="R6912" t="s">
        <v>239</v>
      </c>
    </row>
    <row r="6913" spans="17:18" ht="15" customHeight="1" x14ac:dyDescent="0.25">
      <c r="Q6913" t="s">
        <v>7849</v>
      </c>
      <c r="R6913" t="s">
        <v>239</v>
      </c>
    </row>
    <row r="6914" spans="17:18" ht="15" customHeight="1" x14ac:dyDescent="0.25">
      <c r="Q6914" t="s">
        <v>7850</v>
      </c>
      <c r="R6914" t="s">
        <v>239</v>
      </c>
    </row>
    <row r="6915" spans="17:18" ht="15" customHeight="1" x14ac:dyDescent="0.25">
      <c r="Q6915" t="s">
        <v>7851</v>
      </c>
      <c r="R6915" t="s">
        <v>239</v>
      </c>
    </row>
    <row r="6916" spans="17:18" ht="15" customHeight="1" x14ac:dyDescent="0.25">
      <c r="Q6916" t="s">
        <v>7852</v>
      </c>
      <c r="R6916" t="s">
        <v>239</v>
      </c>
    </row>
    <row r="6917" spans="17:18" ht="15" customHeight="1" x14ac:dyDescent="0.25">
      <c r="Q6917" t="s">
        <v>7853</v>
      </c>
      <c r="R6917" t="s">
        <v>239</v>
      </c>
    </row>
    <row r="6918" spans="17:18" ht="15" customHeight="1" x14ac:dyDescent="0.25">
      <c r="Q6918" t="s">
        <v>7854</v>
      </c>
      <c r="R6918" t="s">
        <v>239</v>
      </c>
    </row>
    <row r="6919" spans="17:18" ht="15" customHeight="1" x14ac:dyDescent="0.25">
      <c r="Q6919" t="s">
        <v>7855</v>
      </c>
      <c r="R6919" t="s">
        <v>239</v>
      </c>
    </row>
    <row r="6920" spans="17:18" ht="15" customHeight="1" x14ac:dyDescent="0.25">
      <c r="Q6920" t="s">
        <v>7856</v>
      </c>
      <c r="R6920" t="s">
        <v>239</v>
      </c>
    </row>
    <row r="6921" spans="17:18" ht="15" customHeight="1" x14ac:dyDescent="0.25">
      <c r="Q6921" t="s">
        <v>7857</v>
      </c>
      <c r="R6921" t="s">
        <v>239</v>
      </c>
    </row>
    <row r="6922" spans="17:18" ht="15" customHeight="1" x14ac:dyDescent="0.25">
      <c r="Q6922" t="s">
        <v>7858</v>
      </c>
      <c r="R6922" t="s">
        <v>239</v>
      </c>
    </row>
    <row r="6923" spans="17:18" ht="15" customHeight="1" x14ac:dyDescent="0.25">
      <c r="Q6923" t="s">
        <v>7859</v>
      </c>
      <c r="R6923" t="s">
        <v>239</v>
      </c>
    </row>
    <row r="6924" spans="17:18" ht="15" customHeight="1" x14ac:dyDescent="0.25">
      <c r="Q6924" t="s">
        <v>7860</v>
      </c>
      <c r="R6924" t="s">
        <v>239</v>
      </c>
    </row>
    <row r="6925" spans="17:18" ht="15" customHeight="1" x14ac:dyDescent="0.25">
      <c r="Q6925" t="s">
        <v>7861</v>
      </c>
      <c r="R6925" t="s">
        <v>241</v>
      </c>
    </row>
    <row r="6926" spans="17:18" ht="15" customHeight="1" x14ac:dyDescent="0.25">
      <c r="Q6926" t="s">
        <v>7862</v>
      </c>
      <c r="R6926" t="s">
        <v>241</v>
      </c>
    </row>
    <row r="6927" spans="17:18" ht="15" customHeight="1" x14ac:dyDescent="0.25">
      <c r="Q6927" t="s">
        <v>7863</v>
      </c>
      <c r="R6927" t="s">
        <v>241</v>
      </c>
    </row>
    <row r="6928" spans="17:18" ht="15" customHeight="1" x14ac:dyDescent="0.25">
      <c r="Q6928" t="s">
        <v>7864</v>
      </c>
      <c r="R6928" t="s">
        <v>241</v>
      </c>
    </row>
    <row r="6929" spans="17:18" ht="15" customHeight="1" x14ac:dyDescent="0.25">
      <c r="Q6929" t="s">
        <v>7865</v>
      </c>
      <c r="R6929" t="s">
        <v>241</v>
      </c>
    </row>
    <row r="6930" spans="17:18" ht="15" customHeight="1" x14ac:dyDescent="0.25">
      <c r="Q6930" t="s">
        <v>7866</v>
      </c>
      <c r="R6930" t="s">
        <v>241</v>
      </c>
    </row>
    <row r="6931" spans="17:18" ht="15" customHeight="1" x14ac:dyDescent="0.25">
      <c r="Q6931" t="s">
        <v>7867</v>
      </c>
      <c r="R6931" t="s">
        <v>241</v>
      </c>
    </row>
    <row r="6932" spans="17:18" ht="15" customHeight="1" x14ac:dyDescent="0.25">
      <c r="Q6932" t="s">
        <v>7868</v>
      </c>
      <c r="R6932" t="s">
        <v>241</v>
      </c>
    </row>
    <row r="6933" spans="17:18" ht="15" customHeight="1" x14ac:dyDescent="0.25">
      <c r="Q6933" t="s">
        <v>7869</v>
      </c>
      <c r="R6933" t="s">
        <v>241</v>
      </c>
    </row>
    <row r="6934" spans="17:18" ht="15" customHeight="1" x14ac:dyDescent="0.25">
      <c r="Q6934" t="s">
        <v>7870</v>
      </c>
      <c r="R6934" t="s">
        <v>241</v>
      </c>
    </row>
    <row r="6935" spans="17:18" ht="15" customHeight="1" x14ac:dyDescent="0.25">
      <c r="Q6935" t="s">
        <v>7871</v>
      </c>
      <c r="R6935" t="s">
        <v>241</v>
      </c>
    </row>
    <row r="6936" spans="17:18" ht="15" customHeight="1" x14ac:dyDescent="0.25">
      <c r="Q6936" t="s">
        <v>7872</v>
      </c>
      <c r="R6936" t="s">
        <v>241</v>
      </c>
    </row>
    <row r="6937" spans="17:18" ht="15" customHeight="1" x14ac:dyDescent="0.25">
      <c r="Q6937" t="s">
        <v>7873</v>
      </c>
      <c r="R6937" t="s">
        <v>241</v>
      </c>
    </row>
    <row r="6938" spans="17:18" ht="15" customHeight="1" x14ac:dyDescent="0.25">
      <c r="Q6938" t="s">
        <v>7874</v>
      </c>
      <c r="R6938" t="s">
        <v>241</v>
      </c>
    </row>
    <row r="6939" spans="17:18" ht="15" customHeight="1" x14ac:dyDescent="0.25">
      <c r="Q6939" t="s">
        <v>7875</v>
      </c>
      <c r="R6939" t="s">
        <v>241</v>
      </c>
    </row>
    <row r="6940" spans="17:18" ht="15" customHeight="1" x14ac:dyDescent="0.25">
      <c r="Q6940" t="s">
        <v>7876</v>
      </c>
      <c r="R6940" t="s">
        <v>241</v>
      </c>
    </row>
    <row r="6941" spans="17:18" ht="15" customHeight="1" x14ac:dyDescent="0.25">
      <c r="Q6941" t="s">
        <v>7877</v>
      </c>
      <c r="R6941" t="s">
        <v>241</v>
      </c>
    </row>
    <row r="6942" spans="17:18" ht="15" customHeight="1" x14ac:dyDescent="0.25">
      <c r="Q6942" t="s">
        <v>7878</v>
      </c>
      <c r="R6942" t="s">
        <v>239</v>
      </c>
    </row>
    <row r="6943" spans="17:18" ht="15" customHeight="1" x14ac:dyDescent="0.25">
      <c r="Q6943" t="s">
        <v>7879</v>
      </c>
      <c r="R6943" t="s">
        <v>239</v>
      </c>
    </row>
    <row r="6944" spans="17:18" ht="15" customHeight="1" x14ac:dyDescent="0.25">
      <c r="Q6944" t="s">
        <v>7880</v>
      </c>
      <c r="R6944" t="s">
        <v>241</v>
      </c>
    </row>
    <row r="6945" spans="17:18" ht="15" customHeight="1" x14ac:dyDescent="0.25">
      <c r="Q6945" t="s">
        <v>7881</v>
      </c>
      <c r="R6945" t="s">
        <v>243</v>
      </c>
    </row>
    <row r="6946" spans="17:18" ht="15" customHeight="1" x14ac:dyDescent="0.25">
      <c r="Q6946" t="s">
        <v>7882</v>
      </c>
      <c r="R6946" t="s">
        <v>251</v>
      </c>
    </row>
    <row r="6947" spans="17:18" ht="15" customHeight="1" x14ac:dyDescent="0.25">
      <c r="Q6947" t="s">
        <v>7883</v>
      </c>
      <c r="R6947" t="s">
        <v>251</v>
      </c>
    </row>
    <row r="6948" spans="17:18" ht="15" customHeight="1" x14ac:dyDescent="0.25">
      <c r="Q6948" t="s">
        <v>7884</v>
      </c>
      <c r="R6948" t="s">
        <v>251</v>
      </c>
    </row>
    <row r="6949" spans="17:18" ht="15" customHeight="1" x14ac:dyDescent="0.25">
      <c r="Q6949" t="s">
        <v>7885</v>
      </c>
      <c r="R6949" t="s">
        <v>251</v>
      </c>
    </row>
    <row r="6950" spans="17:18" ht="15" customHeight="1" x14ac:dyDescent="0.25">
      <c r="Q6950" t="s">
        <v>7886</v>
      </c>
      <c r="R6950" t="s">
        <v>251</v>
      </c>
    </row>
    <row r="6951" spans="17:18" ht="15" customHeight="1" x14ac:dyDescent="0.25">
      <c r="Q6951" t="s">
        <v>7887</v>
      </c>
      <c r="R6951" t="s">
        <v>251</v>
      </c>
    </row>
    <row r="6952" spans="17:18" ht="15" customHeight="1" x14ac:dyDescent="0.25">
      <c r="Q6952" t="s">
        <v>7888</v>
      </c>
      <c r="R6952" t="s">
        <v>251</v>
      </c>
    </row>
    <row r="6953" spans="17:18" ht="15" customHeight="1" x14ac:dyDescent="0.25">
      <c r="Q6953" t="s">
        <v>7889</v>
      </c>
      <c r="R6953" t="s">
        <v>251</v>
      </c>
    </row>
    <row r="6954" spans="17:18" ht="15" customHeight="1" x14ac:dyDescent="0.25">
      <c r="Q6954" t="s">
        <v>7890</v>
      </c>
      <c r="R6954" t="s">
        <v>251</v>
      </c>
    </row>
    <row r="6955" spans="17:18" ht="15" customHeight="1" x14ac:dyDescent="0.25">
      <c r="Q6955" t="s">
        <v>7891</v>
      </c>
      <c r="R6955" t="s">
        <v>241</v>
      </c>
    </row>
    <row r="6956" spans="17:18" ht="15" customHeight="1" x14ac:dyDescent="0.25">
      <c r="Q6956" t="s">
        <v>7892</v>
      </c>
      <c r="R6956" t="s">
        <v>241</v>
      </c>
    </row>
    <row r="6957" spans="17:18" ht="15" customHeight="1" x14ac:dyDescent="0.25">
      <c r="Q6957" t="s">
        <v>7893</v>
      </c>
      <c r="R6957" t="s">
        <v>241</v>
      </c>
    </row>
    <row r="6958" spans="17:18" ht="15" customHeight="1" x14ac:dyDescent="0.25">
      <c r="Q6958" t="s">
        <v>7894</v>
      </c>
      <c r="R6958" t="s">
        <v>241</v>
      </c>
    </row>
    <row r="6959" spans="17:18" ht="15" customHeight="1" x14ac:dyDescent="0.25">
      <c r="Q6959" t="s">
        <v>7895</v>
      </c>
      <c r="R6959" t="s">
        <v>241</v>
      </c>
    </row>
    <row r="6960" spans="17:18" ht="15" customHeight="1" x14ac:dyDescent="0.25">
      <c r="Q6960" t="s">
        <v>7896</v>
      </c>
      <c r="R6960" t="s">
        <v>241</v>
      </c>
    </row>
    <row r="6961" spans="17:18" ht="15" customHeight="1" x14ac:dyDescent="0.25">
      <c r="Q6961" t="s">
        <v>7897</v>
      </c>
      <c r="R6961" t="s">
        <v>241</v>
      </c>
    </row>
    <row r="6962" spans="17:18" ht="15" customHeight="1" x14ac:dyDescent="0.25">
      <c r="Q6962" t="s">
        <v>7898</v>
      </c>
      <c r="R6962" t="s">
        <v>241</v>
      </c>
    </row>
    <row r="6963" spans="17:18" ht="15" customHeight="1" x14ac:dyDescent="0.25">
      <c r="Q6963" t="s">
        <v>7899</v>
      </c>
      <c r="R6963" t="s">
        <v>241</v>
      </c>
    </row>
    <row r="6964" spans="17:18" ht="15" customHeight="1" x14ac:dyDescent="0.25">
      <c r="Q6964" t="s">
        <v>7900</v>
      </c>
      <c r="R6964" t="s">
        <v>241</v>
      </c>
    </row>
    <row r="6965" spans="17:18" ht="15" customHeight="1" x14ac:dyDescent="0.25">
      <c r="Q6965" t="s">
        <v>7901</v>
      </c>
      <c r="R6965" t="s">
        <v>241</v>
      </c>
    </row>
    <row r="6966" spans="17:18" ht="15" customHeight="1" x14ac:dyDescent="0.25">
      <c r="Q6966" t="s">
        <v>7902</v>
      </c>
      <c r="R6966" t="s">
        <v>241</v>
      </c>
    </row>
    <row r="6967" spans="17:18" ht="15" customHeight="1" x14ac:dyDescent="0.25">
      <c r="Q6967" t="s">
        <v>7903</v>
      </c>
      <c r="R6967" t="s">
        <v>241</v>
      </c>
    </row>
    <row r="6968" spans="17:18" ht="15" customHeight="1" x14ac:dyDescent="0.25">
      <c r="Q6968" t="s">
        <v>7904</v>
      </c>
      <c r="R6968" t="s">
        <v>241</v>
      </c>
    </row>
    <row r="6969" spans="17:18" ht="15" customHeight="1" x14ac:dyDescent="0.25">
      <c r="Q6969" t="s">
        <v>7905</v>
      </c>
      <c r="R6969" t="s">
        <v>241</v>
      </c>
    </row>
    <row r="6970" spans="17:18" ht="15" customHeight="1" x14ac:dyDescent="0.25">
      <c r="Q6970" t="s">
        <v>7906</v>
      </c>
      <c r="R6970" t="s">
        <v>243</v>
      </c>
    </row>
    <row r="6971" spans="17:18" ht="15" customHeight="1" x14ac:dyDescent="0.25">
      <c r="Q6971" t="s">
        <v>7907</v>
      </c>
      <c r="R6971" t="s">
        <v>243</v>
      </c>
    </row>
    <row r="6972" spans="17:18" ht="15" customHeight="1" x14ac:dyDescent="0.25">
      <c r="Q6972" t="s">
        <v>7908</v>
      </c>
      <c r="R6972" t="s">
        <v>243</v>
      </c>
    </row>
    <row r="6973" spans="17:18" ht="15" customHeight="1" x14ac:dyDescent="0.25">
      <c r="Q6973" t="s">
        <v>7909</v>
      </c>
      <c r="R6973" t="s">
        <v>243</v>
      </c>
    </row>
    <row r="6974" spans="17:18" ht="15" customHeight="1" x14ac:dyDescent="0.25">
      <c r="Q6974" t="s">
        <v>7910</v>
      </c>
      <c r="R6974" t="s">
        <v>243</v>
      </c>
    </row>
    <row r="6975" spans="17:18" ht="15" customHeight="1" x14ac:dyDescent="0.25">
      <c r="Q6975" t="s">
        <v>7911</v>
      </c>
      <c r="R6975" t="s">
        <v>243</v>
      </c>
    </row>
    <row r="6976" spans="17:18" ht="15" customHeight="1" x14ac:dyDescent="0.25">
      <c r="Q6976" t="s">
        <v>7912</v>
      </c>
      <c r="R6976" t="s">
        <v>243</v>
      </c>
    </row>
    <row r="6977" spans="17:18" ht="15" customHeight="1" x14ac:dyDescent="0.25">
      <c r="Q6977" t="s">
        <v>7913</v>
      </c>
      <c r="R6977" t="s">
        <v>243</v>
      </c>
    </row>
    <row r="6978" spans="17:18" ht="15" customHeight="1" x14ac:dyDescent="0.25">
      <c r="Q6978" t="s">
        <v>7914</v>
      </c>
      <c r="R6978" t="s">
        <v>243</v>
      </c>
    </row>
    <row r="6979" spans="17:18" ht="15" customHeight="1" x14ac:dyDescent="0.25">
      <c r="Q6979" t="s">
        <v>7915</v>
      </c>
      <c r="R6979" t="s">
        <v>243</v>
      </c>
    </row>
    <row r="6980" spans="17:18" ht="15" customHeight="1" x14ac:dyDescent="0.25">
      <c r="Q6980" t="s">
        <v>7916</v>
      </c>
      <c r="R6980" t="s">
        <v>243</v>
      </c>
    </row>
    <row r="6981" spans="17:18" ht="15" customHeight="1" x14ac:dyDescent="0.25">
      <c r="Q6981" t="s">
        <v>7917</v>
      </c>
      <c r="R6981" t="s">
        <v>243</v>
      </c>
    </row>
    <row r="6982" spans="17:18" ht="15" customHeight="1" x14ac:dyDescent="0.25">
      <c r="Q6982" t="s">
        <v>7918</v>
      </c>
      <c r="R6982" t="s">
        <v>243</v>
      </c>
    </row>
    <row r="6983" spans="17:18" ht="15" customHeight="1" x14ac:dyDescent="0.25">
      <c r="Q6983" t="s">
        <v>7919</v>
      </c>
      <c r="R6983" t="s">
        <v>243</v>
      </c>
    </row>
    <row r="6984" spans="17:18" ht="15" customHeight="1" x14ac:dyDescent="0.25">
      <c r="Q6984" t="s">
        <v>7920</v>
      </c>
      <c r="R6984" t="s">
        <v>243</v>
      </c>
    </row>
    <row r="6985" spans="17:18" ht="15" customHeight="1" x14ac:dyDescent="0.25">
      <c r="Q6985" t="s">
        <v>7921</v>
      </c>
      <c r="R6985" t="s">
        <v>243</v>
      </c>
    </row>
    <row r="6986" spans="17:18" ht="15" customHeight="1" x14ac:dyDescent="0.25">
      <c r="Q6986" t="s">
        <v>7922</v>
      </c>
      <c r="R6986" t="s">
        <v>243</v>
      </c>
    </row>
    <row r="6987" spans="17:18" ht="15" customHeight="1" x14ac:dyDescent="0.25">
      <c r="Q6987" t="s">
        <v>7923</v>
      </c>
      <c r="R6987" t="s">
        <v>243</v>
      </c>
    </row>
    <row r="6988" spans="17:18" ht="15" customHeight="1" x14ac:dyDescent="0.25">
      <c r="Q6988" t="s">
        <v>7924</v>
      </c>
      <c r="R6988" t="s">
        <v>243</v>
      </c>
    </row>
    <row r="6989" spans="17:18" ht="15" customHeight="1" x14ac:dyDescent="0.25">
      <c r="Q6989" t="s">
        <v>7925</v>
      </c>
      <c r="R6989" t="s">
        <v>243</v>
      </c>
    </row>
    <row r="6990" spans="17:18" ht="15" customHeight="1" x14ac:dyDescent="0.25">
      <c r="Q6990" t="s">
        <v>7926</v>
      </c>
      <c r="R6990" t="s">
        <v>243</v>
      </c>
    </row>
    <row r="6991" spans="17:18" ht="15" customHeight="1" x14ac:dyDescent="0.25">
      <c r="Q6991" t="s">
        <v>7927</v>
      </c>
      <c r="R6991" t="s">
        <v>243</v>
      </c>
    </row>
    <row r="6992" spans="17:18" ht="15" customHeight="1" x14ac:dyDescent="0.25">
      <c r="Q6992" t="s">
        <v>7928</v>
      </c>
      <c r="R6992" t="s">
        <v>243</v>
      </c>
    </row>
    <row r="6993" spans="17:18" ht="15" customHeight="1" x14ac:dyDescent="0.25">
      <c r="Q6993" t="s">
        <v>7929</v>
      </c>
      <c r="R6993" t="s">
        <v>243</v>
      </c>
    </row>
    <row r="6994" spans="17:18" ht="15" customHeight="1" x14ac:dyDescent="0.25">
      <c r="Q6994" t="s">
        <v>7930</v>
      </c>
      <c r="R6994" t="s">
        <v>243</v>
      </c>
    </row>
    <row r="6995" spans="17:18" ht="15" customHeight="1" x14ac:dyDescent="0.25">
      <c r="Q6995" t="s">
        <v>7931</v>
      </c>
      <c r="R6995" t="s">
        <v>243</v>
      </c>
    </row>
    <row r="6996" spans="17:18" ht="15" customHeight="1" x14ac:dyDescent="0.25">
      <c r="Q6996" t="s">
        <v>7932</v>
      </c>
      <c r="R6996" t="s">
        <v>243</v>
      </c>
    </row>
    <row r="6997" spans="17:18" ht="15" customHeight="1" x14ac:dyDescent="0.25">
      <c r="Q6997" t="s">
        <v>7933</v>
      </c>
      <c r="R6997" t="s">
        <v>243</v>
      </c>
    </row>
    <row r="6998" spans="17:18" ht="15" customHeight="1" x14ac:dyDescent="0.25">
      <c r="Q6998" t="s">
        <v>7934</v>
      </c>
      <c r="R6998" t="s">
        <v>243</v>
      </c>
    </row>
    <row r="6999" spans="17:18" ht="15" customHeight="1" x14ac:dyDescent="0.25">
      <c r="Q6999" t="s">
        <v>7935</v>
      </c>
      <c r="R6999" t="s">
        <v>243</v>
      </c>
    </row>
    <row r="7000" spans="17:18" ht="15" customHeight="1" x14ac:dyDescent="0.25">
      <c r="Q7000" t="s">
        <v>7936</v>
      </c>
      <c r="R7000" t="s">
        <v>243</v>
      </c>
    </row>
    <row r="7001" spans="17:18" ht="15" customHeight="1" x14ac:dyDescent="0.25">
      <c r="Q7001" t="s">
        <v>7937</v>
      </c>
      <c r="R7001" t="s">
        <v>243</v>
      </c>
    </row>
    <row r="7002" spans="17:18" ht="15" customHeight="1" x14ac:dyDescent="0.25">
      <c r="Q7002" t="s">
        <v>7938</v>
      </c>
      <c r="R7002" t="s">
        <v>243</v>
      </c>
    </row>
    <row r="7003" spans="17:18" ht="15" customHeight="1" x14ac:dyDescent="0.25">
      <c r="Q7003" t="s">
        <v>7939</v>
      </c>
      <c r="R7003" t="s">
        <v>243</v>
      </c>
    </row>
    <row r="7004" spans="17:18" ht="15" customHeight="1" x14ac:dyDescent="0.25">
      <c r="Q7004" t="s">
        <v>7940</v>
      </c>
      <c r="R7004" t="s">
        <v>243</v>
      </c>
    </row>
    <row r="7005" spans="17:18" ht="15" customHeight="1" x14ac:dyDescent="0.25">
      <c r="Q7005" t="s">
        <v>7941</v>
      </c>
      <c r="R7005" t="s">
        <v>243</v>
      </c>
    </row>
    <row r="7006" spans="17:18" ht="15" customHeight="1" x14ac:dyDescent="0.25">
      <c r="Q7006" t="s">
        <v>7942</v>
      </c>
      <c r="R7006" t="s">
        <v>241</v>
      </c>
    </row>
    <row r="7007" spans="17:18" ht="15" customHeight="1" x14ac:dyDescent="0.25">
      <c r="Q7007" t="s">
        <v>7943</v>
      </c>
      <c r="R7007" t="s">
        <v>243</v>
      </c>
    </row>
    <row r="7008" spans="17:18" ht="15" customHeight="1" x14ac:dyDescent="0.25">
      <c r="Q7008" t="s">
        <v>7944</v>
      </c>
      <c r="R7008" t="s">
        <v>243</v>
      </c>
    </row>
    <row r="7009" spans="17:18" ht="15" customHeight="1" x14ac:dyDescent="0.25">
      <c r="Q7009" t="s">
        <v>7945</v>
      </c>
      <c r="R7009" t="s">
        <v>241</v>
      </c>
    </row>
    <row r="7010" spans="17:18" ht="15" customHeight="1" x14ac:dyDescent="0.25">
      <c r="Q7010" t="s">
        <v>7946</v>
      </c>
      <c r="R7010" t="s">
        <v>243</v>
      </c>
    </row>
    <row r="7011" spans="17:18" ht="15" customHeight="1" x14ac:dyDescent="0.25">
      <c r="Q7011" t="s">
        <v>7947</v>
      </c>
      <c r="R7011" t="s">
        <v>243</v>
      </c>
    </row>
    <row r="7012" spans="17:18" ht="15" customHeight="1" x14ac:dyDescent="0.25">
      <c r="Q7012" t="s">
        <v>7948</v>
      </c>
      <c r="R7012" t="s">
        <v>243</v>
      </c>
    </row>
    <row r="7013" spans="17:18" ht="15" customHeight="1" x14ac:dyDescent="0.25">
      <c r="Q7013" t="s">
        <v>7949</v>
      </c>
      <c r="R7013" t="s">
        <v>243</v>
      </c>
    </row>
    <row r="7014" spans="17:18" ht="15" customHeight="1" x14ac:dyDescent="0.25">
      <c r="Q7014" t="s">
        <v>7950</v>
      </c>
      <c r="R7014" t="s">
        <v>243</v>
      </c>
    </row>
    <row r="7015" spans="17:18" ht="15" customHeight="1" x14ac:dyDescent="0.25">
      <c r="Q7015" t="s">
        <v>7951</v>
      </c>
      <c r="R7015" t="s">
        <v>243</v>
      </c>
    </row>
    <row r="7016" spans="17:18" ht="15" customHeight="1" x14ac:dyDescent="0.25">
      <c r="Q7016" t="s">
        <v>7952</v>
      </c>
      <c r="R7016" t="s">
        <v>243</v>
      </c>
    </row>
    <row r="7017" spans="17:18" ht="15" customHeight="1" x14ac:dyDescent="0.25">
      <c r="Q7017" t="s">
        <v>7953</v>
      </c>
      <c r="R7017" t="s">
        <v>7954</v>
      </c>
    </row>
  </sheetData>
  <mergeCells count="16">
    <mergeCell ref="T80:U80"/>
    <mergeCell ref="B93:C93"/>
    <mergeCell ref="B101:C101"/>
    <mergeCell ref="I102:J102"/>
    <mergeCell ref="A24:D24"/>
    <mergeCell ref="E24:G24"/>
    <mergeCell ref="J24:M24"/>
    <mergeCell ref="J25:K25"/>
    <mergeCell ref="L25:M25"/>
    <mergeCell ref="L38:M38"/>
    <mergeCell ref="V19:W19"/>
    <mergeCell ref="B19:C19"/>
    <mergeCell ref="F19:G19"/>
    <mergeCell ref="J19:K19"/>
    <mergeCell ref="N19:O19"/>
    <mergeCell ref="R19:S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AI98"/>
  <sheetViews>
    <sheetView workbookViewId="0">
      <selection sqref="A1:AI98"/>
    </sheetView>
  </sheetViews>
  <sheetFormatPr defaultRowHeight="15" x14ac:dyDescent="0.25"/>
  <cols>
    <col min="30" max="34" width="16.42578125" customWidth="1"/>
  </cols>
  <sheetData>
    <row r="1" spans="1:35" ht="15" customHeight="1" x14ac:dyDescent="0.25">
      <c r="B1" s="163" t="s">
        <v>7955</v>
      </c>
      <c r="G1" s="164" t="s">
        <v>7956</v>
      </c>
    </row>
    <row r="2" spans="1:35" ht="15" customHeight="1" x14ac:dyDescent="0.25">
      <c r="B2" s="165">
        <v>0.71448643076157303</v>
      </c>
      <c r="C2" t="s">
        <v>7957</v>
      </c>
      <c r="G2" s="164" t="s">
        <v>7958</v>
      </c>
    </row>
    <row r="3" spans="1:35" ht="17.25" customHeight="1" x14ac:dyDescent="0.25">
      <c r="B3" s="165">
        <v>0.49564754449022602</v>
      </c>
      <c r="C3" t="s">
        <v>7959</v>
      </c>
      <c r="G3" t="s">
        <v>7960</v>
      </c>
    </row>
    <row r="4" spans="1:35" ht="15" customHeight="1" x14ac:dyDescent="0.25"/>
    <row r="5" spans="1:35" ht="15" customHeight="1" x14ac:dyDescent="0.25">
      <c r="A5" t="s">
        <v>7961</v>
      </c>
      <c r="AE5">
        <v>9.167685587011E-8</v>
      </c>
      <c r="AF5">
        <v>1.5289662295670399E-5</v>
      </c>
      <c r="AG5">
        <v>1.6187586167331501E-3</v>
      </c>
      <c r="AH5">
        <v>1.5199778231648401E-2</v>
      </c>
      <c r="AI5">
        <v>0.962501568438211</v>
      </c>
    </row>
    <row r="6" spans="1:35" ht="15" customHeight="1" x14ac:dyDescent="0.25">
      <c r="A6">
        <v>150</v>
      </c>
      <c r="B6">
        <f>(0.000000000032989*A6^3-0.000000270691185*A6^2+0.000468652420503*A6+0.726630359723856)*1.04333245461704</f>
        <v>0.82522277104920294</v>
      </c>
      <c r="D6" s="153">
        <f>B3</f>
        <v>0.49564754449022602</v>
      </c>
      <c r="E6" t="s">
        <v>7959</v>
      </c>
      <c r="V6" s="43">
        <v>5</v>
      </c>
      <c r="W6">
        <f>(9.167685587011E-08*(V6)^4+0.000015289662956704*(V6)^3-0.00161875861673315*(V6)^2+0.0151997782316484*(V6)+0.962501568438211)</f>
        <v>1.000000000082631</v>
      </c>
      <c r="Y6" s="153">
        <f>B2</f>
        <v>0.71448643076157303</v>
      </c>
      <c r="Z6" t="s">
        <v>7957</v>
      </c>
    </row>
    <row r="7" spans="1:35" ht="15" customHeight="1" x14ac:dyDescent="0.25">
      <c r="A7">
        <v>4000</v>
      </c>
      <c r="B7">
        <f>(0.000000000032989*A7^3-0.000000270691185*A7^2+0.000468652420503*A7+0.726630359723856)*1.04333245461704</f>
        <v>0.39800742006761564</v>
      </c>
      <c r="V7" s="43">
        <v>27.5</v>
      </c>
      <c r="W7">
        <f>(9.167685587011E-08*(V7)^4+0.000015289662956704*(V7)^3-0.00161875861673315*(V7)^2+0.0151997782316484*(V7)+0.962501568438211)</f>
        <v>0.52671775828470246</v>
      </c>
      <c r="AD7" s="166">
        <v>9.167685587011E-8</v>
      </c>
      <c r="AE7" s="166">
        <v>1.5289662295670399E-5</v>
      </c>
      <c r="AF7" s="166">
        <v>1.6187586167331501E-3</v>
      </c>
      <c r="AG7" s="166">
        <v>1.5199778231648401E-2</v>
      </c>
      <c r="AH7" s="166">
        <v>0.962501568438211</v>
      </c>
    </row>
    <row r="8" spans="1:35" ht="45.75" customHeight="1" x14ac:dyDescent="0.25">
      <c r="A8" s="167" t="s">
        <v>7962</v>
      </c>
      <c r="B8" s="167" t="s">
        <v>7963</v>
      </c>
      <c r="C8" s="167" t="s">
        <v>7964</v>
      </c>
      <c r="E8" s="167" t="s">
        <v>7965</v>
      </c>
      <c r="G8" s="167" t="s">
        <v>7966</v>
      </c>
    </row>
    <row r="9" spans="1:35" ht="15" customHeight="1" x14ac:dyDescent="0.25">
      <c r="A9">
        <v>50</v>
      </c>
      <c r="B9">
        <f>(IF(A9&lt;$A$6,$B$6,IF(A9&gt;$A$7,$B$7,((0.000000000032989*A9^3-0.000000270691185*A9^2+0.000468652420503*A9+0.726630359723856)*1.04333245461704))))</f>
        <v>0.82522277104920294</v>
      </c>
      <c r="C9">
        <f>EXP(LN(IF(A9&lt;$A$6,$B$6,IF(A9&gt;$A$7,$B$7,((0.000000000032989*A9^3-0.000000270691185*A9^2+0.000468652420503*A9+0.726630359723856)*1.04333245461704))))*$D$6)</f>
        <v>0.90917758867864051</v>
      </c>
      <c r="E9">
        <v>50</v>
      </c>
      <c r="F9">
        <f>C9</f>
        <v>0.90917758867864051</v>
      </c>
      <c r="G9">
        <f>( -0.00000000000000018*E9^4 + 0.00000000001213529*E9^3- 0.00000011429507157*E9^2 + 0.00020471790205693*E9 + 0.893892094372259)</f>
        <v>0.90384376758243057</v>
      </c>
      <c r="U9">
        <v>1</v>
      </c>
      <c r="V9">
        <f t="shared" ref="V9:V41" si="0">IF(U9&lt;$V$6,$W$6,IF(U9&gt;$V$7,$W$7,((0.00000009*(U9)^4+0.00001501*(U9)^3-0.00158915*(U9)^2+0.01492176*(U9)+0.94489651)*1.0186317318901)))</f>
        <v>1.000000000082631</v>
      </c>
      <c r="W9">
        <f t="shared" ref="W9:W41" si="1">(EXP(LN(IF(U9&lt;$V$6,$W$6,IF(U9&gt;$V$7,$W$7,((0.00000009*(U9)^4+0.00001501*(U9)^3-0.00158915*(U9)^2+0.01492176*(U9)+0.94489651)*1.0186317318901))))*$Y$6))</f>
        <v>1.0000000000590388</v>
      </c>
      <c r="X9">
        <f>(EXP(LN(IF(U9&lt;$V$6,$W$6,IF(U9&gt;$V$7,$W$7,(($AD$7*(U9)^4+$AE$7*(U9)^3-$AF$7*(U9)^2+$AG$7*(U9)+$AH$7)))))*$Y$6))</f>
        <v>1.0000000000590388</v>
      </c>
      <c r="Y9">
        <f>(EXP(LN(IF(U9&lt;$V$6,$W$6,IF(U9&gt;$V$7,$W$7,((9.167685587011E-08*(U9)^4+0.000015289662956704*(U9)^3-0.00161875861673315*(U9)^2+0.0151997782316484*(U9)+0.962501568438211)))))*$Y$6))</f>
        <v>1.0000000000590388</v>
      </c>
    </row>
    <row r="10" spans="1:35" ht="15" customHeight="1" x14ac:dyDescent="0.25">
      <c r="A10">
        <v>100</v>
      </c>
      <c r="B10">
        <f t="shared" ref="B10:B73" si="2">(IF(A10&lt;$A$6,$B$6,IF(A10&gt;$A$7,$B$7,((0.000000000032989*A10^3-0.000000270691185*A10^2+0.000468652420503*A10+0.726630359723856)*1.04333245461704))))</f>
        <v>0.82522277104920294</v>
      </c>
      <c r="C10">
        <f t="shared" ref="C10:C73" si="3">EXP(LN(IF(A10&lt;$A$6,$B$6,IF(A10&gt;$A$7,$B$7,((0.000000000032989*A10^3-0.000000270691185*A10^2+0.000468652420503*A10+0.726630359723856)*1.04333245461704))))*$D$6)</f>
        <v>0.90917758867864051</v>
      </c>
      <c r="E10">
        <v>100</v>
      </c>
      <c r="F10">
        <f>C10</f>
        <v>0.90917758867864051</v>
      </c>
      <c r="G10">
        <f t="shared" ref="G10:G32" si="4">( -0.00000000000000018*E10^4 + 0.00000000001213529*E10^3- 0.00000011429507157*E10^2 + 0.00020471790205693*E10 + 0.893892094372259)</f>
        <v>0.91323305115225206</v>
      </c>
      <c r="U10">
        <v>2</v>
      </c>
      <c r="V10">
        <f t="shared" si="0"/>
        <v>1.000000000082631</v>
      </c>
      <c r="W10">
        <f t="shared" si="1"/>
        <v>1.0000000000590388</v>
      </c>
      <c r="X10">
        <f t="shared" ref="X10:X31" si="5">(EXP(LN(IF(U10&lt;$V$6,$W$6,IF(U10&gt;$V$7,$W$7,(($AD$7*(U10)^4+$AE$7*(U10)^3-$AF$7*(U10)^2+$AG$7*(U10)+$AH$7)))))*$Y$6))</f>
        <v>1.0000000000590388</v>
      </c>
      <c r="Y10">
        <f t="shared" ref="Y10:Y31" si="6">(EXP(LN(IF(U10&lt;$V$6,$W$6,IF(U10&gt;$V$7,$W$7,((9.167685587011E-08*(U10)^4+0.000015289662956704*(U10)^3-0.00161875861673315*(U10)^2+0.0151997782316484*(U10)+0.962501568438211)))))*$Y$6))</f>
        <v>1.0000000000590388</v>
      </c>
    </row>
    <row r="11" spans="1:35" ht="15" customHeight="1" x14ac:dyDescent="0.25">
      <c r="A11">
        <v>150</v>
      </c>
      <c r="B11">
        <f t="shared" si="2"/>
        <v>0.82522277104920294</v>
      </c>
      <c r="C11">
        <f t="shared" si="3"/>
        <v>0.90917758867864051</v>
      </c>
      <c r="E11">
        <v>250</v>
      </c>
      <c r="F11">
        <f>C13</f>
        <v>0.92970391057157775</v>
      </c>
      <c r="G11">
        <f t="shared" si="4"/>
        <v>0.93811703869461649</v>
      </c>
      <c r="U11">
        <v>3</v>
      </c>
      <c r="V11">
        <f t="shared" si="0"/>
        <v>1.000000000082631</v>
      </c>
      <c r="W11">
        <f t="shared" si="1"/>
        <v>1.0000000000590388</v>
      </c>
      <c r="X11">
        <f t="shared" si="5"/>
        <v>1.0000000000590388</v>
      </c>
      <c r="Y11">
        <f t="shared" si="6"/>
        <v>1.0000000000590388</v>
      </c>
    </row>
    <row r="12" spans="1:35" ht="15" customHeight="1" x14ac:dyDescent="0.25">
      <c r="A12">
        <v>200</v>
      </c>
      <c r="B12">
        <f t="shared" si="2"/>
        <v>0.84488760487426895</v>
      </c>
      <c r="C12">
        <f t="shared" si="3"/>
        <v>0.91985224732353377</v>
      </c>
      <c r="E12">
        <v>500</v>
      </c>
      <c r="F12">
        <f>C18</f>
        <v>0.96790026293098608</v>
      </c>
      <c r="G12">
        <f t="shared" si="4"/>
        <v>0.96918293875822403</v>
      </c>
      <c r="U12">
        <v>4</v>
      </c>
      <c r="V12">
        <f t="shared" si="0"/>
        <v>1.000000000082631</v>
      </c>
      <c r="W12">
        <f t="shared" si="1"/>
        <v>1.0000000000590388</v>
      </c>
      <c r="X12">
        <f t="shared" si="5"/>
        <v>1.0000000000590388</v>
      </c>
      <c r="Y12">
        <f t="shared" si="6"/>
        <v>1.0000000000590388</v>
      </c>
    </row>
    <row r="13" spans="1:35" ht="15" customHeight="1" x14ac:dyDescent="0.25">
      <c r="A13">
        <v>250</v>
      </c>
      <c r="B13">
        <f t="shared" si="2"/>
        <v>0.86324358968992487</v>
      </c>
      <c r="C13">
        <f t="shared" si="3"/>
        <v>0.92970391057157775</v>
      </c>
      <c r="E13">
        <v>750</v>
      </c>
      <c r="F13">
        <f>C23</f>
        <v>0.99028476918604813</v>
      </c>
      <c r="G13">
        <f t="shared" si="4"/>
        <v>0.98820216550058149</v>
      </c>
      <c r="U13">
        <v>5</v>
      </c>
      <c r="V13">
        <f t="shared" si="0"/>
        <v>1.000000000000002</v>
      </c>
      <c r="W13">
        <f t="shared" si="1"/>
        <v>1.0000000000000013</v>
      </c>
      <c r="X13">
        <f t="shared" si="5"/>
        <v>1.0000000000000013</v>
      </c>
      <c r="Y13">
        <f t="shared" si="6"/>
        <v>1.0000000000590388</v>
      </c>
    </row>
    <row r="14" spans="1:35" ht="15" customHeight="1" x14ac:dyDescent="0.25">
      <c r="A14">
        <v>300</v>
      </c>
      <c r="B14">
        <f t="shared" si="2"/>
        <v>0.88031653936692977</v>
      </c>
      <c r="C14">
        <f t="shared" si="3"/>
        <v>0.93877256169266754</v>
      </c>
      <c r="E14">
        <v>1000</v>
      </c>
      <c r="F14">
        <f>C28</f>
        <v>0.99954137584142799</v>
      </c>
      <c r="G14">
        <f t="shared" si="4"/>
        <v>0.9962702148591891</v>
      </c>
      <c r="U14">
        <v>6</v>
      </c>
      <c r="V14">
        <f t="shared" si="0"/>
        <v>0.99884630788678053</v>
      </c>
      <c r="W14">
        <f t="shared" si="1"/>
        <v>0.99917556681305664</v>
      </c>
      <c r="X14">
        <f t="shared" si="5"/>
        <v>0.99917556681305653</v>
      </c>
      <c r="Y14">
        <f t="shared" si="6"/>
        <v>0.99917556691510689</v>
      </c>
    </row>
    <row r="15" spans="1:35" ht="15" customHeight="1" x14ac:dyDescent="0.25">
      <c r="A15">
        <v>350</v>
      </c>
      <c r="B15">
        <f t="shared" si="2"/>
        <v>0.89613226777604249</v>
      </c>
      <c r="C15">
        <f t="shared" si="3"/>
        <v>0.9470945904617829</v>
      </c>
      <c r="E15">
        <v>1250</v>
      </c>
      <c r="F15">
        <f>C33</f>
        <v>0.99764699840843041</v>
      </c>
      <c r="G15">
        <f t="shared" si="4"/>
        <v>0.99446570777154653</v>
      </c>
      <c r="U15">
        <v>7</v>
      </c>
      <c r="V15">
        <f t="shared" si="0"/>
        <v>0.99504531413818464</v>
      </c>
      <c r="W15">
        <f t="shared" si="1"/>
        <v>0.99645743491717109</v>
      </c>
      <c r="X15">
        <f t="shared" si="5"/>
        <v>0.99645743491717098</v>
      </c>
      <c r="Y15">
        <f t="shared" si="6"/>
        <v>0.99645743507939966</v>
      </c>
    </row>
    <row r="16" spans="1:35" ht="15" customHeight="1" x14ac:dyDescent="0.25">
      <c r="A16">
        <v>400</v>
      </c>
      <c r="B16">
        <f t="shared" si="2"/>
        <v>0.9107165887880222</v>
      </c>
      <c r="C16">
        <f t="shared" si="3"/>
        <v>0.95470326164600794</v>
      </c>
      <c r="E16">
        <v>1500</v>
      </c>
      <c r="F16">
        <f>C38</f>
        <v>0.98615965642159631</v>
      </c>
      <c r="G16">
        <f t="shared" si="4"/>
        <v>0.98385039017515408</v>
      </c>
      <c r="U16">
        <v>8</v>
      </c>
      <c r="V16">
        <f t="shared" si="0"/>
        <v>0.98870305831750394</v>
      </c>
      <c r="W16">
        <f t="shared" si="1"/>
        <v>0.9919154079878606</v>
      </c>
      <c r="X16">
        <f t="shared" si="5"/>
        <v>0.99191540798786049</v>
      </c>
      <c r="Y16">
        <f t="shared" si="6"/>
        <v>0.99191540823046354</v>
      </c>
    </row>
    <row r="17" spans="1:31" ht="15" customHeight="1" x14ac:dyDescent="0.25">
      <c r="A17">
        <v>450</v>
      </c>
      <c r="B17">
        <f t="shared" si="2"/>
        <v>0.92409531627362784</v>
      </c>
      <c r="C17">
        <f t="shared" si="3"/>
        <v>0.96162910809653346</v>
      </c>
      <c r="E17">
        <v>1750</v>
      </c>
      <c r="F17">
        <f>C43</f>
        <v>0.96638799386329832</v>
      </c>
      <c r="G17">
        <f t="shared" si="4"/>
        <v>0.96546913300751158</v>
      </c>
      <c r="U17">
        <v>9</v>
      </c>
      <c r="V17">
        <f t="shared" si="0"/>
        <v>0.97992778023256899</v>
      </c>
      <c r="W17">
        <f t="shared" si="1"/>
        <v>0.98561721948295233</v>
      </c>
      <c r="X17">
        <f t="shared" si="5"/>
        <v>0.98561721948295233</v>
      </c>
      <c r="Y17">
        <f t="shared" si="6"/>
        <v>0.98561721982925765</v>
      </c>
    </row>
    <row r="18" spans="1:31" ht="15" customHeight="1" x14ac:dyDescent="0.25">
      <c r="A18">
        <v>500</v>
      </c>
      <c r="B18">
        <f t="shared" si="2"/>
        <v>0.93629426410361838</v>
      </c>
      <c r="C18">
        <f t="shared" si="3"/>
        <v>0.96790026293098608</v>
      </c>
      <c r="E18">
        <v>2000</v>
      </c>
      <c r="F18">
        <f>C48</f>
        <v>0.93950454855611376</v>
      </c>
      <c r="G18">
        <f t="shared" si="4"/>
        <v>0.94034993220611907</v>
      </c>
      <c r="U18">
        <v>10</v>
      </c>
      <c r="V18">
        <f t="shared" si="0"/>
        <v>0.96882991993575152</v>
      </c>
      <c r="W18">
        <f t="shared" si="1"/>
        <v>0.97762895468617994</v>
      </c>
      <c r="X18">
        <f t="shared" si="5"/>
        <v>0.97762895468617994</v>
      </c>
      <c r="Y18">
        <f t="shared" si="6"/>
        <v>0.97762895516276893</v>
      </c>
    </row>
    <row r="19" spans="1:31" ht="15" customHeight="1" x14ac:dyDescent="0.25">
      <c r="A19">
        <v>550</v>
      </c>
      <c r="B19">
        <f t="shared" si="2"/>
        <v>0.94733924614875287</v>
      </c>
      <c r="C19">
        <f t="shared" si="3"/>
        <v>0.9735427421111067</v>
      </c>
      <c r="E19">
        <v>2250</v>
      </c>
      <c r="F19">
        <f>C53</f>
        <v>0.90663323154639996</v>
      </c>
      <c r="G19">
        <f t="shared" si="4"/>
        <v>0.90950390870847664</v>
      </c>
      <c r="U19">
        <v>11</v>
      </c>
      <c r="V19">
        <f t="shared" si="0"/>
        <v>0.95552211772396378</v>
      </c>
      <c r="W19">
        <f t="shared" si="1"/>
        <v>0.96801542984891409</v>
      </c>
      <c r="X19">
        <f t="shared" si="5"/>
        <v>0.96801542984891409</v>
      </c>
      <c r="Y19">
        <f t="shared" si="6"/>
        <v>0.96801543048576399</v>
      </c>
    </row>
    <row r="20" spans="1:31" ht="15" customHeight="1" x14ac:dyDescent="0.25">
      <c r="A20">
        <v>600</v>
      </c>
      <c r="B20">
        <f t="shared" si="2"/>
        <v>0.95725607627979059</v>
      </c>
      <c r="C20">
        <f t="shared" si="3"/>
        <v>0.97858068632187867</v>
      </c>
      <c r="E20">
        <v>2500</v>
      </c>
      <c r="F20">
        <f>C58</f>
        <v>0.86892854911863371</v>
      </c>
      <c r="G20">
        <f t="shared" si="4"/>
        <v>0.87392530845208405</v>
      </c>
      <c r="U20">
        <v>12</v>
      </c>
      <c r="V20">
        <f t="shared" si="0"/>
        <v>0.94011921413865918</v>
      </c>
      <c r="W20">
        <f t="shared" si="1"/>
        <v>0.95684053798002466</v>
      </c>
      <c r="X20">
        <f t="shared" si="5"/>
        <v>0.95684053798002466</v>
      </c>
      <c r="Y20">
        <f t="shared" si="6"/>
        <v>0.95684053881067443</v>
      </c>
    </row>
    <row r="21" spans="1:31" ht="15" customHeight="1" x14ac:dyDescent="0.25">
      <c r="A21">
        <v>650</v>
      </c>
      <c r="B21">
        <f t="shared" si="2"/>
        <v>0.96607056836749017</v>
      </c>
      <c r="C21">
        <f t="shared" si="3"/>
        <v>0.983036569229782</v>
      </c>
      <c r="E21">
        <v>2750</v>
      </c>
      <c r="F21">
        <f>C63</f>
        <v>0.82765861809552432</v>
      </c>
      <c r="G21">
        <f t="shared" si="4"/>
        <v>0.83459150237444157</v>
      </c>
      <c r="U21">
        <v>13</v>
      </c>
      <c r="V21">
        <f t="shared" si="0"/>
        <v>0.92273824996583187</v>
      </c>
      <c r="W21">
        <f t="shared" si="1"/>
        <v>0.94416756930163415</v>
      </c>
      <c r="X21">
        <f t="shared" si="5"/>
        <v>0.94416756930163415</v>
      </c>
      <c r="Y21">
        <f t="shared" si="6"/>
        <v>0.94416757036337406</v>
      </c>
    </row>
    <row r="22" spans="1:31" ht="15" customHeight="1" x14ac:dyDescent="0.25">
      <c r="A22">
        <v>700</v>
      </c>
      <c r="B22">
        <f t="shared" si="2"/>
        <v>0.97380853628261077</v>
      </c>
      <c r="C22">
        <f t="shared" si="3"/>
        <v>0.98693137779077933</v>
      </c>
      <c r="E22">
        <v>3000</v>
      </c>
      <c r="F22">
        <f>C68</f>
        <v>0.78430118173155872</v>
      </c>
      <c r="G22">
        <f t="shared" si="4"/>
        <v>0.79246298641304924</v>
      </c>
      <c r="U22">
        <v>14</v>
      </c>
      <c r="V22">
        <f t="shared" si="0"/>
        <v>0.90349846623601682</v>
      </c>
      <c r="W22">
        <f t="shared" si="1"/>
        <v>0.93005951326995295</v>
      </c>
      <c r="X22">
        <f t="shared" si="5"/>
        <v>0.93005951326995295</v>
      </c>
      <c r="Y22">
        <f t="shared" si="6"/>
        <v>0.93005951460404246</v>
      </c>
    </row>
    <row r="23" spans="1:31" ht="15" customHeight="1" x14ac:dyDescent="0.25">
      <c r="A23">
        <v>750</v>
      </c>
      <c r="B23">
        <f t="shared" si="2"/>
        <v>0.98049579389591146</v>
      </c>
      <c r="C23">
        <f t="shared" si="3"/>
        <v>0.99028476918604813</v>
      </c>
      <c r="E23">
        <v>3250</v>
      </c>
      <c r="F23">
        <f>C73</f>
        <v>0.74065807857540356</v>
      </c>
      <c r="G23">
        <f t="shared" si="4"/>
        <v>0.74848338150540661</v>
      </c>
      <c r="U23">
        <v>15</v>
      </c>
      <c r="V23">
        <f t="shared" si="0"/>
        <v>0.88252130422428987</v>
      </c>
      <c r="W23">
        <f t="shared" si="1"/>
        <v>0.9145793482685689</v>
      </c>
      <c r="X23">
        <f t="shared" si="5"/>
        <v>0.91457934826856901</v>
      </c>
      <c r="Y23">
        <f t="shared" si="6"/>
        <v>0.91457934992048329</v>
      </c>
    </row>
    <row r="24" spans="1:31" ht="15" customHeight="1" x14ac:dyDescent="0.25">
      <c r="A24">
        <v>800</v>
      </c>
      <c r="B24">
        <f t="shared" si="2"/>
        <v>0.9861581550781513</v>
      </c>
      <c r="C24">
        <f t="shared" si="3"/>
        <v>0.99311520810800169</v>
      </c>
      <c r="E24">
        <v>3500</v>
      </c>
      <c r="F24">
        <f>C78</f>
        <v>0.6989837761043064</v>
      </c>
      <c r="G24">
        <f t="shared" si="4"/>
        <v>0.7035794335890142</v>
      </c>
      <c r="U24">
        <v>16</v>
      </c>
      <c r="V24">
        <f t="shared" si="0"/>
        <v>0.85993040545026822</v>
      </c>
      <c r="W24">
        <f t="shared" si="1"/>
        <v>0.89779032455685648</v>
      </c>
      <c r="X24">
        <f t="shared" si="5"/>
        <v>0.8977903245568567</v>
      </c>
      <c r="Y24">
        <f t="shared" si="6"/>
        <v>0.89779032657656699</v>
      </c>
    </row>
    <row r="25" spans="1:31" ht="15" customHeight="1" x14ac:dyDescent="0.25">
      <c r="A25">
        <v>850</v>
      </c>
      <c r="B25">
        <f t="shared" si="2"/>
        <v>0.99082143370008913</v>
      </c>
      <c r="C25">
        <f t="shared" si="3"/>
        <v>0.99544008744405432</v>
      </c>
      <c r="E25">
        <v>3750</v>
      </c>
      <c r="F25">
        <f>C83</f>
        <v>0.66209904961532229</v>
      </c>
      <c r="G25">
        <f t="shared" si="4"/>
        <v>0.65866101360137153</v>
      </c>
      <c r="M25" s="168"/>
      <c r="U25">
        <v>17</v>
      </c>
      <c r="V25">
        <f t="shared" si="0"/>
        <v>0.83585161167810929</v>
      </c>
      <c r="W25">
        <f t="shared" si="1"/>
        <v>0.87975624575928379</v>
      </c>
      <c r="X25">
        <f t="shared" si="5"/>
        <v>0.87975624575928402</v>
      </c>
      <c r="Y25">
        <f t="shared" si="6"/>
        <v>0.87975624820157539</v>
      </c>
      <c r="AE25" t="s">
        <v>7967</v>
      </c>
    </row>
    <row r="26" spans="1:31" ht="15" customHeight="1" x14ac:dyDescent="0.25">
      <c r="A26">
        <v>900</v>
      </c>
      <c r="B26">
        <f t="shared" si="2"/>
        <v>0.99451144363248423</v>
      </c>
      <c r="C26">
        <f t="shared" si="3"/>
        <v>0.99727583486899207</v>
      </c>
      <c r="E26">
        <v>4000</v>
      </c>
      <c r="F26">
        <f>C88</f>
        <v>0.63341309884799035</v>
      </c>
      <c r="G26">
        <f t="shared" si="4"/>
        <v>0.61462111747997927</v>
      </c>
      <c r="L26" s="168"/>
      <c r="U26">
        <v>18</v>
      </c>
      <c r="V26">
        <f t="shared" si="0"/>
        <v>0.8104129649165116</v>
      </c>
      <c r="W26">
        <f t="shared" si="1"/>
        <v>0.86054175408878542</v>
      </c>
      <c r="X26">
        <f t="shared" si="5"/>
        <v>0.86054175408878575</v>
      </c>
      <c r="Y26">
        <f t="shared" si="6"/>
        <v>0.86054175701361546</v>
      </c>
    </row>
    <row r="27" spans="1:31" ht="15" customHeight="1" x14ac:dyDescent="0.25">
      <c r="A27">
        <v>950</v>
      </c>
      <c r="B27">
        <f t="shared" si="2"/>
        <v>0.99725399874609555</v>
      </c>
      <c r="C27">
        <f t="shared" si="3"/>
        <v>0.99863800742736253</v>
      </c>
      <c r="E27">
        <v>5000</v>
      </c>
      <c r="F27">
        <v>0.45</v>
      </c>
      <c r="G27">
        <f t="shared" si="4"/>
        <v>0.46451606540690893</v>
      </c>
      <c r="L27" s="168"/>
      <c r="M27" s="168"/>
      <c r="N27" s="168"/>
      <c r="U27">
        <v>19</v>
      </c>
      <c r="V27">
        <f t="shared" si="0"/>
        <v>0.78374470741871494</v>
      </c>
      <c r="W27">
        <f t="shared" si="1"/>
        <v>0.84021262459840507</v>
      </c>
      <c r="X27">
        <f t="shared" si="5"/>
        <v>0.8402126245984054</v>
      </c>
      <c r="Y27">
        <f t="shared" si="6"/>
        <v>0.84021262807131036</v>
      </c>
      <c r="Z27" s="168"/>
    </row>
    <row r="28" spans="1:31" ht="15" customHeight="1" x14ac:dyDescent="0.25">
      <c r="A28">
        <v>1000</v>
      </c>
      <c r="B28">
        <f t="shared" si="2"/>
        <v>0.99907491291168182</v>
      </c>
      <c r="C28">
        <f t="shared" si="3"/>
        <v>0.99954137584142799</v>
      </c>
      <c r="E28">
        <v>6000</v>
      </c>
      <c r="F28">
        <v>0.4</v>
      </c>
      <c r="G28">
        <f t="shared" si="4"/>
        <v>0.39551957019383943</v>
      </c>
      <c r="H28" t="s">
        <v>7968</v>
      </c>
      <c r="L28" s="168"/>
      <c r="M28" s="168"/>
      <c r="N28" s="168"/>
      <c r="U28">
        <v>20</v>
      </c>
      <c r="V28">
        <f t="shared" si="0"/>
        <v>0.75597928168249917</v>
      </c>
      <c r="W28">
        <f t="shared" si="1"/>
        <v>0.81883607405073344</v>
      </c>
      <c r="X28">
        <f t="shared" si="5"/>
        <v>0.81883607405073389</v>
      </c>
      <c r="Y28">
        <f t="shared" si="6"/>
        <v>0.81883607814328951</v>
      </c>
    </row>
    <row r="29" spans="1:31" ht="15" customHeight="1" x14ac:dyDescent="0.25">
      <c r="A29">
        <v>1050</v>
      </c>
      <c r="B29">
        <f t="shared" si="2"/>
        <v>1.0000000000000024</v>
      </c>
      <c r="C29">
        <f t="shared" si="3"/>
        <v>1.0000000000000011</v>
      </c>
      <c r="D29">
        <v>1.0433324546170399</v>
      </c>
      <c r="E29">
        <v>7000</v>
      </c>
      <c r="G29">
        <f t="shared" si="4"/>
        <v>0.45668337184076968</v>
      </c>
      <c r="M29" s="168"/>
      <c r="N29" s="168"/>
      <c r="Q29" s="169"/>
      <c r="U29">
        <v>21</v>
      </c>
      <c r="V29">
        <f t="shared" si="0"/>
        <v>0.72725133045018586</v>
      </c>
      <c r="W29">
        <f t="shared" si="1"/>
        <v>0.79648109049533788</v>
      </c>
      <c r="X29">
        <f t="shared" si="5"/>
        <v>0.79648109049533855</v>
      </c>
      <c r="Y29">
        <f t="shared" si="6"/>
        <v>0.79648109528567868</v>
      </c>
    </row>
    <row r="30" spans="1:31" ht="15" customHeight="1" x14ac:dyDescent="0.25">
      <c r="A30">
        <v>1100</v>
      </c>
      <c r="B30">
        <f t="shared" si="2"/>
        <v>1.0000550738818161</v>
      </c>
      <c r="C30">
        <f t="shared" si="3"/>
        <v>1.0000272968551853</v>
      </c>
      <c r="E30">
        <v>8000</v>
      </c>
      <c r="G30">
        <f t="shared" si="4"/>
        <v>0.69273921034769947</v>
      </c>
      <c r="L30" s="168"/>
      <c r="M30" s="168"/>
      <c r="N30" s="168"/>
      <c r="O30" s="168"/>
      <c r="Q30" s="168"/>
      <c r="U30">
        <v>22</v>
      </c>
      <c r="V30">
        <f t="shared" si="0"/>
        <v>0.69769769670863724</v>
      </c>
      <c r="W30">
        <f t="shared" si="1"/>
        <v>0.77321879037179253</v>
      </c>
      <c r="X30">
        <f t="shared" si="5"/>
        <v>0.7732187903717932</v>
      </c>
      <c r="Y30">
        <f t="shared" si="6"/>
        <v>0.77321879594519916</v>
      </c>
    </row>
    <row r="31" spans="1:31" ht="15" customHeight="1" x14ac:dyDescent="0.25">
      <c r="A31">
        <v>1150</v>
      </c>
      <c r="B31">
        <f t="shared" si="2"/>
        <v>0.99926594842788219</v>
      </c>
      <c r="C31">
        <f t="shared" si="3"/>
        <v>0.99963610176708873</v>
      </c>
      <c r="G31">
        <f t="shared" si="4"/>
        <v>0.89389209437225903</v>
      </c>
      <c r="L31" s="168"/>
      <c r="M31" s="168"/>
      <c r="N31" s="168"/>
      <c r="O31" s="168"/>
      <c r="Q31" s="168"/>
      <c r="U31">
        <v>23</v>
      </c>
      <c r="V31">
        <f t="shared" si="0"/>
        <v>0.66745742368925609</v>
      </c>
      <c r="W31">
        <f t="shared" si="1"/>
        <v>0.74912281094202993</v>
      </c>
      <c r="X31">
        <f t="shared" si="5"/>
        <v>0.74912281094203059</v>
      </c>
      <c r="Y31">
        <f t="shared" si="6"/>
        <v>0.74912281739159647</v>
      </c>
    </row>
    <row r="32" spans="1:31" ht="15" customHeight="1" x14ac:dyDescent="0.25">
      <c r="A32">
        <v>1200</v>
      </c>
      <c r="B32">
        <f t="shared" si="2"/>
        <v>0.99765843750895944</v>
      </c>
      <c r="C32">
        <f t="shared" si="3"/>
        <v>0.99883872418275599</v>
      </c>
      <c r="E32">
        <v>5400</v>
      </c>
      <c r="G32">
        <f t="shared" si="4"/>
        <v>0.42434077505848111</v>
      </c>
      <c r="L32" s="168"/>
      <c r="M32" s="168"/>
      <c r="N32" s="168"/>
      <c r="O32" s="168"/>
      <c r="Q32" s="168"/>
      <c r="U32">
        <v>24</v>
      </c>
      <c r="V32">
        <f t="shared" si="0"/>
        <v>0.63667175486798644</v>
      </c>
      <c r="W32">
        <f t="shared" si="1"/>
        <v>0.72426974714344494</v>
      </c>
    </row>
    <row r="33" spans="1:23" ht="15" customHeight="1" x14ac:dyDescent="0.25">
      <c r="A33">
        <v>1250</v>
      </c>
      <c r="B33">
        <f t="shared" si="2"/>
        <v>0.99525835499580717</v>
      </c>
      <c r="C33">
        <f t="shared" si="3"/>
        <v>0.99764699840843041</v>
      </c>
      <c r="L33" s="168"/>
      <c r="M33" s="168"/>
      <c r="N33" s="168"/>
      <c r="O33" s="168"/>
      <c r="Q33" s="168"/>
      <c r="U33">
        <v>25</v>
      </c>
      <c r="V33">
        <f t="shared" si="0"/>
        <v>0.60548413396531264</v>
      </c>
      <c r="W33">
        <f t="shared" si="1"/>
        <v>0.69873964359738849</v>
      </c>
    </row>
    <row r="34" spans="1:23" ht="15" customHeight="1" x14ac:dyDescent="0.25">
      <c r="A34">
        <v>1300</v>
      </c>
      <c r="B34">
        <f t="shared" si="2"/>
        <v>0.99209151475918411</v>
      </c>
      <c r="C34">
        <f t="shared" si="3"/>
        <v>0.99607233012876761</v>
      </c>
      <c r="L34" s="168"/>
      <c r="M34" s="168"/>
      <c r="N34" s="168"/>
      <c r="O34" s="168"/>
      <c r="Q34" s="168"/>
      <c r="U34">
        <v>26</v>
      </c>
      <c r="V34">
        <f t="shared" si="0"/>
        <v>0.57404020494626085</v>
      </c>
      <c r="W34">
        <f t="shared" si="1"/>
        <v>0.67261655457017744</v>
      </c>
    </row>
    <row r="35" spans="1:23" ht="15" customHeight="1" x14ac:dyDescent="0.25">
      <c r="A35">
        <v>1350</v>
      </c>
      <c r="B35">
        <f t="shared" si="2"/>
        <v>0.98818373066984933</v>
      </c>
      <c r="C35">
        <f t="shared" si="3"/>
        <v>0.99412573923877978</v>
      </c>
      <c r="L35" s="168"/>
      <c r="M35" s="168"/>
      <c r="N35" s="168"/>
      <c r="O35" s="168"/>
      <c r="Q35" s="168"/>
      <c r="U35">
        <v>27</v>
      </c>
      <c r="V35">
        <f t="shared" si="0"/>
        <v>0.54248781202039753</v>
      </c>
      <c r="W35">
        <f t="shared" si="1"/>
        <v>0.64598918723537258</v>
      </c>
    </row>
    <row r="36" spans="1:23" ht="15" customHeight="1" x14ac:dyDescent="0.25">
      <c r="A36">
        <v>1400</v>
      </c>
      <c r="B36">
        <f t="shared" si="2"/>
        <v>0.98356081659856176</v>
      </c>
      <c r="C36">
        <f t="shared" si="3"/>
        <v>0.99181789948088539</v>
      </c>
      <c r="L36" s="168"/>
      <c r="M36" s="168"/>
      <c r="N36" s="168"/>
      <c r="O36" s="168"/>
      <c r="Q36" s="168"/>
      <c r="U36">
        <v>28</v>
      </c>
      <c r="V36">
        <f t="shared" si="0"/>
        <v>0.52671775828470246</v>
      </c>
      <c r="W36">
        <f t="shared" si="1"/>
        <v>0.63251558518227935</v>
      </c>
    </row>
    <row r="37" spans="1:23" ht="15" customHeight="1" x14ac:dyDescent="0.25">
      <c r="A37">
        <v>1450</v>
      </c>
      <c r="B37">
        <f t="shared" si="2"/>
        <v>0.9782485864160807</v>
      </c>
      <c r="C37">
        <f t="shared" si="3"/>
        <v>0.98915917531795461</v>
      </c>
      <c r="L37" s="168"/>
      <c r="M37" s="168"/>
      <c r="N37" s="168"/>
      <c r="O37" s="168"/>
      <c r="Q37" s="168"/>
      <c r="U37">
        <v>29</v>
      </c>
      <c r="V37">
        <f t="shared" si="0"/>
        <v>0.52671775828470246</v>
      </c>
      <c r="W37">
        <f t="shared" si="1"/>
        <v>0.63251558518227935</v>
      </c>
    </row>
    <row r="38" spans="1:23" ht="15" customHeight="1" x14ac:dyDescent="0.25">
      <c r="A38">
        <v>1500</v>
      </c>
      <c r="B38">
        <f t="shared" si="2"/>
        <v>0.97227285399316488</v>
      </c>
      <c r="C38">
        <f t="shared" si="3"/>
        <v>0.98615965642159631</v>
      </c>
      <c r="L38" s="168"/>
      <c r="M38" s="168"/>
      <c r="N38" s="168"/>
      <c r="O38" s="168"/>
      <c r="Q38" s="168"/>
      <c r="U38">
        <v>30</v>
      </c>
      <c r="V38">
        <f t="shared" si="0"/>
        <v>0.52671775828470246</v>
      </c>
      <c r="W38">
        <f t="shared" si="1"/>
        <v>0.63251558518227935</v>
      </c>
    </row>
    <row r="39" spans="1:23" ht="15" customHeight="1" x14ac:dyDescent="0.25">
      <c r="A39">
        <v>1550</v>
      </c>
      <c r="B39">
        <f t="shared" si="2"/>
        <v>0.96565943320057379</v>
      </c>
      <c r="C39">
        <f t="shared" si="3"/>
        <v>0.98282919011149117</v>
      </c>
      <c r="L39" s="168"/>
      <c r="M39" s="168"/>
      <c r="N39" s="168"/>
      <c r="O39" s="168"/>
      <c r="Q39" s="168"/>
      <c r="U39">
        <v>31</v>
      </c>
      <c r="V39">
        <f t="shared" si="0"/>
        <v>0.52671775828470246</v>
      </c>
      <c r="W39">
        <f t="shared" si="1"/>
        <v>0.63251558518227935</v>
      </c>
    </row>
    <row r="40" spans="1:23" ht="15" customHeight="1" x14ac:dyDescent="0.25">
      <c r="A40">
        <v>1600</v>
      </c>
      <c r="B40">
        <f t="shared" si="2"/>
        <v>0.95843413790906584</v>
      </c>
      <c r="C40">
        <f t="shared" si="3"/>
        <v>0.97917741204497033</v>
      </c>
      <c r="L40" s="168"/>
      <c r="M40" s="168"/>
      <c r="N40" s="168"/>
      <c r="O40" s="168"/>
      <c r="Q40" s="168"/>
      <c r="U40">
        <v>32</v>
      </c>
      <c r="V40">
        <f t="shared" si="0"/>
        <v>0.52671775828470246</v>
      </c>
      <c r="W40">
        <f t="shared" si="1"/>
        <v>0.63251558518227935</v>
      </c>
    </row>
    <row r="41" spans="1:23" ht="15" customHeight="1" x14ac:dyDescent="0.25">
      <c r="A41">
        <v>1650</v>
      </c>
      <c r="B41">
        <f t="shared" si="2"/>
        <v>0.95062278198940042</v>
      </c>
      <c r="C41">
        <f t="shared" si="3"/>
        <v>0.97521377542518517</v>
      </c>
      <c r="L41" s="168"/>
      <c r="M41" s="168"/>
      <c r="N41" s="168"/>
      <c r="O41" s="168"/>
      <c r="Q41" s="168"/>
      <c r="U41">
        <v>33</v>
      </c>
      <c r="V41">
        <f t="shared" si="0"/>
        <v>0.52671775828470246</v>
      </c>
      <c r="W41">
        <f t="shared" si="1"/>
        <v>0.63251558518227935</v>
      </c>
    </row>
    <row r="42" spans="1:23" ht="15" customHeight="1" x14ac:dyDescent="0.25">
      <c r="A42">
        <v>1700</v>
      </c>
      <c r="B42">
        <f t="shared" si="2"/>
        <v>0.94225117931233648</v>
      </c>
      <c r="C42">
        <f t="shared" si="3"/>
        <v>0.97094757897018624</v>
      </c>
      <c r="L42" s="168"/>
      <c r="M42" s="168"/>
      <c r="N42" s="168"/>
      <c r="O42" s="168"/>
      <c r="Q42" s="168"/>
    </row>
    <row r="43" spans="1:23" ht="15" customHeight="1" x14ac:dyDescent="0.25">
      <c r="A43">
        <v>1750</v>
      </c>
      <c r="B43">
        <f t="shared" si="2"/>
        <v>0.93334514374863298</v>
      </c>
      <c r="C43">
        <f t="shared" si="3"/>
        <v>0.96638799386329832</v>
      </c>
      <c r="L43" s="168"/>
      <c r="M43" s="168"/>
      <c r="N43" s="168"/>
      <c r="O43" s="168"/>
      <c r="Q43" s="168"/>
    </row>
    <row r="44" spans="1:23" ht="15" customHeight="1" x14ac:dyDescent="0.25">
      <c r="A44">
        <v>1800</v>
      </c>
      <c r="B44">
        <f t="shared" si="2"/>
        <v>0.92393048916904896</v>
      </c>
      <c r="C44">
        <f t="shared" si="3"/>
        <v>0.96154408988670292</v>
      </c>
      <c r="L44" s="168"/>
      <c r="M44" s="168"/>
      <c r="N44" s="168"/>
      <c r="O44" s="168"/>
      <c r="Q44" s="168"/>
    </row>
    <row r="45" spans="1:23" ht="15" customHeight="1" x14ac:dyDescent="0.25">
      <c r="A45">
        <v>1850</v>
      </c>
      <c r="B45">
        <f t="shared" si="2"/>
        <v>0.91403302944434373</v>
      </c>
      <c r="C45">
        <f t="shared" si="3"/>
        <v>0.95642486092460666</v>
      </c>
      <c r="L45" s="168"/>
      <c r="M45" s="168"/>
      <c r="N45" s="168"/>
      <c r="O45" s="168"/>
      <c r="Q45" s="168"/>
    </row>
    <row r="46" spans="1:23" ht="15" customHeight="1" x14ac:dyDescent="0.25">
      <c r="A46">
        <v>1900</v>
      </c>
      <c r="B46">
        <f t="shared" si="2"/>
        <v>0.90367857844527588</v>
      </c>
      <c r="C46">
        <f t="shared" si="3"/>
        <v>0.95103925000933021</v>
      </c>
      <c r="L46" s="168"/>
      <c r="M46" s="168"/>
      <c r="N46" s="168"/>
      <c r="O46" s="168"/>
      <c r="P46" s="169"/>
      <c r="Q46" s="168"/>
    </row>
    <row r="47" spans="1:23" ht="15" customHeight="1" x14ac:dyDescent="0.25">
      <c r="A47">
        <v>1950</v>
      </c>
      <c r="B47">
        <f t="shared" si="2"/>
        <v>0.89289295004260449</v>
      </c>
      <c r="C47">
        <f t="shared" si="3"/>
        <v>0.94539617407271848</v>
      </c>
      <c r="L47" s="168"/>
      <c r="M47" s="168"/>
      <c r="N47" s="168"/>
      <c r="O47" s="168"/>
      <c r="Q47" s="168"/>
    </row>
    <row r="48" spans="1:23" ht="15" customHeight="1" x14ac:dyDescent="0.25">
      <c r="A48">
        <v>2000</v>
      </c>
      <c r="B48">
        <f t="shared" si="2"/>
        <v>0.88170195810708885</v>
      </c>
      <c r="C48">
        <f t="shared" si="3"/>
        <v>0.93950454855611376</v>
      </c>
      <c r="L48" s="168"/>
      <c r="M48" s="168"/>
      <c r="N48" s="168"/>
      <c r="O48" s="168"/>
      <c r="Q48" s="168"/>
    </row>
    <row r="49" spans="1:35" ht="15" customHeight="1" x14ac:dyDescent="0.25">
      <c r="A49">
        <v>2050</v>
      </c>
      <c r="B49">
        <f t="shared" si="2"/>
        <v>0.87013141650948789</v>
      </c>
      <c r="C49">
        <f t="shared" si="3"/>
        <v>0.93337331202443685</v>
      </c>
      <c r="L49" s="168"/>
      <c r="M49" s="168"/>
      <c r="N49" s="168"/>
      <c r="O49" s="168"/>
      <c r="Q49" s="168"/>
    </row>
    <row r="50" spans="1:35" ht="15" customHeight="1" x14ac:dyDescent="0.25">
      <c r="A50">
        <v>2100</v>
      </c>
      <c r="B50">
        <f t="shared" si="2"/>
        <v>0.85820713912056057</v>
      </c>
      <c r="C50">
        <f t="shared" si="3"/>
        <v>0.92701145092342907</v>
      </c>
      <c r="L50" s="168"/>
      <c r="M50" s="168"/>
      <c r="N50" s="168"/>
      <c r="O50" s="168"/>
      <c r="Q50" s="168"/>
    </row>
    <row r="51" spans="1:35" ht="15" customHeight="1" x14ac:dyDescent="0.25">
      <c r="A51">
        <v>2150</v>
      </c>
      <c r="B51">
        <f t="shared" si="2"/>
        <v>0.84595493981106562</v>
      </c>
      <c r="C51">
        <f t="shared" si="3"/>
        <v>0.9204280246135359</v>
      </c>
      <c r="L51" s="168"/>
      <c r="M51" s="168"/>
      <c r="N51" s="168"/>
      <c r="O51" s="168"/>
      <c r="Q51" s="168"/>
    </row>
    <row r="52" spans="1:35" ht="109.5" customHeight="1" x14ac:dyDescent="0.25">
      <c r="A52">
        <v>2200</v>
      </c>
      <c r="B52">
        <f t="shared" si="2"/>
        <v>0.83340063245176266</v>
      </c>
      <c r="C52">
        <f t="shared" si="3"/>
        <v>0.91363219080902014</v>
      </c>
      <c r="L52" s="168"/>
      <c r="M52" s="168"/>
      <c r="N52" s="168"/>
      <c r="O52" s="168"/>
      <c r="Q52" s="168"/>
      <c r="AE52" s="184" t="s">
        <v>7969</v>
      </c>
      <c r="AF52" s="185"/>
      <c r="AG52" s="186"/>
      <c r="AI52" s="170" t="s">
        <v>7970</v>
      </c>
    </row>
    <row r="53" spans="1:35" ht="15" customHeight="1" x14ac:dyDescent="0.25">
      <c r="A53">
        <v>2250</v>
      </c>
      <c r="B53">
        <f t="shared" si="2"/>
        <v>0.82057003091341041</v>
      </c>
      <c r="C53">
        <f t="shared" si="3"/>
        <v>0.90663323154639996</v>
      </c>
      <c r="L53" s="168"/>
      <c r="M53" s="168"/>
      <c r="N53" s="168"/>
      <c r="O53" s="168"/>
      <c r="Q53" s="168"/>
    </row>
    <row r="54" spans="1:35" ht="15" customHeight="1" x14ac:dyDescent="0.25">
      <c r="A54">
        <v>2300</v>
      </c>
      <c r="B54">
        <f t="shared" si="2"/>
        <v>0.8074889490667676</v>
      </c>
      <c r="C54">
        <f t="shared" si="3"/>
        <v>0.89944057980196068</v>
      </c>
      <c r="L54" s="168"/>
      <c r="M54" s="168"/>
      <c r="N54" s="168"/>
      <c r="O54" s="168"/>
      <c r="Q54" s="168"/>
    </row>
    <row r="55" spans="1:35" ht="15" customHeight="1" x14ac:dyDescent="0.25">
      <c r="A55">
        <v>2350</v>
      </c>
      <c r="B55">
        <f t="shared" si="2"/>
        <v>0.79418320078259375</v>
      </c>
      <c r="C55">
        <f t="shared" si="3"/>
        <v>0.89206384687356399</v>
      </c>
      <c r="L55" s="168"/>
      <c r="M55" s="168"/>
      <c r="N55" s="168"/>
      <c r="O55" s="168"/>
      <c r="Q55" s="168"/>
    </row>
    <row r="56" spans="1:35" ht="15" customHeight="1" x14ac:dyDescent="0.25">
      <c r="A56">
        <v>2400</v>
      </c>
      <c r="B56">
        <f t="shared" si="2"/>
        <v>0.78067859993164779</v>
      </c>
      <c r="C56">
        <f t="shared" si="3"/>
        <v>0.8845128506369665</v>
      </c>
      <c r="L56" s="168"/>
      <c r="M56" s="168"/>
      <c r="N56" s="168"/>
      <c r="O56" s="168"/>
      <c r="Q56" s="168"/>
    </row>
    <row r="57" spans="1:35" ht="15" customHeight="1" x14ac:dyDescent="0.25">
      <c r="A57">
        <v>2450</v>
      </c>
      <c r="B57">
        <f t="shared" si="2"/>
        <v>0.76700096038468846</v>
      </c>
      <c r="C57">
        <f t="shared" si="3"/>
        <v>0.87679764478098043</v>
      </c>
      <c r="L57" s="168"/>
      <c r="M57" s="168"/>
      <c r="N57" s="168"/>
      <c r="O57" s="168"/>
      <c r="Q57" s="168"/>
    </row>
    <row r="58" spans="1:35" ht="15" customHeight="1" x14ac:dyDescent="0.25">
      <c r="A58">
        <v>2500</v>
      </c>
      <c r="B58">
        <f t="shared" si="2"/>
        <v>0.75317609601247471</v>
      </c>
      <c r="C58">
        <f t="shared" si="3"/>
        <v>0.86892854911863371</v>
      </c>
      <c r="L58" s="168"/>
      <c r="M58" s="168"/>
      <c r="N58" s="168"/>
      <c r="O58" s="168"/>
      <c r="Q58" s="168"/>
    </row>
    <row r="59" spans="1:35" ht="15" customHeight="1" x14ac:dyDescent="0.25">
      <c r="A59">
        <v>2550</v>
      </c>
      <c r="B59">
        <f t="shared" si="2"/>
        <v>0.73922982068576626</v>
      </c>
      <c r="C59">
        <f t="shared" si="3"/>
        <v>0.86091618106252821</v>
      </c>
      <c r="L59" s="168"/>
      <c r="M59" s="168"/>
      <c r="N59" s="168"/>
      <c r="O59" s="168"/>
      <c r="Q59" s="168"/>
    </row>
    <row r="60" spans="1:35" ht="15" customHeight="1" x14ac:dyDescent="0.25">
      <c r="A60">
        <v>2600</v>
      </c>
      <c r="B60">
        <f t="shared" si="2"/>
        <v>0.7251879482753214</v>
      </c>
      <c r="C60">
        <f t="shared" si="3"/>
        <v>0.85277148834129213</v>
      </c>
      <c r="L60" s="168"/>
      <c r="M60" s="168"/>
      <c r="N60" s="168"/>
      <c r="O60" s="168"/>
      <c r="Q60" s="168"/>
    </row>
    <row r="61" spans="1:35" ht="15" customHeight="1" x14ac:dyDescent="0.25">
      <c r="A61">
        <v>2650</v>
      </c>
      <c r="B61">
        <f t="shared" si="2"/>
        <v>0.71107629265189942</v>
      </c>
      <c r="C61">
        <f t="shared" si="3"/>
        <v>0.84450578301971591</v>
      </c>
      <c r="L61" s="168"/>
      <c r="M61" s="168"/>
      <c r="N61" s="168"/>
      <c r="O61" s="168"/>
      <c r="Q61" s="168"/>
    </row>
    <row r="62" spans="1:35" ht="15" customHeight="1" x14ac:dyDescent="0.25">
      <c r="A62">
        <v>2700</v>
      </c>
      <c r="B62">
        <f t="shared" si="2"/>
        <v>0.69692066768625904</v>
      </c>
      <c r="C62">
        <f t="shared" si="3"/>
        <v>0.83613077686708337</v>
      </c>
      <c r="L62" s="168"/>
      <c r="M62" s="168"/>
      <c r="N62" s="168"/>
      <c r="O62" s="168"/>
      <c r="Q62" s="168"/>
    </row>
    <row r="63" spans="1:35" ht="15" customHeight="1" x14ac:dyDescent="0.25">
      <c r="A63">
        <v>2750</v>
      </c>
      <c r="B63">
        <f t="shared" si="2"/>
        <v>0.68274688724915988</v>
      </c>
      <c r="C63">
        <f t="shared" si="3"/>
        <v>0.82765861809552432</v>
      </c>
      <c r="L63" s="168"/>
      <c r="M63" s="168"/>
      <c r="N63" s="168"/>
      <c r="O63" s="168"/>
      <c r="Q63" s="168"/>
    </row>
    <row r="64" spans="1:35" ht="15" customHeight="1" x14ac:dyDescent="0.25">
      <c r="A64">
        <v>2800</v>
      </c>
      <c r="B64">
        <f t="shared" si="2"/>
        <v>0.66858076521136067</v>
      </c>
      <c r="C64">
        <f t="shared" si="3"/>
        <v>0.81910192946188676</v>
      </c>
      <c r="L64" s="168"/>
      <c r="M64" s="168"/>
      <c r="N64" s="168"/>
      <c r="O64" s="168"/>
      <c r="Q64" s="168"/>
    </row>
    <row r="65" spans="1:17" ht="15" customHeight="1" x14ac:dyDescent="0.25">
      <c r="A65">
        <v>2850</v>
      </c>
      <c r="B65">
        <f t="shared" si="2"/>
        <v>0.65444811544362058</v>
      </c>
      <c r="C65">
        <f t="shared" si="3"/>
        <v>0.81047384769158315</v>
      </c>
      <c r="L65" s="168"/>
      <c r="M65" s="168"/>
      <c r="N65" s="168"/>
      <c r="O65" s="168"/>
      <c r="Q65" s="168"/>
    </row>
    <row r="66" spans="1:17" ht="15" customHeight="1" x14ac:dyDescent="0.25">
      <c r="A66">
        <v>2900</v>
      </c>
      <c r="B66">
        <f t="shared" si="2"/>
        <v>0.64037475181669823</v>
      </c>
      <c r="C66">
        <f t="shared" si="3"/>
        <v>0.80178806413981707</v>
      </c>
      <c r="L66" s="168"/>
      <c r="M66" s="168"/>
      <c r="N66" s="168"/>
      <c r="O66" s="168"/>
      <c r="Q66" s="168"/>
    </row>
    <row r="67" spans="1:17" ht="15" customHeight="1" x14ac:dyDescent="0.25">
      <c r="A67">
        <v>2950</v>
      </c>
      <c r="B67">
        <f t="shared" si="2"/>
        <v>0.6263864882013529</v>
      </c>
      <c r="C67">
        <f t="shared" si="3"/>
        <v>0.79305886655320357</v>
      </c>
      <c r="L67" s="168"/>
      <c r="M67" s="168"/>
      <c r="N67" s="168"/>
      <c r="O67" s="168"/>
      <c r="Q67" s="168"/>
    </row>
    <row r="68" spans="1:17" ht="15" customHeight="1" x14ac:dyDescent="0.25">
      <c r="A68">
        <v>3000</v>
      </c>
      <c r="B68">
        <f t="shared" si="2"/>
        <v>0.61250913846834354</v>
      </c>
      <c r="C68">
        <f t="shared" si="3"/>
        <v>0.78430118173155872</v>
      </c>
      <c r="L68" s="168"/>
      <c r="M68" s="168"/>
      <c r="N68" s="168"/>
      <c r="O68" s="168"/>
      <c r="Q68" s="168"/>
    </row>
    <row r="69" spans="1:17" ht="15" customHeight="1" x14ac:dyDescent="0.25">
      <c r="A69">
        <v>3050</v>
      </c>
      <c r="B69">
        <f t="shared" si="2"/>
        <v>0.59876851648842955</v>
      </c>
      <c r="C69">
        <f t="shared" si="3"/>
        <v>0.77553061881403018</v>
      </c>
      <c r="L69" s="168"/>
      <c r="M69" s="168"/>
      <c r="N69" s="168"/>
      <c r="O69" s="168"/>
      <c r="Q69" s="168"/>
    </row>
    <row r="70" spans="1:17" ht="15" customHeight="1" x14ac:dyDescent="0.25">
      <c r="A70">
        <v>3100</v>
      </c>
      <c r="B70">
        <f t="shared" si="2"/>
        <v>0.58519043613236954</v>
      </c>
      <c r="C70">
        <f t="shared" si="3"/>
        <v>0.76676351282418742</v>
      </c>
      <c r="L70" s="168"/>
      <c r="M70" s="168"/>
      <c r="N70" s="168"/>
      <c r="O70" s="168"/>
      <c r="Q70" s="168"/>
    </row>
    <row r="71" spans="1:17" ht="15" customHeight="1" x14ac:dyDescent="0.25">
      <c r="A71">
        <v>3150</v>
      </c>
      <c r="B71">
        <f t="shared" si="2"/>
        <v>0.57180071127092247</v>
      </c>
      <c r="C71">
        <f t="shared" si="3"/>
        <v>0.75801696800372964</v>
      </c>
      <c r="L71" s="168"/>
      <c r="M71" s="168"/>
      <c r="N71" s="168"/>
      <c r="O71" s="168"/>
      <c r="Q71" s="168"/>
    </row>
    <row r="72" spans="1:17" ht="15" customHeight="1" x14ac:dyDescent="0.25">
      <c r="A72">
        <v>3200</v>
      </c>
      <c r="B72">
        <f t="shared" si="2"/>
        <v>0.55862515577484717</v>
      </c>
      <c r="C72">
        <f t="shared" si="3"/>
        <v>0.74930890034277875</v>
      </c>
      <c r="L72" s="168"/>
      <c r="M72" s="168"/>
      <c r="N72" s="168"/>
      <c r="O72" s="168"/>
      <c r="Q72" s="168"/>
    </row>
    <row r="73" spans="1:17" ht="15" customHeight="1" x14ac:dyDescent="0.25">
      <c r="A73">
        <v>3250</v>
      </c>
      <c r="B73">
        <f t="shared" si="2"/>
        <v>0.5456895835149036</v>
      </c>
      <c r="C73">
        <f t="shared" si="3"/>
        <v>0.74065807857540356</v>
      </c>
      <c r="L73" s="168"/>
      <c r="M73" s="168"/>
      <c r="N73" s="168"/>
      <c r="O73" s="168"/>
      <c r="Q73" s="168"/>
    </row>
    <row r="74" spans="1:17" ht="15" customHeight="1" x14ac:dyDescent="0.25">
      <c r="A74">
        <v>3300</v>
      </c>
      <c r="B74">
        <f t="shared" ref="B74:B98" si="7">(IF(A74&lt;$A$6,$B$6,IF(A74&gt;$A$7,$B$7,((0.000000000032989*A74^3-0.000000270691185*A74^2+0.000468652420503*A74+0.726630359723856)*1.04333245461704))))</f>
        <v>0.53301980836184981</v>
      </c>
      <c r="C74">
        <f t="shared" ref="C74:C98" si="8">EXP(LN(IF(A74&lt;$A$6,$B$6,IF(A74&gt;$A$7,$B$7,((0.000000000032989*A74^3-0.000000270691185*A74^2+0.000468652420503*A74+0.726630359723856)*1.04333245461704))))*$D$6)</f>
        <v>0.73208416275168464</v>
      </c>
      <c r="L74" s="168"/>
      <c r="M74" s="168"/>
      <c r="N74" s="168"/>
      <c r="O74" s="168"/>
      <c r="Q74" s="168"/>
    </row>
    <row r="75" spans="1:17" ht="15" customHeight="1" x14ac:dyDescent="0.25">
      <c r="A75">
        <v>3350</v>
      </c>
      <c r="B75">
        <f t="shared" si="7"/>
        <v>0.52064164418644532</v>
      </c>
      <c r="C75">
        <f t="shared" si="8"/>
        <v>0.72360773932282363</v>
      </c>
      <c r="L75" s="168"/>
      <c r="M75" s="168"/>
      <c r="N75" s="168"/>
      <c r="O75" s="168"/>
      <c r="Q75" s="168"/>
    </row>
    <row r="76" spans="1:17" ht="15" customHeight="1" x14ac:dyDescent="0.25">
      <c r="A76">
        <v>3400</v>
      </c>
      <c r="B76">
        <f t="shared" si="7"/>
        <v>0.50858090485944896</v>
      </c>
      <c r="C76">
        <f t="shared" si="8"/>
        <v>0.71525035148518334</v>
      </c>
      <c r="L76" s="168"/>
      <c r="M76" s="168"/>
      <c r="N76" s="168"/>
      <c r="O76" s="168"/>
      <c r="Q76" s="168"/>
    </row>
    <row r="77" spans="1:17" ht="15" customHeight="1" x14ac:dyDescent="0.25">
      <c r="A77">
        <v>3450</v>
      </c>
      <c r="B77">
        <f t="shared" si="7"/>
        <v>0.49686340425162007</v>
      </c>
      <c r="C77">
        <f t="shared" si="8"/>
        <v>0.70703452332611227</v>
      </c>
      <c r="L77" s="168"/>
      <c r="M77" s="168"/>
      <c r="N77" s="168"/>
      <c r="O77" s="168"/>
      <c r="Q77" s="168"/>
    </row>
    <row r="78" spans="1:17" ht="15" customHeight="1" x14ac:dyDescent="0.25">
      <c r="A78">
        <v>3500</v>
      </c>
      <c r="B78">
        <f t="shared" si="7"/>
        <v>0.48551495623371699</v>
      </c>
      <c r="C78">
        <f t="shared" si="8"/>
        <v>0.6989837761043064</v>
      </c>
      <c r="L78" s="168"/>
      <c r="M78" s="168"/>
      <c r="N78" s="168"/>
      <c r="O78" s="168"/>
      <c r="Q78" s="168"/>
    </row>
    <row r="79" spans="1:17" ht="15" customHeight="1" x14ac:dyDescent="0.25">
      <c r="A79">
        <v>3550</v>
      </c>
      <c r="B79">
        <f t="shared" si="7"/>
        <v>0.47456137467649934</v>
      </c>
      <c r="C79">
        <f t="shared" si="8"/>
        <v>0.69112263478833269</v>
      </c>
      <c r="L79" s="168"/>
      <c r="M79" s="168"/>
      <c r="N79" s="168"/>
      <c r="O79" s="168"/>
      <c r="Q79" s="168"/>
    </row>
    <row r="80" spans="1:17" ht="15" customHeight="1" x14ac:dyDescent="0.25">
      <c r="A80">
        <v>3600</v>
      </c>
      <c r="B80">
        <f t="shared" si="7"/>
        <v>0.46402847345072584</v>
      </c>
      <c r="C80">
        <f t="shared" si="8"/>
        <v>0.68347662277979826</v>
      </c>
      <c r="L80" s="168"/>
      <c r="M80" s="168"/>
      <c r="N80" s="168"/>
      <c r="O80" s="168"/>
      <c r="Q80" s="168"/>
    </row>
    <row r="81" spans="1:17" ht="15" customHeight="1" x14ac:dyDescent="0.25">
      <c r="A81">
        <v>3650</v>
      </c>
      <c r="B81">
        <f t="shared" si="7"/>
        <v>0.45394206642715584</v>
      </c>
      <c r="C81">
        <f t="shared" si="8"/>
        <v>0.67607224257708476</v>
      </c>
      <c r="L81" s="168"/>
      <c r="M81" s="168"/>
      <c r="N81" s="168"/>
      <c r="O81" s="168"/>
      <c r="Q81" s="168"/>
    </row>
    <row r="82" spans="1:17" ht="15" customHeight="1" x14ac:dyDescent="0.25">
      <c r="A82">
        <v>3700</v>
      </c>
      <c r="B82">
        <f t="shared" si="7"/>
        <v>0.4443279674765484</v>
      </c>
      <c r="C82">
        <f t="shared" si="8"/>
        <v>0.66893694000981641</v>
      </c>
      <c r="L82" s="168"/>
      <c r="M82" s="168"/>
      <c r="N82" s="168"/>
      <c r="O82" s="168"/>
      <c r="Q82" s="168"/>
    </row>
    <row r="83" spans="1:17" ht="15" customHeight="1" x14ac:dyDescent="0.25">
      <c r="A83">
        <v>3750</v>
      </c>
      <c r="B83">
        <f t="shared" si="7"/>
        <v>0.43521199046966164</v>
      </c>
      <c r="C83">
        <f t="shared" si="8"/>
        <v>0.66209904961532229</v>
      </c>
      <c r="L83" s="168"/>
      <c r="M83" s="168"/>
      <c r="N83" s="168"/>
      <c r="O83" s="168"/>
      <c r="Q83" s="168"/>
    </row>
    <row r="84" spans="1:17" ht="15" customHeight="1" x14ac:dyDescent="0.25">
      <c r="A84">
        <v>3800</v>
      </c>
      <c r="B84">
        <f t="shared" si="7"/>
        <v>0.42661994927725622</v>
      </c>
      <c r="C84">
        <f t="shared" si="8"/>
        <v>0.65558771876149879</v>
      </c>
      <c r="L84" s="168"/>
      <c r="M84" s="168"/>
      <c r="N84" s="168"/>
      <c r="O84" s="168"/>
      <c r="Q84" s="168"/>
    </row>
    <row r="85" spans="1:17" ht="15" customHeight="1" x14ac:dyDescent="0.25">
      <c r="A85">
        <v>3850</v>
      </c>
      <c r="B85">
        <f t="shared" si="7"/>
        <v>0.41857765777008871</v>
      </c>
      <c r="C85">
        <f t="shared" si="8"/>
        <v>0.64943280827309358</v>
      </c>
      <c r="L85" s="168"/>
      <c r="M85" s="168"/>
      <c r="N85" s="168"/>
      <c r="O85" s="168"/>
      <c r="Q85" s="168"/>
    </row>
    <row r="86" spans="1:17" ht="15" customHeight="1" x14ac:dyDescent="0.25">
      <c r="A86">
        <v>3900</v>
      </c>
      <c r="B86">
        <f t="shared" si="7"/>
        <v>0.41111092981892045</v>
      </c>
      <c r="C86">
        <f t="shared" si="8"/>
        <v>0.64366476761840707</v>
      </c>
      <c r="L86" s="168"/>
      <c r="M86" s="168"/>
      <c r="N86" s="168"/>
      <c r="O86" s="168"/>
      <c r="Q86" s="168"/>
    </row>
    <row r="87" spans="1:17" ht="15" customHeight="1" x14ac:dyDescent="0.25">
      <c r="A87">
        <v>3950</v>
      </c>
      <c r="B87">
        <f t="shared" si="7"/>
        <v>0.40424557929450999</v>
      </c>
      <c r="C87">
        <f t="shared" si="8"/>
        <v>0.63831448318618089</v>
      </c>
      <c r="L87" s="168"/>
      <c r="M87" s="168"/>
      <c r="N87" s="168"/>
      <c r="O87" s="168"/>
      <c r="Q87" s="168"/>
    </row>
    <row r="88" spans="1:17" ht="15" customHeight="1" x14ac:dyDescent="0.25">
      <c r="A88">
        <v>4000</v>
      </c>
      <c r="B88">
        <f t="shared" si="7"/>
        <v>0.39800742006761564</v>
      </c>
      <c r="C88">
        <f t="shared" si="8"/>
        <v>0.63341309884799035</v>
      </c>
      <c r="L88" s="168"/>
      <c r="M88" s="168"/>
      <c r="N88" s="168"/>
      <c r="O88" s="168"/>
      <c r="Q88" s="168"/>
    </row>
    <row r="89" spans="1:17" ht="15" customHeight="1" x14ac:dyDescent="0.25">
      <c r="A89">
        <v>4050</v>
      </c>
      <c r="B89">
        <f t="shared" si="7"/>
        <v>0.39800742006761564</v>
      </c>
      <c r="C89">
        <f t="shared" si="8"/>
        <v>0.63341309884799035</v>
      </c>
      <c r="L89" s="168"/>
      <c r="M89" s="168"/>
      <c r="N89" s="168"/>
      <c r="O89" s="168"/>
      <c r="Q89" s="168"/>
    </row>
    <row r="90" spans="1:17" ht="15" customHeight="1" x14ac:dyDescent="0.25">
      <c r="A90">
        <v>4100</v>
      </c>
      <c r="B90">
        <f t="shared" si="7"/>
        <v>0.39800742006761564</v>
      </c>
      <c r="C90">
        <f t="shared" si="8"/>
        <v>0.63341309884799035</v>
      </c>
      <c r="L90" s="168"/>
      <c r="M90" s="168"/>
      <c r="N90" s="168"/>
      <c r="O90" s="168"/>
      <c r="Q90" s="168"/>
    </row>
    <row r="91" spans="1:17" ht="15" customHeight="1" x14ac:dyDescent="0.25">
      <c r="A91">
        <v>4150</v>
      </c>
      <c r="B91">
        <f t="shared" si="7"/>
        <v>0.39800742006761564</v>
      </c>
      <c r="C91">
        <f t="shared" si="8"/>
        <v>0.63341309884799035</v>
      </c>
      <c r="L91" s="168"/>
      <c r="M91" s="168"/>
      <c r="N91" s="168"/>
      <c r="O91" s="168"/>
      <c r="Q91" s="168"/>
    </row>
    <row r="92" spans="1:17" ht="15" customHeight="1" x14ac:dyDescent="0.25">
      <c r="A92">
        <v>4200</v>
      </c>
      <c r="B92">
        <f t="shared" si="7"/>
        <v>0.39800742006761564</v>
      </c>
      <c r="C92">
        <f t="shared" si="8"/>
        <v>0.63341309884799035</v>
      </c>
      <c r="L92" s="168"/>
      <c r="M92" s="168"/>
      <c r="N92" s="168"/>
      <c r="O92" s="168"/>
      <c r="Q92" s="168"/>
    </row>
    <row r="93" spans="1:17" ht="15" customHeight="1" x14ac:dyDescent="0.25">
      <c r="A93">
        <v>4250</v>
      </c>
      <c r="B93">
        <f t="shared" si="7"/>
        <v>0.39800742006761564</v>
      </c>
      <c r="C93">
        <f t="shared" si="8"/>
        <v>0.63341309884799035</v>
      </c>
      <c r="L93" s="168"/>
      <c r="M93" s="168"/>
      <c r="N93" s="168"/>
      <c r="O93" s="168"/>
      <c r="Q93" s="168"/>
    </row>
    <row r="94" spans="1:17" ht="15" customHeight="1" x14ac:dyDescent="0.25">
      <c r="A94">
        <v>4300</v>
      </c>
      <c r="B94">
        <f t="shared" si="7"/>
        <v>0.39800742006761564</v>
      </c>
      <c r="C94">
        <f t="shared" si="8"/>
        <v>0.63341309884799035</v>
      </c>
      <c r="L94" s="168"/>
      <c r="M94" s="168"/>
      <c r="N94" s="168"/>
      <c r="O94" s="168"/>
      <c r="Q94" s="168"/>
    </row>
    <row r="95" spans="1:17" ht="15" customHeight="1" x14ac:dyDescent="0.25">
      <c r="A95">
        <v>4350</v>
      </c>
      <c r="B95">
        <f t="shared" si="7"/>
        <v>0.39800742006761564</v>
      </c>
      <c r="C95">
        <f t="shared" si="8"/>
        <v>0.63341309884799035</v>
      </c>
      <c r="L95" s="168"/>
      <c r="M95" s="168"/>
      <c r="N95" s="168"/>
      <c r="O95" s="168"/>
      <c r="Q95" s="168"/>
    </row>
    <row r="96" spans="1:17" ht="15" customHeight="1" x14ac:dyDescent="0.25">
      <c r="A96">
        <v>4400</v>
      </c>
      <c r="B96">
        <f t="shared" si="7"/>
        <v>0.39800742006761564</v>
      </c>
      <c r="C96">
        <f t="shared" si="8"/>
        <v>0.63341309884799035</v>
      </c>
      <c r="L96" s="168"/>
      <c r="M96" s="168"/>
      <c r="N96" s="168"/>
      <c r="O96" s="168"/>
      <c r="Q96" s="168"/>
    </row>
    <row r="97" spans="1:17" ht="15" customHeight="1" x14ac:dyDescent="0.25">
      <c r="A97">
        <v>4450</v>
      </c>
      <c r="B97">
        <f t="shared" si="7"/>
        <v>0.39800742006761564</v>
      </c>
      <c r="C97">
        <f t="shared" si="8"/>
        <v>0.63341309884799035</v>
      </c>
      <c r="L97" s="168"/>
      <c r="M97" s="168"/>
      <c r="N97" s="168"/>
      <c r="O97" s="168"/>
      <c r="Q97" s="168"/>
    </row>
    <row r="98" spans="1:17" ht="15" customHeight="1" x14ac:dyDescent="0.25">
      <c r="A98">
        <v>4500</v>
      </c>
      <c r="B98">
        <f t="shared" si="7"/>
        <v>0.39800742006761564</v>
      </c>
      <c r="C98">
        <f t="shared" si="8"/>
        <v>0.63341309884799035</v>
      </c>
      <c r="L98" s="168"/>
      <c r="M98" s="168"/>
      <c r="N98" s="168"/>
      <c r="O98" s="168"/>
      <c r="Q98" s="168"/>
    </row>
  </sheetData>
  <mergeCells count="1">
    <mergeCell ref="AE52:AG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расчетОО </vt:lpstr>
      <vt:lpstr>коэффициенты</vt:lpstr>
      <vt:lpstr>справочник впр</vt:lpstr>
      <vt:lpstr>ГОТОВ</vt:lpstr>
      <vt:lpstr>ПЕРЕСЧЕТ НЕ ТРЕБУЕТСЯ</vt:lpstr>
      <vt:lpstr>СТОПЛИСТ</vt:lpstr>
      <vt:lpstr>модули</vt:lpstr>
      <vt:lpstr>количественные факторы</vt:lpstr>
    </vt:vector>
  </TitlesOfParts>
  <Company>ГБУ СО ЦГКО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Троицких Владимир Вениаминович</cp:lastModifiedBy>
  <dcterms:created xsi:type="dcterms:W3CDTF">2021-06-07T11:51:59Z</dcterms:created>
  <dcterms:modified xsi:type="dcterms:W3CDTF">2021-06-08T06:07:28Z</dcterms:modified>
</cp:coreProperties>
</file>