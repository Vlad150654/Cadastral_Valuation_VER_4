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hidePivotFieldList="1"/>
  <mc:AlternateContent xmlns:mc="http://schemas.openxmlformats.org/markup-compatibility/2006">
    <mc:Choice Requires="x15">
      <x15ac:absPath xmlns:x15ac="http://schemas.microsoft.com/office/spreadsheetml/2010/11/ac" url="W:\ЦГКО\IT\___Программы\Определение кодов НП_PLUS\PATTERNS\Статья 16 Земельные участки\"/>
    </mc:Choice>
  </mc:AlternateContent>
  <bookViews>
    <workbookView xWindow="0" yWindow="0" windowWidth="28800" windowHeight="12135"/>
  </bookViews>
  <sheets>
    <sheet name="расчет" sheetId="1" r:id="rId1"/>
    <sheet name="СТОПЛИСТ" sheetId="9" r:id="rId2"/>
    <sheet name="ПЕРЕСЧЕТ НЕ ТРЕБУЕТСЯ" sheetId="11" r:id="rId3"/>
    <sheet name="ГОТОВ" sheetId="8" r:id="rId4"/>
    <sheet name="Средние расстояния" sheetId="4" r:id="rId5"/>
    <sheet name="Формула модели" sheetId="7" r:id="rId6"/>
    <sheet name="справочник ври" sheetId="12" r:id="rId7"/>
    <sheet name="ВПР статус и численность" sheetId="3" r:id="rId8"/>
    <sheet name="Описание (градации)" sheetId="2" r:id="rId9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Z7" i="1" l="1"/>
  <c r="DZ6" i="1"/>
  <c r="DZ5" i="1"/>
  <c r="DZ4" i="1"/>
  <c r="DO7" i="1"/>
  <c r="DO6" i="1"/>
  <c r="DO5" i="1"/>
  <c r="DO4" i="1"/>
  <c r="CE7" i="1"/>
  <c r="CE6" i="1"/>
  <c r="CE5" i="1"/>
  <c r="CE4" i="1"/>
  <c r="EM7" i="1" l="1"/>
  <c r="EL7" i="1"/>
  <c r="EK7" i="1"/>
  <c r="EJ7" i="1"/>
  <c r="EI7" i="1"/>
  <c r="EH7" i="1"/>
  <c r="EG7" i="1"/>
  <c r="EF7" i="1"/>
  <c r="EE7" i="1"/>
  <c r="ED7" i="1"/>
  <c r="EC7" i="1"/>
  <c r="EB7" i="1"/>
  <c r="EA7" i="1"/>
  <c r="DY7" i="1"/>
  <c r="DX7" i="1"/>
  <c r="DV7" i="1"/>
  <c r="DT7" i="1"/>
  <c r="DW7" i="1" s="1"/>
  <c r="DR7" i="1"/>
  <c r="DN7" i="1"/>
  <c r="DL7" i="1"/>
  <c r="DH7" i="1"/>
  <c r="DI7" i="1" s="1"/>
  <c r="DJ7" i="1" s="1"/>
  <c r="DE7" i="1"/>
  <c r="DF7" i="1" s="1"/>
  <c r="DG7" i="1" s="1"/>
  <c r="DD7" i="1"/>
  <c r="DB7" i="1"/>
  <c r="DC7" i="1" s="1"/>
  <c r="CZ7" i="1"/>
  <c r="DA7" i="1" s="1"/>
  <c r="CX7" i="1"/>
  <c r="CY7" i="1" s="1"/>
  <c r="CV7" i="1"/>
  <c r="CW7" i="1" s="1"/>
  <c r="CT7" i="1"/>
  <c r="CU7" i="1" s="1"/>
  <c r="CR7" i="1"/>
  <c r="CS7" i="1" s="1"/>
  <c r="CP7" i="1"/>
  <c r="CQ7" i="1" s="1"/>
  <c r="CN7" i="1"/>
  <c r="CO7" i="1" s="1"/>
  <c r="CL7" i="1"/>
  <c r="CM7" i="1" s="1"/>
  <c r="CK7" i="1"/>
  <c r="CJ7" i="1"/>
  <c r="CI7" i="1"/>
  <c r="CH7" i="1"/>
  <c r="CG7" i="1"/>
  <c r="CD7" i="1"/>
  <c r="CA7" i="1"/>
  <c r="CB7" i="1" s="1"/>
  <c r="BY7" i="1"/>
  <c r="BZ7" i="1" s="1"/>
  <c r="BX7" i="1"/>
  <c r="BU7" i="1"/>
  <c r="BV7" i="1" s="1"/>
  <c r="BW7" i="1" s="1"/>
  <c r="BS7" i="1"/>
  <c r="BT7" i="1" s="1"/>
  <c r="BR7" i="1"/>
  <c r="BP7" i="1"/>
  <c r="BQ7" i="1" s="1"/>
  <c r="BO7" i="1"/>
  <c r="BN7" i="1"/>
  <c r="BL7" i="1"/>
  <c r="BM7" i="1" s="1"/>
  <c r="BK7" i="1"/>
  <c r="BJ7" i="1"/>
  <c r="BH7" i="1"/>
  <c r="BI7" i="1" s="1"/>
  <c r="BG7" i="1"/>
  <c r="BF7" i="1"/>
  <c r="BD7" i="1"/>
  <c r="BE7" i="1" s="1"/>
  <c r="BC7" i="1"/>
  <c r="BB7" i="1"/>
  <c r="BA7" i="1"/>
  <c r="EM6" i="1"/>
  <c r="EL6" i="1"/>
  <c r="EK6" i="1"/>
  <c r="EJ6" i="1"/>
  <c r="EI6" i="1"/>
  <c r="EH6" i="1"/>
  <c r="EG6" i="1"/>
  <c r="EF6" i="1"/>
  <c r="EE6" i="1"/>
  <c r="ED6" i="1"/>
  <c r="EC6" i="1"/>
  <c r="EB6" i="1"/>
  <c r="EA6" i="1"/>
  <c r="DY6" i="1"/>
  <c r="DX6" i="1"/>
  <c r="DV6" i="1"/>
  <c r="DT6" i="1"/>
  <c r="DW6" i="1" s="1"/>
  <c r="DR6" i="1"/>
  <c r="DN6" i="1"/>
  <c r="DL6" i="1"/>
  <c r="DH6" i="1"/>
  <c r="DI6" i="1" s="1"/>
  <c r="DJ6" i="1" s="1"/>
  <c r="DE6" i="1"/>
  <c r="DF6" i="1" s="1"/>
  <c r="DG6" i="1" s="1"/>
  <c r="DD6" i="1"/>
  <c r="DB6" i="1"/>
  <c r="DC6" i="1" s="1"/>
  <c r="CZ6" i="1"/>
  <c r="DA6" i="1" s="1"/>
  <c r="CX6" i="1"/>
  <c r="CY6" i="1" s="1"/>
  <c r="CV6" i="1"/>
  <c r="CW6" i="1" s="1"/>
  <c r="CT6" i="1"/>
  <c r="CU6" i="1" s="1"/>
  <c r="CR6" i="1"/>
  <c r="CS6" i="1" s="1"/>
  <c r="CP6" i="1"/>
  <c r="CQ6" i="1" s="1"/>
  <c r="CN6" i="1"/>
  <c r="CO6" i="1" s="1"/>
  <c r="CL6" i="1"/>
  <c r="CM6" i="1" s="1"/>
  <c r="CK6" i="1"/>
  <c r="CJ6" i="1"/>
  <c r="CI6" i="1"/>
  <c r="CH6" i="1"/>
  <c r="CG6" i="1"/>
  <c r="CD6" i="1"/>
  <c r="CA6" i="1"/>
  <c r="CB6" i="1" s="1"/>
  <c r="BY6" i="1"/>
  <c r="BZ6" i="1" s="1"/>
  <c r="BX6" i="1"/>
  <c r="BU6" i="1"/>
  <c r="BV6" i="1" s="1"/>
  <c r="BW6" i="1" s="1"/>
  <c r="BR6" i="1"/>
  <c r="BS6" i="1" s="1"/>
  <c r="BT6" i="1" s="1"/>
  <c r="BP6" i="1"/>
  <c r="BQ6" i="1" s="1"/>
  <c r="BN6" i="1"/>
  <c r="BO6" i="1" s="1"/>
  <c r="BL6" i="1"/>
  <c r="BM6" i="1" s="1"/>
  <c r="BJ6" i="1"/>
  <c r="BK6" i="1" s="1"/>
  <c r="BH6" i="1"/>
  <c r="BI6" i="1" s="1"/>
  <c r="BF6" i="1"/>
  <c r="BG6" i="1" s="1"/>
  <c r="BD6" i="1"/>
  <c r="BE6" i="1" s="1"/>
  <c r="BB6" i="1"/>
  <c r="BC6" i="1" s="1"/>
  <c r="BA6" i="1"/>
  <c r="EM5" i="1"/>
  <c r="EL5" i="1"/>
  <c r="EK5" i="1"/>
  <c r="EJ5" i="1"/>
  <c r="EI5" i="1"/>
  <c r="EH5" i="1"/>
  <c r="EG5" i="1"/>
  <c r="EF5" i="1"/>
  <c r="EE5" i="1"/>
  <c r="ED5" i="1"/>
  <c r="EC5" i="1"/>
  <c r="EB5" i="1"/>
  <c r="EA5" i="1"/>
  <c r="DY5" i="1"/>
  <c r="DX5" i="1"/>
  <c r="DV5" i="1"/>
  <c r="DT5" i="1"/>
  <c r="DW5" i="1" s="1"/>
  <c r="DR5" i="1"/>
  <c r="DN5" i="1"/>
  <c r="DL5" i="1"/>
  <c r="DH5" i="1"/>
  <c r="DI5" i="1" s="1"/>
  <c r="DJ5" i="1" s="1"/>
  <c r="DF5" i="1"/>
  <c r="DG5" i="1" s="1"/>
  <c r="DE5" i="1"/>
  <c r="DD5" i="1"/>
  <c r="DB5" i="1"/>
  <c r="DC5" i="1" s="1"/>
  <c r="CZ5" i="1"/>
  <c r="DA5" i="1" s="1"/>
  <c r="CX5" i="1"/>
  <c r="CY5" i="1" s="1"/>
  <c r="CV5" i="1"/>
  <c r="CW5" i="1" s="1"/>
  <c r="CT5" i="1"/>
  <c r="CU5" i="1" s="1"/>
  <c r="CR5" i="1"/>
  <c r="CS5" i="1" s="1"/>
  <c r="CP5" i="1"/>
  <c r="CQ5" i="1" s="1"/>
  <c r="CN5" i="1"/>
  <c r="CO5" i="1" s="1"/>
  <c r="CL5" i="1"/>
  <c r="CM5" i="1" s="1"/>
  <c r="CK5" i="1"/>
  <c r="CJ5" i="1"/>
  <c r="CI5" i="1"/>
  <c r="CH5" i="1"/>
  <c r="CG5" i="1"/>
  <c r="CD5" i="1"/>
  <c r="CA5" i="1"/>
  <c r="CB5" i="1" s="1"/>
  <c r="BX5" i="1"/>
  <c r="BY5" i="1" s="1"/>
  <c r="BZ5" i="1" s="1"/>
  <c r="BU5" i="1"/>
  <c r="BV5" i="1" s="1"/>
  <c r="BW5" i="1" s="1"/>
  <c r="BR5" i="1"/>
  <c r="BS5" i="1" s="1"/>
  <c r="BT5" i="1" s="1"/>
  <c r="BQ5" i="1"/>
  <c r="BP5" i="1"/>
  <c r="BN5" i="1"/>
  <c r="BO5" i="1" s="1"/>
  <c r="BM5" i="1"/>
  <c r="BL5" i="1"/>
  <c r="BJ5" i="1"/>
  <c r="BK5" i="1" s="1"/>
  <c r="BI5" i="1"/>
  <c r="BH5" i="1"/>
  <c r="BF5" i="1"/>
  <c r="BG5" i="1" s="1"/>
  <c r="BE5" i="1"/>
  <c r="BD5" i="1"/>
  <c r="BB5" i="1"/>
  <c r="BC5" i="1" s="1"/>
  <c r="BA5" i="1"/>
  <c r="CI4" i="1" l="1"/>
  <c r="DD4" i="1" l="1"/>
  <c r="CN4" i="1" l="1"/>
  <c r="DV4" i="1" l="1"/>
  <c r="DX4" i="1" l="1"/>
  <c r="CJ4" i="1" l="1"/>
  <c r="EC4" i="1" l="1"/>
  <c r="CT4" i="1"/>
  <c r="EK4" i="1"/>
  <c r="EG4" i="1"/>
  <c r="DT4" i="1"/>
  <c r="DW4" i="1" s="1"/>
  <c r="DH4" i="1"/>
  <c r="ED4" i="1" s="1"/>
  <c r="DE4" i="1"/>
  <c r="DB4" i="1"/>
  <c r="EA4" i="1" l="1"/>
  <c r="CX4" i="1"/>
  <c r="EF4" i="1" s="1"/>
  <c r="CV4" i="1"/>
  <c r="EM4" i="1" s="1"/>
  <c r="EL4" i="1"/>
  <c r="CL4" i="1"/>
  <c r="EB4" i="1" s="1"/>
  <c r="BD4" i="1"/>
  <c r="CA4" i="1"/>
  <c r="BX4" i="1"/>
  <c r="BY4" i="1" s="1"/>
  <c r="BZ4" i="1" s="1"/>
  <c r="BR4" i="1"/>
  <c r="BS4" i="1" s="1"/>
  <c r="BT4" i="1" s="1"/>
  <c r="BU4" i="1" l="1"/>
  <c r="BV4" i="1" s="1"/>
  <c r="BW4" i="1" s="1"/>
  <c r="BP4" i="1"/>
  <c r="BN4" i="1"/>
  <c r="BL4" i="1"/>
  <c r="BF4" i="1"/>
  <c r="BJ4" i="1"/>
  <c r="BB4" i="1"/>
  <c r="DI4" i="1" l="1"/>
  <c r="DF4" i="1"/>
  <c r="EE4" i="1" s="1"/>
  <c r="CZ4" i="1" l="1"/>
  <c r="EJ4" i="1" s="1"/>
  <c r="BH4" i="1"/>
  <c r="DR4" i="1" l="1"/>
  <c r="DL4" i="1" l="1"/>
  <c r="DG4" i="1" l="1"/>
  <c r="DA4" i="1"/>
  <c r="CY4" i="1"/>
  <c r="CW4" i="1" l="1"/>
  <c r="CU4" i="1"/>
  <c r="CO4" i="1"/>
  <c r="CM4" i="1" l="1"/>
  <c r="DN4" i="1" l="1"/>
  <c r="DJ4" i="1"/>
  <c r="CR4" i="1"/>
  <c r="EI4" i="1" s="1"/>
  <c r="CP4" i="1"/>
  <c r="EH4" i="1" s="1"/>
  <c r="CK4" i="1"/>
  <c r="DP7" i="1" l="1"/>
  <c r="DS7" i="1" s="1"/>
  <c r="DP5" i="1"/>
  <c r="DS5" i="1" s="1"/>
  <c r="DP6" i="1"/>
  <c r="DS6" i="1" s="1"/>
  <c r="CQ4" i="1"/>
  <c r="CS4" i="1"/>
  <c r="CG4" i="1"/>
  <c r="DC4" i="1" l="1"/>
  <c r="DP4" i="1" l="1"/>
  <c r="DY4" i="1" s="1"/>
  <c r="BA4" i="1"/>
  <c r="CF5" i="1" l="1"/>
  <c r="CF6" i="1"/>
  <c r="CF7" i="1"/>
  <c r="CB4" i="1"/>
  <c r="BQ4" i="1"/>
  <c r="BO4" i="1"/>
  <c r="BM4" i="1"/>
  <c r="BK4" i="1"/>
  <c r="BI4" i="1"/>
  <c r="BG4" i="1"/>
  <c r="BE4" i="1"/>
  <c r="CD4" i="1"/>
  <c r="BC4" i="1"/>
  <c r="DS4" i="1" l="1"/>
  <c r="CH4" i="1"/>
  <c r="CF4" i="1" l="1"/>
</calcChain>
</file>

<file path=xl/sharedStrings.xml><?xml version="1.0" encoding="utf-8"?>
<sst xmlns="http://schemas.openxmlformats.org/spreadsheetml/2006/main" count="7049" uniqueCount="2825">
  <si>
    <t>Идентификатор</t>
  </si>
  <si>
    <t>Кадастровый номер</t>
  </si>
  <si>
    <t>Площадь в квадратных метрах</t>
  </si>
  <si>
    <t>Код расчета вида использования</t>
  </si>
  <si>
    <t>Расстояние до центра МО</t>
  </si>
  <si>
    <t>Наличие газоснабжения</t>
  </si>
  <si>
    <t>Наличие электроснабжения</t>
  </si>
  <si>
    <t>Наличие водоотведения</t>
  </si>
  <si>
    <t>Наличие водоснабжения</t>
  </si>
  <si>
    <t>Расстояние до ЕКБ</t>
  </si>
  <si>
    <t>Код Муниципального образования</t>
  </si>
  <si>
    <t>04:001:1:1:3</t>
  </si>
  <si>
    <t>13:021</t>
  </si>
  <si>
    <t>04</t>
  </si>
  <si>
    <t>04:002:2:3:5</t>
  </si>
  <si>
    <t>04:003:2:3:6</t>
  </si>
  <si>
    <t>04:000:0:0:0</t>
  </si>
  <si>
    <t>Базовая стоимость</t>
  </si>
  <si>
    <t>Газоснабжение</t>
  </si>
  <si>
    <t>Электроснабжение</t>
  </si>
  <si>
    <t>Наименование модели</t>
  </si>
  <si>
    <t>Ответственный</t>
  </si>
  <si>
    <t>Кандель Е.А.</t>
  </si>
  <si>
    <t>Это сохраняем в БД как значение ценового фактора</t>
  </si>
  <si>
    <t>Это для описании модели</t>
  </si>
  <si>
    <t>Фактор</t>
  </si>
  <si>
    <t>Обозначение фактора</t>
  </si>
  <si>
    <t>Номер модели</t>
  </si>
  <si>
    <t>Наименование поля БД</t>
  </si>
  <si>
    <t>Поправка</t>
  </si>
  <si>
    <t>Максимальное значение поправки (при наличии)</t>
  </si>
  <si>
    <t>Минимальное значение поправки (при наличии)</t>
  </si>
  <si>
    <t>Константа</t>
  </si>
  <si>
    <t>С0</t>
  </si>
  <si>
    <t>НЕТ</t>
  </si>
  <si>
    <t>Коэффициент</t>
  </si>
  <si>
    <t>V1</t>
  </si>
  <si>
    <t>Отсутствие газоснабжения</t>
  </si>
  <si>
    <t>V2</t>
  </si>
  <si>
    <t>Отсутствие электроснабжения</t>
  </si>
  <si>
    <t>Водоснабжение</t>
  </si>
  <si>
    <t>V3</t>
  </si>
  <si>
    <t>Отсутствие водоснабжения</t>
  </si>
  <si>
    <t>Водоотведение</t>
  </si>
  <si>
    <t>V4</t>
  </si>
  <si>
    <t>Отсутствие водоотведения</t>
  </si>
  <si>
    <t>Управленческий округ</t>
  </si>
  <si>
    <t>V5</t>
  </si>
  <si>
    <t>Горнозаводской управленческий округ</t>
  </si>
  <si>
    <t>Восточный управленческий округ</t>
  </si>
  <si>
    <t>Западный управленческий округ</t>
  </si>
  <si>
    <t>Южный управленческий округ</t>
  </si>
  <si>
    <t>Северный управленческий округ</t>
  </si>
  <si>
    <t>V6</t>
  </si>
  <si>
    <t>Статус и численность населенного пункта</t>
  </si>
  <si>
    <t>ГНП от 50 000 до 100 000</t>
  </si>
  <si>
    <t>ГНП менее 50 000</t>
  </si>
  <si>
    <t>СНП более 1 000</t>
  </si>
  <si>
    <t>СНП менее 1 000</t>
  </si>
  <si>
    <t>Межселенная территория</t>
  </si>
  <si>
    <t>Вид разрешённого использования</t>
  </si>
  <si>
    <t>V7</t>
  </si>
  <si>
    <t>ИЖС</t>
  </si>
  <si>
    <t>ЛЭП над участком</t>
  </si>
  <si>
    <t>V8</t>
  </si>
  <si>
    <t>Наличие ЛЭП</t>
  </si>
  <si>
    <t>Отсутствие ЛЭП</t>
  </si>
  <si>
    <t>V9</t>
  </si>
  <si>
    <t>Площадь</t>
  </si>
  <si>
    <t>Количественный</t>
  </si>
  <si>
    <t>EXP(0,3620826966*(15,93881008-5,49662653*LN(LN(ЕСЛИ(C2&lt;400;400;C2)))))/EXP(0,3620826966*(15,93881008-5,49662653*LN(LN(1000))))</t>
  </si>
  <si>
    <t>V10</t>
  </si>
  <si>
    <t>EXP(4,118629221*(EXP(1)^(1,71093948-0,01799629*LN(ЕСЛИ(M2="";ВПР(O2;Расстояния!A:B;2;0);M2)))))/EXP(4,118629221*(EXP(1)^(1,71093948-0,01799629*LN(100))))</t>
  </si>
  <si>
    <t>V11</t>
  </si>
  <si>
    <t>EXP(0,4276469859*(5,64644498-0,48211057*LN(ЕСЛИ(H2="";ВПР(O2;Расстояния!A:C;3;0);ЕСЛИ(H2&lt;1;1;H2)))+0,10557587*LN(ЕСЛИ(H2="";ВПР(O2;Расстояния!A:C;3;0);ЕСЛИ(H2&lt;1;1;H2)))^2+0,00096428*LN(ЕСЛИ(H2="";ВПР(O2;Расстояния!A:C;3;0);ЕСЛИ(H2&lt;1;1;H2)))^3-0,00414511*LN(ЕСЛИ(H2="";ВПР(O2;Расстояния!A:C;3;0);ЕСЛИ(H2&lt;1;1;H2)))^4))/EXP(0,4276469859*(5,64644498-0,48211057*LN(5)+0,10557587*LN(5)^2+0,00096428*LN(5)^3-0,00414511*LN(5)^4))</t>
  </si>
  <si>
    <t>Локальный центр</t>
  </si>
  <si>
    <t>V12</t>
  </si>
  <si>
    <t>Расположен в зоне влияния отрицательных локальных центров</t>
  </si>
  <si>
    <t>Не находится в зоне влияния локальных центров</t>
  </si>
  <si>
    <t>Расположен в зоне влияния положительных локальных центров</t>
  </si>
  <si>
    <t>Уторгование</t>
  </si>
  <si>
    <t>V13</t>
  </si>
  <si>
    <t>Наличие уторгования</t>
  </si>
  <si>
    <t>Отсутствие уторгования</t>
  </si>
  <si>
    <t>Расстояние до Екатеринбурга</t>
  </si>
  <si>
    <t>Расстояние до центра муниципального образования</t>
  </si>
  <si>
    <t>Расстояние до центра Екатеринбурга</t>
  </si>
  <si>
    <t>Расстояние до административного центра МО</t>
  </si>
  <si>
    <t>УПС</t>
  </si>
  <si>
    <t>Код НП</t>
  </si>
  <si>
    <t>Численность НП по справочнику</t>
  </si>
  <si>
    <t>49:018:2:5:6</t>
  </si>
  <si>
    <t>00:002:0:0:0</t>
  </si>
  <si>
    <t>05:000:0:0:0</t>
  </si>
  <si>
    <t>06:038:2:5:6</t>
  </si>
  <si>
    <t>00:003:0:0:0</t>
  </si>
  <si>
    <t>06:000:0:0:0</t>
  </si>
  <si>
    <t>06:015:2:5:6</t>
  </si>
  <si>
    <t>10:009:2:5:6</t>
  </si>
  <si>
    <t>22:044:2:5:6</t>
  </si>
  <si>
    <t>12:013:2:5:6</t>
  </si>
  <si>
    <t>12:012:2:3:6</t>
  </si>
  <si>
    <t>12:005:2:5:6</t>
  </si>
  <si>
    <t>12:030:2:5:6</t>
  </si>
  <si>
    <t>12:011:2:5:6</t>
  </si>
  <si>
    <t>12:042:2:5:6</t>
  </si>
  <si>
    <t>12:029:2:3:6</t>
  </si>
  <si>
    <t>12:019:2:3:6</t>
  </si>
  <si>
    <t>12:008:2:4:6</t>
  </si>
  <si>
    <t>12:022:2:5:6</t>
  </si>
  <si>
    <t>12:039:2:3:6</t>
  </si>
  <si>
    <t>12:009:2:3:6</t>
  </si>
  <si>
    <t>12:041:2:4:6</t>
  </si>
  <si>
    <t>12:031:2:5:6</t>
  </si>
  <si>
    <t>12:017:2:5:6</t>
  </si>
  <si>
    <t>12:016:2:5:6</t>
  </si>
  <si>
    <t>39:095:2:5:6</t>
  </si>
  <si>
    <t>54:020:2:5:6</t>
  </si>
  <si>
    <t>57:021:2:3:6</t>
  </si>
  <si>
    <t>57:008:2:3:6</t>
  </si>
  <si>
    <t>14:011:2:5:6</t>
  </si>
  <si>
    <t>00:004:0:0:0</t>
  </si>
  <si>
    <t>62:000:0:0:0</t>
  </si>
  <si>
    <t>64:030:2:3:6</t>
  </si>
  <si>
    <t>64:029:2:5:6</t>
  </si>
  <si>
    <t>66:024:2:3:6</t>
  </si>
  <si>
    <t>66:020:2:5:6</t>
  </si>
  <si>
    <t>00:005:0:0:0</t>
  </si>
  <si>
    <t>65:000:0:0:0</t>
  </si>
  <si>
    <t>00:006:0:0:0</t>
  </si>
  <si>
    <t>68:000:0:0:0</t>
  </si>
  <si>
    <t>00:007:0:0:0</t>
  </si>
  <si>
    <t>68:033:2:3:6</t>
  </si>
  <si>
    <t>68:028:2:5:6</t>
  </si>
  <si>
    <t>00:008:0:0:0</t>
  </si>
  <si>
    <t>00:009:0:0:0</t>
  </si>
  <si>
    <t>00:010:0:0:0</t>
  </si>
  <si>
    <t>69:000:0:0:0</t>
  </si>
  <si>
    <t>73:005:2:3:6</t>
  </si>
  <si>
    <t>38:025:2:3:6</t>
  </si>
  <si>
    <t>38:030:2:3:6</t>
  </si>
  <si>
    <t>00:011:0:0:0</t>
  </si>
  <si>
    <t>38:000:0:0:0</t>
  </si>
  <si>
    <t>00:012:0:0:0</t>
  </si>
  <si>
    <t>00:013:0:0:0</t>
  </si>
  <si>
    <t>00:015:0:0:0</t>
  </si>
  <si>
    <t>00:016:0:0:0</t>
  </si>
  <si>
    <t>00:017:0:0:0</t>
  </si>
  <si>
    <t>00:018:0:0:0</t>
  </si>
  <si>
    <t>00:019:0:0:0</t>
  </si>
  <si>
    <t>00:020:0:0:0</t>
  </si>
  <si>
    <t>00:021:0:0:0</t>
  </si>
  <si>
    <t>38:012:2:3:6</t>
  </si>
  <si>
    <t>38:018:2:3:6</t>
  </si>
  <si>
    <t>38:013:2:3:6</t>
  </si>
  <si>
    <t>00:022:0:0:0</t>
  </si>
  <si>
    <t>26:000:0:0:0</t>
  </si>
  <si>
    <t>28:009:2:3:6</t>
  </si>
  <si>
    <t>64:020:2:3:6</t>
  </si>
  <si>
    <t>37:025:2:3:6</t>
  </si>
  <si>
    <t>37:017:2:3:6</t>
  </si>
  <si>
    <t>38:004:2:3:6</t>
  </si>
  <si>
    <t>37:011:2:4:5</t>
  </si>
  <si>
    <t>72:002:2:5:6</t>
  </si>
  <si>
    <t>00:023:0:0:0</t>
  </si>
  <si>
    <t>46:040:2:5:6</t>
  </si>
  <si>
    <t>46:024:2:5:6</t>
  </si>
  <si>
    <t>46:031:2:5:6</t>
  </si>
  <si>
    <t>46:032:2:5:6</t>
  </si>
  <si>
    <t>46:018:2:5:6</t>
  </si>
  <si>
    <t>46:001:2:5:6</t>
  </si>
  <si>
    <t>46:026:2:5:6</t>
  </si>
  <si>
    <t>46:008:2:3:6</t>
  </si>
  <si>
    <t>46:007:2:5:6</t>
  </si>
  <si>
    <t>46:015:2:4:6</t>
  </si>
  <si>
    <t>46:036:2:5:6</t>
  </si>
  <si>
    <t>46:014:2:5:6</t>
  </si>
  <si>
    <t>46:039:2:4:6</t>
  </si>
  <si>
    <t>46:021:2:3:6</t>
  </si>
  <si>
    <t>46:033:2:5:6</t>
  </si>
  <si>
    <t>49:047:2:5:6</t>
  </si>
  <si>
    <t>49:061:2:3:6</t>
  </si>
  <si>
    <t>49:024:2:3:6</t>
  </si>
  <si>
    <t>49:055:2:3:6</t>
  </si>
  <si>
    <t>46:002:2:5:6</t>
  </si>
  <si>
    <t>46:023:2:5:6</t>
  </si>
  <si>
    <t>46:034:2:5:6</t>
  </si>
  <si>
    <t>46:017:2:5:6</t>
  </si>
  <si>
    <t>46:016:2:5:6</t>
  </si>
  <si>
    <t>46:035:2:5:6</t>
  </si>
  <si>
    <t>46:011:2:5:6</t>
  </si>
  <si>
    <t>46:027:2:5:6</t>
  </si>
  <si>
    <t>46:028:2:5:6</t>
  </si>
  <si>
    <t>46:006:2:5:6</t>
  </si>
  <si>
    <t>46:025:2:3:6</t>
  </si>
  <si>
    <t>00:024:0:0:0</t>
  </si>
  <si>
    <t>49:000:0:0:0</t>
  </si>
  <si>
    <t>00:025:0:0:0</t>
  </si>
  <si>
    <t>46:000:0:0:0</t>
  </si>
  <si>
    <t>00:026:0:0:0</t>
  </si>
  <si>
    <t>49:031:2:4:6</t>
  </si>
  <si>
    <t>49:059:2:5:6</t>
  </si>
  <si>
    <t>49:009:2:5:6</t>
  </si>
  <si>
    <t>00:027:0:0:0</t>
  </si>
  <si>
    <t>49:052:2:3:6</t>
  </si>
  <si>
    <t>46:010:2:3:6</t>
  </si>
  <si>
    <t>46:038:2:3:6</t>
  </si>
  <si>
    <t>46:037:2:4:6</t>
  </si>
  <si>
    <t>46:003:2:4:6</t>
  </si>
  <si>
    <t>46:029:2:3:6</t>
  </si>
  <si>
    <t>46:013:2:5:6</t>
  </si>
  <si>
    <t>46:012:2:4:6</t>
  </si>
  <si>
    <t>46:022:2:3:6</t>
  </si>
  <si>
    <t>46:004:2:5:6</t>
  </si>
  <si>
    <t>46:020:2:4:6</t>
  </si>
  <si>
    <t>49:003:2:3:6</t>
  </si>
  <si>
    <t>46:009:2:4:6</t>
  </si>
  <si>
    <t>49:026:2:3:6</t>
  </si>
  <si>
    <t>49:058:2:4:6</t>
  </si>
  <si>
    <t>49:013:2:3:6</t>
  </si>
  <si>
    <t>49:050:2:4:6</t>
  </si>
  <si>
    <t>49:056:2:5:6</t>
  </si>
  <si>
    <t>49:028:2:5:6</t>
  </si>
  <si>
    <t>49:053:2:4:6</t>
  </si>
  <si>
    <t>49:004:2:5:6</t>
  </si>
  <si>
    <t>49:054:2:5:6</t>
  </si>
  <si>
    <t>49:049:2:4:6</t>
  </si>
  <si>
    <t>49:033:2:5:6</t>
  </si>
  <si>
    <t>49:043:2:5:6</t>
  </si>
  <si>
    <t>49:006:2:5:6</t>
  </si>
  <si>
    <t>49:071:2:3:6</t>
  </si>
  <si>
    <t>49:048:2:5:6</t>
  </si>
  <si>
    <t>49:008:2:5:6</t>
  </si>
  <si>
    <t>49:021:2:5:6</t>
  </si>
  <si>
    <t>49:016:2:5:6</t>
  </si>
  <si>
    <t>49:020:2:3:6</t>
  </si>
  <si>
    <t>49:068:2:5:6</t>
  </si>
  <si>
    <t>49:029:2:3:6</t>
  </si>
  <si>
    <t>49:062:2:5:6</t>
  </si>
  <si>
    <t>49:011:2:5:6</t>
  </si>
  <si>
    <t>49:037:2:5:6</t>
  </si>
  <si>
    <t>00:028:0:0:0</t>
  </si>
  <si>
    <t>49:027:2:5:6</t>
  </si>
  <si>
    <t>49:035:2:3:6</t>
  </si>
  <si>
    <t>49:046:2:3:6</t>
  </si>
  <si>
    <t>49:042:2:3:6</t>
  </si>
  <si>
    <t>00:029:0:0:0</t>
  </si>
  <si>
    <t>49:044:2:5:6</t>
  </si>
  <si>
    <t>49:045:2:5:6</t>
  </si>
  <si>
    <t>49:067:2:5:6</t>
  </si>
  <si>
    <t>49:023:2:5:6</t>
  </si>
  <si>
    <t>49:072:2:5:6</t>
  </si>
  <si>
    <t>49:032:2:4:6</t>
  </si>
  <si>
    <t>49:007:2:5:6</t>
  </si>
  <si>
    <t>49:070:2:4:6</t>
  </si>
  <si>
    <t>49:012:2:5:6</t>
  </si>
  <si>
    <t>49:064:2:5:6</t>
  </si>
  <si>
    <t>49:051:2:5:6</t>
  </si>
  <si>
    <t>49:030:2:5:6</t>
  </si>
  <si>
    <t>49:040:2:5:6</t>
  </si>
  <si>
    <t>49:038:2:5:6</t>
  </si>
  <si>
    <t>49:001:2:4:6</t>
  </si>
  <si>
    <t>49:060:2:3:6</t>
  </si>
  <si>
    <t>49:057:2:4:6</t>
  </si>
  <si>
    <t>49:017:2:4:6</t>
  </si>
  <si>
    <t>02:009:2:5:6</t>
  </si>
  <si>
    <t>02:005:2:4:6</t>
  </si>
  <si>
    <t>02:025:2:4:6</t>
  </si>
  <si>
    <t>02:021:2:3:6</t>
  </si>
  <si>
    <t>02:024:2:5:6</t>
  </si>
  <si>
    <t>02:010:2:3:6</t>
  </si>
  <si>
    <t>02:015:2:5:6</t>
  </si>
  <si>
    <t>02:017:2:5:6</t>
  </si>
  <si>
    <t>02:020:2:5:6</t>
  </si>
  <si>
    <t>02:022:2:4:6</t>
  </si>
  <si>
    <t>02:011:2:3:6</t>
  </si>
  <si>
    <t>02:004:2:3:6</t>
  </si>
  <si>
    <t>02:003:2:3:6</t>
  </si>
  <si>
    <t>03:008:2:5:6</t>
  </si>
  <si>
    <t>03:053:2:5:6</t>
  </si>
  <si>
    <t>03:012:2:5:6</t>
  </si>
  <si>
    <t>03:021:2:5:6</t>
  </si>
  <si>
    <t>03:019:2:5:6</t>
  </si>
  <si>
    <t>03:018:2:5:6</t>
  </si>
  <si>
    <t>03:032:2:5:6</t>
  </si>
  <si>
    <t>03:024:2:5:6</t>
  </si>
  <si>
    <t>03:059:2:5:6</t>
  </si>
  <si>
    <t>03:023:2:5:6</t>
  </si>
  <si>
    <t>03:033:2:5:6</t>
  </si>
  <si>
    <t>03:050:2:5:6</t>
  </si>
  <si>
    <t>03:015:2:5:6</t>
  </si>
  <si>
    <t>03:005:2:5:6</t>
  </si>
  <si>
    <t>03:054:2:3:6</t>
  </si>
  <si>
    <t>03:016:2:5:6</t>
  </si>
  <si>
    <t>03:055:2:5:6</t>
  </si>
  <si>
    <t>03:038:2:5:6</t>
  </si>
  <si>
    <t>03:028:2:5:6</t>
  </si>
  <si>
    <t>03:051:2:5:6</t>
  </si>
  <si>
    <t>03:020:2:5:6</t>
  </si>
  <si>
    <t>03:017:2:5:6</t>
  </si>
  <si>
    <t>03:056:2:5:6</t>
  </si>
  <si>
    <t>03:058:2:5:6</t>
  </si>
  <si>
    <t>03:052:2:5:6</t>
  </si>
  <si>
    <t>03:026:2:5:6</t>
  </si>
  <si>
    <t>03:047:2:5:6</t>
  </si>
  <si>
    <t>03:041:2:5:6</t>
  </si>
  <si>
    <t>03:044:2:5:6</t>
  </si>
  <si>
    <t>03:010:2:5:6</t>
  </si>
  <si>
    <t>03:025:2:5:6</t>
  </si>
  <si>
    <t>03:046:2:5:6</t>
  </si>
  <si>
    <t>03:009:2:4:6</t>
  </si>
  <si>
    <t>03:035:2:5:6</t>
  </si>
  <si>
    <t>03:004:2:5:6</t>
  </si>
  <si>
    <t>03:002:2:5:6</t>
  </si>
  <si>
    <t>03:037:2:5:6</t>
  </si>
  <si>
    <t>03:022:2:5:6</t>
  </si>
  <si>
    <t>03:006:2:5:6</t>
  </si>
  <si>
    <t>05:049:2:5:6</t>
  </si>
  <si>
    <t>05:013:2:5:6</t>
  </si>
  <si>
    <t>05:034:2:5:6</t>
  </si>
  <si>
    <t>05:041:2:3:6</t>
  </si>
  <si>
    <t>05:016:2:5:6</t>
  </si>
  <si>
    <t>00:030:0:0:0</t>
  </si>
  <si>
    <t>05:042:2:5:6</t>
  </si>
  <si>
    <t>05:046:2:3:6</t>
  </si>
  <si>
    <t>05:027:2:5:6</t>
  </si>
  <si>
    <t>05:020:2:3:6</t>
  </si>
  <si>
    <t>05:029:2:5:6</t>
  </si>
  <si>
    <t>05:036:2:5:6</t>
  </si>
  <si>
    <t>05:018:2:5:6</t>
  </si>
  <si>
    <t>05:026:2:5:6</t>
  </si>
  <si>
    <t>05:035:2:5:6</t>
  </si>
  <si>
    <t>05:001:2:5:6</t>
  </si>
  <si>
    <t>05:044:2:5:6</t>
  </si>
  <si>
    <t>05:015:2:5:6</t>
  </si>
  <si>
    <t>05:033:2:5:6</t>
  </si>
  <si>
    <t>05:002:2:5:6</t>
  </si>
  <si>
    <t>05:048:2:5:6</t>
  </si>
  <si>
    <t>05:047:2:5:6</t>
  </si>
  <si>
    <t>05:039:2:3:6</t>
  </si>
  <si>
    <t>05:007:2:5:6</t>
  </si>
  <si>
    <t>05:021:2:5:6</t>
  </si>
  <si>
    <t>05:051:2:5:6</t>
  </si>
  <si>
    <t>05:030:2:5:6</t>
  </si>
  <si>
    <t>05:003:2:3:6</t>
  </si>
  <si>
    <t>05:040:2:5:6</t>
  </si>
  <si>
    <t>05:022:2:5:6</t>
  </si>
  <si>
    <t>05:050:2:5:6</t>
  </si>
  <si>
    <t>05:010:2:5:6</t>
  </si>
  <si>
    <t>05:017:2:5:6</t>
  </si>
  <si>
    <t>05:025:2:5:6</t>
  </si>
  <si>
    <t>06:031:2:3:6</t>
  </si>
  <si>
    <t>06:068:2:5:6</t>
  </si>
  <si>
    <t>06:005:2:5:6</t>
  </si>
  <si>
    <t>06:018:2:5:6</t>
  </si>
  <si>
    <t>06:007:2:5:6</t>
  </si>
  <si>
    <t>06:024:2:5:6</t>
  </si>
  <si>
    <t>06:067:2:5:6</t>
  </si>
  <si>
    <t>06:039:2:5:6</t>
  </si>
  <si>
    <t>06:021:2:5:6</t>
  </si>
  <si>
    <t>06:054:2:5:6</t>
  </si>
  <si>
    <t>06:029:2:5:6</t>
  </si>
  <si>
    <t>06:058:2:5:6</t>
  </si>
  <si>
    <t>06:053:2:5:6</t>
  </si>
  <si>
    <t>06:060:2:5:6</t>
  </si>
  <si>
    <t>06:027:2:5:6</t>
  </si>
  <si>
    <t>06:045:2:5:6</t>
  </si>
  <si>
    <t>06:046:2:5:6</t>
  </si>
  <si>
    <t>06:019:2:5:6</t>
  </si>
  <si>
    <t>06:034:2:5:6</t>
  </si>
  <si>
    <t>06:041:2:5:6</t>
  </si>
  <si>
    <t>06:022:2:5:6</t>
  </si>
  <si>
    <t>06:001:2:4:6</t>
  </si>
  <si>
    <t>06:057:2:5:6</t>
  </si>
  <si>
    <t>06:006:2:5:6</t>
  </si>
  <si>
    <t>06:011:2:5:6</t>
  </si>
  <si>
    <t>06:055:2:5:6</t>
  </si>
  <si>
    <t>06:026:2:5:6</t>
  </si>
  <si>
    <t>06:049:2:5:6</t>
  </si>
  <si>
    <t>06:017:2:5:6</t>
  </si>
  <si>
    <t>06:028:2:5:6</t>
  </si>
  <si>
    <t>06:035:2:5:6</t>
  </si>
  <si>
    <t>06:023:2:5:6</t>
  </si>
  <si>
    <t>06:051:2:5:6</t>
  </si>
  <si>
    <t>06:065:2:5:6</t>
  </si>
  <si>
    <t>06:025:2:5:6</t>
  </si>
  <si>
    <t>06:003:2:5:6</t>
  </si>
  <si>
    <t>06:032:2:5:6</t>
  </si>
  <si>
    <t>06:013:2:5:6</t>
  </si>
  <si>
    <t>06:050:2:5:6</t>
  </si>
  <si>
    <t>06:008:2:5:6</t>
  </si>
  <si>
    <t>06:061:2:5:6</t>
  </si>
  <si>
    <t>06:012:2:5:6</t>
  </si>
  <si>
    <t>06:016:2:5:6</t>
  </si>
  <si>
    <t>06:044:2:5:6</t>
  </si>
  <si>
    <t>06:004:2:5:6</t>
  </si>
  <si>
    <t>06:020:2:5:6</t>
  </si>
  <si>
    <t>06:052:2:5:6</t>
  </si>
  <si>
    <t>06:056:2:5:6</t>
  </si>
  <si>
    <t>06:066:2:5:6</t>
  </si>
  <si>
    <t>06:037:2:5:6</t>
  </si>
  <si>
    <t>06:069:2:4:6</t>
  </si>
  <si>
    <t>06:033:2:4:6</t>
  </si>
  <si>
    <t>06:063:2:4:6</t>
  </si>
  <si>
    <t>06:059:2:5:6</t>
  </si>
  <si>
    <t>06:036:2:5:6</t>
  </si>
  <si>
    <t>06:042:2:5:6</t>
  </si>
  <si>
    <t>06:064:2:5:6</t>
  </si>
  <si>
    <t>07:030:2:3:6</t>
  </si>
  <si>
    <t>07:022:2:5:6</t>
  </si>
  <si>
    <t>07:043:2:3:6</t>
  </si>
  <si>
    <t>07:037:2:3:6</t>
  </si>
  <si>
    <t>07:015:2:5:6</t>
  </si>
  <si>
    <t>07:038:2:3:6</t>
  </si>
  <si>
    <t>07:007:2:3:6</t>
  </si>
  <si>
    <t>16:039:2:5:6</t>
  </si>
  <si>
    <t>16:018:2:5:6</t>
  </si>
  <si>
    <t>16:029:2:5:6</t>
  </si>
  <si>
    <t>16:019:2:3:6</t>
  </si>
  <si>
    <t>16:010:2:3:6</t>
  </si>
  <si>
    <t>16:024:2:5:6</t>
  </si>
  <si>
    <t>16:004:2:5:6</t>
  </si>
  <si>
    <t>16:006:2:5:6</t>
  </si>
  <si>
    <t>16:016:2:5:6</t>
  </si>
  <si>
    <t>16:031:2:5:6</t>
  </si>
  <si>
    <t>16:017:2:4:5</t>
  </si>
  <si>
    <t>16:026:2:5:6</t>
  </si>
  <si>
    <t>16:023:2:3:6</t>
  </si>
  <si>
    <t>16:033:2:3:6</t>
  </si>
  <si>
    <t>16:020:2:4:6</t>
  </si>
  <si>
    <t>16:028:2:3:5</t>
  </si>
  <si>
    <t>16:007:2:5:6</t>
  </si>
  <si>
    <t>16:025:2:5:6</t>
  </si>
  <si>
    <t>16:041:2:5:6</t>
  </si>
  <si>
    <t>16:037:2:5:6</t>
  </si>
  <si>
    <t>16:001:2:5:6</t>
  </si>
  <si>
    <t>16:038:2:4:6</t>
  </si>
  <si>
    <t>16:032:2:5:6</t>
  </si>
  <si>
    <t>16:027:2:5:6</t>
  </si>
  <si>
    <t>16:040:2:4:6</t>
  </si>
  <si>
    <t>16:008:2:4:6</t>
  </si>
  <si>
    <t>16:034:2:4:6</t>
  </si>
  <si>
    <t>10:006:2:3:6</t>
  </si>
  <si>
    <t>10:014:2:3:6</t>
  </si>
  <si>
    <t>10:011:2:5:6</t>
  </si>
  <si>
    <t>10:015:2:3:6</t>
  </si>
  <si>
    <t>10:007:2:3:6</t>
  </si>
  <si>
    <t>10:016:2:3:6</t>
  </si>
  <si>
    <t>10:018:2:3:6</t>
  </si>
  <si>
    <t>10:010:2:5:6</t>
  </si>
  <si>
    <t>10:003:2:3:6</t>
  </si>
  <si>
    <t>10:008:2:3:6</t>
  </si>
  <si>
    <t>10:001:2:5:6</t>
  </si>
  <si>
    <t>10:012:2:5:6</t>
  </si>
  <si>
    <t>22:013:2:5:6</t>
  </si>
  <si>
    <t>22:009:2:5:6</t>
  </si>
  <si>
    <t>22:003:2:5:6</t>
  </si>
  <si>
    <t>22:026:2:5:6</t>
  </si>
  <si>
    <t>22:023:2:5:6</t>
  </si>
  <si>
    <t>22:031:2:4:6</t>
  </si>
  <si>
    <t>22:029:2:5:6</t>
  </si>
  <si>
    <t>22:001:2:5:6</t>
  </si>
  <si>
    <t>22:032:2:5:6</t>
  </si>
  <si>
    <t>22:025:2:5:6</t>
  </si>
  <si>
    <t>22:035:2:5:6</t>
  </si>
  <si>
    <t>22:012:2:5:6</t>
  </si>
  <si>
    <t>22:002:2:5:6</t>
  </si>
  <si>
    <t>22:016:2:5:6</t>
  </si>
  <si>
    <t>22:006:2:5:6</t>
  </si>
  <si>
    <t>22:015:2:5:6</t>
  </si>
  <si>
    <t>22:041:2:5:6</t>
  </si>
  <si>
    <t>22:033:2:5:6</t>
  </si>
  <si>
    <t>22:043:2:5:6</t>
  </si>
  <si>
    <t>22:027:2:5:6</t>
  </si>
  <si>
    <t>22:040:2:5:6</t>
  </si>
  <si>
    <t>22:028:2:5:6</t>
  </si>
  <si>
    <t>22:010:2:5:6</t>
  </si>
  <si>
    <t>22:008:2:5:6</t>
  </si>
  <si>
    <t>22:014:2:5:6</t>
  </si>
  <si>
    <t>22:034:2:4:6</t>
  </si>
  <si>
    <t>46:030:2:3:6</t>
  </si>
  <si>
    <t>22:018:2:3:6</t>
  </si>
  <si>
    <t>12:014:2:5:6</t>
  </si>
  <si>
    <t>12:020:2:5:6</t>
  </si>
  <si>
    <t>00:031:0:0:0</t>
  </si>
  <si>
    <t>12:000:0:0:0</t>
  </si>
  <si>
    <t>12:033:2:5:6</t>
  </si>
  <si>
    <t>12:040:2:5:6</t>
  </si>
  <si>
    <t>12:038:2:3:6</t>
  </si>
  <si>
    <t>12:036:2:5:6</t>
  </si>
  <si>
    <t>12:024:2:5:6</t>
  </si>
  <si>
    <t>12:026:2:5:6</t>
  </si>
  <si>
    <t>12:032:2:5:6</t>
  </si>
  <si>
    <t>00:032:0:0:0</t>
  </si>
  <si>
    <t>12:002:2:5:6</t>
  </si>
  <si>
    <t>00:033:0:0:0</t>
  </si>
  <si>
    <t>12:025:2:5:6</t>
  </si>
  <si>
    <t>12:035:2:3:6</t>
  </si>
  <si>
    <t>12:028:2:3:6</t>
  </si>
  <si>
    <t>12:010:2:5:6</t>
  </si>
  <si>
    <t>12:007:2:3:6</t>
  </si>
  <si>
    <t>12:037:2:5:6</t>
  </si>
  <si>
    <t>12:001:2:5:6</t>
  </si>
  <si>
    <t>12:018:2:5:6</t>
  </si>
  <si>
    <t>12:034:2:5:6</t>
  </si>
  <si>
    <t>12:021:2:5:6</t>
  </si>
  <si>
    <t>12:027:2:5:6</t>
  </si>
  <si>
    <t>12:003:2:4:6</t>
  </si>
  <si>
    <t>12:015:2:5:6</t>
  </si>
  <si>
    <t>39:014:2:5:6</t>
  </si>
  <si>
    <t>39:048:2:5:6</t>
  </si>
  <si>
    <t>39:019:2:3:6</t>
  </si>
  <si>
    <t>39:044:2:5:6</t>
  </si>
  <si>
    <t>39:081:2:5:6</t>
  </si>
  <si>
    <t>39:040:2:5:6</t>
  </si>
  <si>
    <t>39:094:2:5:6</t>
  </si>
  <si>
    <t>39:026:2:5:6</t>
  </si>
  <si>
    <t>39:087:2:5:6</t>
  </si>
  <si>
    <t>39:045:2:5:6</t>
  </si>
  <si>
    <t>39:070:2:5:6</t>
  </si>
  <si>
    <t>39:034:2:5:6</t>
  </si>
  <si>
    <t>39:008:2:5:6</t>
  </si>
  <si>
    <t>39:099:2:5:6</t>
  </si>
  <si>
    <t>39:085:2:5:6</t>
  </si>
  <si>
    <t>39:077:2:4:6</t>
  </si>
  <si>
    <t>39:086:2:5:6</t>
  </si>
  <si>
    <t>39:064:2:4:6</t>
  </si>
  <si>
    <t>39:029:2:4:6</t>
  </si>
  <si>
    <t>39:049:2:3:6</t>
  </si>
  <si>
    <t>39:053:2:3:6</t>
  </si>
  <si>
    <t>39:090:2:5:6</t>
  </si>
  <si>
    <t>39:096:2:5:6</t>
  </si>
  <si>
    <t>39:038:2:5:6</t>
  </si>
  <si>
    <t>39:079:2:5:6</t>
  </si>
  <si>
    <t>39:020:2:4:6</t>
  </si>
  <si>
    <t>39:005:2:5:6</t>
  </si>
  <si>
    <t>39:016:2:4:6</t>
  </si>
  <si>
    <t>39:057:2:5:6</t>
  </si>
  <si>
    <t>39:071:1:2:4</t>
  </si>
  <si>
    <t>39:015:2:5:6</t>
  </si>
  <si>
    <t>39:035:2:5:6</t>
  </si>
  <si>
    <t>39:022:2:5:6</t>
  </si>
  <si>
    <t>39:083:2:3:6</t>
  </si>
  <si>
    <t>39:037:2:4:6</t>
  </si>
  <si>
    <t>39:051:2:3:6</t>
  </si>
  <si>
    <t>39:056:2:5:6</t>
  </si>
  <si>
    <t>39:065:2:5:6</t>
  </si>
  <si>
    <t>39:025:2:5:6</t>
  </si>
  <si>
    <t>39:062:2:5:6</t>
  </si>
  <si>
    <t>39:093:2:4:6</t>
  </si>
  <si>
    <t>39:007:2:5:6</t>
  </si>
  <si>
    <t>39:063:2:5:6</t>
  </si>
  <si>
    <t>39:061:2:5:6</t>
  </si>
  <si>
    <t>39:067:2:4:6</t>
  </si>
  <si>
    <t>39:103:2:5:6</t>
  </si>
  <si>
    <t>39:100:2:4:6</t>
  </si>
  <si>
    <t>39:017:2:5:6</t>
  </si>
  <si>
    <t>39:080:2:4:6</t>
  </si>
  <si>
    <t>39:075:2:5:6</t>
  </si>
  <si>
    <t>39:058:2:5:6</t>
  </si>
  <si>
    <t>39:004:2:4:6</t>
  </si>
  <si>
    <t>39:068:2:5:6</t>
  </si>
  <si>
    <t>39:092:2:4:6</t>
  </si>
  <si>
    <t>39:046:2:4:6</t>
  </si>
  <si>
    <t>39:009:2:5:6</t>
  </si>
  <si>
    <t>39:013:2:5:6</t>
  </si>
  <si>
    <t>39:082:2:5:6</t>
  </si>
  <si>
    <t>39:089:2:4:6</t>
  </si>
  <si>
    <t>39:010:2:5:6</t>
  </si>
  <si>
    <t>39:074:2:4:6</t>
  </si>
  <si>
    <t>39:023:2:5:6</t>
  </si>
  <si>
    <t>39:073:2:5:6</t>
  </si>
  <si>
    <t>39:050:2:5:6</t>
  </si>
  <si>
    <t>39:084:2:4:6</t>
  </si>
  <si>
    <t>39:069:2:5:6</t>
  </si>
  <si>
    <t>39:060:2:5:6</t>
  </si>
  <si>
    <t>39:002:2:4:6</t>
  </si>
  <si>
    <t>39:098:2:5:6</t>
  </si>
  <si>
    <t>39:102:2:5:6</t>
  </si>
  <si>
    <t>39:052:2:5:6</t>
  </si>
  <si>
    <t>39:001:2:5:6</t>
  </si>
  <si>
    <t>39:003:2:5:6</t>
  </si>
  <si>
    <t>39:059:2:5:6</t>
  </si>
  <si>
    <t>39:011:2:5:6</t>
  </si>
  <si>
    <t>39:101:2:5:6</t>
  </si>
  <si>
    <t>39:054:2:5:6</t>
  </si>
  <si>
    <t>39:012:2:5:6</t>
  </si>
  <si>
    <t>39:043:2:5:6</t>
  </si>
  <si>
    <t>39:021:2:5:6</t>
  </si>
  <si>
    <t>39:030:2:5:6</t>
  </si>
  <si>
    <t>39:042:2:5:6</t>
  </si>
  <si>
    <t>39:066:2:5:6</t>
  </si>
  <si>
    <t>39:055:2:5:6</t>
  </si>
  <si>
    <t>39:006:2:5:6</t>
  </si>
  <si>
    <t>39:018:2:5:6</t>
  </si>
  <si>
    <t>39:097:2:5:6</t>
  </si>
  <si>
    <t>39:033:2:5:6</t>
  </si>
  <si>
    <t>40:028:2:5:6</t>
  </si>
  <si>
    <t>40:009:2:5:6</t>
  </si>
  <si>
    <t>40:026:2:5:6</t>
  </si>
  <si>
    <t>40:002:2:5:6</t>
  </si>
  <si>
    <t>40:011:2:3:6</t>
  </si>
  <si>
    <t>40:035:2:3:6</t>
  </si>
  <si>
    <t>40:012:2:5:6</t>
  </si>
  <si>
    <t>40:048:2:4:6</t>
  </si>
  <si>
    <t>40:017:2:5:6</t>
  </si>
  <si>
    <t>40:010:2:5:6</t>
  </si>
  <si>
    <t>40:058:2:5:6</t>
  </si>
  <si>
    <t>53:015:2:5:6</t>
  </si>
  <si>
    <t>53:004:2:4:6</t>
  </si>
  <si>
    <t>53:047:2:3:6</t>
  </si>
  <si>
    <t>53:018:2:3:6</t>
  </si>
  <si>
    <t>53:024:2:5:6</t>
  </si>
  <si>
    <t>53:032:2:5:6</t>
  </si>
  <si>
    <t>53:022:2:3:6</t>
  </si>
  <si>
    <t>53:001:2:5:6</t>
  </si>
  <si>
    <t>53:020:2:5:6</t>
  </si>
  <si>
    <t>53:044:2:3:6</t>
  </si>
  <si>
    <t>53:008:2:6:6</t>
  </si>
  <si>
    <t>53:035:2:5:6</t>
  </si>
  <si>
    <t>53:043:2:5:6</t>
  </si>
  <si>
    <t>53:007:2:5:6</t>
  </si>
  <si>
    <t>53:045:2:3:6</t>
  </si>
  <si>
    <t>53:033:2:3:6</t>
  </si>
  <si>
    <t>53:054:2:5:6</t>
  </si>
  <si>
    <t>53:005:2:5:6</t>
  </si>
  <si>
    <t>53:023:2:5:6</t>
  </si>
  <si>
    <t>53:028:2:5:6</t>
  </si>
  <si>
    <t>53:009:2:4:6</t>
  </si>
  <si>
    <t>53:026:2:5:6</t>
  </si>
  <si>
    <t>53:052:2:4:6</t>
  </si>
  <si>
    <t>53:053:2:5:6</t>
  </si>
  <si>
    <t>53:030:2:5:6</t>
  </si>
  <si>
    <t>53:048:2:4:6</t>
  </si>
  <si>
    <t>53:016:2:5:6</t>
  </si>
  <si>
    <t>53:027:2:5:6</t>
  </si>
  <si>
    <t>53:038:2:3:6</t>
  </si>
  <si>
    <t>53:046:2:4:6</t>
  </si>
  <si>
    <t>53:006:2:5:6</t>
  </si>
  <si>
    <t>53:040:2:5:6</t>
  </si>
  <si>
    <t>53:011:2:3:5</t>
  </si>
  <si>
    <t>53:051:2:5:6</t>
  </si>
  <si>
    <t>53:013:2:5:6</t>
  </si>
  <si>
    <t>53:042:2:3:6</t>
  </si>
  <si>
    <t>29:001:2:3:6</t>
  </si>
  <si>
    <t>54:067:2:5:6</t>
  </si>
  <si>
    <t>54:008:2:5:6</t>
  </si>
  <si>
    <t>54:057:2:5:6</t>
  </si>
  <si>
    <t>54:025:2:5:6</t>
  </si>
  <si>
    <t>54:029:2:5:6</t>
  </si>
  <si>
    <t>54:030:2:5:6</t>
  </si>
  <si>
    <t>54:022:2:5:6</t>
  </si>
  <si>
    <t>54:061:2:5:6</t>
  </si>
  <si>
    <t>54:011:2:5:6</t>
  </si>
  <si>
    <t>54:035:2:5:6</t>
  </si>
  <si>
    <t>29:005:2:3:6</t>
  </si>
  <si>
    <t>54:046:2:5:6</t>
  </si>
  <si>
    <t>29:004:2:3:6</t>
  </si>
  <si>
    <t>54:013:2:5:6</t>
  </si>
  <si>
    <t>54:024:2:4:6</t>
  </si>
  <si>
    <t>54:036:2:4:6</t>
  </si>
  <si>
    <t>54:037:2:4:6</t>
  </si>
  <si>
    <t>54:006:2:5:6</t>
  </si>
  <si>
    <t>54:012:2:5:6</t>
  </si>
  <si>
    <t>54:062:2:4:6</t>
  </si>
  <si>
    <t>54:044:2:5:6</t>
  </si>
  <si>
    <t>54:007:2:4:6</t>
  </si>
  <si>
    <t>54:040:2:5:6</t>
  </si>
  <si>
    <t>54:001:2:4:6</t>
  </si>
  <si>
    <t>54:066:2:5:6</t>
  </si>
  <si>
    <t>54:065:2:4:6</t>
  </si>
  <si>
    <t>54:021:2:4:6</t>
  </si>
  <si>
    <t>54:041:2:5:5</t>
  </si>
  <si>
    <t>54:003:2:3:6</t>
  </si>
  <si>
    <t>54:033:2:5:6</t>
  </si>
  <si>
    <t>54:063:2:5:6</t>
  </si>
  <si>
    <t>54:014:2:5:6</t>
  </si>
  <si>
    <t>54:027:2:4:5</t>
  </si>
  <si>
    <t>54:059:2:5:6</t>
  </si>
  <si>
    <t>54:042:2:4:6</t>
  </si>
  <si>
    <t>54:004:2:5:6</t>
  </si>
  <si>
    <t>54:028:2:5:6</t>
  </si>
  <si>
    <t>54:054:2:5:6</t>
  </si>
  <si>
    <t>54:009:2:5:6</t>
  </si>
  <si>
    <t>54:019:2:5:6</t>
  </si>
  <si>
    <t>54:002:2:5:6</t>
  </si>
  <si>
    <t>54:064:2:5:6</t>
  </si>
  <si>
    <t>54:018:2:5:6</t>
  </si>
  <si>
    <t>54:023:2:5:6</t>
  </si>
  <si>
    <t>54:056:2:5:6</t>
  </si>
  <si>
    <t>54:039:2:5:6</t>
  </si>
  <si>
    <t>54:047:2:5:6</t>
  </si>
  <si>
    <t>54:068:2:4:6</t>
  </si>
  <si>
    <t>54:045:2:5:6</t>
  </si>
  <si>
    <t>54:032:2:5:6</t>
  </si>
  <si>
    <t>54:060:2:5:6</t>
  </si>
  <si>
    <t>54:038:2:5:6</t>
  </si>
  <si>
    <t>54:055:2:4:6</t>
  </si>
  <si>
    <t>54:010:2:5:6</t>
  </si>
  <si>
    <t>54:015:2:3:6</t>
  </si>
  <si>
    <t>54:050:2:3:6</t>
  </si>
  <si>
    <t>54:058:2:5:6</t>
  </si>
  <si>
    <t>54:051:2:4:6</t>
  </si>
  <si>
    <t>54:052:2:5:6</t>
  </si>
  <si>
    <t>55:001:2:3:6</t>
  </si>
  <si>
    <t>55:023:2:5:6</t>
  </si>
  <si>
    <t>55:027:2:5:6</t>
  </si>
  <si>
    <t>55:032:2:3:6</t>
  </si>
  <si>
    <t>55:021:2:3:6</t>
  </si>
  <si>
    <t>55:020:2:5:6</t>
  </si>
  <si>
    <t>55:008:2:5:6</t>
  </si>
  <si>
    <t>55:010:2:3:6</t>
  </si>
  <si>
    <t>55:028:2:3:6</t>
  </si>
  <si>
    <t>55:016:2:5:6</t>
  </si>
  <si>
    <t>55:014:2:4:6</t>
  </si>
  <si>
    <t>55:038:2:3:6</t>
  </si>
  <si>
    <t>55:025:2:5:6</t>
  </si>
  <si>
    <t>55:018:2:3:6</t>
  </si>
  <si>
    <t>55:031:2:3:6</t>
  </si>
  <si>
    <t>55:024:2:3:6</t>
  </si>
  <si>
    <t>55:034:2:3:6</t>
  </si>
  <si>
    <t>56:015:2:5:6</t>
  </si>
  <si>
    <t>56:013:2:3:6</t>
  </si>
  <si>
    <t>56:004:2:5:6</t>
  </si>
  <si>
    <t>56:033:2:5:6</t>
  </si>
  <si>
    <t>56:017:2:3:6</t>
  </si>
  <si>
    <t>56:034:2:5:6</t>
  </si>
  <si>
    <t>56:012:2:5:6</t>
  </si>
  <si>
    <t>56:023:2:5:6</t>
  </si>
  <si>
    <t>56:009:2:5:6</t>
  </si>
  <si>
    <t>56:029:2:5:6</t>
  </si>
  <si>
    <t>56:022:2:3:6</t>
  </si>
  <si>
    <t>56:005:2:3:6</t>
  </si>
  <si>
    <t>56:028:2:3:6</t>
  </si>
  <si>
    <t>56:016:2:3:6</t>
  </si>
  <si>
    <t>56:026:2:5:6</t>
  </si>
  <si>
    <t>56:037:2:5:6</t>
  </si>
  <si>
    <t>56:027:2:3:6</t>
  </si>
  <si>
    <t>57:018:2:3:6</t>
  </si>
  <si>
    <t>57:011:2:3:6</t>
  </si>
  <si>
    <t>57:007:2:3:6</t>
  </si>
  <si>
    <t>57:005:2:3:6</t>
  </si>
  <si>
    <t>57:004:2:3:6</t>
  </si>
  <si>
    <t>57:001:2:3:6</t>
  </si>
  <si>
    <t>57:022:2:3:6</t>
  </si>
  <si>
    <t>57:014:2:3:6</t>
  </si>
  <si>
    <t>57:020:2:3:6</t>
  </si>
  <si>
    <t>57:012:2:3:6</t>
  </si>
  <si>
    <t>57:013:2:5:6</t>
  </si>
  <si>
    <t>58:020:2:3:6</t>
  </si>
  <si>
    <t>58:001:2:5:6</t>
  </si>
  <si>
    <t>58:021:2:3:6</t>
  </si>
  <si>
    <t>58:022:2:3:6</t>
  </si>
  <si>
    <t>58:003:2:3:6</t>
  </si>
  <si>
    <t>58:006:2:3:6</t>
  </si>
  <si>
    <t>58:008:2:4:6</t>
  </si>
  <si>
    <t>58:018:2:4:6</t>
  </si>
  <si>
    <t>00:034:0:0:0</t>
  </si>
  <si>
    <t>58:000:0:0:0</t>
  </si>
  <si>
    <t>00:035:0:0:0</t>
  </si>
  <si>
    <t>58:009:2:4:6</t>
  </si>
  <si>
    <t>00:036:0:0:0</t>
  </si>
  <si>
    <t>58:015:2:5:6</t>
  </si>
  <si>
    <t>58:002:2:3:6</t>
  </si>
  <si>
    <t>58:012:2:3:6</t>
  </si>
  <si>
    <t>58:023:2:3:6</t>
  </si>
  <si>
    <t>58:019:2:3:6</t>
  </si>
  <si>
    <t>58:017:2:5:6</t>
  </si>
  <si>
    <t>58:024:2:3:6</t>
  </si>
  <si>
    <t>58:013:2:5:6</t>
  </si>
  <si>
    <t>58:004:2:4:6</t>
  </si>
  <si>
    <t>58:010:2:5:6</t>
  </si>
  <si>
    <t>58:014:2:5:6</t>
  </si>
  <si>
    <t>14:015:2:5:6</t>
  </si>
  <si>
    <t>14:002:2:3:6</t>
  </si>
  <si>
    <t>14:006:2:3:6</t>
  </si>
  <si>
    <t>14:022:2:3:6</t>
  </si>
  <si>
    <t>14:008:2:3:6</t>
  </si>
  <si>
    <t>13:055:2:5:6</t>
  </si>
  <si>
    <t>14:003:2:5:6</t>
  </si>
  <si>
    <t>14:019:2:3:6</t>
  </si>
  <si>
    <t>14:012:2:5:6</t>
  </si>
  <si>
    <t>14:013:2:3:6</t>
  </si>
  <si>
    <t>13:006:2:4:6</t>
  </si>
  <si>
    <t>14:001:2:3:6</t>
  </si>
  <si>
    <t>14:004:2:4:6</t>
  </si>
  <si>
    <t>13:047:2:3:6</t>
  </si>
  <si>
    <t>13:023:2:3:6</t>
  </si>
  <si>
    <t>14:009:2:4:6</t>
  </si>
  <si>
    <t>14:023:2:3:6</t>
  </si>
  <si>
    <t>14:017:2:3:6</t>
  </si>
  <si>
    <t>13:025:2:3:6</t>
  </si>
  <si>
    <t>13:002:2:3:6</t>
  </si>
  <si>
    <t>14:021:2:5:6</t>
  </si>
  <si>
    <t>14:018:2:4:6</t>
  </si>
  <si>
    <t>13:051:2:5:6</t>
  </si>
  <si>
    <t>13:056:2:5:6</t>
  </si>
  <si>
    <t>13:050:2:5:6</t>
  </si>
  <si>
    <t>13:053:2:5:6</t>
  </si>
  <si>
    <t>13:016:2:5:6</t>
  </si>
  <si>
    <t>13:054:2:5:6</t>
  </si>
  <si>
    <t>13:020:2:5:6</t>
  </si>
  <si>
    <t>13:028:2:5:6</t>
  </si>
  <si>
    <t>13:018:2:5:6</t>
  </si>
  <si>
    <t>13:045:2:5:6</t>
  </si>
  <si>
    <t>13:046:2:5:6</t>
  </si>
  <si>
    <t>13:027:2:4:6</t>
  </si>
  <si>
    <t>14:007:2:3:6</t>
  </si>
  <si>
    <t>13:003:2:4:6</t>
  </si>
  <si>
    <t>13:031:2:3:6</t>
  </si>
  <si>
    <t>13:039:2:3:6</t>
  </si>
  <si>
    <t>13:001:2:5:6</t>
  </si>
  <si>
    <t>13:011:2:3:6</t>
  </si>
  <si>
    <t>13:044:2:3:6</t>
  </si>
  <si>
    <t>13:015:2:4:6</t>
  </si>
  <si>
    <t>13:059:2:5:6</t>
  </si>
  <si>
    <t>13:005:2:5:6</t>
  </si>
  <si>
    <t>13:029:2:5:6</t>
  </si>
  <si>
    <t>13:030:2:4:6</t>
  </si>
  <si>
    <t>13:026:2:5:6</t>
  </si>
  <si>
    <t>13:048:2:5:6</t>
  </si>
  <si>
    <t>13:036:2:5:6</t>
  </si>
  <si>
    <t>13:052:2:5:6</t>
  </si>
  <si>
    <t>13:021:2:5:6</t>
  </si>
  <si>
    <t>61:030:2:5:6</t>
  </si>
  <si>
    <t>61:019:2:4:6</t>
  </si>
  <si>
    <t>61:037:2:5:6</t>
  </si>
  <si>
    <t>61:036:2:5:6</t>
  </si>
  <si>
    <t>61:044:2:4:6</t>
  </si>
  <si>
    <t>61:005:2:5:6</t>
  </si>
  <si>
    <t>61:006:2:5:6</t>
  </si>
  <si>
    <t>61:026:2:5:6</t>
  </si>
  <si>
    <t>61:035:2:5:6</t>
  </si>
  <si>
    <t>61:032:2:4:6</t>
  </si>
  <si>
    <t>61:014:2:5:6</t>
  </si>
  <si>
    <t>61:020:2:5:6</t>
  </si>
  <si>
    <t>61:041:2:4:6</t>
  </si>
  <si>
    <t>61:009:2:5:6</t>
  </si>
  <si>
    <t>61:031:2:4:6</t>
  </si>
  <si>
    <t>61:025:2:5:6</t>
  </si>
  <si>
    <t>61:039:2:4:6</t>
  </si>
  <si>
    <t>61:038:2:4:6</t>
  </si>
  <si>
    <t>61:004:2:5:6</t>
  </si>
  <si>
    <t>61:010:2:4:6</t>
  </si>
  <si>
    <t>61:012:2:5:6</t>
  </si>
  <si>
    <t>61:034:2:4:6</t>
  </si>
  <si>
    <t>61:027:2:5:6</t>
  </si>
  <si>
    <t>61:011:2:3:6</t>
  </si>
  <si>
    <t>61:007:2:3:6</t>
  </si>
  <si>
    <t>61:008:2:5:6</t>
  </si>
  <si>
    <t>61:024:2:5:6</t>
  </si>
  <si>
    <t>61:040:2:4:6</t>
  </si>
  <si>
    <t>61:023:2:5:6</t>
  </si>
  <si>
    <t>61:029:2:5:6</t>
  </si>
  <si>
    <t>61:022:2:5:6</t>
  </si>
  <si>
    <t>61:017:2:3:6</t>
  </si>
  <si>
    <t>61:002:2:5:6</t>
  </si>
  <si>
    <t>61:033:2:5:6</t>
  </si>
  <si>
    <t>61:028:2:5:6</t>
  </si>
  <si>
    <t>61:043:2:3:6</t>
  </si>
  <si>
    <t>61:016:2:5:6</t>
  </si>
  <si>
    <t>61:001:2:4:6</t>
  </si>
  <si>
    <t>61:013:2:5:6</t>
  </si>
  <si>
    <t>61:015:2:5:6</t>
  </si>
  <si>
    <t>61:003:2:5:6</t>
  </si>
  <si>
    <t>33:002:2:3:6</t>
  </si>
  <si>
    <t>00:037:0:0:0</t>
  </si>
  <si>
    <t>33:008:1:1:3</t>
  </si>
  <si>
    <t>33:006:2:3:6</t>
  </si>
  <si>
    <t>23:002:2:3:6</t>
  </si>
  <si>
    <t>62:013:2:5:6</t>
  </si>
  <si>
    <t>62:017:2:5:6</t>
  </si>
  <si>
    <t>62:029:2:4:6</t>
  </si>
  <si>
    <t>62:028:2:4:6</t>
  </si>
  <si>
    <t>62:004:2:5:6</t>
  </si>
  <si>
    <t>62:025:2:5:6</t>
  </si>
  <si>
    <t>62:002:2:5:6</t>
  </si>
  <si>
    <t>62:008:2:4:6</t>
  </si>
  <si>
    <t>62:018:2:5:6</t>
  </si>
  <si>
    <t>62:007:2:5:6</t>
  </si>
  <si>
    <t>62:030:2:5:6</t>
  </si>
  <si>
    <t>62:015:2:3:6</t>
  </si>
  <si>
    <t>62:022:2:5:6</t>
  </si>
  <si>
    <t>62:026:2:5:6</t>
  </si>
  <si>
    <t>62:005:2:5:6</t>
  </si>
  <si>
    <t>62:010:2:5:6</t>
  </si>
  <si>
    <t>62:020:2:4:6</t>
  </si>
  <si>
    <t>62:023:2:4:6</t>
  </si>
  <si>
    <t>62:019:2:3:6</t>
  </si>
  <si>
    <t>62:011:2:3:6</t>
  </si>
  <si>
    <t>62:012:2:3:6</t>
  </si>
  <si>
    <t>64:008:2:3:6</t>
  </si>
  <si>
    <t>64:026:2:3:6</t>
  </si>
  <si>
    <t>64:024:2:3:6</t>
  </si>
  <si>
    <t>64:013:2:3:6</t>
  </si>
  <si>
    <t>64:005:2:3:6</t>
  </si>
  <si>
    <t>64:004:2:5:6</t>
  </si>
  <si>
    <t>64:015:2:3:6</t>
  </si>
  <si>
    <t>64:012:2:3:6</t>
  </si>
  <si>
    <t>64:001:2:4:6</t>
  </si>
  <si>
    <t>64:023:2:5:6</t>
  </si>
  <si>
    <t>64:016:2:3:6</t>
  </si>
  <si>
    <t>64:034:2:3:6</t>
  </si>
  <si>
    <t>64:017:2:6:6</t>
  </si>
  <si>
    <t>64:019:2:3:6</t>
  </si>
  <si>
    <t>64:021:2:3:6</t>
  </si>
  <si>
    <t>66:005:2:5:6</t>
  </si>
  <si>
    <t>66:015:2:3:6</t>
  </si>
  <si>
    <t>66:014:2:4:6</t>
  </si>
  <si>
    <t>66:013:2:5:6</t>
  </si>
  <si>
    <t>66:011:2:5:6</t>
  </si>
  <si>
    <t>66:004:2:5:6</t>
  </si>
  <si>
    <t>66:003:2:3:6</t>
  </si>
  <si>
    <t>64:028:2:3:6</t>
  </si>
  <si>
    <t>64:011:2:3:6</t>
  </si>
  <si>
    <t>64:002:2:3:6</t>
  </si>
  <si>
    <t>64:022:2:3:6</t>
  </si>
  <si>
    <t>64:027:2:5:6</t>
  </si>
  <si>
    <t>64:018:2:5:6</t>
  </si>
  <si>
    <t>64:033:2:3:6</t>
  </si>
  <si>
    <t>64:006:2:5:6</t>
  </si>
  <si>
    <t>64:009:2:3:5</t>
  </si>
  <si>
    <t>64:003:2:3:6</t>
  </si>
  <si>
    <t>64:032:2:5:6</t>
  </si>
  <si>
    <t>66:009:2:5:6</t>
  </si>
  <si>
    <t>66:016:2:3:6</t>
  </si>
  <si>
    <t>66:017:2:4:6</t>
  </si>
  <si>
    <t>66:019:2:3:6</t>
  </si>
  <si>
    <t>66:006:2:4:6</t>
  </si>
  <si>
    <t>64:025:2:3:6</t>
  </si>
  <si>
    <t>64:014:2:5:6</t>
  </si>
  <si>
    <t>66:010:2:5:6</t>
  </si>
  <si>
    <t>66:007:2:5:6</t>
  </si>
  <si>
    <t>66:002:2:5:6</t>
  </si>
  <si>
    <t>66:008:2:5:6</t>
  </si>
  <si>
    <t>66:021:2:5:6</t>
  </si>
  <si>
    <t>66:022:2:5:6</t>
  </si>
  <si>
    <t>66:012:2:5:6</t>
  </si>
  <si>
    <t>66:023:2:5:6</t>
  </si>
  <si>
    <t>65:024:2:5:6</t>
  </si>
  <si>
    <t>65:046:2:5:6</t>
  </si>
  <si>
    <t>65:007:2:5:6</t>
  </si>
  <si>
    <t>65:032:2:5:6</t>
  </si>
  <si>
    <t>65:037:2:5:6</t>
  </si>
  <si>
    <t>65:047:2:5:6</t>
  </si>
  <si>
    <t>65:022:2:4:6</t>
  </si>
  <si>
    <t>65:002:2:5:6</t>
  </si>
  <si>
    <t>65:025:2:5:6</t>
  </si>
  <si>
    <t>65:021:2:5:6</t>
  </si>
  <si>
    <t>65:013:2:5:6</t>
  </si>
  <si>
    <t>65:039:2:5:6</t>
  </si>
  <si>
    <t>65:008:2:5:6</t>
  </si>
  <si>
    <t>65:027:2:5:6</t>
  </si>
  <si>
    <t>65:028:2:5:6</t>
  </si>
  <si>
    <t>65:018:2:5:6</t>
  </si>
  <si>
    <t>65:005:2:5:6</t>
  </si>
  <si>
    <t>65:012:2:5:6</t>
  </si>
  <si>
    <t>65:029:2:5:6</t>
  </si>
  <si>
    <t>65:004:2:5:6</t>
  </si>
  <si>
    <t>65:041:2:5:6</t>
  </si>
  <si>
    <t>65:001:2:5:6</t>
  </si>
  <si>
    <t>65:015:2:3:6</t>
  </si>
  <si>
    <t>65:048:2:5:6</t>
  </si>
  <si>
    <t>65:003:2:4:6</t>
  </si>
  <si>
    <t>65:044:2:5:6</t>
  </si>
  <si>
    <t>65:017:2:5:6</t>
  </si>
  <si>
    <t>65:035:2:3:6</t>
  </si>
  <si>
    <t>65:006:2:5:6</t>
  </si>
  <si>
    <t>65:011:2:5:6</t>
  </si>
  <si>
    <t>00:038:0:0:0</t>
  </si>
  <si>
    <t>67:006:2:5:5</t>
  </si>
  <si>
    <t>67:029:2:3:6</t>
  </si>
  <si>
    <t>67:026:2:5:6</t>
  </si>
  <si>
    <t>67:018:2:3:6</t>
  </si>
  <si>
    <t>67:033:2:3:6</t>
  </si>
  <si>
    <t>67:020:2:3:6</t>
  </si>
  <si>
    <t>67:003:2:5:6</t>
  </si>
  <si>
    <t>68:032:2:5:6</t>
  </si>
  <si>
    <t>68:018:2:5:6</t>
  </si>
  <si>
    <t>68:016:2:5:6</t>
  </si>
  <si>
    <t>68:027:2:5:6</t>
  </si>
  <si>
    <t>68:030:2:5:6</t>
  </si>
  <si>
    <t>68:004:2:5:6</t>
  </si>
  <si>
    <t>68:022:2:3:6</t>
  </si>
  <si>
    <t>68:025:2:5:6</t>
  </si>
  <si>
    <t>68:019:2:5:6</t>
  </si>
  <si>
    <t>68:010:2:5:6</t>
  </si>
  <si>
    <t>68:011:2:5:6</t>
  </si>
  <si>
    <t>68:008:2:5:6</t>
  </si>
  <si>
    <t>68:014:2:5:6</t>
  </si>
  <si>
    <t>68:007:2:5:6</t>
  </si>
  <si>
    <t>68:023:2:5:6</t>
  </si>
  <si>
    <t>68:026:2:5:6</t>
  </si>
  <si>
    <t>68:003:2:5:6</t>
  </si>
  <si>
    <t>68:006:2:5:6</t>
  </si>
  <si>
    <t>68:013:2:5:6</t>
  </si>
  <si>
    <t>68:017:2:5:6</t>
  </si>
  <si>
    <t>69:042:2:5:6</t>
  </si>
  <si>
    <t>69:008:2:5:6</t>
  </si>
  <si>
    <t>69:025:2:3:6</t>
  </si>
  <si>
    <t>69:027:2:5:6</t>
  </si>
  <si>
    <t>69:030:2:5:6</t>
  </si>
  <si>
    <t>69:003:2:5:6</t>
  </si>
  <si>
    <t>69:012:2:5:6</t>
  </si>
  <si>
    <t>69:033:2:5:6</t>
  </si>
  <si>
    <t>69:026:2:5:6</t>
  </si>
  <si>
    <t>69:006:2:5:6</t>
  </si>
  <si>
    <t>69:029:2:5:6</t>
  </si>
  <si>
    <t>69:013:2:5:6</t>
  </si>
  <si>
    <t>69:041:2:5:6</t>
  </si>
  <si>
    <t>69:004:2:5:6</t>
  </si>
  <si>
    <t>69:035:2:4:6</t>
  </si>
  <si>
    <t>69:024:2:5:6</t>
  </si>
  <si>
    <t>69:019:2:3:6</t>
  </si>
  <si>
    <t>69:014:2:3:6</t>
  </si>
  <si>
    <t>69:005:2:5:6</t>
  </si>
  <si>
    <t>69:011:2:5:6</t>
  </si>
  <si>
    <t>69:020:2:5:6</t>
  </si>
  <si>
    <t>69:037:2:5:6</t>
  </si>
  <si>
    <t>70:038:2:5:6</t>
  </si>
  <si>
    <t>70:077:2:5:6</t>
  </si>
  <si>
    <t>70:044:2:5:6</t>
  </si>
  <si>
    <t>70:013:2:5:6</t>
  </si>
  <si>
    <t>70:011:2:5:6</t>
  </si>
  <si>
    <t>70:054:2:4:6</t>
  </si>
  <si>
    <t>70:065:2:5:6</t>
  </si>
  <si>
    <t>70:041:2:5:6</t>
  </si>
  <si>
    <t>70:030:2:4:6</t>
  </si>
  <si>
    <t>70:023:2:4:6</t>
  </si>
  <si>
    <t>70:084:2:5:6</t>
  </si>
  <si>
    <t>70:009:2:5:6</t>
  </si>
  <si>
    <t>70:064:2:5:6</t>
  </si>
  <si>
    <t>70:048:2:4:6</t>
  </si>
  <si>
    <t>70:090:2:5:6</t>
  </si>
  <si>
    <t>70:049:2:5:6</t>
  </si>
  <si>
    <t>70:081:2:5:6</t>
  </si>
  <si>
    <t>70:092:2:5:6</t>
  </si>
  <si>
    <t>70:035:2:5:6</t>
  </si>
  <si>
    <t>70:037:2:5:6</t>
  </si>
  <si>
    <t>70:002:2:4:6</t>
  </si>
  <si>
    <t>70:018:2:5:6</t>
  </si>
  <si>
    <t>70:010:2:5:6</t>
  </si>
  <si>
    <t>70:068:2:5:6</t>
  </si>
  <si>
    <t>70:069:2:5:6</t>
  </si>
  <si>
    <t>70:004:2:5:6</t>
  </si>
  <si>
    <t>70:007:2:5:6</t>
  </si>
  <si>
    <t>70:056:2:5:6</t>
  </si>
  <si>
    <t>70:042:2:5:6</t>
  </si>
  <si>
    <t>70:085:2:5:6</t>
  </si>
  <si>
    <t>70:059:2:5:6</t>
  </si>
  <si>
    <t>70:024:2:4:6</t>
  </si>
  <si>
    <t>70:029:2:3:6</t>
  </si>
  <si>
    <t>70:075:2:5:6</t>
  </si>
  <si>
    <t>70:055:2:5:6</t>
  </si>
  <si>
    <t>70:083:2:5:6</t>
  </si>
  <si>
    <t>70:006:2:4:6</t>
  </si>
  <si>
    <t>70:025:2:5:6</t>
  </si>
  <si>
    <t>70:039:2:5:6</t>
  </si>
  <si>
    <t>70:057:2:5:6</t>
  </si>
  <si>
    <t>70:027:2:5:6</t>
  </si>
  <si>
    <t>70:001:2:5:6</t>
  </si>
  <si>
    <t>70:012:2:3:6</t>
  </si>
  <si>
    <t>70:072:2:5:6</t>
  </si>
  <si>
    <t>70:060:2:5:6</t>
  </si>
  <si>
    <t>70:091:2:5:6</t>
  </si>
  <si>
    <t>70:066:2:4:6</t>
  </si>
  <si>
    <t>70:058:2:5:6</t>
  </si>
  <si>
    <t>70:080:2:5:6</t>
  </si>
  <si>
    <t>70:043:2:4:6</t>
  </si>
  <si>
    <t>70:088:2:5:6</t>
  </si>
  <si>
    <t>70:046:2:5:6</t>
  </si>
  <si>
    <t>70:033:2:5:6</t>
  </si>
  <si>
    <t>70:015:2:5:6</t>
  </si>
  <si>
    <t>71:009:2:5:6</t>
  </si>
  <si>
    <t>71:006:2:5:6</t>
  </si>
  <si>
    <t>71:017:2:4:6</t>
  </si>
  <si>
    <t>71:011:2:5:6</t>
  </si>
  <si>
    <t>71:047:2:5:6</t>
  </si>
  <si>
    <t>71:036:2:5:6</t>
  </si>
  <si>
    <t>71:013:2:5:6</t>
  </si>
  <si>
    <t>71:020:2:5:6</t>
  </si>
  <si>
    <t>71:027:2:4:6</t>
  </si>
  <si>
    <t>71:031:2:5:6</t>
  </si>
  <si>
    <t>71:025:2:5:6</t>
  </si>
  <si>
    <t>71:010:2:4:6</t>
  </si>
  <si>
    <t>71:034:2:5:6</t>
  </si>
  <si>
    <t>71:026:2:5:6</t>
  </si>
  <si>
    <t>71:021:2:5:6</t>
  </si>
  <si>
    <t>71:018:2:5:6</t>
  </si>
  <si>
    <t>71:045:2:5:6</t>
  </si>
  <si>
    <t>72:024:2:4:6</t>
  </si>
  <si>
    <t>72:006:2:3:6</t>
  </si>
  <si>
    <t>72:001:2:5:6</t>
  </si>
  <si>
    <t>72:011:2:3:6</t>
  </si>
  <si>
    <t>72:045:2:5:6</t>
  </si>
  <si>
    <t>72:037:2:3:6</t>
  </si>
  <si>
    <t>72:057:2:5:6</t>
  </si>
  <si>
    <t>72:033:2:5:6</t>
  </si>
  <si>
    <t>72:034:2:5:6</t>
  </si>
  <si>
    <t>72:023:2:5:6</t>
  </si>
  <si>
    <t>72:046:2:5:6</t>
  </si>
  <si>
    <t>72:059:2:5:6</t>
  </si>
  <si>
    <t>72:014:2:4:6</t>
  </si>
  <si>
    <t>72:020:2:5:6</t>
  </si>
  <si>
    <t>72:032:2:5:6</t>
  </si>
  <si>
    <t>72:031:2:5:6</t>
  </si>
  <si>
    <t>72:052:2:5:6</t>
  </si>
  <si>
    <t>72:005:2:5:6</t>
  </si>
  <si>
    <t>72:047:2:5:6</t>
  </si>
  <si>
    <t>72:019:2:5:6</t>
  </si>
  <si>
    <t>72:016:2:5:6</t>
  </si>
  <si>
    <t>72:039:2:3:6</t>
  </si>
  <si>
    <t>72:038:2:3:6</t>
  </si>
  <si>
    <t>72:041:2:5:6</t>
  </si>
  <si>
    <t>72:051:2:5:6</t>
  </si>
  <si>
    <t>72:028:2:5:6</t>
  </si>
  <si>
    <t>72:004:2:5:6</t>
  </si>
  <si>
    <t>72:062:2:3:6</t>
  </si>
  <si>
    <t>72:029:2:5:6</t>
  </si>
  <si>
    <t>72:050:2:3:6</t>
  </si>
  <si>
    <t>72:056:2:5:6</t>
  </si>
  <si>
    <t>72:058:2:4:6</t>
  </si>
  <si>
    <t>72:060:2:4:6</t>
  </si>
  <si>
    <t>72:043:2:3:6</t>
  </si>
  <si>
    <t>72:017:2:5:6</t>
  </si>
  <si>
    <t>72:040:2:3:6</t>
  </si>
  <si>
    <t>72:013:2:4:6</t>
  </si>
  <si>
    <t>72:018:2:5:6</t>
  </si>
  <si>
    <t>72:007:2:5:6</t>
  </si>
  <si>
    <t>72:030:2:4:6</t>
  </si>
  <si>
    <t>72:036:2:5:6</t>
  </si>
  <si>
    <t>73:017:2:5:6</t>
  </si>
  <si>
    <t>73:010:2:5:6</t>
  </si>
  <si>
    <t>73:009:2:5:6</t>
  </si>
  <si>
    <t>73:032:2:5:6</t>
  </si>
  <si>
    <t>73:037:2:5:6</t>
  </si>
  <si>
    <t>73:024:2:5:6</t>
  </si>
  <si>
    <t>73:022:2:5:6</t>
  </si>
  <si>
    <t>73:019:2:5:6</t>
  </si>
  <si>
    <t>73:039:2:5:6</t>
  </si>
  <si>
    <t>50:003:2:5:6</t>
  </si>
  <si>
    <t>50:006:2:4:6</t>
  </si>
  <si>
    <t>50:009:2:5:6</t>
  </si>
  <si>
    <t>08:014:2:3:6</t>
  </si>
  <si>
    <t>08:003:2:3:6</t>
  </si>
  <si>
    <t>08:016:2:3:6</t>
  </si>
  <si>
    <t>08:009:2:3:6</t>
  </si>
  <si>
    <t>08:001:2:3:6</t>
  </si>
  <si>
    <t>20:004:2:5:6</t>
  </si>
  <si>
    <t>20:020:2:5:6</t>
  </si>
  <si>
    <t>20:024:2:3:6</t>
  </si>
  <si>
    <t>11:002:2:3:6</t>
  </si>
  <si>
    <t>24:004:2:5:6</t>
  </si>
  <si>
    <t>26:007:2:3:6</t>
  </si>
  <si>
    <t>26:006:2:3:6</t>
  </si>
  <si>
    <t>26:003:2:3:6</t>
  </si>
  <si>
    <t>26:005:2:3:6</t>
  </si>
  <si>
    <t>43:009:2:3:6</t>
  </si>
  <si>
    <t>28:003:2:3:6</t>
  </si>
  <si>
    <t>28:005:2:3:6</t>
  </si>
  <si>
    <t>28:001:2:3:6</t>
  </si>
  <si>
    <t>28:010:2:3:6</t>
  </si>
  <si>
    <t>28:007:2:3:6</t>
  </si>
  <si>
    <t>28:008:2:3:6</t>
  </si>
  <si>
    <t>28:011:2:5:6</t>
  </si>
  <si>
    <t>44:011:2:3:6</t>
  </si>
  <si>
    <t>44:005:2:3:6</t>
  </si>
  <si>
    <t>44:006:2:5:6</t>
  </si>
  <si>
    <t>30:005:2:3:6</t>
  </si>
  <si>
    <t>30:002:2:3:6</t>
  </si>
  <si>
    <t>32:025:2:5:6</t>
  </si>
  <si>
    <t>32:020:2:3:6</t>
  </si>
  <si>
    <t>32:029:2:5:6</t>
  </si>
  <si>
    <t>32:026:2:3:6</t>
  </si>
  <si>
    <t>60:004:2:5:6</t>
  </si>
  <si>
    <t>63:003:2:4:6</t>
  </si>
  <si>
    <t>63:007:2:3:6</t>
  </si>
  <si>
    <t>37:012:2:5:6</t>
  </si>
  <si>
    <t>37:023:2:4:6</t>
  </si>
  <si>
    <t>37:022:2:4:6</t>
  </si>
  <si>
    <t>37:005:2:3:6</t>
  </si>
  <si>
    <t>37:004:2:5:6</t>
  </si>
  <si>
    <t>37:015:2:5:6</t>
  </si>
  <si>
    <t>37:019:2:4:6</t>
  </si>
  <si>
    <t>37:003:2:5:6</t>
  </si>
  <si>
    <t>37:002:2:5:6</t>
  </si>
  <si>
    <t>37:020:2:5:6</t>
  </si>
  <si>
    <t>37:009:2:5:6</t>
  </si>
  <si>
    <t>37:006:2:5:6</t>
  </si>
  <si>
    <t>37:014:2:5:6</t>
  </si>
  <si>
    <t>37:013:2:4:6</t>
  </si>
  <si>
    <t>46:019:1:2:4</t>
  </si>
  <si>
    <t>49:005:2:3:5</t>
  </si>
  <si>
    <t>49:010:1:2:4</t>
  </si>
  <si>
    <t>49:015:2:4:6</t>
  </si>
  <si>
    <t>49:066:2:4:6</t>
  </si>
  <si>
    <t>49:036:2:4:5</t>
  </si>
  <si>
    <t>49:069:2:4:6</t>
  </si>
  <si>
    <t>49:034:2:4:5</t>
  </si>
  <si>
    <t>49:019:2:4:6</t>
  </si>
  <si>
    <t>02:013:2:4:6</t>
  </si>
  <si>
    <t>02:002:2:4:6</t>
  </si>
  <si>
    <t>02:018:2:4:6</t>
  </si>
  <si>
    <t>02:023:2:4:6</t>
  </si>
  <si>
    <t>02:006:2:4:6</t>
  </si>
  <si>
    <t>02:028:2:4:6</t>
  </si>
  <si>
    <t>02:019:2:4:6</t>
  </si>
  <si>
    <t>02:026:2:3:6</t>
  </si>
  <si>
    <t>02:012:2:3:6</t>
  </si>
  <si>
    <t>02:008:2:3:6</t>
  </si>
  <si>
    <t>03:011:2:5:6</t>
  </si>
  <si>
    <t>03:001:2:4:6</t>
  </si>
  <si>
    <t>03:031:2:4:5</t>
  </si>
  <si>
    <t>03:027:2:4:6</t>
  </si>
  <si>
    <t>03:045:2:4:6</t>
  </si>
  <si>
    <t>03:040:2:4:5</t>
  </si>
  <si>
    <t>03:003:1:2:4</t>
  </si>
  <si>
    <t>03:042:2:4:5</t>
  </si>
  <si>
    <t>03:013:2:4:6</t>
  </si>
  <si>
    <t>03:036:2:5:6</t>
  </si>
  <si>
    <t>03:048:2:4:6</t>
  </si>
  <si>
    <t>03:034:2:4:6</t>
  </si>
  <si>
    <t>03:039:2:4:6</t>
  </si>
  <si>
    <t>03:029:2:4:6</t>
  </si>
  <si>
    <t>03:043:2:4:6</t>
  </si>
  <si>
    <t>03:030:2:5:6</t>
  </si>
  <si>
    <t>03:007:2:5:6</t>
  </si>
  <si>
    <t>03:049:2:4:6</t>
  </si>
  <si>
    <t>03:057:2:5:6</t>
  </si>
  <si>
    <t>05:008:2:4:6</t>
  </si>
  <si>
    <t>05:032:2:5:6</t>
  </si>
  <si>
    <t>05:011:2:5:6</t>
  </si>
  <si>
    <t>05:009:2:4:6</t>
  </si>
  <si>
    <t>05:012:2:5:6</t>
  </si>
  <si>
    <t>05:006:2:4:6</t>
  </si>
  <si>
    <t>05:045:2:4:6</t>
  </si>
  <si>
    <t>05:037:2:5:6</t>
  </si>
  <si>
    <t>05:005:1:2:4</t>
  </si>
  <si>
    <t>05:054:2:5:6</t>
  </si>
  <si>
    <t>05:019:2:3:6</t>
  </si>
  <si>
    <t>05:014:2:5:6</t>
  </si>
  <si>
    <t>05:052:2:5:6</t>
  </si>
  <si>
    <t>05:038:2:5:6</t>
  </si>
  <si>
    <t>05:053:2:3:5</t>
  </si>
  <si>
    <t>05:024:2:5:6</t>
  </si>
  <si>
    <t>05:023:2:4:6</t>
  </si>
  <si>
    <t>05:028:2:4:6</t>
  </si>
  <si>
    <t>05:031:2:5:6</t>
  </si>
  <si>
    <t>06:014:2:4:6</t>
  </si>
  <si>
    <t>06:010:2:4:6</t>
  </si>
  <si>
    <t>06:048:2:5:6</t>
  </si>
  <si>
    <t>06:009:2:5:6</t>
  </si>
  <si>
    <t>06:047:2:5:6</t>
  </si>
  <si>
    <t>06:002:2:4:5</t>
  </si>
  <si>
    <t>06:062:2:4:6</t>
  </si>
  <si>
    <t>06:040:2:4:5</t>
  </si>
  <si>
    <t>07:033:2:3:6</t>
  </si>
  <si>
    <t>07:031:2:3:6</t>
  </si>
  <si>
    <t>07:019:2:4:6</t>
  </si>
  <si>
    <t>07:032:2:3:6</t>
  </si>
  <si>
    <t>07:023:2:4:6</t>
  </si>
  <si>
    <t>07:010:2:5:6</t>
  </si>
  <si>
    <t>07:036:2:3:6</t>
  </si>
  <si>
    <t>07:027:2:3:6</t>
  </si>
  <si>
    <t>07:001:2:3:6</t>
  </si>
  <si>
    <t>07:034:2:3:6</t>
  </si>
  <si>
    <t>07:002:1:2:4</t>
  </si>
  <si>
    <t>07:005:2:4:6</t>
  </si>
  <si>
    <t>07:012:2:5:6</t>
  </si>
  <si>
    <t>07:041:2:5:6</t>
  </si>
  <si>
    <t>07:028:2:3:6</t>
  </si>
  <si>
    <t>07:026:2:4:6</t>
  </si>
  <si>
    <t>07:004:2:4:6</t>
  </si>
  <si>
    <t>07:021:2:4:6</t>
  </si>
  <si>
    <t>07:020:2:4:6</t>
  </si>
  <si>
    <t>07:018:2:3:6</t>
  </si>
  <si>
    <t>07:025:2:3:6</t>
  </si>
  <si>
    <t>07:039:2:4:6</t>
  </si>
  <si>
    <t>07:011:2:5:6</t>
  </si>
  <si>
    <t>07:035:2:3:6</t>
  </si>
  <si>
    <t>16:011:2:4:5</t>
  </si>
  <si>
    <t>16:021:2:4:6</t>
  </si>
  <si>
    <t>16:036:2:4:5</t>
  </si>
  <si>
    <t>16:005:1:1:4</t>
  </si>
  <si>
    <t>16:003:2:4:5</t>
  </si>
  <si>
    <t>16:015:2:4:6</t>
  </si>
  <si>
    <t>16:035:2:4:5</t>
  </si>
  <si>
    <t>16:002:2:4:5</t>
  </si>
  <si>
    <t>16:014:2:4:6</t>
  </si>
  <si>
    <t>16:009:2:4:6</t>
  </si>
  <si>
    <t>10:002:2:3:6</t>
  </si>
  <si>
    <t>10:004:1:1:4</t>
  </si>
  <si>
    <t>10:017:2:5:6</t>
  </si>
  <si>
    <t>10:013:2:5:6</t>
  </si>
  <si>
    <t>22:037:2:3:5</t>
  </si>
  <si>
    <t>22:017:2:3:6</t>
  </si>
  <si>
    <t>22:007:1:1:4</t>
  </si>
  <si>
    <t>22:024:2:4:6</t>
  </si>
  <si>
    <t>22:042:2:4:6</t>
  </si>
  <si>
    <t>22:020:2:4:6</t>
  </si>
  <si>
    <t>22:011:2:4:6</t>
  </si>
  <si>
    <t>22:019:2:3:6</t>
  </si>
  <si>
    <t>22:038:2:4:6</t>
  </si>
  <si>
    <t>22:036:2:4:6</t>
  </si>
  <si>
    <t>12:006:1:2:4</t>
  </si>
  <si>
    <t>39:076:2:5:6</t>
  </si>
  <si>
    <t>39:088:2:5:6</t>
  </si>
  <si>
    <t>39:028:2:5:5</t>
  </si>
  <si>
    <t>39:091:2:4:6</t>
  </si>
  <si>
    <t>39:031:2:3:5</t>
  </si>
  <si>
    <t>39:036:2:4:5</t>
  </si>
  <si>
    <t>39:032:2:4:6</t>
  </si>
  <si>
    <t>39:024:2:4:6</t>
  </si>
  <si>
    <t>40:004:2:5:6</t>
  </si>
  <si>
    <t>40:064:2:5:6</t>
  </si>
  <si>
    <t>40:015:2:4:5</t>
  </si>
  <si>
    <t>40:032:2:5:6</t>
  </si>
  <si>
    <t>40:049:2:5:6</t>
  </si>
  <si>
    <t>40:014:2:4:5</t>
  </si>
  <si>
    <t>40:061:2:4:6</t>
  </si>
  <si>
    <t>40:003:2:5:6</t>
  </si>
  <si>
    <t>40:040:2:4:5</t>
  </si>
  <si>
    <t>40:037:2:3:6</t>
  </si>
  <si>
    <t>40:059:2:5:6</t>
  </si>
  <si>
    <t>40:041:2:4:5</t>
  </si>
  <si>
    <t>40:027:2:5:6</t>
  </si>
  <si>
    <t>40:055:2:4:5</t>
  </si>
  <si>
    <t>40:007:2:4:6</t>
  </si>
  <si>
    <t>40:052:2:4:5</t>
  </si>
  <si>
    <t>40:025:2:3:6</t>
  </si>
  <si>
    <t>40:065:2:5:6</t>
  </si>
  <si>
    <t>40:029:2:4:5</t>
  </si>
  <si>
    <t>40:013:2:4:6</t>
  </si>
  <si>
    <t>40:057:2:4:6</t>
  </si>
  <si>
    <t>40:053:2:5:6</t>
  </si>
  <si>
    <t>40:005:2:5:6</t>
  </si>
  <si>
    <t>40:044:2:4:5</t>
  </si>
  <si>
    <t>40:066:2:4:6</t>
  </si>
  <si>
    <t>40:008:2:5:6</t>
  </si>
  <si>
    <t>40:030:1:2:4</t>
  </si>
  <si>
    <t>40:054:2:3:6</t>
  </si>
  <si>
    <t>40:001:2:4:6</t>
  </si>
  <si>
    <t>40:033:2:4:5</t>
  </si>
  <si>
    <t>40:039:2:4:6</t>
  </si>
  <si>
    <t>40:046:2:3:6</t>
  </si>
  <si>
    <t>40:034:2:3:6</t>
  </si>
  <si>
    <t>40:036:2:4:6</t>
  </si>
  <si>
    <t>40:051:2:3:6</t>
  </si>
  <si>
    <t>53:029:2:4:6</t>
  </si>
  <si>
    <t>53:021:2:4:6</t>
  </si>
  <si>
    <t>53:019:2:4:6</t>
  </si>
  <si>
    <t>53:031:2:4:6</t>
  </si>
  <si>
    <t>53:012:2:4:6</t>
  </si>
  <si>
    <t>53:010:2:3:6</t>
  </si>
  <si>
    <t>53:041:2:3:6</t>
  </si>
  <si>
    <t>53:039:2:4:6</t>
  </si>
  <si>
    <t>53:017:2:4:6</t>
  </si>
  <si>
    <t>53:050:2:5:6</t>
  </si>
  <si>
    <t>53:003:2:5:6</t>
  </si>
  <si>
    <t>53:037:2:4:6</t>
  </si>
  <si>
    <t>53:049:2:4:6</t>
  </si>
  <si>
    <t>54:026:2:4:5</t>
  </si>
  <si>
    <t>54:048:2:3:5</t>
  </si>
  <si>
    <t>54:034:1:2:4</t>
  </si>
  <si>
    <t>54:043:2:4:6</t>
  </si>
  <si>
    <t>54:005:2:5:5</t>
  </si>
  <si>
    <t>55:005:2:3:6</t>
  </si>
  <si>
    <t>55:019:2:5:6</t>
  </si>
  <si>
    <t>55:004:2:4:6</t>
  </si>
  <si>
    <t>55:035:2:3:6</t>
  </si>
  <si>
    <t>55:026:2:3:6</t>
  </si>
  <si>
    <t>55:013:2:4:6</t>
  </si>
  <si>
    <t>55:012:2:4:6</t>
  </si>
  <si>
    <t>55:037:2:4:6</t>
  </si>
  <si>
    <t>55:033:2:4:6</t>
  </si>
  <si>
    <t>55:015:2:4:6</t>
  </si>
  <si>
    <t>55:036:2:4:6</t>
  </si>
  <si>
    <t>55:002:2:4:6</t>
  </si>
  <si>
    <t>55:030:2:3:6</t>
  </si>
  <si>
    <t>55:011:2:3:6</t>
  </si>
  <si>
    <t>55:029:2:4:6</t>
  </si>
  <si>
    <t>55:003:2:3:6</t>
  </si>
  <si>
    <t>56:011:2:3:6</t>
  </si>
  <si>
    <t>56:010:2:4:6</t>
  </si>
  <si>
    <t>56:031:2:5:6</t>
  </si>
  <si>
    <t>56:006:2:5:6</t>
  </si>
  <si>
    <t>56:020:2:4:6</t>
  </si>
  <si>
    <t>56:024:2:4:6</t>
  </si>
  <si>
    <t>56:008:1:2:4</t>
  </si>
  <si>
    <t>56:003:1:2:4</t>
  </si>
  <si>
    <t>56:021:1:1:4</t>
  </si>
  <si>
    <t>56:007:1:2:4</t>
  </si>
  <si>
    <t>56:036:2:5:6</t>
  </si>
  <si>
    <t>56:035:2:5:6</t>
  </si>
  <si>
    <t>56:018:1:1:4</t>
  </si>
  <si>
    <t>56:001:2:4:6</t>
  </si>
  <si>
    <t>56:019:2:3:6</t>
  </si>
  <si>
    <t>56:025:2:5:6</t>
  </si>
  <si>
    <t>56:014:2:3:6</t>
  </si>
  <si>
    <t>56:038:2:4:6</t>
  </si>
  <si>
    <t>56:032:2:4:6</t>
  </si>
  <si>
    <t>57:010:2:3:6</t>
  </si>
  <si>
    <t>57:009:2:3:6</t>
  </si>
  <si>
    <t>57:019:2:3:6</t>
  </si>
  <si>
    <t>57:006:2:3:6</t>
  </si>
  <si>
    <t>57:016:2:5:6</t>
  </si>
  <si>
    <t>57:017:2:3:6</t>
  </si>
  <si>
    <t>57:015:1:1:4</t>
  </si>
  <si>
    <t>57:002:2:3:6</t>
  </si>
  <si>
    <t>57:003:2:5:6</t>
  </si>
  <si>
    <t>58:007:2:3:5</t>
  </si>
  <si>
    <t>58:011:1:1:4</t>
  </si>
  <si>
    <t>14:016:2:4:6</t>
  </si>
  <si>
    <t>13:049:2:3:6</t>
  </si>
  <si>
    <t>13:057:2:3:6</t>
  </si>
  <si>
    <t>14:005:2:3:6</t>
  </si>
  <si>
    <t>13:012:2:3:6</t>
  </si>
  <si>
    <t>14:020:2:3:6</t>
  </si>
  <si>
    <t>13:042:2:4:6</t>
  </si>
  <si>
    <t>13:017:2:3:6</t>
  </si>
  <si>
    <t>13:034:2:4:6</t>
  </si>
  <si>
    <t>13:058:2:4:6</t>
  </si>
  <si>
    <t>13:037:2:3:6</t>
  </si>
  <si>
    <t>13:040:2:3:6</t>
  </si>
  <si>
    <t>13:022:2:4:6</t>
  </si>
  <si>
    <t>13:008:2:4:6</t>
  </si>
  <si>
    <t>13:041:2:4:6</t>
  </si>
  <si>
    <t>13:033:2:4:6</t>
  </si>
  <si>
    <t>13:004:2:4:6</t>
  </si>
  <si>
    <t>13:060:2:4:6</t>
  </si>
  <si>
    <t>13:038:2:4:6</t>
  </si>
  <si>
    <t>13:009:2:4:6</t>
  </si>
  <si>
    <t>13:019:2:4:6</t>
  </si>
  <si>
    <t>61:021:1:2:4</t>
  </si>
  <si>
    <t>33:007:2:4:6</t>
  </si>
  <si>
    <t>33:005:2:4:6</t>
  </si>
  <si>
    <t>33:003:2:3:6</t>
  </si>
  <si>
    <t>62:024:1:1:4</t>
  </si>
  <si>
    <t>33:001:2:3:6</t>
  </si>
  <si>
    <t>62:001:2:4:6</t>
  </si>
  <si>
    <t>62:031:2:4:5</t>
  </si>
  <si>
    <t>62:003:2:4:5</t>
  </si>
  <si>
    <t>62:016:2:4:5</t>
  </si>
  <si>
    <t>62:021:2:4:6</t>
  </si>
  <si>
    <t>64:007:2:3:6</t>
  </si>
  <si>
    <t>64:010:2:3:5</t>
  </si>
  <si>
    <t>66:018:1:2:4</t>
  </si>
  <si>
    <t>65:036:2:5:6</t>
  </si>
  <si>
    <t>65:038:2:4:6</t>
  </si>
  <si>
    <t>65:045:2:4:6</t>
  </si>
  <si>
    <t>65:030:2:4:6</t>
  </si>
  <si>
    <t>65:042:2:4:6</t>
  </si>
  <si>
    <t>65:040:2:4:6</t>
  </si>
  <si>
    <t>65:020:2:4:6</t>
  </si>
  <si>
    <t>65:043:2:4:6</t>
  </si>
  <si>
    <t>65:023:2:4:6</t>
  </si>
  <si>
    <t>67:007:2:3:5</t>
  </si>
  <si>
    <t>67:027:2:4:5</t>
  </si>
  <si>
    <t>67:008:2:4:5</t>
  </si>
  <si>
    <t>67:022:2:5:6</t>
  </si>
  <si>
    <t>67:025:2:3:5</t>
  </si>
  <si>
    <t>67:034:2:4:6</t>
  </si>
  <si>
    <t>67:013:2:3:5</t>
  </si>
  <si>
    <t>67:014:2:4:6</t>
  </si>
  <si>
    <t>67:016:2:4:5</t>
  </si>
  <si>
    <t>67:015:2:3:6</t>
  </si>
  <si>
    <t>67:004:2:3:6</t>
  </si>
  <si>
    <t>67:010:2:3:5</t>
  </si>
  <si>
    <t>67:030:2:3:6</t>
  </si>
  <si>
    <t>67:001:2:4:6</t>
  </si>
  <si>
    <t>67:039:2:4:6</t>
  </si>
  <si>
    <t>67:002:2:4:6</t>
  </si>
  <si>
    <t>67:040:2:4:6</t>
  </si>
  <si>
    <t>67:038:2:4:6</t>
  </si>
  <si>
    <t>67:023:2:4:5</t>
  </si>
  <si>
    <t>67:009:2:5:6</t>
  </si>
  <si>
    <t>67:024:2:4:6</t>
  </si>
  <si>
    <t>68:015:2:3:6</t>
  </si>
  <si>
    <t>68:021:2:4:5</t>
  </si>
  <si>
    <t>68:012:2:5:6</t>
  </si>
  <si>
    <t>69:028:2:5:6</t>
  </si>
  <si>
    <t>69:001:2:3:5</t>
  </si>
  <si>
    <t>69:009:2:5:6</t>
  </si>
  <si>
    <t>49:025:2:3:5</t>
  </si>
  <si>
    <t>39:039:2:4:6</t>
  </si>
  <si>
    <t>40:047:2:4:6</t>
  </si>
  <si>
    <t>70:070:2:3:5</t>
  </si>
  <si>
    <t>70:086:2:3:5</t>
  </si>
  <si>
    <t>70:082:1:1:4</t>
  </si>
  <si>
    <t>70:045:2:3:6</t>
  </si>
  <si>
    <t>70:047:2:3:6</t>
  </si>
  <si>
    <t>70:014:2:4:5</t>
  </si>
  <si>
    <t>70:040:2:4:6</t>
  </si>
  <si>
    <t>70:026:2:4:6</t>
  </si>
  <si>
    <t>70:020:2:5:6</t>
  </si>
  <si>
    <t>70:003:2:4:6</t>
  </si>
  <si>
    <t>70:078:2:4:6</t>
  </si>
  <si>
    <t>71:016:2:4:6</t>
  </si>
  <si>
    <t>71:039:2:4:6</t>
  </si>
  <si>
    <t>71:051:2:5:6</t>
  </si>
  <si>
    <t>71:050:2:5:6</t>
  </si>
  <si>
    <t>71:005:2:4:5</t>
  </si>
  <si>
    <t>71:049:2:3:5</t>
  </si>
  <si>
    <t>71:033:2:4:6</t>
  </si>
  <si>
    <t>71:019:2:3:6</t>
  </si>
  <si>
    <t>71:007:2:5:6</t>
  </si>
  <si>
    <t>71:041:2:3:6</t>
  </si>
  <si>
    <t>71:040:1:2:4</t>
  </si>
  <si>
    <t>71:052:2:4:6</t>
  </si>
  <si>
    <t>71:023:2:3:5</t>
  </si>
  <si>
    <t>71:022:2:5:6</t>
  </si>
  <si>
    <t>62:014:2:4:6</t>
  </si>
  <si>
    <t>62:009:2:4:5</t>
  </si>
  <si>
    <t>69:010:2:4:6</t>
  </si>
  <si>
    <t>70:021:2:4:6</t>
  </si>
  <si>
    <t>71:014:2:3:5</t>
  </si>
  <si>
    <t>71:012:2:3:5</t>
  </si>
  <si>
    <t>72:025:2:4:6</t>
  </si>
  <si>
    <t>72:003:2:4:6</t>
  </si>
  <si>
    <t>72:055:2:3:6</t>
  </si>
  <si>
    <t>72:063:2:4:6</t>
  </si>
  <si>
    <t>72:053:2:4:6</t>
  </si>
  <si>
    <t>72:012:2:4:6</t>
  </si>
  <si>
    <t>72:049:1:1:4</t>
  </si>
  <si>
    <t>72:026:2:4:6</t>
  </si>
  <si>
    <t>72:021:2:4:6</t>
  </si>
  <si>
    <t>72:009:2:4:6</t>
  </si>
  <si>
    <t>72:027:2:4:6</t>
  </si>
  <si>
    <t>73:026:2:4:6</t>
  </si>
  <si>
    <t>73:035:1:2:4</t>
  </si>
  <si>
    <t>73:023:2:3:6</t>
  </si>
  <si>
    <t>73:028:2:3:5</t>
  </si>
  <si>
    <t>73:027:2:3:6</t>
  </si>
  <si>
    <t>73:001:2:3:6</t>
  </si>
  <si>
    <t>50:004:2:3:5</t>
  </si>
  <si>
    <t>50:010:2:3:5</t>
  </si>
  <si>
    <t>50:002:2:3:5</t>
  </si>
  <si>
    <t>50:005:2:3:6</t>
  </si>
  <si>
    <t>01:001:1:1:4</t>
  </si>
  <si>
    <t>08:002:1:1:3</t>
  </si>
  <si>
    <t>08:008:2:3:5</t>
  </si>
  <si>
    <t>08:005:2:3:5</t>
  </si>
  <si>
    <t>08:010:2:3:5</t>
  </si>
  <si>
    <t>08:012:2:3:6</t>
  </si>
  <si>
    <t>08:018:2:3:5</t>
  </si>
  <si>
    <t>08:017:2:3:6</t>
  </si>
  <si>
    <t>08:015:2:3:6</t>
  </si>
  <si>
    <t>20:003:1:1:3</t>
  </si>
  <si>
    <t>20:017:2:3:6</t>
  </si>
  <si>
    <t>20:018:2:3:6</t>
  </si>
  <si>
    <t>20:011:2:3:6</t>
  </si>
  <si>
    <t>20:015:2:4:6</t>
  </si>
  <si>
    <t>20:013:2:3:6</t>
  </si>
  <si>
    <t>20:016:2:3:6</t>
  </si>
  <si>
    <t>20:019:2:3:6</t>
  </si>
  <si>
    <t>20:012:2:3:6</t>
  </si>
  <si>
    <t>20:009:2:3:6</t>
  </si>
  <si>
    <t>20:005:2:3:6</t>
  </si>
  <si>
    <t>20:022:2:3:6</t>
  </si>
  <si>
    <t>20:023:2:3:6</t>
  </si>
  <si>
    <t>20:025:2:3:6</t>
  </si>
  <si>
    <t>20:001:2:4:6</t>
  </si>
  <si>
    <t>20:007:2:3:6</t>
  </si>
  <si>
    <t>20:008:2:3:6</t>
  </si>
  <si>
    <t>08:004:2:3:5</t>
  </si>
  <si>
    <t>19:002:1:1:4</t>
  </si>
  <si>
    <t>19:003:2:3:6</t>
  </si>
  <si>
    <t>19:001:2:3:6</t>
  </si>
  <si>
    <t>21:001:1:1:4</t>
  </si>
  <si>
    <t>11:001:1:1:4</t>
  </si>
  <si>
    <t>23:003:1:1:4</t>
  </si>
  <si>
    <t>70:095:2:4:6</t>
  </si>
  <si>
    <t>24:001:2:5:6</t>
  </si>
  <si>
    <t>24:002:2:5:6</t>
  </si>
  <si>
    <t>24:005:2:4:5</t>
  </si>
  <si>
    <t>38:017:2:3:6</t>
  </si>
  <si>
    <t>38:007:1:1:4</t>
  </si>
  <si>
    <t>38:023:2:3:6</t>
  </si>
  <si>
    <t>51:001:1:1:4</t>
  </si>
  <si>
    <t>52:001:1:1:2</t>
  </si>
  <si>
    <t>городские населенные пункты с численностью населения больше 100 000 человек;</t>
  </si>
  <si>
    <t>41:001:1:1:4</t>
  </si>
  <si>
    <t>26:004:1:1:4</t>
  </si>
  <si>
    <t>26:002:2:3:6</t>
  </si>
  <si>
    <t>42:001:2:3:6</t>
  </si>
  <si>
    <t>42:003:1:1:4</t>
  </si>
  <si>
    <t>42:002:2:3:6</t>
  </si>
  <si>
    <t>43:004:2:3:6</t>
  </si>
  <si>
    <t>43:002:2:3:6</t>
  </si>
  <si>
    <t>43:003:1:1:4</t>
  </si>
  <si>
    <t>43:008:2:3:6</t>
  </si>
  <si>
    <t>27:005:2:3:6</t>
  </si>
  <si>
    <t>27:003:2:3:6</t>
  </si>
  <si>
    <t>27:002:1:1:3</t>
  </si>
  <si>
    <t>27:004:2:3:6</t>
  </si>
  <si>
    <t>28:006:1:1:4</t>
  </si>
  <si>
    <t>29:002:1:1:4</t>
  </si>
  <si>
    <t>44:001:2:3:6</t>
  </si>
  <si>
    <t>44:002:2:3:5</t>
  </si>
  <si>
    <t>15:003:1:1:4</t>
  </si>
  <si>
    <t>15:004:2:3:6</t>
  </si>
  <si>
    <t>15:005:2:3:5</t>
  </si>
  <si>
    <t>15:001:2:3:6</t>
  </si>
  <si>
    <t>30:004:1:1:4</t>
  </si>
  <si>
    <t>30:001:2:4:6</t>
  </si>
  <si>
    <t>14:014:1:1:2</t>
  </si>
  <si>
    <t>30:003:2:4:6</t>
  </si>
  <si>
    <t>59:003:1:1:3</t>
  </si>
  <si>
    <t>59:002:2:3:6</t>
  </si>
  <si>
    <t>59:006:2:4:5</t>
  </si>
  <si>
    <t>59:001:2:5:6</t>
  </si>
  <si>
    <t>32:019:1:1:2</t>
  </si>
  <si>
    <t>32:015:2:4:6</t>
  </si>
  <si>
    <t>32:007:2:5:6</t>
  </si>
  <si>
    <t>32:012:2:3:6</t>
  </si>
  <si>
    <t>32:023:2:4:6</t>
  </si>
  <si>
    <t>32:021:2:3:6</t>
  </si>
  <si>
    <t>32:010:2:3:6</t>
  </si>
  <si>
    <t>32:018:2:3:6</t>
  </si>
  <si>
    <t>32:011:2:5:6</t>
  </si>
  <si>
    <t>32:001:2:3:6</t>
  </si>
  <si>
    <t>32:009:2:5:6</t>
  </si>
  <si>
    <t>32:003:2:3:6</t>
  </si>
  <si>
    <t>32:005:2:5:6</t>
  </si>
  <si>
    <t>32:002:2:4:6</t>
  </si>
  <si>
    <t>69:021:2:4:6</t>
  </si>
  <si>
    <t>32:017:2:4:6</t>
  </si>
  <si>
    <t>32:028:2:3:6</t>
  </si>
  <si>
    <t>32:024:2:5:6</t>
  </si>
  <si>
    <t>60:012:1:1:3</t>
  </si>
  <si>
    <t>60:007:2:3:6</t>
  </si>
  <si>
    <t>60:009:2:4:6</t>
  </si>
  <si>
    <t>60:003:2:3:6</t>
  </si>
  <si>
    <t>60:006:2:4:6</t>
  </si>
  <si>
    <t>60:014:2:3:6</t>
  </si>
  <si>
    <t>60:011:2:4:6</t>
  </si>
  <si>
    <t>60:005:2:3:6</t>
  </si>
  <si>
    <t>63:009:2:3:5</t>
  </si>
  <si>
    <t>63:004:2:3:5</t>
  </si>
  <si>
    <t>63:008:2:3:5</t>
  </si>
  <si>
    <t>63:001:2:3:6</t>
  </si>
  <si>
    <t>63:005:2:3:5</t>
  </si>
  <si>
    <t>63:006:1:1:4</t>
  </si>
  <si>
    <t>63:002:2:3:6</t>
  </si>
  <si>
    <t>64:031:1:1:3</t>
  </si>
  <si>
    <t>35:004:1:1:4</t>
  </si>
  <si>
    <t>35:003:2:5:6</t>
  </si>
  <si>
    <t>35:002:2:5:6</t>
  </si>
  <si>
    <t>37:021:1:1:4</t>
  </si>
  <si>
    <t>37:001:2:3:5</t>
  </si>
  <si>
    <t>37:018:2:4:5</t>
  </si>
  <si>
    <t>37:007:2:4:5</t>
  </si>
  <si>
    <t>37:026:2:5:6</t>
  </si>
  <si>
    <t>37:016:2:4:5</t>
  </si>
  <si>
    <t>37:024:2:4:5</t>
  </si>
  <si>
    <t>09:001:1:2:4</t>
  </si>
  <si>
    <t>09:002:2:4:6</t>
  </si>
  <si>
    <t>17:001:1:2:4</t>
  </si>
  <si>
    <t>45:002:1:2:4</t>
  </si>
  <si>
    <t>45:001:2:3:5</t>
  </si>
  <si>
    <t>34:001:1:2:4</t>
  </si>
  <si>
    <t>36:003:1:2:4</t>
  </si>
  <si>
    <t>48:001:1:2:4</t>
  </si>
  <si>
    <t>71:037:2:5:6</t>
  </si>
  <si>
    <t>71:003:2:5:6</t>
  </si>
  <si>
    <t>55:007:2:5:6</t>
  </si>
  <si>
    <t>73:006:2:5:5</t>
  </si>
  <si>
    <t>73:036:2:3:5</t>
  </si>
  <si>
    <t>13:013:1:2:4</t>
  </si>
  <si>
    <t>13:024:2:4:6</t>
  </si>
  <si>
    <t>73:008:2:3:6</t>
  </si>
  <si>
    <t>73:012:2:3:5</t>
  </si>
  <si>
    <t>73:013:2:5:6</t>
  </si>
  <si>
    <t>73:014:2:5:6</t>
  </si>
  <si>
    <t>73:016:2:4:6</t>
  </si>
  <si>
    <t>73:018:2:5:6</t>
  </si>
  <si>
    <t>60:008:2:4:6</t>
  </si>
  <si>
    <t>73:025:2:4:6</t>
  </si>
  <si>
    <t>16:030:2:5:6</t>
  </si>
  <si>
    <t>02:001:1:1:4</t>
  </si>
  <si>
    <t>40:006:2:5:6</t>
  </si>
  <si>
    <t>73:003:2:3:5</t>
  </si>
  <si>
    <t>73:029:2:5:6</t>
  </si>
  <si>
    <t>18:001:1:2:4</t>
  </si>
  <si>
    <t>73:031:2:4:5</t>
  </si>
  <si>
    <t>73:034:2:4:6</t>
  </si>
  <si>
    <t>40:019:2:4:5</t>
  </si>
  <si>
    <t>06:043:2:5:6</t>
  </si>
  <si>
    <t>06:030:2:4:6</t>
  </si>
  <si>
    <t>61:018:2:4:6</t>
  </si>
  <si>
    <t>61:042:2:5:6</t>
  </si>
  <si>
    <t>07:014:2:4:6</t>
  </si>
  <si>
    <t>23:004:2:3:6</t>
  </si>
  <si>
    <t>65:014:2:5:6</t>
  </si>
  <si>
    <t>65:009:2:5:6</t>
  </si>
  <si>
    <t>65:019:2:5:6</t>
  </si>
  <si>
    <t>65:016:2:5:6</t>
  </si>
  <si>
    <t>67:011:2:3:6</t>
  </si>
  <si>
    <t>67:037:2:3:6</t>
  </si>
  <si>
    <t>67:012:2:3:6</t>
  </si>
  <si>
    <t>00:039:0:0:0</t>
  </si>
  <si>
    <t>67:000:0:0:0</t>
  </si>
  <si>
    <t>68:009:2:5:6</t>
  </si>
  <si>
    <t>68:001:2:5:6</t>
  </si>
  <si>
    <t>68:029:2:5:6</t>
  </si>
  <si>
    <t>68:024:2:5:6</t>
  </si>
  <si>
    <t>00:040:0:0:0</t>
  </si>
  <si>
    <t>68:002:2:5:6</t>
  </si>
  <si>
    <t>68:031:2:3:6</t>
  </si>
  <si>
    <t>68:020:2:3:6</t>
  </si>
  <si>
    <t>68:005:2:5:6</t>
  </si>
  <si>
    <t>69:016:2:3:6</t>
  </si>
  <si>
    <t>69:036:2:5:6</t>
  </si>
  <si>
    <t>69:031:2:3:6</t>
  </si>
  <si>
    <t>69:038:2:3:6</t>
  </si>
  <si>
    <t>69:045:2:3:6</t>
  </si>
  <si>
    <t>69:040:2:5:6</t>
  </si>
  <si>
    <t>69:043:2:3:6</t>
  </si>
  <si>
    <t>69:039:2:5:6</t>
  </si>
  <si>
    <t>69:017:2:5:6</t>
  </si>
  <si>
    <t>69:044:2:5:6</t>
  </si>
  <si>
    <t>69:023:2:3:6</t>
  </si>
  <si>
    <t>69:022:2:4:6</t>
  </si>
  <si>
    <t>69:002:2:5:6</t>
  </si>
  <si>
    <t>69:032:2:5:6</t>
  </si>
  <si>
    <t>69:007:2:5:6</t>
  </si>
  <si>
    <t>70:051:2:5:6</t>
  </si>
  <si>
    <t>70:094:2:5:6</t>
  </si>
  <si>
    <t>70:017:2:5:6</t>
  </si>
  <si>
    <t>70:032:2:5:6</t>
  </si>
  <si>
    <t>70:008:2:5:6</t>
  </si>
  <si>
    <t>70:089:2:5:6</t>
  </si>
  <si>
    <t>70:067:2:5:6</t>
  </si>
  <si>
    <t>70:053:2:5:6</t>
  </si>
  <si>
    <t>70:005:2:5:6</t>
  </si>
  <si>
    <t>70:062:2:5:6</t>
  </si>
  <si>
    <t>70:087:2:4:6</t>
  </si>
  <si>
    <t>70:019:2:5:6</t>
  </si>
  <si>
    <t>70:093:2:3:6</t>
  </si>
  <si>
    <t>70:063:2:3:6</t>
  </si>
  <si>
    <t>70:073:2:5:6</t>
  </si>
  <si>
    <t>70:071:2:5:6</t>
  </si>
  <si>
    <t>70:028:2:5:6</t>
  </si>
  <si>
    <t>70:016:2:5:6</t>
  </si>
  <si>
    <t>70:079:2:3:6</t>
  </si>
  <si>
    <t>70:052:2:5:6</t>
  </si>
  <si>
    <t>70:034:2:5:6</t>
  </si>
  <si>
    <t>70:036:2:5:6</t>
  </si>
  <si>
    <t>70:031:2:4:6</t>
  </si>
  <si>
    <t>70:061:2:3:6</t>
  </si>
  <si>
    <t>70:076:2:5:6</t>
  </si>
  <si>
    <t>70:050:2:3:6</t>
  </si>
  <si>
    <t>70:022:2:5:6</t>
  </si>
  <si>
    <t>71:044:2:4:6</t>
  </si>
  <si>
    <t>71:035:2:5:6</t>
  </si>
  <si>
    <t>71:002:2:3:6</t>
  </si>
  <si>
    <t>71:008:2:5:6</t>
  </si>
  <si>
    <t>71:046:2:5:6</t>
  </si>
  <si>
    <t>71:038:2:5:6</t>
  </si>
  <si>
    <t>71:024:2:4:6</t>
  </si>
  <si>
    <t>71:028:2:5:6</t>
  </si>
  <si>
    <t>71:030:2:5:6</t>
  </si>
  <si>
    <t>71:048:2:3:6</t>
  </si>
  <si>
    <t>71:042:2:5:6</t>
  </si>
  <si>
    <t>71:043:2:5:6</t>
  </si>
  <si>
    <t>71:001:2:5:6</t>
  </si>
  <si>
    <t>71:004:2:5:6</t>
  </si>
  <si>
    <t>71:032:2:5:6</t>
  </si>
  <si>
    <t>72:010:2:5:6</t>
  </si>
  <si>
    <t>72:035:2:5:6</t>
  </si>
  <si>
    <t>72:044:2:5:6</t>
  </si>
  <si>
    <t>72:008:2:5:6</t>
  </si>
  <si>
    <t>72:048:2:5:6</t>
  </si>
  <si>
    <t>72:015:2:4:6</t>
  </si>
  <si>
    <t>72:022:2:5:6</t>
  </si>
  <si>
    <t>72:042:2:5:6</t>
  </si>
  <si>
    <t>72:054:2:5:6</t>
  </si>
  <si>
    <t>73:038:2:3:6</t>
  </si>
  <si>
    <t>73:007:2:5:6</t>
  </si>
  <si>
    <t>73:020:2:5:6</t>
  </si>
  <si>
    <t>73:002:2:5:6</t>
  </si>
  <si>
    <t>08:011:2:3:6</t>
  </si>
  <si>
    <t>08:007:2:3:6</t>
  </si>
  <si>
    <t>08:013:2:3:6</t>
  </si>
  <si>
    <t>20:010:2:3:6</t>
  </si>
  <si>
    <t>20:021:2:3:6</t>
  </si>
  <si>
    <t>20:002:2:3:6</t>
  </si>
  <si>
    <t>11:003:2:5:6</t>
  </si>
  <si>
    <t>11:000:0:0:0</t>
  </si>
  <si>
    <t>38:024:2:3:6</t>
  </si>
  <si>
    <t>38:022:2:3:6</t>
  </si>
  <si>
    <t>38:003:2:3:6</t>
  </si>
  <si>
    <t>38:002:2:3:6</t>
  </si>
  <si>
    <t>38:001:2:3:6</t>
  </si>
  <si>
    <t>00:041:0:0:0</t>
  </si>
  <si>
    <t>38:020:2:3:6</t>
  </si>
  <si>
    <t>38:016:2:3:6</t>
  </si>
  <si>
    <t>38:027:2:3:6</t>
  </si>
  <si>
    <t>38:019:2:3:6</t>
  </si>
  <si>
    <t>38:009:2:3:6</t>
  </si>
  <si>
    <t>38:028:2:3:6</t>
  </si>
  <si>
    <t>38:011:2:3:6</t>
  </si>
  <si>
    <t>38:014:2:3:6</t>
  </si>
  <si>
    <t>38:008:2:3:6</t>
  </si>
  <si>
    <t>38:005:2:3:6</t>
  </si>
  <si>
    <t>26:001:2:3:6</t>
  </si>
  <si>
    <t>43:005:2:5:6</t>
  </si>
  <si>
    <t>43:007:2:3:6</t>
  </si>
  <si>
    <t>27:006:2:3:6</t>
  </si>
  <si>
    <t>28:004:2:3:6</t>
  </si>
  <si>
    <t>28:002:2:3:6</t>
  </si>
  <si>
    <t>44:012:2:3:6</t>
  </si>
  <si>
    <t>44:013:2:3:6</t>
  </si>
  <si>
    <t>44:008:2:5:6</t>
  </si>
  <si>
    <t>44:004:2:3:6</t>
  </si>
  <si>
    <t>44:010:2:3:6</t>
  </si>
  <si>
    <t>32:016:2:3:6</t>
  </si>
  <si>
    <t>32:014:2:3:6</t>
  </si>
  <si>
    <t>32:013:2:5:6</t>
  </si>
  <si>
    <t>32:027:2:5:6</t>
  </si>
  <si>
    <t>32:008:2:3:6</t>
  </si>
  <si>
    <t>32:030:2:3:6</t>
  </si>
  <si>
    <t>00:042:0:0:0</t>
  </si>
  <si>
    <t>32:000:0:0:0</t>
  </si>
  <si>
    <t>32:006:2:3:6</t>
  </si>
  <si>
    <t>32:004:2:3:6</t>
  </si>
  <si>
    <t>00:043:0:0:0</t>
  </si>
  <si>
    <t>64:000:0:0:0</t>
  </si>
  <si>
    <t>64:037:2:3:6</t>
  </si>
  <si>
    <t>64:035:2:3:6</t>
  </si>
  <si>
    <t>35:001:2:3:6</t>
  </si>
  <si>
    <t>37:008:2:3:6</t>
  </si>
  <si>
    <t>09:005:2:3:6</t>
  </si>
  <si>
    <t>09:004:2:3:6</t>
  </si>
  <si>
    <t>09:003:2:3:6</t>
  </si>
  <si>
    <t>45:003:2:3:6</t>
  </si>
  <si>
    <t>31:004:2:3:6</t>
  </si>
  <si>
    <t>31:000:0:0:0</t>
  </si>
  <si>
    <t>31:003:2:3:6</t>
  </si>
  <si>
    <t>31:002:2:3:6</t>
  </si>
  <si>
    <t>36:004:2:3:6</t>
  </si>
  <si>
    <t>49:041:2:3:6</t>
  </si>
  <si>
    <t>02:014:2:4:6</t>
  </si>
  <si>
    <t>07:006:2:3:6</t>
  </si>
  <si>
    <t>07:013:2:3:6</t>
  </si>
  <si>
    <t>07:045:2:5:6</t>
  </si>
  <si>
    <t>07:017:2:3:6</t>
  </si>
  <si>
    <t>07:044:2:5:6</t>
  </si>
  <si>
    <t>07:008:2:5:6</t>
  </si>
  <si>
    <t>07:024:2:5:6</t>
  </si>
  <si>
    <t>07:040:2:5:6</t>
  </si>
  <si>
    <t>07:009:2:5:6</t>
  </si>
  <si>
    <t>22:022:2:3:6</t>
  </si>
  <si>
    <t>39:078:2:3:6</t>
  </si>
  <si>
    <t>40:023:2:5:6</t>
  </si>
  <si>
    <t>40:043:2:5:6</t>
  </si>
  <si>
    <t>40:038:2:5:6</t>
  </si>
  <si>
    <t>40:016:2:5:6</t>
  </si>
  <si>
    <t>40:021:2:5:6</t>
  </si>
  <si>
    <t>40:060:2:5:6</t>
  </si>
  <si>
    <t>40:062:2:5:6</t>
  </si>
  <si>
    <t>40:050:2:4:6</t>
  </si>
  <si>
    <t>40:022:2:5:6</t>
  </si>
  <si>
    <t>40:042:2:5:6</t>
  </si>
  <si>
    <t>53:036:2:5:6</t>
  </si>
  <si>
    <t>56:030:2:4:6</t>
  </si>
  <si>
    <t>56:002:2:4:6</t>
  </si>
  <si>
    <t>58:005:2:4:6</t>
  </si>
  <si>
    <t>13:043:2:5:6</t>
  </si>
  <si>
    <t>33:004:2:3:6</t>
  </si>
  <si>
    <t>67:028:2:3:5</t>
  </si>
  <si>
    <t>67:017:2:5:6</t>
  </si>
  <si>
    <t>67:019:2:5:6</t>
  </si>
  <si>
    <t>69:018:2:3:6</t>
  </si>
  <si>
    <t>73:004:2:3:6</t>
  </si>
  <si>
    <t>73:033:2:3:6</t>
  </si>
  <si>
    <t>08:006:2:3:6</t>
  </si>
  <si>
    <t>00:044:0:0:0</t>
  </si>
  <si>
    <t>20:006:2:3:6</t>
  </si>
  <si>
    <t>20:014:2:3:6</t>
  </si>
  <si>
    <t>38:015:2:3:6</t>
  </si>
  <si>
    <t>38:006:2:3:6</t>
  </si>
  <si>
    <t>38:021:2:3:6</t>
  </si>
  <si>
    <t>38:010:2:3:6</t>
  </si>
  <si>
    <t>27:001:2:3:6</t>
  </si>
  <si>
    <t>64:036:2:4:6</t>
  </si>
  <si>
    <t>45:004:2:3:6</t>
  </si>
  <si>
    <t>31:005:1:2:4</t>
  </si>
  <si>
    <t>31:001:2:3:6</t>
  </si>
  <si>
    <t>25:001:1:2:4</t>
  </si>
  <si>
    <t>36:002:2:5:6</t>
  </si>
  <si>
    <t>36:001:2:5:6</t>
  </si>
  <si>
    <t>13:007:2:3:6</t>
  </si>
  <si>
    <t>73:011:2:3:6</t>
  </si>
  <si>
    <t>73:015:2:5:6</t>
  </si>
  <si>
    <t>39:047:2:5:6</t>
  </si>
  <si>
    <t>40:024:2:3:6</t>
  </si>
  <si>
    <t>02:016:2:5:6</t>
  </si>
  <si>
    <t>53:034:2:5:6</t>
  </si>
  <si>
    <t>29:003:2:3:6</t>
  </si>
  <si>
    <t>40:045:2:5:6</t>
  </si>
  <si>
    <t>13:014:2:3:6</t>
  </si>
  <si>
    <t>60:001:2:3:6</t>
  </si>
  <si>
    <t>40:020:2:3:6</t>
  </si>
  <si>
    <t>38:026:2:3:6</t>
  </si>
  <si>
    <t>60:002:2:3:6</t>
  </si>
  <si>
    <t>13:032:2:3:6</t>
  </si>
  <si>
    <t>73:030:2:3:6</t>
  </si>
  <si>
    <t>22:005:2:5:6</t>
  </si>
  <si>
    <t>53:014:2:3:6</t>
  </si>
  <si>
    <t>07:003:2:3:6</t>
  </si>
  <si>
    <t>50:008:2:3:6</t>
  </si>
  <si>
    <t>03:014:2:5:6</t>
  </si>
  <si>
    <t>59:005:2:5:5</t>
  </si>
  <si>
    <t>59:004:2:5:6</t>
  </si>
  <si>
    <t>53:025:2:3:6</t>
  </si>
  <si>
    <t>55:006:2:3:6</t>
  </si>
  <si>
    <t>62:006:2:5:6</t>
  </si>
  <si>
    <t>53:002:2:3:6</t>
  </si>
  <si>
    <t>15:002:1:2:4</t>
  </si>
  <si>
    <t>15:006:2:3:4</t>
  </si>
  <si>
    <t>54:053:2:3:6</t>
  </si>
  <si>
    <t>54:049:2:3:6</t>
  </si>
  <si>
    <t>01:002:2:3:5</t>
  </si>
  <si>
    <t>01:003:2:3:5</t>
  </si>
  <si>
    <t>02:007:2:3:6</t>
  </si>
  <si>
    <t>10:019:2:3:6</t>
  </si>
  <si>
    <t>10:005:2:3:6</t>
  </si>
  <si>
    <t>12:023:2:5:6</t>
  </si>
  <si>
    <t>13:035:2:5:6</t>
  </si>
  <si>
    <t>13:010:2:5:6</t>
  </si>
  <si>
    <t>38:029:2:3:6</t>
  </si>
  <si>
    <t>39:041:2:5:6</t>
  </si>
  <si>
    <t>39:027:2:3:6</t>
  </si>
  <si>
    <t>46:005:2:5:6</t>
  </si>
  <si>
    <t>49:022:2:3:6</t>
  </si>
  <si>
    <t>49:014:2:5:6</t>
  </si>
  <si>
    <t>50:007:2:3:6</t>
  </si>
  <si>
    <t>54:016:2:5:6</t>
  </si>
  <si>
    <t>65:034:2:4:6</t>
  </si>
  <si>
    <t>65:033:2:4:6</t>
  </si>
  <si>
    <t>69:015:2:5:6</t>
  </si>
  <si>
    <t>71:029:2:3:6</t>
  </si>
  <si>
    <t>71:015:2:5:6</t>
  </si>
  <si>
    <t>72:061:2:5:6</t>
  </si>
  <si>
    <t>55:017:1:1:4</t>
  </si>
  <si>
    <t>05:043:2:5:6</t>
  </si>
  <si>
    <t>12:004:2:3:6</t>
  </si>
  <si>
    <t>14:010:2:3:6</t>
  </si>
  <si>
    <t>16:022:2:3:6</t>
  </si>
  <si>
    <t>16:012:2:6:6</t>
  </si>
  <si>
    <t>16:013:2:3:6</t>
  </si>
  <si>
    <t>22:039:2:5:6</t>
  </si>
  <si>
    <t>22:030:2:5:6</t>
  </si>
  <si>
    <t>22:021:2:5:6</t>
  </si>
  <si>
    <t>22:004:2:5:6</t>
  </si>
  <si>
    <t>32:022:2:3:6</t>
  </si>
  <si>
    <t>37:010:2:3:6</t>
  </si>
  <si>
    <t>39:072:2:5:6</t>
  </si>
  <si>
    <t>40:056:2:3:6</t>
  </si>
  <si>
    <t>40:018:2:3:6</t>
  </si>
  <si>
    <t>43:006:2:3:6</t>
  </si>
  <si>
    <t>43:001:2:3:6</t>
  </si>
  <si>
    <t>49:065:2:5:6</t>
  </si>
  <si>
    <t>49:063:2:3:6</t>
  </si>
  <si>
    <t>49:039:2:5:6</t>
  </si>
  <si>
    <t>49:002:2:3:6</t>
  </si>
  <si>
    <t>54:031:2:4:6</t>
  </si>
  <si>
    <t>55:022:2:3:6</t>
  </si>
  <si>
    <t>55:009:2:3:6</t>
  </si>
  <si>
    <t>55:000:0:0:0</t>
  </si>
  <si>
    <t>58:016:2:3:6</t>
  </si>
  <si>
    <t>60:013:2:5:6</t>
  </si>
  <si>
    <t>60:010:2:3:6</t>
  </si>
  <si>
    <t>62:027:2:3:6</t>
  </si>
  <si>
    <t>65:026:2:5:6</t>
  </si>
  <si>
    <t>65:010:2:5:6</t>
  </si>
  <si>
    <t>70:074:2:3:6</t>
  </si>
  <si>
    <t>73:021:2:5:6</t>
  </si>
  <si>
    <t>07:042:2:4:6</t>
  </si>
  <si>
    <t>40:031:2:5:6</t>
  </si>
  <si>
    <t>23:001:2:3:6</t>
  </si>
  <si>
    <t>05:004:2:4:6</t>
  </si>
  <si>
    <t>07:029:2:5:6</t>
  </si>
  <si>
    <t>07:016:2:4:6</t>
  </si>
  <si>
    <t>66:001:2:3:5</t>
  </si>
  <si>
    <t>44:007:1:1:4</t>
  </si>
  <si>
    <t>67:021:2:3:6</t>
  </si>
  <si>
    <t>40:063:2:5:6</t>
  </si>
  <si>
    <t>44:009:2:5:6</t>
  </si>
  <si>
    <t>44:003:2:5:6</t>
  </si>
  <si>
    <t>65:031:2:5:6</t>
  </si>
  <si>
    <t>50:001:1:1:4</t>
  </si>
  <si>
    <t>69:034:1:1:4</t>
  </si>
  <si>
    <t>24:003:1:1:4</t>
  </si>
  <si>
    <t>47:004:1:1:1</t>
  </si>
  <si>
    <t>город Екатеринбург;</t>
  </si>
  <si>
    <t>67:036:2:5:6</t>
  </si>
  <si>
    <t>67:032:2:5:6</t>
  </si>
  <si>
    <t>67:035:2:4:6</t>
  </si>
  <si>
    <t>67:005:2:3:5</t>
  </si>
  <si>
    <t>67:031:1:1:4</t>
  </si>
  <si>
    <t>23:000:0:0:0</t>
  </si>
  <si>
    <t>45:000:0:0:0</t>
  </si>
  <si>
    <t>41:000:0:0:0</t>
  </si>
  <si>
    <t>29:000:0:0:0</t>
  </si>
  <si>
    <t>35:000:0:0:0</t>
  </si>
  <si>
    <t>02:000:0:0:0</t>
  </si>
  <si>
    <t>43:000:0:0:0</t>
  </si>
  <si>
    <t>22:000:0:0:0</t>
  </si>
  <si>
    <t>51:000:0:0:0</t>
  </si>
  <si>
    <t>21:000:0:0:0</t>
  </si>
  <si>
    <t>03:000:0:0:0</t>
  </si>
  <si>
    <t>73:000:0:0:0</t>
  </si>
  <si>
    <t>08:000:0:0:0</t>
  </si>
  <si>
    <t>72:000:0:0:0</t>
  </si>
  <si>
    <t>25:000:0:0:0</t>
  </si>
  <si>
    <t>15:000:0:0:0</t>
  </si>
  <si>
    <t>71:000:0:0:0</t>
  </si>
  <si>
    <t>61:000:0:0:0</t>
  </si>
  <si>
    <t>34:000:0:0:0</t>
  </si>
  <si>
    <t>48:000:0:0:0</t>
  </si>
  <si>
    <t>17:000:0:0:0</t>
  </si>
  <si>
    <t>42:000:0:0:0</t>
  </si>
  <si>
    <t>59:000:0:0:0</t>
  </si>
  <si>
    <t>28:000:0:0:0</t>
  </si>
  <si>
    <t>27:000:0:0:0</t>
  </si>
  <si>
    <t>50:000:0:0:0</t>
  </si>
  <si>
    <t>20:000:0:0:0</t>
  </si>
  <si>
    <t>36:000:0:0:0</t>
  </si>
  <si>
    <t>01:000:0:0:0</t>
  </si>
  <si>
    <t>39:000:0:0:0</t>
  </si>
  <si>
    <t>09:000:0:0:0</t>
  </si>
  <si>
    <t>60:000:0:0:0</t>
  </si>
  <si>
    <t>19:000:0:0:0</t>
  </si>
  <si>
    <t>24:000:0:0:0</t>
  </si>
  <si>
    <t>66:000:0:0:0</t>
  </si>
  <si>
    <t>10:000:0:0:0</t>
  </si>
  <si>
    <t>18:000:0:0:0</t>
  </si>
  <si>
    <t>57:000:0:0:0</t>
  </si>
  <si>
    <t>40:000:0:0:0</t>
  </si>
  <si>
    <t>33:000:0:0:0</t>
  </si>
  <si>
    <t>54:000:0:0:0</t>
  </si>
  <si>
    <t>70:000:0:0:0</t>
  </si>
  <si>
    <t>63:000:0:0:0</t>
  </si>
  <si>
    <t>44:000:0:0:0</t>
  </si>
  <si>
    <t>07:000:0:0:0</t>
  </si>
  <si>
    <t>56:000:0:0:0</t>
  </si>
  <si>
    <t>53:000:0:0:0</t>
  </si>
  <si>
    <t>30:000:0:0:0</t>
  </si>
  <si>
    <t>16:000:0:0:0</t>
  </si>
  <si>
    <t>14:000:0:0:0</t>
  </si>
  <si>
    <t>37:000:0:0:0</t>
  </si>
  <si>
    <t>13:000:0:0:0</t>
  </si>
  <si>
    <t>47:000:0:0:0</t>
  </si>
  <si>
    <t>47:001:1:1:1</t>
  </si>
  <si>
    <t>47:002:1:1:1</t>
  </si>
  <si>
    <t>47:003:1:1:1</t>
  </si>
  <si>
    <t>47:005:1:1:1</t>
  </si>
  <si>
    <t>47:006:1:1:1</t>
  </si>
  <si>
    <t>47:007:1:1:1</t>
  </si>
  <si>
    <t>47:008:1:1:1</t>
  </si>
  <si>
    <t>47:009:1:1:1</t>
  </si>
  <si>
    <t>47:010:1:1:1</t>
  </si>
  <si>
    <t>47:011:1:1:1</t>
  </si>
  <si>
    <t>47:012:1:1:1</t>
  </si>
  <si>
    <t>47:013:1:1:1</t>
  </si>
  <si>
    <t>47:014:1:1:1</t>
  </si>
  <si>
    <t>47:015:1:1:1</t>
  </si>
  <si>
    <t>47:016:1:1:1</t>
  </si>
  <si>
    <t>47:017:1:1:1</t>
  </si>
  <si>
    <t>47:018:1:1:1</t>
  </si>
  <si>
    <t>47:019:1:1:1</t>
  </si>
  <si>
    <t>52:000:0:0:0</t>
  </si>
  <si>
    <t>52:002:2:5:6</t>
  </si>
  <si>
    <t>52:004:2:5:6</t>
  </si>
  <si>
    <t>52:005:2:5:6</t>
  </si>
  <si>
    <t>52:007:2:5:6</t>
  </si>
  <si>
    <t>52:003:2:5:6</t>
  </si>
  <si>
    <t>52:006:2:3:6</t>
  </si>
  <si>
    <t>Названия строк</t>
  </si>
  <si>
    <t>Среднее по полю Расстояние до ЕКБ</t>
  </si>
  <si>
    <t>Среднее по полю Расстояние до центра МО</t>
  </si>
  <si>
    <t>Кадастровая стоимость</t>
  </si>
  <si>
    <t>loc_factor_804</t>
  </si>
  <si>
    <t>loc_factor_822</t>
  </si>
  <si>
    <t>loc_factor_828</t>
  </si>
  <si>
    <t>loc_factor_803</t>
  </si>
  <si>
    <t>loc_factor_813</t>
  </si>
  <si>
    <t>loc_factor_825</t>
  </si>
  <si>
    <t>loc_factor_829</t>
  </si>
  <si>
    <t>loc_factor_807</t>
  </si>
  <si>
    <t>loc_factor_8071</t>
  </si>
  <si>
    <t>loc_factor_816</t>
  </si>
  <si>
    <t>loc_factor_8161</t>
  </si>
  <si>
    <t>loc_factor_812</t>
  </si>
  <si>
    <t>loc_factor_8121</t>
  </si>
  <si>
    <t>loc_factor_815</t>
  </si>
  <si>
    <t>loc_factor_827</t>
  </si>
  <si>
    <t>Градации ЦФ</t>
  </si>
  <si>
    <t>Справочник !</t>
  </si>
  <si>
    <t>Дачный участок</t>
  </si>
  <si>
    <t>Садовый участок</t>
  </si>
  <si>
    <t>Общая площадь</t>
  </si>
  <si>
    <t>Поправка на площадь</t>
  </si>
  <si>
    <t>Екатеринбург</t>
  </si>
  <si>
    <t>Локальные центры (отрицательные и положительные зоны влияния)</t>
  </si>
  <si>
    <t xml:space="preserve">Модель №13 «Садоводческое, огородническое и дачное использование, малоэтажная жилая застройка. ИЖС и сады».
y=317,4645*V1*V2*V3*V4*V5*V6*V7*V8*V9*V10*V11*V12*V13
 Где:
 y – удельный показатель;
317,4645 – базовая стоимость (стоимость типового объекта);
V1 – Поправочный коэффициент фактора «газоснабжение»;
V2 – Поправочный коэффициент фактора «электроснабжение»;
V3 – Поправочный коэффициент фактора «водоснабжение»;
V4 – Поправочный коэффициент фактора «водоотведение»;
V5 - Поправочный коэффициент фактора «управленческий округ»;
V6 – Поправочный коэффициент фактора «статус и численность населенного пункта»;
V7 – Поправочный коэффициент фактора «вид разрешенного использования»;
V8 – Поправочный коэффициент фактора «ЛЭП над участком»;
V9 – Поправочный коэффициент фактора «общая площадь»;
V10 – Поправочный коэффициент фактора «расстояние до Екатеринбурга»;
V11– Поправочный коэффициент фактора «расстояние до центра муниципального образования»;
V12 – Поправочный коэффициент фактора «локальные центры (отрицательные и положительные зоны влияния)»;
V13 – Поправочный коэффициент фактора «уторгование».
</t>
  </si>
  <si>
    <t>Specific_CadastralCost</t>
  </si>
  <si>
    <t>CadastralCost</t>
  </si>
  <si>
    <t>CadastralCostDesc</t>
  </si>
  <si>
    <t>id_group</t>
  </si>
  <si>
    <t>loc_factor_841</t>
  </si>
  <si>
    <t>02</t>
  </si>
  <si>
    <t>03</t>
  </si>
  <si>
    <t>05</t>
  </si>
  <si>
    <t>06</t>
  </si>
  <si>
    <t>09</t>
  </si>
  <si>
    <t>10</t>
  </si>
  <si>
    <t>11</t>
  </si>
  <si>
    <t>12</t>
  </si>
  <si>
    <t>15</t>
  </si>
  <si>
    <t>16</t>
  </si>
  <si>
    <t>18</t>
  </si>
  <si>
    <t>19</t>
  </si>
  <si>
    <t>21</t>
  </si>
  <si>
    <t>22</t>
  </si>
  <si>
    <t>26</t>
  </si>
  <si>
    <t>27</t>
  </si>
  <si>
    <t>28</t>
  </si>
  <si>
    <t>29</t>
  </si>
  <si>
    <t>30</t>
  </si>
  <si>
    <t>31</t>
  </si>
  <si>
    <t>34</t>
  </si>
  <si>
    <t>36</t>
  </si>
  <si>
    <t>37</t>
  </si>
  <si>
    <t>38</t>
  </si>
  <si>
    <t>39</t>
  </si>
  <si>
    <t>41</t>
  </si>
  <si>
    <t>42</t>
  </si>
  <si>
    <t>43</t>
  </si>
  <si>
    <t>44</t>
  </si>
  <si>
    <t>45</t>
  </si>
  <si>
    <t>46</t>
  </si>
  <si>
    <t>49</t>
  </si>
  <si>
    <t>50</t>
  </si>
  <si>
    <t>51</t>
  </si>
  <si>
    <t>53</t>
  </si>
  <si>
    <t>54</t>
  </si>
  <si>
    <t>55</t>
  </si>
  <si>
    <t>56</t>
  </si>
  <si>
    <t>57</t>
  </si>
  <si>
    <t>58</t>
  </si>
  <si>
    <t>59</t>
  </si>
  <si>
    <t>61</t>
  </si>
  <si>
    <t>62</t>
  </si>
  <si>
    <t>63</t>
  </si>
  <si>
    <t>64</t>
  </si>
  <si>
    <t>65</t>
  </si>
  <si>
    <t>66</t>
  </si>
  <si>
    <t>68</t>
  </si>
  <si>
    <t>69</t>
  </si>
  <si>
    <t>70</t>
  </si>
  <si>
    <t>71</t>
  </si>
  <si>
    <t>72</t>
  </si>
  <si>
    <t>73</t>
  </si>
  <si>
    <t>Номер кадастрового квартала</t>
  </si>
  <si>
    <t>Площадь (ЦФ)</t>
  </si>
  <si>
    <t>Расстояние до административного центра МО (ЦФ)</t>
  </si>
  <si>
    <t>Электроснабжение (ЦФ)</t>
  </si>
  <si>
    <t>Водоотведение (ЦФ)</t>
  </si>
  <si>
    <t>Расстояние до центра Екатеринбурга (ЦФ)</t>
  </si>
  <si>
    <t>Газоснабжение (ЦФ)</t>
  </si>
  <si>
    <t>Водоснабжение (ЦФ)</t>
  </si>
  <si>
    <t>Локальные центры (отрицательные и положительные зоны влияния) (ЦФ)</t>
  </si>
  <si>
    <t>Статус и численность населенного пункта(ЦФ)</t>
  </si>
  <si>
    <t>Вид разрешённого использования (ЦФ)</t>
  </si>
  <si>
    <t>Управленческий округ (ЦФ)</t>
  </si>
  <si>
    <t>Удельный показатель кадастровой стоимости(руб/м2)</t>
  </si>
  <si>
    <t>Кадастровая стоимость (руб)</t>
  </si>
  <si>
    <t>Кадастровая стоимость описание вых</t>
  </si>
  <si>
    <t>Категория земель</t>
  </si>
  <si>
    <t>ЛЭП над участком (ЦФ)</t>
  </si>
  <si>
    <t>Код населённого пункта</t>
  </si>
  <si>
    <t>Номер заявления</t>
  </si>
  <si>
    <t>Тип заявления</t>
  </si>
  <si>
    <t>Статус заявления</t>
  </si>
  <si>
    <t>флажок</t>
  </si>
  <si>
    <t>Дата пакета</t>
  </si>
  <si>
    <t>Статус расчета</t>
  </si>
  <si>
    <t>Дата комиссии</t>
  </si>
  <si>
    <t>Решение комиссии</t>
  </si>
  <si>
    <t>Флаг кода НП</t>
  </si>
  <si>
    <t>Флаг ВРИ по документу</t>
  </si>
  <si>
    <t>Флаг площади</t>
  </si>
  <si>
    <t>Флаг ВРИ старый спр</t>
  </si>
  <si>
    <t>Флаг ВРИ новый спр</t>
  </si>
  <si>
    <t>Группа для XML</t>
  </si>
  <si>
    <t>Обязательная проверка</t>
  </si>
  <si>
    <t>Расстояние до Екатеринбурга(вспомогательный столбец)</t>
  </si>
  <si>
    <t>Расстояние до центра муниципального образования(вспомогательный столбец)</t>
  </si>
  <si>
    <t>Status_kc</t>
  </si>
  <si>
    <t>loc_VICode</t>
  </si>
  <si>
    <t>Segment</t>
  </si>
  <si>
    <t>ВРИ</t>
  </si>
  <si>
    <t>Сегмент</t>
  </si>
  <si>
    <t>13. СЕГМЕНТ "Садоводство и огородничество, малоэтажная жилая застройка"</t>
  </si>
  <si>
    <t>Общая площадь(вспомогательный столбец)</t>
  </si>
  <si>
    <t>Анализ</t>
  </si>
  <si>
    <t>Старый код НП</t>
  </si>
  <si>
    <t>Особый контроль</t>
  </si>
  <si>
    <t>Общая площадь ЦФ</t>
  </si>
  <si>
    <t>КН</t>
  </si>
  <si>
    <t>CadastralNumber</t>
  </si>
  <si>
    <t>ControlSP</t>
  </si>
  <si>
    <t>Код сегмента</t>
  </si>
  <si>
    <t>loc_SgCode</t>
  </si>
  <si>
    <t>13:031</t>
  </si>
  <si>
    <t>02:021</t>
  </si>
  <si>
    <t>02:020</t>
  </si>
  <si>
    <t>02:011</t>
  </si>
  <si>
    <t>02:010</t>
  </si>
  <si>
    <t>02:031</t>
  </si>
  <si>
    <t>01:999</t>
  </si>
  <si>
    <t>13:011</t>
  </si>
  <si>
    <t>03:051</t>
  </si>
  <si>
    <t>04:040</t>
  </si>
  <si>
    <t>02:014</t>
  </si>
  <si>
    <t>04:030</t>
  </si>
  <si>
    <t>06:090</t>
  </si>
  <si>
    <t>loc_GroupName</t>
  </si>
  <si>
    <t>Расшифровка расчетной подгруппы</t>
  </si>
  <si>
    <t>Наименование вида использования</t>
  </si>
  <si>
    <t>01:010</t>
  </si>
  <si>
    <t>Растениеводство в целом. Включает коды расчета вида использования 01.020-01.060</t>
  </si>
  <si>
    <t>01:020</t>
  </si>
  <si>
    <t>Выращивание зерновых, бобовых, кормовых, технических, масличных, эфиромасличных и иных сельскохозяйственных культур</t>
  </si>
  <si>
    <t>01:030</t>
  </si>
  <si>
    <t>Овощеводство в целом, связанное с производством картофеля, листовых, плодовых, луковичных и бахчевых сельскохозяйственных культур, в том числе с использованием теплиц</t>
  </si>
  <si>
    <t>01:031</t>
  </si>
  <si>
    <t>Овощеводство в открытом грунте</t>
  </si>
  <si>
    <t>01:032</t>
  </si>
  <si>
    <t>Овощеводство тепличное</t>
  </si>
  <si>
    <t>01:040</t>
  </si>
  <si>
    <t>Выращивание тонизирующих, лекарственных, цветочных культур в целом</t>
  </si>
  <si>
    <t>01:041</t>
  </si>
  <si>
    <t>Выращивание тонизирующих, лекарственных, цветочных культур. Травы</t>
  </si>
  <si>
    <t>01:042</t>
  </si>
  <si>
    <t>Выращивание тонизирующих, лекарственных, цветочных культур. Кустарники</t>
  </si>
  <si>
    <t>01:050</t>
  </si>
  <si>
    <t>Садоводство в целом - выращивание многолетних плодовых и ягодных культур, винограда и иных многолетних культур</t>
  </si>
  <si>
    <t>01:051</t>
  </si>
  <si>
    <t>Садоводство плодовое</t>
  </si>
  <si>
    <t>01:052</t>
  </si>
  <si>
    <t>Садоводство ягодно-кустарниковое</t>
  </si>
  <si>
    <t>01:053</t>
  </si>
  <si>
    <t>Садоводство виноградники</t>
  </si>
  <si>
    <t>01:054</t>
  </si>
  <si>
    <t>Садоводство ягодники</t>
  </si>
  <si>
    <t>01:060</t>
  </si>
  <si>
    <t>Выращивание льна и конопли</t>
  </si>
  <si>
    <t>01:070</t>
  </si>
  <si>
    <t>Животноводство в целом. Связано с производством продукции животноводства, в том числе сенокошение, выпас сельскохозяйственных животных, разведение племенных животных, производство и использование племенной продукции (материала), размещение зданий, сооружений, используемых для содержания и разведения сельскохозяйственных животных, производства, хранения и первичной переработки сельскохозяйственной продукции. Включает коды расчета вида использования 01.080-01.086</t>
  </si>
  <si>
    <t>01:080</t>
  </si>
  <si>
    <t>Скотоводство. Хозяйственная деятельность, связанная с разведением сельскохозяйственных животных (крупного рогатого скота, овец, коз, лошадей, верблюдов, оленей)</t>
  </si>
  <si>
    <t>01:081</t>
  </si>
  <si>
    <t>Скотоводство. Сенокошение, выпас, производство кормов, за исключением кодов расчета вида использования 01.082-01.084</t>
  </si>
  <si>
    <t>01:082</t>
  </si>
  <si>
    <t>Скотоводство. Оленеводство</t>
  </si>
  <si>
    <t>01:083</t>
  </si>
  <si>
    <t>Скотоводство. Овцеводство</t>
  </si>
  <si>
    <t>01:084</t>
  </si>
  <si>
    <t>Скотоводство. Коневодство</t>
  </si>
  <si>
    <t>01:085</t>
  </si>
  <si>
    <t>Скотоводство молочное. Выращивание скота для получения молочной продукции</t>
  </si>
  <si>
    <t>01:086</t>
  </si>
  <si>
    <t>Скотоводство мясное, за исключением кодов расчета вида использования 01:082-01:084. Выращивание скота для получения мясной продукции</t>
  </si>
  <si>
    <t>01:120</t>
  </si>
  <si>
    <t>Пчеловодство в целом. Разведение, содержание и использование пчел и иных полезных насекомых</t>
  </si>
  <si>
    <t>01:121</t>
  </si>
  <si>
    <t>Пчеловодство. Размещение ульев, иных объектов и оборудования, необходимого для пчеловодства и разведения иных полезных насекомых, за исключением кода расчета вида использования 01:122</t>
  </si>
  <si>
    <t>01:130</t>
  </si>
  <si>
    <t>Рыбоводство в целом. Разведение и (или) содержание, выращивание объектов рыбоводства (аквакультуры), за исключением кода расчета вида использования 01:132</t>
  </si>
  <si>
    <t>01:131</t>
  </si>
  <si>
    <t>Рыбоводство. Водные объекты, предназначенные для рыбоводства</t>
  </si>
  <si>
    <t>01:140</t>
  </si>
  <si>
    <t>Научное обеспечение сельского хозяйства в целом</t>
  </si>
  <si>
    <t>01:141</t>
  </si>
  <si>
    <t>Научное обеспечение сельского хозяйства. Растениеводство. Выращивание опытных образцов</t>
  </si>
  <si>
    <t>01:142</t>
  </si>
  <si>
    <t>Научное обеспечение сельского хозяйства. Животноводство. Сенокошение, выпас, производство кормов</t>
  </si>
  <si>
    <t>01:160</t>
  </si>
  <si>
    <t>Ведение личного подсобного хозяйства на полевых земельных участках. Производство сельскохозяйственной продукции без права возведения ОКС (площадью от 5000 кв м на ЗСН и площадьб более 25000 кв. м на ЗНП)</t>
  </si>
  <si>
    <t>01:161</t>
  </si>
  <si>
    <t>Крестьянское фермерское хозяйство (площадью от 5000 кв м)</t>
  </si>
  <si>
    <t>01:170</t>
  </si>
  <si>
    <t>Питомники в целом</t>
  </si>
  <si>
    <t>01:171</t>
  </si>
  <si>
    <t>Питомники. Выращивание и реализация подроста деревьев и кустарников, используемых в сельском хозяйстве, а также иных сельскохозяйственных культур для получения рассады и семян</t>
  </si>
  <si>
    <t>02:012</t>
  </si>
  <si>
    <t>Выращивание плодовых, ягодных, овощных, бахчевых или иных декоративных или сельскохозяйственных культур</t>
  </si>
  <si>
    <t>02:015</t>
  </si>
  <si>
    <t>Разведение декоративных и плодовых, ягодных, овощных культур</t>
  </si>
  <si>
    <t>02:022</t>
  </si>
  <si>
    <t>Ведение личного подсобного хозяйства. Производство (выращивание) сельскохозяйственной продукции, кормов, выпаса скота</t>
  </si>
  <si>
    <t>02:033</t>
  </si>
  <si>
    <t>Блокированная жилая застройка. Разведение декоративных и плодовых, ягодных, овощных культур</t>
  </si>
  <si>
    <t>13:010</t>
  </si>
  <si>
    <t>Ведение огородничества. Осуществление деятельности, связанной с выращиванием ягодных, овощных, бахчевых или иных сельскохозяйственных культур и картофеля пПлощадью от 5000 кв м)</t>
  </si>
  <si>
    <t>01:997</t>
  </si>
  <si>
    <t>Для размещения ферм, МТФ, свинарников, коровников, конных дворов, тепличных хозяйств</t>
  </si>
  <si>
    <t>01:998</t>
  </si>
  <si>
    <t>Сельскохозяйственное производство</t>
  </si>
  <si>
    <t>Иной вид использования в сегменте "Сельскохозяйственное использование"</t>
  </si>
  <si>
    <t>02:000</t>
  </si>
  <si>
    <t>Жилая застройка (среднеэтажная и многоэтажная без уточнения этажности)</t>
  </si>
  <si>
    <t>02:050</t>
  </si>
  <si>
    <t>Среднеэтажная жилая застройка в целом</t>
  </si>
  <si>
    <t>02:051</t>
  </si>
  <si>
    <t>Среднеэтажная жилая застройка. Размещение жилых домов, предназначенных для разделения на квартиры, каждая из которых пригодна для постоянного проживания (жилые дома высотой не выше восьми надземных этажей, разделенных на две и более квартиры), размещение встроенных в жилой дом подземных гаражей и автостоянок</t>
  </si>
  <si>
    <t>02:060</t>
  </si>
  <si>
    <t>Многоэтажная жилая застройка (высотная застройка) в целом</t>
  </si>
  <si>
    <t>02:061</t>
  </si>
  <si>
    <t>Многоэтажная жилая застройка. Размещение жилых домов, предназначенных для разделения на квартиры, каждая из которых пригодна для постоянного проживания (жилые дома высотой не выше восьми надземных этажей, разделенных на две и более квартиры), размещение встроенных в жилой дом подземных гаражей и автостоянок</t>
  </si>
  <si>
    <t>02:999</t>
  </si>
  <si>
    <t>Иной вид использования в сегменте "Жилая застройка (среднеэтажная и многоэтажная)"</t>
  </si>
  <si>
    <t>01:143</t>
  </si>
  <si>
    <t>Научное обеспечение сельского хозяйства. Размещение зданий, сооружений, оборудования, необходимых для осуществления научного обеспечения сельского хозяйства, включая размещение коллекций генетических ресурсов растений</t>
  </si>
  <si>
    <t>03:010</t>
  </si>
  <si>
    <t>Коммунальное обслуживание в целом</t>
  </si>
  <si>
    <t>03:013</t>
  </si>
  <si>
    <t>Коммунальное обслуживание. Размещение ОКС в целях обеспечения физических и юридических лиц коммунальными услугами, в частности: зданий или помещений, предназначенных для приема физических и юридических лиц в связи с предоставлением им коммунальных услуг</t>
  </si>
  <si>
    <t>03:020</t>
  </si>
  <si>
    <t>Социальное обслуживание в целом</t>
  </si>
  <si>
    <t>03:021</t>
  </si>
  <si>
    <t>Социальное обслуживание. Размещение ОКС, предназначенных для оказания гражданам социальной помощи (службы занятости населения, дома престарелых, дома ребенка, детские дома, пункты питания малоимущих граждан, пункты ночлега для бездомных граждан, службы психологической и бесплатной юридической помощи, социальные, пенсионные и иные службы, в которых осуществляется прием граждан по вопросам оказания социальной помощи и назначения социальных или пенсионных выплат)</t>
  </si>
  <si>
    <t>03:022</t>
  </si>
  <si>
    <t>Социальное обслуживание. Размещение ОКС для размещения отделений почты и телеграфа</t>
  </si>
  <si>
    <t>03:023</t>
  </si>
  <si>
    <t>Социальное обслуживание. Размещение ОКС для размещения общественных некоммерческих организаций: благотворительных организаций, клубов по интересам</t>
  </si>
  <si>
    <t>03:030</t>
  </si>
  <si>
    <t>Бытовое обслуживание в целом</t>
  </si>
  <si>
    <t>03:031</t>
  </si>
  <si>
    <t>Бытовое обслуживание. Размещение ОКС, предназначенных для оказания населению или организациям бытовых услуг. Мастерские мелкого ремонта, ателье</t>
  </si>
  <si>
    <t>03:032</t>
  </si>
  <si>
    <t>Бытовое обслуживание. Размещение ОКС, предназначенных для оказания населению или организациям бытовых услуг. Бани</t>
  </si>
  <si>
    <t>03:033</t>
  </si>
  <si>
    <t>Бытовое обслуживание. Размещение ОКС, предназначенных для оказания населению или организациям бытовых услуг. Прачечные, химчистки</t>
  </si>
  <si>
    <t>03:034</t>
  </si>
  <si>
    <t>Бытовое обслуживание. Размещение ОКС, предназначенных для оказания населению или организациям бытовых услуг. Парикмахерские</t>
  </si>
  <si>
    <t>03:035</t>
  </si>
  <si>
    <t>Бытовое обслуживание. Размещение ОКС, предназначенных для оказания населению или организациям бытовых услуг. Похоронные бюро</t>
  </si>
  <si>
    <t>03:040</t>
  </si>
  <si>
    <t>Здравоохранение в целом. Размещение ОКС, предназначенных для оказания гражданам медицинской помощи. Включает коды расчета вида использования 03:041-03:042</t>
  </si>
  <si>
    <t>03:041</t>
  </si>
  <si>
    <t>Амбулаторно-поликлиническое обслуживание. Размещение ОКС, предназначенных для оказания гражданам амбулаторно-поликлинической медицинской помощи (поликлиники, фельдшерские пункты, пункты здравоохранения, центры матери и ребенка, диагностические центры, молочные кухни, станции донорства крови, клинические лаборатории)</t>
  </si>
  <si>
    <t>03:042</t>
  </si>
  <si>
    <t>Стационарное медицинское обслуживание. Размещение ОКС, предназначенных для оказания гражданам медицинской помощи в стационарах (больницы, родильные дома, научно-медицинские учреждения и прочие объекты, обеспечивающие оказание услуги по лечению в стационаре), размещение станций скорой помощи</t>
  </si>
  <si>
    <t>03:050</t>
  </si>
  <si>
    <t>Образование и просвещение в целом. Размещение ОКС, предназначенных для воспитания, образования и просвещения (детские ясли, детские сады, школы, лицеи, гимназии, профессиональные технические училища, колледжи, художественные, музыкальные школы и училища, образовательные кружки, общества знаний, институты, университеты, организации по переподготовке и повышению квалификации специалистов и иные организации, осуществляющие деятельность по воспитанию, образованию и просвещению). Включает коды расчета вида использования 03.051-03.052</t>
  </si>
  <si>
    <t>Дошкольное, начальное и среднее общее образование. Размещение ОКС, предназначенных для просвещения, дошкольного, начального и среднего общего образования (детские ясли, детские сады, школы, лицеи, гимназии, художественные, музыкальные школы, образовательные кружки и иные организации, осуществляющие деятельность по воспитанию, образованию и просвещению)</t>
  </si>
  <si>
    <t>03:052</t>
  </si>
  <si>
    <t>Среднее и высшее профессиональное образование. Размещение ОКС, предназначенных для профессионального образования и просвещения (профессиональные технические училища, колледжи, художественные, музыкальные училища, общества знаний, институты, университеты, организации по переподготовке и повышению квалификации специалистов и иные организации, осуществляющие деятельность по образованию и просвещению), размещение зданий военных училищ, военных институтов, военных университетов, военных академий</t>
  </si>
  <si>
    <t>03:060</t>
  </si>
  <si>
    <t>Культурное развитие в целом</t>
  </si>
  <si>
    <t>03:061</t>
  </si>
  <si>
    <t>Культурное развитие. Размещение ОКС, предназначенных для размещения в них музеев, выставочных залов, художественных галерей, библиотек, планетариев</t>
  </si>
  <si>
    <t>03:062</t>
  </si>
  <si>
    <t>Культурное развитие. Размещение ОКС, предназначенных для размещения в них домов культуры, театров, филармоний, цирков</t>
  </si>
  <si>
    <t>03:065</t>
  </si>
  <si>
    <t>Культурное развитие. Размещение зданий и сооружений для размещения зверинцев, зоопарков, океанариумов</t>
  </si>
  <si>
    <t>03:070</t>
  </si>
  <si>
    <t>Религиозное использование в целом</t>
  </si>
  <si>
    <t>03:071</t>
  </si>
  <si>
    <t>Религиозное использование. Размещение ОКС, предназначенных для отправления религиозных обрядов (церкви, соборы, храмы, часовни, монастыри, скиты, мечети, синагоги, молельные дома)</t>
  </si>
  <si>
    <t>03:072</t>
  </si>
  <si>
    <t>Религиозное использование. Размещение ОКС, предназначенных для постоянного местонахождения духовных лиц, паломников и послушников в связи с осуществлением ими религиозной службы</t>
  </si>
  <si>
    <t>03:073</t>
  </si>
  <si>
    <t>Религиозное использование. Размещение ОКС, предназначенных для осуществления благотворительной и религиозной образовательной деятельности (воскресные школы, семинарии, духовные училища)</t>
  </si>
  <si>
    <t>03:080</t>
  </si>
  <si>
    <t>Общественное управление в целом</t>
  </si>
  <si>
    <t>03:081</t>
  </si>
  <si>
    <t>Общественное управление. Размещение ОКС, предназначенных для размещения органов государственной власти, органов местного самоуправления, судов, а также организаций, непосредственно обеспечивающих их деятельность</t>
  </si>
  <si>
    <t>03:082</t>
  </si>
  <si>
    <t>Общественное управление. Размещение ОКС, предназначенных для размещения органов управления политических партий, профессиональных и отраслевых союзов, творческих союзов и иных общественных объединений граждан по отраслевому или политическому признаку</t>
  </si>
  <si>
    <t>03:083</t>
  </si>
  <si>
    <t>Общественное управление. Размещение ОКС для дипломатических представительств иностранных государств и консульских учреждений в Российской Федерации</t>
  </si>
  <si>
    <t>03:090</t>
  </si>
  <si>
    <t>Обеспечение научной деятельности в целом</t>
  </si>
  <si>
    <t>03:091</t>
  </si>
  <si>
    <t>Обеспечение научной деятельности. Размещение ОКС для проведения научных исследований и изысканий, испытаний опытных промышленных образцов, проведения научной и селекционной работы, ведения сельского и лесного хозяйства для получения ценных с научной точки зрения образцов растительного и животного мира - производственных, лабораторных и иных подобных зданий, необходимых для обеспечения научной деятельности</t>
  </si>
  <si>
    <t>03:092</t>
  </si>
  <si>
    <t>Обеспечение научной деятельности. Размещение ОКС для размещения организаций, осуществляющих научные изыскания, исследования и разработки (научно-исследовательские институты, проектные институты, научные центры, опытно-конструкторские центры, государственные академии наук, в том числе отраслевые) - административных зданий научно-исследовательских организаций</t>
  </si>
  <si>
    <t>03:100</t>
  </si>
  <si>
    <t>Ветеринарное обслуживание в целом. Размещение ОКС, предназначенных для оказания ветеринарных услуг, содержания или разведения животных, не являющихся сельскохозяйственными, под надзором человека. Включает коды расчет вида использования 03:101-03:104</t>
  </si>
  <si>
    <t>03:101</t>
  </si>
  <si>
    <t>Амбулаторное ветеринарное обслуживание. Размещение ОКС, предназначенных для оказания ветеринарных услуг без содержания животных</t>
  </si>
  <si>
    <t>03:102</t>
  </si>
  <si>
    <t>Приюты для животных. Размещение ОКС, предназначенных для оказания ветеринарных услуг в стационаре</t>
  </si>
  <si>
    <t>03:103</t>
  </si>
  <si>
    <t>Приюты для животных. Размещение ОКС, предназначенных для содержания, разведения животных, не являющихся сельскохозяйственными, под надзором человека, оказания услуг по содержанию и лечению бездомных животных</t>
  </si>
  <si>
    <t>03:104</t>
  </si>
  <si>
    <t>Приюты для животных. Размещение ОКС, предназначенных для организации гостиниц для животных</t>
  </si>
  <si>
    <t>05:010</t>
  </si>
  <si>
    <t>Спорт в целом. Размещение ОКС в качестве спортивных клубов, спортивных залов, бассейнов, устройство площадок для занятия спортом и физкультурой (беговые дорожки, спортивные сооружения, теннисные корты, поля для спортивной игры, автодромы, мотодромы, трамплины, трассы и спортивные стрельбища), в том числе водным спортом (причалы и сооружения, необходимые для водных видов спорта и хранения соответствующего инвентаря)</t>
  </si>
  <si>
    <t>05:011</t>
  </si>
  <si>
    <t>Спорт. Размещение ОКС в качестве спортивных клубов, спортивных залов, бассейнов</t>
  </si>
  <si>
    <t>05:012</t>
  </si>
  <si>
    <t>Спорт. Устройство площадок для занятия спортом и физкультурой (беговые дорожки, спортивные сооружения, теннисные корты, поля для спортивной игры, автодромы, мотодромы, трамплины, трассы и спортивные стрельбища), сооружения для хранения соответствующего инвентаря</t>
  </si>
  <si>
    <t>05:020</t>
  </si>
  <si>
    <t>Природно-познавательный туризм. Размещение баз и палаточных лагерей для проведения походов и экскурсий по ознакомлению с природой, пеших и конных прогулок</t>
  </si>
  <si>
    <t>05:021</t>
  </si>
  <si>
    <t>Природно-познавательный туризм. Устройство троп и дорожек, размещение щитов с познавательными сведениями об окружающей природной среде, осуществление необходимых природоохранных и природовосстановительных мероприятий</t>
  </si>
  <si>
    <t>05:051</t>
  </si>
  <si>
    <t>Поля для гольфа или конных прогулок. Размещение конноспортивных манежей, не предусматривающих устройство трибун</t>
  </si>
  <si>
    <t>07:021</t>
  </si>
  <si>
    <t>Автомобильный транспорт. Размещение зданий и сооружений, предназначенных для обслуживания пассажиров</t>
  </si>
  <si>
    <t>07:022</t>
  </si>
  <si>
    <t>Автомобильный транспорт. Размещение зданий и сооружений, обеспечивающих работу транспортных средств, размещение объектов, предназначенных для размещения постов органов внутренних дел, ответственных за безопасность дорожного движения</t>
  </si>
  <si>
    <t>08:022</t>
  </si>
  <si>
    <t>Обеспечение вооруженных сил, охрана Государственной границы Российской Федерации. Размещение зданий для размещения воинских, в том числе пограничных воинских, частей и органов управления ими</t>
  </si>
  <si>
    <t>08:030</t>
  </si>
  <si>
    <t>Обеспечение внутреннего правопорядка. Размещение ОКС, необходимых для подготовки и поддержания в готовности органов внутренних дел и спасательных служб, в которых существует военизированная служба</t>
  </si>
  <si>
    <t>08:041</t>
  </si>
  <si>
    <t>Обеспечение деятельности по исполнению наказаний. Размещение ОКС для создания мест лишения свободы (поселения)</t>
  </si>
  <si>
    <t>09:030</t>
  </si>
  <si>
    <t>Историко-культурная деятельность. Сохранение и изучение объектов культурного наследия народов Российской Федерации (памятников истории и культуры), в том числе: объектов археологического наследия, достопримечательных мест, мест бытования исторических промыслов, производств и ремесел, недействующих военных и гражданских захоронений, объектов культурного наследия, хозяйственная деятельность, являющаяся историческим промыслом или ремеслом</t>
  </si>
  <si>
    <t>03:999</t>
  </si>
  <si>
    <t>Иной вид использования в сегменте "Общественное использование"</t>
  </si>
  <si>
    <t>01:183</t>
  </si>
  <si>
    <t>Обеспечение сельскохозяйственного производства. Размещение административных, бытовых и хозяйственно-бытовых зданий и сооружений, объектов общественного питания</t>
  </si>
  <si>
    <t>02:017</t>
  </si>
  <si>
    <t>Размещение объектов обслуживания жилой застройки во встроенных, пристроенных и встроенно-пристроенных помещениях малоэтажного многоквартирного дома на территории малоэтажной многоквартирной жилой застройки</t>
  </si>
  <si>
    <t>02:053</t>
  </si>
  <si>
    <t>Среднеэтажная жилая застройка. Размещение объектов обслуживания жилой застройки во встроенных, пристроенных и встроенно-пристроенных помещениях многоквартирного дома</t>
  </si>
  <si>
    <t>02:063</t>
  </si>
  <si>
    <t>Многоэтажная жилая застройка. Размещение объектов обслуживания жилой застройки во встроенных, пристроенных и встроенно-пристроенных помещениях многоквартирного дома</t>
  </si>
  <si>
    <t>03:063</t>
  </si>
  <si>
    <t>Культурное развитие. Размещение ОКС, предназначенных для размещения в них кинотеатров и кинозалов</t>
  </si>
  <si>
    <t>03:064</t>
  </si>
  <si>
    <t>Культурное развитие. Устройство площадок для празднеств и гуляний</t>
  </si>
  <si>
    <t>04:010</t>
  </si>
  <si>
    <t>Деловое управление. Размещение ОКС с целью размещения объектов управленческой деятельности, не связанной с государственным или муниципальным управлением и оказанием услуг, а также с целью обеспечения совершения сделок, не требующих передачи товара в момент их совершения между организациями, в том числе биржевая деятельность (за исключением банковской и страховой деятельности)</t>
  </si>
  <si>
    <t>04:020</t>
  </si>
  <si>
    <t>Объекты торговли (торговые центры, торгово-развлекательные центры (комплексы). Размещение ОКС, общей площадью свыше 5000 кв.м с целью размещения одной или нескольких организаций, осуществляющих продажу товаров и (или) оказание услуг. Включает коды расчета вида использования 04.050-04.096</t>
  </si>
  <si>
    <t>Рынки. Размещение ОКС, сооружений, предназначенных для организации постоянной или временной торговли (ярмарка, рынок, базар), с учетом того, что каждое из торговых мест не располагает торговой площадью более 200 кв.м</t>
  </si>
  <si>
    <t>Магазины. Размещение ОКС, предназначенных для продажи товаров, торговая площадь которых составляет до 5 000 кв.м</t>
  </si>
  <si>
    <t>04:050</t>
  </si>
  <si>
    <t>Банковская и страховая деятельность. Размещение ОКС, предназначенных для размещения организаций, оказывающих банковские и страховые услуги</t>
  </si>
  <si>
    <t>04:060</t>
  </si>
  <si>
    <t>Общественное питание. Размещение ОКС в целях устройства мест общественного питания (рестораны, кафе, столовые, закусочные, бары)</t>
  </si>
  <si>
    <t>04:080</t>
  </si>
  <si>
    <t>Развлечения. Размещение ОКС, предназначенных для размещения дискотек и танцевальных площадок, ночных клубов</t>
  </si>
  <si>
    <t>04:081</t>
  </si>
  <si>
    <t>Развлечения. Размещение ОКС, предназначенных для размещения аквапарков</t>
  </si>
  <si>
    <t>04:082</t>
  </si>
  <si>
    <t>Развлечения. Размещение ОКС, предназначенных для размещения боулинга, аттракционов, игровых автоматов (кроме игрового оборудования, используемого для проведения азартных игр) и игровых площадок, за исключением площадок игорных зон</t>
  </si>
  <si>
    <t>04:083</t>
  </si>
  <si>
    <t>Развлечения. Размещение ОКС, предназначенных для размещения ипподромов</t>
  </si>
  <si>
    <t>04:084</t>
  </si>
  <si>
    <t>Развлечения. Размещение ОКС, предназначенных для размещения в игорных зонах игорных заведений, залов игровых автоматов, используемых для проведения азартных игр, и игровых столов, включая размещение гостиниц и заведений общественного питания для посетителей игорных зон, в случае расположения этих объектов на одном земельном участке</t>
  </si>
  <si>
    <t>04:096</t>
  </si>
  <si>
    <t>Объекты придорожного сервиса. Размещение магазинов сопутствующей торговли, зданий для организации общественного питания в качестве объектов придорожного сервиса</t>
  </si>
  <si>
    <t>04:100</t>
  </si>
  <si>
    <t>Выставочно-ярмарочная деятельность. Размещение ОКС, сооружений, предназначенных для осуществления выставочно-ярмарочной и конгрессной деятельности, включая деятельность, необходимую для обслуживания указанных мероприятий (застройка экспозиционной площади, организация питания участников мероприятий)</t>
  </si>
  <si>
    <t>05:013</t>
  </si>
  <si>
    <t>Спорт. Размещение ОКС водных видов спорта (причалы и сооружения, необходимые для водных видов спорта и хранения соответствующего инвентаря)</t>
  </si>
  <si>
    <t>05:050</t>
  </si>
  <si>
    <t>Поля для гольфа или конных прогулок. Обустройство мест для игры в гольф или осуществления конных прогулок, в том числе осуществление необходимых земляных работ и создание вспомогательных сооружений</t>
  </si>
  <si>
    <t>08:021</t>
  </si>
  <si>
    <t>Охрана Государственной границы Российской Федерации. Размещение зданий для размещения пунктов пропуска через Государственную границу Российской Федерации, размещение объектов, обеспечивающих осуществление таможенной деятельности</t>
  </si>
  <si>
    <t>04:996</t>
  </si>
  <si>
    <t>Ярмарки, торговые выставки на открытых площадках</t>
  </si>
  <si>
    <t>04:997</t>
  </si>
  <si>
    <t xml:space="preserve">Рекламные щиты/рекламные растяжки/рекламные конструкции </t>
  </si>
  <si>
    <t>04:998</t>
  </si>
  <si>
    <t>Киоски/Ларьки/Торговые павильоны/Прицепы и Трейлеры торговые</t>
  </si>
  <si>
    <t>04:999</t>
  </si>
  <si>
    <t>Иной вид использования в сегменте "Предпринимательство"</t>
  </si>
  <si>
    <t>02:040</t>
  </si>
  <si>
    <t>Передвижное жилье. Размещение сооружений, пригодных к использованию в качестве жилья (палаточные городки, кемпинги, жилые вагончики, жилые прицепы) с возможностью подключения названных сооружений к инженерным сетям, находящимся на земельном участке или на земельных участках, имеющих инженерные сооружения, предназначенные для общего пользования</t>
  </si>
  <si>
    <t>04:070</t>
  </si>
  <si>
    <t>Гостиничное обслуживание. Размещение гостиниц, а также иных зданий, используемых с целью извлечения предпринимательской выгоды из предоставления жилого помещения для временного проживания в них, за исключением кодов расчета видов использования 04:097, 05:020, 05:022, 05:030</t>
  </si>
  <si>
    <t>04:097</t>
  </si>
  <si>
    <t>Объекты придорожного сервиса. Предоставление гостиничных услуг в качестве придорожного сервиса</t>
  </si>
  <si>
    <t>05:014</t>
  </si>
  <si>
    <t>Спорт. Размещение спортивных баз и лагерей - ОКС для временного проживания, питания спортсменов, для бытовых нужд</t>
  </si>
  <si>
    <t>05:022</t>
  </si>
  <si>
    <t>Туристическое обслуживание. Размещение пансионатов, туристических гостиниц, кемпингов, домов отдыха, не оказывающих услуги по лечению, а также иных зданий, используемых с целью извлечения предпринимательской выгоды из предоставления жилого помещения для временного проживания в них, размещение детских лагерей</t>
  </si>
  <si>
    <t>05:030</t>
  </si>
  <si>
    <t>Охота и рыбалка. Размещение дома охотника или рыболова</t>
  </si>
  <si>
    <t>08:040</t>
  </si>
  <si>
    <t>Обеспечение деятельности по исполнению наказаний. Размещение ОКС для создания мест лишения свободы (следственные изоляторы, тюрьмы)</t>
  </si>
  <si>
    <t>09:021</t>
  </si>
  <si>
    <t>Санаторная деятельность. Размещение санаториев и профилакториев, обеспечивающих оказание услуги по лечению и оздоровлению населения</t>
  </si>
  <si>
    <t>09:023</t>
  </si>
  <si>
    <t>Санаторная деятельность. Размещение лечебно-оздоровительных лагерей</t>
  </si>
  <si>
    <t>05:999</t>
  </si>
  <si>
    <t>Иной вид использования в сегменте "Отдых (рекреация)"</t>
  </si>
  <si>
    <t>01:087</t>
  </si>
  <si>
    <t>Скотоводство. Размещение зданий, сооружений, используемых для содержания и разведения скота, хранения кормов</t>
  </si>
  <si>
    <t>01:088</t>
  </si>
  <si>
    <t>Скотоводство. Размещение зданий, сооружений, используемых для переработки продукции</t>
  </si>
  <si>
    <t>01:090</t>
  </si>
  <si>
    <t>Звероводство в целом. Разведение в неволе ценных пушных зверей.</t>
  </si>
  <si>
    <t>01:091</t>
  </si>
  <si>
    <t>Звероводство. Размещение зданий, сооружений, используемых для содержания и разведения животных, хранения кормов</t>
  </si>
  <si>
    <t>01:092</t>
  </si>
  <si>
    <t>Звероводство. Размещение зданий, сооружений, используемых для производства, хранения и первичной переработки продукции</t>
  </si>
  <si>
    <t>01:100</t>
  </si>
  <si>
    <t>Птицеводство в целом. Разведение домашних пород птиц, в том числе водоплавающих</t>
  </si>
  <si>
    <t>01:101</t>
  </si>
  <si>
    <t>Птицеводство. Размещение зданий, сооружений, используемых для содержания и разведения животных, хранения кормов</t>
  </si>
  <si>
    <t>01:102</t>
  </si>
  <si>
    <t>Птицеводство. Размещение зданий, сооружений, используемых для производства, хранения и первичной переработки продукции</t>
  </si>
  <si>
    <t>01:110</t>
  </si>
  <si>
    <t>Свиноводство в целом</t>
  </si>
  <si>
    <t>01:111</t>
  </si>
  <si>
    <t>Свиноводство. Размещение зданий, сооружений, используемых для содержания и разведения животных, хранения кормов</t>
  </si>
  <si>
    <t>01:112</t>
  </si>
  <si>
    <t>Свиноводство. Размещение зданий, сооружений, используемых для производства, хранения и первичной переработки продукции</t>
  </si>
  <si>
    <t>01:122</t>
  </si>
  <si>
    <t>Пчеловодство. Размещение сооружений, используемых для хранения и первичной переработки продукции пчеловодства</t>
  </si>
  <si>
    <t>01:132</t>
  </si>
  <si>
    <t>Рыбоводство. Размещение зданий, сооружений, оборудования, необходимых для осуществления рыбоводства (аквакультуры), зданий и сооружений, используемых для хранения и первичной переработки продукции рыбоводства</t>
  </si>
  <si>
    <t>01:150</t>
  </si>
  <si>
    <t>Хранение и переработка сельскохозяйственной продукции. Размещение зданий, сооружений, используемых для производства, хранения, первичной и глубокой переработки сельскохозяйственной продукции</t>
  </si>
  <si>
    <t>01:172</t>
  </si>
  <si>
    <t>Питомники. Размещение сооружений, необходимых для выращивания и реализации продукции, указанной в коде расчета вида использования 01:171</t>
  </si>
  <si>
    <t>01:180</t>
  </si>
  <si>
    <t>Обеспечение сельскохозяйственного производства в целом. Включает коды расчета вида использования 01:181, 01:182</t>
  </si>
  <si>
    <t>01:181</t>
  </si>
  <si>
    <t>Обеспечение сельскохозяйственного производства. Размещение машинно-транспортных и ремонтных станций, ангаров и гаражей для сельскохозяйственной техники</t>
  </si>
  <si>
    <t>01:182</t>
  </si>
  <si>
    <t>Обеспечение сельскохозяйственного производства. Размещение водонапорных башен, трансформаторных станций и иного технического оборудования, используемого для ведения сельского хозяйства</t>
  </si>
  <si>
    <t>03:011</t>
  </si>
  <si>
    <t>Коммунальное обслуживание. Размещение ОКС в целях обеспечения физических и юридических лиц коммунальными услугами, в частности: поставка воды, тепла, электричества, газа, предоставление услуг связи (отвод канализационных стоков, водопроводы, линии электропередач, газопроводы, линии связи и прочие линейные объекты)</t>
  </si>
  <si>
    <t>03:012</t>
  </si>
  <si>
    <t>Коммунальное обслуживание. Размещение ОКС в целях обеспечения физических и юридических лиц коммунальными услугами, в частности: котельные, водозаборы, очистные сооружения, насосные станции, трансформаторные подстанции, телефонные станции, стоянки, гаражи и мастерские для обслуживания уборочной и аварийной техники</t>
  </si>
  <si>
    <t>03:093</t>
  </si>
  <si>
    <t>Обеспечение деятельности в области гидрометеорологии и смежных с ней областях. Размещение ОКС, предназначенных для наблюдений за физическими и химическими процессами, происходящими в окружающей среде, определения ее гидрометеорологических, агрометеорологических и гелиогеофизических характеристик, уровня загрязнения атмосферного воздуха, почв, водных объектов, в том числе по гидробиологическим показателям, и околоземного - космического пространства, зданий и сооружений, используемых в области гидрометеорологии и смежных с ней областях (доплеровские метеорологические радиолокаторы, гидрологические посты и другие)</t>
  </si>
  <si>
    <t>04:095</t>
  </si>
  <si>
    <t>Объекты придорожного сервиса. Размещение автозаправочных станций (бензиновых, газовых)</t>
  </si>
  <si>
    <t>04:098</t>
  </si>
  <si>
    <t>Объекты придорожного сервиса. Размещение автомобильных моек и прачечных для автомобильных принадлежностей</t>
  </si>
  <si>
    <t>04:099</t>
  </si>
  <si>
    <t>Объекты придорожного сервиса. Размещение мастерских, предназначенных для ремонта и обслуживания автомобилей и прочих объектов придорожного сервиса</t>
  </si>
  <si>
    <t>05:040</t>
  </si>
  <si>
    <t>Причалы для маломерных судов. Размещение сооружений, предназначенных для причаливания, хранения и обслуживания яхт, катеров, лодок и других маломерных судов</t>
  </si>
  <si>
    <t>06:010</t>
  </si>
  <si>
    <t>Недропользование. Осуществление геологических изысканий, добыча недр открытым (карьеры, отвалы) способом</t>
  </si>
  <si>
    <t>06:011</t>
  </si>
  <si>
    <t>Недропользование. Осуществление геологических изысканий, добыча недр закрытым (шахты, скважины) способом</t>
  </si>
  <si>
    <t>06:012</t>
  </si>
  <si>
    <t>Недропользование. Размещение ОКС, в том числе подземных, в целях добычи недр</t>
  </si>
  <si>
    <t>06:013</t>
  </si>
  <si>
    <t>Недропользование. Размещение ОКС, необходимых для подготовки сырья к транспортировке и (или) промышленной переработке</t>
  </si>
  <si>
    <t>06:014</t>
  </si>
  <si>
    <t>Недропользование. Размещение ОКС, предназначенных для проживания в них сотрудников, осуществляющих обслуживание зданий и сооружений, необходимых для целей недропользования, если добыча недр происходит на межселенной территории</t>
  </si>
  <si>
    <t>06:020</t>
  </si>
  <si>
    <t>Тяжелая промышленность. Размещение ОКС горно-обогатительной и горно-перерабатывающей, металлургической, машиностроительной промышленности, а также изготовления и ремонта продукции судостроения, авиастроения, вагоностроения, машиностроения, станкостроения, а также других подобных промышленных предприятий, для эксплуатации которых предусматривается установление охранных или санитарно-защитных зон, за исключением случаев, когда объект промышленности отнесен к иному виду использования</t>
  </si>
  <si>
    <t>06:021</t>
  </si>
  <si>
    <t>Автомобилестроительная промышленность. Размещение ОКС, предназначенных для производства транспортных средств и оборудования, производства автомобилей, производства автомобильных кузовов, производства прицепов, полуприцепов и контейнеров, предназначенных для перевозки одним или несколькими видами транспорта, производства частей и принадлежностей автомобилей и их двигателей</t>
  </si>
  <si>
    <t>06:030</t>
  </si>
  <si>
    <t>Легкая промышленность. Размещение ОКС, предназначенных для текстильной, фарфорово-фаянсовой, электронной промышленности</t>
  </si>
  <si>
    <t>06:031</t>
  </si>
  <si>
    <t>Фармацевтическая промышленность. Размещение ОКС, предназначенных для фармацевтического производства, в том числе объектов, в отношении которых предусматривается установление охранных или санитарно-защитных зон</t>
  </si>
  <si>
    <t>06:040</t>
  </si>
  <si>
    <t>Пищевая промышленность. Размещение объектов пищевой промышленности, по переработке сельскохозяйственной продукции способом, приводящим к их переработке в иную продукцию (консервирование, копчение, хлебопечение), в том числе для производства напитков, алкогольных напитков и табачных изделий</t>
  </si>
  <si>
    <t>06:050</t>
  </si>
  <si>
    <t>Нефтехимическая промышленность. Размещение ОКС, предназначенных для переработки углеводородного сырья, изготовления удобрений, полимеров, химической продукции бытового назначения и подобной продукции, а также другие подобные промышленные предприятия</t>
  </si>
  <si>
    <t>06:060</t>
  </si>
  <si>
    <t>Строительная промышленность. Размещение ОКС, предназначенных для производства: строительных материалов (кирпичей, пиломатериалов, цемента, крепежных материалов), бытового и строительного газового и сантехнического оборудования, лифтов и подъемников, столярной продукции, сборных домов или их частей и тому подобной продукции</t>
  </si>
  <si>
    <t>06:070</t>
  </si>
  <si>
    <t>Энергетика. Размещение объектов гидроэнергетики, размещение обслуживающих и вспомогательных для электростанций сооружений (гидротехнических сооружений)</t>
  </si>
  <si>
    <t>06:071</t>
  </si>
  <si>
    <t>Энергетика. Размещение объектов тепловых станций и других электростанций, за исключением кода расчета вида использования 06:073, размещение обслуживающих и вспомогательных для электростанций сооружений (золоотвалов)</t>
  </si>
  <si>
    <t>06:072</t>
  </si>
  <si>
    <t>Энергетика. Размещение объектов электросетевого хозяйства, за исключением объектов энергетики, размещение которых предусмотрено кодом расчета вида использования 03:012</t>
  </si>
  <si>
    <t>06:073</t>
  </si>
  <si>
    <t>Атомная энергетика. Размещение объектов использования атомной энергии, в том числе атомных станций, ядерных установок (за исключением создаваемых в научных целях), пунктов хранения ядерных материалов и радиоактивных веществ, размещение обслуживающих и вспомогательных для электростанций сооружений</t>
  </si>
  <si>
    <t>06:074</t>
  </si>
  <si>
    <t>Атомная энергетика. Размещение объектов электросетевого хозяйства, обслуживающих атомные электростанции</t>
  </si>
  <si>
    <t>06:080</t>
  </si>
  <si>
    <t>Склады. Размещение сооружений, имеющих назначение по временному хранению, распределению и перевалке грузов (за исключением хранения стратегических запасов), не являющихся частями производственных комплексов, на которых был создан груз: промышленные базы, склады, погрузочные терминалы и доки, за исключением железнодорожных перевалочных складов</t>
  </si>
  <si>
    <t>06:091</t>
  </si>
  <si>
    <t>Склады. Размещение сооружений, имеющих назначение по временному хранению, распределению и перевалке грузов (за исключением хранения стратегических запасов), не являющихся частями производственных комплексов, на которых был создан груз: нефтехранилища и нефтеналивные станции, газовые хранилища и обслуживающие их газоконденсатные и газоперекачивающие станции</t>
  </si>
  <si>
    <t>06:092</t>
  </si>
  <si>
    <t>Склады. Размещение сооружений, имеющих назначение по временному хранению, распределению и перевалке грузов (за исключением хранения стратегических запасов), не являющихся частями производственных комплексов, на которых был создан груз: элеваторы и продовольственные склады, за исключением железнодорожных перевалочных складов</t>
  </si>
  <si>
    <t>06:093</t>
  </si>
  <si>
    <t>Склады. Размещение сооружений, имеющих назначение по временному хранению, распределению и перевалке грузов (за исключением хранения стратегических запасов), не являющихся частями производственных комплексов, на которых был создан груз: промышленные базы, склады, погрузочные терминалы и доки, нефтехранилища и нефтеналивные станции, газовые хранилища и обслуживающие их газоконденсатные и газоперекачивающие станции, элеваторы и продовольственные склады, за исключением железнодорожных перевалочных складов</t>
  </si>
  <si>
    <t>06:100</t>
  </si>
  <si>
    <t>Обеспечение космической деятельности. Размещение космодромов, стартовых комплексов и пусковых установок, полигонов приземления космических объектов, объектов экспериментальной базы для отработки космической техники</t>
  </si>
  <si>
    <t>06:101</t>
  </si>
  <si>
    <t>Обеспечение космической деятельности. Размещение командно-измерительных комплексов, центров и пунктов управления полетами космических объектов, пунктов приема, хранения и переработки информации, баз хранения космической техники, центров и оборудования для подготовки космонавтов, других сооружений, используемых при осуществлении космической деятельности</t>
  </si>
  <si>
    <t>06:110</t>
  </si>
  <si>
    <t>Целлюлозно-бумажная промышленность. Размещение ОКС, предназначенных для целлюлозно-бумажного производства, производства целлюлозы, древесной массы, бумаги, картона и изделий из них</t>
  </si>
  <si>
    <t>06:111</t>
  </si>
  <si>
    <t>Целлюлозно-бумажная промышленность. Размещение ОКС, предназначенных для издательской и полиграфической деятельности, тиражирования записанных носителей информации</t>
  </si>
  <si>
    <t>07:010</t>
  </si>
  <si>
    <t>Железнодорожный транспорт. Размещение железнодорожных путей</t>
  </si>
  <si>
    <t>07:011</t>
  </si>
  <si>
    <t>Железнодорожный транспорт. Размещение зданий и сооружений, в том числе железнодорожных вокзалов и станций</t>
  </si>
  <si>
    <t>07:012</t>
  </si>
  <si>
    <t>Железнодорожный транспорт. Размещение зданий и сооружений, в том числе устройств и объектов, необходимых для эксплуатации, содержания, строительства, реконструкции, ремонта наземных и подземных зданий, сооружений, устройств и других объектов железнодорожного транспорта</t>
  </si>
  <si>
    <t>07:013</t>
  </si>
  <si>
    <t>Железнодорожный транспорт. Размещение погрузочно-разгрузочных площадок, прирельсовых складов (за исключением складов горюче-смазочных материалов и автозаправочных станций любых типов, а также складов, предназначенных для хранения опасных веществ и материалов, не предназначенных непосредственно для обеспечения железнодорожных перевозок) и иных объектов при условии соблюдения требований безопасности движения, установленных федеральными законами</t>
  </si>
  <si>
    <t>07:014</t>
  </si>
  <si>
    <t>Железнодорожный транспорт. Размещение наземных сооружений метрополитена, в том числе посадочных станций, вентиляционных шахт</t>
  </si>
  <si>
    <t>07:015</t>
  </si>
  <si>
    <t>Железнодорожный транспорт. Размещение наземных сооружений для трамвайного сообщения и иных специальных дорог (канатных, монорельсовых, фуникулеров)</t>
  </si>
  <si>
    <t>07:020</t>
  </si>
  <si>
    <t>Автомобильный транспорт. Размещение автомобильных дорог и технически связанных с ними сооружений</t>
  </si>
  <si>
    <t>07:030</t>
  </si>
  <si>
    <t>Водный транспорт. Размещение искусственно созданных для судоходства внутренних водных путей, размещение ОКС внутренних водных путей, навигационного оборудования и других объектов, необходимых для обеспечения судоходства и водных перевозок</t>
  </si>
  <si>
    <t>07:031</t>
  </si>
  <si>
    <t>Водный транспорт. Размещение ОКС морских портов и речных портов, причалов, пристаней, гидротехнических сооружений</t>
  </si>
  <si>
    <t>07:032</t>
  </si>
  <si>
    <t>Водный транспорт. Размещение ОКС гидротехнических сооружений, за исключением кодов расчета вида использования 07:030, 07:031</t>
  </si>
  <si>
    <t>07:040</t>
  </si>
  <si>
    <t>Воздушный транспорт. Размещение аэродромов, вертолетных площадок (вертодромов), обустройство мест для приводнения и причаливания гидросамолетов, размещение аэропортов (аэровокзалов) и иных объектов, необходимых для посадки и высадки пассажиров и их сопутствующего обслуживания и обеспечения их безопасности, а также размещение объектов, необходимых для погрузки, разгрузки и хранения грузов, перемещаемых воздушным путем</t>
  </si>
  <si>
    <t>07:041</t>
  </si>
  <si>
    <t>Воздушный транспорт. Размещение радиотехнического обеспечения полетов и прочих объектов, необходимых для взлета и приземления (приводнения) воздушных судов, размещение аэропортов (аэровокзалов)</t>
  </si>
  <si>
    <t>07:042</t>
  </si>
  <si>
    <t>Воздушный транспорт. Размещение объектов, предназначенных для технического обслуживания и ремонта воздушных судов</t>
  </si>
  <si>
    <t>07:050</t>
  </si>
  <si>
    <t>Трубопроводный транспорт. Размещение магистральных нефтепроводов, водопроводов, газопроводов и иных трубопроводов</t>
  </si>
  <si>
    <t>07:051</t>
  </si>
  <si>
    <t>Трубопроводный транспорт. Размещение зданий и сооружений, необходимых для эксплуатации трубопроводов, предусмотренных кодом расчета вида использования 07:050</t>
  </si>
  <si>
    <t>08:010</t>
  </si>
  <si>
    <t>Обеспечение вооруженных сил. Размещение ОКС, предназначенных для разработки, испытания, производства ремонта или уничтожения вооружения, техники военного назначения и боеприпасов</t>
  </si>
  <si>
    <t>08:012</t>
  </si>
  <si>
    <t>Обеспечение вооруженных сил. Размещение ОКС, необходимых для создания и хранения запасов материальных ценностей в государственном и мобилизационном резервах (хранилища, склады и другие объекты)</t>
  </si>
  <si>
    <t>08:013</t>
  </si>
  <si>
    <t>Обеспечение вооруженных сил. Размещение объектов, для обеспечения безопасности которых были созданы закрытые административно-территориальные образования</t>
  </si>
  <si>
    <t>08:031</t>
  </si>
  <si>
    <t>Обеспечение внутреннего правопорядка. Размещение объектов гражданской обороны, за исключением объектов гражданской обороны, являющихся частями производственных зданий</t>
  </si>
  <si>
    <t>10:011</t>
  </si>
  <si>
    <t>Заготовка древесины. Частичная переработка и хранение древесины, размещение сооружений, необходимых для обработки и хранения древесины (лесных складов, лесопилен)</t>
  </si>
  <si>
    <t>10:012</t>
  </si>
  <si>
    <t>Заготовка древесины. Создание лесных дорог</t>
  </si>
  <si>
    <t>11:030</t>
  </si>
  <si>
    <t>Гидротехнические сооружения. Размещение гидротехнических сооружений, необходимых для эксплуатации водохранилищ (плотин, водосбросов, водозаборных, водовыпускных и других гидротехнических сооружений, судопропускных сооружений, рыбозащитных и рыбопропускных сооружений, берегозащитных сооружений), за исключением кодов расчета вида использования 06:070, 07:030-07:032</t>
  </si>
  <si>
    <t>12:001</t>
  </si>
  <si>
    <t>Размещение объектов улично-дорожной сети, автомобильных дорог и пешеходных тротуаров в границах населенных пунктов, пешеходных переходов, площадей, проездов</t>
  </si>
  <si>
    <t>06:998</t>
  </si>
  <si>
    <t>здания/нежилые здания/сооружения по документу с производственным использованием по классификатору</t>
  </si>
  <si>
    <t>06:999</t>
  </si>
  <si>
    <t>Иной вид использования в сегменте "Производственная деятельность"</t>
  </si>
  <si>
    <t>02:071</t>
  </si>
  <si>
    <t>Объекты гаражного назначения. Размещение отдельно стоящих и пристроенных одноэтажных гаражей надземных, предназначенных для хранения личного автотранспорта граждан (в том числе в квартальной жилой застройке)</t>
  </si>
  <si>
    <t>04:021</t>
  </si>
  <si>
    <t>Объекты торговли (торговые центры, торгово-развлекательные центры (комплексы). Размещение гаражей и (или) стоянок для автомобилей сотрудников и посетителей торгового центра</t>
  </si>
  <si>
    <t>04:031</t>
  </si>
  <si>
    <t>Рынки. Размещение гаражей и (или) стоянок для автомобилей сотрудников и посетителей рынка</t>
  </si>
  <si>
    <t>04:090</t>
  </si>
  <si>
    <t>Обслуживание автотранспорта в целом. Размещение постоянных или временных гаражей с несколькими стояночными местами, стоянок (парковок), гаражей, в том числе многоярусных, не указанных в кодах расчета вида использования 02:071, 03:012, 04:021, 04:031</t>
  </si>
  <si>
    <t>04:091</t>
  </si>
  <si>
    <t>Обслуживание автотранспорта. Размещение открытых площадок, предназначенных для хранения автотранспорта</t>
  </si>
  <si>
    <t>04:092</t>
  </si>
  <si>
    <t>Обслуживание автотранспорта. Размещение отдельно стоящих и сблокированных одноэтажных гаражей, предназначенных для хранения личного автотранспорта граждан, имеющих общую внутриплощадочную транспортную и инженерную инфраструктуру (дороги, электрификацию и пр.), с возможностью размещения автомобильных моек</t>
  </si>
  <si>
    <t>04:093</t>
  </si>
  <si>
    <t>Обслуживание автотранспорта. Размещение отдельно стоящих и пристроенных гаражей подземных, независимо от этажности и количества парковочных мест, в том числе не разделенных на гаражные боксы, предназначенных для хранения автотранспорта, с возможностью размещения автомобильных моек</t>
  </si>
  <si>
    <t>04:094</t>
  </si>
  <si>
    <t>Обслуживание автотранспорта. Размещение отдельно стоящих и пристроенных гаражей многоярусных, независимо от этажности и количества парковочных мест, в том числе не разделенных на гаражные боксы, предназначенных для хранения автотранспорта, с возможностью размещения автомобильных моек</t>
  </si>
  <si>
    <t>07:023</t>
  </si>
  <si>
    <t>Автомобильный транспорт. Под оборудование для открытых стоянок автомобильного транспорта</t>
  </si>
  <si>
    <t>07:024</t>
  </si>
  <si>
    <t>Автомобильный транспорт. Размещение депо (устройства мест стоянок) автомобильного транспорта, осуществляющего перевозки людей по установленному маршруту</t>
  </si>
  <si>
    <t>07:999</t>
  </si>
  <si>
    <t>Иной вид использования в сегменте "Транспорт"</t>
  </si>
  <si>
    <t>08:020</t>
  </si>
  <si>
    <t>Охрана Государственной границы Российской Федерации. Размещение инженерных сооружений и заграждений, пограничных знаков, коммуникаций и других объектов, необходимых для обеспечения защиты и охраны Государственной границы Российской Федерации, устройство пограничных просек и контрольных полос</t>
  </si>
  <si>
    <t>08:999</t>
  </si>
  <si>
    <t>Иной вид использования в сегменте "Обеспечение обороны и безопасности"</t>
  </si>
  <si>
    <t>02:016</t>
  </si>
  <si>
    <t>Обустройство спортивных и детских площадок, площадок отдыха на территории малоэтажной многоквартирной жилой застройки</t>
  </si>
  <si>
    <t>02:032</t>
  </si>
  <si>
    <t>Блокированная жилая застройка. Обустройство спортивных и детских площадок, площадок отдыха на территории блокированной жилой застройки</t>
  </si>
  <si>
    <t>02:052</t>
  </si>
  <si>
    <t>Среднеэтажная жилая застройка. Обустройство спортивных и детских площадок, площадок отдыха на территории квартальной застройки</t>
  </si>
  <si>
    <t>02:062</t>
  </si>
  <si>
    <t>Многоэтажная жилая застройка. Обустройство спортивных и детских площадок, площадок отдыха на территории квартальной застройки</t>
  </si>
  <si>
    <t>05:031</t>
  </si>
  <si>
    <t>Охота и рыбалка. Обустройство мест охоты и рыбалки, в том числе сооружений, необходимых для восстановления и поддержания поголовья зверей или количества рыбы</t>
  </si>
  <si>
    <t>09:010</t>
  </si>
  <si>
    <t>Охрана природных территорий. Сохранение и изучение растительного и животного мира путем создания особо охраняемых природных территорий, в границах которых хозяйственная деятельность, кроме деятельности, связанной с охраной и изучением природы, не допускается (государственные природные заповедники, национальные и природные парки, памятники природы, дендрологические парки, ботанические сады), сохранение отдельных естественных качеств окружающей природной среды путем ограничения хозяйственной деятельности, в частности: создание и уход за запретными полосами, создание и уход за защитными лесами, в том числе городскими лесами, лесами в лесопарках, и иная хозяйственная деятельность, разрешенная в защитных лесах, соблюдение режима использования природных ресурсов в заказниках, сохранение свойств земель, являющихся особо ценными</t>
  </si>
  <si>
    <t>09:020</t>
  </si>
  <si>
    <t>Курортная деятельность. Использование для лечения и оздоровления человека природных лечебных ресурсов (месторождения минеральных вод, лечебные грязи, рапой лиманов и озер, особый климат и иные природные факторы и условия, которые используются или могут использоваться для профилактики и лечения заболеваний человека), а также охрана лечебных ресурсов от истощения и уничтожения в границах зоны горно-санитарной или санитарной охраны лечебно-оздоровительных местностей и курорта</t>
  </si>
  <si>
    <t>09:022</t>
  </si>
  <si>
    <t>Санаторная деятельность. Обустройство лечебно-оздоровительных местностей (пляжи, бюветы, места добычи целебной грязи)</t>
  </si>
  <si>
    <t>12:002</t>
  </si>
  <si>
    <t>Размещение в границах населенных пунктов набережных, береговых полос водных объектов общего пользования</t>
  </si>
  <si>
    <t>12:003</t>
  </si>
  <si>
    <t>Размещение в границах населенных пунктов скверов, бульваров, малых архитектурных форм благоустройства</t>
  </si>
  <si>
    <t>09:999</t>
  </si>
  <si>
    <t>Иной вид использования в сегменте "Деятельность по особой охране и изучению природы"</t>
  </si>
  <si>
    <t>09:998</t>
  </si>
  <si>
    <t>Территории общего пользования - остановки и остановочные комплексы</t>
  </si>
  <si>
    <t>09:997</t>
  </si>
  <si>
    <t>Территории общего пользования - без указания уточняющей функции</t>
  </si>
  <si>
    <t>09:996</t>
  </si>
  <si>
    <t>Территории общего пользования - размещение автомобильных дорог и технически связанных с ними сооружений</t>
  </si>
  <si>
    <t>09:995</t>
  </si>
  <si>
    <t>Территории общего пользования - размещение объектов улично-дорожной сети, автомобильных дорог и пешеходных тротуаров в границах населенных пунктов, пешеходных переходов, площадей, проездов</t>
  </si>
  <si>
    <t>10:010</t>
  </si>
  <si>
    <t>Заготовка древесины. Рубка лесных насаждений, выросших в природных условиях, а также выращенных трудом человека, в том числе гражданами для собственных нужд, охрана и восстановление лесов</t>
  </si>
  <si>
    <t>10:020</t>
  </si>
  <si>
    <t>Лесные плантации. Выращивание и рубка лесных насаждений</t>
  </si>
  <si>
    <t>10:030</t>
  </si>
  <si>
    <t>Заготовка лесных ресурсов. Заготовка живицы, сбор недревесных лесных ресурсов, в том числе гражданами для собственных нужд, заготовка пищевых лесных ресурсов и дикорастущих растений, хранение, неглубокая переработка и вывоз добытых лесных ресурсов, размещение временных сооружений, необходимых для хранения и неглубокой переработки лесных ресурсов (сушилки, грибоварни, склады), охрана лесов</t>
  </si>
  <si>
    <t>10:040</t>
  </si>
  <si>
    <t>Резервные леса. Деятельность, связанная с охраной лесов</t>
  </si>
  <si>
    <t>10:999</t>
  </si>
  <si>
    <t>Иной вид использования в сегменте "Использование лесов"</t>
  </si>
  <si>
    <t>11:010</t>
  </si>
  <si>
    <t>Общее пользование водными объектами. Использование земельных участков, примыкающих к водным объектам способами, необходимыми для осуществления общего водопользования (водопользования, осуществляемого гражданами для личных нужд, а также забор (изъятие) водных ресурсов для целей питьевого и хозяйственно-бытового водоснабжения, купание, использование маломерных судов, водных мотоциклов и других технических средств, предназначенных для отдыха на водных объектах, водопой, если соответствующие запреты не установлены)</t>
  </si>
  <si>
    <t>11:020</t>
  </si>
  <si>
    <t>Специальное пользование водными объектами. Использование земельных участков, примыкающих к водным объектам способами, необходимыми для специального водопользования (забор водных ресурсов из поверхностных водных объектов, сброс сточных вод и (или) дренажных вод, проведение дноуглубительных, взрывных, буровых и других работ, связанных с изменением дна и берегов водных объектов)</t>
  </si>
  <si>
    <t>11:999</t>
  </si>
  <si>
    <t>Иной вид использования в сегменте "Водные объекты"</t>
  </si>
  <si>
    <t>08:011</t>
  </si>
  <si>
    <t>Обеспечение вооруженных сил. Обустройство земельных участков в качестве испытательных полигонов, мест уничтожения вооружения и захоронения отходов, возникающих в связи с использованием, производством, ремонтом или уничтожением вооружений или боеприпасов</t>
  </si>
  <si>
    <t>12:010</t>
  </si>
  <si>
    <t>Ритуальная деятельность. Размещение кладбищ, крематориев и мест захоронения, культовых сооружений</t>
  </si>
  <si>
    <t>12:020</t>
  </si>
  <si>
    <t>Специальная деятельность. Размещение, хранение, захоронение, утилизация, накопление, обработка, обезвреживание отходов производства и потребления, медицинских отходов, биологических отходов, радиоактивных отходов, веществ, разрушающих озоновый слой, полигонов по захоронению бытового мусора и отходов</t>
  </si>
  <si>
    <t>12:021</t>
  </si>
  <si>
    <t>Специальная деятельность. Размещение объектов размещения отходов, захоронения, хранения, обезвреживания отходов (скотомогильников, мусоросжигательных и мусороперерабатывающих заводов), объектов по сортировке бытового мусора и отходов, мест сбора вещей для их вторичной переработки</t>
  </si>
  <si>
    <t>12:030</t>
  </si>
  <si>
    <t>Запас. Отсутствие хозяйственной деятельности</t>
  </si>
  <si>
    <t>12:999</t>
  </si>
  <si>
    <t>Иной вид использования в сегменте "Специальное, ритуальное использование, запас"</t>
  </si>
  <si>
    <t>Индивидуальное жилищное строительство в целом</t>
  </si>
  <si>
    <t>Размещение индивидуального жилого дома (дом, пригодный для постоянного проживания, высотой не выше трех надземных этажей), размещение индивидуальных гаражей и подсобных сооружений, исходя из минимальных норм отвода земельных участков для индивидуального жилищного строительства (ИЖС)</t>
  </si>
  <si>
    <t>02:013</t>
  </si>
  <si>
    <t>Малоэтажная многоквартирная жилая застройка в целом</t>
  </si>
  <si>
    <t>Размещение малоэтажного многоквартирного жилого дома (дом, пригодный для постоянного проживания, высотой до 4 этажей, включая мансардный), размещение индивидуальных гаражей и вспомогательных сооружений исходя из минимальных норм отвода участков для малоэтажных многоквартирных жилых домов</t>
  </si>
  <si>
    <t>Ведение личного подсобного хозяйства с правом застройки в целом</t>
  </si>
  <si>
    <t>Ведение личного подсобного хозяйства. Размещение жилого дома, не предназначенного для раздела на квартиры (дома, пригодные для постоянного проживания и высотой не выше трех надземных этажей), размещение гаража и иных вспомогательных сооружений, в том числе зданий и сооружений для содержания сельскохозяйственных животных</t>
  </si>
  <si>
    <t>02:030</t>
  </si>
  <si>
    <t>Блокированная жилая застройка в целом</t>
  </si>
  <si>
    <t>Блокированная жилая застройка. Размещение жилого дома, не предназначенного для раздела на квартиры, имеющего одну или несколько общих стен с соседними жилыми домами (количеством этажей не более чем три, при общем количестве совмещенных домов не более десяти, и каждый из которых предназначен для проживания одной семьи, имеет общую стену (общие стены) без проемов с соседним блоком или соседними блоками, расположен на отдельном земельном участке и имеет выход на территорию общего пользования (жилые дома блокированной застройки), размещение индивидуальных гаражей и иных вспомогательных сооружений</t>
  </si>
  <si>
    <t>Ведение огородничества и Палисадники. Осуществление отдыха и (или) деятельности, связанной с выращиванием гражданами для собственных нужд сельскохозяйственных культур; размещение хозяйственных построек, не являющихся объектами недвижимости, предназначенных для хранения инвентаря и урожая сельскохозяйственных культур</t>
  </si>
  <si>
    <t>Ведение садоводства. Размещение садового дома, предназначенного для отдыха и не подлежащего разделу на квартиры</t>
  </si>
  <si>
    <t>13:999</t>
  </si>
  <si>
    <t>Иной вид использования в сегменте "Садоводство и огородничество, малоэтажная жилая застройка"</t>
  </si>
  <si>
    <t>Дачные, садовые и огородные участки в организованных коттеджных поселках.</t>
  </si>
  <si>
    <t>02:023</t>
  </si>
  <si>
    <t>Ведение крестьянско-фермерского хозяйства. Размещение жилого дома, не предназначенного для раздела на квартиры (дома, пригодные для постоянного проживания и высотой не выше трех надземных этажей), размещение гаража и иных вспомогательных сооружений, в том числе зданий и сооружений для содержания сельскохозяйственных животных</t>
  </si>
  <si>
    <t>02:019</t>
  </si>
  <si>
    <t>Размещение индивидуального жилого дома в организованных коттеджных поселках</t>
  </si>
  <si>
    <t>13:000</t>
  </si>
  <si>
    <t>Малоэтажная жилая застройка без  уточнения этажности и характера использования земельного участка</t>
  </si>
  <si>
    <t>14:000</t>
  </si>
  <si>
    <t>Иное использование</t>
  </si>
  <si>
    <t>Связь. Размещение объектов связи, радиовещания, телевидения, включая воздушные радиорелейные, надземные и подземные кабельные линии связи, линии радиофикации, антенные поля, усилительные пункты на кабельных линиях связи, инфраструктуры спутниковой связи и телерадиовещания, за исключением объектов связи, размещение которых предусмотрено кодом расчета вида использования 03:011, диспетчерские</t>
  </si>
  <si>
    <t>Old_Utlbydoc</t>
  </si>
  <si>
    <t>Поправка на Газоснабжение</t>
  </si>
  <si>
    <t>Поправка на Электроснабжение</t>
  </si>
  <si>
    <t>Поправка на Водоснабжение</t>
  </si>
  <si>
    <t>Поправка на Водоотведение</t>
  </si>
  <si>
    <t>Поправка на Управленческий округ</t>
  </si>
  <si>
    <t>Поправка на Статус и численность населенного пункта</t>
  </si>
  <si>
    <t>Поправка на Вид разрешённого использования</t>
  </si>
  <si>
    <t>Поправка на ЛЭП над участком</t>
  </si>
  <si>
    <t>Поправка на Расстояние до Екатеринбурга</t>
  </si>
  <si>
    <t>Поправка на Расстояние до центра муниципального образования</t>
  </si>
  <si>
    <t>Поправка на Локальный центр</t>
  </si>
  <si>
    <t>Поправка на Уторгование</t>
  </si>
  <si>
    <t>Правило для ВРИ</t>
  </si>
  <si>
    <t>Новая модель</t>
  </si>
  <si>
    <t>ID</t>
  </si>
  <si>
    <t>CadastralBlock</t>
  </si>
  <si>
    <t>Area</t>
  </si>
  <si>
    <t>ParcelCategory</t>
  </si>
  <si>
    <t>DistanceToCMO</t>
  </si>
  <si>
    <t>PresencePower</t>
  </si>
  <si>
    <t>KodMO</t>
  </si>
  <si>
    <t>PresenceGas</t>
  </si>
  <si>
    <t>PresenceWaterDisposal</t>
  </si>
  <si>
    <t>PresenceWaterSupply</t>
  </si>
  <si>
    <t>DistanceToEKB</t>
  </si>
  <si>
    <t>LocalityCode</t>
  </si>
  <si>
    <t>OldLocalityCode</t>
  </si>
  <si>
    <t>Statement</t>
  </si>
  <si>
    <t>Type_Statement</t>
  </si>
  <si>
    <t>Status_Statement</t>
  </si>
  <si>
    <t>Sp_flag</t>
  </si>
  <si>
    <t>inputpacket_date</t>
  </si>
  <si>
    <t>Date_comm</t>
  </si>
  <si>
    <t>Sol_comm</t>
  </si>
  <si>
    <t>FlagLocalityCode</t>
  </si>
  <si>
    <t>Flag_VRI</t>
  </si>
  <si>
    <t>FlagParam</t>
  </si>
  <si>
    <t>Flag_VRIoldspr</t>
  </si>
  <si>
    <t>Flag_VRInewspr</t>
  </si>
  <si>
    <t>VRICode_NEW</t>
  </si>
  <si>
    <t>PraviloVRI</t>
  </si>
  <si>
    <t>ID_Group</t>
  </si>
  <si>
    <t>UtilizationByDoc</t>
  </si>
  <si>
    <t>New_id_group</t>
  </si>
  <si>
    <t>Parcels</t>
  </si>
  <si>
    <r>
      <t xml:space="preserve">ВРИ по документу </t>
    </r>
    <r>
      <rPr>
        <b/>
        <i/>
        <sz val="10"/>
        <color theme="1"/>
        <rFont val="Calibri"/>
        <family val="2"/>
        <charset val="204"/>
        <scheme val="minor"/>
      </rPr>
      <t>старое</t>
    </r>
  </si>
  <si>
    <t>Суд</t>
  </si>
  <si>
    <t>Дата заседания</t>
  </si>
  <si>
    <t>Court</t>
  </si>
  <si>
    <t>Date_Court</t>
  </si>
  <si>
    <t>СТ16_Ф1_М13_18052021_Бунаков_Измененные</t>
  </si>
  <si>
    <t>Проверка отклонения УПКС от текущего диапазона и  контроль значительного изменения КС</t>
  </si>
  <si>
    <t>Участие объекта на комиссии, в заявлениях, в судах и прочее</t>
  </si>
  <si>
    <t>Вверно, если расходждение составляет 0,00 руб. Если расхождение составляет более 0,01 -ценовые факторы подобраны неверно. Требуется анализ</t>
  </si>
  <si>
    <t>Текущий диапазон УПКС от 9 руб. до 873 руб.</t>
  </si>
  <si>
    <t>Сравнение расчета с предыдущим расчетом</t>
  </si>
  <si>
    <t>ВРИ по документу старое (обновление поля)</t>
  </si>
  <si>
    <r>
      <t>Код расчета вида использования текущий (</t>
    </r>
    <r>
      <rPr>
        <b/>
        <i/>
        <sz val="10"/>
        <color theme="1"/>
        <rFont val="Calibri"/>
        <family val="2"/>
        <charset val="204"/>
        <scheme val="minor"/>
      </rPr>
      <t>старый</t>
    </r>
    <r>
      <rPr>
        <i/>
        <sz val="10"/>
        <color theme="1"/>
        <rFont val="Calibri"/>
        <family val="2"/>
        <charset val="204"/>
        <scheme val="minor"/>
      </rPr>
      <t>)</t>
    </r>
  </si>
  <si>
    <r>
      <t>ВРИ по документу</t>
    </r>
    <r>
      <rPr>
        <b/>
        <i/>
        <sz val="10"/>
        <color theme="1"/>
        <rFont val="Calibri"/>
        <family val="2"/>
        <charset val="204"/>
        <scheme val="minor"/>
      </rPr>
      <t xml:space="preserve"> новое</t>
    </r>
  </si>
  <si>
    <r>
      <t xml:space="preserve">Код расчета вида использования </t>
    </r>
    <r>
      <rPr>
        <b/>
        <i/>
        <sz val="10"/>
        <color theme="1"/>
        <rFont val="Calibri"/>
        <family val="2"/>
        <charset val="204"/>
        <scheme val="minor"/>
      </rPr>
      <t>новый</t>
    </r>
  </si>
  <si>
    <t>Возможно изменение кода расчета, но при этом ЦФ может не меняться ,например: 02:010 стал 02:011- все ИЖС</t>
  </si>
  <si>
    <t>Изменение Кода расчета</t>
  </si>
  <si>
    <t>Ценовой фактор ВРИ в модели</t>
  </si>
  <si>
    <t xml:space="preserve">Повтор предыдущего расчета </t>
  </si>
  <si>
    <t xml:space="preserve">Расчет стоимости в рамках 16 статьи </t>
  </si>
  <si>
    <t>spr</t>
  </si>
  <si>
    <t>Select ID,Source_ID,CadastralNumber,DateCreated,CadastralBlock,Name,ObjectType,Area,AreaUnit,AreaInaccuracy,LocationinBounds,LocationPlaced,ElaborationReferenceMark,ElaborationDistance,ElaborationDirection,AddressOrLocation,FIAS,OKATO,KLADR,OKTMO,PostalCode,AddressRF,Region,DistrictName,DistrictType,CityName,CityType,UrbanDistrictName,UrbanDistrictType,SovietVillageName,SovietVillageType,LocalityName,LocalityType,PlanningElementName,PlanningElementType,StreetName,StreetType,Level1Type,Level1Value,Level2Type,Level2Value,Level3Type,Level3Value,ApartmentType,ApartmentValue,AddressOther,AddressNote,ParcelCategory,Utilization,UtilizationByDoc,UtilizationLandUse,UtilizationТхт,CostValue,CostUnit,CostDateValuation,CostDateEntering,CostDateApproval,CostDocNumber,CostDocDate,CostApplicationDate,CostRevisalStatementDate,CostApplicationLastDate,CostDocName,FacilityKN,FacilityKNPurpose,SurveyProjectNum,DecisionCodeDocument,DecisionName,DecisionSeries,DecisionNumber,DecisionDate,DecisionIssueOrgan,DecisionDesc,HiredHouseUse,HouseActBuilding,HouseActDevelopment,BuildingContractName,DevelopContractName,OwnerDecision,SupportContractName,CodeDocument,DocHiredHouseName,DocHiredHouseSeries,DocHiredHouseNumber,DocHiredHouseDate,DocHiredHouseIssueOrgan,DocHiredHouseDesc,LimitedRightNumber,CREATEOPERATORNAME,CREATEDATE,OPERATORNAME,MODIFYDATE,MI_STYLE,Specific_CadastralCost,CadastralCost,CadastralCostDesc,MO_Name,ID_Group,LocalityCode,locTypeUse2,loc_VICode,loc_GroupName,loc_VRICode,Sourse_loc_VICode,locTypeUse,inputpacket_id,loc_SgCode,VIP_Sp,Quant_Kontur,Quant_Point,Sum_Square,Sum_Perim,Proc_Diff_Square,Pr_Diff,Source_Sum_Square,SourceLocalityCode,Upload_Scroll,Date_KC,Segment,FlagLocalityCode,DistanceToRoad,DistanceToCMO,СМО,PresenceGas,SourcePresenceGas,PresenceHeating,SourcePresenceHeating,PresencePower,SourcePresencePower,PresenceWaterDisposal,SourcePresenceWaterDisposal,PresenceWaterSupply,SourcePresenceWaterSupply,DistanceToEKB,DistanceToRoadEKB,CCoordX,CCoordY,DistanceToMetro,DistanceToStationEKB,CostZone,DistanceToRRStation,costzone2,Textloc_VICode,act_sign,MaxFloor,Enc_squre,Enc_proc,Adm_rn_EKB,forestry,InfluenceZone_IGS,loc_factor_801,loc_factor_802,loc_factor_803,loc_factor_804,loc_factor_806,loc_factor_807,loc_factor_8071,loc_factor_809,loc_factor_8091,loc_factor_810,loc_factor_8101,loc_factor_811,loc_factor_8111,loc_factor_812,loc_factor_8121,loc_factor_813,loc_factor_814,loc_factor_815,loc_factor_816,loc_factor_8161,loc_factor_817,loc_factor_818,loc_factor_819,loc_factor_820,loc_factor_8201,loc_factor_821,loc_factor_822,loc_factor_823,loc_factor_8231,loc_factor_824,loc_factor_825,loc_factor_826,loc_factor_827,loc_factor_828,loc_factor_829,loc_factor_830,loc_factor_831,loc_factor_832,loc_factor_833,loc_factor_8331,loc_factor_835,loc_factor_836,loc_factor_837,loc_factor_838,Statement,Type_Statement,Status_Statement,DistanceToVZC,VRI_IGS,Cot_name,DistanceToZTB,PowerLines,loc_factor_839,KodMO,loc_factor_840,loc_factor_841,presence_entrance,loc_factor_8371,ControlSP,Sp_flag,loc_VRICode540,Status_kc,Date_comm,Sol_comm,Flag_LocalityCode,Flag_VRI,Flag_Location,FlagParam,Flag_VRIoldspr,Flag_VRInewspr,Flag_Category,OldLocalityCode,Flag_VRI_All,VRICode_NEW,PraviloVRI,New_id_group,New_loc_SgCode,New_Segment,Old_Utlbydoc,VRICode_OLD,PraviloVRI_old,Court,Date_Court,Sol_Court,(select (case count(*) when 0 then 0 else 1 end) from GEO.docboxes b where b.obj_id=PARCELS.ID and b.table_id=265) Attachment,(select sign(Count(*)) from PARCELS g where (not GEOM_OBJ is null) and (PARCELS.ID = g.ID)) GeometryExists,((select DatePacket from inputpacket where id=Parcels.inputpacket_id) ) [inputpacket_date] From PARCELS where status_kc='НЕ ГОТОВ'  AND ( CadastralCost is not Null) AND New_id_group=8013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</si>
</sst>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\ _₽_-;\-* #,##0.00\ _₽_-;_-* &quot;-&quot;??\ _₽_-;_-@_-"/>
    <numFmt numFmtId="164" formatCode="0.0000"/>
    <numFmt numFmtId="165" formatCode="#,##0.0000"/>
  </numFmts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i/>
      <sz val="10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charset val="204"/>
      <scheme val="minor"/>
    </font>
    <font>
      <sz val="10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color rgb="FFFF0000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b/>
      <sz val="10"/>
      <color rgb="FF002060"/>
      <name val="Calibri"/>
      <family val="2"/>
      <charset val="204"/>
      <scheme val="minor"/>
    </font>
    <font>
      <b/>
      <i/>
      <u/>
      <sz val="10"/>
      <name val="Calibri"/>
      <family val="2"/>
      <charset val="204"/>
      <scheme val="minor"/>
    </font>
    <font>
      <b/>
      <i/>
      <sz val="10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5">
    <xf numFmtId="0" fontId="0" fillId="0" borderId="0"/>
    <xf numFmtId="0" fontId="6" fillId="0" borderId="0"/>
    <xf numFmtId="0" fontId="6" fillId="0" borderId="0"/>
    <xf numFmtId="0" fontId="10" fillId="0" borderId="0">
      <protection locked="0"/>
    </xf>
    <xf numFmtId="0" fontId="10" fillId="0" borderId="0">
      <protection locked="0"/>
    </xf>
    <xf numFmtId="43" fontId="6" fillId="0" borderId="0" applyFont="0" applyFill="0" applyBorder="0" applyAlignment="0" applyProtection="0"/>
    <xf numFmtId="0" fontId="1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1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2" fillId="0" borderId="0"/>
    <xf numFmtId="0" fontId="1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111">
    <xf numFmtId="0" fontId="0" fillId="0" borderId="0" xfId="0"/>
    <xf numFmtId="0" fontId="3" fillId="0" borderId="0" xfId="0" applyFont="1" applyAlignment="1">
      <alignment vertical="top" wrapText="1"/>
    </xf>
    <xf numFmtId="0" fontId="4" fillId="0" borderId="0" xfId="0" applyFont="1" applyAlignment="1">
      <alignment horizontal="center" vertical="top" wrapText="1"/>
    </xf>
    <xf numFmtId="0" fontId="6" fillId="0" borderId="0" xfId="1"/>
    <xf numFmtId="0" fontId="6" fillId="0" borderId="1" xfId="1" applyBorder="1" applyAlignment="1">
      <alignment horizontal="center" vertical="center" wrapText="1"/>
    </xf>
    <xf numFmtId="0" fontId="2" fillId="0" borderId="1" xfId="1" applyFont="1" applyFill="1" applyBorder="1"/>
    <xf numFmtId="0" fontId="7" fillId="0" borderId="2" xfId="1" applyFont="1" applyFill="1" applyBorder="1" applyAlignment="1">
      <alignment horizontal="center" vertical="center" wrapText="1"/>
    </xf>
    <xf numFmtId="0" fontId="6" fillId="3" borderId="1" xfId="1" applyFill="1" applyBorder="1" applyAlignment="1">
      <alignment horizontal="center"/>
    </xf>
    <xf numFmtId="0" fontId="6" fillId="3" borderId="1" xfId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/>
    </xf>
    <xf numFmtId="0" fontId="7" fillId="3" borderId="1" xfId="1" applyFont="1" applyFill="1" applyBorder="1" applyAlignment="1">
      <alignment horizontal="center" vertical="center" wrapText="1"/>
    </xf>
    <xf numFmtId="165" fontId="7" fillId="3" borderId="1" xfId="1" applyNumberFormat="1" applyFont="1" applyFill="1" applyBorder="1" applyAlignment="1">
      <alignment horizontal="center"/>
    </xf>
    <xf numFmtId="0" fontId="9" fillId="2" borderId="1" xfId="1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/>
    </xf>
    <xf numFmtId="0" fontId="8" fillId="3" borderId="1" xfId="1" applyFont="1" applyFill="1" applyBorder="1" applyAlignment="1">
      <alignment horizontal="center" vertical="center"/>
    </xf>
    <xf numFmtId="164" fontId="7" fillId="3" borderId="1" xfId="1" applyNumberFormat="1" applyFont="1" applyFill="1" applyBorder="1" applyAlignment="1">
      <alignment horizontal="center" vertical="center"/>
    </xf>
    <xf numFmtId="0" fontId="6" fillId="3" borderId="1" xfId="1" applyFill="1" applyBorder="1" applyAlignment="1">
      <alignment horizontal="center" vertical="center"/>
    </xf>
    <xf numFmtId="0" fontId="6" fillId="4" borderId="1" xfId="1" applyFill="1" applyBorder="1" applyAlignment="1">
      <alignment horizontal="center" vertical="center" wrapText="1"/>
    </xf>
    <xf numFmtId="0" fontId="7" fillId="4" borderId="1" xfId="1" applyFont="1" applyFill="1" applyBorder="1" applyAlignment="1">
      <alignment horizontal="center" vertical="center"/>
    </xf>
    <xf numFmtId="0" fontId="8" fillId="4" borderId="1" xfId="1" applyFont="1" applyFill="1" applyBorder="1" applyAlignment="1">
      <alignment horizontal="center" vertical="center"/>
    </xf>
    <xf numFmtId="0" fontId="7" fillId="4" borderId="1" xfId="1" applyFont="1" applyFill="1" applyBorder="1" applyAlignment="1">
      <alignment horizontal="center" vertical="center" wrapText="1"/>
    </xf>
    <xf numFmtId="164" fontId="7" fillId="4" borderId="1" xfId="1" applyNumberFormat="1" applyFont="1" applyFill="1" applyBorder="1" applyAlignment="1">
      <alignment horizontal="center" vertical="center"/>
    </xf>
    <xf numFmtId="0" fontId="6" fillId="4" borderId="1" xfId="1" applyFill="1" applyBorder="1" applyAlignment="1">
      <alignment horizontal="center" vertical="center"/>
    </xf>
    <xf numFmtId="1" fontId="7" fillId="3" borderId="1" xfId="1" applyNumberFormat="1" applyFont="1" applyFill="1" applyBorder="1" applyAlignment="1">
      <alignment horizontal="center" vertical="center"/>
    </xf>
    <xf numFmtId="0" fontId="7" fillId="4" borderId="2" xfId="1" applyFont="1" applyFill="1" applyBorder="1" applyAlignment="1">
      <alignment horizontal="center" vertical="center"/>
    </xf>
    <xf numFmtId="0" fontId="7" fillId="4" borderId="6" xfId="1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 wrapText="1"/>
    </xf>
    <xf numFmtId="0" fontId="0" fillId="0" borderId="0" xfId="0"/>
    <xf numFmtId="0" fontId="3" fillId="0" borderId="0" xfId="0" applyFont="1" applyAlignment="1">
      <alignment vertical="top"/>
    </xf>
    <xf numFmtId="0" fontId="3" fillId="0" borderId="0" xfId="0" quotePrefix="1" applyFont="1" applyAlignment="1">
      <alignment vertical="top"/>
    </xf>
    <xf numFmtId="0" fontId="3" fillId="0" borderId="0" xfId="0" applyFont="1" applyAlignment="1">
      <alignment vertical="top" wrapText="1"/>
    </xf>
    <xf numFmtId="0" fontId="0" fillId="0" borderId="0" xfId="0" applyAlignment="1">
      <alignment horizontal="center" vertical="center" wrapText="1"/>
    </xf>
    <xf numFmtId="0" fontId="13" fillId="0" borderId="0" xfId="0" quotePrefix="1" applyFont="1" applyAlignment="1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 applyFill="1" applyAlignment="1">
      <alignment vertical="top" wrapText="1"/>
    </xf>
    <xf numFmtId="0" fontId="0" fillId="6" borderId="0" xfId="0" applyFill="1"/>
    <xf numFmtId="0" fontId="0" fillId="0" borderId="0" xfId="0" applyAlignment="1">
      <alignment wrapText="1"/>
    </xf>
    <xf numFmtId="0" fontId="0" fillId="0" borderId="0" xfId="0" applyFill="1"/>
    <xf numFmtId="0" fontId="1" fillId="0" borderId="0" xfId="17"/>
    <xf numFmtId="49" fontId="1" fillId="0" borderId="0" xfId="17" applyNumberFormat="1"/>
    <xf numFmtId="0" fontId="1" fillId="0" borderId="0" xfId="6"/>
    <xf numFmtId="0" fontId="0" fillId="0" borderId="0" xfId="0"/>
    <xf numFmtId="0" fontId="3" fillId="0" borderId="0" xfId="0" applyFont="1" applyAlignment="1">
      <alignment vertical="top" wrapText="1"/>
    </xf>
    <xf numFmtId="4" fontId="17" fillId="0" borderId="0" xfId="0" applyNumberFormat="1" applyFont="1" applyAlignment="1">
      <alignment wrapText="1"/>
    </xf>
    <xf numFmtId="0" fontId="0" fillId="0" borderId="0" xfId="0" applyFill="1" applyBorder="1"/>
    <xf numFmtId="0" fontId="15" fillId="0" borderId="0" xfId="0" applyFont="1" applyFill="1" applyAlignment="1">
      <alignment vertical="top" wrapText="1"/>
    </xf>
    <xf numFmtId="0" fontId="9" fillId="7" borderId="0" xfId="0" applyFont="1" applyFill="1" applyAlignment="1">
      <alignment horizontal="center" vertical="center" wrapText="1"/>
    </xf>
    <xf numFmtId="0" fontId="9" fillId="8" borderId="0" xfId="0" applyFont="1" applyFill="1" applyBorder="1" applyAlignment="1">
      <alignment horizontal="center" vertical="center" wrapText="1"/>
    </xf>
    <xf numFmtId="0" fontId="9" fillId="8" borderId="0" xfId="0" applyFont="1" applyFill="1" applyAlignment="1">
      <alignment horizontal="center" vertical="center" wrapText="1"/>
    </xf>
    <xf numFmtId="0" fontId="16" fillId="9" borderId="0" xfId="0" applyFont="1" applyFill="1" applyAlignment="1">
      <alignment vertical="top" wrapText="1"/>
    </xf>
    <xf numFmtId="0" fontId="17" fillId="0" borderId="0" xfId="0" applyFont="1" applyAlignment="1">
      <alignment wrapText="1"/>
    </xf>
    <xf numFmtId="0" fontId="3" fillId="0" borderId="0" xfId="0" applyFont="1" applyAlignment="1">
      <alignment vertical="top" wrapText="1"/>
    </xf>
    <xf numFmtId="0" fontId="18" fillId="0" borderId="0" xfId="0" applyFont="1" applyFill="1" applyAlignment="1">
      <alignment vertical="top" wrapText="1"/>
    </xf>
    <xf numFmtId="4" fontId="0" fillId="0" borderId="0" xfId="0" applyNumberFormat="1"/>
    <xf numFmtId="4" fontId="5" fillId="5" borderId="0" xfId="0" applyNumberFormat="1" applyFont="1" applyFill="1" applyAlignment="1">
      <alignment horizontal="center" vertical="center" wrapText="1"/>
    </xf>
    <xf numFmtId="4" fontId="3" fillId="0" borderId="0" xfId="0" applyNumberFormat="1" applyFont="1" applyAlignment="1">
      <alignment vertical="top" wrapText="1"/>
    </xf>
    <xf numFmtId="0" fontId="3" fillId="0" borderId="0" xfId="0" applyFont="1" applyAlignment="1">
      <alignment vertical="top" wrapText="1"/>
    </xf>
    <xf numFmtId="0" fontId="14" fillId="0" borderId="0" xfId="0" applyFont="1" applyAlignment="1">
      <alignment horizontal="left" vertical="center" wrapText="1"/>
    </xf>
    <xf numFmtId="0" fontId="0" fillId="0" borderId="0" xfId="0"/>
    <xf numFmtId="0" fontId="3" fillId="0" borderId="0" xfId="0" applyFont="1" applyAlignment="1">
      <alignment vertical="top" wrapText="1"/>
    </xf>
    <xf numFmtId="0" fontId="5" fillId="5" borderId="0" xfId="0" applyFont="1" applyFill="1" applyAlignment="1">
      <alignment horizontal="center" vertical="center" wrapText="1"/>
    </xf>
    <xf numFmtId="0" fontId="4" fillId="10" borderId="0" xfId="0" applyFont="1" applyFill="1" applyAlignment="1">
      <alignment horizontal="center" vertical="top" wrapText="1"/>
    </xf>
    <xf numFmtId="0" fontId="16" fillId="5" borderId="0" xfId="0" applyFont="1" applyFill="1" applyAlignment="1">
      <alignment horizontal="center" vertical="top" wrapText="1"/>
    </xf>
    <xf numFmtId="0" fontId="14" fillId="0" borderId="0" xfId="24" applyFont="1" applyAlignment="1">
      <alignment horizontal="center" wrapText="1"/>
    </xf>
    <xf numFmtId="0" fontId="0" fillId="0" borderId="0" xfId="0"/>
    <xf numFmtId="0" fontId="3" fillId="0" borderId="0" xfId="0" applyFont="1" applyAlignment="1">
      <alignment vertical="top" wrapText="1"/>
    </xf>
    <xf numFmtId="0" fontId="4" fillId="10" borderId="0" xfId="0" applyFont="1" applyFill="1" applyAlignment="1">
      <alignment horizontal="center" vertical="top" wrapText="1"/>
    </xf>
    <xf numFmtId="0" fontId="5" fillId="12" borderId="0" xfId="0" applyFont="1" applyFill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0" fillId="0" borderId="0" xfId="0"/>
    <xf numFmtId="0" fontId="14" fillId="0" borderId="0" xfId="0" applyFont="1" applyAlignment="1">
      <alignment horizontal="left" vertical="center" wrapText="1"/>
    </xf>
    <xf numFmtId="0" fontId="4" fillId="10" borderId="0" xfId="0" applyFont="1" applyFill="1" applyAlignment="1">
      <alignment horizontal="center" vertical="top" wrapText="1"/>
    </xf>
    <xf numFmtId="0" fontId="0" fillId="0" borderId="0" xfId="0"/>
    <xf numFmtId="0" fontId="3" fillId="0" borderId="0" xfId="0" applyFont="1" applyAlignment="1">
      <alignment vertical="top" wrapText="1"/>
    </xf>
    <xf numFmtId="0" fontId="14" fillId="0" borderId="0" xfId="0" applyFont="1" applyAlignment="1">
      <alignment horizontal="left" vertical="center" wrapText="1"/>
    </xf>
    <xf numFmtId="0" fontId="15" fillId="10" borderId="0" xfId="0" applyFont="1" applyFill="1" applyAlignment="1">
      <alignment horizontal="center" vertical="top" wrapText="1"/>
    </xf>
    <xf numFmtId="0" fontId="14" fillId="9" borderId="0" xfId="0" applyFont="1" applyFill="1" applyAlignment="1">
      <alignment horizontal="left" vertical="center" wrapText="1"/>
    </xf>
    <xf numFmtId="0" fontId="19" fillId="9" borderId="0" xfId="1" applyFont="1" applyFill="1" applyAlignment="1">
      <alignment horizontal="center" vertical="center" wrapText="1"/>
    </xf>
    <xf numFmtId="0" fontId="3" fillId="6" borderId="0" xfId="0" applyFont="1" applyFill="1" applyAlignment="1">
      <alignment vertical="top" wrapText="1"/>
    </xf>
    <xf numFmtId="0" fontId="3" fillId="6" borderId="0" xfId="0" quotePrefix="1" applyFont="1" applyFill="1" applyAlignment="1">
      <alignment vertical="top" wrapText="1"/>
    </xf>
    <xf numFmtId="0" fontId="16" fillId="13" borderId="0" xfId="0" applyFont="1" applyFill="1" applyAlignment="1">
      <alignment vertical="top" wrapText="1"/>
    </xf>
    <xf numFmtId="0" fontId="14" fillId="13" borderId="0" xfId="34" applyFont="1" applyFill="1" applyAlignment="1">
      <alignment horizontal="left" vertical="center" wrapText="1"/>
    </xf>
    <xf numFmtId="0" fontId="14" fillId="13" borderId="0" xfId="0" applyFont="1" applyFill="1" applyAlignment="1">
      <alignment horizontal="left" vertical="center" wrapText="1"/>
    </xf>
    <xf numFmtId="0" fontId="15" fillId="13" borderId="0" xfId="0" applyFont="1" applyFill="1" applyAlignment="1">
      <alignment horizontal="center" vertical="top" wrapText="1"/>
    </xf>
    <xf numFmtId="0" fontId="15" fillId="0" borderId="0" xfId="0" applyFont="1" applyFill="1" applyAlignment="1">
      <alignment horizontal="center" vertical="top" wrapText="1"/>
    </xf>
    <xf numFmtId="0" fontId="3" fillId="11" borderId="0" xfId="0" applyFont="1" applyFill="1" applyAlignment="1">
      <alignment horizontal="center" vertical="top" wrapText="1"/>
    </xf>
    <xf numFmtId="0" fontId="4" fillId="10" borderId="0" xfId="0" applyFont="1" applyFill="1" applyAlignment="1">
      <alignment horizontal="center" vertical="top" wrapText="1"/>
    </xf>
    <xf numFmtId="0" fontId="3" fillId="9" borderId="0" xfId="0" applyFont="1" applyFill="1" applyAlignment="1">
      <alignment horizontal="center" vertical="top" wrapText="1"/>
    </xf>
    <xf numFmtId="0" fontId="7" fillId="4" borderId="2" xfId="1" applyFont="1" applyFill="1" applyBorder="1" applyAlignment="1">
      <alignment horizontal="center" vertical="center"/>
    </xf>
    <xf numFmtId="0" fontId="7" fillId="4" borderId="6" xfId="1" applyFont="1" applyFill="1" applyBorder="1" applyAlignment="1">
      <alignment horizontal="center" vertical="center"/>
    </xf>
    <xf numFmtId="0" fontId="6" fillId="3" borderId="2" xfId="1" applyFill="1" applyBorder="1" applyAlignment="1">
      <alignment horizontal="center" vertical="center"/>
    </xf>
    <xf numFmtId="0" fontId="6" fillId="3" borderId="6" xfId="1" applyFill="1" applyBorder="1" applyAlignment="1">
      <alignment horizontal="center" vertical="center"/>
    </xf>
    <xf numFmtId="0" fontId="6" fillId="4" borderId="2" xfId="1" applyFill="1" applyBorder="1" applyAlignment="1">
      <alignment horizontal="center" vertical="center" wrapText="1"/>
    </xf>
    <xf numFmtId="0" fontId="6" fillId="4" borderId="7" xfId="1" applyFill="1" applyBorder="1" applyAlignment="1">
      <alignment horizontal="center" vertical="center" wrapText="1"/>
    </xf>
    <xf numFmtId="0" fontId="6" fillId="4" borderId="6" xfId="1" applyFill="1" applyBorder="1" applyAlignment="1">
      <alignment horizontal="center" vertical="center" wrapText="1"/>
    </xf>
    <xf numFmtId="0" fontId="6" fillId="4" borderId="2" xfId="1" applyFill="1" applyBorder="1" applyAlignment="1">
      <alignment horizontal="center" vertical="center"/>
    </xf>
    <xf numFmtId="0" fontId="6" fillId="4" borderId="7" xfId="1" applyFill="1" applyBorder="1" applyAlignment="1">
      <alignment horizontal="center" vertical="center"/>
    </xf>
    <xf numFmtId="0" fontId="6" fillId="4" borderId="6" xfId="1" applyFill="1" applyBorder="1" applyAlignment="1">
      <alignment horizontal="center" vertical="center"/>
    </xf>
    <xf numFmtId="0" fontId="7" fillId="4" borderId="2" xfId="1" applyFont="1" applyFill="1" applyBorder="1" applyAlignment="1">
      <alignment horizontal="center" vertical="center" wrapText="1"/>
    </xf>
    <xf numFmtId="0" fontId="7" fillId="4" borderId="6" xfId="1" applyFont="1" applyFill="1" applyBorder="1" applyAlignment="1">
      <alignment horizontal="center" vertical="center" wrapText="1"/>
    </xf>
    <xf numFmtId="0" fontId="6" fillId="0" borderId="1" xfId="1" applyBorder="1" applyAlignment="1">
      <alignment horizontal="center" vertical="center" wrapText="1"/>
    </xf>
    <xf numFmtId="0" fontId="6" fillId="3" borderId="2" xfId="1" applyFill="1" applyBorder="1" applyAlignment="1">
      <alignment horizontal="center" vertical="center" wrapText="1"/>
    </xf>
    <xf numFmtId="0" fontId="6" fillId="3" borderId="7" xfId="1" applyFill="1" applyBorder="1" applyAlignment="1">
      <alignment horizontal="center" vertical="center" wrapText="1"/>
    </xf>
    <xf numFmtId="0" fontId="6" fillId="3" borderId="6" xfId="1" applyFill="1" applyBorder="1" applyAlignment="1">
      <alignment horizontal="center" vertical="center" wrapText="1"/>
    </xf>
    <xf numFmtId="0" fontId="2" fillId="0" borderId="3" xfId="1" applyFont="1" applyBorder="1" applyAlignment="1">
      <alignment horizontal="center"/>
    </xf>
    <xf numFmtId="0" fontId="2" fillId="0" borderId="4" xfId="1" applyFont="1" applyBorder="1" applyAlignment="1">
      <alignment horizontal="center"/>
    </xf>
    <xf numFmtId="0" fontId="2" fillId="0" borderId="5" xfId="1" applyFont="1" applyBorder="1" applyAlignment="1">
      <alignment horizontal="center"/>
    </xf>
    <xf numFmtId="0" fontId="7" fillId="0" borderId="3" xfId="1" applyFont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 wrapText="1"/>
    </xf>
    <xf numFmtId="0" fontId="7" fillId="0" borderId="5" xfId="1" applyFont="1" applyBorder="1" applyAlignment="1">
      <alignment horizontal="center" vertical="center" wrapText="1"/>
    </xf>
    <xf numFmtId="0" fontId="6" fillId="3" borderId="7" xfId="1" applyFill="1" applyBorder="1" applyAlignment="1">
      <alignment horizontal="center" vertical="center"/>
    </xf>
  </cellXfs>
  <cellStyles count="35">
    <cellStyle name="Обычный" xfId="0" builtinId="0"/>
    <cellStyle name="Обычный 14" xfId="24"/>
    <cellStyle name="Обычный 2" xfId="1"/>
    <cellStyle name="Обычный 2 2" xfId="6"/>
    <cellStyle name="Обычный 2 2 2" xfId="10"/>
    <cellStyle name="Обычный 2 3" xfId="9"/>
    <cellStyle name="Обычный 2 4" xfId="3"/>
    <cellStyle name="Обычный 22" xfId="34"/>
    <cellStyle name="Обычный 3" xfId="4"/>
    <cellStyle name="Обычный 3 2" xfId="16"/>
    <cellStyle name="Обычный 4" xfId="2"/>
    <cellStyle name="Обычный 5" xfId="17"/>
    <cellStyle name="Процентный 2" xfId="8"/>
    <cellStyle name="Процентный 2 2" xfId="12"/>
    <cellStyle name="Процентный 2 3" xfId="11"/>
    <cellStyle name="Процентный 3" xfId="13"/>
    <cellStyle name="Процентный 4" xfId="14"/>
    <cellStyle name="Финансовый 2" xfId="5"/>
    <cellStyle name="Финансовый 2 2" xfId="15"/>
    <cellStyle name="Финансовый 2 2 2" xfId="20"/>
    <cellStyle name="Финансовый 2 2 2 2" xfId="30"/>
    <cellStyle name="Финансовый 2 2 3" xfId="23"/>
    <cellStyle name="Финансовый 2 2 3 2" xfId="33"/>
    <cellStyle name="Финансовый 2 2 4" xfId="27"/>
    <cellStyle name="Финансовый 2 3" xfId="18"/>
    <cellStyle name="Финансовый 2 3 2" xfId="28"/>
    <cellStyle name="Финансовый 2 4" xfId="21"/>
    <cellStyle name="Финансовый 2 4 2" xfId="31"/>
    <cellStyle name="Финансовый 2 5" xfId="25"/>
    <cellStyle name="Финансовый 3" xfId="7"/>
    <cellStyle name="Финансовый 3 2" xfId="19"/>
    <cellStyle name="Финансовый 3 2 2" xfId="29"/>
    <cellStyle name="Финансовый 3 3" xfId="22"/>
    <cellStyle name="Финансовый 3 3 2" xfId="32"/>
    <cellStyle name="Финансовый 3 4" xf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EM7"/>
  <sheetViews>
    <sheetView tabSelected="1" topLeftCell="DN1" zoomScale="80" zoomScaleNormal="80" workbookViewId="0">
      <pane ySplit="3" topLeftCell="A4" activePane="bottomLeft" state="frozen"/>
      <selection activeCell="CK1" sqref="CK1"/>
      <selection pane="bottomLeft" activeCell="DZ5" sqref="DZ5:DZ7"/>
    </sheetView>
  </sheetViews>
  <sheetFormatPr defaultColWidth="8.7109375" defaultRowHeight="12.75" x14ac:dyDescent="0.25"/>
  <cols>
    <col min="1" max="1" width="17.28515625" style="33" bestFit="1" customWidth="1"/>
    <col min="2" max="2" width="20.140625" style="33" bestFit="1" customWidth="1"/>
    <col min="3" max="3" width="30.28515625" style="33" bestFit="1" customWidth="1"/>
    <col min="4" max="4" width="14.5703125" style="33" bestFit="1" customWidth="1"/>
    <col min="5" max="5" width="50.28515625" style="33" bestFit="1" customWidth="1"/>
    <col min="6" max="6" width="26" style="33" bestFit="1" customWidth="1"/>
    <col min="7" max="7" width="24.28515625" style="33" bestFit="1" customWidth="1"/>
    <col min="8" max="8" width="41.42578125" style="33" bestFit="1" customWidth="1"/>
    <col min="9" max="9" width="24.5703125" style="33" bestFit="1" customWidth="1"/>
    <col min="10" max="10" width="25" style="33" bestFit="1" customWidth="1"/>
    <col min="11" max="11" width="69.5703125" style="33" bestFit="1" customWidth="1"/>
    <col min="12" max="12" width="45.85546875" style="33" bestFit="1" customWidth="1"/>
    <col min="13" max="13" width="36.5703125" style="33" bestFit="1" customWidth="1"/>
    <col min="14" max="14" width="35.7109375" style="33" bestFit="1" customWidth="1"/>
    <col min="15" max="15" width="22.42578125" style="33" bestFit="1" customWidth="1"/>
    <col min="16" max="16" width="53" style="33" bestFit="1" customWidth="1"/>
    <col min="17" max="17" width="29.5703125" style="33" bestFit="1" customWidth="1"/>
    <col min="18" max="18" width="37.42578125" style="33" bestFit="1" customWidth="1"/>
    <col min="19" max="19" width="30.28515625" style="33" bestFit="1" customWidth="1"/>
    <col min="20" max="20" width="38.7109375" style="33" bestFit="1" customWidth="1"/>
    <col min="21" max="21" width="25.85546875" style="33" bestFit="1" customWidth="1"/>
    <col min="22" max="22" width="27.28515625" style="33" bestFit="1" customWidth="1"/>
    <col min="23" max="23" width="33" style="33" bestFit="1" customWidth="1"/>
    <col min="24" max="25" width="23.7109375" style="33" bestFit="1" customWidth="1"/>
    <col min="26" max="26" width="23.85546875" style="33" bestFit="1" customWidth="1"/>
    <col min="27" max="27" width="18.5703125" style="33" bestFit="1" customWidth="1"/>
    <col min="28" max="28" width="24.140625" style="33" bestFit="1" customWidth="1"/>
    <col min="29" max="29" width="15.7109375" style="33" bestFit="1" customWidth="1"/>
    <col min="30" max="30" width="16.7109375" style="33" bestFit="1" customWidth="1"/>
    <col min="31" max="31" width="15.28515625" style="33" bestFit="1" customWidth="1"/>
    <col min="32" max="32" width="18.42578125" style="33" bestFit="1" customWidth="1"/>
    <col min="33" max="33" width="10.7109375" style="33" bestFit="1" customWidth="1"/>
    <col min="34" max="34" width="16.7109375" style="33" bestFit="1" customWidth="1"/>
    <col min="35" max="35" width="17.140625" style="33" bestFit="1" customWidth="1"/>
    <col min="36" max="36" width="15.7109375" style="33" bestFit="1" customWidth="1"/>
    <col min="37" max="37" width="18.140625" style="33" bestFit="1" customWidth="1"/>
    <col min="38" max="38" width="16.42578125" style="33" bestFit="1" customWidth="1"/>
    <col min="39" max="39" width="23" style="33" bestFit="1" customWidth="1"/>
    <col min="40" max="40" width="15" style="33" bestFit="1" customWidth="1"/>
    <col min="41" max="41" width="21.28515625" style="33" bestFit="1" customWidth="1"/>
    <col min="42" max="42" width="19.5703125" style="33" bestFit="1" customWidth="1"/>
    <col min="43" max="43" width="17" style="33" bestFit="1" customWidth="1"/>
    <col min="44" max="44" width="16.7109375" style="33" customWidth="1"/>
    <col min="45" max="45" width="15.5703125" style="33" customWidth="1"/>
    <col min="46" max="46" width="39.85546875" style="33" bestFit="1" customWidth="1"/>
    <col min="47" max="47" width="13.85546875" style="33" bestFit="1" customWidth="1"/>
    <col min="48" max="48" width="31.5703125" style="33" bestFit="1" customWidth="1"/>
    <col min="49" max="49" width="25.28515625" style="33" bestFit="1" customWidth="1"/>
    <col min="50" max="50" width="17.85546875" style="33" bestFit="1" customWidth="1"/>
    <col min="51" max="52" width="17.85546875" style="73" customWidth="1"/>
    <col min="53" max="53" width="15.42578125" style="1" customWidth="1"/>
    <col min="54" max="54" width="20.140625" style="1" customWidth="1"/>
    <col min="55" max="55" width="15.42578125" style="1" customWidth="1"/>
    <col min="56" max="56" width="21.5703125" style="1" customWidth="1"/>
    <col min="57" max="57" width="11.5703125" style="1" customWidth="1"/>
    <col min="58" max="58" width="25" style="1" bestFit="1" customWidth="1"/>
    <col min="59" max="59" width="11.28515625" style="1" customWidth="1"/>
    <col min="60" max="60" width="24.28515625" style="1" bestFit="1" customWidth="1"/>
    <col min="61" max="61" width="10.5703125" style="1" customWidth="1"/>
    <col min="62" max="62" width="32.85546875" style="1" customWidth="1"/>
    <col min="63" max="63" width="11.7109375" style="1" customWidth="1"/>
    <col min="64" max="64" width="22.7109375" style="1" customWidth="1"/>
    <col min="65" max="65" width="15.140625" style="1" customWidth="1"/>
    <col min="66" max="66" width="16.85546875" style="1" customWidth="1"/>
    <col min="67" max="67" width="19" style="1" customWidth="1"/>
    <col min="68" max="68" width="24.140625" style="1" bestFit="1" customWidth="1"/>
    <col min="69" max="69" width="17.7109375" style="1" customWidth="1"/>
    <col min="70" max="70" width="11.7109375" style="1" customWidth="1"/>
    <col min="71" max="71" width="19.5703125" style="56" customWidth="1"/>
    <col min="72" max="72" width="16.7109375" style="1" customWidth="1"/>
    <col min="73" max="73" width="19.42578125" style="1" customWidth="1"/>
    <col min="74" max="74" width="24.28515625" style="56" customWidth="1"/>
    <col min="75" max="75" width="18.28515625" style="1" customWidth="1"/>
    <col min="76" max="76" width="21.42578125" style="1" customWidth="1"/>
    <col min="77" max="77" width="28.85546875" style="56" customWidth="1"/>
    <col min="78" max="78" width="28.28515625" style="1" customWidth="1"/>
    <col min="79" max="79" width="19.5703125" style="30" customWidth="1"/>
    <col min="80" max="80" width="18.28515625" style="30" customWidth="1"/>
    <col min="81" max="81" width="20" style="1" bestFit="1" customWidth="1"/>
    <col min="82" max="82" width="18.42578125" style="1" customWidth="1"/>
    <col min="83" max="83" width="11" style="1" bestFit="1" customWidth="1"/>
    <col min="84" max="84" width="18.28515625" style="33" customWidth="1"/>
    <col min="85" max="85" width="12.28515625" style="33" customWidth="1"/>
    <col min="86" max="86" width="35.5703125" style="1" customWidth="1"/>
    <col min="87" max="87" width="20.85546875" style="1" customWidth="1"/>
    <col min="88" max="88" width="18" style="59" bestFit="1" customWidth="1"/>
    <col min="89" max="89" width="13.7109375" style="1" customWidth="1"/>
    <col min="90" max="90" width="21.7109375" style="1" customWidth="1"/>
    <col min="91" max="91" width="10.7109375" style="1" customWidth="1"/>
    <col min="92" max="92" width="26" style="1" bestFit="1" customWidth="1"/>
    <col min="93" max="93" width="12.7109375" style="1" customWidth="1"/>
    <col min="94" max="94" width="25" style="1" bestFit="1" customWidth="1"/>
    <col min="95" max="95" width="12.7109375" style="1" customWidth="1"/>
    <col min="96" max="96" width="21.140625" style="1" customWidth="1"/>
    <col min="97" max="97" width="11.85546875" style="1" customWidth="1"/>
    <col min="98" max="98" width="30.28515625" style="1" customWidth="1"/>
    <col min="99" max="99" width="15.85546875" style="1" customWidth="1"/>
    <col min="100" max="100" width="21" style="1" customWidth="1"/>
    <col min="101" max="101" width="20" style="1" customWidth="1"/>
    <col min="102" max="102" width="17.42578125" style="1" customWidth="1"/>
    <col min="103" max="103" width="13.42578125" style="1" customWidth="1"/>
    <col min="104" max="104" width="15.7109375" style="1" customWidth="1"/>
    <col min="105" max="105" width="12.7109375" style="1" customWidth="1"/>
    <col min="106" max="106" width="12.5703125" style="1" customWidth="1"/>
    <col min="107" max="107" width="14.28515625" style="1" customWidth="1"/>
    <col min="108" max="108" width="14.5703125" style="73" customWidth="1"/>
    <col min="109" max="109" width="16.85546875" style="42" customWidth="1"/>
    <col min="110" max="110" width="19.7109375" style="42" customWidth="1"/>
    <col min="111" max="111" width="17.28515625" style="1" customWidth="1"/>
    <col min="112" max="112" width="22.42578125" style="42" customWidth="1"/>
    <col min="113" max="113" width="14.42578125" style="1" customWidth="1"/>
    <col min="114" max="114" width="17.7109375" style="1" customWidth="1"/>
    <col min="115" max="115" width="39.140625" style="1" customWidth="1"/>
    <col min="116" max="116" width="12.85546875" style="1" customWidth="1"/>
    <col min="117" max="117" width="20" style="1" bestFit="1" customWidth="1"/>
    <col min="118" max="118" width="10.28515625" style="1" customWidth="1"/>
    <col min="119" max="119" width="14.140625" style="1" customWidth="1"/>
    <col min="120" max="120" width="19.42578125" style="55" customWidth="1"/>
    <col min="121" max="121" width="30.7109375" style="1" customWidth="1"/>
    <col min="122" max="122" width="15.140625" style="1" bestFit="1" customWidth="1"/>
    <col min="123" max="123" width="20.28515625" style="1" customWidth="1"/>
    <col min="124" max="124" width="12" style="1" bestFit="1" customWidth="1"/>
    <col min="125" max="125" width="11.7109375" style="1" customWidth="1"/>
    <col min="126" max="126" width="10.7109375" style="59" customWidth="1"/>
    <col min="127" max="127" width="27.7109375" style="65" customWidth="1"/>
    <col min="128" max="128" width="25.28515625" style="65" customWidth="1"/>
    <col min="129" max="129" width="20.28515625" style="1" customWidth="1"/>
    <col min="130" max="130" width="24.28515625" style="73" customWidth="1"/>
    <col min="131" max="131" width="23.42578125" style="1" customWidth="1"/>
    <col min="132" max="132" width="19.28515625" style="1" customWidth="1"/>
    <col min="133" max="133" width="16.28515625" style="1" bestFit="1" customWidth="1"/>
    <col min="134" max="134" width="24.28515625" style="1" customWidth="1"/>
    <col min="135" max="135" width="19.140625" style="42" customWidth="1"/>
    <col min="136" max="136" width="23.140625" style="1" customWidth="1"/>
    <col min="137" max="138" width="19.28515625" style="1" customWidth="1"/>
    <col min="139" max="139" width="18.7109375" style="1" customWidth="1"/>
    <col min="140" max="140" width="22.140625" style="1" customWidth="1"/>
    <col min="141" max="141" width="18.5703125" style="42" customWidth="1"/>
    <col min="142" max="142" width="17.28515625" style="42" customWidth="1"/>
    <col min="143" max="143" width="18.42578125" style="42" customWidth="1"/>
    <col min="144" max="16384" width="8.7109375" style="1"/>
  </cols>
  <sheetData>
    <row r="1" spans="1:143" s="51" customFormat="1" ht="47.25" customHeight="1" x14ac:dyDescent="0.25">
      <c r="A1" s="74" t="s">
        <v>0</v>
      </c>
      <c r="B1" s="74" t="s">
        <v>1</v>
      </c>
      <c r="C1" s="74" t="s">
        <v>2166</v>
      </c>
      <c r="D1" s="74" t="s">
        <v>2167</v>
      </c>
      <c r="E1" s="74" t="s">
        <v>2168</v>
      </c>
      <c r="F1" s="74" t="s">
        <v>2169</v>
      </c>
      <c r="G1" s="74" t="s">
        <v>2170</v>
      </c>
      <c r="H1" s="74" t="s">
        <v>2171</v>
      </c>
      <c r="I1" s="74" t="s">
        <v>2172</v>
      </c>
      <c r="J1" s="74" t="s">
        <v>2173</v>
      </c>
      <c r="K1" s="74" t="s">
        <v>2174</v>
      </c>
      <c r="L1" s="74" t="s">
        <v>2175</v>
      </c>
      <c r="M1" s="74" t="s">
        <v>2176</v>
      </c>
      <c r="N1" s="74" t="s">
        <v>2177</v>
      </c>
      <c r="O1" s="74" t="s">
        <v>2182</v>
      </c>
      <c r="P1" s="74" t="s">
        <v>2178</v>
      </c>
      <c r="Q1" s="74" t="s">
        <v>2179</v>
      </c>
      <c r="R1" s="74" t="s">
        <v>2180</v>
      </c>
      <c r="S1" s="74" t="s">
        <v>2</v>
      </c>
      <c r="T1" s="74" t="s">
        <v>2181</v>
      </c>
      <c r="U1" s="74" t="s">
        <v>4</v>
      </c>
      <c r="V1" s="74" t="s">
        <v>6</v>
      </c>
      <c r="W1" s="74" t="s">
        <v>10</v>
      </c>
      <c r="X1" s="74" t="s">
        <v>5</v>
      </c>
      <c r="Y1" s="74" t="s">
        <v>7</v>
      </c>
      <c r="Z1" s="74" t="s">
        <v>8</v>
      </c>
      <c r="AA1" s="74" t="s">
        <v>9</v>
      </c>
      <c r="AB1" s="74" t="s">
        <v>2183</v>
      </c>
      <c r="AC1" s="74" t="s">
        <v>2209</v>
      </c>
      <c r="AD1" s="74" t="s">
        <v>2184</v>
      </c>
      <c r="AE1" s="74" t="s">
        <v>2185</v>
      </c>
      <c r="AF1" s="74" t="s">
        <v>2186</v>
      </c>
      <c r="AG1" s="74" t="s">
        <v>2187</v>
      </c>
      <c r="AH1" s="74" t="s">
        <v>2188</v>
      </c>
      <c r="AI1" s="74" t="s">
        <v>2189</v>
      </c>
      <c r="AJ1" s="74" t="s">
        <v>2190</v>
      </c>
      <c r="AK1" s="74" t="s">
        <v>2191</v>
      </c>
      <c r="AL1" s="74" t="s">
        <v>2192</v>
      </c>
      <c r="AM1" s="74" t="s">
        <v>2193</v>
      </c>
      <c r="AN1" s="74" t="s">
        <v>2194</v>
      </c>
      <c r="AO1" s="74" t="s">
        <v>2195</v>
      </c>
      <c r="AP1" s="74" t="s">
        <v>2196</v>
      </c>
      <c r="AQ1" s="76" t="s">
        <v>2817</v>
      </c>
      <c r="AR1" s="74" t="s">
        <v>2770</v>
      </c>
      <c r="AS1" s="74" t="s">
        <v>2197</v>
      </c>
      <c r="AT1" s="76" t="s">
        <v>2816</v>
      </c>
      <c r="AU1" s="74" t="s">
        <v>2771</v>
      </c>
      <c r="AV1" s="81" t="s">
        <v>2815</v>
      </c>
      <c r="AW1" s="82" t="s">
        <v>2803</v>
      </c>
      <c r="AX1" s="74" t="s">
        <v>2210</v>
      </c>
      <c r="AY1" s="74" t="s">
        <v>2804</v>
      </c>
      <c r="AZ1" s="74" t="s">
        <v>2805</v>
      </c>
      <c r="BA1" s="85" t="s">
        <v>2821</v>
      </c>
      <c r="BB1" s="85"/>
      <c r="BC1" s="85"/>
      <c r="BD1" s="85"/>
      <c r="BE1" s="85"/>
      <c r="BF1" s="85"/>
      <c r="BG1" s="85"/>
      <c r="BH1" s="85"/>
      <c r="BI1" s="85"/>
      <c r="BJ1" s="85"/>
      <c r="BK1" s="85"/>
      <c r="BL1" s="85"/>
      <c r="BM1" s="85"/>
      <c r="BN1" s="85"/>
      <c r="BO1" s="85"/>
      <c r="BP1" s="85"/>
      <c r="BQ1" s="85"/>
      <c r="BR1" s="85"/>
      <c r="BS1" s="85"/>
      <c r="BT1" s="85"/>
      <c r="BU1" s="85"/>
      <c r="BV1" s="85"/>
      <c r="BW1" s="85"/>
      <c r="BX1" s="85"/>
      <c r="BY1" s="85"/>
      <c r="BZ1" s="85"/>
      <c r="CA1" s="85"/>
      <c r="CB1" s="85"/>
      <c r="CC1" s="85"/>
      <c r="CD1" s="85"/>
      <c r="CE1" s="85"/>
      <c r="CF1" s="85"/>
      <c r="CG1" s="85"/>
      <c r="CJ1" s="59"/>
      <c r="CK1" s="86" t="s">
        <v>2822</v>
      </c>
      <c r="CL1" s="86"/>
      <c r="CM1" s="86"/>
      <c r="CN1" s="86"/>
      <c r="CO1" s="86"/>
      <c r="CP1" s="86"/>
      <c r="CQ1" s="86"/>
      <c r="CR1" s="86"/>
      <c r="CS1" s="86"/>
      <c r="CT1" s="86"/>
      <c r="CU1" s="86"/>
      <c r="CV1" s="86"/>
      <c r="CW1" s="86"/>
      <c r="CX1" s="86"/>
      <c r="CY1" s="86"/>
      <c r="CZ1" s="86"/>
      <c r="DA1" s="86"/>
      <c r="DB1" s="86"/>
      <c r="DC1" s="86"/>
      <c r="DD1" s="86"/>
      <c r="DE1" s="86"/>
      <c r="DF1" s="86"/>
      <c r="DG1" s="86"/>
      <c r="DH1" s="86"/>
      <c r="DI1" s="86"/>
      <c r="DJ1" s="86"/>
      <c r="DK1" s="86"/>
      <c r="DL1" s="86"/>
      <c r="DM1" s="86"/>
      <c r="DN1" s="86"/>
      <c r="DO1" s="86"/>
      <c r="DP1" s="86"/>
      <c r="DQ1" s="86"/>
      <c r="DR1" s="86"/>
      <c r="DS1" s="86"/>
      <c r="DT1" s="86"/>
      <c r="DU1" s="86"/>
      <c r="DV1" s="61"/>
      <c r="DW1" s="66"/>
      <c r="DX1" s="71"/>
      <c r="DY1" s="87" t="s">
        <v>2208</v>
      </c>
      <c r="DZ1" s="87"/>
      <c r="EA1" s="87"/>
      <c r="EB1" s="87"/>
      <c r="EC1" s="87"/>
      <c r="ED1" s="87"/>
      <c r="EE1" s="87"/>
      <c r="EF1" s="87"/>
      <c r="EG1" s="87"/>
      <c r="EH1" s="87"/>
      <c r="EI1" s="87"/>
      <c r="EJ1" s="87"/>
      <c r="EK1" s="87"/>
      <c r="EL1" s="87"/>
      <c r="EM1" s="87"/>
    </row>
    <row r="2" spans="1:143" ht="60.75" customHeight="1" x14ac:dyDescent="0.25">
      <c r="A2" s="74" t="s">
        <v>2772</v>
      </c>
      <c r="B2" s="74" t="s">
        <v>2213</v>
      </c>
      <c r="C2" s="74" t="s">
        <v>2773</v>
      </c>
      <c r="D2" s="74" t="s">
        <v>2091</v>
      </c>
      <c r="E2" s="74" t="s">
        <v>2095</v>
      </c>
      <c r="F2" s="74" t="s">
        <v>2084</v>
      </c>
      <c r="G2" s="74" t="s">
        <v>2087</v>
      </c>
      <c r="H2" s="74" t="s">
        <v>2093</v>
      </c>
      <c r="I2" s="74" t="s">
        <v>2085</v>
      </c>
      <c r="J2" s="74" t="s">
        <v>2086</v>
      </c>
      <c r="K2" s="74" t="s">
        <v>2097</v>
      </c>
      <c r="L2" s="74" t="s">
        <v>2112</v>
      </c>
      <c r="M2" s="74" t="s">
        <v>2089</v>
      </c>
      <c r="N2" s="74" t="s">
        <v>2088</v>
      </c>
      <c r="O2" s="74" t="s">
        <v>2090</v>
      </c>
      <c r="P2" s="74" t="s">
        <v>2108</v>
      </c>
      <c r="Q2" s="74" t="s">
        <v>2109</v>
      </c>
      <c r="R2" s="74" t="s">
        <v>2110</v>
      </c>
      <c r="S2" s="74" t="s">
        <v>2774</v>
      </c>
      <c r="T2" s="74" t="s">
        <v>2775</v>
      </c>
      <c r="U2" s="74" t="s">
        <v>2776</v>
      </c>
      <c r="V2" s="74" t="s">
        <v>2777</v>
      </c>
      <c r="W2" s="74" t="s">
        <v>2778</v>
      </c>
      <c r="X2" s="74" t="s">
        <v>2779</v>
      </c>
      <c r="Y2" s="74" t="s">
        <v>2780</v>
      </c>
      <c r="Z2" s="74" t="s">
        <v>2781</v>
      </c>
      <c r="AA2" s="74" t="s">
        <v>2782</v>
      </c>
      <c r="AB2" s="74" t="s">
        <v>2783</v>
      </c>
      <c r="AC2" s="74" t="s">
        <v>2784</v>
      </c>
      <c r="AD2" s="74" t="s">
        <v>2785</v>
      </c>
      <c r="AE2" s="74" t="s">
        <v>2786</v>
      </c>
      <c r="AF2" s="74" t="s">
        <v>2787</v>
      </c>
      <c r="AG2" s="74" t="s">
        <v>2788</v>
      </c>
      <c r="AH2" s="74" t="s">
        <v>2789</v>
      </c>
      <c r="AI2" s="74" t="s">
        <v>2201</v>
      </c>
      <c r="AJ2" s="74" t="s">
        <v>2790</v>
      </c>
      <c r="AK2" s="74" t="s">
        <v>2791</v>
      </c>
      <c r="AL2" s="74" t="s">
        <v>2792</v>
      </c>
      <c r="AM2" s="74" t="s">
        <v>2793</v>
      </c>
      <c r="AN2" s="74" t="s">
        <v>2794</v>
      </c>
      <c r="AO2" s="74" t="s">
        <v>2795</v>
      </c>
      <c r="AP2" s="74" t="s">
        <v>2796</v>
      </c>
      <c r="AQ2" s="74" t="s">
        <v>2797</v>
      </c>
      <c r="AR2" s="74" t="s">
        <v>2798</v>
      </c>
      <c r="AS2" s="74" t="s">
        <v>2799</v>
      </c>
      <c r="AT2" s="74" t="s">
        <v>2800</v>
      </c>
      <c r="AU2" s="74" t="s">
        <v>2801</v>
      </c>
      <c r="AV2" s="74" t="s">
        <v>2202</v>
      </c>
      <c r="AW2" s="74" t="s">
        <v>2757</v>
      </c>
      <c r="AX2" s="74" t="s">
        <v>2214</v>
      </c>
      <c r="AY2" s="74" t="s">
        <v>2806</v>
      </c>
      <c r="AZ2" s="74" t="s">
        <v>2807</v>
      </c>
      <c r="BB2" s="33"/>
      <c r="BC2" s="33" t="s">
        <v>36</v>
      </c>
      <c r="BD2" s="33"/>
      <c r="BE2" s="1" t="s">
        <v>38</v>
      </c>
      <c r="BF2" s="33"/>
      <c r="BG2" s="33" t="s">
        <v>41</v>
      </c>
      <c r="BH2" s="33"/>
      <c r="BI2" s="33" t="s">
        <v>44</v>
      </c>
      <c r="BJ2" s="33"/>
      <c r="BK2" s="33" t="s">
        <v>47</v>
      </c>
      <c r="BL2" s="33"/>
      <c r="BM2" s="34" t="s">
        <v>53</v>
      </c>
      <c r="BN2" s="33"/>
      <c r="BO2" s="33" t="s">
        <v>61</v>
      </c>
      <c r="BP2" s="33"/>
      <c r="BQ2" s="33" t="s">
        <v>64</v>
      </c>
      <c r="BR2" s="33"/>
      <c r="BT2" s="33" t="s">
        <v>67</v>
      </c>
      <c r="BU2" s="33"/>
      <c r="BW2" s="33" t="s">
        <v>71</v>
      </c>
      <c r="BX2" s="33"/>
      <c r="BZ2" s="33" t="s">
        <v>73</v>
      </c>
      <c r="CA2" s="33"/>
      <c r="CB2" s="33" t="s">
        <v>76</v>
      </c>
      <c r="CC2" s="33"/>
      <c r="CD2" s="33" t="s">
        <v>81</v>
      </c>
      <c r="CE2" s="27"/>
      <c r="CF2" s="27"/>
      <c r="CG2" s="27"/>
      <c r="CH2" s="83" t="s">
        <v>2198</v>
      </c>
      <c r="CI2" s="83"/>
      <c r="CJ2" s="57" t="s">
        <v>2213</v>
      </c>
      <c r="CK2" s="42"/>
      <c r="CL2" s="42" t="s">
        <v>2085</v>
      </c>
      <c r="CM2" s="42"/>
      <c r="CN2" s="42" t="s">
        <v>2084</v>
      </c>
      <c r="CO2" s="42"/>
      <c r="CP2" s="42" t="s">
        <v>2086</v>
      </c>
      <c r="CQ2" s="42"/>
      <c r="CR2" s="42" t="s">
        <v>2087</v>
      </c>
      <c r="CS2" s="42"/>
      <c r="CT2" s="42" t="s">
        <v>2088</v>
      </c>
      <c r="CU2" s="42"/>
      <c r="CV2" s="42" t="s">
        <v>2112</v>
      </c>
      <c r="CW2" s="34"/>
      <c r="CX2" s="42" t="s">
        <v>2089</v>
      </c>
      <c r="CY2" s="42"/>
      <c r="CZ2" s="42" t="s">
        <v>2090</v>
      </c>
      <c r="DA2" s="42"/>
      <c r="DB2" s="65"/>
      <c r="DC2" s="42" t="s">
        <v>2092</v>
      </c>
      <c r="DD2" s="73" t="s">
        <v>2091</v>
      </c>
      <c r="DE2" s="42" t="s">
        <v>2093</v>
      </c>
      <c r="DG2" s="42" t="s">
        <v>2094</v>
      </c>
      <c r="DH2" s="42" t="s">
        <v>2095</v>
      </c>
      <c r="DJ2" s="42" t="s">
        <v>2096</v>
      </c>
      <c r="DK2" s="42" t="s">
        <v>2097</v>
      </c>
      <c r="DL2" s="42"/>
      <c r="DM2" s="42" t="s">
        <v>2098</v>
      </c>
      <c r="DN2" s="42"/>
      <c r="DO2" s="41" t="s">
        <v>2108</v>
      </c>
      <c r="DP2" s="53" t="s">
        <v>2109</v>
      </c>
      <c r="DQ2" s="41" t="s">
        <v>2110</v>
      </c>
      <c r="DR2" s="41" t="s">
        <v>2111</v>
      </c>
      <c r="DS2" s="44" t="s">
        <v>2201</v>
      </c>
      <c r="DT2" s="44" t="s">
        <v>2202</v>
      </c>
      <c r="DU2" s="44" t="s">
        <v>2203</v>
      </c>
      <c r="DV2" s="63" t="s">
        <v>2216</v>
      </c>
      <c r="DW2" s="68" t="s">
        <v>2230</v>
      </c>
      <c r="DX2" s="70" t="s">
        <v>2757</v>
      </c>
      <c r="DY2" s="45"/>
      <c r="DZ2" s="75" t="s">
        <v>2812</v>
      </c>
      <c r="EA2" s="45"/>
      <c r="EB2" s="45"/>
      <c r="EC2" s="52"/>
      <c r="ED2" s="45"/>
      <c r="EE2" s="45"/>
      <c r="EF2" s="84" t="s">
        <v>2818</v>
      </c>
      <c r="EG2" s="84"/>
      <c r="EH2" s="45"/>
      <c r="EI2" s="45"/>
      <c r="EJ2" s="45"/>
      <c r="EK2" s="45"/>
      <c r="EL2" s="45"/>
      <c r="EM2" s="45"/>
    </row>
    <row r="3" spans="1:143" s="2" customFormat="1" ht="58.5" customHeight="1" x14ac:dyDescent="0.25">
      <c r="A3" s="74" t="s">
        <v>2802</v>
      </c>
      <c r="B3" s="74" t="s">
        <v>2802</v>
      </c>
      <c r="C3" s="74" t="s">
        <v>2802</v>
      </c>
      <c r="D3" s="74" t="s">
        <v>2802</v>
      </c>
      <c r="E3" s="74" t="s">
        <v>2802</v>
      </c>
      <c r="F3" s="74" t="s">
        <v>2802</v>
      </c>
      <c r="G3" s="74" t="s">
        <v>2802</v>
      </c>
      <c r="H3" s="74" t="s">
        <v>2802</v>
      </c>
      <c r="I3" s="74" t="s">
        <v>2802</v>
      </c>
      <c r="J3" s="74" t="s">
        <v>2802</v>
      </c>
      <c r="K3" s="74" t="s">
        <v>2802</v>
      </c>
      <c r="L3" s="74" t="s">
        <v>2802</v>
      </c>
      <c r="M3" s="74" t="s">
        <v>2802</v>
      </c>
      <c r="N3" s="74" t="s">
        <v>2802</v>
      </c>
      <c r="O3" s="74" t="s">
        <v>2802</v>
      </c>
      <c r="P3" s="74" t="s">
        <v>2802</v>
      </c>
      <c r="Q3" s="74" t="s">
        <v>2802</v>
      </c>
      <c r="R3" s="74" t="s">
        <v>2802</v>
      </c>
      <c r="S3" s="74" t="s">
        <v>2802</v>
      </c>
      <c r="T3" s="74" t="s">
        <v>2802</v>
      </c>
      <c r="U3" s="74" t="s">
        <v>2802</v>
      </c>
      <c r="V3" s="74" t="s">
        <v>2802</v>
      </c>
      <c r="W3" s="74" t="s">
        <v>2802</v>
      </c>
      <c r="X3" s="74" t="s">
        <v>2802</v>
      </c>
      <c r="Y3" s="74" t="s">
        <v>2802</v>
      </c>
      <c r="Z3" s="74" t="s">
        <v>2802</v>
      </c>
      <c r="AA3" s="74" t="s">
        <v>2802</v>
      </c>
      <c r="AB3" s="74" t="s">
        <v>2802</v>
      </c>
      <c r="AC3" s="74" t="s">
        <v>2802</v>
      </c>
      <c r="AD3" s="74" t="s">
        <v>2802</v>
      </c>
      <c r="AE3" s="74" t="s">
        <v>2802</v>
      </c>
      <c r="AF3" s="74" t="s">
        <v>2802</v>
      </c>
      <c r="AG3" s="74" t="s">
        <v>2802</v>
      </c>
      <c r="AH3" s="74" t="s">
        <v>2802</v>
      </c>
      <c r="AI3" s="74" t="s">
        <v>2802</v>
      </c>
      <c r="AJ3" s="74" t="s">
        <v>2802</v>
      </c>
      <c r="AK3" s="74" t="s">
        <v>2802</v>
      </c>
      <c r="AL3" s="74" t="s">
        <v>2802</v>
      </c>
      <c r="AM3" s="74" t="s">
        <v>2802</v>
      </c>
      <c r="AN3" s="74" t="s">
        <v>2802</v>
      </c>
      <c r="AO3" s="74" t="s">
        <v>2802</v>
      </c>
      <c r="AP3" s="74" t="s">
        <v>2802</v>
      </c>
      <c r="AQ3" s="74" t="s">
        <v>2802</v>
      </c>
      <c r="AR3" s="74" t="s">
        <v>2802</v>
      </c>
      <c r="AS3" s="74" t="s">
        <v>2802</v>
      </c>
      <c r="AT3" s="74" t="s">
        <v>2802</v>
      </c>
      <c r="AU3" s="74" t="s">
        <v>2802</v>
      </c>
      <c r="AV3" s="74" t="s">
        <v>2802</v>
      </c>
      <c r="AW3" s="74" t="s">
        <v>2802</v>
      </c>
      <c r="AX3" s="57" t="s">
        <v>2802</v>
      </c>
      <c r="AY3" s="74" t="s">
        <v>2802</v>
      </c>
      <c r="AZ3" s="74" t="s">
        <v>2802</v>
      </c>
      <c r="BA3" s="26" t="s">
        <v>17</v>
      </c>
      <c r="BB3" s="26" t="s">
        <v>18</v>
      </c>
      <c r="BC3" s="26" t="s">
        <v>2758</v>
      </c>
      <c r="BD3" s="26" t="s">
        <v>19</v>
      </c>
      <c r="BE3" s="26" t="s">
        <v>2759</v>
      </c>
      <c r="BF3" s="26" t="s">
        <v>40</v>
      </c>
      <c r="BG3" s="26" t="s">
        <v>2760</v>
      </c>
      <c r="BH3" s="26" t="s">
        <v>43</v>
      </c>
      <c r="BI3" s="26" t="s">
        <v>2761</v>
      </c>
      <c r="BJ3" s="26" t="s">
        <v>46</v>
      </c>
      <c r="BK3" s="26" t="s">
        <v>2762</v>
      </c>
      <c r="BL3" s="26" t="s">
        <v>54</v>
      </c>
      <c r="BM3" s="26" t="s">
        <v>2763</v>
      </c>
      <c r="BN3" s="26" t="s">
        <v>60</v>
      </c>
      <c r="BO3" s="26" t="s">
        <v>2764</v>
      </c>
      <c r="BP3" s="26" t="s">
        <v>63</v>
      </c>
      <c r="BQ3" s="26" t="s">
        <v>2765</v>
      </c>
      <c r="BR3" s="26" t="s">
        <v>2211</v>
      </c>
      <c r="BS3" s="60" t="s">
        <v>2207</v>
      </c>
      <c r="BT3" s="26" t="s">
        <v>2104</v>
      </c>
      <c r="BU3" s="26" t="s">
        <v>84</v>
      </c>
      <c r="BV3" s="60" t="s">
        <v>2199</v>
      </c>
      <c r="BW3" s="26" t="s">
        <v>2766</v>
      </c>
      <c r="BX3" s="26" t="s">
        <v>85</v>
      </c>
      <c r="BY3" s="60" t="s">
        <v>2200</v>
      </c>
      <c r="BZ3" s="26" t="s">
        <v>2767</v>
      </c>
      <c r="CA3" s="26" t="s">
        <v>75</v>
      </c>
      <c r="CB3" s="26" t="s">
        <v>2768</v>
      </c>
      <c r="CC3" s="26" t="s">
        <v>80</v>
      </c>
      <c r="CD3" s="26" t="s">
        <v>2769</v>
      </c>
      <c r="CE3" s="26" t="s">
        <v>88</v>
      </c>
      <c r="CF3" s="26" t="s">
        <v>2083</v>
      </c>
      <c r="CG3" s="26" t="s">
        <v>2111</v>
      </c>
      <c r="CH3" s="80" t="s">
        <v>2811</v>
      </c>
      <c r="CI3" s="80" t="s">
        <v>2810</v>
      </c>
      <c r="CJ3" s="62" t="s">
        <v>2212</v>
      </c>
      <c r="CK3" s="26" t="s">
        <v>17</v>
      </c>
      <c r="CL3" s="26" t="s">
        <v>18</v>
      </c>
      <c r="CM3" s="26" t="s">
        <v>2758</v>
      </c>
      <c r="CN3" s="26" t="s">
        <v>19</v>
      </c>
      <c r="CO3" s="26" t="s">
        <v>2759</v>
      </c>
      <c r="CP3" s="26" t="s">
        <v>40</v>
      </c>
      <c r="CQ3" s="26" t="s">
        <v>2760</v>
      </c>
      <c r="CR3" s="26" t="s">
        <v>43</v>
      </c>
      <c r="CS3" s="26" t="s">
        <v>2761</v>
      </c>
      <c r="CT3" s="26" t="s">
        <v>46</v>
      </c>
      <c r="CU3" s="26" t="s">
        <v>2762</v>
      </c>
      <c r="CV3" s="26" t="s">
        <v>54</v>
      </c>
      <c r="CW3" s="26" t="s">
        <v>2763</v>
      </c>
      <c r="CX3" s="26" t="s">
        <v>60</v>
      </c>
      <c r="CY3" s="26" t="s">
        <v>2764</v>
      </c>
      <c r="CZ3" s="26" t="s">
        <v>63</v>
      </c>
      <c r="DA3" s="26" t="s">
        <v>2765</v>
      </c>
      <c r="DB3" s="26" t="s">
        <v>2207</v>
      </c>
      <c r="DC3" s="26" t="s">
        <v>2104</v>
      </c>
      <c r="DD3" s="60" t="s">
        <v>2103</v>
      </c>
      <c r="DE3" s="26" t="s">
        <v>2199</v>
      </c>
      <c r="DF3" s="26" t="s">
        <v>84</v>
      </c>
      <c r="DG3" s="26" t="s">
        <v>2766</v>
      </c>
      <c r="DH3" s="26" t="s">
        <v>2200</v>
      </c>
      <c r="DI3" s="26" t="s">
        <v>85</v>
      </c>
      <c r="DJ3" s="26" t="s">
        <v>2767</v>
      </c>
      <c r="DK3" s="26" t="s">
        <v>75</v>
      </c>
      <c r="DL3" s="26" t="s">
        <v>2768</v>
      </c>
      <c r="DM3" s="26" t="s">
        <v>80</v>
      </c>
      <c r="DN3" s="26" t="s">
        <v>2769</v>
      </c>
      <c r="DO3" s="26" t="s">
        <v>88</v>
      </c>
      <c r="DP3" s="54" t="s">
        <v>2083</v>
      </c>
      <c r="DQ3" s="26" t="s">
        <v>2110</v>
      </c>
      <c r="DR3" s="26" t="s">
        <v>2111</v>
      </c>
      <c r="DS3" s="46" t="s">
        <v>2189</v>
      </c>
      <c r="DT3" s="47" t="s">
        <v>2204</v>
      </c>
      <c r="DU3" s="48" t="s">
        <v>2205</v>
      </c>
      <c r="DV3" s="48" t="s">
        <v>2215</v>
      </c>
      <c r="DW3" s="67" t="s">
        <v>2231</v>
      </c>
      <c r="DX3" s="70" t="s">
        <v>2814</v>
      </c>
      <c r="DY3" s="49" t="s">
        <v>2813</v>
      </c>
      <c r="DZ3" s="49" t="s">
        <v>2809</v>
      </c>
      <c r="EA3" s="77" t="s">
        <v>19</v>
      </c>
      <c r="EB3" s="77" t="s">
        <v>18</v>
      </c>
      <c r="EC3" s="77" t="s">
        <v>68</v>
      </c>
      <c r="ED3" s="77" t="s">
        <v>87</v>
      </c>
      <c r="EE3" s="77" t="s">
        <v>84</v>
      </c>
      <c r="EF3" s="77" t="s">
        <v>2820</v>
      </c>
      <c r="EG3" s="77" t="s">
        <v>2819</v>
      </c>
      <c r="EH3" s="77" t="s">
        <v>40</v>
      </c>
      <c r="EI3" s="77" t="s">
        <v>43</v>
      </c>
      <c r="EJ3" s="77" t="s">
        <v>63</v>
      </c>
      <c r="EK3" s="77" t="s">
        <v>75</v>
      </c>
      <c r="EL3" s="77" t="s">
        <v>46</v>
      </c>
      <c r="EM3" s="77" t="s">
        <v>54</v>
      </c>
    </row>
    <row r="4" spans="1:143" ht="29.25" customHeight="1" x14ac:dyDescent="0.25">
      <c r="A4" s="78"/>
      <c r="B4" s="79"/>
      <c r="C4" s="79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 t="s">
        <v>2823</v>
      </c>
      <c r="U4" s="78"/>
      <c r="V4" s="78"/>
      <c r="W4" s="79"/>
      <c r="X4" s="78"/>
      <c r="Y4" s="78"/>
      <c r="Z4" s="78"/>
      <c r="AA4" s="78"/>
      <c r="AB4" s="79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8"/>
      <c r="AQ4" s="79"/>
      <c r="AR4" s="78"/>
      <c r="AS4" s="78"/>
      <c r="AT4" s="78"/>
      <c r="AU4" s="78"/>
      <c r="AV4" s="79"/>
      <c r="AW4" s="78"/>
      <c r="AX4" s="78"/>
      <c r="AY4" s="78"/>
      <c r="AZ4" s="78"/>
      <c r="BA4" s="1">
        <f>317.4645</f>
        <v>317.46449999999999</v>
      </c>
      <c r="BB4" s="1" t="str">
        <f>IF(I4="Наличие газоснабжения","Наличие газоснабжения","Отсутствие газоснабжения")</f>
        <v>Отсутствие газоснабжения</v>
      </c>
      <c r="BC4" s="1">
        <f>VLOOKUP(BB4,'Описание (градации)'!$E$7:$F$8,2,0)</f>
        <v>1</v>
      </c>
      <c r="BD4" s="1" t="str">
        <f>IF(F4="Наличие электроснабжения","Наличие электроснабжения","Отсутствие электроснабжения")</f>
        <v>Отсутствие электроснабжения</v>
      </c>
      <c r="BE4" s="1">
        <f>VLOOKUP(BD4,'Описание (градации)'!$E$9:$F$10,2,0)</f>
        <v>0.61019999999999996</v>
      </c>
      <c r="BF4" s="1" t="str">
        <f>IF(J4="Наличие водоснабжения","Наличие водоснабжения","Отсутствие водоснабжения")</f>
        <v>Отсутствие водоснабжения</v>
      </c>
      <c r="BG4" s="1">
        <f>VLOOKUP(BF4,'Описание (градации)'!$E$11:$F$12,2,0)</f>
        <v>1</v>
      </c>
      <c r="BH4" s="42" t="str">
        <f>IF(I4="Наличие водоотведения","Наличие водоотведения","Отсутствие водоотведения")</f>
        <v>Отсутствие водоотведения</v>
      </c>
      <c r="BI4" s="1">
        <f>VLOOKUP(BH4,'Описание (градации)'!$E$13:$F$14,2,0)</f>
        <v>1</v>
      </c>
      <c r="BJ4" s="1">
        <f>N4</f>
        <v>0</v>
      </c>
      <c r="BK4" s="1" t="e">
        <f>VLOOKUP(BJ4,'Описание (градации)'!$E$15:$F$19,2,0)</f>
        <v>#N/A</v>
      </c>
      <c r="BL4" s="1">
        <f>L4</f>
        <v>0</v>
      </c>
      <c r="BM4" s="1" t="e">
        <f>VLOOKUP(BL4,'Описание (градации)'!$E$20:$F$24,2,0)</f>
        <v>#N/A</v>
      </c>
      <c r="BN4" s="1">
        <f>M4</f>
        <v>0</v>
      </c>
      <c r="BO4" s="1" t="e">
        <f>VLOOKUP(BN4,'Описание (градации)'!$E$25:$F$27,2,0)</f>
        <v>#N/A</v>
      </c>
      <c r="BP4" s="1">
        <f>O4</f>
        <v>0</v>
      </c>
      <c r="BQ4" s="1" t="e">
        <f>VLOOKUP(BP4,'Описание (градации)'!$E$28:$F$29,2,0)</f>
        <v>#N/A</v>
      </c>
      <c r="BR4" s="1">
        <f>D4</f>
        <v>0</v>
      </c>
      <c r="BS4" s="56">
        <f>IF(BR4&lt;400,400,IF(BR4&gt;4510000,4510000,BR4))</f>
        <v>400</v>
      </c>
      <c r="BT4" s="1">
        <f>ROUND(EXP(0.3620826966*(15.93881008-5.49662653*LN(LN(BS4))))/EXP(0.3620826966*(15.93881008-5.49662653*LN(LN(1000)))),4)</f>
        <v>1.3273999999999999</v>
      </c>
      <c r="BU4" s="1">
        <f>H4</f>
        <v>0</v>
      </c>
      <c r="BV4" s="56">
        <f>IF(BU4&lt;50,50,IF(BU4&gt;630,630,BU4))</f>
        <v>50</v>
      </c>
      <c r="BW4" s="1">
        <f>ROUND(EXP(4.118629221*(EXP(1)^(1.71093948-0.01799629*LN(BV4))))/EXP(4.118629221*(EXP(1)^(1.71093948-0.01799629*LN(100)))),4)</f>
        <v>1.3012999999999999</v>
      </c>
      <c r="BX4" s="1">
        <f>E4</f>
        <v>0</v>
      </c>
      <c r="BY4" s="56">
        <f>IF(BX4&lt;1,1,IF(BX4&gt;203.57,203.57,BX4))</f>
        <v>1</v>
      </c>
      <c r="BZ4" s="1">
        <f>ROUND(EXP(0.4276469859*(5.64644498-0.48211057*LN(BY4)+0.10557587*LN(BY4)^2+0.00096428*LN(BY4)^3-0.00414511*LN(BY4)^4))/EXP(0.4276469859*(5.64644498-0.48211057*LN(5)+0.10557587*LN(5)^2+0.00096428*LN(5)^3-0.00414511*LN(5)^4)),4)</f>
        <v>1.2524</v>
      </c>
      <c r="CA4" s="30">
        <f>K4</f>
        <v>0</v>
      </c>
      <c r="CB4" s="30" t="e">
        <f>VLOOKUP(CA4,'Описание (градации)'!$E$33:$F$35,2,0)</f>
        <v>#N/A</v>
      </c>
      <c r="CC4" s="1" t="s">
        <v>82</v>
      </c>
      <c r="CD4" s="1">
        <f>0.91</f>
        <v>0.91</v>
      </c>
      <c r="CE4" s="1" t="e">
        <f>ROUND(BA4*BC4*BE4*BG4*BI4*BK4*BM4*BO4*BQ4*BT4*BW4*BZ4*CB4*CD4,2)</f>
        <v>#N/A</v>
      </c>
      <c r="CF4" s="33" t="e">
        <f>ROUND(CE4*BR4,2)</f>
        <v>#N/A</v>
      </c>
      <c r="CG4" s="33">
        <f>8013</f>
        <v>8013</v>
      </c>
      <c r="CH4" s="43" t="str">
        <f>IF(P4="","Объект новый",IF(AS4=CG4,CE4-P4,"объект пришел из другой модели"))</f>
        <v>Объект новый</v>
      </c>
      <c r="CI4" s="43" t="str">
        <f>IF(AX4="",IF(AJ4&lt;&gt;"","ОСПАРИВАНИЕ",IF(AY4&lt;&gt;"","СУД",IF(AD4="","",AD4))),AX4)</f>
        <v/>
      </c>
      <c r="CJ4" s="43">
        <f>B4</f>
        <v>0</v>
      </c>
      <c r="CK4" s="42">
        <f>317.4645</f>
        <v>317.46449999999999</v>
      </c>
      <c r="CL4" s="42" t="str">
        <f>IF(I4="",IF(AQ4="13:011","Отсутствие газоснабжения",IF(AQ4="13:021","Отсутствие газоснабжения",IF(X4="наличие","Наличие газоснабжения","Отсутствие газоснабжения"))),I4)</f>
        <v>Отсутствие газоснабжения</v>
      </c>
      <c r="CM4" s="42">
        <f>VLOOKUP(CL4,'Описание (градации)'!$E$7:$F$8,2,0)</f>
        <v>1</v>
      </c>
      <c r="CN4" s="42" t="str">
        <f>IF(F4="",IF(V4="","Отсутствие электроснабжения",IF(V4="отсутствие","Отсутствие электроснабжения","Наличие электроснабжения")),F4)</f>
        <v>Отсутствие электроснабжения</v>
      </c>
      <c r="CO4" s="42">
        <f>VLOOKUP(CN4,'Описание (градации)'!$E$9:$F$10,2,0)</f>
        <v>0.61019999999999996</v>
      </c>
      <c r="CP4" s="42" t="str">
        <f>"Отсутствие водоснабжения"</f>
        <v>Отсутствие водоснабжения</v>
      </c>
      <c r="CQ4" s="42">
        <f>VLOOKUP(CP4,'Описание (градации)'!$E$11:$F$12,2,0)</f>
        <v>1</v>
      </c>
      <c r="CR4" s="42" t="str">
        <f>"Отсутствие водоотведения"</f>
        <v>Отсутствие водоотведения</v>
      </c>
      <c r="CS4" s="42">
        <f>VLOOKUP(CR4,'Описание (градации)'!$E$13:$F$14,2,0)</f>
        <v>1</v>
      </c>
      <c r="CT4" s="42" t="e">
        <f>IF(AC4="",VLOOKUP(AB4,'ВПР статус и численность'!$A$2:$C$1992,3,0),VLOOKUP(AC4,'ВПР статус и численность'!$A$2:$C$1992,3,0))</f>
        <v>#N/A</v>
      </c>
      <c r="CU4" s="42" t="e">
        <f>VLOOKUP(CT4,'Описание (градации)'!$E$15:$F$19,2,0)</f>
        <v>#N/A</v>
      </c>
      <c r="CV4" s="42" t="e">
        <f>IF(AC4="",VLOOKUP(AB4,'ВПР статус и численность'!$A$2:$B$1992,2,0),VLOOKUP(AC4,'ВПР статус и численность'!$A$2:$B$1992,2,0))</f>
        <v>#N/A</v>
      </c>
      <c r="CW4" s="42" t="e">
        <f>VLOOKUP(CV4,'Описание (градации)'!$E$20:$F$24,2,0)</f>
        <v>#N/A</v>
      </c>
      <c r="CX4" s="42" t="str">
        <f>IF(AQ4="13:011","Садовый участок",IF(AQ4="13:021","Садовый участок",IF(AQ4="13:031","Дачный участок","ИЖС")))</f>
        <v>ИЖС</v>
      </c>
      <c r="CY4" s="42">
        <f>VLOOKUP(CX4,'Описание (градации)'!$E$25:$F$27,2,0)</f>
        <v>1</v>
      </c>
      <c r="CZ4" s="42" t="str">
        <f>IF(Y4="Наличие ЛЭП","Наличие ЛЭП","Отсутствие ЛЭП")</f>
        <v>Отсутствие ЛЭП</v>
      </c>
      <c r="DA4" s="42">
        <f>VLOOKUP(CZ4,'Описание (градации)'!$E$28:$F$29,2,0)</f>
        <v>1</v>
      </c>
      <c r="DB4" s="42">
        <f>IF(S4&lt;400,400,IF(S4&gt;4510000,4510000,S4))</f>
        <v>400</v>
      </c>
      <c r="DC4" s="42">
        <f>ROUND(EXP(0.3620826966*(15.93881008-5.49662653*LN(LN(DB4))))/EXP(0.3620826966*(15.93881008-5.49662653*LN(LN(1000)))),4)</f>
        <v>1.3273999999999999</v>
      </c>
      <c r="DD4" s="73">
        <f>S4</f>
        <v>0</v>
      </c>
      <c r="DE4" s="51" t="e">
        <f>IF(H4="",VLOOKUP(расчет!W4,'Средние расстояния'!$A$2:$C$55,2,0),H4)</f>
        <v>#N/A</v>
      </c>
      <c r="DF4" s="42" t="e">
        <f>IF(DE4&lt;50,50,IF(DE4&gt;630,630,DE4))</f>
        <v>#N/A</v>
      </c>
      <c r="DG4" s="42" t="e">
        <f>ROUND(EXP(4.118629221*(EXP(1)^(1.71093948-0.01799629*LN(DF4))))/EXP(4.118629221*(EXP(1)^(1.71093948-0.01799629*LN(100)))),4)</f>
        <v>#N/A</v>
      </c>
      <c r="DH4" s="42" t="e">
        <f>IF(E4="",VLOOKUP(W4,'Средние расстояния'!$A$2:$C$55,3,0),E4)</f>
        <v>#N/A</v>
      </c>
      <c r="DI4" s="42" t="e">
        <f>IF(DH4&lt;1,1,IF(DH4&gt;203.57,203.57,DH4))</f>
        <v>#N/A</v>
      </c>
      <c r="DJ4" s="42" t="e">
        <f>ROUND(EXP(0.4276469859*(5.64644498-0.48211057*LN(DI4)+0.10557587*LN(DI4)^2+0.00096428*LN(DI4)^3-0.00414511*LN(DI4)^4))/EXP(0.4276469859*(5.64644498-0.48211057*LN(5)+0.10557587*LN(5)^2+0.00096428*LN(5)^3-0.00414511*LN(5)^4)),4)</f>
        <v>#N/A</v>
      </c>
      <c r="DK4" s="42" t="s">
        <v>78</v>
      </c>
      <c r="DL4" s="42">
        <f>VLOOKUP(DK4,'Описание (градации)'!$E$33:$F$35,2,0)</f>
        <v>1</v>
      </c>
      <c r="DM4" s="42" t="s">
        <v>82</v>
      </c>
      <c r="DN4" s="42">
        <f>0.91</f>
        <v>0.91</v>
      </c>
      <c r="DO4" s="42" t="e">
        <f>ROUND(CK4*CM4*CO4*CQ4*CS4*CU4*CW4*CY4*DA4*DC4*DG4*DJ4*DL4*DN4,2)</f>
        <v>#N/A</v>
      </c>
      <c r="DP4" s="55" t="e">
        <f>ROUND(DO4*S4,2)</f>
        <v>#N/A</v>
      </c>
      <c r="DQ4" s="42" t="s">
        <v>2808</v>
      </c>
      <c r="DR4" s="42">
        <f>8013</f>
        <v>8013</v>
      </c>
      <c r="DS4" s="72" t="e">
        <f>IF(OR(DP4&lt;0,DP4=0),"ОТРИЦАТЕЛЬНОЕ ЗНАЧЕНИЕ",IF(DY4=0,"Пересчет не требуется","Готов"))</f>
        <v>#N/A</v>
      </c>
      <c r="DT4" s="41">
        <f>AQ4</f>
        <v>0</v>
      </c>
      <c r="DU4" s="41" t="s">
        <v>2206</v>
      </c>
      <c r="DV4" s="58">
        <f>13</f>
        <v>13</v>
      </c>
      <c r="DW4" s="64" t="e">
        <f>VLOOKUP(DT4,'справочник ври'!$A$3:$B$271,2,0)</f>
        <v>#N/A</v>
      </c>
      <c r="DX4" s="69">
        <f>AT4</f>
        <v>0</v>
      </c>
      <c r="DY4" s="43" t="str">
        <f>IF(ISBLANK(P4),"Новый объект",IF(DR4=AS4,ABS(DP4-Q4),"Объект из другой модели"))</f>
        <v>Новый объект</v>
      </c>
      <c r="DZ4" s="43" t="str">
        <f>IF(DY4="Объект из другой модели",IF(OR(DO4&lt;9,DO4&gt;873),"Отклонение УПКС","УПКС в допустимом интервале "),IF(DY4&lt;1000000,"Изменение менее 1 млн","Внимание!Изменение более 1млн"))</f>
        <v>Внимание!Изменение более 1млн</v>
      </c>
      <c r="EA4" s="50" t="str">
        <f>IF(F4="","Новое значение",IF(CN4=F4,"Осталось предыдущее значение ЦФ","ИЗМЕНЕНИЕ"))</f>
        <v>Новое значение</v>
      </c>
      <c r="EB4" s="50" t="str">
        <f>IF(I4="","Новое значение",IF(I4=CL4,"Осталось предыдущее значение ЦФ","ИЗМЕНЕНИЕ"))</f>
        <v>Новое значение</v>
      </c>
      <c r="EC4" s="50" t="str">
        <f>IF(AN4="не готов","ИЗМЕНЕНИЕ","Осталось предыдущее значение ЦФ")</f>
        <v>Осталось предыдущее значение ЦФ</v>
      </c>
      <c r="ED4" s="50" t="str">
        <f>IF(E4="","Новое значение",IF(E4=DH4,"Осталось предыдущее значение ЦФ","ИЗМЕНЕНИЕ"))</f>
        <v>Новое значение</v>
      </c>
      <c r="EE4" s="50" t="str">
        <f>IF(H4="","Новое значение",IF(H4=DF4,"Осталось предыдущее значение ЦФ","ИЗМЕНЕНИЕ"))</f>
        <v>Новое значение</v>
      </c>
      <c r="EF4" s="50" t="str">
        <f>IF(M4="","Новое значение",IF(CX4=M4,"Осталось предыдущее значение ЦФ","ИЗМЕНЕНИЕ"))</f>
        <v>Новое значение</v>
      </c>
      <c r="EG4" s="50" t="str">
        <f>IF(AV4=AQ4,"Осталось предыдущее значение ЦФ","ИЗМЕНЕНИЕ")</f>
        <v>Осталось предыдущее значение ЦФ</v>
      </c>
      <c r="EH4" s="50" t="str">
        <f>IF(J4="","Новое значение",IF(CP4=J4,"Осталось предыдущее значение ЦФ","ИЗМЕНЕНИЕ"))</f>
        <v>Новое значение</v>
      </c>
      <c r="EI4" s="50" t="str">
        <f>IF(G4="","Новое значение",IF(CR4=G4,"Осталось предыдущее значение ЦФ","ИЗМЕНЕНИЕ"))</f>
        <v>Новое значение</v>
      </c>
      <c r="EJ4" s="50" t="str">
        <f>IF(O4="","Новое значение",IF(CZ4=O4,"Осталось предыдущее значение ЦФ","ИЗМЕНЕНИЕ"))</f>
        <v>Новое значение</v>
      </c>
      <c r="EK4" s="50" t="str">
        <f>IF(K4="","Новое значение",IF(DK4=K4,"Осталось предыдущее значение ЦФ","ИЗМЕНЕНИЕ"))</f>
        <v>Новое значение</v>
      </c>
      <c r="EL4" s="50" t="str">
        <f>IF(N4="","Новое значение",IF(CT4=N4,"Осталось предыдущее значение ЦФ","ИЗМЕНЕНИЕ"))</f>
        <v>Новое значение</v>
      </c>
      <c r="EM4" s="50" t="str">
        <f>IF(L4="","Новое значение",IF(CV4=L4,"Осталось предыдущее значение ЦФ","ИЗМЕНЕНИЕ"))</f>
        <v>Новое значение</v>
      </c>
    </row>
    <row r="5" spans="1:143" ht="39" x14ac:dyDescent="0.25">
      <c r="BA5" s="73">
        <f t="shared" ref="BA5:BA7" si="0">317.4645</f>
        <v>317.46449999999999</v>
      </c>
      <c r="BB5" s="73" t="str">
        <f t="shared" ref="BB5:BB7" si="1">IF(I5="Наличие газоснабжения","Наличие газоснабжения","Отсутствие газоснабжения")</f>
        <v>Отсутствие газоснабжения</v>
      </c>
      <c r="BC5" s="73">
        <f>VLOOKUP(BB5,'Описание (градации)'!$E$7:$F$8,2,0)</f>
        <v>1</v>
      </c>
      <c r="BD5" s="73" t="str">
        <f t="shared" ref="BD5:BD7" si="2">IF(F5="Наличие электроснабжения","Наличие электроснабжения","Отсутствие электроснабжения")</f>
        <v>Отсутствие электроснабжения</v>
      </c>
      <c r="BE5" s="73">
        <f>VLOOKUP(BD5,'Описание (градации)'!$E$9:$F$10,2,0)</f>
        <v>0.61019999999999996</v>
      </c>
      <c r="BF5" s="73" t="str">
        <f t="shared" ref="BF5:BF7" si="3">IF(J5="Наличие водоснабжения","Наличие водоснабжения","Отсутствие водоснабжения")</f>
        <v>Отсутствие водоснабжения</v>
      </c>
      <c r="BG5" s="73">
        <f>VLOOKUP(BF5,'Описание (градации)'!$E$11:$F$12,2,0)</f>
        <v>1</v>
      </c>
      <c r="BH5" s="73" t="str">
        <f t="shared" ref="BH5:BH7" si="4">IF(I5="Наличие водоотведения","Наличие водоотведения","Отсутствие водоотведения")</f>
        <v>Отсутствие водоотведения</v>
      </c>
      <c r="BI5" s="73">
        <f>VLOOKUP(BH5,'Описание (градации)'!$E$13:$F$14,2,0)</f>
        <v>1</v>
      </c>
      <c r="BJ5" s="73">
        <f t="shared" ref="BJ5:BJ7" si="5">N5</f>
        <v>0</v>
      </c>
      <c r="BK5" s="73" t="e">
        <f>VLOOKUP(BJ5,'Описание (градации)'!$E$15:$F$19,2,0)</f>
        <v>#N/A</v>
      </c>
      <c r="BL5" s="73">
        <f t="shared" ref="BL5:BL7" si="6">L5</f>
        <v>0</v>
      </c>
      <c r="BM5" s="73" t="e">
        <f>VLOOKUP(BL5,'Описание (градации)'!$E$20:$F$24,2,0)</f>
        <v>#N/A</v>
      </c>
      <c r="BN5" s="73">
        <f t="shared" ref="BN5:BN7" si="7">M5</f>
        <v>0</v>
      </c>
      <c r="BO5" s="73" t="e">
        <f>VLOOKUP(BN5,'Описание (градации)'!$E$25:$F$27,2,0)</f>
        <v>#N/A</v>
      </c>
      <c r="BP5" s="73">
        <f t="shared" ref="BP5:BP7" si="8">O5</f>
        <v>0</v>
      </c>
      <c r="BQ5" s="73" t="e">
        <f>VLOOKUP(BP5,'Описание (градации)'!$E$28:$F$29,2,0)</f>
        <v>#N/A</v>
      </c>
      <c r="BR5" s="73">
        <f t="shared" ref="BR5:BR7" si="9">D5</f>
        <v>0</v>
      </c>
      <c r="BS5" s="73">
        <f t="shared" ref="BS5:BS7" si="10">IF(BR5&lt;400,400,IF(BR5&gt;4510000,4510000,BR5))</f>
        <v>400</v>
      </c>
      <c r="BT5" s="73">
        <f t="shared" ref="BT5:BT7" si="11">ROUND(EXP(0.3620826966*(15.93881008-5.49662653*LN(LN(BS5))))/EXP(0.3620826966*(15.93881008-5.49662653*LN(LN(1000)))),4)</f>
        <v>1.3273999999999999</v>
      </c>
      <c r="BU5" s="73">
        <f t="shared" ref="BU5:BU7" si="12">H5</f>
        <v>0</v>
      </c>
      <c r="BV5" s="73">
        <f t="shared" ref="BV5:BV7" si="13">IF(BU5&lt;50,50,IF(BU5&gt;630,630,BU5))</f>
        <v>50</v>
      </c>
      <c r="BW5" s="73">
        <f t="shared" ref="BW5:BW7" si="14">ROUND(EXP(4.118629221*(EXP(1)^(1.71093948-0.01799629*LN(BV5))))/EXP(4.118629221*(EXP(1)^(1.71093948-0.01799629*LN(100)))),4)</f>
        <v>1.3012999999999999</v>
      </c>
      <c r="BX5" s="73">
        <f t="shared" ref="BX5:BX7" si="15">E5</f>
        <v>0</v>
      </c>
      <c r="BY5" s="73">
        <f t="shared" ref="BY5:BY7" si="16">IF(BX5&lt;1,1,IF(BX5&gt;203.57,203.57,BX5))</f>
        <v>1</v>
      </c>
      <c r="BZ5" s="73">
        <f t="shared" ref="BZ5:BZ7" si="17">ROUND(EXP(0.4276469859*(5.64644498-0.48211057*LN(BY5)+0.10557587*LN(BY5)^2+0.00096428*LN(BY5)^3-0.00414511*LN(BY5)^4))/EXP(0.4276469859*(5.64644498-0.48211057*LN(5)+0.10557587*LN(5)^2+0.00096428*LN(5)^3-0.00414511*LN(5)^4)),4)</f>
        <v>1.2524</v>
      </c>
      <c r="CA5" s="73">
        <f t="shared" ref="CA5:CA7" si="18">K5</f>
        <v>0</v>
      </c>
      <c r="CB5" s="73" t="e">
        <f>VLOOKUP(CA5,'Описание (градации)'!$E$33:$F$35,2,0)</f>
        <v>#N/A</v>
      </c>
      <c r="CC5" s="73" t="s">
        <v>82</v>
      </c>
      <c r="CD5" s="73">
        <f t="shared" ref="CD5:CD7" si="19">0.91</f>
        <v>0.91</v>
      </c>
      <c r="CE5" s="73" t="e">
        <f t="shared" ref="CE5:CE7" si="20">ROUND(BA5*BC5*BE5*BG5*BI5*BK5*BM5*BO5*BQ5*BT5*BW5*BZ5*CB5*CD5,2)</f>
        <v>#N/A</v>
      </c>
      <c r="CF5" s="73" t="e">
        <f t="shared" ref="CF5:CF7" si="21">ROUND(CE5*BR5,2)</f>
        <v>#N/A</v>
      </c>
      <c r="CG5" s="73">
        <f>8013</f>
        <v>8013</v>
      </c>
      <c r="CH5" s="43" t="str">
        <f t="shared" ref="CH5:CH7" si="22">IF(P5="","Объект новый",IF(AS5=CG5,CE5-P5,"объект пришел из другой модели"))</f>
        <v>Объект новый</v>
      </c>
      <c r="CI5" s="43" t="str">
        <f t="shared" ref="CI5:CI7" si="23">IF(AX5="",IF(AJ5&lt;&gt;"","ОСПАРИВАНИЕ",IF(AY5&lt;&gt;"","СУД",IF(AD5="","",AD5))),AX5)</f>
        <v/>
      </c>
      <c r="CJ5" s="43">
        <f t="shared" ref="CJ5:CJ7" si="24">B5</f>
        <v>0</v>
      </c>
      <c r="CK5" s="73">
        <f t="shared" ref="CK5:CK7" si="25">317.4645</f>
        <v>317.46449999999999</v>
      </c>
      <c r="CL5" s="73" t="str">
        <f t="shared" ref="CL5:CL7" si="26">IF(I5="",IF(AQ5="13:011","Отсутствие газоснабжения",IF(AQ5="13:021","Отсутствие газоснабжения",IF(X5="наличие","Наличие газоснабжения","Отсутствие газоснабжения"))),I5)</f>
        <v>Отсутствие газоснабжения</v>
      </c>
      <c r="CM5" s="73">
        <f>VLOOKUP(CL5,'Описание (градации)'!$E$7:$F$8,2,0)</f>
        <v>1</v>
      </c>
      <c r="CN5" s="73" t="str">
        <f t="shared" ref="CN5:CN7" si="27">IF(F5="",IF(V5="","Отсутствие электроснабжения",IF(V5="отсутствие","Отсутствие электроснабжения","Наличие электроснабжения")),F5)</f>
        <v>Отсутствие электроснабжения</v>
      </c>
      <c r="CO5" s="73">
        <f>VLOOKUP(CN5,'Описание (градации)'!$E$9:$F$10,2,0)</f>
        <v>0.61019999999999996</v>
      </c>
      <c r="CP5" s="73" t="str">
        <f t="shared" ref="CP5:CP7" si="28">"Отсутствие водоснабжения"</f>
        <v>Отсутствие водоснабжения</v>
      </c>
      <c r="CQ5" s="73">
        <f>VLOOKUP(CP5,'Описание (градации)'!$E$11:$F$12,2,0)</f>
        <v>1</v>
      </c>
      <c r="CR5" s="73" t="str">
        <f t="shared" ref="CR5:CR7" si="29">"Отсутствие водоотведения"</f>
        <v>Отсутствие водоотведения</v>
      </c>
      <c r="CS5" s="73">
        <f>VLOOKUP(CR5,'Описание (градации)'!$E$13:$F$14,2,0)</f>
        <v>1</v>
      </c>
      <c r="CT5" s="73" t="e">
        <f>IF(AC5="",VLOOKUP(AB5,'ВПР статус и численность'!$A$2:$C$1992,3,0),VLOOKUP(AC5,'ВПР статус и численность'!$A$2:$C$1992,3,0))</f>
        <v>#N/A</v>
      </c>
      <c r="CU5" s="73" t="e">
        <f>VLOOKUP(CT5,'Описание (градации)'!$E$15:$F$19,2,0)</f>
        <v>#N/A</v>
      </c>
      <c r="CV5" s="73" t="e">
        <f>IF(AC5="",VLOOKUP(AB5,'ВПР статус и численность'!$A$2:$B$1992,2,0),VLOOKUP(AC5,'ВПР статус и численность'!$A$2:$B$1992,2,0))</f>
        <v>#N/A</v>
      </c>
      <c r="CW5" s="73" t="e">
        <f>VLOOKUP(CV5,'Описание (градации)'!$E$20:$F$24,2,0)</f>
        <v>#N/A</v>
      </c>
      <c r="CX5" s="73" t="str">
        <f t="shared" ref="CX5:CX7" si="30">IF(AQ5="13:011","Садовый участок",IF(AQ5="13:021","Садовый участок",IF(AQ5="13:031","Дачный участок","ИЖС")))</f>
        <v>ИЖС</v>
      </c>
      <c r="CY5" s="73">
        <f>VLOOKUP(CX5,'Описание (градации)'!$E$25:$F$27,2,0)</f>
        <v>1</v>
      </c>
      <c r="CZ5" s="73" t="str">
        <f t="shared" ref="CZ5:CZ7" si="31">IF(Y5="Наличие ЛЭП","Наличие ЛЭП","Отсутствие ЛЭП")</f>
        <v>Отсутствие ЛЭП</v>
      </c>
      <c r="DA5" s="73">
        <f>VLOOKUP(CZ5,'Описание (градации)'!$E$28:$F$29,2,0)</f>
        <v>1</v>
      </c>
      <c r="DB5" s="73">
        <f t="shared" ref="DB5:DB7" si="32">IF(S5&lt;400,400,IF(S5&gt;4510000,4510000,S5))</f>
        <v>400</v>
      </c>
      <c r="DC5" s="73">
        <f t="shared" ref="DC5:DC7" si="33">ROUND(EXP(0.3620826966*(15.93881008-5.49662653*LN(LN(DB5))))/EXP(0.3620826966*(15.93881008-5.49662653*LN(LN(1000)))),4)</f>
        <v>1.3273999999999999</v>
      </c>
      <c r="DD5" s="73">
        <f t="shared" ref="DD5:DD7" si="34">S5</f>
        <v>0</v>
      </c>
      <c r="DE5" s="73" t="e">
        <f>IF(H5="",VLOOKUP(расчет!W5,'Средние расстояния'!$A$2:$C$55,2,0),H5)</f>
        <v>#N/A</v>
      </c>
      <c r="DF5" s="73" t="e">
        <f t="shared" ref="DF5:DF7" si="35">IF(DE5&lt;50,50,IF(DE5&gt;630,630,DE5))</f>
        <v>#N/A</v>
      </c>
      <c r="DG5" s="73" t="e">
        <f t="shared" ref="DG5:DG7" si="36">ROUND(EXP(4.118629221*(EXP(1)^(1.71093948-0.01799629*LN(DF5))))/EXP(4.118629221*(EXP(1)^(1.71093948-0.01799629*LN(100)))),4)</f>
        <v>#N/A</v>
      </c>
      <c r="DH5" s="73" t="e">
        <f>IF(E5="",VLOOKUP(W5,'Средние расстояния'!$A$2:$C$55,3,0),E5)</f>
        <v>#N/A</v>
      </c>
      <c r="DI5" s="73" t="e">
        <f t="shared" ref="DI5:DI7" si="37">IF(DH5&lt;1,1,IF(DH5&gt;203.57,203.57,DH5))</f>
        <v>#N/A</v>
      </c>
      <c r="DJ5" s="73" t="e">
        <f t="shared" ref="DJ5:DJ7" si="38">ROUND(EXP(0.4276469859*(5.64644498-0.48211057*LN(DI5)+0.10557587*LN(DI5)^2+0.00096428*LN(DI5)^3-0.00414511*LN(DI5)^4))/EXP(0.4276469859*(5.64644498-0.48211057*LN(5)+0.10557587*LN(5)^2+0.00096428*LN(5)^3-0.00414511*LN(5)^4)),4)</f>
        <v>#N/A</v>
      </c>
      <c r="DK5" s="73" t="s">
        <v>78</v>
      </c>
      <c r="DL5" s="73">
        <f>VLOOKUP(DK5,'Описание (градации)'!$E$33:$F$35,2,0)</f>
        <v>1</v>
      </c>
      <c r="DM5" s="73" t="s">
        <v>82</v>
      </c>
      <c r="DN5" s="73">
        <f t="shared" ref="DN5:DN7" si="39">0.91</f>
        <v>0.91</v>
      </c>
      <c r="DO5" s="73" t="e">
        <f t="shared" ref="DO5:DO7" si="40">ROUND(CK5*CM5*CO5*CQ5*CS5*CU5*CW5*CY5*DA5*DC5*DG5*DJ5*DL5*DN5,2)</f>
        <v>#N/A</v>
      </c>
      <c r="DP5" s="55" t="e">
        <f t="shared" ref="DP5:DP7" si="41">ROUND(DO5*S5,2)</f>
        <v>#N/A</v>
      </c>
      <c r="DQ5" s="73" t="s">
        <v>2808</v>
      </c>
      <c r="DR5" s="73">
        <f>8013</f>
        <v>8013</v>
      </c>
      <c r="DS5" s="72" t="e">
        <f t="shared" ref="DS5:DS7" si="42">IF(OR(DP5&lt;0,DP5=0),"ОТРИЦАТЕЛЬНОЕ ЗНАЧЕНИЕ",IF(DY5=0,"Пересчет не требуется","Готов"))</f>
        <v>#N/A</v>
      </c>
      <c r="DT5" s="72">
        <f t="shared" ref="DT5:DT7" si="43">AQ5</f>
        <v>0</v>
      </c>
      <c r="DU5" s="72" t="s">
        <v>2206</v>
      </c>
      <c r="DV5" s="72">
        <f>13</f>
        <v>13</v>
      </c>
      <c r="DW5" s="72" t="e">
        <f>VLOOKUP(DT5,'справочник ври'!$A$3:$B$271,2,0)</f>
        <v>#N/A</v>
      </c>
      <c r="DX5" s="72">
        <f t="shared" ref="DX5:DX7" si="44">AT5</f>
        <v>0</v>
      </c>
      <c r="DY5" s="43" t="str">
        <f t="shared" ref="DY5:DY7" si="45">IF(ISBLANK(P5),"Новый объект",IF(DR5=AS5,ABS(DP5-Q5),"Объект из другой модели"))</f>
        <v>Новый объект</v>
      </c>
      <c r="DZ5" s="43" t="str">
        <f t="shared" ref="DZ5:DZ7" si="46">IF(DY5="Объект из другой модели",IF(OR(DO5&lt;9,DO5&gt;873),"Отклонение УПКС","УПКС в допустимом интервале "),IF(DY5&lt;1000000,"Изменение менее 1 млн","Внимание!Изменение более 1млн"))</f>
        <v>Внимание!Изменение более 1млн</v>
      </c>
      <c r="EA5" s="50" t="str">
        <f t="shared" ref="EA5:EA7" si="47">IF(F5="","Новое значение",IF(CN5=F5,"Осталось предыдущее значение ЦФ","ИЗМЕНЕНИЕ"))</f>
        <v>Новое значение</v>
      </c>
      <c r="EB5" s="50" t="str">
        <f t="shared" ref="EB5:EB7" si="48">IF(I5="","Новое значение",IF(I5=CL5,"Осталось предыдущее значение ЦФ","ИЗМЕНЕНИЕ"))</f>
        <v>Новое значение</v>
      </c>
      <c r="EC5" s="50" t="str">
        <f t="shared" ref="EC5:EC7" si="49">IF(AN5="не готов","ИЗМЕНЕНИЕ","Осталось предыдущее значение ЦФ")</f>
        <v>Осталось предыдущее значение ЦФ</v>
      </c>
      <c r="ED5" s="50" t="str">
        <f t="shared" ref="ED5:ED7" si="50">IF(E5="","Новое значение",IF(E5=DH5,"Осталось предыдущее значение ЦФ","ИЗМЕНЕНИЕ"))</f>
        <v>Новое значение</v>
      </c>
      <c r="EE5" s="50" t="str">
        <f t="shared" ref="EE5:EE7" si="51">IF(H5="","Новое значение",IF(H5=DF5,"Осталось предыдущее значение ЦФ","ИЗМЕНЕНИЕ"))</f>
        <v>Новое значение</v>
      </c>
      <c r="EF5" s="50" t="str">
        <f t="shared" ref="EF5:EF7" si="52">IF(M5="","Новое значение",IF(CX5=M5,"Осталось предыдущее значение ЦФ","ИЗМЕНЕНИЕ"))</f>
        <v>Новое значение</v>
      </c>
      <c r="EG5" s="50" t="str">
        <f t="shared" ref="EG5:EG7" si="53">IF(AV5=AQ5,"Осталось предыдущее значение ЦФ","ИЗМЕНЕНИЕ")</f>
        <v>Осталось предыдущее значение ЦФ</v>
      </c>
      <c r="EH5" s="50" t="str">
        <f t="shared" ref="EH5:EH7" si="54">IF(J5="","Новое значение",IF(CP5=J5,"Осталось предыдущее значение ЦФ","ИЗМЕНЕНИЕ"))</f>
        <v>Новое значение</v>
      </c>
      <c r="EI5" s="50" t="str">
        <f t="shared" ref="EI5:EI7" si="55">IF(G5="","Новое значение",IF(CR5=G5,"Осталось предыдущее значение ЦФ","ИЗМЕНЕНИЕ"))</f>
        <v>Новое значение</v>
      </c>
      <c r="EJ5" s="50" t="str">
        <f t="shared" ref="EJ5:EJ7" si="56">IF(O5="","Новое значение",IF(CZ5=O5,"Осталось предыдущее значение ЦФ","ИЗМЕНЕНИЕ"))</f>
        <v>Новое значение</v>
      </c>
      <c r="EK5" s="50" t="str">
        <f t="shared" ref="EK5:EK7" si="57">IF(K5="","Новое значение",IF(DK5=K5,"Осталось предыдущее значение ЦФ","ИЗМЕНЕНИЕ"))</f>
        <v>Новое значение</v>
      </c>
      <c r="EL5" s="50" t="str">
        <f t="shared" ref="EL5:EL7" si="58">IF(N5="","Новое значение",IF(CT5=N5,"Осталось предыдущее значение ЦФ","ИЗМЕНЕНИЕ"))</f>
        <v>Новое значение</v>
      </c>
      <c r="EM5" s="50" t="str">
        <f t="shared" ref="EM5:EM7" si="59">IF(L5="","Новое значение",IF(CV5=L5,"Осталось предыдущее значение ЦФ","ИЗМЕНЕНИЕ"))</f>
        <v>Новое значение</v>
      </c>
    </row>
    <row r="6" spans="1:143" ht="409.5" x14ac:dyDescent="0.25">
      <c r="A6" s="73" t="s">
        <v>2824</v>
      </c>
      <c r="BA6" s="73">
        <f t="shared" si="0"/>
        <v>317.46449999999999</v>
      </c>
      <c r="BB6" s="73" t="str">
        <f t="shared" si="1"/>
        <v>Отсутствие газоснабжения</v>
      </c>
      <c r="BC6" s="73">
        <f>VLOOKUP(BB6,'Описание (градации)'!$E$7:$F$8,2,0)</f>
        <v>1</v>
      </c>
      <c r="BD6" s="73" t="str">
        <f t="shared" si="2"/>
        <v>Отсутствие электроснабжения</v>
      </c>
      <c r="BE6" s="73">
        <f>VLOOKUP(BD6,'Описание (градации)'!$E$9:$F$10,2,0)</f>
        <v>0.61019999999999996</v>
      </c>
      <c r="BF6" s="73" t="str">
        <f t="shared" si="3"/>
        <v>Отсутствие водоснабжения</v>
      </c>
      <c r="BG6" s="73">
        <f>VLOOKUP(BF6,'Описание (градации)'!$E$11:$F$12,2,0)</f>
        <v>1</v>
      </c>
      <c r="BH6" s="73" t="str">
        <f t="shared" si="4"/>
        <v>Отсутствие водоотведения</v>
      </c>
      <c r="BI6" s="73">
        <f>VLOOKUP(BH6,'Описание (градации)'!$E$13:$F$14,2,0)</f>
        <v>1</v>
      </c>
      <c r="BJ6" s="73">
        <f t="shared" si="5"/>
        <v>0</v>
      </c>
      <c r="BK6" s="73" t="e">
        <f>VLOOKUP(BJ6,'Описание (градации)'!$E$15:$F$19,2,0)</f>
        <v>#N/A</v>
      </c>
      <c r="BL6" s="73">
        <f t="shared" si="6"/>
        <v>0</v>
      </c>
      <c r="BM6" s="73" t="e">
        <f>VLOOKUP(BL6,'Описание (градации)'!$E$20:$F$24,2,0)</f>
        <v>#N/A</v>
      </c>
      <c r="BN6" s="73">
        <f t="shared" si="7"/>
        <v>0</v>
      </c>
      <c r="BO6" s="73" t="e">
        <f>VLOOKUP(BN6,'Описание (градации)'!$E$25:$F$27,2,0)</f>
        <v>#N/A</v>
      </c>
      <c r="BP6" s="73">
        <f t="shared" si="8"/>
        <v>0</v>
      </c>
      <c r="BQ6" s="73" t="e">
        <f>VLOOKUP(BP6,'Описание (градации)'!$E$28:$F$29,2,0)</f>
        <v>#N/A</v>
      </c>
      <c r="BR6" s="73">
        <f t="shared" si="9"/>
        <v>0</v>
      </c>
      <c r="BS6" s="73">
        <f t="shared" si="10"/>
        <v>400</v>
      </c>
      <c r="BT6" s="73">
        <f t="shared" si="11"/>
        <v>1.3273999999999999</v>
      </c>
      <c r="BU6" s="73">
        <f t="shared" si="12"/>
        <v>0</v>
      </c>
      <c r="BV6" s="73">
        <f t="shared" si="13"/>
        <v>50</v>
      </c>
      <c r="BW6" s="73">
        <f t="shared" si="14"/>
        <v>1.3012999999999999</v>
      </c>
      <c r="BX6" s="73">
        <f t="shared" si="15"/>
        <v>0</v>
      </c>
      <c r="BY6" s="73">
        <f t="shared" si="16"/>
        <v>1</v>
      </c>
      <c r="BZ6" s="73">
        <f t="shared" si="17"/>
        <v>1.2524</v>
      </c>
      <c r="CA6" s="73">
        <f t="shared" si="18"/>
        <v>0</v>
      </c>
      <c r="CB6" s="73" t="e">
        <f>VLOOKUP(CA6,'Описание (градации)'!$E$33:$F$35,2,0)</f>
        <v>#N/A</v>
      </c>
      <c r="CC6" s="73" t="s">
        <v>82</v>
      </c>
      <c r="CD6" s="73">
        <f t="shared" si="19"/>
        <v>0.91</v>
      </c>
      <c r="CE6" s="73" t="e">
        <f t="shared" si="20"/>
        <v>#N/A</v>
      </c>
      <c r="CF6" s="73" t="e">
        <f t="shared" si="21"/>
        <v>#N/A</v>
      </c>
      <c r="CG6" s="73">
        <f>8013</f>
        <v>8013</v>
      </c>
      <c r="CH6" s="43" t="str">
        <f t="shared" si="22"/>
        <v>Объект новый</v>
      </c>
      <c r="CI6" s="43" t="str">
        <f t="shared" si="23"/>
        <v/>
      </c>
      <c r="CJ6" s="43">
        <f t="shared" si="24"/>
        <v>0</v>
      </c>
      <c r="CK6" s="73">
        <f t="shared" si="25"/>
        <v>317.46449999999999</v>
      </c>
      <c r="CL6" s="73" t="str">
        <f t="shared" si="26"/>
        <v>Отсутствие газоснабжения</v>
      </c>
      <c r="CM6" s="73">
        <f>VLOOKUP(CL6,'Описание (градации)'!$E$7:$F$8,2,0)</f>
        <v>1</v>
      </c>
      <c r="CN6" s="73" t="str">
        <f t="shared" si="27"/>
        <v>Отсутствие электроснабжения</v>
      </c>
      <c r="CO6" s="73">
        <f>VLOOKUP(CN6,'Описание (градации)'!$E$9:$F$10,2,0)</f>
        <v>0.61019999999999996</v>
      </c>
      <c r="CP6" s="73" t="str">
        <f t="shared" si="28"/>
        <v>Отсутствие водоснабжения</v>
      </c>
      <c r="CQ6" s="73">
        <f>VLOOKUP(CP6,'Описание (градации)'!$E$11:$F$12,2,0)</f>
        <v>1</v>
      </c>
      <c r="CR6" s="73" t="str">
        <f t="shared" si="29"/>
        <v>Отсутствие водоотведения</v>
      </c>
      <c r="CS6" s="73">
        <f>VLOOKUP(CR6,'Описание (градации)'!$E$13:$F$14,2,0)</f>
        <v>1</v>
      </c>
      <c r="CT6" s="73" t="e">
        <f>IF(AC6="",VLOOKUP(AB6,'ВПР статус и численность'!$A$2:$C$1992,3,0),VLOOKUP(AC6,'ВПР статус и численность'!$A$2:$C$1992,3,0))</f>
        <v>#N/A</v>
      </c>
      <c r="CU6" s="73" t="e">
        <f>VLOOKUP(CT6,'Описание (градации)'!$E$15:$F$19,2,0)</f>
        <v>#N/A</v>
      </c>
      <c r="CV6" s="73" t="e">
        <f>IF(AC6="",VLOOKUP(AB6,'ВПР статус и численность'!$A$2:$B$1992,2,0),VLOOKUP(AC6,'ВПР статус и численность'!$A$2:$B$1992,2,0))</f>
        <v>#N/A</v>
      </c>
      <c r="CW6" s="73" t="e">
        <f>VLOOKUP(CV6,'Описание (градации)'!$E$20:$F$24,2,0)</f>
        <v>#N/A</v>
      </c>
      <c r="CX6" s="73" t="str">
        <f t="shared" si="30"/>
        <v>ИЖС</v>
      </c>
      <c r="CY6" s="73">
        <f>VLOOKUP(CX6,'Описание (градации)'!$E$25:$F$27,2,0)</f>
        <v>1</v>
      </c>
      <c r="CZ6" s="73" t="str">
        <f t="shared" si="31"/>
        <v>Отсутствие ЛЭП</v>
      </c>
      <c r="DA6" s="73">
        <f>VLOOKUP(CZ6,'Описание (градации)'!$E$28:$F$29,2,0)</f>
        <v>1</v>
      </c>
      <c r="DB6" s="73">
        <f t="shared" si="32"/>
        <v>400</v>
      </c>
      <c r="DC6" s="73">
        <f t="shared" si="33"/>
        <v>1.3273999999999999</v>
      </c>
      <c r="DD6" s="73">
        <f t="shared" si="34"/>
        <v>0</v>
      </c>
      <c r="DE6" s="73" t="e">
        <f>IF(H6="",VLOOKUP(расчет!W6,'Средние расстояния'!$A$2:$C$55,2,0),H6)</f>
        <v>#N/A</v>
      </c>
      <c r="DF6" s="73" t="e">
        <f t="shared" si="35"/>
        <v>#N/A</v>
      </c>
      <c r="DG6" s="73" t="e">
        <f t="shared" si="36"/>
        <v>#N/A</v>
      </c>
      <c r="DH6" s="73" t="e">
        <f>IF(E6="",VLOOKUP(W6,'Средние расстояния'!$A$2:$C$55,3,0),E6)</f>
        <v>#N/A</v>
      </c>
      <c r="DI6" s="73" t="e">
        <f t="shared" si="37"/>
        <v>#N/A</v>
      </c>
      <c r="DJ6" s="73" t="e">
        <f t="shared" si="38"/>
        <v>#N/A</v>
      </c>
      <c r="DK6" s="73" t="s">
        <v>78</v>
      </c>
      <c r="DL6" s="73">
        <f>VLOOKUP(DK6,'Описание (градации)'!$E$33:$F$35,2,0)</f>
        <v>1</v>
      </c>
      <c r="DM6" s="73" t="s">
        <v>82</v>
      </c>
      <c r="DN6" s="73">
        <f t="shared" si="39"/>
        <v>0.91</v>
      </c>
      <c r="DO6" s="73" t="e">
        <f t="shared" si="40"/>
        <v>#N/A</v>
      </c>
      <c r="DP6" s="55" t="e">
        <f t="shared" si="41"/>
        <v>#N/A</v>
      </c>
      <c r="DQ6" s="73" t="s">
        <v>2808</v>
      </c>
      <c r="DR6" s="73">
        <f>8013</f>
        <v>8013</v>
      </c>
      <c r="DS6" s="72" t="e">
        <f t="shared" si="42"/>
        <v>#N/A</v>
      </c>
      <c r="DT6" s="72">
        <f t="shared" si="43"/>
        <v>0</v>
      </c>
      <c r="DU6" s="72" t="s">
        <v>2206</v>
      </c>
      <c r="DV6" s="72">
        <f>13</f>
        <v>13</v>
      </c>
      <c r="DW6" s="72" t="e">
        <f>VLOOKUP(DT6,'справочник ври'!$A$3:$B$271,2,0)</f>
        <v>#N/A</v>
      </c>
      <c r="DX6" s="72">
        <f t="shared" si="44"/>
        <v>0</v>
      </c>
      <c r="DY6" s="43" t="str">
        <f t="shared" si="45"/>
        <v>Новый объект</v>
      </c>
      <c r="DZ6" s="43" t="str">
        <f t="shared" si="46"/>
        <v>Внимание!Изменение более 1млн</v>
      </c>
      <c r="EA6" s="50" t="str">
        <f t="shared" si="47"/>
        <v>Новое значение</v>
      </c>
      <c r="EB6" s="50" t="str">
        <f t="shared" si="48"/>
        <v>Новое значение</v>
      </c>
      <c r="EC6" s="50" t="str">
        <f t="shared" si="49"/>
        <v>Осталось предыдущее значение ЦФ</v>
      </c>
      <c r="ED6" s="50" t="str">
        <f t="shared" si="50"/>
        <v>Новое значение</v>
      </c>
      <c r="EE6" s="50" t="str">
        <f t="shared" si="51"/>
        <v>Новое значение</v>
      </c>
      <c r="EF6" s="50" t="str">
        <f t="shared" si="52"/>
        <v>Новое значение</v>
      </c>
      <c r="EG6" s="50" t="str">
        <f t="shared" si="53"/>
        <v>Осталось предыдущее значение ЦФ</v>
      </c>
      <c r="EH6" s="50" t="str">
        <f t="shared" si="54"/>
        <v>Новое значение</v>
      </c>
      <c r="EI6" s="50" t="str">
        <f t="shared" si="55"/>
        <v>Новое значение</v>
      </c>
      <c r="EJ6" s="50" t="str">
        <f t="shared" si="56"/>
        <v>Новое значение</v>
      </c>
      <c r="EK6" s="50" t="str">
        <f t="shared" si="57"/>
        <v>Новое значение</v>
      </c>
      <c r="EL6" s="50" t="str">
        <f t="shared" si="58"/>
        <v>Новое значение</v>
      </c>
      <c r="EM6" s="50" t="str">
        <f t="shared" si="59"/>
        <v>Новое значение</v>
      </c>
    </row>
    <row r="7" spans="1:143" ht="39" x14ac:dyDescent="0.25">
      <c r="BA7" s="73">
        <f t="shared" si="0"/>
        <v>317.46449999999999</v>
      </c>
      <c r="BB7" s="73" t="str">
        <f t="shared" si="1"/>
        <v>Отсутствие газоснабжения</v>
      </c>
      <c r="BC7" s="73">
        <f>VLOOKUP(BB7,'Описание (градации)'!$E$7:$F$8,2,0)</f>
        <v>1</v>
      </c>
      <c r="BD7" s="73" t="str">
        <f t="shared" si="2"/>
        <v>Отсутствие электроснабжения</v>
      </c>
      <c r="BE7" s="73">
        <f>VLOOKUP(BD7,'Описание (градации)'!$E$9:$F$10,2,0)</f>
        <v>0.61019999999999996</v>
      </c>
      <c r="BF7" s="73" t="str">
        <f t="shared" si="3"/>
        <v>Отсутствие водоснабжения</v>
      </c>
      <c r="BG7" s="73">
        <f>VLOOKUP(BF7,'Описание (градации)'!$E$11:$F$12,2,0)</f>
        <v>1</v>
      </c>
      <c r="BH7" s="73" t="str">
        <f t="shared" si="4"/>
        <v>Отсутствие водоотведения</v>
      </c>
      <c r="BI7" s="73">
        <f>VLOOKUP(BH7,'Описание (градации)'!$E$13:$F$14,2,0)</f>
        <v>1</v>
      </c>
      <c r="BJ7" s="73">
        <f t="shared" si="5"/>
        <v>0</v>
      </c>
      <c r="BK7" s="73" t="e">
        <f>VLOOKUP(BJ7,'Описание (градации)'!$E$15:$F$19,2,0)</f>
        <v>#N/A</v>
      </c>
      <c r="BL7" s="73">
        <f t="shared" si="6"/>
        <v>0</v>
      </c>
      <c r="BM7" s="73" t="e">
        <f>VLOOKUP(BL7,'Описание (градации)'!$E$20:$F$24,2,0)</f>
        <v>#N/A</v>
      </c>
      <c r="BN7" s="73">
        <f t="shared" si="7"/>
        <v>0</v>
      </c>
      <c r="BO7" s="73" t="e">
        <f>VLOOKUP(BN7,'Описание (градации)'!$E$25:$F$27,2,0)</f>
        <v>#N/A</v>
      </c>
      <c r="BP7" s="73">
        <f t="shared" si="8"/>
        <v>0</v>
      </c>
      <c r="BQ7" s="73" t="e">
        <f>VLOOKUP(BP7,'Описание (градации)'!$E$28:$F$29,2,0)</f>
        <v>#N/A</v>
      </c>
      <c r="BR7" s="73">
        <f t="shared" si="9"/>
        <v>0</v>
      </c>
      <c r="BS7" s="73">
        <f t="shared" si="10"/>
        <v>400</v>
      </c>
      <c r="BT7" s="73">
        <f t="shared" si="11"/>
        <v>1.3273999999999999</v>
      </c>
      <c r="BU7" s="73">
        <f t="shared" si="12"/>
        <v>0</v>
      </c>
      <c r="BV7" s="73">
        <f t="shared" si="13"/>
        <v>50</v>
      </c>
      <c r="BW7" s="73">
        <f t="shared" si="14"/>
        <v>1.3012999999999999</v>
      </c>
      <c r="BX7" s="73">
        <f t="shared" si="15"/>
        <v>0</v>
      </c>
      <c r="BY7" s="73">
        <f t="shared" si="16"/>
        <v>1</v>
      </c>
      <c r="BZ7" s="73">
        <f t="shared" si="17"/>
        <v>1.2524</v>
      </c>
      <c r="CA7" s="73">
        <f t="shared" si="18"/>
        <v>0</v>
      </c>
      <c r="CB7" s="73" t="e">
        <f>VLOOKUP(CA7,'Описание (градации)'!$E$33:$F$35,2,0)</f>
        <v>#N/A</v>
      </c>
      <c r="CC7" s="73" t="s">
        <v>82</v>
      </c>
      <c r="CD7" s="73">
        <f t="shared" si="19"/>
        <v>0.91</v>
      </c>
      <c r="CE7" s="73" t="e">
        <f t="shared" si="20"/>
        <v>#N/A</v>
      </c>
      <c r="CF7" s="73" t="e">
        <f t="shared" si="21"/>
        <v>#N/A</v>
      </c>
      <c r="CG7" s="73">
        <f>8013</f>
        <v>8013</v>
      </c>
      <c r="CH7" s="43" t="str">
        <f t="shared" si="22"/>
        <v>Объект новый</v>
      </c>
      <c r="CI7" s="43" t="str">
        <f t="shared" si="23"/>
        <v/>
      </c>
      <c r="CJ7" s="43">
        <f t="shared" si="24"/>
        <v>0</v>
      </c>
      <c r="CK7" s="73">
        <f t="shared" si="25"/>
        <v>317.46449999999999</v>
      </c>
      <c r="CL7" s="73" t="str">
        <f t="shared" si="26"/>
        <v>Отсутствие газоснабжения</v>
      </c>
      <c r="CM7" s="73">
        <f>VLOOKUP(CL7,'Описание (градации)'!$E$7:$F$8,2,0)</f>
        <v>1</v>
      </c>
      <c r="CN7" s="73" t="str">
        <f t="shared" si="27"/>
        <v>Отсутствие электроснабжения</v>
      </c>
      <c r="CO7" s="73">
        <f>VLOOKUP(CN7,'Описание (градации)'!$E$9:$F$10,2,0)</f>
        <v>0.61019999999999996</v>
      </c>
      <c r="CP7" s="73" t="str">
        <f t="shared" si="28"/>
        <v>Отсутствие водоснабжения</v>
      </c>
      <c r="CQ7" s="73">
        <f>VLOOKUP(CP7,'Описание (градации)'!$E$11:$F$12,2,0)</f>
        <v>1</v>
      </c>
      <c r="CR7" s="73" t="str">
        <f t="shared" si="29"/>
        <v>Отсутствие водоотведения</v>
      </c>
      <c r="CS7" s="73">
        <f>VLOOKUP(CR7,'Описание (градации)'!$E$13:$F$14,2,0)</f>
        <v>1</v>
      </c>
      <c r="CT7" s="73" t="e">
        <f>IF(AC7="",VLOOKUP(AB7,'ВПР статус и численность'!$A$2:$C$1992,3,0),VLOOKUP(AC7,'ВПР статус и численность'!$A$2:$C$1992,3,0))</f>
        <v>#N/A</v>
      </c>
      <c r="CU7" s="73" t="e">
        <f>VLOOKUP(CT7,'Описание (градации)'!$E$15:$F$19,2,0)</f>
        <v>#N/A</v>
      </c>
      <c r="CV7" s="73" t="e">
        <f>IF(AC7="",VLOOKUP(AB7,'ВПР статус и численность'!$A$2:$B$1992,2,0),VLOOKUP(AC7,'ВПР статус и численность'!$A$2:$B$1992,2,0))</f>
        <v>#N/A</v>
      </c>
      <c r="CW7" s="73" t="e">
        <f>VLOOKUP(CV7,'Описание (градации)'!$E$20:$F$24,2,0)</f>
        <v>#N/A</v>
      </c>
      <c r="CX7" s="73" t="str">
        <f t="shared" si="30"/>
        <v>ИЖС</v>
      </c>
      <c r="CY7" s="73">
        <f>VLOOKUP(CX7,'Описание (градации)'!$E$25:$F$27,2,0)</f>
        <v>1</v>
      </c>
      <c r="CZ7" s="73" t="str">
        <f t="shared" si="31"/>
        <v>Отсутствие ЛЭП</v>
      </c>
      <c r="DA7" s="73">
        <f>VLOOKUP(CZ7,'Описание (градации)'!$E$28:$F$29,2,0)</f>
        <v>1</v>
      </c>
      <c r="DB7" s="73">
        <f t="shared" si="32"/>
        <v>400</v>
      </c>
      <c r="DC7" s="73">
        <f t="shared" si="33"/>
        <v>1.3273999999999999</v>
      </c>
      <c r="DD7" s="73">
        <f t="shared" si="34"/>
        <v>0</v>
      </c>
      <c r="DE7" s="73" t="e">
        <f>IF(H7="",VLOOKUP(расчет!W7,'Средние расстояния'!$A$2:$C$55,2,0),H7)</f>
        <v>#N/A</v>
      </c>
      <c r="DF7" s="73" t="e">
        <f t="shared" si="35"/>
        <v>#N/A</v>
      </c>
      <c r="DG7" s="73" t="e">
        <f t="shared" si="36"/>
        <v>#N/A</v>
      </c>
      <c r="DH7" s="73" t="e">
        <f>IF(E7="",VLOOKUP(W7,'Средние расстояния'!$A$2:$C$55,3,0),E7)</f>
        <v>#N/A</v>
      </c>
      <c r="DI7" s="73" t="e">
        <f t="shared" si="37"/>
        <v>#N/A</v>
      </c>
      <c r="DJ7" s="73" t="e">
        <f t="shared" si="38"/>
        <v>#N/A</v>
      </c>
      <c r="DK7" s="73" t="s">
        <v>78</v>
      </c>
      <c r="DL7" s="73">
        <f>VLOOKUP(DK7,'Описание (градации)'!$E$33:$F$35,2,0)</f>
        <v>1</v>
      </c>
      <c r="DM7" s="73" t="s">
        <v>82</v>
      </c>
      <c r="DN7" s="73">
        <f t="shared" si="39"/>
        <v>0.91</v>
      </c>
      <c r="DO7" s="73" t="e">
        <f t="shared" si="40"/>
        <v>#N/A</v>
      </c>
      <c r="DP7" s="55" t="e">
        <f t="shared" si="41"/>
        <v>#N/A</v>
      </c>
      <c r="DQ7" s="73" t="s">
        <v>2808</v>
      </c>
      <c r="DR7" s="73">
        <f>8013</f>
        <v>8013</v>
      </c>
      <c r="DS7" s="72" t="e">
        <f t="shared" si="42"/>
        <v>#N/A</v>
      </c>
      <c r="DT7" s="72">
        <f t="shared" si="43"/>
        <v>0</v>
      </c>
      <c r="DU7" s="72" t="s">
        <v>2206</v>
      </c>
      <c r="DV7" s="72">
        <f>13</f>
        <v>13</v>
      </c>
      <c r="DW7" s="72" t="e">
        <f>VLOOKUP(DT7,'справочник ври'!$A$3:$B$271,2,0)</f>
        <v>#N/A</v>
      </c>
      <c r="DX7" s="72">
        <f t="shared" si="44"/>
        <v>0</v>
      </c>
      <c r="DY7" s="43" t="str">
        <f t="shared" si="45"/>
        <v>Новый объект</v>
      </c>
      <c r="DZ7" s="43" t="str">
        <f t="shared" si="46"/>
        <v>Внимание!Изменение более 1млн</v>
      </c>
      <c r="EA7" s="50" t="str">
        <f t="shared" si="47"/>
        <v>Новое значение</v>
      </c>
      <c r="EB7" s="50" t="str">
        <f t="shared" si="48"/>
        <v>Новое значение</v>
      </c>
      <c r="EC7" s="50" t="str">
        <f t="shared" si="49"/>
        <v>Осталось предыдущее значение ЦФ</v>
      </c>
      <c r="ED7" s="50" t="str">
        <f t="shared" si="50"/>
        <v>Новое значение</v>
      </c>
      <c r="EE7" s="50" t="str">
        <f t="shared" si="51"/>
        <v>Новое значение</v>
      </c>
      <c r="EF7" s="50" t="str">
        <f t="shared" si="52"/>
        <v>Новое значение</v>
      </c>
      <c r="EG7" s="50" t="str">
        <f t="shared" si="53"/>
        <v>Осталось предыдущее значение ЦФ</v>
      </c>
      <c r="EH7" s="50" t="str">
        <f t="shared" si="54"/>
        <v>Новое значение</v>
      </c>
      <c r="EI7" s="50" t="str">
        <f t="shared" si="55"/>
        <v>Новое значение</v>
      </c>
      <c r="EJ7" s="50" t="str">
        <f t="shared" si="56"/>
        <v>Новое значение</v>
      </c>
      <c r="EK7" s="50" t="str">
        <f t="shared" si="57"/>
        <v>Новое значение</v>
      </c>
      <c r="EL7" s="50" t="str">
        <f t="shared" si="58"/>
        <v>Новое значение</v>
      </c>
      <c r="EM7" s="50" t="str">
        <f t="shared" si="59"/>
        <v>Новое значение</v>
      </c>
    </row>
  </sheetData>
  <mergeCells count="5">
    <mergeCell ref="CH2:CI2"/>
    <mergeCell ref="EF2:EG2"/>
    <mergeCell ref="BA1:CG1"/>
    <mergeCell ref="CK1:DU1"/>
    <mergeCell ref="DY1:EM1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B1"/>
  <sheetViews>
    <sheetView workbookViewId="0">
      <selection activeCell="B2" sqref="B2"/>
    </sheetView>
  </sheetViews>
  <sheetFormatPr defaultRowHeight="15" x14ac:dyDescent="0.25"/>
  <sheetData>
    <row r="1" spans="1:2" ht="25.5" x14ac:dyDescent="0.25">
      <c r="A1" s="57" t="s">
        <v>2213</v>
      </c>
      <c r="B1" s="57" t="s">
        <v>2214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G173"/>
  <sheetViews>
    <sheetView workbookViewId="0">
      <selection activeCell="A2" sqref="A2:XFD20"/>
    </sheetView>
  </sheetViews>
  <sheetFormatPr defaultRowHeight="15" x14ac:dyDescent="0.25"/>
  <cols>
    <col min="1" max="1" width="22.28515625" customWidth="1"/>
    <col min="2" max="2" width="22.28515625" style="69" customWidth="1"/>
  </cols>
  <sheetData>
    <row r="1" spans="1:7" ht="25.5" x14ac:dyDescent="0.25">
      <c r="A1" s="57" t="s">
        <v>2213</v>
      </c>
      <c r="B1" s="44" t="s">
        <v>2201</v>
      </c>
      <c r="C1" s="58" t="s">
        <v>2202</v>
      </c>
      <c r="D1" s="58" t="s">
        <v>2203</v>
      </c>
      <c r="E1" t="s">
        <v>2216</v>
      </c>
      <c r="F1" t="s">
        <v>2230</v>
      </c>
      <c r="G1" s="70" t="s">
        <v>2757</v>
      </c>
    </row>
    <row r="2" spans="1:7" x14ac:dyDescent="0.25">
      <c r="G2" s="69"/>
    </row>
    <row r="3" spans="1:7" x14ac:dyDescent="0.25">
      <c r="G3" s="69"/>
    </row>
    <row r="4" spans="1:7" x14ac:dyDescent="0.25">
      <c r="G4" s="69"/>
    </row>
    <row r="5" spans="1:7" x14ac:dyDescent="0.25">
      <c r="G5" s="69"/>
    </row>
    <row r="6" spans="1:7" x14ac:dyDescent="0.25">
      <c r="G6" s="69"/>
    </row>
    <row r="7" spans="1:7" x14ac:dyDescent="0.25">
      <c r="G7" s="69"/>
    </row>
    <row r="8" spans="1:7" x14ac:dyDescent="0.25">
      <c r="G8" s="69"/>
    </row>
    <row r="9" spans="1:7" x14ac:dyDescent="0.25">
      <c r="G9" s="69"/>
    </row>
    <row r="10" spans="1:7" x14ac:dyDescent="0.25">
      <c r="G10" s="69"/>
    </row>
    <row r="11" spans="1:7" x14ac:dyDescent="0.25">
      <c r="G11" s="69"/>
    </row>
    <row r="12" spans="1:7" x14ac:dyDescent="0.25">
      <c r="G12" s="69"/>
    </row>
    <row r="13" spans="1:7" x14ac:dyDescent="0.25">
      <c r="G13" s="69"/>
    </row>
    <row r="14" spans="1:7" x14ac:dyDescent="0.25">
      <c r="G14" s="69"/>
    </row>
    <row r="15" spans="1:7" x14ac:dyDescent="0.25">
      <c r="G15" s="69"/>
    </row>
    <row r="16" spans="1:7" x14ac:dyDescent="0.25">
      <c r="G16" s="69"/>
    </row>
    <row r="17" spans="7:7" x14ac:dyDescent="0.25">
      <c r="G17" s="69"/>
    </row>
    <row r="18" spans="7:7" x14ac:dyDescent="0.25">
      <c r="G18" s="69"/>
    </row>
    <row r="19" spans="7:7" x14ac:dyDescent="0.25">
      <c r="G19" s="69"/>
    </row>
    <row r="20" spans="7:7" x14ac:dyDescent="0.25">
      <c r="G20" s="69"/>
    </row>
    <row r="21" spans="7:7" x14ac:dyDescent="0.25">
      <c r="G21" s="69"/>
    </row>
    <row r="22" spans="7:7" x14ac:dyDescent="0.25">
      <c r="G22" s="69"/>
    </row>
    <row r="23" spans="7:7" x14ac:dyDescent="0.25">
      <c r="G23" s="69"/>
    </row>
    <row r="24" spans="7:7" x14ac:dyDescent="0.25">
      <c r="G24" s="69"/>
    </row>
    <row r="25" spans="7:7" x14ac:dyDescent="0.25">
      <c r="G25" s="69"/>
    </row>
    <row r="26" spans="7:7" x14ac:dyDescent="0.25">
      <c r="G26" s="69"/>
    </row>
    <row r="27" spans="7:7" x14ac:dyDescent="0.25">
      <c r="G27" s="69"/>
    </row>
    <row r="28" spans="7:7" x14ac:dyDescent="0.25">
      <c r="G28" s="69"/>
    </row>
    <row r="29" spans="7:7" x14ac:dyDescent="0.25">
      <c r="G29" s="69"/>
    </row>
    <row r="30" spans="7:7" x14ac:dyDescent="0.25">
      <c r="G30" s="69"/>
    </row>
    <row r="31" spans="7:7" x14ac:dyDescent="0.25">
      <c r="G31" s="69"/>
    </row>
    <row r="32" spans="7:7" x14ac:dyDescent="0.25">
      <c r="G32" s="69"/>
    </row>
    <row r="33" spans="7:7" x14ac:dyDescent="0.25">
      <c r="G33" s="69"/>
    </row>
    <row r="34" spans="7:7" x14ac:dyDescent="0.25">
      <c r="G34" s="69"/>
    </row>
    <row r="35" spans="7:7" x14ac:dyDescent="0.25">
      <c r="G35" s="69"/>
    </row>
    <row r="36" spans="7:7" x14ac:dyDescent="0.25">
      <c r="G36" s="69"/>
    </row>
    <row r="37" spans="7:7" x14ac:dyDescent="0.25">
      <c r="G37" s="69"/>
    </row>
    <row r="38" spans="7:7" x14ac:dyDescent="0.25">
      <c r="G38" s="69"/>
    </row>
    <row r="39" spans="7:7" x14ac:dyDescent="0.25">
      <c r="G39" s="69"/>
    </row>
    <row r="40" spans="7:7" x14ac:dyDescent="0.25">
      <c r="G40" s="69"/>
    </row>
    <row r="41" spans="7:7" x14ac:dyDescent="0.25">
      <c r="G41" s="69"/>
    </row>
    <row r="42" spans="7:7" x14ac:dyDescent="0.25">
      <c r="G42" s="69"/>
    </row>
    <row r="43" spans="7:7" x14ac:dyDescent="0.25">
      <c r="G43" s="69"/>
    </row>
    <row r="44" spans="7:7" x14ac:dyDescent="0.25">
      <c r="G44" s="69"/>
    </row>
    <row r="45" spans="7:7" x14ac:dyDescent="0.25">
      <c r="G45" s="69"/>
    </row>
    <row r="46" spans="7:7" x14ac:dyDescent="0.25">
      <c r="G46" s="69"/>
    </row>
    <row r="47" spans="7:7" x14ac:dyDescent="0.25">
      <c r="G47" s="69"/>
    </row>
    <row r="48" spans="7:7" x14ac:dyDescent="0.25">
      <c r="G48" s="69"/>
    </row>
    <row r="49" spans="7:7" x14ac:dyDescent="0.25">
      <c r="G49" s="69"/>
    </row>
    <row r="50" spans="7:7" x14ac:dyDescent="0.25">
      <c r="G50" s="69"/>
    </row>
    <row r="51" spans="7:7" x14ac:dyDescent="0.25">
      <c r="G51" s="69"/>
    </row>
    <row r="52" spans="7:7" x14ac:dyDescent="0.25">
      <c r="G52" s="69"/>
    </row>
    <row r="53" spans="7:7" x14ac:dyDescent="0.25">
      <c r="G53" s="69"/>
    </row>
    <row r="54" spans="7:7" x14ac:dyDescent="0.25">
      <c r="G54" s="69"/>
    </row>
    <row r="55" spans="7:7" x14ac:dyDescent="0.25">
      <c r="G55" s="69"/>
    </row>
    <row r="56" spans="7:7" x14ac:dyDescent="0.25">
      <c r="G56" s="69"/>
    </row>
    <row r="57" spans="7:7" x14ac:dyDescent="0.25">
      <c r="G57" s="69"/>
    </row>
    <row r="58" spans="7:7" x14ac:dyDescent="0.25">
      <c r="G58" s="69"/>
    </row>
    <row r="59" spans="7:7" x14ac:dyDescent="0.25">
      <c r="G59" s="69"/>
    </row>
    <row r="60" spans="7:7" x14ac:dyDescent="0.25">
      <c r="G60" s="69"/>
    </row>
    <row r="61" spans="7:7" x14ac:dyDescent="0.25">
      <c r="G61" s="69"/>
    </row>
    <row r="62" spans="7:7" x14ac:dyDescent="0.25">
      <c r="G62" s="69"/>
    </row>
    <row r="63" spans="7:7" x14ac:dyDescent="0.25">
      <c r="G63" s="69"/>
    </row>
    <row r="64" spans="7:7" x14ac:dyDescent="0.25">
      <c r="G64" s="69"/>
    </row>
    <row r="65" spans="7:7" x14ac:dyDescent="0.25">
      <c r="G65" s="69"/>
    </row>
    <row r="66" spans="7:7" x14ac:dyDescent="0.25">
      <c r="G66" s="69"/>
    </row>
    <row r="67" spans="7:7" x14ac:dyDescent="0.25">
      <c r="G67" s="69"/>
    </row>
    <row r="68" spans="7:7" x14ac:dyDescent="0.25">
      <c r="G68" s="69"/>
    </row>
    <row r="69" spans="7:7" x14ac:dyDescent="0.25">
      <c r="G69" s="69"/>
    </row>
    <row r="70" spans="7:7" x14ac:dyDescent="0.25">
      <c r="G70" s="69"/>
    </row>
    <row r="71" spans="7:7" x14ac:dyDescent="0.25">
      <c r="G71" s="69"/>
    </row>
    <row r="72" spans="7:7" x14ac:dyDescent="0.25">
      <c r="G72" s="69"/>
    </row>
    <row r="73" spans="7:7" x14ac:dyDescent="0.25">
      <c r="G73" s="69"/>
    </row>
    <row r="74" spans="7:7" x14ac:dyDescent="0.25">
      <c r="G74" s="69"/>
    </row>
    <row r="75" spans="7:7" x14ac:dyDescent="0.25">
      <c r="G75" s="69"/>
    </row>
    <row r="76" spans="7:7" x14ac:dyDescent="0.25">
      <c r="G76" s="69"/>
    </row>
    <row r="77" spans="7:7" x14ac:dyDescent="0.25">
      <c r="G77" s="69"/>
    </row>
    <row r="78" spans="7:7" x14ac:dyDescent="0.25">
      <c r="G78" s="69"/>
    </row>
    <row r="79" spans="7:7" x14ac:dyDescent="0.25">
      <c r="G79" s="69"/>
    </row>
    <row r="80" spans="7:7" x14ac:dyDescent="0.25">
      <c r="G80" s="69"/>
    </row>
    <row r="81" spans="7:7" x14ac:dyDescent="0.25">
      <c r="G81" s="69"/>
    </row>
    <row r="82" spans="7:7" x14ac:dyDescent="0.25">
      <c r="G82" s="69"/>
    </row>
    <row r="83" spans="7:7" x14ac:dyDescent="0.25">
      <c r="G83" s="69"/>
    </row>
    <row r="84" spans="7:7" x14ac:dyDescent="0.25">
      <c r="G84" s="69"/>
    </row>
    <row r="85" spans="7:7" x14ac:dyDescent="0.25">
      <c r="G85" s="69"/>
    </row>
    <row r="86" spans="7:7" x14ac:dyDescent="0.25">
      <c r="G86" s="69"/>
    </row>
    <row r="87" spans="7:7" x14ac:dyDescent="0.25">
      <c r="G87" s="69"/>
    </row>
    <row r="88" spans="7:7" x14ac:dyDescent="0.25">
      <c r="G88" s="69"/>
    </row>
    <row r="89" spans="7:7" x14ac:dyDescent="0.25">
      <c r="G89" s="69"/>
    </row>
    <row r="90" spans="7:7" x14ac:dyDescent="0.25">
      <c r="G90" s="69"/>
    </row>
    <row r="91" spans="7:7" x14ac:dyDescent="0.25">
      <c r="G91" s="69"/>
    </row>
    <row r="92" spans="7:7" x14ac:dyDescent="0.25">
      <c r="G92" s="69"/>
    </row>
    <row r="93" spans="7:7" x14ac:dyDescent="0.25">
      <c r="G93" s="69"/>
    </row>
    <row r="94" spans="7:7" x14ac:dyDescent="0.25">
      <c r="G94" s="69"/>
    </row>
    <row r="95" spans="7:7" x14ac:dyDescent="0.25">
      <c r="G95" s="69"/>
    </row>
    <row r="96" spans="7:7" x14ac:dyDescent="0.25">
      <c r="G96" s="69"/>
    </row>
    <row r="97" spans="7:7" x14ac:dyDescent="0.25">
      <c r="G97" s="69"/>
    </row>
    <row r="98" spans="7:7" x14ac:dyDescent="0.25">
      <c r="G98" s="69"/>
    </row>
    <row r="99" spans="7:7" x14ac:dyDescent="0.25">
      <c r="G99" s="69"/>
    </row>
    <row r="100" spans="7:7" x14ac:dyDescent="0.25">
      <c r="G100" s="69"/>
    </row>
    <row r="101" spans="7:7" x14ac:dyDescent="0.25">
      <c r="G101" s="69"/>
    </row>
    <row r="102" spans="7:7" x14ac:dyDescent="0.25">
      <c r="G102" s="69"/>
    </row>
    <row r="103" spans="7:7" x14ac:dyDescent="0.25">
      <c r="G103" s="69"/>
    </row>
    <row r="104" spans="7:7" x14ac:dyDescent="0.25">
      <c r="G104" s="69"/>
    </row>
    <row r="105" spans="7:7" x14ac:dyDescent="0.25">
      <c r="G105" s="69"/>
    </row>
    <row r="106" spans="7:7" x14ac:dyDescent="0.25">
      <c r="G106" s="69"/>
    </row>
    <row r="107" spans="7:7" x14ac:dyDescent="0.25">
      <c r="G107" s="69"/>
    </row>
    <row r="108" spans="7:7" x14ac:dyDescent="0.25">
      <c r="G108" s="69"/>
    </row>
    <row r="109" spans="7:7" x14ac:dyDescent="0.25">
      <c r="G109" s="69"/>
    </row>
    <row r="110" spans="7:7" x14ac:dyDescent="0.25">
      <c r="G110" s="69"/>
    </row>
    <row r="111" spans="7:7" x14ac:dyDescent="0.25">
      <c r="G111" s="69"/>
    </row>
    <row r="112" spans="7:7" x14ac:dyDescent="0.25">
      <c r="G112" s="69"/>
    </row>
    <row r="113" spans="7:7" x14ac:dyDescent="0.25">
      <c r="G113" s="69"/>
    </row>
    <row r="114" spans="7:7" x14ac:dyDescent="0.25">
      <c r="G114" s="69"/>
    </row>
    <row r="115" spans="7:7" x14ac:dyDescent="0.25">
      <c r="G115" s="69"/>
    </row>
    <row r="116" spans="7:7" x14ac:dyDescent="0.25">
      <c r="G116" s="69"/>
    </row>
    <row r="117" spans="7:7" x14ac:dyDescent="0.25">
      <c r="G117" s="69"/>
    </row>
    <row r="118" spans="7:7" x14ac:dyDescent="0.25">
      <c r="G118" s="69"/>
    </row>
    <row r="119" spans="7:7" x14ac:dyDescent="0.25">
      <c r="G119" s="69"/>
    </row>
    <row r="120" spans="7:7" x14ac:dyDescent="0.25">
      <c r="G120" s="69"/>
    </row>
    <row r="121" spans="7:7" x14ac:dyDescent="0.25">
      <c r="G121" s="69"/>
    </row>
    <row r="122" spans="7:7" x14ac:dyDescent="0.25">
      <c r="G122" s="69"/>
    </row>
    <row r="123" spans="7:7" x14ac:dyDescent="0.25">
      <c r="G123" s="69"/>
    </row>
    <row r="124" spans="7:7" x14ac:dyDescent="0.25">
      <c r="G124" s="69"/>
    </row>
    <row r="125" spans="7:7" x14ac:dyDescent="0.25">
      <c r="G125" s="69"/>
    </row>
    <row r="126" spans="7:7" x14ac:dyDescent="0.25">
      <c r="G126" s="69"/>
    </row>
    <row r="127" spans="7:7" x14ac:dyDescent="0.25">
      <c r="G127" s="69"/>
    </row>
    <row r="128" spans="7:7" x14ac:dyDescent="0.25">
      <c r="G128" s="69"/>
    </row>
    <row r="129" spans="7:7" x14ac:dyDescent="0.25">
      <c r="G129" s="69"/>
    </row>
    <row r="130" spans="7:7" x14ac:dyDescent="0.25">
      <c r="G130" s="69"/>
    </row>
    <row r="131" spans="7:7" x14ac:dyDescent="0.25">
      <c r="G131" s="69"/>
    </row>
    <row r="132" spans="7:7" x14ac:dyDescent="0.25">
      <c r="G132" s="69"/>
    </row>
    <row r="133" spans="7:7" x14ac:dyDescent="0.25">
      <c r="G133" s="69"/>
    </row>
    <row r="134" spans="7:7" x14ac:dyDescent="0.25">
      <c r="G134" s="69"/>
    </row>
    <row r="135" spans="7:7" x14ac:dyDescent="0.25">
      <c r="G135" s="69"/>
    </row>
    <row r="136" spans="7:7" x14ac:dyDescent="0.25">
      <c r="G136" s="69"/>
    </row>
    <row r="137" spans="7:7" x14ac:dyDescent="0.25">
      <c r="G137" s="69"/>
    </row>
    <row r="138" spans="7:7" x14ac:dyDescent="0.25">
      <c r="G138" s="69"/>
    </row>
    <row r="139" spans="7:7" x14ac:dyDescent="0.25">
      <c r="G139" s="69"/>
    </row>
    <row r="140" spans="7:7" x14ac:dyDescent="0.25">
      <c r="G140" s="69"/>
    </row>
    <row r="141" spans="7:7" x14ac:dyDescent="0.25">
      <c r="G141" s="69"/>
    </row>
    <row r="142" spans="7:7" x14ac:dyDescent="0.25">
      <c r="G142" s="69"/>
    </row>
    <row r="143" spans="7:7" x14ac:dyDescent="0.25">
      <c r="G143" s="69"/>
    </row>
    <row r="144" spans="7:7" x14ac:dyDescent="0.25">
      <c r="G144" s="69"/>
    </row>
    <row r="145" spans="7:7" x14ac:dyDescent="0.25">
      <c r="G145" s="69"/>
    </row>
    <row r="146" spans="7:7" x14ac:dyDescent="0.25">
      <c r="G146" s="69"/>
    </row>
    <row r="147" spans="7:7" x14ac:dyDescent="0.25">
      <c r="G147" s="69"/>
    </row>
    <row r="148" spans="7:7" x14ac:dyDescent="0.25">
      <c r="G148" s="69"/>
    </row>
    <row r="149" spans="7:7" x14ac:dyDescent="0.25">
      <c r="G149" s="69"/>
    </row>
    <row r="150" spans="7:7" x14ac:dyDescent="0.25">
      <c r="G150" s="69"/>
    </row>
    <row r="151" spans="7:7" x14ac:dyDescent="0.25">
      <c r="G151" s="69"/>
    </row>
    <row r="152" spans="7:7" x14ac:dyDescent="0.25">
      <c r="G152" s="69"/>
    </row>
    <row r="153" spans="7:7" x14ac:dyDescent="0.25">
      <c r="G153" s="69"/>
    </row>
    <row r="154" spans="7:7" x14ac:dyDescent="0.25">
      <c r="G154" s="69"/>
    </row>
    <row r="155" spans="7:7" x14ac:dyDescent="0.25">
      <c r="G155" s="69"/>
    </row>
    <row r="156" spans="7:7" x14ac:dyDescent="0.25">
      <c r="G156" s="69"/>
    </row>
    <row r="157" spans="7:7" x14ac:dyDescent="0.25">
      <c r="G157" s="69"/>
    </row>
    <row r="158" spans="7:7" x14ac:dyDescent="0.25">
      <c r="G158" s="69"/>
    </row>
    <row r="159" spans="7:7" x14ac:dyDescent="0.25">
      <c r="G159" s="69"/>
    </row>
    <row r="160" spans="7:7" x14ac:dyDescent="0.25">
      <c r="G160" s="69"/>
    </row>
    <row r="161" spans="7:7" x14ac:dyDescent="0.25">
      <c r="G161" s="69"/>
    </row>
    <row r="162" spans="7:7" x14ac:dyDescent="0.25">
      <c r="G162" s="69"/>
    </row>
    <row r="163" spans="7:7" x14ac:dyDescent="0.25">
      <c r="G163" s="69"/>
    </row>
    <row r="164" spans="7:7" x14ac:dyDescent="0.25">
      <c r="G164" s="69"/>
    </row>
    <row r="165" spans="7:7" x14ac:dyDescent="0.25">
      <c r="G165" s="69"/>
    </row>
    <row r="166" spans="7:7" x14ac:dyDescent="0.25">
      <c r="G166" s="69"/>
    </row>
    <row r="167" spans="7:7" x14ac:dyDescent="0.25">
      <c r="G167" s="69"/>
    </row>
    <row r="168" spans="7:7" x14ac:dyDescent="0.25">
      <c r="G168" s="69"/>
    </row>
    <row r="169" spans="7:7" x14ac:dyDescent="0.25">
      <c r="G169" s="69"/>
    </row>
    <row r="170" spans="7:7" x14ac:dyDescent="0.25">
      <c r="G170" s="69"/>
    </row>
    <row r="171" spans="7:7" x14ac:dyDescent="0.25">
      <c r="G171" s="69"/>
    </row>
    <row r="172" spans="7:7" x14ac:dyDescent="0.25">
      <c r="G172" s="69"/>
    </row>
    <row r="173" spans="7:7" x14ac:dyDescent="0.25">
      <c r="G173" s="6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AO144"/>
  <sheetViews>
    <sheetView topLeftCell="M1" workbookViewId="0">
      <selection activeCell="M2" sqref="A2:XFD86"/>
    </sheetView>
  </sheetViews>
  <sheetFormatPr defaultRowHeight="15" x14ac:dyDescent="0.25"/>
  <cols>
    <col min="1" max="1" width="20.140625" customWidth="1"/>
    <col min="21" max="21" width="9.140625" style="72"/>
  </cols>
  <sheetData>
    <row r="1" spans="1:41" ht="25.5" x14ac:dyDescent="0.25">
      <c r="A1" s="57" t="s">
        <v>2213</v>
      </c>
      <c r="B1" s="59"/>
      <c r="C1" s="59" t="s">
        <v>2085</v>
      </c>
      <c r="D1" s="59"/>
      <c r="E1" s="59" t="s">
        <v>2084</v>
      </c>
      <c r="F1" s="59"/>
      <c r="G1" s="59" t="s">
        <v>2086</v>
      </c>
      <c r="H1" s="59"/>
      <c r="I1" s="59" t="s">
        <v>2087</v>
      </c>
      <c r="J1" s="59"/>
      <c r="K1" s="59" t="s">
        <v>2088</v>
      </c>
      <c r="L1" s="59"/>
      <c r="M1" s="59" t="s">
        <v>2112</v>
      </c>
      <c r="N1" s="34"/>
      <c r="O1" s="59" t="s">
        <v>2089</v>
      </c>
      <c r="P1" s="59"/>
      <c r="Q1" s="59" t="s">
        <v>2090</v>
      </c>
      <c r="R1" s="59"/>
      <c r="T1" s="59" t="s">
        <v>2092</v>
      </c>
      <c r="U1" s="65" t="s">
        <v>2091</v>
      </c>
      <c r="V1" s="59" t="s">
        <v>2093</v>
      </c>
      <c r="W1" s="59"/>
      <c r="X1" s="59" t="s">
        <v>2094</v>
      </c>
      <c r="Y1" s="59" t="s">
        <v>2095</v>
      </c>
      <c r="Z1" s="59"/>
      <c r="AA1" s="59" t="s">
        <v>2096</v>
      </c>
      <c r="AB1" s="59" t="s">
        <v>2097</v>
      </c>
      <c r="AC1" s="59"/>
      <c r="AD1" s="59" t="s">
        <v>2098</v>
      </c>
      <c r="AE1" s="59"/>
      <c r="AF1" s="58" t="s">
        <v>2108</v>
      </c>
      <c r="AG1" s="53" t="s">
        <v>2109</v>
      </c>
      <c r="AH1" s="58" t="s">
        <v>2110</v>
      </c>
      <c r="AI1" s="58" t="s">
        <v>2111</v>
      </c>
      <c r="AJ1" s="44" t="s">
        <v>2201</v>
      </c>
      <c r="AK1" s="44" t="s">
        <v>2202</v>
      </c>
      <c r="AL1" s="44" t="s">
        <v>2203</v>
      </c>
      <c r="AM1" s="58" t="s">
        <v>2216</v>
      </c>
      <c r="AN1" s="70" t="s">
        <v>2230</v>
      </c>
      <c r="AO1" s="70" t="s">
        <v>2757</v>
      </c>
    </row>
    <row r="3" spans="1:41" x14ac:dyDescent="0.25">
      <c r="AO3" s="69"/>
    </row>
    <row r="4" spans="1:41" x14ac:dyDescent="0.25">
      <c r="AO4" s="69"/>
    </row>
    <row r="5" spans="1:41" x14ac:dyDescent="0.25">
      <c r="AO5" s="69"/>
    </row>
    <row r="6" spans="1:41" x14ac:dyDescent="0.25">
      <c r="AO6" s="69"/>
    </row>
    <row r="7" spans="1:41" x14ac:dyDescent="0.25">
      <c r="AO7" s="69"/>
    </row>
    <row r="8" spans="1:41" x14ac:dyDescent="0.25">
      <c r="AO8" s="69"/>
    </row>
    <row r="9" spans="1:41" x14ac:dyDescent="0.25">
      <c r="AO9" s="69"/>
    </row>
    <row r="10" spans="1:41" x14ac:dyDescent="0.25">
      <c r="AO10" s="69"/>
    </row>
    <row r="11" spans="1:41" x14ac:dyDescent="0.25">
      <c r="AO11" s="69"/>
    </row>
    <row r="12" spans="1:41" x14ac:dyDescent="0.25">
      <c r="AO12" s="69"/>
    </row>
    <row r="13" spans="1:41" x14ac:dyDescent="0.25">
      <c r="AO13" s="69"/>
    </row>
    <row r="14" spans="1:41" x14ac:dyDescent="0.25">
      <c r="AO14" s="69"/>
    </row>
    <row r="15" spans="1:41" x14ac:dyDescent="0.25">
      <c r="AO15" s="69"/>
    </row>
    <row r="16" spans="1:41" x14ac:dyDescent="0.25">
      <c r="AO16" s="69"/>
    </row>
    <row r="17" spans="41:41" x14ac:dyDescent="0.25">
      <c r="AO17" s="69"/>
    </row>
    <row r="18" spans="41:41" x14ac:dyDescent="0.25">
      <c r="AO18" s="69"/>
    </row>
    <row r="19" spans="41:41" x14ac:dyDescent="0.25">
      <c r="AO19" s="69"/>
    </row>
    <row r="20" spans="41:41" x14ac:dyDescent="0.25">
      <c r="AO20" s="69"/>
    </row>
    <row r="21" spans="41:41" x14ac:dyDescent="0.25">
      <c r="AO21" s="69"/>
    </row>
    <row r="22" spans="41:41" x14ac:dyDescent="0.25">
      <c r="AO22" s="69"/>
    </row>
    <row r="23" spans="41:41" x14ac:dyDescent="0.25">
      <c r="AO23" s="69"/>
    </row>
    <row r="24" spans="41:41" x14ac:dyDescent="0.25">
      <c r="AO24" s="69"/>
    </row>
    <row r="25" spans="41:41" x14ac:dyDescent="0.25">
      <c r="AO25" s="69"/>
    </row>
    <row r="26" spans="41:41" x14ac:dyDescent="0.25">
      <c r="AO26" s="69"/>
    </row>
    <row r="27" spans="41:41" x14ac:dyDescent="0.25">
      <c r="AO27" s="69"/>
    </row>
    <row r="28" spans="41:41" x14ac:dyDescent="0.25">
      <c r="AO28" s="69"/>
    </row>
    <row r="29" spans="41:41" x14ac:dyDescent="0.25">
      <c r="AO29" s="69"/>
    </row>
    <row r="30" spans="41:41" x14ac:dyDescent="0.25">
      <c r="AO30" s="69"/>
    </row>
    <row r="31" spans="41:41" x14ac:dyDescent="0.25">
      <c r="AO31" s="69"/>
    </row>
    <row r="32" spans="41:41" x14ac:dyDescent="0.25">
      <c r="AO32" s="69"/>
    </row>
    <row r="33" spans="41:41" x14ac:dyDescent="0.25">
      <c r="AO33" s="69"/>
    </row>
    <row r="34" spans="41:41" x14ac:dyDescent="0.25">
      <c r="AO34" s="69"/>
    </row>
    <row r="35" spans="41:41" x14ac:dyDescent="0.25">
      <c r="AO35" s="69"/>
    </row>
    <row r="36" spans="41:41" x14ac:dyDescent="0.25">
      <c r="AO36" s="69"/>
    </row>
    <row r="37" spans="41:41" x14ac:dyDescent="0.25">
      <c r="AO37" s="69"/>
    </row>
    <row r="38" spans="41:41" x14ac:dyDescent="0.25">
      <c r="AO38" s="69"/>
    </row>
    <row r="39" spans="41:41" x14ac:dyDescent="0.25">
      <c r="AO39" s="69"/>
    </row>
    <row r="40" spans="41:41" x14ac:dyDescent="0.25">
      <c r="AO40" s="69"/>
    </row>
    <row r="41" spans="41:41" x14ac:dyDescent="0.25">
      <c r="AO41" s="69"/>
    </row>
    <row r="42" spans="41:41" x14ac:dyDescent="0.25">
      <c r="AO42" s="69"/>
    </row>
    <row r="43" spans="41:41" x14ac:dyDescent="0.25">
      <c r="AO43" s="69"/>
    </row>
    <row r="44" spans="41:41" x14ac:dyDescent="0.25">
      <c r="AO44" s="69"/>
    </row>
    <row r="45" spans="41:41" x14ac:dyDescent="0.25">
      <c r="AO45" s="69"/>
    </row>
    <row r="46" spans="41:41" x14ac:dyDescent="0.25">
      <c r="AO46" s="69"/>
    </row>
    <row r="47" spans="41:41" x14ac:dyDescent="0.25">
      <c r="AO47" s="69"/>
    </row>
    <row r="48" spans="41:41" x14ac:dyDescent="0.25">
      <c r="AO48" s="69"/>
    </row>
    <row r="49" spans="41:41" x14ac:dyDescent="0.25">
      <c r="AO49" s="69"/>
    </row>
    <row r="50" spans="41:41" x14ac:dyDescent="0.25">
      <c r="AO50" s="69"/>
    </row>
    <row r="51" spans="41:41" x14ac:dyDescent="0.25">
      <c r="AO51" s="69"/>
    </row>
    <row r="52" spans="41:41" x14ac:dyDescent="0.25">
      <c r="AO52" s="69"/>
    </row>
    <row r="53" spans="41:41" x14ac:dyDescent="0.25">
      <c r="AO53" s="69"/>
    </row>
    <row r="54" spans="41:41" x14ac:dyDescent="0.25">
      <c r="AO54" s="69"/>
    </row>
    <row r="55" spans="41:41" x14ac:dyDescent="0.25">
      <c r="AO55" s="69"/>
    </row>
    <row r="56" spans="41:41" x14ac:dyDescent="0.25">
      <c r="AO56" s="69"/>
    </row>
    <row r="57" spans="41:41" x14ac:dyDescent="0.25">
      <c r="AO57" s="69"/>
    </row>
    <row r="58" spans="41:41" x14ac:dyDescent="0.25">
      <c r="AO58" s="69"/>
    </row>
    <row r="59" spans="41:41" x14ac:dyDescent="0.25">
      <c r="AO59" s="69"/>
    </row>
    <row r="60" spans="41:41" x14ac:dyDescent="0.25">
      <c r="AO60" s="69"/>
    </row>
    <row r="61" spans="41:41" x14ac:dyDescent="0.25">
      <c r="AO61" s="69"/>
    </row>
    <row r="62" spans="41:41" x14ac:dyDescent="0.25">
      <c r="AO62" s="69"/>
    </row>
    <row r="63" spans="41:41" x14ac:dyDescent="0.25">
      <c r="AO63" s="69"/>
    </row>
    <row r="64" spans="41:41" x14ac:dyDescent="0.25">
      <c r="AO64" s="69"/>
    </row>
    <row r="65" spans="41:41" x14ac:dyDescent="0.25">
      <c r="AO65" s="69"/>
    </row>
    <row r="66" spans="41:41" x14ac:dyDescent="0.25">
      <c r="AO66" s="69"/>
    </row>
    <row r="67" spans="41:41" x14ac:dyDescent="0.25">
      <c r="AO67" s="69"/>
    </row>
    <row r="68" spans="41:41" x14ac:dyDescent="0.25">
      <c r="AO68" s="69"/>
    </row>
    <row r="69" spans="41:41" x14ac:dyDescent="0.25">
      <c r="AO69" s="69"/>
    </row>
    <row r="70" spans="41:41" x14ac:dyDescent="0.25">
      <c r="AO70" s="69"/>
    </row>
    <row r="71" spans="41:41" x14ac:dyDescent="0.25">
      <c r="AO71" s="69"/>
    </row>
    <row r="72" spans="41:41" x14ac:dyDescent="0.25">
      <c r="AO72" s="69"/>
    </row>
    <row r="73" spans="41:41" x14ac:dyDescent="0.25">
      <c r="AO73" s="69"/>
    </row>
    <row r="74" spans="41:41" x14ac:dyDescent="0.25">
      <c r="AO74" s="69"/>
    </row>
    <row r="75" spans="41:41" x14ac:dyDescent="0.25">
      <c r="AO75" s="69"/>
    </row>
    <row r="76" spans="41:41" x14ac:dyDescent="0.25">
      <c r="AO76" s="69"/>
    </row>
    <row r="77" spans="41:41" x14ac:dyDescent="0.25">
      <c r="AO77" s="69"/>
    </row>
    <row r="78" spans="41:41" x14ac:dyDescent="0.25">
      <c r="AO78" s="69"/>
    </row>
    <row r="79" spans="41:41" x14ac:dyDescent="0.25">
      <c r="AO79" s="69"/>
    </row>
    <row r="80" spans="41:41" x14ac:dyDescent="0.25">
      <c r="AO80" s="69"/>
    </row>
    <row r="81" spans="41:41" x14ac:dyDescent="0.25">
      <c r="AO81" s="69"/>
    </row>
    <row r="82" spans="41:41" x14ac:dyDescent="0.25">
      <c r="AO82" s="69"/>
    </row>
    <row r="83" spans="41:41" x14ac:dyDescent="0.25">
      <c r="AO83" s="69"/>
    </row>
    <row r="84" spans="41:41" x14ac:dyDescent="0.25">
      <c r="AO84" s="69"/>
    </row>
    <row r="85" spans="41:41" x14ac:dyDescent="0.25">
      <c r="AO85" s="69"/>
    </row>
    <row r="86" spans="41:41" x14ac:dyDescent="0.25">
      <c r="AO86" s="69"/>
    </row>
    <row r="87" spans="41:41" x14ac:dyDescent="0.25">
      <c r="AO87" s="69"/>
    </row>
    <row r="88" spans="41:41" x14ac:dyDescent="0.25">
      <c r="AO88" s="69"/>
    </row>
    <row r="89" spans="41:41" x14ac:dyDescent="0.25">
      <c r="AO89" s="69"/>
    </row>
    <row r="90" spans="41:41" x14ac:dyDescent="0.25">
      <c r="AO90" s="69"/>
    </row>
    <row r="91" spans="41:41" x14ac:dyDescent="0.25">
      <c r="AO91" s="69"/>
    </row>
    <row r="92" spans="41:41" x14ac:dyDescent="0.25">
      <c r="AO92" s="69"/>
    </row>
    <row r="93" spans="41:41" x14ac:dyDescent="0.25">
      <c r="AO93" s="69"/>
    </row>
    <row r="94" spans="41:41" x14ac:dyDescent="0.25">
      <c r="AO94" s="69"/>
    </row>
    <row r="95" spans="41:41" x14ac:dyDescent="0.25">
      <c r="AO95" s="69"/>
    </row>
    <row r="96" spans="41:41" x14ac:dyDescent="0.25">
      <c r="AO96" s="69"/>
    </row>
    <row r="97" spans="41:41" x14ac:dyDescent="0.25">
      <c r="AO97" s="69"/>
    </row>
    <row r="98" spans="41:41" x14ac:dyDescent="0.25">
      <c r="AO98" s="69"/>
    </row>
    <row r="99" spans="41:41" x14ac:dyDescent="0.25">
      <c r="AO99" s="69"/>
    </row>
    <row r="100" spans="41:41" x14ac:dyDescent="0.25">
      <c r="AO100" s="69"/>
    </row>
    <row r="101" spans="41:41" x14ac:dyDescent="0.25">
      <c r="AO101" s="69"/>
    </row>
    <row r="102" spans="41:41" x14ac:dyDescent="0.25">
      <c r="AO102" s="69"/>
    </row>
    <row r="103" spans="41:41" x14ac:dyDescent="0.25">
      <c r="AO103" s="69"/>
    </row>
    <row r="104" spans="41:41" x14ac:dyDescent="0.25">
      <c r="AO104" s="69"/>
    </row>
    <row r="105" spans="41:41" x14ac:dyDescent="0.25">
      <c r="AO105" s="69"/>
    </row>
    <row r="106" spans="41:41" x14ac:dyDescent="0.25">
      <c r="AO106" s="69"/>
    </row>
    <row r="107" spans="41:41" x14ac:dyDescent="0.25">
      <c r="AO107" s="69"/>
    </row>
    <row r="108" spans="41:41" x14ac:dyDescent="0.25">
      <c r="AO108" s="69"/>
    </row>
    <row r="109" spans="41:41" x14ac:dyDescent="0.25">
      <c r="AO109" s="69"/>
    </row>
    <row r="110" spans="41:41" x14ac:dyDescent="0.25">
      <c r="AO110" s="69"/>
    </row>
    <row r="111" spans="41:41" x14ac:dyDescent="0.25">
      <c r="AO111" s="69"/>
    </row>
    <row r="112" spans="41:41" x14ac:dyDescent="0.25">
      <c r="AO112" s="69"/>
    </row>
    <row r="113" spans="41:41" x14ac:dyDescent="0.25">
      <c r="AO113" s="69"/>
    </row>
    <row r="114" spans="41:41" x14ac:dyDescent="0.25">
      <c r="AO114" s="69"/>
    </row>
    <row r="115" spans="41:41" x14ac:dyDescent="0.25">
      <c r="AO115" s="69"/>
    </row>
    <row r="116" spans="41:41" x14ac:dyDescent="0.25">
      <c r="AO116" s="69"/>
    </row>
    <row r="117" spans="41:41" x14ac:dyDescent="0.25">
      <c r="AO117" s="69"/>
    </row>
    <row r="118" spans="41:41" x14ac:dyDescent="0.25">
      <c r="AO118" s="69"/>
    </row>
    <row r="119" spans="41:41" x14ac:dyDescent="0.25">
      <c r="AO119" s="69"/>
    </row>
    <row r="120" spans="41:41" x14ac:dyDescent="0.25">
      <c r="AO120" s="69"/>
    </row>
    <row r="121" spans="41:41" x14ac:dyDescent="0.25">
      <c r="AO121" s="69"/>
    </row>
    <row r="122" spans="41:41" x14ac:dyDescent="0.25">
      <c r="AO122" s="69"/>
    </row>
    <row r="123" spans="41:41" x14ac:dyDescent="0.25">
      <c r="AO123" s="69"/>
    </row>
    <row r="124" spans="41:41" x14ac:dyDescent="0.25">
      <c r="AO124" s="69"/>
    </row>
    <row r="125" spans="41:41" x14ac:dyDescent="0.25">
      <c r="AO125" s="69"/>
    </row>
    <row r="126" spans="41:41" x14ac:dyDescent="0.25">
      <c r="AO126" s="69"/>
    </row>
    <row r="127" spans="41:41" x14ac:dyDescent="0.25">
      <c r="AO127" s="69"/>
    </row>
    <row r="128" spans="41:41" x14ac:dyDescent="0.25">
      <c r="AO128" s="69"/>
    </row>
    <row r="129" spans="41:41" x14ac:dyDescent="0.25">
      <c r="AO129" s="69"/>
    </row>
    <row r="130" spans="41:41" x14ac:dyDescent="0.25">
      <c r="AO130" s="69"/>
    </row>
    <row r="131" spans="41:41" x14ac:dyDescent="0.25">
      <c r="AO131" s="69"/>
    </row>
    <row r="132" spans="41:41" x14ac:dyDescent="0.25">
      <c r="AO132" s="69"/>
    </row>
    <row r="133" spans="41:41" x14ac:dyDescent="0.25">
      <c r="AO133" s="69"/>
    </row>
    <row r="134" spans="41:41" x14ac:dyDescent="0.25">
      <c r="AO134" s="69"/>
    </row>
    <row r="135" spans="41:41" x14ac:dyDescent="0.25">
      <c r="AO135" s="69"/>
    </row>
    <row r="136" spans="41:41" x14ac:dyDescent="0.25">
      <c r="AO136" s="69"/>
    </row>
    <row r="137" spans="41:41" x14ac:dyDescent="0.25">
      <c r="AO137" s="69"/>
    </row>
    <row r="138" spans="41:41" x14ac:dyDescent="0.25">
      <c r="AO138" s="69"/>
    </row>
    <row r="139" spans="41:41" x14ac:dyDescent="0.25">
      <c r="AO139" s="69"/>
    </row>
    <row r="140" spans="41:41" x14ac:dyDescent="0.25">
      <c r="AO140" s="69"/>
    </row>
    <row r="141" spans="41:41" x14ac:dyDescent="0.25">
      <c r="AO141" s="69"/>
    </row>
    <row r="142" spans="41:41" x14ac:dyDescent="0.25">
      <c r="AO142" s="69"/>
    </row>
    <row r="143" spans="41:41" x14ac:dyDescent="0.25">
      <c r="AO143" s="69"/>
    </row>
    <row r="144" spans="41:41" x14ac:dyDescent="0.25">
      <c r="AO144" s="6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C55"/>
  <sheetViews>
    <sheetView workbookViewId="0">
      <selection sqref="A1:XFD1"/>
    </sheetView>
  </sheetViews>
  <sheetFormatPr defaultRowHeight="15" x14ac:dyDescent="0.25"/>
  <cols>
    <col min="1" max="1" width="16.7109375" bestFit="1" customWidth="1"/>
    <col min="2" max="2" width="65.28515625" customWidth="1"/>
    <col min="3" max="3" width="59.42578125" customWidth="1"/>
  </cols>
  <sheetData>
    <row r="1" spans="1:3" x14ac:dyDescent="0.25">
      <c r="A1" s="38" t="s">
        <v>2080</v>
      </c>
      <c r="B1" s="38" t="s">
        <v>2081</v>
      </c>
      <c r="C1" s="38" t="s">
        <v>2082</v>
      </c>
    </row>
    <row r="2" spans="1:3" x14ac:dyDescent="0.25">
      <c r="A2" s="39" t="s">
        <v>2113</v>
      </c>
      <c r="B2" s="38">
        <v>121</v>
      </c>
      <c r="C2" s="38">
        <v>12</v>
      </c>
    </row>
    <row r="3" spans="1:3" x14ac:dyDescent="0.25">
      <c r="A3" s="40" t="s">
        <v>2114</v>
      </c>
      <c r="B3" s="40">
        <v>184</v>
      </c>
      <c r="C3" s="40">
        <v>17</v>
      </c>
    </row>
    <row r="4" spans="1:3" x14ac:dyDescent="0.25">
      <c r="A4" s="40" t="s">
        <v>13</v>
      </c>
      <c r="B4" s="40">
        <v>87</v>
      </c>
      <c r="C4" s="40">
        <v>8</v>
      </c>
    </row>
    <row r="5" spans="1:3" x14ac:dyDescent="0.25">
      <c r="A5" s="40" t="s">
        <v>2115</v>
      </c>
      <c r="B5" s="40">
        <v>179</v>
      </c>
      <c r="C5" s="40">
        <v>19</v>
      </c>
    </row>
    <row r="6" spans="1:3" x14ac:dyDescent="0.25">
      <c r="A6" s="40" t="s">
        <v>2116</v>
      </c>
      <c r="B6" s="40">
        <v>253</v>
      </c>
      <c r="C6" s="40">
        <v>17</v>
      </c>
    </row>
    <row r="7" spans="1:3" x14ac:dyDescent="0.25">
      <c r="A7" s="40" t="s">
        <v>2117</v>
      </c>
      <c r="B7" s="40">
        <v>106</v>
      </c>
      <c r="C7" s="40">
        <v>8</v>
      </c>
    </row>
    <row r="8" spans="1:3" x14ac:dyDescent="0.25">
      <c r="A8" s="40" t="s">
        <v>2118</v>
      </c>
      <c r="B8" s="40">
        <v>177</v>
      </c>
      <c r="C8" s="40">
        <v>7</v>
      </c>
    </row>
    <row r="9" spans="1:3" x14ac:dyDescent="0.25">
      <c r="A9" s="40" t="s">
        <v>2119</v>
      </c>
      <c r="B9" s="40">
        <v>412</v>
      </c>
      <c r="C9" s="40">
        <v>6</v>
      </c>
    </row>
    <row r="10" spans="1:3" x14ac:dyDescent="0.25">
      <c r="A10" s="40" t="s">
        <v>2120</v>
      </c>
      <c r="B10" s="40">
        <v>521</v>
      </c>
      <c r="C10" s="40">
        <v>18</v>
      </c>
    </row>
    <row r="11" spans="1:3" x14ac:dyDescent="0.25">
      <c r="A11" s="40" t="s">
        <v>2121</v>
      </c>
      <c r="B11" s="40">
        <v>243</v>
      </c>
      <c r="C11" s="40">
        <v>10</v>
      </c>
    </row>
    <row r="12" spans="1:3" x14ac:dyDescent="0.25">
      <c r="A12" s="40" t="s">
        <v>2122</v>
      </c>
      <c r="B12" s="40">
        <v>97</v>
      </c>
      <c r="C12" s="40">
        <v>12</v>
      </c>
    </row>
    <row r="13" spans="1:3" x14ac:dyDescent="0.25">
      <c r="A13" s="40" t="s">
        <v>2123</v>
      </c>
      <c r="B13" s="40">
        <v>78</v>
      </c>
      <c r="C13" s="40">
        <v>2</v>
      </c>
    </row>
    <row r="14" spans="1:3" x14ac:dyDescent="0.25">
      <c r="A14" s="40" t="s">
        <v>2124</v>
      </c>
      <c r="B14" s="40">
        <v>97</v>
      </c>
      <c r="C14" s="40">
        <v>3</v>
      </c>
    </row>
    <row r="15" spans="1:3" x14ac:dyDescent="0.25">
      <c r="A15" s="40" t="s">
        <v>2125</v>
      </c>
      <c r="B15" s="40">
        <v>202</v>
      </c>
      <c r="C15" s="40">
        <v>2</v>
      </c>
    </row>
    <row r="16" spans="1:3" x14ac:dyDescent="0.25">
      <c r="A16" s="40" t="s">
        <v>2126</v>
      </c>
      <c r="B16" s="40">
        <v>313</v>
      </c>
      <c r="C16" s="40">
        <v>19</v>
      </c>
    </row>
    <row r="17" spans="1:3" x14ac:dyDescent="0.25">
      <c r="A17" s="40" t="s">
        <v>2127</v>
      </c>
      <c r="B17" s="40">
        <v>397</v>
      </c>
      <c r="C17" s="40">
        <v>5</v>
      </c>
    </row>
    <row r="18" spans="1:3" x14ac:dyDescent="0.25">
      <c r="A18" s="40" t="s">
        <v>2128</v>
      </c>
      <c r="B18" s="40">
        <v>385</v>
      </c>
      <c r="C18" s="40">
        <v>7</v>
      </c>
    </row>
    <row r="19" spans="1:3" x14ac:dyDescent="0.25">
      <c r="A19" s="40" t="s">
        <v>2129</v>
      </c>
      <c r="B19" s="40">
        <v>209</v>
      </c>
      <c r="C19" s="40">
        <v>5</v>
      </c>
    </row>
    <row r="20" spans="1:3" x14ac:dyDescent="0.25">
      <c r="A20" s="40" t="s">
        <v>2130</v>
      </c>
      <c r="B20" s="40">
        <v>200</v>
      </c>
      <c r="C20" s="40">
        <v>4</v>
      </c>
    </row>
    <row r="21" spans="1:3" x14ac:dyDescent="0.25">
      <c r="A21" s="40" t="s">
        <v>2131</v>
      </c>
      <c r="B21" s="40">
        <v>187</v>
      </c>
      <c r="C21" s="40">
        <v>3</v>
      </c>
    </row>
    <row r="22" spans="1:3" x14ac:dyDescent="0.25">
      <c r="A22" s="40" t="s">
        <v>2132</v>
      </c>
      <c r="B22" s="40">
        <v>627</v>
      </c>
      <c r="C22" s="40">
        <v>6</v>
      </c>
    </row>
    <row r="23" spans="1:3" x14ac:dyDescent="0.25">
      <c r="A23" s="40" t="s">
        <v>2133</v>
      </c>
      <c r="B23" s="40">
        <v>102</v>
      </c>
      <c r="C23" s="40">
        <v>3</v>
      </c>
    </row>
    <row r="24" spans="1:3" x14ac:dyDescent="0.25">
      <c r="A24" s="40" t="s">
        <v>2134</v>
      </c>
      <c r="B24" s="40">
        <v>109</v>
      </c>
      <c r="C24" s="40">
        <v>3</v>
      </c>
    </row>
    <row r="25" spans="1:3" x14ac:dyDescent="0.25">
      <c r="A25" s="40" t="s">
        <v>2135</v>
      </c>
      <c r="B25" s="40">
        <v>112</v>
      </c>
      <c r="C25" s="40">
        <v>12</v>
      </c>
    </row>
    <row r="26" spans="1:3" x14ac:dyDescent="0.25">
      <c r="A26" s="40" t="s">
        <v>2136</v>
      </c>
      <c r="B26" s="40">
        <v>520</v>
      </c>
      <c r="C26" s="40">
        <v>31</v>
      </c>
    </row>
    <row r="27" spans="1:3" x14ac:dyDescent="0.25">
      <c r="A27" s="40" t="s">
        <v>2137</v>
      </c>
      <c r="B27" s="40">
        <v>201</v>
      </c>
      <c r="C27" s="40">
        <v>19</v>
      </c>
    </row>
    <row r="28" spans="1:3" x14ac:dyDescent="0.25">
      <c r="A28" s="40" t="s">
        <v>2138</v>
      </c>
      <c r="B28" s="40">
        <v>141</v>
      </c>
      <c r="C28" s="40">
        <v>3</v>
      </c>
    </row>
    <row r="29" spans="1:3" x14ac:dyDescent="0.25">
      <c r="A29" s="40" t="s">
        <v>2139</v>
      </c>
      <c r="B29" s="40">
        <v>250</v>
      </c>
      <c r="C29" s="40">
        <v>8</v>
      </c>
    </row>
    <row r="30" spans="1:3" x14ac:dyDescent="0.25">
      <c r="A30" s="40" t="s">
        <v>2140</v>
      </c>
      <c r="B30" s="40">
        <v>98</v>
      </c>
      <c r="C30" s="40">
        <v>11</v>
      </c>
    </row>
    <row r="31" spans="1:3" x14ac:dyDescent="0.25">
      <c r="A31" s="40" t="s">
        <v>2141</v>
      </c>
      <c r="B31" s="40">
        <v>191</v>
      </c>
      <c r="C31" s="40">
        <v>12</v>
      </c>
    </row>
    <row r="32" spans="1:3" x14ac:dyDescent="0.25">
      <c r="A32" s="40" t="s">
        <v>2142</v>
      </c>
      <c r="B32" s="40">
        <v>95</v>
      </c>
      <c r="C32" s="40">
        <v>4</v>
      </c>
    </row>
    <row r="33" spans="1:3" x14ac:dyDescent="0.25">
      <c r="A33" s="40" t="s">
        <v>2143</v>
      </c>
      <c r="B33" s="40">
        <v>243</v>
      </c>
      <c r="C33" s="40">
        <v>19</v>
      </c>
    </row>
    <row r="34" spans="1:3" x14ac:dyDescent="0.25">
      <c r="A34" s="40" t="s">
        <v>2144</v>
      </c>
      <c r="B34" s="40">
        <v>156</v>
      </c>
      <c r="C34" s="40">
        <v>30</v>
      </c>
    </row>
    <row r="35" spans="1:3" x14ac:dyDescent="0.25">
      <c r="A35" s="40" t="s">
        <v>2145</v>
      </c>
      <c r="B35" s="40">
        <v>151</v>
      </c>
      <c r="C35" s="40">
        <v>6</v>
      </c>
    </row>
    <row r="36" spans="1:3" x14ac:dyDescent="0.25">
      <c r="A36" s="40" t="s">
        <v>2146</v>
      </c>
      <c r="B36" s="40">
        <v>201</v>
      </c>
      <c r="C36" s="40">
        <v>4</v>
      </c>
    </row>
    <row r="37" spans="1:3" x14ac:dyDescent="0.25">
      <c r="A37" s="40" t="s">
        <v>2147</v>
      </c>
      <c r="B37" s="40">
        <v>145</v>
      </c>
      <c r="C37" s="40">
        <v>15</v>
      </c>
    </row>
    <row r="38" spans="1:3" x14ac:dyDescent="0.25">
      <c r="A38" s="40" t="s">
        <v>2148</v>
      </c>
      <c r="B38" s="40">
        <v>216</v>
      </c>
      <c r="C38" s="40">
        <v>23</v>
      </c>
    </row>
    <row r="39" spans="1:3" x14ac:dyDescent="0.25">
      <c r="A39" s="40" t="s">
        <v>2149</v>
      </c>
      <c r="B39" s="40">
        <v>85</v>
      </c>
      <c r="C39" s="40">
        <v>25</v>
      </c>
    </row>
    <row r="40" spans="1:3" x14ac:dyDescent="0.25">
      <c r="A40" s="40" t="s">
        <v>2150</v>
      </c>
      <c r="B40" s="40">
        <v>111</v>
      </c>
      <c r="C40" s="40">
        <v>30</v>
      </c>
    </row>
    <row r="41" spans="1:3" x14ac:dyDescent="0.25">
      <c r="A41" s="40" t="s">
        <v>2151</v>
      </c>
      <c r="B41" s="40">
        <v>237</v>
      </c>
      <c r="C41" s="40">
        <v>13</v>
      </c>
    </row>
    <row r="42" spans="1:3" x14ac:dyDescent="0.25">
      <c r="A42" s="40" t="s">
        <v>2152</v>
      </c>
      <c r="B42" s="40">
        <v>302</v>
      </c>
      <c r="C42" s="40">
        <v>19</v>
      </c>
    </row>
    <row r="43" spans="1:3" x14ac:dyDescent="0.25">
      <c r="A43" s="40" t="s">
        <v>2153</v>
      </c>
      <c r="B43" s="40">
        <v>85</v>
      </c>
      <c r="C43" s="40">
        <v>10</v>
      </c>
    </row>
    <row r="44" spans="1:3" x14ac:dyDescent="0.25">
      <c r="A44" s="40" t="s">
        <v>2154</v>
      </c>
      <c r="B44" s="40">
        <v>179</v>
      </c>
      <c r="C44" s="40">
        <v>11</v>
      </c>
    </row>
    <row r="45" spans="1:3" x14ac:dyDescent="0.25">
      <c r="A45" s="40" t="s">
        <v>2155</v>
      </c>
      <c r="B45" s="40">
        <v>88</v>
      </c>
      <c r="C45" s="40">
        <v>11</v>
      </c>
    </row>
    <row r="46" spans="1:3" x14ac:dyDescent="0.25">
      <c r="A46" s="40" t="s">
        <v>2156</v>
      </c>
      <c r="B46" s="40">
        <v>447</v>
      </c>
      <c r="C46" s="40">
        <v>8</v>
      </c>
    </row>
    <row r="47" spans="1:3" x14ac:dyDescent="0.25">
      <c r="A47" s="40" t="s">
        <v>2157</v>
      </c>
      <c r="B47" s="40">
        <v>359</v>
      </c>
      <c r="C47" s="40">
        <v>11</v>
      </c>
    </row>
    <row r="48" spans="1:3" x14ac:dyDescent="0.25">
      <c r="A48" s="40" t="s">
        <v>2158</v>
      </c>
      <c r="B48" s="40">
        <v>302</v>
      </c>
      <c r="C48" s="40">
        <v>21</v>
      </c>
    </row>
    <row r="49" spans="1:3" x14ac:dyDescent="0.25">
      <c r="A49" s="40" t="s">
        <v>2159</v>
      </c>
      <c r="B49" s="40">
        <v>439</v>
      </c>
      <c r="C49" s="40">
        <v>15</v>
      </c>
    </row>
    <row r="50" spans="1:3" x14ac:dyDescent="0.25">
      <c r="A50" s="40" t="s">
        <v>2160</v>
      </c>
      <c r="B50" s="40">
        <v>453</v>
      </c>
      <c r="C50" s="40">
        <v>24</v>
      </c>
    </row>
    <row r="51" spans="1:3" x14ac:dyDescent="0.25">
      <c r="A51" s="40" t="s">
        <v>2161</v>
      </c>
      <c r="B51" s="40">
        <v>370</v>
      </c>
      <c r="C51" s="40">
        <v>12</v>
      </c>
    </row>
    <row r="52" spans="1:3" x14ac:dyDescent="0.25">
      <c r="A52" s="40" t="s">
        <v>2162</v>
      </c>
      <c r="B52" s="40">
        <v>229</v>
      </c>
      <c r="C52" s="40">
        <v>17</v>
      </c>
    </row>
    <row r="53" spans="1:3" x14ac:dyDescent="0.25">
      <c r="A53" s="40" t="s">
        <v>2163</v>
      </c>
      <c r="B53" s="40">
        <v>279</v>
      </c>
      <c r="C53" s="40">
        <v>21</v>
      </c>
    </row>
    <row r="54" spans="1:3" x14ac:dyDescent="0.25">
      <c r="A54" s="40" t="s">
        <v>2164</v>
      </c>
      <c r="B54" s="40">
        <v>266</v>
      </c>
      <c r="C54" s="40">
        <v>7</v>
      </c>
    </row>
    <row r="55" spans="1:3" x14ac:dyDescent="0.25">
      <c r="A55" s="40" t="s">
        <v>2165</v>
      </c>
      <c r="B55" s="40">
        <v>169</v>
      </c>
      <c r="C55" s="40">
        <v>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A12"/>
  <sheetViews>
    <sheetView zoomScale="90" zoomScaleNormal="90" workbookViewId="0">
      <selection activeCell="F9" sqref="F9"/>
    </sheetView>
  </sheetViews>
  <sheetFormatPr defaultRowHeight="15" x14ac:dyDescent="0.25"/>
  <cols>
    <col min="1" max="1" width="79.7109375" customWidth="1"/>
  </cols>
  <sheetData>
    <row r="1" spans="1:1" ht="379.5" customHeight="1" x14ac:dyDescent="0.25">
      <c r="A1" s="36" t="s">
        <v>2107</v>
      </c>
    </row>
    <row r="2" spans="1:1" x14ac:dyDescent="0.25">
      <c r="A2" s="27"/>
    </row>
    <row r="3" spans="1:1" x14ac:dyDescent="0.25">
      <c r="A3" s="27"/>
    </row>
    <row r="4" spans="1:1" x14ac:dyDescent="0.25">
      <c r="A4" s="27"/>
    </row>
    <row r="5" spans="1:1" x14ac:dyDescent="0.25">
      <c r="A5" s="27"/>
    </row>
    <row r="6" spans="1:1" x14ac:dyDescent="0.25">
      <c r="A6" s="27"/>
    </row>
    <row r="7" spans="1:1" x14ac:dyDescent="0.25">
      <c r="A7" s="27"/>
    </row>
    <row r="8" spans="1:1" x14ac:dyDescent="0.25">
      <c r="A8" s="27"/>
    </row>
    <row r="9" spans="1:1" x14ac:dyDescent="0.25">
      <c r="A9" s="27"/>
    </row>
    <row r="10" spans="1:1" x14ac:dyDescent="0.25">
      <c r="A10" s="27"/>
    </row>
    <row r="11" spans="1:1" x14ac:dyDescent="0.25">
      <c r="A11" s="27"/>
    </row>
    <row r="12" spans="1:1" x14ac:dyDescent="0.25">
      <c r="A12" s="2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B271"/>
  <sheetViews>
    <sheetView workbookViewId="0">
      <selection sqref="A1:B1048576"/>
    </sheetView>
  </sheetViews>
  <sheetFormatPr defaultRowHeight="15" x14ac:dyDescent="0.25"/>
  <sheetData>
    <row r="1" spans="1:2" x14ac:dyDescent="0.25">
      <c r="A1" t="s">
        <v>2202</v>
      </c>
      <c r="B1" t="s">
        <v>2230</v>
      </c>
    </row>
    <row r="2" spans="1:2" x14ac:dyDescent="0.25">
      <c r="A2" t="s">
        <v>3</v>
      </c>
      <c r="B2" t="s">
        <v>2232</v>
      </c>
    </row>
    <row r="3" spans="1:2" x14ac:dyDescent="0.25">
      <c r="A3" t="s">
        <v>2233</v>
      </c>
      <c r="B3" t="s">
        <v>2234</v>
      </c>
    </row>
    <row r="4" spans="1:2" x14ac:dyDescent="0.25">
      <c r="A4" t="s">
        <v>2235</v>
      </c>
      <c r="B4" t="s">
        <v>2236</v>
      </c>
    </row>
    <row r="5" spans="1:2" x14ac:dyDescent="0.25">
      <c r="A5" t="s">
        <v>2237</v>
      </c>
      <c r="B5" t="s">
        <v>2238</v>
      </c>
    </row>
    <row r="6" spans="1:2" x14ac:dyDescent="0.25">
      <c r="A6" t="s">
        <v>2239</v>
      </c>
      <c r="B6" t="s">
        <v>2240</v>
      </c>
    </row>
    <row r="7" spans="1:2" x14ac:dyDescent="0.25">
      <c r="A7" t="s">
        <v>2241</v>
      </c>
      <c r="B7" t="s">
        <v>2242</v>
      </c>
    </row>
    <row r="8" spans="1:2" x14ac:dyDescent="0.25">
      <c r="A8" t="s">
        <v>2243</v>
      </c>
      <c r="B8" t="s">
        <v>2244</v>
      </c>
    </row>
    <row r="9" spans="1:2" x14ac:dyDescent="0.25">
      <c r="A9" t="s">
        <v>2245</v>
      </c>
      <c r="B9" t="s">
        <v>2246</v>
      </c>
    </row>
    <row r="10" spans="1:2" x14ac:dyDescent="0.25">
      <c r="A10" t="s">
        <v>2247</v>
      </c>
      <c r="B10" t="s">
        <v>2248</v>
      </c>
    </row>
    <row r="11" spans="1:2" x14ac:dyDescent="0.25">
      <c r="A11" t="s">
        <v>2249</v>
      </c>
      <c r="B11" t="s">
        <v>2250</v>
      </c>
    </row>
    <row r="12" spans="1:2" x14ac:dyDescent="0.25">
      <c r="A12" t="s">
        <v>2251</v>
      </c>
      <c r="B12" t="s">
        <v>2252</v>
      </c>
    </row>
    <row r="13" spans="1:2" x14ac:dyDescent="0.25">
      <c r="A13" t="s">
        <v>2253</v>
      </c>
      <c r="B13" t="s">
        <v>2254</v>
      </c>
    </row>
    <row r="14" spans="1:2" x14ac:dyDescent="0.25">
      <c r="A14" t="s">
        <v>2255</v>
      </c>
      <c r="B14" t="s">
        <v>2256</v>
      </c>
    </row>
    <row r="15" spans="1:2" x14ac:dyDescent="0.25">
      <c r="A15" t="s">
        <v>2257</v>
      </c>
      <c r="B15" t="s">
        <v>2258</v>
      </c>
    </row>
    <row r="16" spans="1:2" x14ac:dyDescent="0.25">
      <c r="A16" t="s">
        <v>2259</v>
      </c>
      <c r="B16" t="s">
        <v>2260</v>
      </c>
    </row>
    <row r="17" spans="1:2" x14ac:dyDescent="0.25">
      <c r="A17" t="s">
        <v>2261</v>
      </c>
      <c r="B17" t="s">
        <v>2262</v>
      </c>
    </row>
    <row r="18" spans="1:2" x14ac:dyDescent="0.25">
      <c r="A18" t="s">
        <v>2263</v>
      </c>
      <c r="B18" t="s">
        <v>2264</v>
      </c>
    </row>
    <row r="19" spans="1:2" x14ac:dyDescent="0.25">
      <c r="A19" t="s">
        <v>2265</v>
      </c>
      <c r="B19" t="s">
        <v>2266</v>
      </c>
    </row>
    <row r="20" spans="1:2" x14ac:dyDescent="0.25">
      <c r="A20" t="s">
        <v>2267</v>
      </c>
      <c r="B20" t="s">
        <v>2268</v>
      </c>
    </row>
    <row r="21" spans="1:2" x14ac:dyDescent="0.25">
      <c r="A21" t="s">
        <v>2269</v>
      </c>
      <c r="B21" t="s">
        <v>2270</v>
      </c>
    </row>
    <row r="22" spans="1:2" x14ac:dyDescent="0.25">
      <c r="A22" t="s">
        <v>2271</v>
      </c>
      <c r="B22" t="s">
        <v>2272</v>
      </c>
    </row>
    <row r="23" spans="1:2" x14ac:dyDescent="0.25">
      <c r="A23" t="s">
        <v>2273</v>
      </c>
      <c r="B23" t="s">
        <v>2274</v>
      </c>
    </row>
    <row r="24" spans="1:2" x14ac:dyDescent="0.25">
      <c r="A24" t="s">
        <v>2275</v>
      </c>
      <c r="B24" t="s">
        <v>2276</v>
      </c>
    </row>
    <row r="25" spans="1:2" x14ac:dyDescent="0.25">
      <c r="A25" t="s">
        <v>2277</v>
      </c>
      <c r="B25" t="s">
        <v>2278</v>
      </c>
    </row>
    <row r="26" spans="1:2" x14ac:dyDescent="0.25">
      <c r="A26" t="s">
        <v>2279</v>
      </c>
      <c r="B26" t="s">
        <v>2280</v>
      </c>
    </row>
    <row r="27" spans="1:2" x14ac:dyDescent="0.25">
      <c r="A27" t="s">
        <v>2281</v>
      </c>
      <c r="B27" t="s">
        <v>2282</v>
      </c>
    </row>
    <row r="28" spans="1:2" x14ac:dyDescent="0.25">
      <c r="A28" t="s">
        <v>2283</v>
      </c>
      <c r="B28" t="s">
        <v>2284</v>
      </c>
    </row>
    <row r="29" spans="1:2" x14ac:dyDescent="0.25">
      <c r="A29" t="s">
        <v>2285</v>
      </c>
      <c r="B29" t="s">
        <v>2286</v>
      </c>
    </row>
    <row r="30" spans="1:2" x14ac:dyDescent="0.25">
      <c r="A30" t="s">
        <v>2287</v>
      </c>
      <c r="B30" t="s">
        <v>2288</v>
      </c>
    </row>
    <row r="31" spans="1:2" x14ac:dyDescent="0.25">
      <c r="A31" t="s">
        <v>2289</v>
      </c>
      <c r="B31" t="s">
        <v>2290</v>
      </c>
    </row>
    <row r="32" spans="1:2" x14ac:dyDescent="0.25">
      <c r="A32" t="s">
        <v>2291</v>
      </c>
      <c r="B32" t="s">
        <v>2292</v>
      </c>
    </row>
    <row r="33" spans="1:2" x14ac:dyDescent="0.25">
      <c r="A33" t="s">
        <v>2293</v>
      </c>
      <c r="B33" t="s">
        <v>2294</v>
      </c>
    </row>
    <row r="34" spans="1:2" x14ac:dyDescent="0.25">
      <c r="A34" t="s">
        <v>2295</v>
      </c>
      <c r="B34" t="s">
        <v>2296</v>
      </c>
    </row>
    <row r="35" spans="1:2" x14ac:dyDescent="0.25">
      <c r="A35" t="s">
        <v>2297</v>
      </c>
      <c r="B35" t="s">
        <v>2298</v>
      </c>
    </row>
    <row r="36" spans="1:2" x14ac:dyDescent="0.25">
      <c r="A36" t="s">
        <v>2299</v>
      </c>
      <c r="B36" t="s">
        <v>2300</v>
      </c>
    </row>
    <row r="37" spans="1:2" x14ac:dyDescent="0.25">
      <c r="A37" t="s">
        <v>2301</v>
      </c>
      <c r="B37" t="s">
        <v>2302</v>
      </c>
    </row>
    <row r="38" spans="1:2" x14ac:dyDescent="0.25">
      <c r="A38" t="s">
        <v>2303</v>
      </c>
      <c r="B38" t="s">
        <v>2304</v>
      </c>
    </row>
    <row r="39" spans="1:2" x14ac:dyDescent="0.25">
      <c r="A39" t="s">
        <v>2305</v>
      </c>
      <c r="B39" t="s">
        <v>2306</v>
      </c>
    </row>
    <row r="40" spans="1:2" x14ac:dyDescent="0.25">
      <c r="A40" t="s">
        <v>2307</v>
      </c>
      <c r="B40" t="s">
        <v>2308</v>
      </c>
    </row>
    <row r="41" spans="1:2" x14ac:dyDescent="0.25">
      <c r="A41" t="s">
        <v>2309</v>
      </c>
      <c r="B41" t="s">
        <v>2310</v>
      </c>
    </row>
    <row r="42" spans="1:2" x14ac:dyDescent="0.25">
      <c r="A42" t="s">
        <v>2311</v>
      </c>
      <c r="B42" t="s">
        <v>2312</v>
      </c>
    </row>
    <row r="43" spans="1:2" x14ac:dyDescent="0.25">
      <c r="A43" t="s">
        <v>2223</v>
      </c>
      <c r="B43" t="s">
        <v>2313</v>
      </c>
    </row>
    <row r="44" spans="1:2" x14ac:dyDescent="0.25">
      <c r="A44" t="s">
        <v>2314</v>
      </c>
      <c r="B44" t="s">
        <v>2315</v>
      </c>
    </row>
    <row r="45" spans="1:2" x14ac:dyDescent="0.25">
      <c r="A45" t="s">
        <v>2316</v>
      </c>
      <c r="B45" t="s">
        <v>2317</v>
      </c>
    </row>
    <row r="46" spans="1:2" x14ac:dyDescent="0.25">
      <c r="A46" t="s">
        <v>2318</v>
      </c>
      <c r="B46" t="s">
        <v>2319</v>
      </c>
    </row>
    <row r="47" spans="1:2" x14ac:dyDescent="0.25">
      <c r="A47" t="s">
        <v>2320</v>
      </c>
      <c r="B47" t="s">
        <v>2321</v>
      </c>
    </row>
    <row r="48" spans="1:2" x14ac:dyDescent="0.25">
      <c r="A48" t="s">
        <v>2322</v>
      </c>
      <c r="B48" t="s">
        <v>2323</v>
      </c>
    </row>
    <row r="49" spans="1:2" x14ac:dyDescent="0.25">
      <c r="A49" t="s">
        <v>2324</v>
      </c>
      <c r="B49" t="s">
        <v>2325</v>
      </c>
    </row>
    <row r="50" spans="1:2" x14ac:dyDescent="0.25">
      <c r="A50" t="s">
        <v>2326</v>
      </c>
      <c r="B50" t="s">
        <v>2327</v>
      </c>
    </row>
    <row r="51" spans="1:2" x14ac:dyDescent="0.25">
      <c r="A51" t="s">
        <v>2328</v>
      </c>
      <c r="B51" t="s">
        <v>2329</v>
      </c>
    </row>
    <row r="52" spans="1:2" x14ac:dyDescent="0.25">
      <c r="A52" t="s">
        <v>2330</v>
      </c>
      <c r="B52" t="s">
        <v>2331</v>
      </c>
    </row>
    <row r="53" spans="1:2" x14ac:dyDescent="0.25">
      <c r="A53" t="s">
        <v>2332</v>
      </c>
      <c r="B53" t="s">
        <v>2333</v>
      </c>
    </row>
    <row r="54" spans="1:2" x14ac:dyDescent="0.25">
      <c r="A54" t="s">
        <v>2334</v>
      </c>
      <c r="B54" t="s">
        <v>2335</v>
      </c>
    </row>
    <row r="55" spans="1:2" x14ac:dyDescent="0.25">
      <c r="A55" t="s">
        <v>2336</v>
      </c>
      <c r="B55" t="s">
        <v>2337</v>
      </c>
    </row>
    <row r="56" spans="1:2" x14ac:dyDescent="0.25">
      <c r="A56" t="s">
        <v>2338</v>
      </c>
      <c r="B56" t="s">
        <v>2339</v>
      </c>
    </row>
    <row r="57" spans="1:2" x14ac:dyDescent="0.25">
      <c r="A57" t="s">
        <v>2340</v>
      </c>
      <c r="B57" t="s">
        <v>2341</v>
      </c>
    </row>
    <row r="58" spans="1:2" x14ac:dyDescent="0.25">
      <c r="A58" t="s">
        <v>2342</v>
      </c>
      <c r="B58" t="s">
        <v>2343</v>
      </c>
    </row>
    <row r="59" spans="1:2" x14ac:dyDescent="0.25">
      <c r="A59" t="s">
        <v>2344</v>
      </c>
      <c r="B59" t="s">
        <v>2345</v>
      </c>
    </row>
    <row r="60" spans="1:2" x14ac:dyDescent="0.25">
      <c r="A60" t="s">
        <v>2346</v>
      </c>
      <c r="B60" t="s">
        <v>2347</v>
      </c>
    </row>
    <row r="61" spans="1:2" x14ac:dyDescent="0.25">
      <c r="A61" t="s">
        <v>2348</v>
      </c>
      <c r="B61" t="s">
        <v>2349</v>
      </c>
    </row>
    <row r="62" spans="1:2" x14ac:dyDescent="0.25">
      <c r="A62" t="s">
        <v>2350</v>
      </c>
      <c r="B62" t="s">
        <v>2351</v>
      </c>
    </row>
    <row r="63" spans="1:2" x14ac:dyDescent="0.25">
      <c r="A63" t="s">
        <v>2352</v>
      </c>
      <c r="B63" t="s">
        <v>2353</v>
      </c>
    </row>
    <row r="64" spans="1:2" x14ac:dyDescent="0.25">
      <c r="A64" t="s">
        <v>2354</v>
      </c>
      <c r="B64" t="s">
        <v>2355</v>
      </c>
    </row>
    <row r="65" spans="1:2" x14ac:dyDescent="0.25">
      <c r="A65" t="s">
        <v>2356</v>
      </c>
      <c r="B65" t="s">
        <v>2357</v>
      </c>
    </row>
    <row r="66" spans="1:2" x14ac:dyDescent="0.25">
      <c r="A66" t="s">
        <v>2358</v>
      </c>
      <c r="B66" t="s">
        <v>2359</v>
      </c>
    </row>
    <row r="67" spans="1:2" x14ac:dyDescent="0.25">
      <c r="A67" t="s">
        <v>2225</v>
      </c>
      <c r="B67" t="s">
        <v>2360</v>
      </c>
    </row>
    <row r="68" spans="1:2" x14ac:dyDescent="0.25">
      <c r="A68" t="s">
        <v>2361</v>
      </c>
      <c r="B68" t="s">
        <v>2362</v>
      </c>
    </row>
    <row r="69" spans="1:2" x14ac:dyDescent="0.25">
      <c r="A69" t="s">
        <v>2363</v>
      </c>
      <c r="B69" t="s">
        <v>2364</v>
      </c>
    </row>
    <row r="70" spans="1:2" x14ac:dyDescent="0.25">
      <c r="A70" t="s">
        <v>2365</v>
      </c>
      <c r="B70" t="s">
        <v>2366</v>
      </c>
    </row>
    <row r="71" spans="1:2" x14ac:dyDescent="0.25">
      <c r="A71" t="s">
        <v>2367</v>
      </c>
      <c r="B71" t="s">
        <v>2368</v>
      </c>
    </row>
    <row r="72" spans="1:2" x14ac:dyDescent="0.25">
      <c r="A72" t="s">
        <v>2369</v>
      </c>
      <c r="B72" t="s">
        <v>2370</v>
      </c>
    </row>
    <row r="73" spans="1:2" x14ac:dyDescent="0.25">
      <c r="A73" t="s">
        <v>2371</v>
      </c>
      <c r="B73" t="s">
        <v>2372</v>
      </c>
    </row>
    <row r="74" spans="1:2" x14ac:dyDescent="0.25">
      <c r="A74" t="s">
        <v>2373</v>
      </c>
      <c r="B74" t="s">
        <v>2374</v>
      </c>
    </row>
    <row r="75" spans="1:2" x14ac:dyDescent="0.25">
      <c r="A75" t="s">
        <v>2375</v>
      </c>
      <c r="B75" t="s">
        <v>2376</v>
      </c>
    </row>
    <row r="76" spans="1:2" x14ac:dyDescent="0.25">
      <c r="A76" t="s">
        <v>2377</v>
      </c>
      <c r="B76" t="s">
        <v>2378</v>
      </c>
    </row>
    <row r="77" spans="1:2" x14ac:dyDescent="0.25">
      <c r="A77" t="s">
        <v>2379</v>
      </c>
      <c r="B77" t="s">
        <v>2380</v>
      </c>
    </row>
    <row r="78" spans="1:2" x14ac:dyDescent="0.25">
      <c r="A78" t="s">
        <v>2381</v>
      </c>
      <c r="B78" t="s">
        <v>2382</v>
      </c>
    </row>
    <row r="79" spans="1:2" x14ac:dyDescent="0.25">
      <c r="A79" t="s">
        <v>2383</v>
      </c>
      <c r="B79" t="s">
        <v>2384</v>
      </c>
    </row>
    <row r="80" spans="1:2" x14ac:dyDescent="0.25">
      <c r="A80" t="s">
        <v>2385</v>
      </c>
      <c r="B80" t="s">
        <v>2386</v>
      </c>
    </row>
    <row r="81" spans="1:2" x14ac:dyDescent="0.25">
      <c r="A81" t="s">
        <v>2387</v>
      </c>
      <c r="B81" t="s">
        <v>2388</v>
      </c>
    </row>
    <row r="82" spans="1:2" x14ac:dyDescent="0.25">
      <c r="A82" t="s">
        <v>2389</v>
      </c>
      <c r="B82" t="s">
        <v>2390</v>
      </c>
    </row>
    <row r="83" spans="1:2" x14ac:dyDescent="0.25">
      <c r="A83" t="s">
        <v>2391</v>
      </c>
      <c r="B83" t="s">
        <v>2392</v>
      </c>
    </row>
    <row r="84" spans="1:2" x14ac:dyDescent="0.25">
      <c r="A84" t="s">
        <v>2393</v>
      </c>
      <c r="B84" t="s">
        <v>2394</v>
      </c>
    </row>
    <row r="85" spans="1:2" x14ac:dyDescent="0.25">
      <c r="A85" t="s">
        <v>2395</v>
      </c>
      <c r="B85" t="s">
        <v>2396</v>
      </c>
    </row>
    <row r="86" spans="1:2" x14ac:dyDescent="0.25">
      <c r="A86" t="s">
        <v>2397</v>
      </c>
      <c r="B86" t="s">
        <v>2398</v>
      </c>
    </row>
    <row r="87" spans="1:2" x14ac:dyDescent="0.25">
      <c r="A87" t="s">
        <v>2399</v>
      </c>
      <c r="B87" t="s">
        <v>2400</v>
      </c>
    </row>
    <row r="88" spans="1:2" x14ac:dyDescent="0.25">
      <c r="A88" t="s">
        <v>2401</v>
      </c>
      <c r="B88" t="s">
        <v>2402</v>
      </c>
    </row>
    <row r="89" spans="1:2" x14ac:dyDescent="0.25">
      <c r="A89" t="s">
        <v>2403</v>
      </c>
      <c r="B89" t="s">
        <v>2404</v>
      </c>
    </row>
    <row r="90" spans="1:2" x14ac:dyDescent="0.25">
      <c r="A90" t="s">
        <v>2405</v>
      </c>
      <c r="B90" t="s">
        <v>2406</v>
      </c>
    </row>
    <row r="91" spans="1:2" x14ac:dyDescent="0.25">
      <c r="A91" t="s">
        <v>2407</v>
      </c>
      <c r="B91" t="s">
        <v>2408</v>
      </c>
    </row>
    <row r="92" spans="1:2" x14ac:dyDescent="0.25">
      <c r="A92" t="s">
        <v>2409</v>
      </c>
      <c r="B92" t="s">
        <v>2410</v>
      </c>
    </row>
    <row r="93" spans="1:2" x14ac:dyDescent="0.25">
      <c r="A93" t="s">
        <v>2411</v>
      </c>
      <c r="B93" t="s">
        <v>2412</v>
      </c>
    </row>
    <row r="94" spans="1:2" x14ac:dyDescent="0.25">
      <c r="A94" t="s">
        <v>2413</v>
      </c>
      <c r="B94" t="s">
        <v>2414</v>
      </c>
    </row>
    <row r="95" spans="1:2" x14ac:dyDescent="0.25">
      <c r="A95" t="s">
        <v>2415</v>
      </c>
      <c r="B95" t="s">
        <v>2416</v>
      </c>
    </row>
    <row r="96" spans="1:2" x14ac:dyDescent="0.25">
      <c r="A96" t="s">
        <v>2417</v>
      </c>
      <c r="B96" t="s">
        <v>2418</v>
      </c>
    </row>
    <row r="97" spans="1:2" x14ac:dyDescent="0.25">
      <c r="A97" t="s">
        <v>2419</v>
      </c>
      <c r="B97" t="s">
        <v>2420</v>
      </c>
    </row>
    <row r="98" spans="1:2" x14ac:dyDescent="0.25">
      <c r="A98" t="s">
        <v>2421</v>
      </c>
      <c r="B98" t="s">
        <v>2422</v>
      </c>
    </row>
    <row r="99" spans="1:2" x14ac:dyDescent="0.25">
      <c r="A99" t="s">
        <v>2423</v>
      </c>
      <c r="B99" t="s">
        <v>2424</v>
      </c>
    </row>
    <row r="100" spans="1:2" x14ac:dyDescent="0.25">
      <c r="A100" t="s">
        <v>2425</v>
      </c>
      <c r="B100" t="s">
        <v>2426</v>
      </c>
    </row>
    <row r="101" spans="1:2" x14ac:dyDescent="0.25">
      <c r="A101" t="s">
        <v>2427</v>
      </c>
      <c r="B101" t="s">
        <v>2428</v>
      </c>
    </row>
    <row r="102" spans="1:2" x14ac:dyDescent="0.25">
      <c r="A102" t="s">
        <v>2429</v>
      </c>
      <c r="B102" t="s">
        <v>2430</v>
      </c>
    </row>
    <row r="103" spans="1:2" x14ac:dyDescent="0.25">
      <c r="A103" t="s">
        <v>2431</v>
      </c>
      <c r="B103" t="s">
        <v>2432</v>
      </c>
    </row>
    <row r="104" spans="1:2" x14ac:dyDescent="0.25">
      <c r="A104" t="s">
        <v>2433</v>
      </c>
      <c r="B104" t="s">
        <v>2434</v>
      </c>
    </row>
    <row r="105" spans="1:2" x14ac:dyDescent="0.25">
      <c r="A105" t="s">
        <v>2435</v>
      </c>
      <c r="B105" t="s">
        <v>2436</v>
      </c>
    </row>
    <row r="106" spans="1:2" x14ac:dyDescent="0.25">
      <c r="A106" t="s">
        <v>2437</v>
      </c>
      <c r="B106" t="s">
        <v>2438</v>
      </c>
    </row>
    <row r="107" spans="1:2" x14ac:dyDescent="0.25">
      <c r="A107" t="s">
        <v>2439</v>
      </c>
      <c r="B107" t="s">
        <v>2440</v>
      </c>
    </row>
    <row r="108" spans="1:2" x14ac:dyDescent="0.25">
      <c r="A108" t="s">
        <v>2441</v>
      </c>
      <c r="B108" t="s">
        <v>2442</v>
      </c>
    </row>
    <row r="109" spans="1:2" x14ac:dyDescent="0.25">
      <c r="A109" t="s">
        <v>2443</v>
      </c>
      <c r="B109" t="s">
        <v>2444</v>
      </c>
    </row>
    <row r="110" spans="1:2" x14ac:dyDescent="0.25">
      <c r="A110" t="s">
        <v>2228</v>
      </c>
      <c r="B110" t="s">
        <v>2445</v>
      </c>
    </row>
    <row r="111" spans="1:2" x14ac:dyDescent="0.25">
      <c r="A111" t="s">
        <v>2226</v>
      </c>
      <c r="B111" t="s">
        <v>2446</v>
      </c>
    </row>
    <row r="112" spans="1:2" x14ac:dyDescent="0.25">
      <c r="A112" t="s">
        <v>2447</v>
      </c>
      <c r="B112" t="s">
        <v>2448</v>
      </c>
    </row>
    <row r="113" spans="1:2" x14ac:dyDescent="0.25">
      <c r="A113" t="s">
        <v>2449</v>
      </c>
      <c r="B113" t="s">
        <v>2450</v>
      </c>
    </row>
    <row r="114" spans="1:2" x14ac:dyDescent="0.25">
      <c r="A114" t="s">
        <v>2451</v>
      </c>
      <c r="B114" t="s">
        <v>2452</v>
      </c>
    </row>
    <row r="115" spans="1:2" x14ac:dyDescent="0.25">
      <c r="A115" t="s">
        <v>2453</v>
      </c>
      <c r="B115" t="s">
        <v>2454</v>
      </c>
    </row>
    <row r="116" spans="1:2" x14ac:dyDescent="0.25">
      <c r="A116" t="s">
        <v>2455</v>
      </c>
      <c r="B116" t="s">
        <v>2456</v>
      </c>
    </row>
    <row r="117" spans="1:2" x14ac:dyDescent="0.25">
      <c r="A117" t="s">
        <v>2457</v>
      </c>
      <c r="B117" t="s">
        <v>2458</v>
      </c>
    </row>
    <row r="118" spans="1:2" x14ac:dyDescent="0.25">
      <c r="A118" t="s">
        <v>2459</v>
      </c>
      <c r="B118" t="s">
        <v>2460</v>
      </c>
    </row>
    <row r="119" spans="1:2" x14ac:dyDescent="0.25">
      <c r="A119" t="s">
        <v>2461</v>
      </c>
      <c r="B119" t="s">
        <v>2462</v>
      </c>
    </row>
    <row r="120" spans="1:2" x14ac:dyDescent="0.25">
      <c r="A120" t="s">
        <v>2463</v>
      </c>
      <c r="B120" t="s">
        <v>2464</v>
      </c>
    </row>
    <row r="121" spans="1:2" x14ac:dyDescent="0.25">
      <c r="A121" t="s">
        <v>2465</v>
      </c>
      <c r="B121" t="s">
        <v>2466</v>
      </c>
    </row>
    <row r="122" spans="1:2" x14ac:dyDescent="0.25">
      <c r="A122" t="s">
        <v>2467</v>
      </c>
      <c r="B122" t="s">
        <v>2468</v>
      </c>
    </row>
    <row r="123" spans="1:2" x14ac:dyDescent="0.25">
      <c r="A123" t="s">
        <v>2469</v>
      </c>
      <c r="B123" t="s">
        <v>2470</v>
      </c>
    </row>
    <row r="124" spans="1:2" x14ac:dyDescent="0.25">
      <c r="A124" t="s">
        <v>2471</v>
      </c>
      <c r="B124" t="s">
        <v>2472</v>
      </c>
    </row>
    <row r="125" spans="1:2" x14ac:dyDescent="0.25">
      <c r="A125" t="s">
        <v>2473</v>
      </c>
      <c r="B125" t="s">
        <v>2474</v>
      </c>
    </row>
    <row r="126" spans="1:2" x14ac:dyDescent="0.25">
      <c r="A126" t="s">
        <v>2475</v>
      </c>
      <c r="B126" t="s">
        <v>2476</v>
      </c>
    </row>
    <row r="127" spans="1:2" x14ac:dyDescent="0.25">
      <c r="A127" t="s">
        <v>2477</v>
      </c>
      <c r="B127" t="s">
        <v>2478</v>
      </c>
    </row>
    <row r="128" spans="1:2" x14ac:dyDescent="0.25">
      <c r="A128" t="s">
        <v>2479</v>
      </c>
      <c r="B128" t="s">
        <v>2480</v>
      </c>
    </row>
    <row r="129" spans="1:2" x14ac:dyDescent="0.25">
      <c r="A129" t="s">
        <v>2481</v>
      </c>
      <c r="B129" t="s">
        <v>2482</v>
      </c>
    </row>
    <row r="130" spans="1:2" x14ac:dyDescent="0.25">
      <c r="A130" t="s">
        <v>2483</v>
      </c>
      <c r="B130" t="s">
        <v>2484</v>
      </c>
    </row>
    <row r="131" spans="1:2" x14ac:dyDescent="0.25">
      <c r="A131" t="s">
        <v>2485</v>
      </c>
      <c r="B131" t="s">
        <v>2486</v>
      </c>
    </row>
    <row r="132" spans="1:2" x14ac:dyDescent="0.25">
      <c r="A132" t="s">
        <v>2487</v>
      </c>
      <c r="B132" t="s">
        <v>2488</v>
      </c>
    </row>
    <row r="133" spans="1:2" x14ac:dyDescent="0.25">
      <c r="A133" t="s">
        <v>2489</v>
      </c>
      <c r="B133" t="s">
        <v>2490</v>
      </c>
    </row>
    <row r="134" spans="1:2" x14ac:dyDescent="0.25">
      <c r="A134" t="s">
        <v>2491</v>
      </c>
      <c r="B134" t="s">
        <v>2492</v>
      </c>
    </row>
    <row r="135" spans="1:2" x14ac:dyDescent="0.25">
      <c r="A135" t="s">
        <v>2493</v>
      </c>
      <c r="B135" t="s">
        <v>2494</v>
      </c>
    </row>
    <row r="136" spans="1:2" x14ac:dyDescent="0.25">
      <c r="A136" t="s">
        <v>2495</v>
      </c>
      <c r="B136" t="s">
        <v>2496</v>
      </c>
    </row>
    <row r="137" spans="1:2" x14ac:dyDescent="0.25">
      <c r="A137" t="s">
        <v>2497</v>
      </c>
      <c r="B137" t="s">
        <v>2498</v>
      </c>
    </row>
    <row r="138" spans="1:2" x14ac:dyDescent="0.25">
      <c r="A138" t="s">
        <v>2499</v>
      </c>
      <c r="B138" t="s">
        <v>2500</v>
      </c>
    </row>
    <row r="139" spans="1:2" x14ac:dyDescent="0.25">
      <c r="A139" t="s">
        <v>2501</v>
      </c>
      <c r="B139" t="s">
        <v>2502</v>
      </c>
    </row>
    <row r="140" spans="1:2" x14ac:dyDescent="0.25">
      <c r="A140" t="s">
        <v>2503</v>
      </c>
      <c r="B140" t="s">
        <v>2504</v>
      </c>
    </row>
    <row r="141" spans="1:2" x14ac:dyDescent="0.25">
      <c r="A141" t="s">
        <v>2505</v>
      </c>
      <c r="B141" t="s">
        <v>2506</v>
      </c>
    </row>
    <row r="142" spans="1:2" x14ac:dyDescent="0.25">
      <c r="A142" t="s">
        <v>2507</v>
      </c>
      <c r="B142" t="s">
        <v>2508</v>
      </c>
    </row>
    <row r="143" spans="1:2" x14ac:dyDescent="0.25">
      <c r="A143" t="s">
        <v>2509</v>
      </c>
      <c r="B143" t="s">
        <v>2510</v>
      </c>
    </row>
    <row r="144" spans="1:2" x14ac:dyDescent="0.25">
      <c r="A144" t="s">
        <v>2511</v>
      </c>
      <c r="B144" t="s">
        <v>2512</v>
      </c>
    </row>
    <row r="145" spans="1:2" x14ac:dyDescent="0.25">
      <c r="A145" t="s">
        <v>2513</v>
      </c>
      <c r="B145" t="s">
        <v>2514</v>
      </c>
    </row>
    <row r="146" spans="1:2" x14ac:dyDescent="0.25">
      <c r="A146" t="s">
        <v>2515</v>
      </c>
      <c r="B146" t="s">
        <v>2516</v>
      </c>
    </row>
    <row r="147" spans="1:2" x14ac:dyDescent="0.25">
      <c r="A147" t="s">
        <v>2517</v>
      </c>
      <c r="B147" t="s">
        <v>2518</v>
      </c>
    </row>
    <row r="148" spans="1:2" x14ac:dyDescent="0.25">
      <c r="A148" t="s">
        <v>2519</v>
      </c>
      <c r="B148" t="s">
        <v>2520</v>
      </c>
    </row>
    <row r="149" spans="1:2" x14ac:dyDescent="0.25">
      <c r="A149" t="s">
        <v>2521</v>
      </c>
      <c r="B149" t="s">
        <v>2522</v>
      </c>
    </row>
    <row r="150" spans="1:2" x14ac:dyDescent="0.25">
      <c r="A150" t="s">
        <v>2523</v>
      </c>
      <c r="B150" t="s">
        <v>2524</v>
      </c>
    </row>
    <row r="151" spans="1:2" x14ac:dyDescent="0.25">
      <c r="A151" t="s">
        <v>2525</v>
      </c>
      <c r="B151" t="s">
        <v>2526</v>
      </c>
    </row>
    <row r="152" spans="1:2" x14ac:dyDescent="0.25">
      <c r="A152" t="s">
        <v>2527</v>
      </c>
      <c r="B152" t="s">
        <v>2528</v>
      </c>
    </row>
    <row r="153" spans="1:2" x14ac:dyDescent="0.25">
      <c r="A153" t="s">
        <v>2529</v>
      </c>
      <c r="B153" t="s">
        <v>2530</v>
      </c>
    </row>
    <row r="154" spans="1:2" x14ac:dyDescent="0.25">
      <c r="A154" t="s">
        <v>2531</v>
      </c>
      <c r="B154" t="s">
        <v>2532</v>
      </c>
    </row>
    <row r="155" spans="1:2" x14ac:dyDescent="0.25">
      <c r="A155" t="s">
        <v>2533</v>
      </c>
      <c r="B155" t="s">
        <v>2534</v>
      </c>
    </row>
    <row r="156" spans="1:2" x14ac:dyDescent="0.25">
      <c r="A156" t="s">
        <v>2535</v>
      </c>
      <c r="B156" t="s">
        <v>2536</v>
      </c>
    </row>
    <row r="157" spans="1:2" x14ac:dyDescent="0.25">
      <c r="A157" t="s">
        <v>2537</v>
      </c>
      <c r="B157" t="s">
        <v>2538</v>
      </c>
    </row>
    <row r="158" spans="1:2" x14ac:dyDescent="0.25">
      <c r="A158" t="s">
        <v>2539</v>
      </c>
      <c r="B158" t="s">
        <v>2540</v>
      </c>
    </row>
    <row r="159" spans="1:2" x14ac:dyDescent="0.25">
      <c r="A159" t="s">
        <v>2541</v>
      </c>
      <c r="B159" t="s">
        <v>2542</v>
      </c>
    </row>
    <row r="160" spans="1:2" x14ac:dyDescent="0.25">
      <c r="A160" t="s">
        <v>2543</v>
      </c>
      <c r="B160" t="s">
        <v>2544</v>
      </c>
    </row>
    <row r="161" spans="1:2" x14ac:dyDescent="0.25">
      <c r="A161" t="s">
        <v>2545</v>
      </c>
      <c r="B161" t="s">
        <v>2546</v>
      </c>
    </row>
    <row r="162" spans="1:2" x14ac:dyDescent="0.25">
      <c r="A162" t="s">
        <v>2547</v>
      </c>
      <c r="B162" t="s">
        <v>2548</v>
      </c>
    </row>
    <row r="163" spans="1:2" x14ac:dyDescent="0.25">
      <c r="A163" t="s">
        <v>2549</v>
      </c>
      <c r="B163" t="s">
        <v>2550</v>
      </c>
    </row>
    <row r="164" spans="1:2" x14ac:dyDescent="0.25">
      <c r="A164" t="s">
        <v>2551</v>
      </c>
      <c r="B164" t="s">
        <v>2552</v>
      </c>
    </row>
    <row r="165" spans="1:2" x14ac:dyDescent="0.25">
      <c r="A165" t="s">
        <v>2553</v>
      </c>
      <c r="B165" t="s">
        <v>2554</v>
      </c>
    </row>
    <row r="166" spans="1:2" x14ac:dyDescent="0.25">
      <c r="A166" t="s">
        <v>2555</v>
      </c>
      <c r="B166" t="s">
        <v>2556</v>
      </c>
    </row>
    <row r="167" spans="1:2" x14ac:dyDescent="0.25">
      <c r="A167" t="s">
        <v>2557</v>
      </c>
      <c r="B167" t="s">
        <v>2558</v>
      </c>
    </row>
    <row r="168" spans="1:2" x14ac:dyDescent="0.25">
      <c r="A168" t="s">
        <v>2559</v>
      </c>
      <c r="B168" t="s">
        <v>2560</v>
      </c>
    </row>
    <row r="169" spans="1:2" x14ac:dyDescent="0.25">
      <c r="A169" t="s">
        <v>2561</v>
      </c>
      <c r="B169" t="s">
        <v>2562</v>
      </c>
    </row>
    <row r="170" spans="1:2" x14ac:dyDescent="0.25">
      <c r="A170" t="s">
        <v>2563</v>
      </c>
      <c r="B170" t="s">
        <v>2564</v>
      </c>
    </row>
    <row r="171" spans="1:2" x14ac:dyDescent="0.25">
      <c r="A171" t="s">
        <v>2565</v>
      </c>
      <c r="B171" t="s">
        <v>2566</v>
      </c>
    </row>
    <row r="172" spans="1:2" x14ac:dyDescent="0.25">
      <c r="A172" t="s">
        <v>2567</v>
      </c>
      <c r="B172" t="s">
        <v>2568</v>
      </c>
    </row>
    <row r="173" spans="1:2" x14ac:dyDescent="0.25">
      <c r="A173" t="s">
        <v>2569</v>
      </c>
      <c r="B173" t="s">
        <v>2570</v>
      </c>
    </row>
    <row r="174" spans="1:2" x14ac:dyDescent="0.25">
      <c r="A174" t="s">
        <v>2571</v>
      </c>
      <c r="B174" t="s">
        <v>2572</v>
      </c>
    </row>
    <row r="175" spans="1:2" x14ac:dyDescent="0.25">
      <c r="A175" t="s">
        <v>2573</v>
      </c>
      <c r="B175" t="s">
        <v>2574</v>
      </c>
    </row>
    <row r="176" spans="1:2" x14ac:dyDescent="0.25">
      <c r="A176" t="s">
        <v>2575</v>
      </c>
      <c r="B176" t="s">
        <v>2576</v>
      </c>
    </row>
    <row r="177" spans="1:2" x14ac:dyDescent="0.25">
      <c r="A177" t="s">
        <v>2577</v>
      </c>
      <c r="B177" t="s">
        <v>2578</v>
      </c>
    </row>
    <row r="178" spans="1:2" x14ac:dyDescent="0.25">
      <c r="A178" t="s">
        <v>2579</v>
      </c>
      <c r="B178" t="s">
        <v>2580</v>
      </c>
    </row>
    <row r="179" spans="1:2" x14ac:dyDescent="0.25">
      <c r="A179" t="s">
        <v>2581</v>
      </c>
      <c r="B179" t="s">
        <v>2582</v>
      </c>
    </row>
    <row r="180" spans="1:2" x14ac:dyDescent="0.25">
      <c r="A180" t="s">
        <v>2583</v>
      </c>
      <c r="B180" t="s">
        <v>2756</v>
      </c>
    </row>
    <row r="181" spans="1:2" x14ac:dyDescent="0.25">
      <c r="A181" t="s">
        <v>2229</v>
      </c>
      <c r="B181" t="s">
        <v>2584</v>
      </c>
    </row>
    <row r="182" spans="1:2" x14ac:dyDescent="0.25">
      <c r="A182" t="s">
        <v>2585</v>
      </c>
      <c r="B182" t="s">
        <v>2586</v>
      </c>
    </row>
    <row r="183" spans="1:2" x14ac:dyDescent="0.25">
      <c r="A183" t="s">
        <v>2587</v>
      </c>
      <c r="B183" t="s">
        <v>2588</v>
      </c>
    </row>
    <row r="184" spans="1:2" x14ac:dyDescent="0.25">
      <c r="A184" t="s">
        <v>2589</v>
      </c>
      <c r="B184" t="s">
        <v>2590</v>
      </c>
    </row>
    <row r="185" spans="1:2" x14ac:dyDescent="0.25">
      <c r="A185" t="s">
        <v>2591</v>
      </c>
      <c r="B185" t="s">
        <v>2592</v>
      </c>
    </row>
    <row r="186" spans="1:2" x14ac:dyDescent="0.25">
      <c r="A186" t="s">
        <v>2593</v>
      </c>
      <c r="B186" t="s">
        <v>2594</v>
      </c>
    </row>
    <row r="187" spans="1:2" x14ac:dyDescent="0.25">
      <c r="A187" t="s">
        <v>2595</v>
      </c>
      <c r="B187" t="s">
        <v>2596</v>
      </c>
    </row>
    <row r="188" spans="1:2" x14ac:dyDescent="0.25">
      <c r="A188" t="s">
        <v>2597</v>
      </c>
      <c r="B188" t="s">
        <v>2598</v>
      </c>
    </row>
    <row r="189" spans="1:2" x14ac:dyDescent="0.25">
      <c r="A189" t="s">
        <v>2599</v>
      </c>
      <c r="B189" t="s">
        <v>2600</v>
      </c>
    </row>
    <row r="190" spans="1:2" x14ac:dyDescent="0.25">
      <c r="A190" t="s">
        <v>2601</v>
      </c>
      <c r="B190" t="s">
        <v>2602</v>
      </c>
    </row>
    <row r="191" spans="1:2" x14ac:dyDescent="0.25">
      <c r="A191" t="s">
        <v>2603</v>
      </c>
      <c r="B191" t="s">
        <v>2604</v>
      </c>
    </row>
    <row r="192" spans="1:2" x14ac:dyDescent="0.25">
      <c r="A192" t="s">
        <v>2605</v>
      </c>
      <c r="B192" t="s">
        <v>2606</v>
      </c>
    </row>
    <row r="193" spans="1:2" x14ac:dyDescent="0.25">
      <c r="A193" t="s">
        <v>2607</v>
      </c>
      <c r="B193" t="s">
        <v>2608</v>
      </c>
    </row>
    <row r="194" spans="1:2" x14ac:dyDescent="0.25">
      <c r="A194" t="s">
        <v>2609</v>
      </c>
      <c r="B194" t="s">
        <v>2610</v>
      </c>
    </row>
    <row r="195" spans="1:2" x14ac:dyDescent="0.25">
      <c r="A195" t="s">
        <v>2611</v>
      </c>
      <c r="B195" t="s">
        <v>2612</v>
      </c>
    </row>
    <row r="196" spans="1:2" x14ac:dyDescent="0.25">
      <c r="A196" t="s">
        <v>2613</v>
      </c>
      <c r="B196" t="s">
        <v>2614</v>
      </c>
    </row>
    <row r="197" spans="1:2" x14ac:dyDescent="0.25">
      <c r="A197" t="s">
        <v>2615</v>
      </c>
      <c r="B197" t="s">
        <v>2616</v>
      </c>
    </row>
    <row r="198" spans="1:2" x14ac:dyDescent="0.25">
      <c r="A198" t="s">
        <v>2617</v>
      </c>
      <c r="B198" t="s">
        <v>2618</v>
      </c>
    </row>
    <row r="199" spans="1:2" x14ac:dyDescent="0.25">
      <c r="A199" t="s">
        <v>2619</v>
      </c>
      <c r="B199" t="s">
        <v>2620</v>
      </c>
    </row>
    <row r="200" spans="1:2" x14ac:dyDescent="0.25">
      <c r="A200" t="s">
        <v>2621</v>
      </c>
      <c r="B200" t="s">
        <v>2622</v>
      </c>
    </row>
    <row r="201" spans="1:2" x14ac:dyDescent="0.25">
      <c r="A201" t="s">
        <v>2623</v>
      </c>
      <c r="B201" t="s">
        <v>2624</v>
      </c>
    </row>
    <row r="202" spans="1:2" x14ac:dyDescent="0.25">
      <c r="A202" t="s">
        <v>2625</v>
      </c>
      <c r="B202" t="s">
        <v>2626</v>
      </c>
    </row>
    <row r="203" spans="1:2" x14ac:dyDescent="0.25">
      <c r="A203" t="s">
        <v>2627</v>
      </c>
      <c r="B203" t="s">
        <v>2628</v>
      </c>
    </row>
    <row r="204" spans="1:2" x14ac:dyDescent="0.25">
      <c r="A204" t="s">
        <v>2629</v>
      </c>
      <c r="B204" t="s">
        <v>2630</v>
      </c>
    </row>
    <row r="205" spans="1:2" x14ac:dyDescent="0.25">
      <c r="A205" t="s">
        <v>2631</v>
      </c>
      <c r="B205" t="s">
        <v>2632</v>
      </c>
    </row>
    <row r="206" spans="1:2" x14ac:dyDescent="0.25">
      <c r="A206" t="s">
        <v>2633</v>
      </c>
      <c r="B206" t="s">
        <v>2634</v>
      </c>
    </row>
    <row r="207" spans="1:2" x14ac:dyDescent="0.25">
      <c r="A207" t="s">
        <v>2635</v>
      </c>
      <c r="B207" t="s">
        <v>2636</v>
      </c>
    </row>
    <row r="208" spans="1:2" x14ac:dyDescent="0.25">
      <c r="A208" t="s">
        <v>2637</v>
      </c>
      <c r="B208" t="s">
        <v>2638</v>
      </c>
    </row>
    <row r="209" spans="1:2" x14ac:dyDescent="0.25">
      <c r="A209" t="s">
        <v>2639</v>
      </c>
      <c r="B209" t="s">
        <v>2640</v>
      </c>
    </row>
    <row r="210" spans="1:2" x14ac:dyDescent="0.25">
      <c r="A210" t="s">
        <v>2641</v>
      </c>
      <c r="B210" t="s">
        <v>2642</v>
      </c>
    </row>
    <row r="211" spans="1:2" x14ac:dyDescent="0.25">
      <c r="A211" t="s">
        <v>2643</v>
      </c>
      <c r="B211" t="s">
        <v>2644</v>
      </c>
    </row>
    <row r="212" spans="1:2" x14ac:dyDescent="0.25">
      <c r="A212" t="s">
        <v>2645</v>
      </c>
      <c r="B212" t="s">
        <v>2646</v>
      </c>
    </row>
    <row r="213" spans="1:2" x14ac:dyDescent="0.25">
      <c r="A213" t="s">
        <v>2647</v>
      </c>
      <c r="B213" t="s">
        <v>2648</v>
      </c>
    </row>
    <row r="214" spans="1:2" x14ac:dyDescent="0.25">
      <c r="A214" t="s">
        <v>2649</v>
      </c>
      <c r="B214" t="s">
        <v>2650</v>
      </c>
    </row>
    <row r="215" spans="1:2" x14ac:dyDescent="0.25">
      <c r="A215" t="s">
        <v>2651</v>
      </c>
      <c r="B215" t="s">
        <v>2652</v>
      </c>
    </row>
    <row r="216" spans="1:2" x14ac:dyDescent="0.25">
      <c r="A216" t="s">
        <v>2653</v>
      </c>
      <c r="B216" t="s">
        <v>2654</v>
      </c>
    </row>
    <row r="217" spans="1:2" x14ac:dyDescent="0.25">
      <c r="A217" t="s">
        <v>2655</v>
      </c>
      <c r="B217" t="s">
        <v>2656</v>
      </c>
    </row>
    <row r="218" spans="1:2" x14ac:dyDescent="0.25">
      <c r="A218" t="s">
        <v>2657</v>
      </c>
      <c r="B218" t="s">
        <v>2658</v>
      </c>
    </row>
    <row r="219" spans="1:2" x14ac:dyDescent="0.25">
      <c r="A219" t="s">
        <v>2659</v>
      </c>
      <c r="B219" t="s">
        <v>2660</v>
      </c>
    </row>
    <row r="220" spans="1:2" x14ac:dyDescent="0.25">
      <c r="A220" t="s">
        <v>2661</v>
      </c>
      <c r="B220" t="s">
        <v>2662</v>
      </c>
    </row>
    <row r="221" spans="1:2" x14ac:dyDescent="0.25">
      <c r="A221" t="s">
        <v>2663</v>
      </c>
      <c r="B221" t="s">
        <v>2664</v>
      </c>
    </row>
    <row r="222" spans="1:2" x14ac:dyDescent="0.25">
      <c r="A222" t="s">
        <v>2665</v>
      </c>
      <c r="B222" t="s">
        <v>2666</v>
      </c>
    </row>
    <row r="223" spans="1:2" x14ac:dyDescent="0.25">
      <c r="A223" t="s">
        <v>2667</v>
      </c>
      <c r="B223" t="s">
        <v>2668</v>
      </c>
    </row>
    <row r="224" spans="1:2" x14ac:dyDescent="0.25">
      <c r="A224" t="s">
        <v>2669</v>
      </c>
      <c r="B224" t="s">
        <v>2670</v>
      </c>
    </row>
    <row r="225" spans="1:2" x14ac:dyDescent="0.25">
      <c r="A225" t="s">
        <v>2671</v>
      </c>
      <c r="B225" t="s">
        <v>2672</v>
      </c>
    </row>
    <row r="226" spans="1:2" x14ac:dyDescent="0.25">
      <c r="A226" t="s">
        <v>2673</v>
      </c>
      <c r="B226" t="s">
        <v>2674</v>
      </c>
    </row>
    <row r="227" spans="1:2" x14ac:dyDescent="0.25">
      <c r="A227" t="s">
        <v>2675</v>
      </c>
      <c r="B227" t="s">
        <v>2676</v>
      </c>
    </row>
    <row r="228" spans="1:2" x14ac:dyDescent="0.25">
      <c r="A228" t="s">
        <v>2677</v>
      </c>
      <c r="B228" t="s">
        <v>2678</v>
      </c>
    </row>
    <row r="229" spans="1:2" x14ac:dyDescent="0.25">
      <c r="A229" t="s">
        <v>2679</v>
      </c>
      <c r="B229" t="s">
        <v>2680</v>
      </c>
    </row>
    <row r="230" spans="1:2" x14ac:dyDescent="0.25">
      <c r="A230" t="s">
        <v>2681</v>
      </c>
      <c r="B230" t="s">
        <v>2682</v>
      </c>
    </row>
    <row r="231" spans="1:2" x14ac:dyDescent="0.25">
      <c r="A231" t="s">
        <v>2683</v>
      </c>
      <c r="B231" t="s">
        <v>2684</v>
      </c>
    </row>
    <row r="232" spans="1:2" x14ac:dyDescent="0.25">
      <c r="A232" t="s">
        <v>2685</v>
      </c>
      <c r="B232" t="s">
        <v>2686</v>
      </c>
    </row>
    <row r="233" spans="1:2" x14ac:dyDescent="0.25">
      <c r="A233" t="s">
        <v>2687</v>
      </c>
      <c r="B233" t="s">
        <v>2688</v>
      </c>
    </row>
    <row r="234" spans="1:2" x14ac:dyDescent="0.25">
      <c r="A234" t="s">
        <v>2689</v>
      </c>
      <c r="B234" t="s">
        <v>2690</v>
      </c>
    </row>
    <row r="235" spans="1:2" x14ac:dyDescent="0.25">
      <c r="A235" t="s">
        <v>2691</v>
      </c>
      <c r="B235" t="s">
        <v>2692</v>
      </c>
    </row>
    <row r="236" spans="1:2" x14ac:dyDescent="0.25">
      <c r="A236" t="s">
        <v>2693</v>
      </c>
      <c r="B236" t="s">
        <v>2694</v>
      </c>
    </row>
    <row r="237" spans="1:2" x14ac:dyDescent="0.25">
      <c r="A237" t="s">
        <v>2695</v>
      </c>
      <c r="B237" t="s">
        <v>2696</v>
      </c>
    </row>
    <row r="238" spans="1:2" x14ac:dyDescent="0.25">
      <c r="A238" t="s">
        <v>2697</v>
      </c>
      <c r="B238" t="s">
        <v>2698</v>
      </c>
    </row>
    <row r="239" spans="1:2" x14ac:dyDescent="0.25">
      <c r="A239" t="s">
        <v>2699</v>
      </c>
      <c r="B239" t="s">
        <v>2700</v>
      </c>
    </row>
    <row r="240" spans="1:2" x14ac:dyDescent="0.25">
      <c r="A240" t="s">
        <v>2701</v>
      </c>
      <c r="B240" t="s">
        <v>2702</v>
      </c>
    </row>
    <row r="241" spans="1:2" x14ac:dyDescent="0.25">
      <c r="A241" t="s">
        <v>2703</v>
      </c>
      <c r="B241" t="s">
        <v>2704</v>
      </c>
    </row>
    <row r="242" spans="1:2" x14ac:dyDescent="0.25">
      <c r="A242" t="s">
        <v>2705</v>
      </c>
      <c r="B242" t="s">
        <v>2706</v>
      </c>
    </row>
    <row r="243" spans="1:2" x14ac:dyDescent="0.25">
      <c r="A243" t="s">
        <v>2707</v>
      </c>
      <c r="B243" t="s">
        <v>2708</v>
      </c>
    </row>
    <row r="244" spans="1:2" x14ac:dyDescent="0.25">
      <c r="A244" t="s">
        <v>2709</v>
      </c>
      <c r="B244" t="s">
        <v>2710</v>
      </c>
    </row>
    <row r="245" spans="1:2" x14ac:dyDescent="0.25">
      <c r="A245" t="s">
        <v>2711</v>
      </c>
      <c r="B245" t="s">
        <v>2712</v>
      </c>
    </row>
    <row r="246" spans="1:2" x14ac:dyDescent="0.25">
      <c r="A246" t="s">
        <v>2713</v>
      </c>
      <c r="B246" t="s">
        <v>2714</v>
      </c>
    </row>
    <row r="247" spans="1:2" x14ac:dyDescent="0.25">
      <c r="A247" t="s">
        <v>2715</v>
      </c>
      <c r="B247" t="s">
        <v>2716</v>
      </c>
    </row>
    <row r="248" spans="1:2" x14ac:dyDescent="0.25">
      <c r="A248" t="s">
        <v>2717</v>
      </c>
      <c r="B248" t="s">
        <v>2718</v>
      </c>
    </row>
    <row r="249" spans="1:2" x14ac:dyDescent="0.25">
      <c r="A249" t="s">
        <v>2719</v>
      </c>
      <c r="B249" t="s">
        <v>2720</v>
      </c>
    </row>
    <row r="250" spans="1:2" x14ac:dyDescent="0.25">
      <c r="A250" t="s">
        <v>2721</v>
      </c>
      <c r="B250" t="s">
        <v>2722</v>
      </c>
    </row>
    <row r="251" spans="1:2" x14ac:dyDescent="0.25">
      <c r="A251" t="s">
        <v>2723</v>
      </c>
      <c r="B251" t="s">
        <v>2724</v>
      </c>
    </row>
    <row r="252" spans="1:2" x14ac:dyDescent="0.25">
      <c r="A252" t="s">
        <v>2725</v>
      </c>
      <c r="B252" t="s">
        <v>2726</v>
      </c>
    </row>
    <row r="253" spans="1:2" x14ac:dyDescent="0.25">
      <c r="A253" t="s">
        <v>2727</v>
      </c>
      <c r="B253" t="s">
        <v>2728</v>
      </c>
    </row>
    <row r="254" spans="1:2" x14ac:dyDescent="0.25">
      <c r="A254" t="s">
        <v>2729</v>
      </c>
      <c r="B254" t="s">
        <v>2730</v>
      </c>
    </row>
    <row r="255" spans="1:2" x14ac:dyDescent="0.25">
      <c r="A255" t="s">
        <v>2731</v>
      </c>
      <c r="B255" t="s">
        <v>2732</v>
      </c>
    </row>
    <row r="256" spans="1:2" x14ac:dyDescent="0.25">
      <c r="A256" t="s">
        <v>2221</v>
      </c>
      <c r="B256" t="s">
        <v>2733</v>
      </c>
    </row>
    <row r="257" spans="1:2" x14ac:dyDescent="0.25">
      <c r="A257" t="s">
        <v>2220</v>
      </c>
      <c r="B257" t="s">
        <v>2734</v>
      </c>
    </row>
    <row r="258" spans="1:2" x14ac:dyDescent="0.25">
      <c r="A258" t="s">
        <v>2735</v>
      </c>
      <c r="B258" t="s">
        <v>2736</v>
      </c>
    </row>
    <row r="259" spans="1:2" x14ac:dyDescent="0.25">
      <c r="A259" t="s">
        <v>2227</v>
      </c>
      <c r="B259" t="s">
        <v>2737</v>
      </c>
    </row>
    <row r="260" spans="1:2" x14ac:dyDescent="0.25">
      <c r="A260" t="s">
        <v>2219</v>
      </c>
      <c r="B260" t="s">
        <v>2738</v>
      </c>
    </row>
    <row r="261" spans="1:2" x14ac:dyDescent="0.25">
      <c r="A261" t="s">
        <v>2218</v>
      </c>
      <c r="B261" t="s">
        <v>2739</v>
      </c>
    </row>
    <row r="262" spans="1:2" x14ac:dyDescent="0.25">
      <c r="A262" t="s">
        <v>2740</v>
      </c>
      <c r="B262" t="s">
        <v>2741</v>
      </c>
    </row>
    <row r="263" spans="1:2" x14ac:dyDescent="0.25">
      <c r="A263" t="s">
        <v>2222</v>
      </c>
      <c r="B263" t="s">
        <v>2742</v>
      </c>
    </row>
    <row r="264" spans="1:2" x14ac:dyDescent="0.25">
      <c r="A264" t="s">
        <v>2224</v>
      </c>
      <c r="B264" t="s">
        <v>2743</v>
      </c>
    </row>
    <row r="265" spans="1:2" x14ac:dyDescent="0.25">
      <c r="A265" t="s">
        <v>12</v>
      </c>
      <c r="B265" t="s">
        <v>2744</v>
      </c>
    </row>
    <row r="266" spans="1:2" x14ac:dyDescent="0.25">
      <c r="A266" t="s">
        <v>2745</v>
      </c>
      <c r="B266" t="s">
        <v>2746</v>
      </c>
    </row>
    <row r="267" spans="1:2" x14ac:dyDescent="0.25">
      <c r="A267" t="s">
        <v>2217</v>
      </c>
      <c r="B267" t="s">
        <v>2747</v>
      </c>
    </row>
    <row r="268" spans="1:2" x14ac:dyDescent="0.25">
      <c r="A268" t="s">
        <v>2748</v>
      </c>
      <c r="B268" t="s">
        <v>2749</v>
      </c>
    </row>
    <row r="269" spans="1:2" x14ac:dyDescent="0.25">
      <c r="A269" t="s">
        <v>2750</v>
      </c>
      <c r="B269" t="s">
        <v>2751</v>
      </c>
    </row>
    <row r="270" spans="1:2" x14ac:dyDescent="0.25">
      <c r="A270" t="s">
        <v>2752</v>
      </c>
      <c r="B270" t="s">
        <v>2753</v>
      </c>
    </row>
    <row r="271" spans="1:2" x14ac:dyDescent="0.25">
      <c r="A271" t="s">
        <v>2754</v>
      </c>
      <c r="B271" t="s">
        <v>2755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:C1992"/>
  <sheetViews>
    <sheetView workbookViewId="0">
      <selection sqref="A1:XFD1"/>
    </sheetView>
  </sheetViews>
  <sheetFormatPr defaultRowHeight="15" x14ac:dyDescent="0.25"/>
  <cols>
    <col min="1" max="1" width="18.5703125" customWidth="1"/>
    <col min="2" max="2" width="46.5703125" customWidth="1"/>
    <col min="3" max="3" width="35" bestFit="1" customWidth="1"/>
  </cols>
  <sheetData>
    <row r="1" spans="1:3" x14ac:dyDescent="0.25">
      <c r="A1" s="31" t="s">
        <v>89</v>
      </c>
      <c r="B1" s="31" t="s">
        <v>90</v>
      </c>
      <c r="C1" s="31" t="s">
        <v>46</v>
      </c>
    </row>
    <row r="2" spans="1:3" x14ac:dyDescent="0.25">
      <c r="A2" s="29" t="s">
        <v>91</v>
      </c>
      <c r="B2" s="28" t="s">
        <v>58</v>
      </c>
      <c r="C2" t="s">
        <v>49</v>
      </c>
    </row>
    <row r="3" spans="1:3" x14ac:dyDescent="0.25">
      <c r="A3" s="29" t="s">
        <v>92</v>
      </c>
      <c r="B3" s="28" t="s">
        <v>59</v>
      </c>
      <c r="C3" t="s">
        <v>50</v>
      </c>
    </row>
    <row r="4" spans="1:3" x14ac:dyDescent="0.25">
      <c r="A4" s="29" t="s">
        <v>94</v>
      </c>
      <c r="B4" s="28" t="s">
        <v>58</v>
      </c>
      <c r="C4" t="s">
        <v>49</v>
      </c>
    </row>
    <row r="5" spans="1:3" x14ac:dyDescent="0.25">
      <c r="A5" s="29" t="s">
        <v>95</v>
      </c>
      <c r="B5" s="28" t="s">
        <v>59</v>
      </c>
      <c r="C5" t="s">
        <v>49</v>
      </c>
    </row>
    <row r="6" spans="1:3" x14ac:dyDescent="0.25">
      <c r="A6" s="29" t="s">
        <v>97</v>
      </c>
      <c r="B6" s="28" t="s">
        <v>58</v>
      </c>
      <c r="C6" t="s">
        <v>49</v>
      </c>
    </row>
    <row r="7" spans="1:3" x14ac:dyDescent="0.25">
      <c r="A7" s="29" t="s">
        <v>98</v>
      </c>
      <c r="B7" s="28" t="s">
        <v>58</v>
      </c>
      <c r="C7" t="s">
        <v>48</v>
      </c>
    </row>
    <row r="8" spans="1:3" x14ac:dyDescent="0.25">
      <c r="A8" s="29" t="s">
        <v>99</v>
      </c>
      <c r="B8" s="28" t="s">
        <v>58</v>
      </c>
      <c r="C8" t="s">
        <v>52</v>
      </c>
    </row>
    <row r="9" spans="1:3" x14ac:dyDescent="0.25">
      <c r="A9" s="29" t="s">
        <v>100</v>
      </c>
      <c r="B9" s="28" t="s">
        <v>58</v>
      </c>
      <c r="C9" t="s">
        <v>52</v>
      </c>
    </row>
    <row r="10" spans="1:3" x14ac:dyDescent="0.25">
      <c r="A10" s="29" t="s">
        <v>101</v>
      </c>
      <c r="B10" s="28" t="s">
        <v>58</v>
      </c>
      <c r="C10" t="s">
        <v>52</v>
      </c>
    </row>
    <row r="11" spans="1:3" x14ac:dyDescent="0.25">
      <c r="A11" s="29" t="s">
        <v>102</v>
      </c>
      <c r="B11" s="28" t="s">
        <v>58</v>
      </c>
      <c r="C11" t="s">
        <v>52</v>
      </c>
    </row>
    <row r="12" spans="1:3" x14ac:dyDescent="0.25">
      <c r="A12" s="29" t="s">
        <v>103</v>
      </c>
      <c r="B12" s="28" t="s">
        <v>58</v>
      </c>
      <c r="C12" t="s">
        <v>52</v>
      </c>
    </row>
    <row r="13" spans="1:3" x14ac:dyDescent="0.25">
      <c r="A13" s="29" t="s">
        <v>104</v>
      </c>
      <c r="B13" s="28" t="s">
        <v>58</v>
      </c>
      <c r="C13" t="s">
        <v>52</v>
      </c>
    </row>
    <row r="14" spans="1:3" x14ac:dyDescent="0.25">
      <c r="A14" s="29" t="s">
        <v>105</v>
      </c>
      <c r="B14" s="28" t="s">
        <v>58</v>
      </c>
      <c r="C14" t="s">
        <v>52</v>
      </c>
    </row>
    <row r="15" spans="1:3" x14ac:dyDescent="0.25">
      <c r="A15" s="29" t="s">
        <v>106</v>
      </c>
      <c r="B15" s="28" t="s">
        <v>58</v>
      </c>
      <c r="C15" t="s">
        <v>52</v>
      </c>
    </row>
    <row r="16" spans="1:3" x14ac:dyDescent="0.25">
      <c r="A16" s="29" t="s">
        <v>107</v>
      </c>
      <c r="B16" s="28" t="s">
        <v>58</v>
      </c>
      <c r="C16" t="s">
        <v>52</v>
      </c>
    </row>
    <row r="17" spans="1:3" x14ac:dyDescent="0.25">
      <c r="A17" s="29" t="s">
        <v>108</v>
      </c>
      <c r="B17" s="28" t="s">
        <v>58</v>
      </c>
      <c r="C17" t="s">
        <v>52</v>
      </c>
    </row>
    <row r="18" spans="1:3" x14ac:dyDescent="0.25">
      <c r="A18" s="29" t="s">
        <v>109</v>
      </c>
      <c r="B18" s="28" t="s">
        <v>58</v>
      </c>
      <c r="C18" t="s">
        <v>52</v>
      </c>
    </row>
    <row r="19" spans="1:3" x14ac:dyDescent="0.25">
      <c r="A19" s="29" t="s">
        <v>110</v>
      </c>
      <c r="B19" s="28" t="s">
        <v>58</v>
      </c>
      <c r="C19" t="s">
        <v>52</v>
      </c>
    </row>
    <row r="20" spans="1:3" x14ac:dyDescent="0.25">
      <c r="A20" s="29" t="s">
        <v>111</v>
      </c>
      <c r="B20" s="28" t="s">
        <v>58</v>
      </c>
      <c r="C20" t="s">
        <v>52</v>
      </c>
    </row>
    <row r="21" spans="1:3" x14ac:dyDescent="0.25">
      <c r="A21" s="29" t="s">
        <v>112</v>
      </c>
      <c r="B21" s="28" t="s">
        <v>58</v>
      </c>
      <c r="C21" t="s">
        <v>52</v>
      </c>
    </row>
    <row r="22" spans="1:3" x14ac:dyDescent="0.25">
      <c r="A22" s="29" t="s">
        <v>113</v>
      </c>
      <c r="B22" s="28" t="s">
        <v>58</v>
      </c>
      <c r="C22" t="s">
        <v>52</v>
      </c>
    </row>
    <row r="23" spans="1:3" x14ac:dyDescent="0.25">
      <c r="A23" s="29" t="s">
        <v>114</v>
      </c>
      <c r="B23" s="28" t="s">
        <v>58</v>
      </c>
      <c r="C23" t="s">
        <v>52</v>
      </c>
    </row>
    <row r="24" spans="1:3" x14ac:dyDescent="0.25">
      <c r="A24" s="29" t="s">
        <v>115</v>
      </c>
      <c r="B24" s="28" t="s">
        <v>58</v>
      </c>
      <c r="C24" t="s">
        <v>52</v>
      </c>
    </row>
    <row r="25" spans="1:3" x14ac:dyDescent="0.25">
      <c r="A25" s="29" t="s">
        <v>116</v>
      </c>
      <c r="B25" s="28" t="s">
        <v>58</v>
      </c>
      <c r="C25" t="s">
        <v>49</v>
      </c>
    </row>
    <row r="26" spans="1:3" x14ac:dyDescent="0.25">
      <c r="A26" s="29" t="s">
        <v>117</v>
      </c>
      <c r="B26" s="28" t="s">
        <v>58</v>
      </c>
      <c r="C26" t="s">
        <v>50</v>
      </c>
    </row>
    <row r="27" spans="1:3" x14ac:dyDescent="0.25">
      <c r="A27" s="29" t="s">
        <v>118</v>
      </c>
      <c r="B27" s="28" t="s">
        <v>58</v>
      </c>
      <c r="C27" t="s">
        <v>52</v>
      </c>
    </row>
    <row r="28" spans="1:3" x14ac:dyDescent="0.25">
      <c r="A28" s="29" t="s">
        <v>119</v>
      </c>
      <c r="B28" s="28" t="s">
        <v>58</v>
      </c>
      <c r="C28" t="s">
        <v>52</v>
      </c>
    </row>
    <row r="29" spans="1:3" x14ac:dyDescent="0.25">
      <c r="A29" s="29" t="s">
        <v>120</v>
      </c>
      <c r="B29" s="28" t="s">
        <v>58</v>
      </c>
      <c r="C29" t="s">
        <v>48</v>
      </c>
    </row>
    <row r="30" spans="1:3" x14ac:dyDescent="0.25">
      <c r="A30" s="29" t="s">
        <v>121</v>
      </c>
      <c r="B30" s="28" t="s">
        <v>59</v>
      </c>
      <c r="C30" t="s">
        <v>49</v>
      </c>
    </row>
    <row r="31" spans="1:3" x14ac:dyDescent="0.25">
      <c r="A31" s="29" t="s">
        <v>123</v>
      </c>
      <c r="B31" s="28" t="s">
        <v>58</v>
      </c>
      <c r="C31" t="s">
        <v>52</v>
      </c>
    </row>
    <row r="32" spans="1:3" x14ac:dyDescent="0.25">
      <c r="A32" s="29" t="s">
        <v>124</v>
      </c>
      <c r="B32" s="28" t="s">
        <v>58</v>
      </c>
      <c r="C32" t="s">
        <v>52</v>
      </c>
    </row>
    <row r="33" spans="1:3" x14ac:dyDescent="0.25">
      <c r="A33" s="29" t="s">
        <v>125</v>
      </c>
      <c r="B33" s="28" t="s">
        <v>58</v>
      </c>
      <c r="C33" t="s">
        <v>52</v>
      </c>
    </row>
    <row r="34" spans="1:3" x14ac:dyDescent="0.25">
      <c r="A34" s="29" t="s">
        <v>126</v>
      </c>
      <c r="B34" s="28" t="s">
        <v>58</v>
      </c>
      <c r="C34" t="s">
        <v>52</v>
      </c>
    </row>
    <row r="35" spans="1:3" x14ac:dyDescent="0.25">
      <c r="A35" s="29" t="s">
        <v>127</v>
      </c>
      <c r="B35" s="28" t="s">
        <v>59</v>
      </c>
      <c r="C35" t="s">
        <v>49</v>
      </c>
    </row>
    <row r="36" spans="1:3" x14ac:dyDescent="0.25">
      <c r="A36" s="29" t="s">
        <v>129</v>
      </c>
      <c r="B36" s="28" t="s">
        <v>59</v>
      </c>
      <c r="C36" t="s">
        <v>49</v>
      </c>
    </row>
    <row r="37" spans="1:3" x14ac:dyDescent="0.25">
      <c r="A37" s="29" t="s">
        <v>131</v>
      </c>
      <c r="B37" s="28" t="s">
        <v>59</v>
      </c>
      <c r="C37" t="s">
        <v>49</v>
      </c>
    </row>
    <row r="38" spans="1:3" x14ac:dyDescent="0.25">
      <c r="A38" s="29" t="s">
        <v>132</v>
      </c>
      <c r="B38" s="28" t="s">
        <v>58</v>
      </c>
      <c r="C38" t="s">
        <v>49</v>
      </c>
    </row>
    <row r="39" spans="1:3" x14ac:dyDescent="0.25">
      <c r="A39" s="29" t="s">
        <v>133</v>
      </c>
      <c r="B39" s="28" t="s">
        <v>58</v>
      </c>
      <c r="C39" t="s">
        <v>49</v>
      </c>
    </row>
    <row r="40" spans="1:3" x14ac:dyDescent="0.25">
      <c r="A40" s="29" t="s">
        <v>134</v>
      </c>
      <c r="B40" s="28" t="s">
        <v>59</v>
      </c>
      <c r="C40" t="s">
        <v>49</v>
      </c>
    </row>
    <row r="41" spans="1:3" x14ac:dyDescent="0.25">
      <c r="A41" s="29" t="s">
        <v>135</v>
      </c>
      <c r="B41" s="28" t="s">
        <v>59</v>
      </c>
      <c r="C41" t="s">
        <v>49</v>
      </c>
    </row>
    <row r="42" spans="1:3" x14ac:dyDescent="0.25">
      <c r="A42" s="29" t="s">
        <v>136</v>
      </c>
      <c r="B42" s="28" t="s">
        <v>59</v>
      </c>
      <c r="C42" t="s">
        <v>49</v>
      </c>
    </row>
    <row r="43" spans="1:3" x14ac:dyDescent="0.25">
      <c r="A43" s="29" t="s">
        <v>138</v>
      </c>
      <c r="B43" s="28" t="s">
        <v>58</v>
      </c>
      <c r="C43" t="s">
        <v>50</v>
      </c>
    </row>
    <row r="44" spans="1:3" x14ac:dyDescent="0.25">
      <c r="A44" s="29" t="s">
        <v>139</v>
      </c>
      <c r="B44" s="28" t="s">
        <v>58</v>
      </c>
      <c r="C44" t="s">
        <v>52</v>
      </c>
    </row>
    <row r="45" spans="1:3" x14ac:dyDescent="0.25">
      <c r="A45" s="29" t="s">
        <v>140</v>
      </c>
      <c r="B45" s="28" t="s">
        <v>58</v>
      </c>
      <c r="C45" t="s">
        <v>52</v>
      </c>
    </row>
    <row r="46" spans="1:3" x14ac:dyDescent="0.25">
      <c r="A46" s="29" t="s">
        <v>141</v>
      </c>
      <c r="B46" s="28" t="s">
        <v>59</v>
      </c>
      <c r="C46" t="s">
        <v>52</v>
      </c>
    </row>
    <row r="47" spans="1:3" x14ac:dyDescent="0.25">
      <c r="A47" s="29" t="s">
        <v>143</v>
      </c>
      <c r="B47" s="28" t="s">
        <v>59</v>
      </c>
      <c r="C47" t="s">
        <v>52</v>
      </c>
    </row>
    <row r="48" spans="1:3" x14ac:dyDescent="0.25">
      <c r="A48" s="29" t="s">
        <v>144</v>
      </c>
      <c r="B48" s="28" t="s">
        <v>59</v>
      </c>
      <c r="C48" t="s">
        <v>52</v>
      </c>
    </row>
    <row r="49" spans="1:3" x14ac:dyDescent="0.25">
      <c r="A49" s="29" t="s">
        <v>145</v>
      </c>
      <c r="B49" s="28" t="s">
        <v>59</v>
      </c>
      <c r="C49" t="s">
        <v>52</v>
      </c>
    </row>
    <row r="50" spans="1:3" x14ac:dyDescent="0.25">
      <c r="A50" s="29" t="s">
        <v>146</v>
      </c>
      <c r="B50" s="28" t="s">
        <v>59</v>
      </c>
      <c r="C50" t="s">
        <v>52</v>
      </c>
    </row>
    <row r="51" spans="1:3" x14ac:dyDescent="0.25">
      <c r="A51" s="29" t="s">
        <v>147</v>
      </c>
      <c r="B51" s="28" t="s">
        <v>59</v>
      </c>
      <c r="C51" t="s">
        <v>52</v>
      </c>
    </row>
    <row r="52" spans="1:3" x14ac:dyDescent="0.25">
      <c r="A52" s="29" t="s">
        <v>148</v>
      </c>
      <c r="B52" s="28" t="s">
        <v>59</v>
      </c>
      <c r="C52" t="s">
        <v>52</v>
      </c>
    </row>
    <row r="53" spans="1:3" x14ac:dyDescent="0.25">
      <c r="A53" s="29" t="s">
        <v>149</v>
      </c>
      <c r="B53" s="28" t="s">
        <v>59</v>
      </c>
      <c r="C53" t="s">
        <v>52</v>
      </c>
    </row>
    <row r="54" spans="1:3" x14ac:dyDescent="0.25">
      <c r="A54" s="29" t="s">
        <v>150</v>
      </c>
      <c r="B54" s="28" t="s">
        <v>59</v>
      </c>
      <c r="C54" t="s">
        <v>52</v>
      </c>
    </row>
    <row r="55" spans="1:3" x14ac:dyDescent="0.25">
      <c r="A55" s="29" t="s">
        <v>151</v>
      </c>
      <c r="B55" s="28" t="s">
        <v>59</v>
      </c>
      <c r="C55" t="s">
        <v>52</v>
      </c>
    </row>
    <row r="56" spans="1:3" x14ac:dyDescent="0.25">
      <c r="A56" s="29" t="s">
        <v>152</v>
      </c>
      <c r="B56" s="28" t="s">
        <v>58</v>
      </c>
      <c r="C56" t="s">
        <v>52</v>
      </c>
    </row>
    <row r="57" spans="1:3" x14ac:dyDescent="0.25">
      <c r="A57" s="29" t="s">
        <v>153</v>
      </c>
      <c r="B57" s="28" t="s">
        <v>58</v>
      </c>
      <c r="C57" t="s">
        <v>52</v>
      </c>
    </row>
    <row r="58" spans="1:3" x14ac:dyDescent="0.25">
      <c r="A58" s="29" t="s">
        <v>154</v>
      </c>
      <c r="B58" s="28" t="s">
        <v>58</v>
      </c>
      <c r="C58" t="s">
        <v>52</v>
      </c>
    </row>
    <row r="59" spans="1:3" x14ac:dyDescent="0.25">
      <c r="A59" s="29" t="s">
        <v>155</v>
      </c>
      <c r="B59" s="28" t="s">
        <v>59</v>
      </c>
      <c r="C59" t="s">
        <v>52</v>
      </c>
    </row>
    <row r="60" spans="1:3" x14ac:dyDescent="0.25">
      <c r="A60" s="29" t="s">
        <v>157</v>
      </c>
      <c r="B60" s="28" t="s">
        <v>58</v>
      </c>
      <c r="C60" t="s">
        <v>52</v>
      </c>
    </row>
    <row r="61" spans="1:3" x14ac:dyDescent="0.25">
      <c r="A61" s="29" t="s">
        <v>158</v>
      </c>
      <c r="B61" s="28" t="s">
        <v>58</v>
      </c>
      <c r="C61" t="s">
        <v>52</v>
      </c>
    </row>
    <row r="62" spans="1:3" x14ac:dyDescent="0.25">
      <c r="A62" s="29" t="s">
        <v>159</v>
      </c>
      <c r="B62" s="28" t="s">
        <v>58</v>
      </c>
      <c r="C62" t="s">
        <v>51</v>
      </c>
    </row>
    <row r="63" spans="1:3" x14ac:dyDescent="0.25">
      <c r="A63" s="29" t="s">
        <v>160</v>
      </c>
      <c r="B63" s="28" t="s">
        <v>58</v>
      </c>
      <c r="C63" t="s">
        <v>51</v>
      </c>
    </row>
    <row r="64" spans="1:3" x14ac:dyDescent="0.25">
      <c r="A64" s="29" t="s">
        <v>161</v>
      </c>
      <c r="B64" s="28" t="s">
        <v>58</v>
      </c>
      <c r="C64" t="s">
        <v>52</v>
      </c>
    </row>
    <row r="65" spans="1:3" x14ac:dyDescent="0.25">
      <c r="A65" s="29" t="s">
        <v>162</v>
      </c>
      <c r="B65" s="28" t="s">
        <v>57</v>
      </c>
      <c r="C65" t="s">
        <v>51</v>
      </c>
    </row>
    <row r="66" spans="1:3" x14ac:dyDescent="0.25">
      <c r="A66" s="29" t="s">
        <v>163</v>
      </c>
      <c r="B66" s="28" t="s">
        <v>58</v>
      </c>
      <c r="C66" t="s">
        <v>49</v>
      </c>
    </row>
    <row r="67" spans="1:3" x14ac:dyDescent="0.25">
      <c r="A67" s="29" t="s">
        <v>164</v>
      </c>
      <c r="B67" s="28" t="s">
        <v>59</v>
      </c>
      <c r="C67" t="s">
        <v>52</v>
      </c>
    </row>
    <row r="68" spans="1:3" x14ac:dyDescent="0.25">
      <c r="A68" s="29" t="s">
        <v>165</v>
      </c>
      <c r="B68" s="28" t="s">
        <v>58</v>
      </c>
      <c r="C68" t="s">
        <v>49</v>
      </c>
    </row>
    <row r="69" spans="1:3" x14ac:dyDescent="0.25">
      <c r="A69" s="29" t="s">
        <v>166</v>
      </c>
      <c r="B69" s="28" t="s">
        <v>58</v>
      </c>
      <c r="C69" t="s">
        <v>49</v>
      </c>
    </row>
    <row r="70" spans="1:3" x14ac:dyDescent="0.25">
      <c r="A70" s="29" t="s">
        <v>167</v>
      </c>
      <c r="B70" s="28" t="s">
        <v>58</v>
      </c>
      <c r="C70" t="s">
        <v>49</v>
      </c>
    </row>
    <row r="71" spans="1:3" x14ac:dyDescent="0.25">
      <c r="A71" s="29" t="s">
        <v>168</v>
      </c>
      <c r="B71" s="28" t="s">
        <v>58</v>
      </c>
      <c r="C71" t="s">
        <v>49</v>
      </c>
    </row>
    <row r="72" spans="1:3" x14ac:dyDescent="0.25">
      <c r="A72" s="29" t="s">
        <v>169</v>
      </c>
      <c r="B72" s="28" t="s">
        <v>58</v>
      </c>
      <c r="C72" t="s">
        <v>49</v>
      </c>
    </row>
    <row r="73" spans="1:3" x14ac:dyDescent="0.25">
      <c r="A73" s="29" t="s">
        <v>170</v>
      </c>
      <c r="B73" s="28" t="s">
        <v>58</v>
      </c>
      <c r="C73" t="s">
        <v>49</v>
      </c>
    </row>
    <row r="74" spans="1:3" x14ac:dyDescent="0.25">
      <c r="A74" s="29" t="s">
        <v>171</v>
      </c>
      <c r="B74" s="28" t="s">
        <v>58</v>
      </c>
      <c r="C74" t="s">
        <v>49</v>
      </c>
    </row>
    <row r="75" spans="1:3" x14ac:dyDescent="0.25">
      <c r="A75" s="29" t="s">
        <v>172</v>
      </c>
      <c r="B75" s="28" t="s">
        <v>58</v>
      </c>
      <c r="C75" t="s">
        <v>49</v>
      </c>
    </row>
    <row r="76" spans="1:3" x14ac:dyDescent="0.25">
      <c r="A76" s="29" t="s">
        <v>173</v>
      </c>
      <c r="B76" s="28" t="s">
        <v>58</v>
      </c>
      <c r="C76" t="s">
        <v>49</v>
      </c>
    </row>
    <row r="77" spans="1:3" x14ac:dyDescent="0.25">
      <c r="A77" s="29" t="s">
        <v>174</v>
      </c>
      <c r="B77" s="28" t="s">
        <v>58</v>
      </c>
      <c r="C77" t="s">
        <v>49</v>
      </c>
    </row>
    <row r="78" spans="1:3" x14ac:dyDescent="0.25">
      <c r="A78" s="29" t="s">
        <v>175</v>
      </c>
      <c r="B78" s="28" t="s">
        <v>58</v>
      </c>
      <c r="C78" t="s">
        <v>49</v>
      </c>
    </row>
    <row r="79" spans="1:3" x14ac:dyDescent="0.25">
      <c r="A79" s="29" t="s">
        <v>176</v>
      </c>
      <c r="B79" s="28" t="s">
        <v>58</v>
      </c>
      <c r="C79" t="s">
        <v>49</v>
      </c>
    </row>
    <row r="80" spans="1:3" x14ac:dyDescent="0.25">
      <c r="A80" s="29" t="s">
        <v>177</v>
      </c>
      <c r="B80" s="28" t="s">
        <v>58</v>
      </c>
      <c r="C80" t="s">
        <v>49</v>
      </c>
    </row>
    <row r="81" spans="1:3" x14ac:dyDescent="0.25">
      <c r="A81" s="29" t="s">
        <v>178</v>
      </c>
      <c r="B81" s="28" t="s">
        <v>58</v>
      </c>
      <c r="C81" t="s">
        <v>49</v>
      </c>
    </row>
    <row r="82" spans="1:3" x14ac:dyDescent="0.25">
      <c r="A82" s="29" t="s">
        <v>179</v>
      </c>
      <c r="B82" s="28" t="s">
        <v>58</v>
      </c>
      <c r="C82" t="s">
        <v>49</v>
      </c>
    </row>
    <row r="83" spans="1:3" x14ac:dyDescent="0.25">
      <c r="A83" s="29" t="s">
        <v>180</v>
      </c>
      <c r="B83" s="28" t="s">
        <v>58</v>
      </c>
      <c r="C83" t="s">
        <v>49</v>
      </c>
    </row>
    <row r="84" spans="1:3" x14ac:dyDescent="0.25">
      <c r="A84" s="29" t="s">
        <v>181</v>
      </c>
      <c r="B84" s="28" t="s">
        <v>58</v>
      </c>
      <c r="C84" t="s">
        <v>49</v>
      </c>
    </row>
    <row r="85" spans="1:3" x14ac:dyDescent="0.25">
      <c r="A85" s="29" t="s">
        <v>182</v>
      </c>
      <c r="B85" s="28" t="s">
        <v>58</v>
      </c>
      <c r="C85" t="s">
        <v>49</v>
      </c>
    </row>
    <row r="86" spans="1:3" x14ac:dyDescent="0.25">
      <c r="A86" s="29" t="s">
        <v>183</v>
      </c>
      <c r="B86" s="28" t="s">
        <v>58</v>
      </c>
      <c r="C86" t="s">
        <v>49</v>
      </c>
    </row>
    <row r="87" spans="1:3" x14ac:dyDescent="0.25">
      <c r="A87" s="29" t="s">
        <v>184</v>
      </c>
      <c r="B87" s="28" t="s">
        <v>58</v>
      </c>
      <c r="C87" t="s">
        <v>49</v>
      </c>
    </row>
    <row r="88" spans="1:3" x14ac:dyDescent="0.25">
      <c r="A88" s="29" t="s">
        <v>185</v>
      </c>
      <c r="B88" s="28" t="s">
        <v>58</v>
      </c>
      <c r="C88" t="s">
        <v>49</v>
      </c>
    </row>
    <row r="89" spans="1:3" x14ac:dyDescent="0.25">
      <c r="A89" s="29" t="s">
        <v>186</v>
      </c>
      <c r="B89" s="28" t="s">
        <v>58</v>
      </c>
      <c r="C89" t="s">
        <v>49</v>
      </c>
    </row>
    <row r="90" spans="1:3" x14ac:dyDescent="0.25">
      <c r="A90" s="29" t="s">
        <v>187</v>
      </c>
      <c r="B90" s="28" t="s">
        <v>58</v>
      </c>
      <c r="C90" t="s">
        <v>49</v>
      </c>
    </row>
    <row r="91" spans="1:3" x14ac:dyDescent="0.25">
      <c r="A91" s="29" t="s">
        <v>188</v>
      </c>
      <c r="B91" s="28" t="s">
        <v>58</v>
      </c>
      <c r="C91" t="s">
        <v>49</v>
      </c>
    </row>
    <row r="92" spans="1:3" x14ac:dyDescent="0.25">
      <c r="A92" s="29" t="s">
        <v>189</v>
      </c>
      <c r="B92" s="28" t="s">
        <v>58</v>
      </c>
      <c r="C92" t="s">
        <v>49</v>
      </c>
    </row>
    <row r="93" spans="1:3" x14ac:dyDescent="0.25">
      <c r="A93" s="29" t="s">
        <v>190</v>
      </c>
      <c r="B93" s="28" t="s">
        <v>58</v>
      </c>
      <c r="C93" t="s">
        <v>49</v>
      </c>
    </row>
    <row r="94" spans="1:3" x14ac:dyDescent="0.25">
      <c r="A94" s="29" t="s">
        <v>191</v>
      </c>
      <c r="B94" s="28" t="s">
        <v>58</v>
      </c>
      <c r="C94" t="s">
        <v>49</v>
      </c>
    </row>
    <row r="95" spans="1:3" x14ac:dyDescent="0.25">
      <c r="A95" s="29" t="s">
        <v>192</v>
      </c>
      <c r="B95" s="28" t="s">
        <v>58</v>
      </c>
      <c r="C95" t="s">
        <v>49</v>
      </c>
    </row>
    <row r="96" spans="1:3" x14ac:dyDescent="0.25">
      <c r="A96" s="29" t="s">
        <v>193</v>
      </c>
      <c r="B96" s="28" t="s">
        <v>58</v>
      </c>
      <c r="C96" t="s">
        <v>49</v>
      </c>
    </row>
    <row r="97" spans="1:3" x14ac:dyDescent="0.25">
      <c r="A97" s="29" t="s">
        <v>194</v>
      </c>
      <c r="B97" s="28" t="s">
        <v>58</v>
      </c>
      <c r="C97" t="s">
        <v>49</v>
      </c>
    </row>
    <row r="98" spans="1:3" x14ac:dyDescent="0.25">
      <c r="A98" s="29" t="s">
        <v>195</v>
      </c>
      <c r="B98" s="28" t="s">
        <v>59</v>
      </c>
      <c r="C98" t="s">
        <v>49</v>
      </c>
    </row>
    <row r="99" spans="1:3" x14ac:dyDescent="0.25">
      <c r="A99" s="29" t="s">
        <v>197</v>
      </c>
      <c r="B99" s="28" t="s">
        <v>59</v>
      </c>
      <c r="C99" t="s">
        <v>49</v>
      </c>
    </row>
    <row r="100" spans="1:3" x14ac:dyDescent="0.25">
      <c r="A100" s="29" t="s">
        <v>199</v>
      </c>
      <c r="B100" s="28" t="s">
        <v>59</v>
      </c>
      <c r="C100" t="s">
        <v>49</v>
      </c>
    </row>
    <row r="101" spans="1:3" x14ac:dyDescent="0.25">
      <c r="A101" s="29" t="s">
        <v>201</v>
      </c>
      <c r="B101" s="28" t="s">
        <v>58</v>
      </c>
      <c r="C101" t="s">
        <v>49</v>
      </c>
    </row>
    <row r="102" spans="1:3" x14ac:dyDescent="0.25">
      <c r="A102" s="29" t="s">
        <v>202</v>
      </c>
      <c r="B102" s="28" t="s">
        <v>58</v>
      </c>
      <c r="C102" t="s">
        <v>49</v>
      </c>
    </row>
    <row r="103" spans="1:3" x14ac:dyDescent="0.25">
      <c r="A103" s="29" t="s">
        <v>203</v>
      </c>
      <c r="B103" s="28" t="s">
        <v>59</v>
      </c>
      <c r="C103" t="s">
        <v>49</v>
      </c>
    </row>
    <row r="104" spans="1:3" x14ac:dyDescent="0.25">
      <c r="A104" s="29" t="s">
        <v>204</v>
      </c>
      <c r="B104" s="28" t="s">
        <v>58</v>
      </c>
      <c r="C104" t="s">
        <v>49</v>
      </c>
    </row>
    <row r="105" spans="1:3" x14ac:dyDescent="0.25">
      <c r="A105" s="29" t="s">
        <v>205</v>
      </c>
      <c r="B105" s="28" t="s">
        <v>58</v>
      </c>
      <c r="C105" t="s">
        <v>49</v>
      </c>
    </row>
    <row r="106" spans="1:3" x14ac:dyDescent="0.25">
      <c r="A106" s="29" t="s">
        <v>206</v>
      </c>
      <c r="B106" s="28" t="s">
        <v>58</v>
      </c>
      <c r="C106" t="s">
        <v>49</v>
      </c>
    </row>
    <row r="107" spans="1:3" x14ac:dyDescent="0.25">
      <c r="A107" s="29" t="s">
        <v>207</v>
      </c>
      <c r="B107" s="28" t="s">
        <v>58</v>
      </c>
      <c r="C107" t="s">
        <v>49</v>
      </c>
    </row>
    <row r="108" spans="1:3" x14ac:dyDescent="0.25">
      <c r="A108" s="29" t="s">
        <v>208</v>
      </c>
      <c r="B108" s="28" t="s">
        <v>58</v>
      </c>
      <c r="C108" t="s">
        <v>49</v>
      </c>
    </row>
    <row r="109" spans="1:3" x14ac:dyDescent="0.25">
      <c r="A109" s="29" t="s">
        <v>209</v>
      </c>
      <c r="B109" s="28" t="s">
        <v>58</v>
      </c>
      <c r="C109" t="s">
        <v>49</v>
      </c>
    </row>
    <row r="110" spans="1:3" x14ac:dyDescent="0.25">
      <c r="A110" s="29" t="s">
        <v>210</v>
      </c>
      <c r="B110" s="28" t="s">
        <v>58</v>
      </c>
      <c r="C110" t="s">
        <v>49</v>
      </c>
    </row>
    <row r="111" spans="1:3" x14ac:dyDescent="0.25">
      <c r="A111" s="29" t="s">
        <v>211</v>
      </c>
      <c r="B111" s="28" t="s">
        <v>58</v>
      </c>
      <c r="C111" t="s">
        <v>49</v>
      </c>
    </row>
    <row r="112" spans="1:3" x14ac:dyDescent="0.25">
      <c r="A112" s="29" t="s">
        <v>212</v>
      </c>
      <c r="B112" s="28" t="s">
        <v>58</v>
      </c>
      <c r="C112" t="s">
        <v>49</v>
      </c>
    </row>
    <row r="113" spans="1:3" x14ac:dyDescent="0.25">
      <c r="A113" s="29" t="s">
        <v>213</v>
      </c>
      <c r="B113" s="28" t="s">
        <v>58</v>
      </c>
      <c r="C113" t="s">
        <v>49</v>
      </c>
    </row>
    <row r="114" spans="1:3" x14ac:dyDescent="0.25">
      <c r="A114" s="29" t="s">
        <v>214</v>
      </c>
      <c r="B114" s="28" t="s">
        <v>58</v>
      </c>
      <c r="C114" t="s">
        <v>49</v>
      </c>
    </row>
    <row r="115" spans="1:3" x14ac:dyDescent="0.25">
      <c r="A115" s="29" t="s">
        <v>215</v>
      </c>
      <c r="B115" s="28" t="s">
        <v>58</v>
      </c>
      <c r="C115" t="s">
        <v>49</v>
      </c>
    </row>
    <row r="116" spans="1:3" x14ac:dyDescent="0.25">
      <c r="A116" s="29" t="s">
        <v>216</v>
      </c>
      <c r="B116" s="28" t="s">
        <v>58</v>
      </c>
      <c r="C116" t="s">
        <v>49</v>
      </c>
    </row>
    <row r="117" spans="1:3" x14ac:dyDescent="0.25">
      <c r="A117" s="29" t="s">
        <v>217</v>
      </c>
      <c r="B117" s="28" t="s">
        <v>58</v>
      </c>
      <c r="C117" t="s">
        <v>49</v>
      </c>
    </row>
    <row r="118" spans="1:3" x14ac:dyDescent="0.25">
      <c r="A118" s="29" t="s">
        <v>218</v>
      </c>
      <c r="B118" s="28" t="s">
        <v>58</v>
      </c>
      <c r="C118" t="s">
        <v>49</v>
      </c>
    </row>
    <row r="119" spans="1:3" x14ac:dyDescent="0.25">
      <c r="A119" s="29" t="s">
        <v>219</v>
      </c>
      <c r="B119" s="28" t="s">
        <v>58</v>
      </c>
      <c r="C119" t="s">
        <v>49</v>
      </c>
    </row>
    <row r="120" spans="1:3" x14ac:dyDescent="0.25">
      <c r="A120" s="29" t="s">
        <v>220</v>
      </c>
      <c r="B120" s="28" t="s">
        <v>58</v>
      </c>
      <c r="C120" t="s">
        <v>49</v>
      </c>
    </row>
    <row r="121" spans="1:3" x14ac:dyDescent="0.25">
      <c r="A121" s="29" t="s">
        <v>221</v>
      </c>
      <c r="B121" s="28" t="s">
        <v>58</v>
      </c>
      <c r="C121" t="s">
        <v>49</v>
      </c>
    </row>
    <row r="122" spans="1:3" x14ac:dyDescent="0.25">
      <c r="A122" s="29" t="s">
        <v>222</v>
      </c>
      <c r="B122" s="28" t="s">
        <v>58</v>
      </c>
      <c r="C122" t="s">
        <v>49</v>
      </c>
    </row>
    <row r="123" spans="1:3" x14ac:dyDescent="0.25">
      <c r="A123" s="29" t="s">
        <v>223</v>
      </c>
      <c r="B123" s="28" t="s">
        <v>58</v>
      </c>
      <c r="C123" t="s">
        <v>49</v>
      </c>
    </row>
    <row r="124" spans="1:3" x14ac:dyDescent="0.25">
      <c r="A124" s="29" t="s">
        <v>200</v>
      </c>
      <c r="B124" s="28" t="s">
        <v>58</v>
      </c>
      <c r="C124" t="s">
        <v>49</v>
      </c>
    </row>
    <row r="125" spans="1:3" x14ac:dyDescent="0.25">
      <c r="A125" s="29" t="s">
        <v>224</v>
      </c>
      <c r="B125" s="28" t="s">
        <v>58</v>
      </c>
      <c r="C125" t="s">
        <v>49</v>
      </c>
    </row>
    <row r="126" spans="1:3" x14ac:dyDescent="0.25">
      <c r="A126" s="29" t="s">
        <v>225</v>
      </c>
      <c r="B126" s="28" t="s">
        <v>58</v>
      </c>
      <c r="C126" t="s">
        <v>49</v>
      </c>
    </row>
    <row r="127" spans="1:3" x14ac:dyDescent="0.25">
      <c r="A127" s="29" t="s">
        <v>226</v>
      </c>
      <c r="B127" s="28" t="s">
        <v>58</v>
      </c>
      <c r="C127" t="s">
        <v>49</v>
      </c>
    </row>
    <row r="128" spans="1:3" x14ac:dyDescent="0.25">
      <c r="A128" s="29" t="s">
        <v>227</v>
      </c>
      <c r="B128" s="28" t="s">
        <v>58</v>
      </c>
      <c r="C128" t="s">
        <v>49</v>
      </c>
    </row>
    <row r="129" spans="1:3" x14ac:dyDescent="0.25">
      <c r="A129" s="29" t="s">
        <v>228</v>
      </c>
      <c r="B129" s="28" t="s">
        <v>58</v>
      </c>
      <c r="C129" t="s">
        <v>49</v>
      </c>
    </row>
    <row r="130" spans="1:3" x14ac:dyDescent="0.25">
      <c r="A130" s="29" t="s">
        <v>229</v>
      </c>
      <c r="B130" s="28" t="s">
        <v>58</v>
      </c>
      <c r="C130" t="s">
        <v>49</v>
      </c>
    </row>
    <row r="131" spans="1:3" x14ac:dyDescent="0.25">
      <c r="A131" s="29" t="s">
        <v>230</v>
      </c>
      <c r="B131" s="28" t="s">
        <v>58</v>
      </c>
      <c r="C131" t="s">
        <v>49</v>
      </c>
    </row>
    <row r="132" spans="1:3" x14ac:dyDescent="0.25">
      <c r="A132" s="29" t="s">
        <v>231</v>
      </c>
      <c r="B132" s="28" t="s">
        <v>58</v>
      </c>
      <c r="C132" t="s">
        <v>49</v>
      </c>
    </row>
    <row r="133" spans="1:3" x14ac:dyDescent="0.25">
      <c r="A133" s="29" t="s">
        <v>232</v>
      </c>
      <c r="B133" s="28" t="s">
        <v>58</v>
      </c>
      <c r="C133" t="s">
        <v>49</v>
      </c>
    </row>
    <row r="134" spans="1:3" x14ac:dyDescent="0.25">
      <c r="A134" s="29" t="s">
        <v>233</v>
      </c>
      <c r="B134" s="28" t="s">
        <v>58</v>
      </c>
      <c r="C134" t="s">
        <v>49</v>
      </c>
    </row>
    <row r="135" spans="1:3" x14ac:dyDescent="0.25">
      <c r="A135" s="29" t="s">
        <v>234</v>
      </c>
      <c r="B135" s="28" t="s">
        <v>58</v>
      </c>
      <c r="C135" t="s">
        <v>49</v>
      </c>
    </row>
    <row r="136" spans="1:3" x14ac:dyDescent="0.25">
      <c r="A136" s="29" t="s">
        <v>235</v>
      </c>
      <c r="B136" s="28" t="s">
        <v>58</v>
      </c>
      <c r="C136" t="s">
        <v>49</v>
      </c>
    </row>
    <row r="137" spans="1:3" x14ac:dyDescent="0.25">
      <c r="A137" s="29" t="s">
        <v>236</v>
      </c>
      <c r="B137" s="28" t="s">
        <v>58</v>
      </c>
      <c r="C137" t="s">
        <v>49</v>
      </c>
    </row>
    <row r="138" spans="1:3" x14ac:dyDescent="0.25">
      <c r="A138" s="29" t="s">
        <v>237</v>
      </c>
      <c r="B138" s="28" t="s">
        <v>58</v>
      </c>
      <c r="C138" t="s">
        <v>49</v>
      </c>
    </row>
    <row r="139" spans="1:3" x14ac:dyDescent="0.25">
      <c r="A139" s="29" t="s">
        <v>238</v>
      </c>
      <c r="B139" s="28" t="s">
        <v>58</v>
      </c>
      <c r="C139" t="s">
        <v>49</v>
      </c>
    </row>
    <row r="140" spans="1:3" x14ac:dyDescent="0.25">
      <c r="A140" s="29" t="s">
        <v>239</v>
      </c>
      <c r="B140" s="28" t="s">
        <v>58</v>
      </c>
      <c r="C140" t="s">
        <v>49</v>
      </c>
    </row>
    <row r="141" spans="1:3" x14ac:dyDescent="0.25">
      <c r="A141" s="29" t="s">
        <v>240</v>
      </c>
      <c r="B141" s="28" t="s">
        <v>58</v>
      </c>
      <c r="C141" t="s">
        <v>49</v>
      </c>
    </row>
    <row r="142" spans="1:3" x14ac:dyDescent="0.25">
      <c r="A142" s="29" t="s">
        <v>241</v>
      </c>
      <c r="B142" s="28" t="s">
        <v>59</v>
      </c>
      <c r="C142" t="s">
        <v>49</v>
      </c>
    </row>
    <row r="143" spans="1:3" x14ac:dyDescent="0.25">
      <c r="A143" s="29" t="s">
        <v>242</v>
      </c>
      <c r="B143" s="28" t="s">
        <v>58</v>
      </c>
      <c r="C143" t="s">
        <v>49</v>
      </c>
    </row>
    <row r="144" spans="1:3" x14ac:dyDescent="0.25">
      <c r="A144" s="29" t="s">
        <v>243</v>
      </c>
      <c r="B144" s="28" t="s">
        <v>58</v>
      </c>
      <c r="C144" t="s">
        <v>49</v>
      </c>
    </row>
    <row r="145" spans="1:3" x14ac:dyDescent="0.25">
      <c r="A145" s="29" t="s">
        <v>244</v>
      </c>
      <c r="B145" s="28" t="s">
        <v>58</v>
      </c>
      <c r="C145" t="s">
        <v>49</v>
      </c>
    </row>
    <row r="146" spans="1:3" x14ac:dyDescent="0.25">
      <c r="A146" s="29" t="s">
        <v>245</v>
      </c>
      <c r="B146" s="28" t="s">
        <v>58</v>
      </c>
      <c r="C146" t="s">
        <v>49</v>
      </c>
    </row>
    <row r="147" spans="1:3" x14ac:dyDescent="0.25">
      <c r="A147" s="29" t="s">
        <v>246</v>
      </c>
      <c r="B147" s="28" t="s">
        <v>59</v>
      </c>
      <c r="C147" t="s">
        <v>49</v>
      </c>
    </row>
    <row r="148" spans="1:3" x14ac:dyDescent="0.25">
      <c r="A148" s="29" t="s">
        <v>247</v>
      </c>
      <c r="B148" s="28" t="s">
        <v>58</v>
      </c>
      <c r="C148" t="s">
        <v>49</v>
      </c>
    </row>
    <row r="149" spans="1:3" x14ac:dyDescent="0.25">
      <c r="A149" s="29" t="s">
        <v>248</v>
      </c>
      <c r="B149" s="28" t="s">
        <v>58</v>
      </c>
      <c r="C149" t="s">
        <v>49</v>
      </c>
    </row>
    <row r="150" spans="1:3" x14ac:dyDescent="0.25">
      <c r="A150" s="29" t="s">
        <v>249</v>
      </c>
      <c r="B150" s="28" t="s">
        <v>58</v>
      </c>
      <c r="C150" t="s">
        <v>49</v>
      </c>
    </row>
    <row r="151" spans="1:3" x14ac:dyDescent="0.25">
      <c r="A151" s="29" t="s">
        <v>250</v>
      </c>
      <c r="B151" s="28" t="s">
        <v>58</v>
      </c>
      <c r="C151" t="s">
        <v>49</v>
      </c>
    </row>
    <row r="152" spans="1:3" x14ac:dyDescent="0.25">
      <c r="A152" s="29" t="s">
        <v>251</v>
      </c>
      <c r="B152" s="28" t="s">
        <v>58</v>
      </c>
      <c r="C152" t="s">
        <v>49</v>
      </c>
    </row>
    <row r="153" spans="1:3" x14ac:dyDescent="0.25">
      <c r="A153" s="29" t="s">
        <v>252</v>
      </c>
      <c r="B153" s="28" t="s">
        <v>58</v>
      </c>
      <c r="C153" t="s">
        <v>49</v>
      </c>
    </row>
    <row r="154" spans="1:3" x14ac:dyDescent="0.25">
      <c r="A154" s="29" t="s">
        <v>253</v>
      </c>
      <c r="B154" s="28" t="s">
        <v>58</v>
      </c>
      <c r="C154" t="s">
        <v>49</v>
      </c>
    </row>
    <row r="155" spans="1:3" x14ac:dyDescent="0.25">
      <c r="A155" s="29" t="s">
        <v>254</v>
      </c>
      <c r="B155" s="28" t="s">
        <v>58</v>
      </c>
      <c r="C155" t="s">
        <v>49</v>
      </c>
    </row>
    <row r="156" spans="1:3" x14ac:dyDescent="0.25">
      <c r="A156" s="29" t="s">
        <v>255</v>
      </c>
      <c r="B156" s="28" t="s">
        <v>58</v>
      </c>
      <c r="C156" t="s">
        <v>49</v>
      </c>
    </row>
    <row r="157" spans="1:3" x14ac:dyDescent="0.25">
      <c r="A157" s="29" t="s">
        <v>256</v>
      </c>
      <c r="B157" s="28" t="s">
        <v>58</v>
      </c>
      <c r="C157" t="s">
        <v>49</v>
      </c>
    </row>
    <row r="158" spans="1:3" x14ac:dyDescent="0.25">
      <c r="A158" s="29" t="s">
        <v>257</v>
      </c>
      <c r="B158" s="28" t="s">
        <v>58</v>
      </c>
      <c r="C158" t="s">
        <v>49</v>
      </c>
    </row>
    <row r="159" spans="1:3" x14ac:dyDescent="0.25">
      <c r="A159" s="29" t="s">
        <v>258</v>
      </c>
      <c r="B159" s="28" t="s">
        <v>58</v>
      </c>
      <c r="C159" t="s">
        <v>49</v>
      </c>
    </row>
    <row r="160" spans="1:3" x14ac:dyDescent="0.25">
      <c r="A160" s="29" t="s">
        <v>259</v>
      </c>
      <c r="B160" s="28" t="s">
        <v>58</v>
      </c>
      <c r="C160" t="s">
        <v>49</v>
      </c>
    </row>
    <row r="161" spans="1:3" x14ac:dyDescent="0.25">
      <c r="A161" s="29" t="s">
        <v>260</v>
      </c>
      <c r="B161" s="28" t="s">
        <v>58</v>
      </c>
      <c r="C161" t="s">
        <v>49</v>
      </c>
    </row>
    <row r="162" spans="1:3" x14ac:dyDescent="0.25">
      <c r="A162" s="29" t="s">
        <v>261</v>
      </c>
      <c r="B162" s="28" t="s">
        <v>58</v>
      </c>
      <c r="C162" t="s">
        <v>49</v>
      </c>
    </row>
    <row r="163" spans="1:3" x14ac:dyDescent="0.25">
      <c r="A163" s="29" t="s">
        <v>262</v>
      </c>
      <c r="B163" s="28" t="s">
        <v>58</v>
      </c>
      <c r="C163" t="s">
        <v>49</v>
      </c>
    </row>
    <row r="164" spans="1:3" x14ac:dyDescent="0.25">
      <c r="A164" s="29" t="s">
        <v>263</v>
      </c>
      <c r="B164" s="28" t="s">
        <v>58</v>
      </c>
      <c r="C164" t="s">
        <v>49</v>
      </c>
    </row>
    <row r="165" spans="1:3" x14ac:dyDescent="0.25">
      <c r="A165" s="29" t="s">
        <v>264</v>
      </c>
      <c r="B165" s="28" t="s">
        <v>58</v>
      </c>
      <c r="C165" t="s">
        <v>49</v>
      </c>
    </row>
    <row r="166" spans="1:3" x14ac:dyDescent="0.25">
      <c r="A166" s="29" t="s">
        <v>265</v>
      </c>
      <c r="B166" s="28" t="s">
        <v>58</v>
      </c>
      <c r="C166" t="s">
        <v>49</v>
      </c>
    </row>
    <row r="167" spans="1:3" x14ac:dyDescent="0.25">
      <c r="A167" s="29" t="s">
        <v>266</v>
      </c>
      <c r="B167" s="28" t="s">
        <v>58</v>
      </c>
      <c r="C167" t="s">
        <v>49</v>
      </c>
    </row>
    <row r="168" spans="1:3" x14ac:dyDescent="0.25">
      <c r="A168" s="29" t="s">
        <v>267</v>
      </c>
      <c r="B168" s="28" t="s">
        <v>58</v>
      </c>
      <c r="C168" t="s">
        <v>49</v>
      </c>
    </row>
    <row r="169" spans="1:3" x14ac:dyDescent="0.25">
      <c r="A169" s="29" t="s">
        <v>268</v>
      </c>
      <c r="B169" s="28" t="s">
        <v>58</v>
      </c>
      <c r="C169" t="s">
        <v>49</v>
      </c>
    </row>
    <row r="170" spans="1:3" x14ac:dyDescent="0.25">
      <c r="A170" s="29" t="s">
        <v>269</v>
      </c>
      <c r="B170" s="28" t="s">
        <v>58</v>
      </c>
      <c r="C170" t="s">
        <v>49</v>
      </c>
    </row>
    <row r="171" spans="1:3" x14ac:dyDescent="0.25">
      <c r="A171" s="29" t="s">
        <v>270</v>
      </c>
      <c r="B171" s="28" t="s">
        <v>58</v>
      </c>
      <c r="C171" t="s">
        <v>49</v>
      </c>
    </row>
    <row r="172" spans="1:3" x14ac:dyDescent="0.25">
      <c r="A172" s="29" t="s">
        <v>271</v>
      </c>
      <c r="B172" s="28" t="s">
        <v>58</v>
      </c>
      <c r="C172" t="s">
        <v>49</v>
      </c>
    </row>
    <row r="173" spans="1:3" x14ac:dyDescent="0.25">
      <c r="A173" s="29" t="s">
        <v>272</v>
      </c>
      <c r="B173" s="28" t="s">
        <v>58</v>
      </c>
      <c r="C173" t="s">
        <v>49</v>
      </c>
    </row>
    <row r="174" spans="1:3" x14ac:dyDescent="0.25">
      <c r="A174" s="29" t="s">
        <v>273</v>
      </c>
      <c r="B174" s="28" t="s">
        <v>58</v>
      </c>
      <c r="C174" t="s">
        <v>49</v>
      </c>
    </row>
    <row r="175" spans="1:3" x14ac:dyDescent="0.25">
      <c r="A175" s="29" t="s">
        <v>274</v>
      </c>
      <c r="B175" s="28" t="s">
        <v>58</v>
      </c>
      <c r="C175" t="s">
        <v>49</v>
      </c>
    </row>
    <row r="176" spans="1:3" x14ac:dyDescent="0.25">
      <c r="A176" s="29" t="s">
        <v>275</v>
      </c>
      <c r="B176" s="28" t="s">
        <v>58</v>
      </c>
      <c r="C176" t="s">
        <v>49</v>
      </c>
    </row>
    <row r="177" spans="1:3" x14ac:dyDescent="0.25">
      <c r="A177" s="29" t="s">
        <v>276</v>
      </c>
      <c r="B177" s="28" t="s">
        <v>58</v>
      </c>
      <c r="C177" t="s">
        <v>49</v>
      </c>
    </row>
    <row r="178" spans="1:3" x14ac:dyDescent="0.25">
      <c r="A178" s="29" t="s">
        <v>277</v>
      </c>
      <c r="B178" s="28" t="s">
        <v>58</v>
      </c>
      <c r="C178" t="s">
        <v>49</v>
      </c>
    </row>
    <row r="179" spans="1:3" x14ac:dyDescent="0.25">
      <c r="A179" s="29" t="s">
        <v>278</v>
      </c>
      <c r="B179" s="28" t="s">
        <v>58</v>
      </c>
      <c r="C179" t="s">
        <v>50</v>
      </c>
    </row>
    <row r="180" spans="1:3" x14ac:dyDescent="0.25">
      <c r="A180" s="29" t="s">
        <v>279</v>
      </c>
      <c r="B180" s="28" t="s">
        <v>58</v>
      </c>
      <c r="C180" t="s">
        <v>50</v>
      </c>
    </row>
    <row r="181" spans="1:3" x14ac:dyDescent="0.25">
      <c r="A181" s="29" t="s">
        <v>280</v>
      </c>
      <c r="B181" s="28" t="s">
        <v>58</v>
      </c>
      <c r="C181" t="s">
        <v>50</v>
      </c>
    </row>
    <row r="182" spans="1:3" x14ac:dyDescent="0.25">
      <c r="A182" s="29" t="s">
        <v>281</v>
      </c>
      <c r="B182" s="28" t="s">
        <v>58</v>
      </c>
      <c r="C182" t="s">
        <v>50</v>
      </c>
    </row>
    <row r="183" spans="1:3" x14ac:dyDescent="0.25">
      <c r="A183" s="29" t="s">
        <v>282</v>
      </c>
      <c r="B183" s="28" t="s">
        <v>58</v>
      </c>
      <c r="C183" t="s">
        <v>50</v>
      </c>
    </row>
    <row r="184" spans="1:3" x14ac:dyDescent="0.25">
      <c r="A184" s="29" t="s">
        <v>283</v>
      </c>
      <c r="B184" s="28" t="s">
        <v>58</v>
      </c>
      <c r="C184" t="s">
        <v>50</v>
      </c>
    </row>
    <row r="185" spans="1:3" x14ac:dyDescent="0.25">
      <c r="A185" s="29" t="s">
        <v>284</v>
      </c>
      <c r="B185" s="28" t="s">
        <v>58</v>
      </c>
      <c r="C185" t="s">
        <v>50</v>
      </c>
    </row>
    <row r="186" spans="1:3" x14ac:dyDescent="0.25">
      <c r="A186" s="29" t="s">
        <v>285</v>
      </c>
      <c r="B186" s="28" t="s">
        <v>58</v>
      </c>
      <c r="C186" t="s">
        <v>50</v>
      </c>
    </row>
    <row r="187" spans="1:3" x14ac:dyDescent="0.25">
      <c r="A187" s="29" t="s">
        <v>286</v>
      </c>
      <c r="B187" s="28" t="s">
        <v>58</v>
      </c>
      <c r="C187" t="s">
        <v>50</v>
      </c>
    </row>
    <row r="188" spans="1:3" x14ac:dyDescent="0.25">
      <c r="A188" s="29" t="s">
        <v>287</v>
      </c>
      <c r="B188" s="28" t="s">
        <v>58</v>
      </c>
      <c r="C188" t="s">
        <v>50</v>
      </c>
    </row>
    <row r="189" spans="1:3" x14ac:dyDescent="0.25">
      <c r="A189" s="29" t="s">
        <v>288</v>
      </c>
      <c r="B189" s="28" t="s">
        <v>58</v>
      </c>
      <c r="C189" t="s">
        <v>50</v>
      </c>
    </row>
    <row r="190" spans="1:3" x14ac:dyDescent="0.25">
      <c r="A190" s="29" t="s">
        <v>289</v>
      </c>
      <c r="B190" s="28" t="s">
        <v>58</v>
      </c>
      <c r="C190" t="s">
        <v>50</v>
      </c>
    </row>
    <row r="191" spans="1:3" x14ac:dyDescent="0.25">
      <c r="A191" s="29" t="s">
        <v>290</v>
      </c>
      <c r="B191" s="28" t="s">
        <v>58</v>
      </c>
      <c r="C191" t="s">
        <v>50</v>
      </c>
    </row>
    <row r="192" spans="1:3" x14ac:dyDescent="0.25">
      <c r="A192" s="29" t="s">
        <v>291</v>
      </c>
      <c r="B192" s="28" t="s">
        <v>58</v>
      </c>
      <c r="C192" t="s">
        <v>50</v>
      </c>
    </row>
    <row r="193" spans="1:3" x14ac:dyDescent="0.25">
      <c r="A193" s="29" t="s">
        <v>292</v>
      </c>
      <c r="B193" s="28" t="s">
        <v>58</v>
      </c>
      <c r="C193" t="s">
        <v>50</v>
      </c>
    </row>
    <row r="194" spans="1:3" x14ac:dyDescent="0.25">
      <c r="A194" s="29" t="s">
        <v>293</v>
      </c>
      <c r="B194" s="28" t="s">
        <v>58</v>
      </c>
      <c r="C194" t="s">
        <v>50</v>
      </c>
    </row>
    <row r="195" spans="1:3" x14ac:dyDescent="0.25">
      <c r="A195" s="29" t="s">
        <v>294</v>
      </c>
      <c r="B195" s="28" t="s">
        <v>58</v>
      </c>
      <c r="C195" t="s">
        <v>50</v>
      </c>
    </row>
    <row r="196" spans="1:3" x14ac:dyDescent="0.25">
      <c r="A196" s="29" t="s">
        <v>295</v>
      </c>
      <c r="B196" s="28" t="s">
        <v>58</v>
      </c>
      <c r="C196" t="s">
        <v>50</v>
      </c>
    </row>
    <row r="197" spans="1:3" x14ac:dyDescent="0.25">
      <c r="A197" s="29" t="s">
        <v>296</v>
      </c>
      <c r="B197" s="28" t="s">
        <v>58</v>
      </c>
      <c r="C197" t="s">
        <v>50</v>
      </c>
    </row>
    <row r="198" spans="1:3" x14ac:dyDescent="0.25">
      <c r="A198" s="29" t="s">
        <v>297</v>
      </c>
      <c r="B198" s="28" t="s">
        <v>58</v>
      </c>
      <c r="C198" t="s">
        <v>50</v>
      </c>
    </row>
    <row r="199" spans="1:3" x14ac:dyDescent="0.25">
      <c r="A199" s="29" t="s">
        <v>298</v>
      </c>
      <c r="B199" s="28" t="s">
        <v>58</v>
      </c>
      <c r="C199" t="s">
        <v>50</v>
      </c>
    </row>
    <row r="200" spans="1:3" x14ac:dyDescent="0.25">
      <c r="A200" s="29" t="s">
        <v>299</v>
      </c>
      <c r="B200" s="28" t="s">
        <v>58</v>
      </c>
      <c r="C200" t="s">
        <v>50</v>
      </c>
    </row>
    <row r="201" spans="1:3" x14ac:dyDescent="0.25">
      <c r="A201" s="29" t="s">
        <v>300</v>
      </c>
      <c r="B201" s="28" t="s">
        <v>58</v>
      </c>
      <c r="C201" t="s">
        <v>50</v>
      </c>
    </row>
    <row r="202" spans="1:3" x14ac:dyDescent="0.25">
      <c r="A202" s="29" t="s">
        <v>301</v>
      </c>
      <c r="B202" s="28" t="s">
        <v>58</v>
      </c>
      <c r="C202" t="s">
        <v>50</v>
      </c>
    </row>
    <row r="203" spans="1:3" x14ac:dyDescent="0.25">
      <c r="A203" s="29" t="s">
        <v>302</v>
      </c>
      <c r="B203" s="28" t="s">
        <v>58</v>
      </c>
      <c r="C203" t="s">
        <v>50</v>
      </c>
    </row>
    <row r="204" spans="1:3" x14ac:dyDescent="0.25">
      <c r="A204" s="29" t="s">
        <v>303</v>
      </c>
      <c r="B204" s="28" t="s">
        <v>58</v>
      </c>
      <c r="C204" t="s">
        <v>50</v>
      </c>
    </row>
    <row r="205" spans="1:3" x14ac:dyDescent="0.25">
      <c r="A205" s="29" t="s">
        <v>304</v>
      </c>
      <c r="B205" s="28" t="s">
        <v>58</v>
      </c>
      <c r="C205" t="s">
        <v>50</v>
      </c>
    </row>
    <row r="206" spans="1:3" x14ac:dyDescent="0.25">
      <c r="A206" s="29" t="s">
        <v>305</v>
      </c>
      <c r="B206" s="28" t="s">
        <v>58</v>
      </c>
      <c r="C206" t="s">
        <v>50</v>
      </c>
    </row>
    <row r="207" spans="1:3" x14ac:dyDescent="0.25">
      <c r="A207" s="29" t="s">
        <v>306</v>
      </c>
      <c r="B207" s="28" t="s">
        <v>58</v>
      </c>
      <c r="C207" t="s">
        <v>50</v>
      </c>
    </row>
    <row r="208" spans="1:3" x14ac:dyDescent="0.25">
      <c r="A208" s="29" t="s">
        <v>307</v>
      </c>
      <c r="B208" s="28" t="s">
        <v>58</v>
      </c>
      <c r="C208" t="s">
        <v>50</v>
      </c>
    </row>
    <row r="209" spans="1:3" x14ac:dyDescent="0.25">
      <c r="A209" s="29" t="s">
        <v>308</v>
      </c>
      <c r="B209" s="28" t="s">
        <v>58</v>
      </c>
      <c r="C209" t="s">
        <v>50</v>
      </c>
    </row>
    <row r="210" spans="1:3" x14ac:dyDescent="0.25">
      <c r="A210" s="29" t="s">
        <v>309</v>
      </c>
      <c r="B210" s="28" t="s">
        <v>58</v>
      </c>
      <c r="C210" t="s">
        <v>50</v>
      </c>
    </row>
    <row r="211" spans="1:3" x14ac:dyDescent="0.25">
      <c r="A211" s="29" t="s">
        <v>310</v>
      </c>
      <c r="B211" s="28" t="s">
        <v>58</v>
      </c>
      <c r="C211" t="s">
        <v>50</v>
      </c>
    </row>
    <row r="212" spans="1:3" x14ac:dyDescent="0.25">
      <c r="A212" s="29" t="s">
        <v>311</v>
      </c>
      <c r="B212" s="28" t="s">
        <v>58</v>
      </c>
      <c r="C212" t="s">
        <v>50</v>
      </c>
    </row>
    <row r="213" spans="1:3" x14ac:dyDescent="0.25">
      <c r="A213" s="29" t="s">
        <v>312</v>
      </c>
      <c r="B213" s="28" t="s">
        <v>58</v>
      </c>
      <c r="C213" t="s">
        <v>50</v>
      </c>
    </row>
    <row r="214" spans="1:3" x14ac:dyDescent="0.25">
      <c r="A214" s="29" t="s">
        <v>313</v>
      </c>
      <c r="B214" s="28" t="s">
        <v>58</v>
      </c>
      <c r="C214" t="s">
        <v>50</v>
      </c>
    </row>
    <row r="215" spans="1:3" x14ac:dyDescent="0.25">
      <c r="A215" s="29" t="s">
        <v>314</v>
      </c>
      <c r="B215" s="28" t="s">
        <v>58</v>
      </c>
      <c r="C215" t="s">
        <v>50</v>
      </c>
    </row>
    <row r="216" spans="1:3" x14ac:dyDescent="0.25">
      <c r="A216" s="29" t="s">
        <v>315</v>
      </c>
      <c r="B216" s="28" t="s">
        <v>58</v>
      </c>
      <c r="C216" t="s">
        <v>50</v>
      </c>
    </row>
    <row r="217" spans="1:3" x14ac:dyDescent="0.25">
      <c r="A217" s="29" t="s">
        <v>316</v>
      </c>
      <c r="B217" s="28" t="s">
        <v>58</v>
      </c>
      <c r="C217" t="s">
        <v>50</v>
      </c>
    </row>
    <row r="218" spans="1:3" x14ac:dyDescent="0.25">
      <c r="A218" s="29" t="s">
        <v>317</v>
      </c>
      <c r="B218" s="28" t="s">
        <v>58</v>
      </c>
      <c r="C218" t="s">
        <v>50</v>
      </c>
    </row>
    <row r="219" spans="1:3" x14ac:dyDescent="0.25">
      <c r="A219" s="29" t="s">
        <v>318</v>
      </c>
      <c r="B219" s="28" t="s">
        <v>58</v>
      </c>
      <c r="C219" t="s">
        <v>50</v>
      </c>
    </row>
    <row r="220" spans="1:3" x14ac:dyDescent="0.25">
      <c r="A220" s="29" t="s">
        <v>319</v>
      </c>
      <c r="B220" s="28" t="s">
        <v>58</v>
      </c>
      <c r="C220" t="s">
        <v>50</v>
      </c>
    </row>
    <row r="221" spans="1:3" x14ac:dyDescent="0.25">
      <c r="A221" s="29" t="s">
        <v>320</v>
      </c>
      <c r="B221" s="28" t="s">
        <v>58</v>
      </c>
      <c r="C221" t="s">
        <v>50</v>
      </c>
    </row>
    <row r="222" spans="1:3" x14ac:dyDescent="0.25">
      <c r="A222" s="29" t="s">
        <v>321</v>
      </c>
      <c r="B222" s="28" t="s">
        <v>58</v>
      </c>
      <c r="C222" t="s">
        <v>50</v>
      </c>
    </row>
    <row r="223" spans="1:3" x14ac:dyDescent="0.25">
      <c r="A223" s="29" t="s">
        <v>322</v>
      </c>
      <c r="B223" s="28" t="s">
        <v>59</v>
      </c>
      <c r="C223" t="s">
        <v>50</v>
      </c>
    </row>
    <row r="224" spans="1:3" x14ac:dyDescent="0.25">
      <c r="A224" s="29" t="s">
        <v>323</v>
      </c>
      <c r="B224" s="28" t="s">
        <v>58</v>
      </c>
      <c r="C224" t="s">
        <v>50</v>
      </c>
    </row>
    <row r="225" spans="1:3" x14ac:dyDescent="0.25">
      <c r="A225" s="29" t="s">
        <v>324</v>
      </c>
      <c r="B225" s="28" t="s">
        <v>58</v>
      </c>
      <c r="C225" t="s">
        <v>50</v>
      </c>
    </row>
    <row r="226" spans="1:3" x14ac:dyDescent="0.25">
      <c r="A226" s="29" t="s">
        <v>325</v>
      </c>
      <c r="B226" s="28" t="s">
        <v>58</v>
      </c>
      <c r="C226" t="s">
        <v>50</v>
      </c>
    </row>
    <row r="227" spans="1:3" x14ac:dyDescent="0.25">
      <c r="A227" s="29" t="s">
        <v>326</v>
      </c>
      <c r="B227" s="28" t="s">
        <v>58</v>
      </c>
      <c r="C227" t="s">
        <v>50</v>
      </c>
    </row>
    <row r="228" spans="1:3" x14ac:dyDescent="0.25">
      <c r="A228" s="29" t="s">
        <v>327</v>
      </c>
      <c r="B228" s="28" t="s">
        <v>58</v>
      </c>
      <c r="C228" t="s">
        <v>50</v>
      </c>
    </row>
    <row r="229" spans="1:3" x14ac:dyDescent="0.25">
      <c r="A229" s="29" t="s">
        <v>328</v>
      </c>
      <c r="B229" s="28" t="s">
        <v>58</v>
      </c>
      <c r="C229" t="s">
        <v>50</v>
      </c>
    </row>
    <row r="230" spans="1:3" x14ac:dyDescent="0.25">
      <c r="A230" s="29" t="s">
        <v>329</v>
      </c>
      <c r="B230" s="28" t="s">
        <v>58</v>
      </c>
      <c r="C230" t="s">
        <v>50</v>
      </c>
    </row>
    <row r="231" spans="1:3" x14ac:dyDescent="0.25">
      <c r="A231" s="29" t="s">
        <v>330</v>
      </c>
      <c r="B231" s="28" t="s">
        <v>58</v>
      </c>
      <c r="C231" t="s">
        <v>50</v>
      </c>
    </row>
    <row r="232" spans="1:3" x14ac:dyDescent="0.25">
      <c r="A232" s="29" t="s">
        <v>331</v>
      </c>
      <c r="B232" s="28" t="s">
        <v>58</v>
      </c>
      <c r="C232" t="s">
        <v>50</v>
      </c>
    </row>
    <row r="233" spans="1:3" x14ac:dyDescent="0.25">
      <c r="A233" s="29" t="s">
        <v>332</v>
      </c>
      <c r="B233" s="28" t="s">
        <v>58</v>
      </c>
      <c r="C233" t="s">
        <v>50</v>
      </c>
    </row>
    <row r="234" spans="1:3" x14ac:dyDescent="0.25">
      <c r="A234" s="29" t="s">
        <v>333</v>
      </c>
      <c r="B234" s="28" t="s">
        <v>58</v>
      </c>
      <c r="C234" t="s">
        <v>50</v>
      </c>
    </row>
    <row r="235" spans="1:3" x14ac:dyDescent="0.25">
      <c r="A235" s="29" t="s">
        <v>334</v>
      </c>
      <c r="B235" s="28" t="s">
        <v>58</v>
      </c>
      <c r="C235" t="s">
        <v>50</v>
      </c>
    </row>
    <row r="236" spans="1:3" x14ac:dyDescent="0.25">
      <c r="A236" s="29" t="s">
        <v>335</v>
      </c>
      <c r="B236" s="28" t="s">
        <v>58</v>
      </c>
      <c r="C236" t="s">
        <v>50</v>
      </c>
    </row>
    <row r="237" spans="1:3" x14ac:dyDescent="0.25">
      <c r="A237" s="29" t="s">
        <v>336</v>
      </c>
      <c r="B237" s="28" t="s">
        <v>58</v>
      </c>
      <c r="C237" t="s">
        <v>50</v>
      </c>
    </row>
    <row r="238" spans="1:3" x14ac:dyDescent="0.25">
      <c r="A238" s="29" t="s">
        <v>337</v>
      </c>
      <c r="B238" s="28" t="s">
        <v>58</v>
      </c>
      <c r="C238" t="s">
        <v>50</v>
      </c>
    </row>
    <row r="239" spans="1:3" x14ac:dyDescent="0.25">
      <c r="A239" s="29" t="s">
        <v>338</v>
      </c>
      <c r="B239" s="28" t="s">
        <v>58</v>
      </c>
      <c r="C239" t="s">
        <v>50</v>
      </c>
    </row>
    <row r="240" spans="1:3" x14ac:dyDescent="0.25">
      <c r="A240" s="29" t="s">
        <v>339</v>
      </c>
      <c r="B240" s="28" t="s">
        <v>58</v>
      </c>
      <c r="C240" t="s">
        <v>50</v>
      </c>
    </row>
    <row r="241" spans="1:3" x14ac:dyDescent="0.25">
      <c r="A241" s="29" t="s">
        <v>340</v>
      </c>
      <c r="B241" s="28" t="s">
        <v>58</v>
      </c>
      <c r="C241" t="s">
        <v>50</v>
      </c>
    </row>
    <row r="242" spans="1:3" x14ac:dyDescent="0.25">
      <c r="A242" s="29" t="s">
        <v>341</v>
      </c>
      <c r="B242" s="28" t="s">
        <v>58</v>
      </c>
      <c r="C242" t="s">
        <v>50</v>
      </c>
    </row>
    <row r="243" spans="1:3" x14ac:dyDescent="0.25">
      <c r="A243" s="29" t="s">
        <v>342</v>
      </c>
      <c r="B243" s="28" t="s">
        <v>58</v>
      </c>
      <c r="C243" t="s">
        <v>50</v>
      </c>
    </row>
    <row r="244" spans="1:3" x14ac:dyDescent="0.25">
      <c r="A244" s="29" t="s">
        <v>343</v>
      </c>
      <c r="B244" s="28" t="s">
        <v>58</v>
      </c>
      <c r="C244" t="s">
        <v>50</v>
      </c>
    </row>
    <row r="245" spans="1:3" x14ac:dyDescent="0.25">
      <c r="A245" s="29" t="s">
        <v>344</v>
      </c>
      <c r="B245" s="28" t="s">
        <v>58</v>
      </c>
      <c r="C245" t="s">
        <v>50</v>
      </c>
    </row>
    <row r="246" spans="1:3" x14ac:dyDescent="0.25">
      <c r="A246" s="29" t="s">
        <v>345</v>
      </c>
      <c r="B246" s="28" t="s">
        <v>58</v>
      </c>
      <c r="C246" t="s">
        <v>50</v>
      </c>
    </row>
    <row r="247" spans="1:3" x14ac:dyDescent="0.25">
      <c r="A247" s="29" t="s">
        <v>346</v>
      </c>
      <c r="B247" s="28" t="s">
        <v>58</v>
      </c>
      <c r="C247" t="s">
        <v>50</v>
      </c>
    </row>
    <row r="248" spans="1:3" x14ac:dyDescent="0.25">
      <c r="A248" s="29" t="s">
        <v>347</v>
      </c>
      <c r="B248" s="28" t="s">
        <v>58</v>
      </c>
      <c r="C248" t="s">
        <v>50</v>
      </c>
    </row>
    <row r="249" spans="1:3" x14ac:dyDescent="0.25">
      <c r="A249" s="29" t="s">
        <v>348</v>
      </c>
      <c r="B249" s="28" t="s">
        <v>58</v>
      </c>
      <c r="C249" t="s">
        <v>50</v>
      </c>
    </row>
    <row r="250" spans="1:3" x14ac:dyDescent="0.25">
      <c r="A250" s="29" t="s">
        <v>349</v>
      </c>
      <c r="B250" s="28" t="s">
        <v>58</v>
      </c>
      <c r="C250" t="s">
        <v>50</v>
      </c>
    </row>
    <row r="251" spans="1:3" x14ac:dyDescent="0.25">
      <c r="A251" s="29" t="s">
        <v>350</v>
      </c>
      <c r="B251" s="28" t="s">
        <v>58</v>
      </c>
      <c r="C251" t="s">
        <v>50</v>
      </c>
    </row>
    <row r="252" spans="1:3" x14ac:dyDescent="0.25">
      <c r="A252" s="29" t="s">
        <v>351</v>
      </c>
      <c r="B252" s="28" t="s">
        <v>58</v>
      </c>
      <c r="C252" t="s">
        <v>49</v>
      </c>
    </row>
    <row r="253" spans="1:3" x14ac:dyDescent="0.25">
      <c r="A253" s="29" t="s">
        <v>352</v>
      </c>
      <c r="B253" s="28" t="s">
        <v>58</v>
      </c>
      <c r="C253" t="s">
        <v>49</v>
      </c>
    </row>
    <row r="254" spans="1:3" x14ac:dyDescent="0.25">
      <c r="A254" s="29" t="s">
        <v>353</v>
      </c>
      <c r="B254" s="28" t="s">
        <v>58</v>
      </c>
      <c r="C254" t="s">
        <v>49</v>
      </c>
    </row>
    <row r="255" spans="1:3" x14ac:dyDescent="0.25">
      <c r="A255" s="29" t="s">
        <v>354</v>
      </c>
      <c r="B255" s="28" t="s">
        <v>58</v>
      </c>
      <c r="C255" t="s">
        <v>49</v>
      </c>
    </row>
    <row r="256" spans="1:3" x14ac:dyDescent="0.25">
      <c r="A256" s="29" t="s">
        <v>355</v>
      </c>
      <c r="B256" s="28" t="s">
        <v>58</v>
      </c>
      <c r="C256" t="s">
        <v>49</v>
      </c>
    </row>
    <row r="257" spans="1:3" x14ac:dyDescent="0.25">
      <c r="A257" s="29" t="s">
        <v>356</v>
      </c>
      <c r="B257" s="28" t="s">
        <v>58</v>
      </c>
      <c r="C257" t="s">
        <v>49</v>
      </c>
    </row>
    <row r="258" spans="1:3" x14ac:dyDescent="0.25">
      <c r="A258" s="29" t="s">
        <v>357</v>
      </c>
      <c r="B258" s="28" t="s">
        <v>58</v>
      </c>
      <c r="C258" t="s">
        <v>49</v>
      </c>
    </row>
    <row r="259" spans="1:3" x14ac:dyDescent="0.25">
      <c r="A259" s="29" t="s">
        <v>358</v>
      </c>
      <c r="B259" s="28" t="s">
        <v>58</v>
      </c>
      <c r="C259" t="s">
        <v>49</v>
      </c>
    </row>
    <row r="260" spans="1:3" x14ac:dyDescent="0.25">
      <c r="A260" s="29" t="s">
        <v>359</v>
      </c>
      <c r="B260" s="28" t="s">
        <v>58</v>
      </c>
      <c r="C260" t="s">
        <v>49</v>
      </c>
    </row>
    <row r="261" spans="1:3" x14ac:dyDescent="0.25">
      <c r="A261" s="29" t="s">
        <v>360</v>
      </c>
      <c r="B261" s="28" t="s">
        <v>58</v>
      </c>
      <c r="C261" t="s">
        <v>49</v>
      </c>
    </row>
    <row r="262" spans="1:3" x14ac:dyDescent="0.25">
      <c r="A262" s="29" t="s">
        <v>361</v>
      </c>
      <c r="B262" s="28" t="s">
        <v>58</v>
      </c>
      <c r="C262" t="s">
        <v>49</v>
      </c>
    </row>
    <row r="263" spans="1:3" x14ac:dyDescent="0.25">
      <c r="A263" s="29" t="s">
        <v>362</v>
      </c>
      <c r="B263" s="28" t="s">
        <v>58</v>
      </c>
      <c r="C263" t="s">
        <v>49</v>
      </c>
    </row>
    <row r="264" spans="1:3" x14ac:dyDescent="0.25">
      <c r="A264" s="29" t="s">
        <v>363</v>
      </c>
      <c r="B264" s="28" t="s">
        <v>58</v>
      </c>
      <c r="C264" t="s">
        <v>49</v>
      </c>
    </row>
    <row r="265" spans="1:3" x14ac:dyDescent="0.25">
      <c r="A265" s="29" t="s">
        <v>364</v>
      </c>
      <c r="B265" s="28" t="s">
        <v>58</v>
      </c>
      <c r="C265" t="s">
        <v>49</v>
      </c>
    </row>
    <row r="266" spans="1:3" x14ac:dyDescent="0.25">
      <c r="A266" s="29" t="s">
        <v>365</v>
      </c>
      <c r="B266" s="28" t="s">
        <v>58</v>
      </c>
      <c r="C266" t="s">
        <v>49</v>
      </c>
    </row>
    <row r="267" spans="1:3" x14ac:dyDescent="0.25">
      <c r="A267" s="29" t="s">
        <v>366</v>
      </c>
      <c r="B267" s="28" t="s">
        <v>58</v>
      </c>
      <c r="C267" t="s">
        <v>49</v>
      </c>
    </row>
    <row r="268" spans="1:3" x14ac:dyDescent="0.25">
      <c r="A268" s="29" t="s">
        <v>367</v>
      </c>
      <c r="B268" s="28" t="s">
        <v>58</v>
      </c>
      <c r="C268" t="s">
        <v>49</v>
      </c>
    </row>
    <row r="269" spans="1:3" x14ac:dyDescent="0.25">
      <c r="A269" s="29" t="s">
        <v>368</v>
      </c>
      <c r="B269" s="28" t="s">
        <v>58</v>
      </c>
      <c r="C269" t="s">
        <v>49</v>
      </c>
    </row>
    <row r="270" spans="1:3" x14ac:dyDescent="0.25">
      <c r="A270" s="29" t="s">
        <v>369</v>
      </c>
      <c r="B270" s="28" t="s">
        <v>58</v>
      </c>
      <c r="C270" t="s">
        <v>49</v>
      </c>
    </row>
    <row r="271" spans="1:3" x14ac:dyDescent="0.25">
      <c r="A271" s="29" t="s">
        <v>370</v>
      </c>
      <c r="B271" s="28" t="s">
        <v>58</v>
      </c>
      <c r="C271" t="s">
        <v>49</v>
      </c>
    </row>
    <row r="272" spans="1:3" x14ac:dyDescent="0.25">
      <c r="A272" s="29" t="s">
        <v>371</v>
      </c>
      <c r="B272" s="28" t="s">
        <v>58</v>
      </c>
      <c r="C272" t="s">
        <v>49</v>
      </c>
    </row>
    <row r="273" spans="1:3" x14ac:dyDescent="0.25">
      <c r="A273" s="29" t="s">
        <v>372</v>
      </c>
      <c r="B273" s="28" t="s">
        <v>58</v>
      </c>
      <c r="C273" t="s">
        <v>49</v>
      </c>
    </row>
    <row r="274" spans="1:3" x14ac:dyDescent="0.25">
      <c r="A274" s="29" t="s">
        <v>373</v>
      </c>
      <c r="B274" s="28" t="s">
        <v>58</v>
      </c>
      <c r="C274" t="s">
        <v>49</v>
      </c>
    </row>
    <row r="275" spans="1:3" x14ac:dyDescent="0.25">
      <c r="A275" s="29" t="s">
        <v>374</v>
      </c>
      <c r="B275" s="28" t="s">
        <v>58</v>
      </c>
      <c r="C275" t="s">
        <v>49</v>
      </c>
    </row>
    <row r="276" spans="1:3" x14ac:dyDescent="0.25">
      <c r="A276" s="29" t="s">
        <v>375</v>
      </c>
      <c r="B276" s="28" t="s">
        <v>58</v>
      </c>
      <c r="C276" t="s">
        <v>49</v>
      </c>
    </row>
    <row r="277" spans="1:3" x14ac:dyDescent="0.25">
      <c r="A277" s="29" t="s">
        <v>376</v>
      </c>
      <c r="B277" s="28" t="s">
        <v>58</v>
      </c>
      <c r="C277" t="s">
        <v>49</v>
      </c>
    </row>
    <row r="278" spans="1:3" x14ac:dyDescent="0.25">
      <c r="A278" s="29" t="s">
        <v>377</v>
      </c>
      <c r="B278" s="28" t="s">
        <v>58</v>
      </c>
      <c r="C278" t="s">
        <v>49</v>
      </c>
    </row>
    <row r="279" spans="1:3" x14ac:dyDescent="0.25">
      <c r="A279" s="29" t="s">
        <v>378</v>
      </c>
      <c r="B279" s="28" t="s">
        <v>58</v>
      </c>
      <c r="C279" t="s">
        <v>49</v>
      </c>
    </row>
    <row r="280" spans="1:3" x14ac:dyDescent="0.25">
      <c r="A280" s="29" t="s">
        <v>379</v>
      </c>
      <c r="B280" s="28" t="s">
        <v>58</v>
      </c>
      <c r="C280" t="s">
        <v>49</v>
      </c>
    </row>
    <row r="281" spans="1:3" x14ac:dyDescent="0.25">
      <c r="A281" s="29" t="s">
        <v>380</v>
      </c>
      <c r="B281" s="28" t="s">
        <v>58</v>
      </c>
      <c r="C281" t="s">
        <v>49</v>
      </c>
    </row>
    <row r="282" spans="1:3" x14ac:dyDescent="0.25">
      <c r="A282" s="29" t="s">
        <v>381</v>
      </c>
      <c r="B282" s="28" t="s">
        <v>58</v>
      </c>
      <c r="C282" t="s">
        <v>49</v>
      </c>
    </row>
    <row r="283" spans="1:3" x14ac:dyDescent="0.25">
      <c r="A283" s="29" t="s">
        <v>382</v>
      </c>
      <c r="B283" s="28" t="s">
        <v>58</v>
      </c>
      <c r="C283" t="s">
        <v>49</v>
      </c>
    </row>
    <row r="284" spans="1:3" x14ac:dyDescent="0.25">
      <c r="A284" s="29" t="s">
        <v>383</v>
      </c>
      <c r="B284" s="28" t="s">
        <v>58</v>
      </c>
      <c r="C284" t="s">
        <v>49</v>
      </c>
    </row>
    <row r="285" spans="1:3" x14ac:dyDescent="0.25">
      <c r="A285" s="29" t="s">
        <v>384</v>
      </c>
      <c r="B285" s="28" t="s">
        <v>58</v>
      </c>
      <c r="C285" t="s">
        <v>49</v>
      </c>
    </row>
    <row r="286" spans="1:3" x14ac:dyDescent="0.25">
      <c r="A286" s="29" t="s">
        <v>385</v>
      </c>
      <c r="B286" s="28" t="s">
        <v>58</v>
      </c>
      <c r="C286" t="s">
        <v>49</v>
      </c>
    </row>
    <row r="287" spans="1:3" x14ac:dyDescent="0.25">
      <c r="A287" s="29" t="s">
        <v>386</v>
      </c>
      <c r="B287" s="28" t="s">
        <v>58</v>
      </c>
      <c r="C287" t="s">
        <v>49</v>
      </c>
    </row>
    <row r="288" spans="1:3" x14ac:dyDescent="0.25">
      <c r="A288" s="29" t="s">
        <v>387</v>
      </c>
      <c r="B288" s="28" t="s">
        <v>58</v>
      </c>
      <c r="C288" t="s">
        <v>49</v>
      </c>
    </row>
    <row r="289" spans="1:3" x14ac:dyDescent="0.25">
      <c r="A289" s="29" t="s">
        <v>388</v>
      </c>
      <c r="B289" s="28" t="s">
        <v>58</v>
      </c>
      <c r="C289" t="s">
        <v>49</v>
      </c>
    </row>
    <row r="290" spans="1:3" x14ac:dyDescent="0.25">
      <c r="A290" s="29" t="s">
        <v>389</v>
      </c>
      <c r="B290" s="28" t="s">
        <v>58</v>
      </c>
      <c r="C290" t="s">
        <v>49</v>
      </c>
    </row>
    <row r="291" spans="1:3" x14ac:dyDescent="0.25">
      <c r="A291" s="29" t="s">
        <v>390</v>
      </c>
      <c r="B291" s="28" t="s">
        <v>58</v>
      </c>
      <c r="C291" t="s">
        <v>49</v>
      </c>
    </row>
    <row r="292" spans="1:3" x14ac:dyDescent="0.25">
      <c r="A292" s="29" t="s">
        <v>391</v>
      </c>
      <c r="B292" s="28" t="s">
        <v>58</v>
      </c>
      <c r="C292" t="s">
        <v>49</v>
      </c>
    </row>
    <row r="293" spans="1:3" x14ac:dyDescent="0.25">
      <c r="A293" s="29" t="s">
        <v>392</v>
      </c>
      <c r="B293" s="28" t="s">
        <v>58</v>
      </c>
      <c r="C293" t="s">
        <v>49</v>
      </c>
    </row>
    <row r="294" spans="1:3" x14ac:dyDescent="0.25">
      <c r="A294" s="29" t="s">
        <v>393</v>
      </c>
      <c r="B294" s="28" t="s">
        <v>58</v>
      </c>
      <c r="C294" t="s">
        <v>49</v>
      </c>
    </row>
    <row r="295" spans="1:3" x14ac:dyDescent="0.25">
      <c r="A295" s="29" t="s">
        <v>394</v>
      </c>
      <c r="B295" s="28" t="s">
        <v>58</v>
      </c>
      <c r="C295" t="s">
        <v>49</v>
      </c>
    </row>
    <row r="296" spans="1:3" x14ac:dyDescent="0.25">
      <c r="A296" s="29" t="s">
        <v>395</v>
      </c>
      <c r="B296" s="28" t="s">
        <v>58</v>
      </c>
      <c r="C296" t="s">
        <v>49</v>
      </c>
    </row>
    <row r="297" spans="1:3" x14ac:dyDescent="0.25">
      <c r="A297" s="29" t="s">
        <v>396</v>
      </c>
      <c r="B297" s="28" t="s">
        <v>58</v>
      </c>
      <c r="C297" t="s">
        <v>49</v>
      </c>
    </row>
    <row r="298" spans="1:3" x14ac:dyDescent="0.25">
      <c r="A298" s="29" t="s">
        <v>397</v>
      </c>
      <c r="B298" s="28" t="s">
        <v>58</v>
      </c>
      <c r="C298" t="s">
        <v>49</v>
      </c>
    </row>
    <row r="299" spans="1:3" x14ac:dyDescent="0.25">
      <c r="A299" s="29" t="s">
        <v>398</v>
      </c>
      <c r="B299" s="28" t="s">
        <v>58</v>
      </c>
      <c r="C299" t="s">
        <v>49</v>
      </c>
    </row>
    <row r="300" spans="1:3" x14ac:dyDescent="0.25">
      <c r="A300" s="29" t="s">
        <v>399</v>
      </c>
      <c r="B300" s="28" t="s">
        <v>58</v>
      </c>
      <c r="C300" t="s">
        <v>49</v>
      </c>
    </row>
    <row r="301" spans="1:3" x14ac:dyDescent="0.25">
      <c r="A301" s="29" t="s">
        <v>400</v>
      </c>
      <c r="B301" s="28" t="s">
        <v>58</v>
      </c>
      <c r="C301" t="s">
        <v>49</v>
      </c>
    </row>
    <row r="302" spans="1:3" x14ac:dyDescent="0.25">
      <c r="A302" s="29" t="s">
        <v>402</v>
      </c>
      <c r="B302" s="28" t="s">
        <v>58</v>
      </c>
      <c r="C302" t="s">
        <v>49</v>
      </c>
    </row>
    <row r="303" spans="1:3" x14ac:dyDescent="0.25">
      <c r="A303" s="29" t="s">
        <v>403</v>
      </c>
      <c r="B303" s="28" t="s">
        <v>58</v>
      </c>
      <c r="C303" t="s">
        <v>49</v>
      </c>
    </row>
    <row r="304" spans="1:3" x14ac:dyDescent="0.25">
      <c r="A304" s="29" t="s">
        <v>404</v>
      </c>
      <c r="B304" s="28" t="s">
        <v>58</v>
      </c>
      <c r="C304" t="s">
        <v>49</v>
      </c>
    </row>
    <row r="305" spans="1:3" x14ac:dyDescent="0.25">
      <c r="A305" s="29" t="s">
        <v>405</v>
      </c>
      <c r="B305" s="28" t="s">
        <v>58</v>
      </c>
      <c r="C305" t="s">
        <v>49</v>
      </c>
    </row>
    <row r="306" spans="1:3" x14ac:dyDescent="0.25">
      <c r="A306" s="29" t="s">
        <v>406</v>
      </c>
      <c r="B306" s="28" t="s">
        <v>58</v>
      </c>
      <c r="C306" t="s">
        <v>49</v>
      </c>
    </row>
    <row r="307" spans="1:3" x14ac:dyDescent="0.25">
      <c r="A307" s="29" t="s">
        <v>407</v>
      </c>
      <c r="B307" s="28" t="s">
        <v>58</v>
      </c>
      <c r="C307" t="s">
        <v>49</v>
      </c>
    </row>
    <row r="308" spans="1:3" x14ac:dyDescent="0.25">
      <c r="A308" s="29" t="s">
        <v>408</v>
      </c>
      <c r="B308" s="28" t="s">
        <v>58</v>
      </c>
      <c r="C308" t="s">
        <v>51</v>
      </c>
    </row>
    <row r="309" spans="1:3" x14ac:dyDescent="0.25">
      <c r="A309" s="29" t="s">
        <v>409</v>
      </c>
      <c r="B309" s="28" t="s">
        <v>58</v>
      </c>
      <c r="C309" t="s">
        <v>51</v>
      </c>
    </row>
    <row r="310" spans="1:3" x14ac:dyDescent="0.25">
      <c r="A310" s="29" t="s">
        <v>410</v>
      </c>
      <c r="B310" s="28" t="s">
        <v>58</v>
      </c>
      <c r="C310" t="s">
        <v>51</v>
      </c>
    </row>
    <row r="311" spans="1:3" x14ac:dyDescent="0.25">
      <c r="A311" s="29" t="s">
        <v>411</v>
      </c>
      <c r="B311" s="28" t="s">
        <v>58</v>
      </c>
      <c r="C311" t="s">
        <v>51</v>
      </c>
    </row>
    <row r="312" spans="1:3" x14ac:dyDescent="0.25">
      <c r="A312" s="29" t="s">
        <v>412</v>
      </c>
      <c r="B312" s="28" t="s">
        <v>58</v>
      </c>
      <c r="C312" t="s">
        <v>51</v>
      </c>
    </row>
    <row r="313" spans="1:3" x14ac:dyDescent="0.25">
      <c r="A313" s="29" t="s">
        <v>413</v>
      </c>
      <c r="B313" s="28" t="s">
        <v>58</v>
      </c>
      <c r="C313" t="s">
        <v>51</v>
      </c>
    </row>
    <row r="314" spans="1:3" x14ac:dyDescent="0.25">
      <c r="A314" s="29" t="s">
        <v>414</v>
      </c>
      <c r="B314" s="28" t="s">
        <v>58</v>
      </c>
      <c r="C314" t="s">
        <v>51</v>
      </c>
    </row>
    <row r="315" spans="1:3" x14ac:dyDescent="0.25">
      <c r="A315" s="29" t="s">
        <v>415</v>
      </c>
      <c r="B315" s="28" t="s">
        <v>58</v>
      </c>
      <c r="C315" t="s">
        <v>51</v>
      </c>
    </row>
    <row r="316" spans="1:3" x14ac:dyDescent="0.25">
      <c r="A316" s="29" t="s">
        <v>416</v>
      </c>
      <c r="B316" s="28" t="s">
        <v>58</v>
      </c>
      <c r="C316" t="s">
        <v>51</v>
      </c>
    </row>
    <row r="317" spans="1:3" x14ac:dyDescent="0.25">
      <c r="A317" s="29" t="s">
        <v>417</v>
      </c>
      <c r="B317" s="28" t="s">
        <v>58</v>
      </c>
      <c r="C317" t="s">
        <v>51</v>
      </c>
    </row>
    <row r="318" spans="1:3" x14ac:dyDescent="0.25">
      <c r="A318" s="29" t="s">
        <v>418</v>
      </c>
      <c r="B318" s="28" t="s">
        <v>58</v>
      </c>
      <c r="C318" t="s">
        <v>51</v>
      </c>
    </row>
    <row r="319" spans="1:3" x14ac:dyDescent="0.25">
      <c r="A319" s="29" t="s">
        <v>419</v>
      </c>
      <c r="B319" s="28" t="s">
        <v>58</v>
      </c>
      <c r="C319" t="s">
        <v>51</v>
      </c>
    </row>
    <row r="320" spans="1:3" x14ac:dyDescent="0.25">
      <c r="A320" s="29" t="s">
        <v>420</v>
      </c>
      <c r="B320" s="28" t="s">
        <v>58</v>
      </c>
      <c r="C320" t="s">
        <v>51</v>
      </c>
    </row>
    <row r="321" spans="1:3" x14ac:dyDescent="0.25">
      <c r="A321" s="29" t="s">
        <v>421</v>
      </c>
      <c r="B321" s="28" t="s">
        <v>58</v>
      </c>
      <c r="C321" t="s">
        <v>51</v>
      </c>
    </row>
    <row r="322" spans="1:3" x14ac:dyDescent="0.25">
      <c r="A322" s="29" t="s">
        <v>422</v>
      </c>
      <c r="B322" s="28" t="s">
        <v>58</v>
      </c>
      <c r="C322" t="s">
        <v>51</v>
      </c>
    </row>
    <row r="323" spans="1:3" x14ac:dyDescent="0.25">
      <c r="A323" s="29" t="s">
        <v>423</v>
      </c>
      <c r="B323" s="28" t="s">
        <v>58</v>
      </c>
      <c r="C323" t="s">
        <v>51</v>
      </c>
    </row>
    <row r="324" spans="1:3" x14ac:dyDescent="0.25">
      <c r="A324" s="29" t="s">
        <v>424</v>
      </c>
      <c r="B324" s="28" t="s">
        <v>58</v>
      </c>
      <c r="C324" t="s">
        <v>51</v>
      </c>
    </row>
    <row r="325" spans="1:3" x14ac:dyDescent="0.25">
      <c r="A325" s="29" t="s">
        <v>425</v>
      </c>
      <c r="B325" s="28" t="s">
        <v>57</v>
      </c>
      <c r="C325" t="s">
        <v>51</v>
      </c>
    </row>
    <row r="326" spans="1:3" x14ac:dyDescent="0.25">
      <c r="A326" s="29" t="s">
        <v>426</v>
      </c>
      <c r="B326" s="28" t="s">
        <v>58</v>
      </c>
      <c r="C326" t="s">
        <v>51</v>
      </c>
    </row>
    <row r="327" spans="1:3" x14ac:dyDescent="0.25">
      <c r="A327" s="29" t="s">
        <v>427</v>
      </c>
      <c r="B327" s="28" t="s">
        <v>58</v>
      </c>
      <c r="C327" t="s">
        <v>51</v>
      </c>
    </row>
    <row r="328" spans="1:3" x14ac:dyDescent="0.25">
      <c r="A328" s="29" t="s">
        <v>428</v>
      </c>
      <c r="B328" s="28" t="s">
        <v>58</v>
      </c>
      <c r="C328" t="s">
        <v>51</v>
      </c>
    </row>
    <row r="329" spans="1:3" x14ac:dyDescent="0.25">
      <c r="A329" s="29" t="s">
        <v>429</v>
      </c>
      <c r="B329" s="28" t="s">
        <v>58</v>
      </c>
      <c r="C329" t="s">
        <v>51</v>
      </c>
    </row>
    <row r="330" spans="1:3" x14ac:dyDescent="0.25">
      <c r="A330" s="29" t="s">
        <v>430</v>
      </c>
      <c r="B330" s="28" t="s">
        <v>57</v>
      </c>
      <c r="C330" t="s">
        <v>51</v>
      </c>
    </row>
    <row r="331" spans="1:3" x14ac:dyDescent="0.25">
      <c r="A331" s="29" t="s">
        <v>431</v>
      </c>
      <c r="B331" s="28" t="s">
        <v>58</v>
      </c>
      <c r="C331" t="s">
        <v>51</v>
      </c>
    </row>
    <row r="332" spans="1:3" x14ac:dyDescent="0.25">
      <c r="A332" s="29" t="s">
        <v>432</v>
      </c>
      <c r="B332" s="28" t="s">
        <v>58</v>
      </c>
      <c r="C332" t="s">
        <v>51</v>
      </c>
    </row>
    <row r="333" spans="1:3" x14ac:dyDescent="0.25">
      <c r="A333" s="29" t="s">
        <v>433</v>
      </c>
      <c r="B333" s="28" t="s">
        <v>58</v>
      </c>
      <c r="C333" t="s">
        <v>51</v>
      </c>
    </row>
    <row r="334" spans="1:3" x14ac:dyDescent="0.25">
      <c r="A334" s="29" t="s">
        <v>434</v>
      </c>
      <c r="B334" s="28" t="s">
        <v>58</v>
      </c>
      <c r="C334" t="s">
        <v>51</v>
      </c>
    </row>
    <row r="335" spans="1:3" x14ac:dyDescent="0.25">
      <c r="A335" s="29" t="s">
        <v>435</v>
      </c>
      <c r="B335" s="28" t="s">
        <v>58</v>
      </c>
      <c r="C335" t="s">
        <v>51</v>
      </c>
    </row>
    <row r="336" spans="1:3" x14ac:dyDescent="0.25">
      <c r="A336" s="29" t="s">
        <v>436</v>
      </c>
      <c r="B336" s="28" t="s">
        <v>58</v>
      </c>
      <c r="C336" t="s">
        <v>51</v>
      </c>
    </row>
    <row r="337" spans="1:3" x14ac:dyDescent="0.25">
      <c r="A337" s="29" t="s">
        <v>437</v>
      </c>
      <c r="B337" s="28" t="s">
        <v>58</v>
      </c>
      <c r="C337" t="s">
        <v>51</v>
      </c>
    </row>
    <row r="338" spans="1:3" x14ac:dyDescent="0.25">
      <c r="A338" s="29" t="s">
        <v>438</v>
      </c>
      <c r="B338" s="28" t="s">
        <v>58</v>
      </c>
      <c r="C338" t="s">
        <v>51</v>
      </c>
    </row>
    <row r="339" spans="1:3" x14ac:dyDescent="0.25">
      <c r="A339" s="29" t="s">
        <v>439</v>
      </c>
      <c r="B339" s="28" t="s">
        <v>58</v>
      </c>
      <c r="C339" t="s">
        <v>51</v>
      </c>
    </row>
    <row r="340" spans="1:3" x14ac:dyDescent="0.25">
      <c r="A340" s="29" t="s">
        <v>440</v>
      </c>
      <c r="B340" s="28" t="s">
        <v>58</v>
      </c>
      <c r="C340" t="s">
        <v>51</v>
      </c>
    </row>
    <row r="341" spans="1:3" x14ac:dyDescent="0.25">
      <c r="A341" s="29" t="s">
        <v>441</v>
      </c>
      <c r="B341" s="28" t="s">
        <v>58</v>
      </c>
      <c r="C341" t="s">
        <v>51</v>
      </c>
    </row>
    <row r="342" spans="1:3" x14ac:dyDescent="0.25">
      <c r="A342" s="29" t="s">
        <v>442</v>
      </c>
      <c r="B342" s="28" t="s">
        <v>58</v>
      </c>
      <c r="C342" t="s">
        <v>48</v>
      </c>
    </row>
    <row r="343" spans="1:3" x14ac:dyDescent="0.25">
      <c r="A343" s="29" t="s">
        <v>443</v>
      </c>
      <c r="B343" s="28" t="s">
        <v>58</v>
      </c>
      <c r="C343" t="s">
        <v>48</v>
      </c>
    </row>
    <row r="344" spans="1:3" x14ac:dyDescent="0.25">
      <c r="A344" s="29" t="s">
        <v>444</v>
      </c>
      <c r="B344" s="28" t="s">
        <v>58</v>
      </c>
      <c r="C344" t="s">
        <v>48</v>
      </c>
    </row>
    <row r="345" spans="1:3" x14ac:dyDescent="0.25">
      <c r="A345" s="29" t="s">
        <v>445</v>
      </c>
      <c r="B345" s="28" t="s">
        <v>58</v>
      </c>
      <c r="C345" t="s">
        <v>48</v>
      </c>
    </row>
    <row r="346" spans="1:3" x14ac:dyDescent="0.25">
      <c r="A346" s="29" t="s">
        <v>446</v>
      </c>
      <c r="B346" s="28" t="s">
        <v>58</v>
      </c>
      <c r="C346" t="s">
        <v>48</v>
      </c>
    </row>
    <row r="347" spans="1:3" x14ac:dyDescent="0.25">
      <c r="A347" s="29" t="s">
        <v>447</v>
      </c>
      <c r="B347" s="28" t="s">
        <v>58</v>
      </c>
      <c r="C347" t="s">
        <v>48</v>
      </c>
    </row>
    <row r="348" spans="1:3" x14ac:dyDescent="0.25">
      <c r="A348" s="29" t="s">
        <v>448</v>
      </c>
      <c r="B348" s="28" t="s">
        <v>58</v>
      </c>
      <c r="C348" t="s">
        <v>48</v>
      </c>
    </row>
    <row r="349" spans="1:3" x14ac:dyDescent="0.25">
      <c r="A349" s="29" t="s">
        <v>449</v>
      </c>
      <c r="B349" s="28" t="s">
        <v>58</v>
      </c>
      <c r="C349" t="s">
        <v>48</v>
      </c>
    </row>
    <row r="350" spans="1:3" x14ac:dyDescent="0.25">
      <c r="A350" s="29" t="s">
        <v>450</v>
      </c>
      <c r="B350" s="28" t="s">
        <v>58</v>
      </c>
      <c r="C350" t="s">
        <v>48</v>
      </c>
    </row>
    <row r="351" spans="1:3" x14ac:dyDescent="0.25">
      <c r="A351" s="29" t="s">
        <v>451</v>
      </c>
      <c r="B351" s="28" t="s">
        <v>58</v>
      </c>
      <c r="C351" t="s">
        <v>48</v>
      </c>
    </row>
    <row r="352" spans="1:3" x14ac:dyDescent="0.25">
      <c r="A352" s="29" t="s">
        <v>452</v>
      </c>
      <c r="B352" s="28" t="s">
        <v>58</v>
      </c>
      <c r="C352" t="s">
        <v>48</v>
      </c>
    </row>
    <row r="353" spans="1:3" x14ac:dyDescent="0.25">
      <c r="A353" s="29" t="s">
        <v>453</v>
      </c>
      <c r="B353" s="28" t="s">
        <v>58</v>
      </c>
      <c r="C353" t="s">
        <v>48</v>
      </c>
    </row>
    <row r="354" spans="1:3" x14ac:dyDescent="0.25">
      <c r="A354" s="29" t="s">
        <v>454</v>
      </c>
      <c r="B354" s="28" t="s">
        <v>58</v>
      </c>
      <c r="C354" t="s">
        <v>52</v>
      </c>
    </row>
    <row r="355" spans="1:3" x14ac:dyDescent="0.25">
      <c r="A355" s="29" t="s">
        <v>455</v>
      </c>
      <c r="B355" s="28" t="s">
        <v>58</v>
      </c>
      <c r="C355" t="s">
        <v>52</v>
      </c>
    </row>
    <row r="356" spans="1:3" x14ac:dyDescent="0.25">
      <c r="A356" s="29" t="s">
        <v>456</v>
      </c>
      <c r="B356" s="28" t="s">
        <v>58</v>
      </c>
      <c r="C356" t="s">
        <v>52</v>
      </c>
    </row>
    <row r="357" spans="1:3" x14ac:dyDescent="0.25">
      <c r="A357" s="29" t="s">
        <v>457</v>
      </c>
      <c r="B357" s="28" t="s">
        <v>58</v>
      </c>
      <c r="C357" t="s">
        <v>52</v>
      </c>
    </row>
    <row r="358" spans="1:3" x14ac:dyDescent="0.25">
      <c r="A358" s="29" t="s">
        <v>458</v>
      </c>
      <c r="B358" s="28" t="s">
        <v>58</v>
      </c>
      <c r="C358" t="s">
        <v>52</v>
      </c>
    </row>
    <row r="359" spans="1:3" x14ac:dyDescent="0.25">
      <c r="A359" s="29" t="s">
        <v>459</v>
      </c>
      <c r="B359" s="28" t="s">
        <v>58</v>
      </c>
      <c r="C359" t="s">
        <v>52</v>
      </c>
    </row>
    <row r="360" spans="1:3" x14ac:dyDescent="0.25">
      <c r="A360" s="29" t="s">
        <v>460</v>
      </c>
      <c r="B360" s="28" t="s">
        <v>58</v>
      </c>
      <c r="C360" t="s">
        <v>52</v>
      </c>
    </row>
    <row r="361" spans="1:3" x14ac:dyDescent="0.25">
      <c r="A361" s="29" t="s">
        <v>461</v>
      </c>
      <c r="B361" s="28" t="s">
        <v>58</v>
      </c>
      <c r="C361" t="s">
        <v>52</v>
      </c>
    </row>
    <row r="362" spans="1:3" x14ac:dyDescent="0.25">
      <c r="A362" s="29" t="s">
        <v>462</v>
      </c>
      <c r="B362" s="28" t="s">
        <v>58</v>
      </c>
      <c r="C362" t="s">
        <v>52</v>
      </c>
    </row>
    <row r="363" spans="1:3" x14ac:dyDescent="0.25">
      <c r="A363" s="29" t="s">
        <v>463</v>
      </c>
      <c r="B363" s="28" t="s">
        <v>58</v>
      </c>
      <c r="C363" t="s">
        <v>52</v>
      </c>
    </row>
    <row r="364" spans="1:3" x14ac:dyDescent="0.25">
      <c r="A364" s="29" t="s">
        <v>464</v>
      </c>
      <c r="B364" s="28" t="s">
        <v>58</v>
      </c>
      <c r="C364" t="s">
        <v>52</v>
      </c>
    </row>
    <row r="365" spans="1:3" x14ac:dyDescent="0.25">
      <c r="A365" s="29" t="s">
        <v>465</v>
      </c>
      <c r="B365" s="28" t="s">
        <v>58</v>
      </c>
      <c r="C365" t="s">
        <v>52</v>
      </c>
    </row>
    <row r="366" spans="1:3" x14ac:dyDescent="0.25">
      <c r="A366" s="29" t="s">
        <v>466</v>
      </c>
      <c r="B366" s="28" t="s">
        <v>58</v>
      </c>
      <c r="C366" t="s">
        <v>52</v>
      </c>
    </row>
    <row r="367" spans="1:3" x14ac:dyDescent="0.25">
      <c r="A367" s="29" t="s">
        <v>467</v>
      </c>
      <c r="B367" s="28" t="s">
        <v>58</v>
      </c>
      <c r="C367" t="s">
        <v>52</v>
      </c>
    </row>
    <row r="368" spans="1:3" x14ac:dyDescent="0.25">
      <c r="A368" s="29" t="s">
        <v>468</v>
      </c>
      <c r="B368" s="28" t="s">
        <v>58</v>
      </c>
      <c r="C368" t="s">
        <v>52</v>
      </c>
    </row>
    <row r="369" spans="1:3" x14ac:dyDescent="0.25">
      <c r="A369" s="29" t="s">
        <v>469</v>
      </c>
      <c r="B369" s="28" t="s">
        <v>58</v>
      </c>
      <c r="C369" t="s">
        <v>52</v>
      </c>
    </row>
    <row r="370" spans="1:3" x14ac:dyDescent="0.25">
      <c r="A370" s="29" t="s">
        <v>470</v>
      </c>
      <c r="B370" s="28" t="s">
        <v>58</v>
      </c>
      <c r="C370" t="s">
        <v>52</v>
      </c>
    </row>
    <row r="371" spans="1:3" x14ac:dyDescent="0.25">
      <c r="A371" s="29" t="s">
        <v>471</v>
      </c>
      <c r="B371" s="28" t="s">
        <v>58</v>
      </c>
      <c r="C371" t="s">
        <v>52</v>
      </c>
    </row>
    <row r="372" spans="1:3" x14ac:dyDescent="0.25">
      <c r="A372" s="29" t="s">
        <v>472</v>
      </c>
      <c r="B372" s="28" t="s">
        <v>58</v>
      </c>
      <c r="C372" t="s">
        <v>52</v>
      </c>
    </row>
    <row r="373" spans="1:3" x14ac:dyDescent="0.25">
      <c r="A373" s="29" t="s">
        <v>473</v>
      </c>
      <c r="B373" s="28" t="s">
        <v>58</v>
      </c>
      <c r="C373" t="s">
        <v>52</v>
      </c>
    </row>
    <row r="374" spans="1:3" x14ac:dyDescent="0.25">
      <c r="A374" s="29" t="s">
        <v>474</v>
      </c>
      <c r="B374" s="28" t="s">
        <v>58</v>
      </c>
      <c r="C374" t="s">
        <v>52</v>
      </c>
    </row>
    <row r="375" spans="1:3" x14ac:dyDescent="0.25">
      <c r="A375" s="29" t="s">
        <v>475</v>
      </c>
      <c r="B375" s="28" t="s">
        <v>58</v>
      </c>
      <c r="C375" t="s">
        <v>52</v>
      </c>
    </row>
    <row r="376" spans="1:3" x14ac:dyDescent="0.25">
      <c r="A376" s="29" t="s">
        <v>476</v>
      </c>
      <c r="B376" s="28" t="s">
        <v>58</v>
      </c>
      <c r="C376" t="s">
        <v>52</v>
      </c>
    </row>
    <row r="377" spans="1:3" x14ac:dyDescent="0.25">
      <c r="A377" s="29" t="s">
        <v>477</v>
      </c>
      <c r="B377" s="28" t="s">
        <v>58</v>
      </c>
      <c r="C377" t="s">
        <v>52</v>
      </c>
    </row>
    <row r="378" spans="1:3" x14ac:dyDescent="0.25">
      <c r="A378" s="29" t="s">
        <v>478</v>
      </c>
      <c r="B378" s="28" t="s">
        <v>58</v>
      </c>
      <c r="C378" t="s">
        <v>52</v>
      </c>
    </row>
    <row r="379" spans="1:3" x14ac:dyDescent="0.25">
      <c r="A379" s="29" t="s">
        <v>479</v>
      </c>
      <c r="B379" s="28" t="s">
        <v>58</v>
      </c>
      <c r="C379" t="s">
        <v>52</v>
      </c>
    </row>
    <row r="380" spans="1:3" x14ac:dyDescent="0.25">
      <c r="A380" s="29" t="s">
        <v>480</v>
      </c>
      <c r="B380" s="28" t="s">
        <v>58</v>
      </c>
      <c r="C380" t="s">
        <v>49</v>
      </c>
    </row>
    <row r="381" spans="1:3" x14ac:dyDescent="0.25">
      <c r="A381" s="29" t="s">
        <v>481</v>
      </c>
      <c r="B381" s="28" t="s">
        <v>58</v>
      </c>
      <c r="C381" t="s">
        <v>52</v>
      </c>
    </row>
    <row r="382" spans="1:3" x14ac:dyDescent="0.25">
      <c r="A382" s="29" t="s">
        <v>482</v>
      </c>
      <c r="B382" s="28" t="s">
        <v>58</v>
      </c>
      <c r="C382" t="s">
        <v>52</v>
      </c>
    </row>
    <row r="383" spans="1:3" x14ac:dyDescent="0.25">
      <c r="A383" s="29" t="s">
        <v>483</v>
      </c>
      <c r="B383" s="28" t="s">
        <v>58</v>
      </c>
      <c r="C383" t="s">
        <v>52</v>
      </c>
    </row>
    <row r="384" spans="1:3" x14ac:dyDescent="0.25">
      <c r="A384" s="29" t="s">
        <v>484</v>
      </c>
      <c r="B384" s="28" t="s">
        <v>59</v>
      </c>
      <c r="C384" t="s">
        <v>52</v>
      </c>
    </row>
    <row r="385" spans="1:3" x14ac:dyDescent="0.25">
      <c r="A385" s="29" t="s">
        <v>486</v>
      </c>
      <c r="B385" s="28" t="s">
        <v>58</v>
      </c>
      <c r="C385" t="s">
        <v>52</v>
      </c>
    </row>
    <row r="386" spans="1:3" x14ac:dyDescent="0.25">
      <c r="A386" s="29" t="s">
        <v>487</v>
      </c>
      <c r="B386" s="28" t="s">
        <v>58</v>
      </c>
      <c r="C386" t="s">
        <v>52</v>
      </c>
    </row>
    <row r="387" spans="1:3" x14ac:dyDescent="0.25">
      <c r="A387" s="29" t="s">
        <v>488</v>
      </c>
      <c r="B387" s="28" t="s">
        <v>58</v>
      </c>
      <c r="C387" t="s">
        <v>52</v>
      </c>
    </row>
    <row r="388" spans="1:3" x14ac:dyDescent="0.25">
      <c r="A388" s="29" t="s">
        <v>489</v>
      </c>
      <c r="B388" s="28" t="s">
        <v>58</v>
      </c>
      <c r="C388" t="s">
        <v>52</v>
      </c>
    </row>
    <row r="389" spans="1:3" x14ac:dyDescent="0.25">
      <c r="A389" s="29" t="s">
        <v>490</v>
      </c>
      <c r="B389" s="28" t="s">
        <v>58</v>
      </c>
      <c r="C389" t="s">
        <v>52</v>
      </c>
    </row>
    <row r="390" spans="1:3" x14ac:dyDescent="0.25">
      <c r="A390" s="29" t="s">
        <v>491</v>
      </c>
      <c r="B390" s="28" t="s">
        <v>58</v>
      </c>
      <c r="C390" t="s">
        <v>52</v>
      </c>
    </row>
    <row r="391" spans="1:3" x14ac:dyDescent="0.25">
      <c r="A391" s="29" t="s">
        <v>492</v>
      </c>
      <c r="B391" s="28" t="s">
        <v>58</v>
      </c>
      <c r="C391" t="s">
        <v>52</v>
      </c>
    </row>
    <row r="392" spans="1:3" x14ac:dyDescent="0.25">
      <c r="A392" s="29" t="s">
        <v>493</v>
      </c>
      <c r="B392" s="28" t="s">
        <v>59</v>
      </c>
      <c r="C392" t="s">
        <v>52</v>
      </c>
    </row>
    <row r="393" spans="1:3" x14ac:dyDescent="0.25">
      <c r="A393" s="29" t="s">
        <v>494</v>
      </c>
      <c r="B393" s="28" t="s">
        <v>58</v>
      </c>
      <c r="C393" t="s">
        <v>52</v>
      </c>
    </row>
    <row r="394" spans="1:3" x14ac:dyDescent="0.25">
      <c r="A394" s="29" t="s">
        <v>495</v>
      </c>
      <c r="B394" s="28" t="s">
        <v>59</v>
      </c>
      <c r="C394" t="s">
        <v>52</v>
      </c>
    </row>
    <row r="395" spans="1:3" x14ac:dyDescent="0.25">
      <c r="A395" s="29" t="s">
        <v>496</v>
      </c>
      <c r="B395" s="28" t="s">
        <v>58</v>
      </c>
      <c r="C395" t="s">
        <v>52</v>
      </c>
    </row>
    <row r="396" spans="1:3" x14ac:dyDescent="0.25">
      <c r="A396" s="29" t="s">
        <v>497</v>
      </c>
      <c r="B396" s="28" t="s">
        <v>58</v>
      </c>
      <c r="C396" t="s">
        <v>52</v>
      </c>
    </row>
    <row r="397" spans="1:3" x14ac:dyDescent="0.25">
      <c r="A397" s="29" t="s">
        <v>498</v>
      </c>
      <c r="B397" s="28" t="s">
        <v>58</v>
      </c>
      <c r="C397" t="s">
        <v>52</v>
      </c>
    </row>
    <row r="398" spans="1:3" x14ac:dyDescent="0.25">
      <c r="A398" s="29" t="s">
        <v>499</v>
      </c>
      <c r="B398" s="28" t="s">
        <v>58</v>
      </c>
      <c r="C398" t="s">
        <v>52</v>
      </c>
    </row>
    <row r="399" spans="1:3" x14ac:dyDescent="0.25">
      <c r="A399" s="29" t="s">
        <v>500</v>
      </c>
      <c r="B399" s="28" t="s">
        <v>58</v>
      </c>
      <c r="C399" t="s">
        <v>52</v>
      </c>
    </row>
    <row r="400" spans="1:3" x14ac:dyDescent="0.25">
      <c r="A400" s="29" t="s">
        <v>501</v>
      </c>
      <c r="B400" s="28" t="s">
        <v>58</v>
      </c>
      <c r="C400" t="s">
        <v>52</v>
      </c>
    </row>
    <row r="401" spans="1:3" x14ac:dyDescent="0.25">
      <c r="A401" s="29" t="s">
        <v>502</v>
      </c>
      <c r="B401" s="28" t="s">
        <v>58</v>
      </c>
      <c r="C401" t="s">
        <v>52</v>
      </c>
    </row>
    <row r="402" spans="1:3" x14ac:dyDescent="0.25">
      <c r="A402" s="29" t="s">
        <v>503</v>
      </c>
      <c r="B402" s="28" t="s">
        <v>58</v>
      </c>
      <c r="C402" t="s">
        <v>52</v>
      </c>
    </row>
    <row r="403" spans="1:3" x14ac:dyDescent="0.25">
      <c r="A403" s="29" t="s">
        <v>504</v>
      </c>
      <c r="B403" s="28" t="s">
        <v>58</v>
      </c>
      <c r="C403" t="s">
        <v>52</v>
      </c>
    </row>
    <row r="404" spans="1:3" x14ac:dyDescent="0.25">
      <c r="A404" s="29" t="s">
        <v>505</v>
      </c>
      <c r="B404" s="28" t="s">
        <v>58</v>
      </c>
      <c r="C404" t="s">
        <v>52</v>
      </c>
    </row>
    <row r="405" spans="1:3" x14ac:dyDescent="0.25">
      <c r="A405" s="29" t="s">
        <v>506</v>
      </c>
      <c r="B405" s="28" t="s">
        <v>58</v>
      </c>
      <c r="C405" t="s">
        <v>52</v>
      </c>
    </row>
    <row r="406" spans="1:3" x14ac:dyDescent="0.25">
      <c r="A406" s="29" t="s">
        <v>507</v>
      </c>
      <c r="B406" s="28" t="s">
        <v>58</v>
      </c>
      <c r="C406" t="s">
        <v>52</v>
      </c>
    </row>
    <row r="407" spans="1:3" x14ac:dyDescent="0.25">
      <c r="A407" s="29" t="s">
        <v>508</v>
      </c>
      <c r="B407" s="28" t="s">
        <v>58</v>
      </c>
      <c r="C407" t="s">
        <v>52</v>
      </c>
    </row>
    <row r="408" spans="1:3" x14ac:dyDescent="0.25">
      <c r="A408" s="29" t="s">
        <v>509</v>
      </c>
      <c r="B408" s="28" t="s">
        <v>58</v>
      </c>
      <c r="C408" t="s">
        <v>49</v>
      </c>
    </row>
    <row r="409" spans="1:3" x14ac:dyDescent="0.25">
      <c r="A409" s="29" t="s">
        <v>510</v>
      </c>
      <c r="B409" s="28" t="s">
        <v>58</v>
      </c>
      <c r="C409" t="s">
        <v>49</v>
      </c>
    </row>
    <row r="410" spans="1:3" x14ac:dyDescent="0.25">
      <c r="A410" s="29" t="s">
        <v>511</v>
      </c>
      <c r="B410" s="28" t="s">
        <v>58</v>
      </c>
      <c r="C410" t="s">
        <v>49</v>
      </c>
    </row>
    <row r="411" spans="1:3" x14ac:dyDescent="0.25">
      <c r="A411" s="29" t="s">
        <v>512</v>
      </c>
      <c r="B411" s="28" t="s">
        <v>58</v>
      </c>
      <c r="C411" t="s">
        <v>49</v>
      </c>
    </row>
    <row r="412" spans="1:3" x14ac:dyDescent="0.25">
      <c r="A412" s="29" t="s">
        <v>513</v>
      </c>
      <c r="B412" s="28" t="s">
        <v>58</v>
      </c>
      <c r="C412" t="s">
        <v>49</v>
      </c>
    </row>
    <row r="413" spans="1:3" x14ac:dyDescent="0.25">
      <c r="A413" s="29" t="s">
        <v>514</v>
      </c>
      <c r="B413" s="28" t="s">
        <v>58</v>
      </c>
      <c r="C413" t="s">
        <v>49</v>
      </c>
    </row>
    <row r="414" spans="1:3" x14ac:dyDescent="0.25">
      <c r="A414" s="29" t="s">
        <v>515</v>
      </c>
      <c r="B414" s="28" t="s">
        <v>58</v>
      </c>
      <c r="C414" t="s">
        <v>49</v>
      </c>
    </row>
    <row r="415" spans="1:3" x14ac:dyDescent="0.25">
      <c r="A415" s="29" t="s">
        <v>516</v>
      </c>
      <c r="B415" s="28" t="s">
        <v>58</v>
      </c>
      <c r="C415" t="s">
        <v>49</v>
      </c>
    </row>
    <row r="416" spans="1:3" x14ac:dyDescent="0.25">
      <c r="A416" s="29" t="s">
        <v>517</v>
      </c>
      <c r="B416" s="28" t="s">
        <v>58</v>
      </c>
      <c r="C416" t="s">
        <v>49</v>
      </c>
    </row>
    <row r="417" spans="1:3" x14ac:dyDescent="0.25">
      <c r="A417" s="29" t="s">
        <v>518</v>
      </c>
      <c r="B417" s="28" t="s">
        <v>58</v>
      </c>
      <c r="C417" t="s">
        <v>49</v>
      </c>
    </row>
    <row r="418" spans="1:3" x14ac:dyDescent="0.25">
      <c r="A418" s="29" t="s">
        <v>519</v>
      </c>
      <c r="B418" s="28" t="s">
        <v>58</v>
      </c>
      <c r="C418" t="s">
        <v>49</v>
      </c>
    </row>
    <row r="419" spans="1:3" x14ac:dyDescent="0.25">
      <c r="A419" s="29" t="s">
        <v>520</v>
      </c>
      <c r="B419" s="28" t="s">
        <v>58</v>
      </c>
      <c r="C419" t="s">
        <v>49</v>
      </c>
    </row>
    <row r="420" spans="1:3" x14ac:dyDescent="0.25">
      <c r="A420" s="29" t="s">
        <v>521</v>
      </c>
      <c r="B420" s="28" t="s">
        <v>58</v>
      </c>
      <c r="C420" t="s">
        <v>49</v>
      </c>
    </row>
    <row r="421" spans="1:3" x14ac:dyDescent="0.25">
      <c r="A421" s="29" t="s">
        <v>522</v>
      </c>
      <c r="B421" s="28" t="s">
        <v>58</v>
      </c>
      <c r="C421" t="s">
        <v>49</v>
      </c>
    </row>
    <row r="422" spans="1:3" x14ac:dyDescent="0.25">
      <c r="A422" s="29" t="s">
        <v>523</v>
      </c>
      <c r="B422" s="28" t="s">
        <v>58</v>
      </c>
      <c r="C422" t="s">
        <v>49</v>
      </c>
    </row>
    <row r="423" spans="1:3" x14ac:dyDescent="0.25">
      <c r="A423" s="29" t="s">
        <v>524</v>
      </c>
      <c r="B423" s="28" t="s">
        <v>58</v>
      </c>
      <c r="C423" t="s">
        <v>49</v>
      </c>
    </row>
    <row r="424" spans="1:3" x14ac:dyDescent="0.25">
      <c r="A424" s="29" t="s">
        <v>525</v>
      </c>
      <c r="B424" s="28" t="s">
        <v>58</v>
      </c>
      <c r="C424" t="s">
        <v>49</v>
      </c>
    </row>
    <row r="425" spans="1:3" x14ac:dyDescent="0.25">
      <c r="A425" s="29" t="s">
        <v>526</v>
      </c>
      <c r="B425" s="28" t="s">
        <v>58</v>
      </c>
      <c r="C425" t="s">
        <v>49</v>
      </c>
    </row>
    <row r="426" spans="1:3" x14ac:dyDescent="0.25">
      <c r="A426" s="29" t="s">
        <v>527</v>
      </c>
      <c r="B426" s="28" t="s">
        <v>58</v>
      </c>
      <c r="C426" t="s">
        <v>49</v>
      </c>
    </row>
    <row r="427" spans="1:3" x14ac:dyDescent="0.25">
      <c r="A427" s="29" t="s">
        <v>528</v>
      </c>
      <c r="B427" s="28" t="s">
        <v>58</v>
      </c>
      <c r="C427" t="s">
        <v>49</v>
      </c>
    </row>
    <row r="428" spans="1:3" x14ac:dyDescent="0.25">
      <c r="A428" s="29" t="s">
        <v>529</v>
      </c>
      <c r="B428" s="28" t="s">
        <v>58</v>
      </c>
      <c r="C428" t="s">
        <v>49</v>
      </c>
    </row>
    <row r="429" spans="1:3" x14ac:dyDescent="0.25">
      <c r="A429" s="29" t="s">
        <v>530</v>
      </c>
      <c r="B429" s="28" t="s">
        <v>58</v>
      </c>
      <c r="C429" t="s">
        <v>49</v>
      </c>
    </row>
    <row r="430" spans="1:3" x14ac:dyDescent="0.25">
      <c r="A430" s="29" t="s">
        <v>531</v>
      </c>
      <c r="B430" s="28" t="s">
        <v>58</v>
      </c>
      <c r="C430" t="s">
        <v>49</v>
      </c>
    </row>
    <row r="431" spans="1:3" x14ac:dyDescent="0.25">
      <c r="A431" s="29" t="s">
        <v>532</v>
      </c>
      <c r="B431" s="28" t="s">
        <v>58</v>
      </c>
      <c r="C431" t="s">
        <v>49</v>
      </c>
    </row>
    <row r="432" spans="1:3" x14ac:dyDescent="0.25">
      <c r="A432" s="29" t="s">
        <v>533</v>
      </c>
      <c r="B432" s="28" t="s">
        <v>58</v>
      </c>
      <c r="C432" t="s">
        <v>49</v>
      </c>
    </row>
    <row r="433" spans="1:3" x14ac:dyDescent="0.25">
      <c r="A433" s="29" t="s">
        <v>534</v>
      </c>
      <c r="B433" s="28" t="s">
        <v>58</v>
      </c>
      <c r="C433" t="s">
        <v>49</v>
      </c>
    </row>
    <row r="434" spans="1:3" x14ac:dyDescent="0.25">
      <c r="A434" s="29" t="s">
        <v>535</v>
      </c>
      <c r="B434" s="28" t="s">
        <v>58</v>
      </c>
      <c r="C434" t="s">
        <v>49</v>
      </c>
    </row>
    <row r="435" spans="1:3" x14ac:dyDescent="0.25">
      <c r="A435" s="29" t="s">
        <v>536</v>
      </c>
      <c r="B435" s="28" t="s">
        <v>58</v>
      </c>
      <c r="C435" t="s">
        <v>49</v>
      </c>
    </row>
    <row r="436" spans="1:3" x14ac:dyDescent="0.25">
      <c r="A436" s="29" t="s">
        <v>537</v>
      </c>
      <c r="B436" s="28" t="s">
        <v>58</v>
      </c>
      <c r="C436" t="s">
        <v>49</v>
      </c>
    </row>
    <row r="437" spans="1:3" x14ac:dyDescent="0.25">
      <c r="A437" s="29" t="s">
        <v>538</v>
      </c>
      <c r="B437" s="28" t="s">
        <v>56</v>
      </c>
      <c r="C437" t="s">
        <v>49</v>
      </c>
    </row>
    <row r="438" spans="1:3" x14ac:dyDescent="0.25">
      <c r="A438" s="29" t="s">
        <v>539</v>
      </c>
      <c r="B438" s="28" t="s">
        <v>58</v>
      </c>
      <c r="C438" t="s">
        <v>49</v>
      </c>
    </row>
    <row r="439" spans="1:3" x14ac:dyDescent="0.25">
      <c r="A439" s="29" t="s">
        <v>540</v>
      </c>
      <c r="B439" s="28" t="s">
        <v>58</v>
      </c>
      <c r="C439" t="s">
        <v>49</v>
      </c>
    </row>
    <row r="440" spans="1:3" x14ac:dyDescent="0.25">
      <c r="A440" s="29" t="s">
        <v>541</v>
      </c>
      <c r="B440" s="28" t="s">
        <v>58</v>
      </c>
      <c r="C440" t="s">
        <v>49</v>
      </c>
    </row>
    <row r="441" spans="1:3" x14ac:dyDescent="0.25">
      <c r="A441" s="29" t="s">
        <v>542</v>
      </c>
      <c r="B441" s="28" t="s">
        <v>58</v>
      </c>
      <c r="C441" t="s">
        <v>49</v>
      </c>
    </row>
    <row r="442" spans="1:3" x14ac:dyDescent="0.25">
      <c r="A442" s="29" t="s">
        <v>543</v>
      </c>
      <c r="B442" s="28" t="s">
        <v>58</v>
      </c>
      <c r="C442" t="s">
        <v>49</v>
      </c>
    </row>
    <row r="443" spans="1:3" x14ac:dyDescent="0.25">
      <c r="A443" s="29" t="s">
        <v>544</v>
      </c>
      <c r="B443" s="28" t="s">
        <v>58</v>
      </c>
      <c r="C443" t="s">
        <v>49</v>
      </c>
    </row>
    <row r="444" spans="1:3" x14ac:dyDescent="0.25">
      <c r="A444" s="29" t="s">
        <v>545</v>
      </c>
      <c r="B444" s="28" t="s">
        <v>58</v>
      </c>
      <c r="C444" t="s">
        <v>49</v>
      </c>
    </row>
    <row r="445" spans="1:3" x14ac:dyDescent="0.25">
      <c r="A445" s="29" t="s">
        <v>546</v>
      </c>
      <c r="B445" s="28" t="s">
        <v>58</v>
      </c>
      <c r="C445" t="s">
        <v>49</v>
      </c>
    </row>
    <row r="446" spans="1:3" x14ac:dyDescent="0.25">
      <c r="A446" s="29" t="s">
        <v>547</v>
      </c>
      <c r="B446" s="28" t="s">
        <v>58</v>
      </c>
      <c r="C446" t="s">
        <v>49</v>
      </c>
    </row>
    <row r="447" spans="1:3" x14ac:dyDescent="0.25">
      <c r="A447" s="29" t="s">
        <v>548</v>
      </c>
      <c r="B447" s="28" t="s">
        <v>58</v>
      </c>
      <c r="C447" t="s">
        <v>49</v>
      </c>
    </row>
    <row r="448" spans="1:3" x14ac:dyDescent="0.25">
      <c r="A448" s="29" t="s">
        <v>549</v>
      </c>
      <c r="B448" s="28" t="s">
        <v>58</v>
      </c>
      <c r="C448" t="s">
        <v>49</v>
      </c>
    </row>
    <row r="449" spans="1:3" x14ac:dyDescent="0.25">
      <c r="A449" s="29" t="s">
        <v>550</v>
      </c>
      <c r="B449" s="28" t="s">
        <v>58</v>
      </c>
      <c r="C449" t="s">
        <v>49</v>
      </c>
    </row>
    <row r="450" spans="1:3" x14ac:dyDescent="0.25">
      <c r="A450" s="29" t="s">
        <v>551</v>
      </c>
      <c r="B450" s="28" t="s">
        <v>58</v>
      </c>
      <c r="C450" t="s">
        <v>49</v>
      </c>
    </row>
    <row r="451" spans="1:3" x14ac:dyDescent="0.25">
      <c r="A451" s="29" t="s">
        <v>552</v>
      </c>
      <c r="B451" s="28" t="s">
        <v>58</v>
      </c>
      <c r="C451" t="s">
        <v>49</v>
      </c>
    </row>
    <row r="452" spans="1:3" x14ac:dyDescent="0.25">
      <c r="A452" s="29" t="s">
        <v>553</v>
      </c>
      <c r="B452" s="28" t="s">
        <v>58</v>
      </c>
      <c r="C452" t="s">
        <v>49</v>
      </c>
    </row>
    <row r="453" spans="1:3" x14ac:dyDescent="0.25">
      <c r="A453" s="29" t="s">
        <v>554</v>
      </c>
      <c r="B453" s="28" t="s">
        <v>58</v>
      </c>
      <c r="C453" t="s">
        <v>49</v>
      </c>
    </row>
    <row r="454" spans="1:3" x14ac:dyDescent="0.25">
      <c r="A454" s="29" t="s">
        <v>555</v>
      </c>
      <c r="B454" s="28" t="s">
        <v>58</v>
      </c>
      <c r="C454" t="s">
        <v>49</v>
      </c>
    </row>
    <row r="455" spans="1:3" x14ac:dyDescent="0.25">
      <c r="A455" s="29" t="s">
        <v>556</v>
      </c>
      <c r="B455" s="28" t="s">
        <v>58</v>
      </c>
      <c r="C455" t="s">
        <v>49</v>
      </c>
    </row>
    <row r="456" spans="1:3" x14ac:dyDescent="0.25">
      <c r="A456" s="29" t="s">
        <v>557</v>
      </c>
      <c r="B456" s="28" t="s">
        <v>58</v>
      </c>
      <c r="C456" t="s">
        <v>49</v>
      </c>
    </row>
    <row r="457" spans="1:3" x14ac:dyDescent="0.25">
      <c r="A457" s="29" t="s">
        <v>558</v>
      </c>
      <c r="B457" s="28" t="s">
        <v>58</v>
      </c>
      <c r="C457" t="s">
        <v>49</v>
      </c>
    </row>
    <row r="458" spans="1:3" x14ac:dyDescent="0.25">
      <c r="A458" s="29" t="s">
        <v>559</v>
      </c>
      <c r="B458" s="28" t="s">
        <v>58</v>
      </c>
      <c r="C458" t="s">
        <v>49</v>
      </c>
    </row>
    <row r="459" spans="1:3" x14ac:dyDescent="0.25">
      <c r="A459" s="29" t="s">
        <v>560</v>
      </c>
      <c r="B459" s="28" t="s">
        <v>58</v>
      </c>
      <c r="C459" t="s">
        <v>49</v>
      </c>
    </row>
    <row r="460" spans="1:3" x14ac:dyDescent="0.25">
      <c r="A460" s="29" t="s">
        <v>561</v>
      </c>
      <c r="B460" s="28" t="s">
        <v>58</v>
      </c>
      <c r="C460" t="s">
        <v>49</v>
      </c>
    </row>
    <row r="461" spans="1:3" x14ac:dyDescent="0.25">
      <c r="A461" s="29" t="s">
        <v>562</v>
      </c>
      <c r="B461" s="28" t="s">
        <v>58</v>
      </c>
      <c r="C461" t="s">
        <v>49</v>
      </c>
    </row>
    <row r="462" spans="1:3" x14ac:dyDescent="0.25">
      <c r="A462" s="29" t="s">
        <v>563</v>
      </c>
      <c r="B462" s="28" t="s">
        <v>58</v>
      </c>
      <c r="C462" t="s">
        <v>49</v>
      </c>
    </row>
    <row r="463" spans="1:3" x14ac:dyDescent="0.25">
      <c r="A463" s="29" t="s">
        <v>564</v>
      </c>
      <c r="B463" s="28" t="s">
        <v>58</v>
      </c>
      <c r="C463" t="s">
        <v>49</v>
      </c>
    </row>
    <row r="464" spans="1:3" x14ac:dyDescent="0.25">
      <c r="A464" s="29" t="s">
        <v>565</v>
      </c>
      <c r="B464" s="28" t="s">
        <v>58</v>
      </c>
      <c r="C464" t="s">
        <v>49</v>
      </c>
    </row>
    <row r="465" spans="1:3" x14ac:dyDescent="0.25">
      <c r="A465" s="29" t="s">
        <v>566</v>
      </c>
      <c r="B465" s="28" t="s">
        <v>58</v>
      </c>
      <c r="C465" t="s">
        <v>49</v>
      </c>
    </row>
    <row r="466" spans="1:3" x14ac:dyDescent="0.25">
      <c r="A466" s="29" t="s">
        <v>567</v>
      </c>
      <c r="B466" s="28" t="s">
        <v>58</v>
      </c>
      <c r="C466" t="s">
        <v>49</v>
      </c>
    </row>
    <row r="467" spans="1:3" x14ac:dyDescent="0.25">
      <c r="A467" s="29" t="s">
        <v>568</v>
      </c>
      <c r="B467" s="28" t="s">
        <v>58</v>
      </c>
      <c r="C467" t="s">
        <v>49</v>
      </c>
    </row>
    <row r="468" spans="1:3" x14ac:dyDescent="0.25">
      <c r="A468" s="29" t="s">
        <v>569</v>
      </c>
      <c r="B468" s="28" t="s">
        <v>58</v>
      </c>
      <c r="C468" t="s">
        <v>49</v>
      </c>
    </row>
    <row r="469" spans="1:3" x14ac:dyDescent="0.25">
      <c r="A469" s="29" t="s">
        <v>570</v>
      </c>
      <c r="B469" s="28" t="s">
        <v>58</v>
      </c>
      <c r="C469" t="s">
        <v>49</v>
      </c>
    </row>
    <row r="470" spans="1:3" x14ac:dyDescent="0.25">
      <c r="A470" s="29" t="s">
        <v>571</v>
      </c>
      <c r="B470" s="28" t="s">
        <v>58</v>
      </c>
      <c r="C470" t="s">
        <v>49</v>
      </c>
    </row>
    <row r="471" spans="1:3" x14ac:dyDescent="0.25">
      <c r="A471" s="29" t="s">
        <v>572</v>
      </c>
      <c r="B471" s="28" t="s">
        <v>58</v>
      </c>
      <c r="C471" t="s">
        <v>49</v>
      </c>
    </row>
    <row r="472" spans="1:3" x14ac:dyDescent="0.25">
      <c r="A472" s="29" t="s">
        <v>573</v>
      </c>
      <c r="B472" s="28" t="s">
        <v>58</v>
      </c>
      <c r="C472" t="s">
        <v>49</v>
      </c>
    </row>
    <row r="473" spans="1:3" x14ac:dyDescent="0.25">
      <c r="A473" s="29" t="s">
        <v>574</v>
      </c>
      <c r="B473" s="28" t="s">
        <v>58</v>
      </c>
      <c r="C473" t="s">
        <v>49</v>
      </c>
    </row>
    <row r="474" spans="1:3" x14ac:dyDescent="0.25">
      <c r="A474" s="29" t="s">
        <v>575</v>
      </c>
      <c r="B474" s="28" t="s">
        <v>58</v>
      </c>
      <c r="C474" t="s">
        <v>49</v>
      </c>
    </row>
    <row r="475" spans="1:3" x14ac:dyDescent="0.25">
      <c r="A475" s="29" t="s">
        <v>576</v>
      </c>
      <c r="B475" s="28" t="s">
        <v>58</v>
      </c>
      <c r="C475" t="s">
        <v>49</v>
      </c>
    </row>
    <row r="476" spans="1:3" x14ac:dyDescent="0.25">
      <c r="A476" s="29" t="s">
        <v>577</v>
      </c>
      <c r="B476" s="28" t="s">
        <v>58</v>
      </c>
      <c r="C476" t="s">
        <v>49</v>
      </c>
    </row>
    <row r="477" spans="1:3" x14ac:dyDescent="0.25">
      <c r="A477" s="29" t="s">
        <v>578</v>
      </c>
      <c r="B477" s="28" t="s">
        <v>58</v>
      </c>
      <c r="C477" t="s">
        <v>49</v>
      </c>
    </row>
    <row r="478" spans="1:3" x14ac:dyDescent="0.25">
      <c r="A478" s="29" t="s">
        <v>579</v>
      </c>
      <c r="B478" s="28" t="s">
        <v>58</v>
      </c>
      <c r="C478" t="s">
        <v>49</v>
      </c>
    </row>
    <row r="479" spans="1:3" x14ac:dyDescent="0.25">
      <c r="A479" s="29" t="s">
        <v>580</v>
      </c>
      <c r="B479" s="28" t="s">
        <v>58</v>
      </c>
      <c r="C479" t="s">
        <v>49</v>
      </c>
    </row>
    <row r="480" spans="1:3" x14ac:dyDescent="0.25">
      <c r="A480" s="29" t="s">
        <v>581</v>
      </c>
      <c r="B480" s="28" t="s">
        <v>58</v>
      </c>
      <c r="C480" t="s">
        <v>49</v>
      </c>
    </row>
    <row r="481" spans="1:3" x14ac:dyDescent="0.25">
      <c r="A481" s="29" t="s">
        <v>582</v>
      </c>
      <c r="B481" s="28" t="s">
        <v>58</v>
      </c>
      <c r="C481" t="s">
        <v>49</v>
      </c>
    </row>
    <row r="482" spans="1:3" x14ac:dyDescent="0.25">
      <c r="A482" s="29" t="s">
        <v>583</v>
      </c>
      <c r="B482" s="28" t="s">
        <v>58</v>
      </c>
      <c r="C482" t="s">
        <v>49</v>
      </c>
    </row>
    <row r="483" spans="1:3" x14ac:dyDescent="0.25">
      <c r="A483" s="29" t="s">
        <v>584</v>
      </c>
      <c r="B483" s="28" t="s">
        <v>58</v>
      </c>
      <c r="C483" t="s">
        <v>49</v>
      </c>
    </row>
    <row r="484" spans="1:3" x14ac:dyDescent="0.25">
      <c r="A484" s="29" t="s">
        <v>585</v>
      </c>
      <c r="B484" s="28" t="s">
        <v>58</v>
      </c>
      <c r="C484" t="s">
        <v>49</v>
      </c>
    </row>
    <row r="485" spans="1:3" x14ac:dyDescent="0.25">
      <c r="A485" s="29" t="s">
        <v>586</v>
      </c>
      <c r="B485" s="28" t="s">
        <v>58</v>
      </c>
      <c r="C485" t="s">
        <v>49</v>
      </c>
    </row>
    <row r="486" spans="1:3" x14ac:dyDescent="0.25">
      <c r="A486" s="29" t="s">
        <v>587</v>
      </c>
      <c r="B486" s="28" t="s">
        <v>58</v>
      </c>
      <c r="C486" t="s">
        <v>49</v>
      </c>
    </row>
    <row r="487" spans="1:3" x14ac:dyDescent="0.25">
      <c r="A487" s="29" t="s">
        <v>588</v>
      </c>
      <c r="B487" s="28" t="s">
        <v>58</v>
      </c>
      <c r="C487" t="s">
        <v>49</v>
      </c>
    </row>
    <row r="488" spans="1:3" x14ac:dyDescent="0.25">
      <c r="A488" s="29" t="s">
        <v>589</v>
      </c>
      <c r="B488" s="28" t="s">
        <v>58</v>
      </c>
      <c r="C488" t="s">
        <v>49</v>
      </c>
    </row>
    <row r="489" spans="1:3" x14ac:dyDescent="0.25">
      <c r="A489" s="29" t="s">
        <v>590</v>
      </c>
      <c r="B489" s="28" t="s">
        <v>58</v>
      </c>
      <c r="C489" t="s">
        <v>49</v>
      </c>
    </row>
    <row r="490" spans="1:3" x14ac:dyDescent="0.25">
      <c r="A490" s="29" t="s">
        <v>591</v>
      </c>
      <c r="B490" s="28" t="s">
        <v>58</v>
      </c>
      <c r="C490" t="s">
        <v>49</v>
      </c>
    </row>
    <row r="491" spans="1:3" x14ac:dyDescent="0.25">
      <c r="A491" s="29" t="s">
        <v>592</v>
      </c>
      <c r="B491" s="28" t="s">
        <v>58</v>
      </c>
      <c r="C491" t="s">
        <v>49</v>
      </c>
    </row>
    <row r="492" spans="1:3" x14ac:dyDescent="0.25">
      <c r="A492" s="29" t="s">
        <v>593</v>
      </c>
      <c r="B492" s="28" t="s">
        <v>58</v>
      </c>
      <c r="C492" t="s">
        <v>49</v>
      </c>
    </row>
    <row r="493" spans="1:3" x14ac:dyDescent="0.25">
      <c r="A493" s="29" t="s">
        <v>594</v>
      </c>
      <c r="B493" s="28" t="s">
        <v>58</v>
      </c>
      <c r="C493" t="s">
        <v>49</v>
      </c>
    </row>
    <row r="494" spans="1:3" x14ac:dyDescent="0.25">
      <c r="A494" s="29" t="s">
        <v>595</v>
      </c>
      <c r="B494" s="28" t="s">
        <v>58</v>
      </c>
      <c r="C494" t="s">
        <v>49</v>
      </c>
    </row>
    <row r="495" spans="1:3" x14ac:dyDescent="0.25">
      <c r="A495" s="29" t="s">
        <v>596</v>
      </c>
      <c r="B495" s="28" t="s">
        <v>58</v>
      </c>
      <c r="C495" t="s">
        <v>49</v>
      </c>
    </row>
    <row r="496" spans="1:3" x14ac:dyDescent="0.25">
      <c r="A496" s="29" t="s">
        <v>597</v>
      </c>
      <c r="B496" s="28" t="s">
        <v>58</v>
      </c>
      <c r="C496" t="s">
        <v>51</v>
      </c>
    </row>
    <row r="497" spans="1:3" x14ac:dyDescent="0.25">
      <c r="A497" s="29" t="s">
        <v>598</v>
      </c>
      <c r="B497" s="28" t="s">
        <v>58</v>
      </c>
      <c r="C497" t="s">
        <v>51</v>
      </c>
    </row>
    <row r="498" spans="1:3" x14ac:dyDescent="0.25">
      <c r="A498" s="29" t="s">
        <v>599</v>
      </c>
      <c r="B498" s="28" t="s">
        <v>58</v>
      </c>
      <c r="C498" t="s">
        <v>51</v>
      </c>
    </row>
    <row r="499" spans="1:3" x14ac:dyDescent="0.25">
      <c r="A499" s="29" t="s">
        <v>600</v>
      </c>
      <c r="B499" s="28" t="s">
        <v>58</v>
      </c>
      <c r="C499" t="s">
        <v>51</v>
      </c>
    </row>
    <row r="500" spans="1:3" x14ac:dyDescent="0.25">
      <c r="A500" s="29" t="s">
        <v>601</v>
      </c>
      <c r="B500" s="28" t="s">
        <v>58</v>
      </c>
      <c r="C500" t="s">
        <v>51</v>
      </c>
    </row>
    <row r="501" spans="1:3" x14ac:dyDescent="0.25">
      <c r="A501" s="29" t="s">
        <v>602</v>
      </c>
      <c r="B501" s="28" t="s">
        <v>58</v>
      </c>
      <c r="C501" t="s">
        <v>51</v>
      </c>
    </row>
    <row r="502" spans="1:3" x14ac:dyDescent="0.25">
      <c r="A502" s="29" t="s">
        <v>603</v>
      </c>
      <c r="B502" s="28" t="s">
        <v>58</v>
      </c>
      <c r="C502" t="s">
        <v>51</v>
      </c>
    </row>
    <row r="503" spans="1:3" x14ac:dyDescent="0.25">
      <c r="A503" s="29" t="s">
        <v>604</v>
      </c>
      <c r="B503" s="28" t="s">
        <v>58</v>
      </c>
      <c r="C503" t="s">
        <v>51</v>
      </c>
    </row>
    <row r="504" spans="1:3" x14ac:dyDescent="0.25">
      <c r="A504" s="29" t="s">
        <v>605</v>
      </c>
      <c r="B504" s="28" t="s">
        <v>58</v>
      </c>
      <c r="C504" t="s">
        <v>51</v>
      </c>
    </row>
    <row r="505" spans="1:3" x14ac:dyDescent="0.25">
      <c r="A505" s="29" t="s">
        <v>606</v>
      </c>
      <c r="B505" s="28" t="s">
        <v>58</v>
      </c>
      <c r="C505" t="s">
        <v>51</v>
      </c>
    </row>
    <row r="506" spans="1:3" x14ac:dyDescent="0.25">
      <c r="A506" s="29" t="s">
        <v>607</v>
      </c>
      <c r="B506" s="28" t="s">
        <v>58</v>
      </c>
      <c r="C506" t="s">
        <v>51</v>
      </c>
    </row>
    <row r="507" spans="1:3" x14ac:dyDescent="0.25">
      <c r="A507" s="29" t="s">
        <v>608</v>
      </c>
      <c r="B507" s="28" t="s">
        <v>58</v>
      </c>
      <c r="C507" t="s">
        <v>49</v>
      </c>
    </row>
    <row r="508" spans="1:3" x14ac:dyDescent="0.25">
      <c r="A508" s="29" t="s">
        <v>609</v>
      </c>
      <c r="B508" s="28" t="s">
        <v>58</v>
      </c>
      <c r="C508" t="s">
        <v>49</v>
      </c>
    </row>
    <row r="509" spans="1:3" x14ac:dyDescent="0.25">
      <c r="A509" s="29" t="s">
        <v>610</v>
      </c>
      <c r="B509" s="28" t="s">
        <v>58</v>
      </c>
      <c r="C509" t="s">
        <v>49</v>
      </c>
    </row>
    <row r="510" spans="1:3" x14ac:dyDescent="0.25">
      <c r="A510" s="29" t="s">
        <v>611</v>
      </c>
      <c r="B510" s="28" t="s">
        <v>58</v>
      </c>
      <c r="C510" t="s">
        <v>49</v>
      </c>
    </row>
    <row r="511" spans="1:3" x14ac:dyDescent="0.25">
      <c r="A511" s="29" t="s">
        <v>612</v>
      </c>
      <c r="B511" s="28" t="s">
        <v>58</v>
      </c>
      <c r="C511" t="s">
        <v>49</v>
      </c>
    </row>
    <row r="512" spans="1:3" x14ac:dyDescent="0.25">
      <c r="A512" s="29" t="s">
        <v>613</v>
      </c>
      <c r="B512" s="28" t="s">
        <v>58</v>
      </c>
      <c r="C512" t="s">
        <v>49</v>
      </c>
    </row>
    <row r="513" spans="1:3" x14ac:dyDescent="0.25">
      <c r="A513" s="29" t="s">
        <v>614</v>
      </c>
      <c r="B513" s="28" t="s">
        <v>58</v>
      </c>
      <c r="C513" t="s">
        <v>49</v>
      </c>
    </row>
    <row r="514" spans="1:3" x14ac:dyDescent="0.25">
      <c r="A514" s="29" t="s">
        <v>615</v>
      </c>
      <c r="B514" s="28" t="s">
        <v>58</v>
      </c>
      <c r="C514" t="s">
        <v>49</v>
      </c>
    </row>
    <row r="515" spans="1:3" x14ac:dyDescent="0.25">
      <c r="A515" s="29" t="s">
        <v>616</v>
      </c>
      <c r="B515" s="28" t="s">
        <v>58</v>
      </c>
      <c r="C515" t="s">
        <v>49</v>
      </c>
    </row>
    <row r="516" spans="1:3" x14ac:dyDescent="0.25">
      <c r="A516" s="29" t="s">
        <v>617</v>
      </c>
      <c r="B516" s="28" t="s">
        <v>58</v>
      </c>
      <c r="C516" t="s">
        <v>49</v>
      </c>
    </row>
    <row r="517" spans="1:3" x14ac:dyDescent="0.25">
      <c r="A517" s="29" t="s">
        <v>618</v>
      </c>
      <c r="B517" s="28" t="s">
        <v>58</v>
      </c>
      <c r="C517" t="s">
        <v>49</v>
      </c>
    </row>
    <row r="518" spans="1:3" x14ac:dyDescent="0.25">
      <c r="A518" s="29" t="s">
        <v>619</v>
      </c>
      <c r="B518" s="28" t="s">
        <v>58</v>
      </c>
      <c r="C518" t="s">
        <v>49</v>
      </c>
    </row>
    <row r="519" spans="1:3" x14ac:dyDescent="0.25">
      <c r="A519" s="29" t="s">
        <v>620</v>
      </c>
      <c r="B519" s="28" t="s">
        <v>58</v>
      </c>
      <c r="C519" t="s">
        <v>49</v>
      </c>
    </row>
    <row r="520" spans="1:3" x14ac:dyDescent="0.25">
      <c r="A520" s="29" t="s">
        <v>621</v>
      </c>
      <c r="B520" s="28" t="s">
        <v>58</v>
      </c>
      <c r="C520" t="s">
        <v>49</v>
      </c>
    </row>
    <row r="521" spans="1:3" x14ac:dyDescent="0.25">
      <c r="A521" s="29" t="s">
        <v>622</v>
      </c>
      <c r="B521" s="28" t="s">
        <v>58</v>
      </c>
      <c r="C521" t="s">
        <v>49</v>
      </c>
    </row>
    <row r="522" spans="1:3" x14ac:dyDescent="0.25">
      <c r="A522" s="29" t="s">
        <v>623</v>
      </c>
      <c r="B522" s="28" t="s">
        <v>58</v>
      </c>
      <c r="C522" t="s">
        <v>49</v>
      </c>
    </row>
    <row r="523" spans="1:3" x14ac:dyDescent="0.25">
      <c r="A523" s="29" t="s">
        <v>624</v>
      </c>
      <c r="B523" s="28" t="s">
        <v>58</v>
      </c>
      <c r="C523" t="s">
        <v>49</v>
      </c>
    </row>
    <row r="524" spans="1:3" x14ac:dyDescent="0.25">
      <c r="A524" s="29" t="s">
        <v>625</v>
      </c>
      <c r="B524" s="28" t="s">
        <v>58</v>
      </c>
      <c r="C524" t="s">
        <v>49</v>
      </c>
    </row>
    <row r="525" spans="1:3" x14ac:dyDescent="0.25">
      <c r="A525" s="29" t="s">
        <v>626</v>
      </c>
      <c r="B525" s="28" t="s">
        <v>58</v>
      </c>
      <c r="C525" t="s">
        <v>49</v>
      </c>
    </row>
    <row r="526" spans="1:3" x14ac:dyDescent="0.25">
      <c r="A526" s="29" t="s">
        <v>627</v>
      </c>
      <c r="B526" s="28" t="s">
        <v>58</v>
      </c>
      <c r="C526" t="s">
        <v>49</v>
      </c>
    </row>
    <row r="527" spans="1:3" x14ac:dyDescent="0.25">
      <c r="A527" s="29" t="s">
        <v>628</v>
      </c>
      <c r="B527" s="28" t="s">
        <v>58</v>
      </c>
      <c r="C527" t="s">
        <v>49</v>
      </c>
    </row>
    <row r="528" spans="1:3" x14ac:dyDescent="0.25">
      <c r="A528" s="29" t="s">
        <v>629</v>
      </c>
      <c r="B528" s="28" t="s">
        <v>58</v>
      </c>
      <c r="C528" t="s">
        <v>49</v>
      </c>
    </row>
    <row r="529" spans="1:3" x14ac:dyDescent="0.25">
      <c r="A529" s="29" t="s">
        <v>630</v>
      </c>
      <c r="B529" s="28" t="s">
        <v>58</v>
      </c>
      <c r="C529" t="s">
        <v>49</v>
      </c>
    </row>
    <row r="530" spans="1:3" x14ac:dyDescent="0.25">
      <c r="A530" s="29" t="s">
        <v>631</v>
      </c>
      <c r="B530" s="28" t="s">
        <v>58</v>
      </c>
      <c r="C530" t="s">
        <v>49</v>
      </c>
    </row>
    <row r="531" spans="1:3" x14ac:dyDescent="0.25">
      <c r="A531" s="29" t="s">
        <v>632</v>
      </c>
      <c r="B531" s="28" t="s">
        <v>58</v>
      </c>
      <c r="C531" t="s">
        <v>49</v>
      </c>
    </row>
    <row r="532" spans="1:3" x14ac:dyDescent="0.25">
      <c r="A532" s="29" t="s">
        <v>633</v>
      </c>
      <c r="B532" s="28" t="s">
        <v>58</v>
      </c>
      <c r="C532" t="s">
        <v>49</v>
      </c>
    </row>
    <row r="533" spans="1:3" x14ac:dyDescent="0.25">
      <c r="A533" s="29" t="s">
        <v>634</v>
      </c>
      <c r="B533" s="28" t="s">
        <v>58</v>
      </c>
      <c r="C533" t="s">
        <v>49</v>
      </c>
    </row>
    <row r="534" spans="1:3" x14ac:dyDescent="0.25">
      <c r="A534" s="29" t="s">
        <v>635</v>
      </c>
      <c r="B534" s="28" t="s">
        <v>58</v>
      </c>
      <c r="C534" t="s">
        <v>49</v>
      </c>
    </row>
    <row r="535" spans="1:3" x14ac:dyDescent="0.25">
      <c r="A535" s="29" t="s">
        <v>636</v>
      </c>
      <c r="B535" s="28" t="s">
        <v>58</v>
      </c>
      <c r="C535" t="s">
        <v>49</v>
      </c>
    </row>
    <row r="536" spans="1:3" x14ac:dyDescent="0.25">
      <c r="A536" s="29" t="s">
        <v>637</v>
      </c>
      <c r="B536" s="28" t="s">
        <v>58</v>
      </c>
      <c r="C536" t="s">
        <v>49</v>
      </c>
    </row>
    <row r="537" spans="1:3" x14ac:dyDescent="0.25">
      <c r="A537" s="29" t="s">
        <v>638</v>
      </c>
      <c r="B537" s="28" t="s">
        <v>58</v>
      </c>
      <c r="C537" t="s">
        <v>49</v>
      </c>
    </row>
    <row r="538" spans="1:3" x14ac:dyDescent="0.25">
      <c r="A538" s="29" t="s">
        <v>639</v>
      </c>
      <c r="B538" s="28" t="s">
        <v>58</v>
      </c>
      <c r="C538" t="s">
        <v>49</v>
      </c>
    </row>
    <row r="539" spans="1:3" x14ac:dyDescent="0.25">
      <c r="A539" s="29" t="s">
        <v>640</v>
      </c>
      <c r="B539" s="28" t="s">
        <v>57</v>
      </c>
      <c r="C539" t="s">
        <v>49</v>
      </c>
    </row>
    <row r="540" spans="1:3" x14ac:dyDescent="0.25">
      <c r="A540" s="29" t="s">
        <v>641</v>
      </c>
      <c r="B540" s="28" t="s">
        <v>58</v>
      </c>
      <c r="C540" t="s">
        <v>49</v>
      </c>
    </row>
    <row r="541" spans="1:3" x14ac:dyDescent="0.25">
      <c r="A541" s="29" t="s">
        <v>642</v>
      </c>
      <c r="B541" s="28" t="s">
        <v>58</v>
      </c>
      <c r="C541" t="s">
        <v>49</v>
      </c>
    </row>
    <row r="542" spans="1:3" x14ac:dyDescent="0.25">
      <c r="A542" s="29" t="s">
        <v>643</v>
      </c>
      <c r="B542" s="28" t="s">
        <v>58</v>
      </c>
      <c r="C542" t="s">
        <v>49</v>
      </c>
    </row>
    <row r="543" spans="1:3" x14ac:dyDescent="0.25">
      <c r="A543" s="29" t="s">
        <v>644</v>
      </c>
      <c r="B543" s="28" t="s">
        <v>58</v>
      </c>
      <c r="C543" t="s">
        <v>50</v>
      </c>
    </row>
    <row r="544" spans="1:3" x14ac:dyDescent="0.25">
      <c r="A544" s="29" t="s">
        <v>645</v>
      </c>
      <c r="B544" s="28" t="s">
        <v>58</v>
      </c>
      <c r="C544" t="s">
        <v>50</v>
      </c>
    </row>
    <row r="545" spans="1:3" x14ac:dyDescent="0.25">
      <c r="A545" s="29" t="s">
        <v>646</v>
      </c>
      <c r="B545" s="28" t="s">
        <v>58</v>
      </c>
      <c r="C545" t="s">
        <v>50</v>
      </c>
    </row>
    <row r="546" spans="1:3" x14ac:dyDescent="0.25">
      <c r="A546" s="29" t="s">
        <v>647</v>
      </c>
      <c r="B546" s="28" t="s">
        <v>58</v>
      </c>
      <c r="C546" t="s">
        <v>50</v>
      </c>
    </row>
    <row r="547" spans="1:3" x14ac:dyDescent="0.25">
      <c r="A547" s="29" t="s">
        <v>648</v>
      </c>
      <c r="B547" s="28" t="s">
        <v>58</v>
      </c>
      <c r="C547" t="s">
        <v>50</v>
      </c>
    </row>
    <row r="548" spans="1:3" x14ac:dyDescent="0.25">
      <c r="A548" s="29" t="s">
        <v>649</v>
      </c>
      <c r="B548" s="28" t="s">
        <v>58</v>
      </c>
      <c r="C548" t="s">
        <v>50</v>
      </c>
    </row>
    <row r="549" spans="1:3" x14ac:dyDescent="0.25">
      <c r="A549" s="29" t="s">
        <v>650</v>
      </c>
      <c r="B549" s="28" t="s">
        <v>58</v>
      </c>
      <c r="C549" t="s">
        <v>50</v>
      </c>
    </row>
    <row r="550" spans="1:3" x14ac:dyDescent="0.25">
      <c r="A550" s="29" t="s">
        <v>651</v>
      </c>
      <c r="B550" s="28" t="s">
        <v>58</v>
      </c>
      <c r="C550" t="s">
        <v>50</v>
      </c>
    </row>
    <row r="551" spans="1:3" x14ac:dyDescent="0.25">
      <c r="A551" s="29" t="s">
        <v>652</v>
      </c>
      <c r="B551" s="28" t="s">
        <v>58</v>
      </c>
      <c r="C551" t="s">
        <v>50</v>
      </c>
    </row>
    <row r="552" spans="1:3" x14ac:dyDescent="0.25">
      <c r="A552" s="29" t="s">
        <v>653</v>
      </c>
      <c r="B552" s="28" t="s">
        <v>58</v>
      </c>
      <c r="C552" t="s">
        <v>50</v>
      </c>
    </row>
    <row r="553" spans="1:3" x14ac:dyDescent="0.25">
      <c r="A553" s="29" t="s">
        <v>654</v>
      </c>
      <c r="B553" s="28" t="s">
        <v>58</v>
      </c>
      <c r="C553" t="s">
        <v>50</v>
      </c>
    </row>
    <row r="554" spans="1:3" x14ac:dyDescent="0.25">
      <c r="A554" s="29" t="s">
        <v>655</v>
      </c>
      <c r="B554" s="28" t="s">
        <v>58</v>
      </c>
      <c r="C554" t="s">
        <v>50</v>
      </c>
    </row>
    <row r="555" spans="1:3" x14ac:dyDescent="0.25">
      <c r="A555" s="29" t="s">
        <v>656</v>
      </c>
      <c r="B555" s="28" t="s">
        <v>58</v>
      </c>
      <c r="C555" t="s">
        <v>50</v>
      </c>
    </row>
    <row r="556" spans="1:3" x14ac:dyDescent="0.25">
      <c r="A556" s="29" t="s">
        <v>657</v>
      </c>
      <c r="B556" s="28" t="s">
        <v>58</v>
      </c>
      <c r="C556" t="s">
        <v>50</v>
      </c>
    </row>
    <row r="557" spans="1:3" x14ac:dyDescent="0.25">
      <c r="A557" s="29" t="s">
        <v>658</v>
      </c>
      <c r="B557" s="28" t="s">
        <v>58</v>
      </c>
      <c r="C557" t="s">
        <v>50</v>
      </c>
    </row>
    <row r="558" spans="1:3" x14ac:dyDescent="0.25">
      <c r="A558" s="29" t="s">
        <v>659</v>
      </c>
      <c r="B558" s="28" t="s">
        <v>58</v>
      </c>
      <c r="C558" t="s">
        <v>50</v>
      </c>
    </row>
    <row r="559" spans="1:3" x14ac:dyDescent="0.25">
      <c r="A559" s="29" t="s">
        <v>660</v>
      </c>
      <c r="B559" s="28" t="s">
        <v>58</v>
      </c>
      <c r="C559" t="s">
        <v>50</v>
      </c>
    </row>
    <row r="560" spans="1:3" x14ac:dyDescent="0.25">
      <c r="A560" s="29" t="s">
        <v>661</v>
      </c>
      <c r="B560" s="28" t="s">
        <v>58</v>
      </c>
      <c r="C560" t="s">
        <v>50</v>
      </c>
    </row>
    <row r="561" spans="1:3" x14ac:dyDescent="0.25">
      <c r="A561" s="29" t="s">
        <v>662</v>
      </c>
      <c r="B561" s="28" t="s">
        <v>58</v>
      </c>
      <c r="C561" t="s">
        <v>50</v>
      </c>
    </row>
    <row r="562" spans="1:3" x14ac:dyDescent="0.25">
      <c r="A562" s="29" t="s">
        <v>663</v>
      </c>
      <c r="B562" s="28" t="s">
        <v>58</v>
      </c>
      <c r="C562" t="s">
        <v>50</v>
      </c>
    </row>
    <row r="563" spans="1:3" x14ac:dyDescent="0.25">
      <c r="A563" s="29" t="s">
        <v>664</v>
      </c>
      <c r="B563" s="28" t="s">
        <v>58</v>
      </c>
      <c r="C563" t="s">
        <v>50</v>
      </c>
    </row>
    <row r="564" spans="1:3" x14ac:dyDescent="0.25">
      <c r="A564" s="29" t="s">
        <v>665</v>
      </c>
      <c r="B564" s="28" t="s">
        <v>58</v>
      </c>
      <c r="C564" t="s">
        <v>50</v>
      </c>
    </row>
    <row r="565" spans="1:3" x14ac:dyDescent="0.25">
      <c r="A565" s="29" t="s">
        <v>666</v>
      </c>
      <c r="B565" s="28" t="s">
        <v>58</v>
      </c>
      <c r="C565" t="s">
        <v>50</v>
      </c>
    </row>
    <row r="566" spans="1:3" x14ac:dyDescent="0.25">
      <c r="A566" s="29" t="s">
        <v>667</v>
      </c>
      <c r="B566" s="28" t="s">
        <v>58</v>
      </c>
      <c r="C566" t="s">
        <v>50</v>
      </c>
    </row>
    <row r="567" spans="1:3" x14ac:dyDescent="0.25">
      <c r="A567" s="29" t="s">
        <v>668</v>
      </c>
      <c r="B567" s="28" t="s">
        <v>58</v>
      </c>
      <c r="C567" t="s">
        <v>50</v>
      </c>
    </row>
    <row r="568" spans="1:3" x14ac:dyDescent="0.25">
      <c r="A568" s="29" t="s">
        <v>669</v>
      </c>
      <c r="B568" s="28" t="s">
        <v>58</v>
      </c>
      <c r="C568" t="s">
        <v>50</v>
      </c>
    </row>
    <row r="569" spans="1:3" x14ac:dyDescent="0.25">
      <c r="A569" s="29" t="s">
        <v>670</v>
      </c>
      <c r="B569" s="28" t="s">
        <v>58</v>
      </c>
      <c r="C569" t="s">
        <v>50</v>
      </c>
    </row>
    <row r="570" spans="1:3" x14ac:dyDescent="0.25">
      <c r="A570" s="29" t="s">
        <v>671</v>
      </c>
      <c r="B570" s="28" t="s">
        <v>58</v>
      </c>
      <c r="C570" t="s">
        <v>50</v>
      </c>
    </row>
    <row r="571" spans="1:3" x14ac:dyDescent="0.25">
      <c r="A571" s="29" t="s">
        <v>672</v>
      </c>
      <c r="B571" s="28" t="s">
        <v>57</v>
      </c>
      <c r="C571" t="s">
        <v>50</v>
      </c>
    </row>
    <row r="572" spans="1:3" x14ac:dyDescent="0.25">
      <c r="A572" s="29" t="s">
        <v>673</v>
      </c>
      <c r="B572" s="28" t="s">
        <v>58</v>
      </c>
      <c r="C572" t="s">
        <v>50</v>
      </c>
    </row>
    <row r="573" spans="1:3" x14ac:dyDescent="0.25">
      <c r="A573" s="29" t="s">
        <v>674</v>
      </c>
      <c r="B573" s="28" t="s">
        <v>58</v>
      </c>
      <c r="C573" t="s">
        <v>50</v>
      </c>
    </row>
    <row r="574" spans="1:3" x14ac:dyDescent="0.25">
      <c r="A574" s="29" t="s">
        <v>675</v>
      </c>
      <c r="B574" s="28" t="s">
        <v>58</v>
      </c>
      <c r="C574" t="s">
        <v>50</v>
      </c>
    </row>
    <row r="575" spans="1:3" x14ac:dyDescent="0.25">
      <c r="A575" s="29" t="s">
        <v>676</v>
      </c>
      <c r="B575" s="28" t="s">
        <v>58</v>
      </c>
      <c r="C575" t="s">
        <v>50</v>
      </c>
    </row>
    <row r="576" spans="1:3" x14ac:dyDescent="0.25">
      <c r="A576" s="29" t="s">
        <v>677</v>
      </c>
      <c r="B576" s="28" t="s">
        <v>57</v>
      </c>
      <c r="C576" t="s">
        <v>50</v>
      </c>
    </row>
    <row r="577" spans="1:3" x14ac:dyDescent="0.25">
      <c r="A577" s="29" t="s">
        <v>678</v>
      </c>
      <c r="B577" s="28" t="s">
        <v>58</v>
      </c>
      <c r="C577" t="s">
        <v>50</v>
      </c>
    </row>
    <row r="578" spans="1:3" x14ac:dyDescent="0.25">
      <c r="A578" s="29" t="s">
        <v>679</v>
      </c>
      <c r="B578" s="28" t="s">
        <v>58</v>
      </c>
      <c r="C578" t="s">
        <v>50</v>
      </c>
    </row>
    <row r="579" spans="1:3" x14ac:dyDescent="0.25">
      <c r="A579" s="29" t="s">
        <v>680</v>
      </c>
      <c r="B579" s="28" t="s">
        <v>58</v>
      </c>
      <c r="C579" t="s">
        <v>50</v>
      </c>
    </row>
    <row r="580" spans="1:3" x14ac:dyDescent="0.25">
      <c r="A580" s="29" t="s">
        <v>681</v>
      </c>
      <c r="B580" s="28" t="s">
        <v>58</v>
      </c>
      <c r="C580" t="s">
        <v>50</v>
      </c>
    </row>
    <row r="581" spans="1:3" x14ac:dyDescent="0.25">
      <c r="A581" s="29" t="s">
        <v>682</v>
      </c>
      <c r="B581" s="28" t="s">
        <v>58</v>
      </c>
      <c r="C581" t="s">
        <v>50</v>
      </c>
    </row>
    <row r="582" spans="1:3" x14ac:dyDescent="0.25">
      <c r="A582" s="29" t="s">
        <v>683</v>
      </c>
      <c r="B582" s="28" t="s">
        <v>58</v>
      </c>
      <c r="C582" t="s">
        <v>50</v>
      </c>
    </row>
    <row r="583" spans="1:3" x14ac:dyDescent="0.25">
      <c r="A583" s="29" t="s">
        <v>684</v>
      </c>
      <c r="B583" s="28" t="s">
        <v>58</v>
      </c>
      <c r="C583" t="s">
        <v>50</v>
      </c>
    </row>
    <row r="584" spans="1:3" x14ac:dyDescent="0.25">
      <c r="A584" s="29" t="s">
        <v>685</v>
      </c>
      <c r="B584" s="28" t="s">
        <v>58</v>
      </c>
      <c r="C584" t="s">
        <v>50</v>
      </c>
    </row>
    <row r="585" spans="1:3" x14ac:dyDescent="0.25">
      <c r="A585" s="29" t="s">
        <v>686</v>
      </c>
      <c r="B585" s="28" t="s">
        <v>58</v>
      </c>
      <c r="C585" t="s">
        <v>50</v>
      </c>
    </row>
    <row r="586" spans="1:3" x14ac:dyDescent="0.25">
      <c r="A586" s="29" t="s">
        <v>687</v>
      </c>
      <c r="B586" s="28" t="s">
        <v>58</v>
      </c>
      <c r="C586" t="s">
        <v>50</v>
      </c>
    </row>
    <row r="587" spans="1:3" x14ac:dyDescent="0.25">
      <c r="A587" s="29" t="s">
        <v>688</v>
      </c>
      <c r="B587" s="28" t="s">
        <v>58</v>
      </c>
      <c r="C587" t="s">
        <v>50</v>
      </c>
    </row>
    <row r="588" spans="1:3" x14ac:dyDescent="0.25">
      <c r="A588" s="29" t="s">
        <v>689</v>
      </c>
      <c r="B588" s="28" t="s">
        <v>58</v>
      </c>
      <c r="C588" t="s">
        <v>50</v>
      </c>
    </row>
    <row r="589" spans="1:3" x14ac:dyDescent="0.25">
      <c r="A589" s="29" t="s">
        <v>690</v>
      </c>
      <c r="B589" s="28" t="s">
        <v>58</v>
      </c>
      <c r="C589" t="s">
        <v>50</v>
      </c>
    </row>
    <row r="590" spans="1:3" x14ac:dyDescent="0.25">
      <c r="A590" s="29" t="s">
        <v>691</v>
      </c>
      <c r="B590" s="28" t="s">
        <v>58</v>
      </c>
      <c r="C590" t="s">
        <v>50</v>
      </c>
    </row>
    <row r="591" spans="1:3" x14ac:dyDescent="0.25">
      <c r="A591" s="29" t="s">
        <v>692</v>
      </c>
      <c r="B591" s="28" t="s">
        <v>58</v>
      </c>
      <c r="C591" t="s">
        <v>50</v>
      </c>
    </row>
    <row r="592" spans="1:3" x14ac:dyDescent="0.25">
      <c r="A592" s="29" t="s">
        <v>693</v>
      </c>
      <c r="B592" s="28" t="s">
        <v>58</v>
      </c>
      <c r="C592" t="s">
        <v>50</v>
      </c>
    </row>
    <row r="593" spans="1:3" x14ac:dyDescent="0.25">
      <c r="A593" s="29" t="s">
        <v>694</v>
      </c>
      <c r="B593" s="28" t="s">
        <v>58</v>
      </c>
      <c r="C593" t="s">
        <v>50</v>
      </c>
    </row>
    <row r="594" spans="1:3" x14ac:dyDescent="0.25">
      <c r="A594" s="29" t="s">
        <v>695</v>
      </c>
      <c r="B594" s="28" t="s">
        <v>58</v>
      </c>
      <c r="C594" t="s">
        <v>50</v>
      </c>
    </row>
    <row r="595" spans="1:3" x14ac:dyDescent="0.25">
      <c r="A595" s="29" t="s">
        <v>696</v>
      </c>
      <c r="B595" s="28" t="s">
        <v>58</v>
      </c>
      <c r="C595" t="s">
        <v>50</v>
      </c>
    </row>
    <row r="596" spans="1:3" x14ac:dyDescent="0.25">
      <c r="A596" s="29" t="s">
        <v>697</v>
      </c>
      <c r="B596" s="28" t="s">
        <v>58</v>
      </c>
      <c r="C596" t="s">
        <v>50</v>
      </c>
    </row>
    <row r="597" spans="1:3" x14ac:dyDescent="0.25">
      <c r="A597" s="29" t="s">
        <v>698</v>
      </c>
      <c r="B597" s="28" t="s">
        <v>58</v>
      </c>
      <c r="C597" t="s">
        <v>50</v>
      </c>
    </row>
    <row r="598" spans="1:3" x14ac:dyDescent="0.25">
      <c r="A598" s="29" t="s">
        <v>699</v>
      </c>
      <c r="B598" s="28" t="s">
        <v>58</v>
      </c>
      <c r="C598" t="s">
        <v>50</v>
      </c>
    </row>
    <row r="599" spans="1:3" x14ac:dyDescent="0.25">
      <c r="A599" s="29" t="s">
        <v>700</v>
      </c>
      <c r="B599" s="28" t="s">
        <v>58</v>
      </c>
      <c r="C599" t="s">
        <v>50</v>
      </c>
    </row>
    <row r="600" spans="1:3" x14ac:dyDescent="0.25">
      <c r="A600" s="29" t="s">
        <v>701</v>
      </c>
      <c r="B600" s="28" t="s">
        <v>58</v>
      </c>
      <c r="C600" t="s">
        <v>50</v>
      </c>
    </row>
    <row r="601" spans="1:3" x14ac:dyDescent="0.25">
      <c r="A601" s="29" t="s">
        <v>702</v>
      </c>
      <c r="B601" s="28" t="s">
        <v>58</v>
      </c>
      <c r="C601" t="s">
        <v>50</v>
      </c>
    </row>
    <row r="602" spans="1:3" x14ac:dyDescent="0.25">
      <c r="A602" s="29" t="s">
        <v>703</v>
      </c>
      <c r="B602" s="28" t="s">
        <v>58</v>
      </c>
      <c r="C602" t="s">
        <v>50</v>
      </c>
    </row>
    <row r="603" spans="1:3" x14ac:dyDescent="0.25">
      <c r="A603" s="29" t="s">
        <v>704</v>
      </c>
      <c r="B603" s="28" t="s">
        <v>58</v>
      </c>
      <c r="C603" t="s">
        <v>48</v>
      </c>
    </row>
    <row r="604" spans="1:3" x14ac:dyDescent="0.25">
      <c r="A604" s="29" t="s">
        <v>705</v>
      </c>
      <c r="B604" s="28" t="s">
        <v>58</v>
      </c>
      <c r="C604" t="s">
        <v>48</v>
      </c>
    </row>
    <row r="605" spans="1:3" x14ac:dyDescent="0.25">
      <c r="A605" s="29" t="s">
        <v>706</v>
      </c>
      <c r="B605" s="28" t="s">
        <v>58</v>
      </c>
      <c r="C605" t="s">
        <v>48</v>
      </c>
    </row>
    <row r="606" spans="1:3" x14ac:dyDescent="0.25">
      <c r="A606" s="29" t="s">
        <v>707</v>
      </c>
      <c r="B606" s="28" t="s">
        <v>58</v>
      </c>
      <c r="C606" t="s">
        <v>48</v>
      </c>
    </row>
    <row r="607" spans="1:3" x14ac:dyDescent="0.25">
      <c r="A607" s="29" t="s">
        <v>708</v>
      </c>
      <c r="B607" s="28" t="s">
        <v>58</v>
      </c>
      <c r="C607" t="s">
        <v>48</v>
      </c>
    </row>
    <row r="608" spans="1:3" x14ac:dyDescent="0.25">
      <c r="A608" s="29" t="s">
        <v>709</v>
      </c>
      <c r="B608" s="28" t="s">
        <v>58</v>
      </c>
      <c r="C608" t="s">
        <v>48</v>
      </c>
    </row>
    <row r="609" spans="1:3" x14ac:dyDescent="0.25">
      <c r="A609" s="29" t="s">
        <v>710</v>
      </c>
      <c r="B609" s="28" t="s">
        <v>58</v>
      </c>
      <c r="C609" t="s">
        <v>48</v>
      </c>
    </row>
    <row r="610" spans="1:3" x14ac:dyDescent="0.25">
      <c r="A610" s="29" t="s">
        <v>711</v>
      </c>
      <c r="B610" s="28" t="s">
        <v>58</v>
      </c>
      <c r="C610" t="s">
        <v>48</v>
      </c>
    </row>
    <row r="611" spans="1:3" x14ac:dyDescent="0.25">
      <c r="A611" s="29" t="s">
        <v>712</v>
      </c>
      <c r="B611" s="28" t="s">
        <v>58</v>
      </c>
      <c r="C611" t="s">
        <v>48</v>
      </c>
    </row>
    <row r="612" spans="1:3" x14ac:dyDescent="0.25">
      <c r="A612" s="29" t="s">
        <v>713</v>
      </c>
      <c r="B612" s="28" t="s">
        <v>58</v>
      </c>
      <c r="C612" t="s">
        <v>48</v>
      </c>
    </row>
    <row r="613" spans="1:3" x14ac:dyDescent="0.25">
      <c r="A613" s="29" t="s">
        <v>714</v>
      </c>
      <c r="B613" s="28" t="s">
        <v>58</v>
      </c>
      <c r="C613" t="s">
        <v>48</v>
      </c>
    </row>
    <row r="614" spans="1:3" x14ac:dyDescent="0.25">
      <c r="A614" s="29" t="s">
        <v>715</v>
      </c>
      <c r="B614" s="28" t="s">
        <v>58</v>
      </c>
      <c r="C614" t="s">
        <v>48</v>
      </c>
    </row>
    <row r="615" spans="1:3" x14ac:dyDescent="0.25">
      <c r="A615" s="29" t="s">
        <v>716</v>
      </c>
      <c r="B615" s="28" t="s">
        <v>58</v>
      </c>
      <c r="C615" t="s">
        <v>48</v>
      </c>
    </row>
    <row r="616" spans="1:3" x14ac:dyDescent="0.25">
      <c r="A616" s="29" t="s">
        <v>717</v>
      </c>
      <c r="B616" s="28" t="s">
        <v>58</v>
      </c>
      <c r="C616" t="s">
        <v>48</v>
      </c>
    </row>
    <row r="617" spans="1:3" x14ac:dyDescent="0.25">
      <c r="A617" s="29" t="s">
        <v>718</v>
      </c>
      <c r="B617" s="28" t="s">
        <v>58</v>
      </c>
      <c r="C617" t="s">
        <v>48</v>
      </c>
    </row>
    <row r="618" spans="1:3" x14ac:dyDescent="0.25">
      <c r="A618" s="29" t="s">
        <v>719</v>
      </c>
      <c r="B618" s="28" t="s">
        <v>58</v>
      </c>
      <c r="C618" t="s">
        <v>48</v>
      </c>
    </row>
    <row r="619" spans="1:3" x14ac:dyDescent="0.25">
      <c r="A619" s="29" t="s">
        <v>720</v>
      </c>
      <c r="B619" s="28" t="s">
        <v>58</v>
      </c>
      <c r="C619" t="s">
        <v>48</v>
      </c>
    </row>
    <row r="620" spans="1:3" x14ac:dyDescent="0.25">
      <c r="A620" s="29" t="s">
        <v>721</v>
      </c>
      <c r="B620" s="28" t="s">
        <v>58</v>
      </c>
      <c r="C620" t="s">
        <v>50</v>
      </c>
    </row>
    <row r="621" spans="1:3" x14ac:dyDescent="0.25">
      <c r="A621" s="29" t="s">
        <v>722</v>
      </c>
      <c r="B621" s="28" t="s">
        <v>58</v>
      </c>
      <c r="C621" t="s">
        <v>50</v>
      </c>
    </row>
    <row r="622" spans="1:3" x14ac:dyDescent="0.25">
      <c r="A622" s="29" t="s">
        <v>723</v>
      </c>
      <c r="B622" s="28" t="s">
        <v>58</v>
      </c>
      <c r="C622" t="s">
        <v>50</v>
      </c>
    </row>
    <row r="623" spans="1:3" x14ac:dyDescent="0.25">
      <c r="A623" s="29" t="s">
        <v>724</v>
      </c>
      <c r="B623" s="28" t="s">
        <v>58</v>
      </c>
      <c r="C623" t="s">
        <v>50</v>
      </c>
    </row>
    <row r="624" spans="1:3" x14ac:dyDescent="0.25">
      <c r="A624" s="29" t="s">
        <v>725</v>
      </c>
      <c r="B624" s="28" t="s">
        <v>58</v>
      </c>
      <c r="C624" t="s">
        <v>50</v>
      </c>
    </row>
    <row r="625" spans="1:3" x14ac:dyDescent="0.25">
      <c r="A625" s="29" t="s">
        <v>726</v>
      </c>
      <c r="B625" s="28" t="s">
        <v>58</v>
      </c>
      <c r="C625" t="s">
        <v>50</v>
      </c>
    </row>
    <row r="626" spans="1:3" x14ac:dyDescent="0.25">
      <c r="A626" s="29" t="s">
        <v>727</v>
      </c>
      <c r="B626" s="28" t="s">
        <v>58</v>
      </c>
      <c r="C626" t="s">
        <v>50</v>
      </c>
    </row>
    <row r="627" spans="1:3" x14ac:dyDescent="0.25">
      <c r="A627" s="29" t="s">
        <v>728</v>
      </c>
      <c r="B627" s="28" t="s">
        <v>58</v>
      </c>
      <c r="C627" t="s">
        <v>50</v>
      </c>
    </row>
    <row r="628" spans="1:3" x14ac:dyDescent="0.25">
      <c r="A628" s="29" t="s">
        <v>729</v>
      </c>
      <c r="B628" s="28" t="s">
        <v>58</v>
      </c>
      <c r="C628" t="s">
        <v>50</v>
      </c>
    </row>
    <row r="629" spans="1:3" x14ac:dyDescent="0.25">
      <c r="A629" s="29" t="s">
        <v>730</v>
      </c>
      <c r="B629" s="28" t="s">
        <v>58</v>
      </c>
      <c r="C629" t="s">
        <v>50</v>
      </c>
    </row>
    <row r="630" spans="1:3" x14ac:dyDescent="0.25">
      <c r="A630" s="29" t="s">
        <v>731</v>
      </c>
      <c r="B630" s="28" t="s">
        <v>58</v>
      </c>
      <c r="C630" t="s">
        <v>50</v>
      </c>
    </row>
    <row r="631" spans="1:3" x14ac:dyDescent="0.25">
      <c r="A631" s="29" t="s">
        <v>732</v>
      </c>
      <c r="B631" s="28" t="s">
        <v>58</v>
      </c>
      <c r="C631" t="s">
        <v>50</v>
      </c>
    </row>
    <row r="632" spans="1:3" x14ac:dyDescent="0.25">
      <c r="A632" s="29" t="s">
        <v>733</v>
      </c>
      <c r="B632" s="28" t="s">
        <v>58</v>
      </c>
      <c r="C632" t="s">
        <v>50</v>
      </c>
    </row>
    <row r="633" spans="1:3" x14ac:dyDescent="0.25">
      <c r="A633" s="29" t="s">
        <v>734</v>
      </c>
      <c r="B633" s="28" t="s">
        <v>58</v>
      </c>
      <c r="C633" t="s">
        <v>50</v>
      </c>
    </row>
    <row r="634" spans="1:3" x14ac:dyDescent="0.25">
      <c r="A634" s="29" t="s">
        <v>735</v>
      </c>
      <c r="B634" s="28" t="s">
        <v>58</v>
      </c>
      <c r="C634" t="s">
        <v>50</v>
      </c>
    </row>
    <row r="635" spans="1:3" x14ac:dyDescent="0.25">
      <c r="A635" s="29" t="s">
        <v>736</v>
      </c>
      <c r="B635" s="28" t="s">
        <v>58</v>
      </c>
      <c r="C635" t="s">
        <v>50</v>
      </c>
    </row>
    <row r="636" spans="1:3" x14ac:dyDescent="0.25">
      <c r="A636" s="29" t="s">
        <v>737</v>
      </c>
      <c r="B636" s="28" t="s">
        <v>58</v>
      </c>
      <c r="C636" t="s">
        <v>50</v>
      </c>
    </row>
    <row r="637" spans="1:3" x14ac:dyDescent="0.25">
      <c r="A637" s="29" t="s">
        <v>738</v>
      </c>
      <c r="B637" s="28" t="s">
        <v>58</v>
      </c>
      <c r="C637" t="s">
        <v>52</v>
      </c>
    </row>
    <row r="638" spans="1:3" x14ac:dyDescent="0.25">
      <c r="A638" s="29" t="s">
        <v>739</v>
      </c>
      <c r="B638" s="28" t="s">
        <v>58</v>
      </c>
      <c r="C638" t="s">
        <v>52</v>
      </c>
    </row>
    <row r="639" spans="1:3" x14ac:dyDescent="0.25">
      <c r="A639" s="29" t="s">
        <v>740</v>
      </c>
      <c r="B639" s="28" t="s">
        <v>58</v>
      </c>
      <c r="C639" t="s">
        <v>52</v>
      </c>
    </row>
    <row r="640" spans="1:3" x14ac:dyDescent="0.25">
      <c r="A640" s="29" t="s">
        <v>741</v>
      </c>
      <c r="B640" s="28" t="s">
        <v>58</v>
      </c>
      <c r="C640" t="s">
        <v>52</v>
      </c>
    </row>
    <row r="641" spans="1:3" x14ac:dyDescent="0.25">
      <c r="A641" s="29" t="s">
        <v>742</v>
      </c>
      <c r="B641" s="28" t="s">
        <v>58</v>
      </c>
      <c r="C641" t="s">
        <v>52</v>
      </c>
    </row>
    <row r="642" spans="1:3" x14ac:dyDescent="0.25">
      <c r="A642" s="29" t="s">
        <v>743</v>
      </c>
      <c r="B642" s="28" t="s">
        <v>58</v>
      </c>
      <c r="C642" t="s">
        <v>52</v>
      </c>
    </row>
    <row r="643" spans="1:3" x14ac:dyDescent="0.25">
      <c r="A643" s="29" t="s">
        <v>744</v>
      </c>
      <c r="B643" s="28" t="s">
        <v>58</v>
      </c>
      <c r="C643" t="s">
        <v>52</v>
      </c>
    </row>
    <row r="644" spans="1:3" x14ac:dyDescent="0.25">
      <c r="A644" s="29" t="s">
        <v>745</v>
      </c>
      <c r="B644" s="28" t="s">
        <v>58</v>
      </c>
      <c r="C644" t="s">
        <v>52</v>
      </c>
    </row>
    <row r="645" spans="1:3" x14ac:dyDescent="0.25">
      <c r="A645" s="29" t="s">
        <v>746</v>
      </c>
      <c r="B645" s="28" t="s">
        <v>58</v>
      </c>
      <c r="C645" t="s">
        <v>52</v>
      </c>
    </row>
    <row r="646" spans="1:3" x14ac:dyDescent="0.25">
      <c r="A646" s="29" t="s">
        <v>747</v>
      </c>
      <c r="B646" s="28" t="s">
        <v>58</v>
      </c>
      <c r="C646" t="s">
        <v>52</v>
      </c>
    </row>
    <row r="647" spans="1:3" x14ac:dyDescent="0.25">
      <c r="A647" s="29" t="s">
        <v>748</v>
      </c>
      <c r="B647" s="28" t="s">
        <v>58</v>
      </c>
      <c r="C647" t="s">
        <v>52</v>
      </c>
    </row>
    <row r="648" spans="1:3" x14ac:dyDescent="0.25">
      <c r="A648" s="29" t="s">
        <v>749</v>
      </c>
      <c r="B648" s="28" t="s">
        <v>58</v>
      </c>
      <c r="C648" t="s">
        <v>52</v>
      </c>
    </row>
    <row r="649" spans="1:3" x14ac:dyDescent="0.25">
      <c r="A649" s="29" t="s">
        <v>750</v>
      </c>
      <c r="B649" s="28" t="s">
        <v>58</v>
      </c>
      <c r="C649" t="s">
        <v>52</v>
      </c>
    </row>
    <row r="650" spans="1:3" x14ac:dyDescent="0.25">
      <c r="A650" s="29" t="s">
        <v>751</v>
      </c>
      <c r="B650" s="28" t="s">
        <v>58</v>
      </c>
      <c r="C650" t="s">
        <v>52</v>
      </c>
    </row>
    <row r="651" spans="1:3" x14ac:dyDescent="0.25">
      <c r="A651" s="29" t="s">
        <v>752</v>
      </c>
      <c r="B651" s="28" t="s">
        <v>58</v>
      </c>
      <c r="C651" t="s">
        <v>52</v>
      </c>
    </row>
    <row r="652" spans="1:3" x14ac:dyDescent="0.25">
      <c r="A652" s="29" t="s">
        <v>753</v>
      </c>
      <c r="B652" s="28" t="s">
        <v>58</v>
      </c>
      <c r="C652" t="s">
        <v>52</v>
      </c>
    </row>
    <row r="653" spans="1:3" x14ac:dyDescent="0.25">
      <c r="A653" s="29" t="s">
        <v>754</v>
      </c>
      <c r="B653" s="28" t="s">
        <v>58</v>
      </c>
      <c r="C653" t="s">
        <v>52</v>
      </c>
    </row>
    <row r="654" spans="1:3" x14ac:dyDescent="0.25">
      <c r="A654" s="29" t="s">
        <v>755</v>
      </c>
      <c r="B654" s="28" t="s">
        <v>58</v>
      </c>
      <c r="C654" t="s">
        <v>52</v>
      </c>
    </row>
    <row r="655" spans="1:3" x14ac:dyDescent="0.25">
      <c r="A655" s="29" t="s">
        <v>756</v>
      </c>
      <c r="B655" s="28" t="s">
        <v>58</v>
      </c>
      <c r="C655" t="s">
        <v>52</v>
      </c>
    </row>
    <row r="656" spans="1:3" x14ac:dyDescent="0.25">
      <c r="A656" s="29" t="s">
        <v>757</v>
      </c>
      <c r="B656" s="28" t="s">
        <v>59</v>
      </c>
      <c r="C656" t="s">
        <v>52</v>
      </c>
    </row>
    <row r="657" spans="1:3" x14ac:dyDescent="0.25">
      <c r="A657" s="29" t="s">
        <v>759</v>
      </c>
      <c r="B657" s="28" t="s">
        <v>59</v>
      </c>
      <c r="C657" t="s">
        <v>52</v>
      </c>
    </row>
    <row r="658" spans="1:3" x14ac:dyDescent="0.25">
      <c r="A658" s="29" t="s">
        <v>760</v>
      </c>
      <c r="B658" s="28" t="s">
        <v>58</v>
      </c>
      <c r="C658" t="s">
        <v>52</v>
      </c>
    </row>
    <row r="659" spans="1:3" x14ac:dyDescent="0.25">
      <c r="A659" s="29" t="s">
        <v>761</v>
      </c>
      <c r="B659" s="28" t="s">
        <v>59</v>
      </c>
      <c r="C659" t="s">
        <v>52</v>
      </c>
    </row>
    <row r="660" spans="1:3" x14ac:dyDescent="0.25">
      <c r="A660" s="29" t="s">
        <v>762</v>
      </c>
      <c r="B660" s="28" t="s">
        <v>58</v>
      </c>
      <c r="C660" t="s">
        <v>52</v>
      </c>
    </row>
    <row r="661" spans="1:3" x14ac:dyDescent="0.25">
      <c r="A661" s="29" t="s">
        <v>763</v>
      </c>
      <c r="B661" s="28" t="s">
        <v>58</v>
      </c>
      <c r="C661" t="s">
        <v>52</v>
      </c>
    </row>
    <row r="662" spans="1:3" x14ac:dyDescent="0.25">
      <c r="A662" s="29" t="s">
        <v>764</v>
      </c>
      <c r="B662" s="28" t="s">
        <v>58</v>
      </c>
      <c r="C662" t="s">
        <v>52</v>
      </c>
    </row>
    <row r="663" spans="1:3" x14ac:dyDescent="0.25">
      <c r="A663" s="29" t="s">
        <v>765</v>
      </c>
      <c r="B663" s="28" t="s">
        <v>58</v>
      </c>
      <c r="C663" t="s">
        <v>52</v>
      </c>
    </row>
    <row r="664" spans="1:3" x14ac:dyDescent="0.25">
      <c r="A664" s="29" t="s">
        <v>766</v>
      </c>
      <c r="B664" s="28" t="s">
        <v>58</v>
      </c>
      <c r="C664" t="s">
        <v>52</v>
      </c>
    </row>
    <row r="665" spans="1:3" x14ac:dyDescent="0.25">
      <c r="A665" s="29" t="s">
        <v>767</v>
      </c>
      <c r="B665" s="28" t="s">
        <v>58</v>
      </c>
      <c r="C665" t="s">
        <v>52</v>
      </c>
    </row>
    <row r="666" spans="1:3" x14ac:dyDescent="0.25">
      <c r="A666" s="29" t="s">
        <v>768</v>
      </c>
      <c r="B666" s="28" t="s">
        <v>58</v>
      </c>
      <c r="C666" t="s">
        <v>52</v>
      </c>
    </row>
    <row r="667" spans="1:3" x14ac:dyDescent="0.25">
      <c r="A667" s="29" t="s">
        <v>769</v>
      </c>
      <c r="B667" s="28" t="s">
        <v>58</v>
      </c>
      <c r="C667" t="s">
        <v>52</v>
      </c>
    </row>
    <row r="668" spans="1:3" x14ac:dyDescent="0.25">
      <c r="A668" s="29" t="s">
        <v>770</v>
      </c>
      <c r="B668" s="28" t="s">
        <v>58</v>
      </c>
      <c r="C668" t="s">
        <v>52</v>
      </c>
    </row>
    <row r="669" spans="1:3" x14ac:dyDescent="0.25">
      <c r="A669" s="29" t="s">
        <v>771</v>
      </c>
      <c r="B669" s="28" t="s">
        <v>58</v>
      </c>
      <c r="C669" t="s">
        <v>52</v>
      </c>
    </row>
    <row r="670" spans="1:3" x14ac:dyDescent="0.25">
      <c r="A670" s="29" t="s">
        <v>772</v>
      </c>
      <c r="B670" s="28" t="s">
        <v>58</v>
      </c>
      <c r="C670" t="s">
        <v>52</v>
      </c>
    </row>
    <row r="671" spans="1:3" x14ac:dyDescent="0.25">
      <c r="A671" s="29" t="s">
        <v>773</v>
      </c>
      <c r="B671" s="28" t="s">
        <v>58</v>
      </c>
      <c r="C671" t="s">
        <v>48</v>
      </c>
    </row>
    <row r="672" spans="1:3" x14ac:dyDescent="0.25">
      <c r="A672" s="29" t="s">
        <v>774</v>
      </c>
      <c r="B672" s="28" t="s">
        <v>58</v>
      </c>
      <c r="C672" t="s">
        <v>48</v>
      </c>
    </row>
    <row r="673" spans="1:3" x14ac:dyDescent="0.25">
      <c r="A673" s="29" t="s">
        <v>775</v>
      </c>
      <c r="B673" s="28" t="s">
        <v>58</v>
      </c>
      <c r="C673" t="s">
        <v>48</v>
      </c>
    </row>
    <row r="674" spans="1:3" x14ac:dyDescent="0.25">
      <c r="A674" s="29" t="s">
        <v>776</v>
      </c>
      <c r="B674" s="28" t="s">
        <v>58</v>
      </c>
      <c r="C674" t="s">
        <v>48</v>
      </c>
    </row>
    <row r="675" spans="1:3" x14ac:dyDescent="0.25">
      <c r="A675" s="29" t="s">
        <v>777</v>
      </c>
      <c r="B675" s="28" t="s">
        <v>58</v>
      </c>
      <c r="C675" t="s">
        <v>48</v>
      </c>
    </row>
    <row r="676" spans="1:3" x14ac:dyDescent="0.25">
      <c r="A676" s="29" t="s">
        <v>778</v>
      </c>
      <c r="B676" s="28" t="s">
        <v>58</v>
      </c>
      <c r="C676" t="s">
        <v>48</v>
      </c>
    </row>
    <row r="677" spans="1:3" x14ac:dyDescent="0.25">
      <c r="A677" s="29" t="s">
        <v>779</v>
      </c>
      <c r="B677" s="28" t="s">
        <v>58</v>
      </c>
      <c r="C677" t="s">
        <v>48</v>
      </c>
    </row>
    <row r="678" spans="1:3" x14ac:dyDescent="0.25">
      <c r="A678" s="29" t="s">
        <v>780</v>
      </c>
      <c r="B678" s="28" t="s">
        <v>58</v>
      </c>
      <c r="C678" t="s">
        <v>48</v>
      </c>
    </row>
    <row r="679" spans="1:3" x14ac:dyDescent="0.25">
      <c r="A679" s="29" t="s">
        <v>781</v>
      </c>
      <c r="B679" s="28" t="s">
        <v>58</v>
      </c>
      <c r="C679" t="s">
        <v>48</v>
      </c>
    </row>
    <row r="680" spans="1:3" x14ac:dyDescent="0.25">
      <c r="A680" s="29" t="s">
        <v>782</v>
      </c>
      <c r="B680" s="28" t="s">
        <v>58</v>
      </c>
      <c r="C680" t="s">
        <v>48</v>
      </c>
    </row>
    <row r="681" spans="1:3" x14ac:dyDescent="0.25">
      <c r="A681" s="29" t="s">
        <v>783</v>
      </c>
      <c r="B681" s="28" t="s">
        <v>58</v>
      </c>
      <c r="C681" t="s">
        <v>48</v>
      </c>
    </row>
    <row r="682" spans="1:3" x14ac:dyDescent="0.25">
      <c r="A682" s="29" t="s">
        <v>784</v>
      </c>
      <c r="B682" s="28" t="s">
        <v>58</v>
      </c>
      <c r="C682" t="s">
        <v>48</v>
      </c>
    </row>
    <row r="683" spans="1:3" x14ac:dyDescent="0.25">
      <c r="A683" s="29" t="s">
        <v>785</v>
      </c>
      <c r="B683" s="28" t="s">
        <v>58</v>
      </c>
      <c r="C683" t="s">
        <v>48</v>
      </c>
    </row>
    <row r="684" spans="1:3" x14ac:dyDescent="0.25">
      <c r="A684" s="29" t="s">
        <v>786</v>
      </c>
      <c r="B684" s="28" t="s">
        <v>58</v>
      </c>
      <c r="C684" t="s">
        <v>48</v>
      </c>
    </row>
    <row r="685" spans="1:3" x14ac:dyDescent="0.25">
      <c r="A685" s="29" t="s">
        <v>787</v>
      </c>
      <c r="B685" s="28" t="s">
        <v>58</v>
      </c>
      <c r="C685" t="s">
        <v>48</v>
      </c>
    </row>
    <row r="686" spans="1:3" x14ac:dyDescent="0.25">
      <c r="A686" s="29" t="s">
        <v>788</v>
      </c>
      <c r="B686" s="28" t="s">
        <v>58</v>
      </c>
      <c r="C686" t="s">
        <v>48</v>
      </c>
    </row>
    <row r="687" spans="1:3" x14ac:dyDescent="0.25">
      <c r="A687" s="29" t="s">
        <v>789</v>
      </c>
      <c r="B687" s="28" t="s">
        <v>58</v>
      </c>
      <c r="C687" t="s">
        <v>48</v>
      </c>
    </row>
    <row r="688" spans="1:3" x14ac:dyDescent="0.25">
      <c r="A688" s="29" t="s">
        <v>790</v>
      </c>
      <c r="B688" s="28" t="s">
        <v>58</v>
      </c>
      <c r="C688" t="s">
        <v>48</v>
      </c>
    </row>
    <row r="689" spans="1:3" x14ac:dyDescent="0.25">
      <c r="A689" s="29" t="s">
        <v>791</v>
      </c>
      <c r="B689" s="28" t="s">
        <v>58</v>
      </c>
      <c r="C689" t="s">
        <v>48</v>
      </c>
    </row>
    <row r="690" spans="1:3" x14ac:dyDescent="0.25">
      <c r="A690" s="29" t="s">
        <v>792</v>
      </c>
      <c r="B690" s="28" t="s">
        <v>58</v>
      </c>
      <c r="C690" t="s">
        <v>48</v>
      </c>
    </row>
    <row r="691" spans="1:3" x14ac:dyDescent="0.25">
      <c r="A691" s="29" t="s">
        <v>793</v>
      </c>
      <c r="B691" s="28" t="s">
        <v>58</v>
      </c>
      <c r="C691" t="s">
        <v>48</v>
      </c>
    </row>
    <row r="692" spans="1:3" x14ac:dyDescent="0.25">
      <c r="A692" s="29" t="s">
        <v>794</v>
      </c>
      <c r="B692" s="28" t="s">
        <v>58</v>
      </c>
      <c r="C692" t="s">
        <v>48</v>
      </c>
    </row>
    <row r="693" spans="1:3" x14ac:dyDescent="0.25">
      <c r="A693" s="29" t="s">
        <v>795</v>
      </c>
      <c r="B693" s="28" t="s">
        <v>58</v>
      </c>
      <c r="C693" t="s">
        <v>48</v>
      </c>
    </row>
    <row r="694" spans="1:3" x14ac:dyDescent="0.25">
      <c r="A694" s="29" t="s">
        <v>796</v>
      </c>
      <c r="B694" s="28" t="s">
        <v>58</v>
      </c>
      <c r="C694" t="s">
        <v>48</v>
      </c>
    </row>
    <row r="695" spans="1:3" x14ac:dyDescent="0.25">
      <c r="A695" s="29" t="s">
        <v>797</v>
      </c>
      <c r="B695" s="28" t="s">
        <v>58</v>
      </c>
      <c r="C695" t="s">
        <v>48</v>
      </c>
    </row>
    <row r="696" spans="1:3" x14ac:dyDescent="0.25">
      <c r="A696" s="29" t="s">
        <v>798</v>
      </c>
      <c r="B696" s="28" t="s">
        <v>58</v>
      </c>
      <c r="C696" t="s">
        <v>48</v>
      </c>
    </row>
    <row r="697" spans="1:3" x14ac:dyDescent="0.25">
      <c r="A697" s="29" t="s">
        <v>799</v>
      </c>
      <c r="B697" s="28" t="s">
        <v>58</v>
      </c>
      <c r="C697" t="s">
        <v>48</v>
      </c>
    </row>
    <row r="698" spans="1:3" x14ac:dyDescent="0.25">
      <c r="A698" s="29" t="s">
        <v>800</v>
      </c>
      <c r="B698" s="28" t="s">
        <v>58</v>
      </c>
      <c r="C698" t="s">
        <v>48</v>
      </c>
    </row>
    <row r="699" spans="1:3" x14ac:dyDescent="0.25">
      <c r="A699" s="29" t="s">
        <v>801</v>
      </c>
      <c r="B699" s="28" t="s">
        <v>58</v>
      </c>
      <c r="C699" t="s">
        <v>48</v>
      </c>
    </row>
    <row r="700" spans="1:3" x14ac:dyDescent="0.25">
      <c r="A700" s="29" t="s">
        <v>802</v>
      </c>
      <c r="B700" s="28" t="s">
        <v>58</v>
      </c>
      <c r="C700" t="s">
        <v>48</v>
      </c>
    </row>
    <row r="701" spans="1:3" x14ac:dyDescent="0.25">
      <c r="A701" s="29" t="s">
        <v>803</v>
      </c>
      <c r="B701" s="28" t="s">
        <v>58</v>
      </c>
      <c r="C701" t="s">
        <v>48</v>
      </c>
    </row>
    <row r="702" spans="1:3" x14ac:dyDescent="0.25">
      <c r="A702" s="29" t="s">
        <v>804</v>
      </c>
      <c r="B702" s="28" t="s">
        <v>58</v>
      </c>
      <c r="C702" t="s">
        <v>48</v>
      </c>
    </row>
    <row r="703" spans="1:3" x14ac:dyDescent="0.25">
      <c r="A703" s="29" t="s">
        <v>805</v>
      </c>
      <c r="B703" s="28" t="s">
        <v>58</v>
      </c>
      <c r="C703" t="s">
        <v>48</v>
      </c>
    </row>
    <row r="704" spans="1:3" x14ac:dyDescent="0.25">
      <c r="A704" s="29" t="s">
        <v>806</v>
      </c>
      <c r="B704" s="28" t="s">
        <v>58</v>
      </c>
      <c r="C704" t="s">
        <v>48</v>
      </c>
    </row>
    <row r="705" spans="1:3" x14ac:dyDescent="0.25">
      <c r="A705" s="29" t="s">
        <v>807</v>
      </c>
      <c r="B705" s="28" t="s">
        <v>58</v>
      </c>
      <c r="C705" t="s">
        <v>48</v>
      </c>
    </row>
    <row r="706" spans="1:3" x14ac:dyDescent="0.25">
      <c r="A706" s="29" t="s">
        <v>808</v>
      </c>
      <c r="B706" s="28" t="s">
        <v>58</v>
      </c>
      <c r="C706" t="s">
        <v>48</v>
      </c>
    </row>
    <row r="707" spans="1:3" x14ac:dyDescent="0.25">
      <c r="A707" s="29" t="s">
        <v>809</v>
      </c>
      <c r="B707" s="28" t="s">
        <v>58</v>
      </c>
      <c r="C707" t="s">
        <v>48</v>
      </c>
    </row>
    <row r="708" spans="1:3" x14ac:dyDescent="0.25">
      <c r="A708" s="29" t="s">
        <v>810</v>
      </c>
      <c r="B708" s="28" t="s">
        <v>58</v>
      </c>
      <c r="C708" t="s">
        <v>48</v>
      </c>
    </row>
    <row r="709" spans="1:3" x14ac:dyDescent="0.25">
      <c r="A709" s="29" t="s">
        <v>811</v>
      </c>
      <c r="B709" s="28" t="s">
        <v>58</v>
      </c>
      <c r="C709" t="s">
        <v>48</v>
      </c>
    </row>
    <row r="710" spans="1:3" x14ac:dyDescent="0.25">
      <c r="A710" s="29" t="s">
        <v>812</v>
      </c>
      <c r="B710" s="28" t="s">
        <v>58</v>
      </c>
      <c r="C710" t="s">
        <v>48</v>
      </c>
    </row>
    <row r="711" spans="1:3" x14ac:dyDescent="0.25">
      <c r="A711" s="29" t="s">
        <v>813</v>
      </c>
      <c r="B711" s="28" t="s">
        <v>58</v>
      </c>
      <c r="C711" t="s">
        <v>48</v>
      </c>
    </row>
    <row r="712" spans="1:3" x14ac:dyDescent="0.25">
      <c r="A712" s="29" t="s">
        <v>814</v>
      </c>
      <c r="B712" s="28" t="s">
        <v>58</v>
      </c>
      <c r="C712" t="s">
        <v>48</v>
      </c>
    </row>
    <row r="713" spans="1:3" x14ac:dyDescent="0.25">
      <c r="A713" s="29" t="s">
        <v>815</v>
      </c>
      <c r="B713" s="28" t="s">
        <v>58</v>
      </c>
      <c r="C713" t="s">
        <v>48</v>
      </c>
    </row>
    <row r="714" spans="1:3" x14ac:dyDescent="0.25">
      <c r="A714" s="29" t="s">
        <v>816</v>
      </c>
      <c r="B714" s="28" t="s">
        <v>58</v>
      </c>
      <c r="C714" t="s">
        <v>48</v>
      </c>
    </row>
    <row r="715" spans="1:3" x14ac:dyDescent="0.25">
      <c r="A715" s="29" t="s">
        <v>817</v>
      </c>
      <c r="B715" s="28" t="s">
        <v>58</v>
      </c>
      <c r="C715" t="s">
        <v>48</v>
      </c>
    </row>
    <row r="716" spans="1:3" x14ac:dyDescent="0.25">
      <c r="A716" s="29" t="s">
        <v>818</v>
      </c>
      <c r="B716" s="28" t="s">
        <v>58</v>
      </c>
      <c r="C716" t="s">
        <v>48</v>
      </c>
    </row>
    <row r="717" spans="1:3" x14ac:dyDescent="0.25">
      <c r="A717" s="29" t="s">
        <v>819</v>
      </c>
      <c r="B717" s="28" t="s">
        <v>58</v>
      </c>
      <c r="C717" t="s">
        <v>48</v>
      </c>
    </row>
    <row r="718" spans="1:3" x14ac:dyDescent="0.25">
      <c r="A718" s="29" t="s">
        <v>820</v>
      </c>
      <c r="B718" s="28" t="s">
        <v>58</v>
      </c>
      <c r="C718" t="s">
        <v>48</v>
      </c>
    </row>
    <row r="719" spans="1:3" x14ac:dyDescent="0.25">
      <c r="A719" s="29" t="s">
        <v>821</v>
      </c>
      <c r="B719" s="28" t="s">
        <v>58</v>
      </c>
      <c r="C719" t="s">
        <v>48</v>
      </c>
    </row>
    <row r="720" spans="1:3" x14ac:dyDescent="0.25">
      <c r="A720" s="29" t="s">
        <v>822</v>
      </c>
      <c r="B720" s="28" t="s">
        <v>58</v>
      </c>
      <c r="C720" t="s">
        <v>48</v>
      </c>
    </row>
    <row r="721" spans="1:3" x14ac:dyDescent="0.25">
      <c r="A721" s="29" t="s">
        <v>823</v>
      </c>
      <c r="B721" s="28" t="s">
        <v>58</v>
      </c>
      <c r="C721" t="s">
        <v>48</v>
      </c>
    </row>
    <row r="722" spans="1:3" x14ac:dyDescent="0.25">
      <c r="A722" s="29" t="s">
        <v>824</v>
      </c>
      <c r="B722" s="28" t="s">
        <v>58</v>
      </c>
      <c r="C722" t="s">
        <v>49</v>
      </c>
    </row>
    <row r="723" spans="1:3" x14ac:dyDescent="0.25">
      <c r="A723" s="29" t="s">
        <v>825</v>
      </c>
      <c r="B723" s="28" t="s">
        <v>58</v>
      </c>
      <c r="C723" t="s">
        <v>49</v>
      </c>
    </row>
    <row r="724" spans="1:3" x14ac:dyDescent="0.25">
      <c r="A724" s="29" t="s">
        <v>826</v>
      </c>
      <c r="B724" s="28" t="s">
        <v>58</v>
      </c>
      <c r="C724" t="s">
        <v>49</v>
      </c>
    </row>
    <row r="725" spans="1:3" x14ac:dyDescent="0.25">
      <c r="A725" s="29" t="s">
        <v>827</v>
      </c>
      <c r="B725" s="28" t="s">
        <v>58</v>
      </c>
      <c r="C725" t="s">
        <v>49</v>
      </c>
    </row>
    <row r="726" spans="1:3" x14ac:dyDescent="0.25">
      <c r="A726" s="29" t="s">
        <v>828</v>
      </c>
      <c r="B726" s="28" t="s">
        <v>58</v>
      </c>
      <c r="C726" t="s">
        <v>49</v>
      </c>
    </row>
    <row r="727" spans="1:3" x14ac:dyDescent="0.25">
      <c r="A727" s="29" t="s">
        <v>829</v>
      </c>
      <c r="B727" s="28" t="s">
        <v>58</v>
      </c>
      <c r="C727" t="s">
        <v>49</v>
      </c>
    </row>
    <row r="728" spans="1:3" x14ac:dyDescent="0.25">
      <c r="A728" s="29" t="s">
        <v>830</v>
      </c>
      <c r="B728" s="28" t="s">
        <v>58</v>
      </c>
      <c r="C728" t="s">
        <v>49</v>
      </c>
    </row>
    <row r="729" spans="1:3" x14ac:dyDescent="0.25">
      <c r="A729" s="29" t="s">
        <v>831</v>
      </c>
      <c r="B729" s="28" t="s">
        <v>58</v>
      </c>
      <c r="C729" t="s">
        <v>49</v>
      </c>
    </row>
    <row r="730" spans="1:3" x14ac:dyDescent="0.25">
      <c r="A730" s="29" t="s">
        <v>832</v>
      </c>
      <c r="B730" s="28" t="s">
        <v>58</v>
      </c>
      <c r="C730" t="s">
        <v>49</v>
      </c>
    </row>
    <row r="731" spans="1:3" x14ac:dyDescent="0.25">
      <c r="A731" s="29" t="s">
        <v>833</v>
      </c>
      <c r="B731" s="28" t="s">
        <v>58</v>
      </c>
      <c r="C731" t="s">
        <v>49</v>
      </c>
    </row>
    <row r="732" spans="1:3" x14ac:dyDescent="0.25">
      <c r="A732" s="29" t="s">
        <v>834</v>
      </c>
      <c r="B732" s="28" t="s">
        <v>58</v>
      </c>
      <c r="C732" t="s">
        <v>49</v>
      </c>
    </row>
    <row r="733" spans="1:3" x14ac:dyDescent="0.25">
      <c r="A733" s="29" t="s">
        <v>835</v>
      </c>
      <c r="B733" s="28" t="s">
        <v>58</v>
      </c>
      <c r="C733" t="s">
        <v>49</v>
      </c>
    </row>
    <row r="734" spans="1:3" x14ac:dyDescent="0.25">
      <c r="A734" s="29" t="s">
        <v>836</v>
      </c>
      <c r="B734" s="28" t="s">
        <v>58</v>
      </c>
      <c r="C734" t="s">
        <v>49</v>
      </c>
    </row>
    <row r="735" spans="1:3" x14ac:dyDescent="0.25">
      <c r="A735" s="29" t="s">
        <v>837</v>
      </c>
      <c r="B735" s="28" t="s">
        <v>58</v>
      </c>
      <c r="C735" t="s">
        <v>49</v>
      </c>
    </row>
    <row r="736" spans="1:3" x14ac:dyDescent="0.25">
      <c r="A736" s="29" t="s">
        <v>838</v>
      </c>
      <c r="B736" s="28" t="s">
        <v>58</v>
      </c>
      <c r="C736" t="s">
        <v>49</v>
      </c>
    </row>
    <row r="737" spans="1:3" x14ac:dyDescent="0.25">
      <c r="A737" s="29" t="s">
        <v>839</v>
      </c>
      <c r="B737" s="28" t="s">
        <v>58</v>
      </c>
      <c r="C737" t="s">
        <v>49</v>
      </c>
    </row>
    <row r="738" spans="1:3" x14ac:dyDescent="0.25">
      <c r="A738" s="29" t="s">
        <v>840</v>
      </c>
      <c r="B738" s="28" t="s">
        <v>58</v>
      </c>
      <c r="C738" t="s">
        <v>49</v>
      </c>
    </row>
    <row r="739" spans="1:3" x14ac:dyDescent="0.25">
      <c r="A739" s="29" t="s">
        <v>841</v>
      </c>
      <c r="B739" s="28" t="s">
        <v>58</v>
      </c>
      <c r="C739" t="s">
        <v>49</v>
      </c>
    </row>
    <row r="740" spans="1:3" x14ac:dyDescent="0.25">
      <c r="A740" s="29" t="s">
        <v>842</v>
      </c>
      <c r="B740" s="28" t="s">
        <v>58</v>
      </c>
      <c r="C740" t="s">
        <v>49</v>
      </c>
    </row>
    <row r="741" spans="1:3" x14ac:dyDescent="0.25">
      <c r="A741" s="29" t="s">
        <v>843</v>
      </c>
      <c r="B741" s="28" t="s">
        <v>58</v>
      </c>
      <c r="C741" t="s">
        <v>49</v>
      </c>
    </row>
    <row r="742" spans="1:3" x14ac:dyDescent="0.25">
      <c r="A742" s="29" t="s">
        <v>844</v>
      </c>
      <c r="B742" s="28" t="s">
        <v>58</v>
      </c>
      <c r="C742" t="s">
        <v>49</v>
      </c>
    </row>
    <row r="743" spans="1:3" x14ac:dyDescent="0.25">
      <c r="A743" s="29" t="s">
        <v>845</v>
      </c>
      <c r="B743" s="28" t="s">
        <v>58</v>
      </c>
      <c r="C743" t="s">
        <v>49</v>
      </c>
    </row>
    <row r="744" spans="1:3" x14ac:dyDescent="0.25">
      <c r="A744" s="29" t="s">
        <v>846</v>
      </c>
      <c r="B744" s="28" t="s">
        <v>58</v>
      </c>
      <c r="C744" t="s">
        <v>49</v>
      </c>
    </row>
    <row r="745" spans="1:3" x14ac:dyDescent="0.25">
      <c r="A745" s="29" t="s">
        <v>847</v>
      </c>
      <c r="B745" s="28" t="s">
        <v>58</v>
      </c>
      <c r="C745" t="s">
        <v>49</v>
      </c>
    </row>
    <row r="746" spans="1:3" x14ac:dyDescent="0.25">
      <c r="A746" s="29" t="s">
        <v>848</v>
      </c>
      <c r="B746" s="28" t="s">
        <v>58</v>
      </c>
      <c r="C746" t="s">
        <v>49</v>
      </c>
    </row>
    <row r="747" spans="1:3" x14ac:dyDescent="0.25">
      <c r="A747" s="29" t="s">
        <v>849</v>
      </c>
      <c r="B747" s="28" t="s">
        <v>58</v>
      </c>
      <c r="C747" t="s">
        <v>49</v>
      </c>
    </row>
    <row r="748" spans="1:3" x14ac:dyDescent="0.25">
      <c r="A748" s="29" t="s">
        <v>850</v>
      </c>
      <c r="B748" s="28" t="s">
        <v>58</v>
      </c>
      <c r="C748" t="s">
        <v>49</v>
      </c>
    </row>
    <row r="749" spans="1:3" x14ac:dyDescent="0.25">
      <c r="A749" s="29" t="s">
        <v>851</v>
      </c>
      <c r="B749" s="28" t="s">
        <v>58</v>
      </c>
      <c r="C749" t="s">
        <v>49</v>
      </c>
    </row>
    <row r="750" spans="1:3" x14ac:dyDescent="0.25">
      <c r="A750" s="29" t="s">
        <v>852</v>
      </c>
      <c r="B750" s="28" t="s">
        <v>58</v>
      </c>
      <c r="C750" t="s">
        <v>49</v>
      </c>
    </row>
    <row r="751" spans="1:3" x14ac:dyDescent="0.25">
      <c r="A751" s="29" t="s">
        <v>853</v>
      </c>
      <c r="B751" s="28" t="s">
        <v>58</v>
      </c>
      <c r="C751" t="s">
        <v>49</v>
      </c>
    </row>
    <row r="752" spans="1:3" x14ac:dyDescent="0.25">
      <c r="A752" s="29" t="s">
        <v>854</v>
      </c>
      <c r="B752" s="28" t="s">
        <v>58</v>
      </c>
      <c r="C752" t="s">
        <v>49</v>
      </c>
    </row>
    <row r="753" spans="1:3" x14ac:dyDescent="0.25">
      <c r="A753" s="29" t="s">
        <v>855</v>
      </c>
      <c r="B753" s="28" t="s">
        <v>58</v>
      </c>
      <c r="C753" t="s">
        <v>49</v>
      </c>
    </row>
    <row r="754" spans="1:3" x14ac:dyDescent="0.25">
      <c r="A754" s="29" t="s">
        <v>856</v>
      </c>
      <c r="B754" s="28" t="s">
        <v>58</v>
      </c>
      <c r="C754" t="s">
        <v>49</v>
      </c>
    </row>
    <row r="755" spans="1:3" x14ac:dyDescent="0.25">
      <c r="A755" s="29" t="s">
        <v>857</v>
      </c>
      <c r="B755" s="28" t="s">
        <v>58</v>
      </c>
      <c r="C755" t="s">
        <v>49</v>
      </c>
    </row>
    <row r="756" spans="1:3" x14ac:dyDescent="0.25">
      <c r="A756" s="29" t="s">
        <v>858</v>
      </c>
      <c r="B756" s="28" t="s">
        <v>58</v>
      </c>
      <c r="C756" t="s">
        <v>49</v>
      </c>
    </row>
    <row r="757" spans="1:3" x14ac:dyDescent="0.25">
      <c r="A757" s="29" t="s">
        <v>859</v>
      </c>
      <c r="B757" s="28" t="s">
        <v>58</v>
      </c>
      <c r="C757" t="s">
        <v>49</v>
      </c>
    </row>
    <row r="758" spans="1:3" x14ac:dyDescent="0.25">
      <c r="A758" s="29" t="s">
        <v>860</v>
      </c>
      <c r="B758" s="28" t="s">
        <v>58</v>
      </c>
      <c r="C758" t="s">
        <v>49</v>
      </c>
    </row>
    <row r="759" spans="1:3" x14ac:dyDescent="0.25">
      <c r="A759" s="29" t="s">
        <v>861</v>
      </c>
      <c r="B759" s="28" t="s">
        <v>58</v>
      </c>
      <c r="C759" t="s">
        <v>49</v>
      </c>
    </row>
    <row r="760" spans="1:3" x14ac:dyDescent="0.25">
      <c r="A760" s="29" t="s">
        <v>862</v>
      </c>
      <c r="B760" s="28" t="s">
        <v>58</v>
      </c>
      <c r="C760" t="s">
        <v>49</v>
      </c>
    </row>
    <row r="761" spans="1:3" x14ac:dyDescent="0.25">
      <c r="A761" s="29" t="s">
        <v>863</v>
      </c>
      <c r="B761" s="28" t="s">
        <v>58</v>
      </c>
      <c r="C761" t="s">
        <v>49</v>
      </c>
    </row>
    <row r="762" spans="1:3" x14ac:dyDescent="0.25">
      <c r="A762" s="29" t="s">
        <v>864</v>
      </c>
      <c r="B762" s="28" t="s">
        <v>58</v>
      </c>
      <c r="C762" t="s">
        <v>49</v>
      </c>
    </row>
    <row r="763" spans="1:3" x14ac:dyDescent="0.25">
      <c r="A763" s="29" t="s">
        <v>865</v>
      </c>
      <c r="B763" s="28" t="s">
        <v>58</v>
      </c>
      <c r="C763" t="s">
        <v>50</v>
      </c>
    </row>
    <row r="764" spans="1:3" x14ac:dyDescent="0.25">
      <c r="A764" s="29" t="s">
        <v>866</v>
      </c>
      <c r="B764" s="28" t="s">
        <v>59</v>
      </c>
      <c r="C764" t="s">
        <v>50</v>
      </c>
    </row>
    <row r="765" spans="1:3" x14ac:dyDescent="0.25">
      <c r="A765" s="29" t="s">
        <v>868</v>
      </c>
      <c r="B765" s="28" t="s">
        <v>58</v>
      </c>
      <c r="C765" t="s">
        <v>50</v>
      </c>
    </row>
    <row r="766" spans="1:3" x14ac:dyDescent="0.25">
      <c r="A766" s="29" t="s">
        <v>869</v>
      </c>
      <c r="B766" s="28" t="s">
        <v>58</v>
      </c>
      <c r="C766" t="s">
        <v>50</v>
      </c>
    </row>
    <row r="767" spans="1:3" x14ac:dyDescent="0.25">
      <c r="A767" s="29" t="s">
        <v>870</v>
      </c>
      <c r="B767" s="28" t="s">
        <v>58</v>
      </c>
      <c r="C767" t="s">
        <v>49</v>
      </c>
    </row>
    <row r="768" spans="1:3" x14ac:dyDescent="0.25">
      <c r="A768" s="29" t="s">
        <v>871</v>
      </c>
      <c r="B768" s="28" t="s">
        <v>58</v>
      </c>
      <c r="C768" t="s">
        <v>49</v>
      </c>
    </row>
    <row r="769" spans="1:3" x14ac:dyDescent="0.25">
      <c r="A769" s="29" t="s">
        <v>872</v>
      </c>
      <c r="B769" s="28" t="s">
        <v>58</v>
      </c>
      <c r="C769" t="s">
        <v>49</v>
      </c>
    </row>
    <row r="770" spans="1:3" x14ac:dyDescent="0.25">
      <c r="A770" s="29" t="s">
        <v>873</v>
      </c>
      <c r="B770" s="28" t="s">
        <v>58</v>
      </c>
      <c r="C770" t="s">
        <v>49</v>
      </c>
    </row>
    <row r="771" spans="1:3" x14ac:dyDescent="0.25">
      <c r="A771" s="29" t="s">
        <v>874</v>
      </c>
      <c r="B771" s="28" t="s">
        <v>58</v>
      </c>
      <c r="C771" t="s">
        <v>49</v>
      </c>
    </row>
    <row r="772" spans="1:3" x14ac:dyDescent="0.25">
      <c r="A772" s="29" t="s">
        <v>875</v>
      </c>
      <c r="B772" s="28" t="s">
        <v>58</v>
      </c>
      <c r="C772" t="s">
        <v>49</v>
      </c>
    </row>
    <row r="773" spans="1:3" x14ac:dyDescent="0.25">
      <c r="A773" s="29" t="s">
        <v>876</v>
      </c>
      <c r="B773" s="28" t="s">
        <v>58</v>
      </c>
      <c r="C773" t="s">
        <v>49</v>
      </c>
    </row>
    <row r="774" spans="1:3" x14ac:dyDescent="0.25">
      <c r="A774" s="29" t="s">
        <v>877</v>
      </c>
      <c r="B774" s="28" t="s">
        <v>58</v>
      </c>
      <c r="C774" t="s">
        <v>49</v>
      </c>
    </row>
    <row r="775" spans="1:3" x14ac:dyDescent="0.25">
      <c r="A775" s="29" t="s">
        <v>878</v>
      </c>
      <c r="B775" s="28" t="s">
        <v>58</v>
      </c>
      <c r="C775" t="s">
        <v>49</v>
      </c>
    </row>
    <row r="776" spans="1:3" x14ac:dyDescent="0.25">
      <c r="A776" s="29" t="s">
        <v>879</v>
      </c>
      <c r="B776" s="28" t="s">
        <v>58</v>
      </c>
      <c r="C776" t="s">
        <v>49</v>
      </c>
    </row>
    <row r="777" spans="1:3" x14ac:dyDescent="0.25">
      <c r="A777" s="29" t="s">
        <v>880</v>
      </c>
      <c r="B777" s="28" t="s">
        <v>58</v>
      </c>
      <c r="C777" t="s">
        <v>49</v>
      </c>
    </row>
    <row r="778" spans="1:3" x14ac:dyDescent="0.25">
      <c r="A778" s="29" t="s">
        <v>881</v>
      </c>
      <c r="B778" s="28" t="s">
        <v>58</v>
      </c>
      <c r="C778" t="s">
        <v>49</v>
      </c>
    </row>
    <row r="779" spans="1:3" x14ac:dyDescent="0.25">
      <c r="A779" s="29" t="s">
        <v>882</v>
      </c>
      <c r="B779" s="28" t="s">
        <v>58</v>
      </c>
      <c r="C779" t="s">
        <v>49</v>
      </c>
    </row>
    <row r="780" spans="1:3" x14ac:dyDescent="0.25">
      <c r="A780" s="29" t="s">
        <v>883</v>
      </c>
      <c r="B780" s="28" t="s">
        <v>58</v>
      </c>
      <c r="C780" t="s">
        <v>49</v>
      </c>
    </row>
    <row r="781" spans="1:3" x14ac:dyDescent="0.25">
      <c r="A781" s="29" t="s">
        <v>884</v>
      </c>
      <c r="B781" s="28" t="s">
        <v>58</v>
      </c>
      <c r="C781" t="s">
        <v>49</v>
      </c>
    </row>
    <row r="782" spans="1:3" x14ac:dyDescent="0.25">
      <c r="A782" s="29" t="s">
        <v>885</v>
      </c>
      <c r="B782" s="28" t="s">
        <v>58</v>
      </c>
      <c r="C782" t="s">
        <v>49</v>
      </c>
    </row>
    <row r="783" spans="1:3" x14ac:dyDescent="0.25">
      <c r="A783" s="29" t="s">
        <v>886</v>
      </c>
      <c r="B783" s="28" t="s">
        <v>58</v>
      </c>
      <c r="C783" t="s">
        <v>49</v>
      </c>
    </row>
    <row r="784" spans="1:3" x14ac:dyDescent="0.25">
      <c r="A784" s="29" t="s">
        <v>887</v>
      </c>
      <c r="B784" s="28" t="s">
        <v>58</v>
      </c>
      <c r="C784" t="s">
        <v>49</v>
      </c>
    </row>
    <row r="785" spans="1:3" x14ac:dyDescent="0.25">
      <c r="A785" s="29" t="s">
        <v>888</v>
      </c>
      <c r="B785" s="28" t="s">
        <v>58</v>
      </c>
      <c r="C785" t="s">
        <v>49</v>
      </c>
    </row>
    <row r="786" spans="1:3" x14ac:dyDescent="0.25">
      <c r="A786" s="29" t="s">
        <v>889</v>
      </c>
      <c r="B786" s="28" t="s">
        <v>58</v>
      </c>
      <c r="C786" t="s">
        <v>49</v>
      </c>
    </row>
    <row r="787" spans="1:3" x14ac:dyDescent="0.25">
      <c r="A787" s="29" t="s">
        <v>890</v>
      </c>
      <c r="B787" s="28" t="s">
        <v>58</v>
      </c>
      <c r="C787" t="s">
        <v>49</v>
      </c>
    </row>
    <row r="788" spans="1:3" x14ac:dyDescent="0.25">
      <c r="A788" s="29" t="s">
        <v>891</v>
      </c>
      <c r="B788" s="28" t="s">
        <v>58</v>
      </c>
      <c r="C788" t="s">
        <v>52</v>
      </c>
    </row>
    <row r="789" spans="1:3" x14ac:dyDescent="0.25">
      <c r="A789" s="29" t="s">
        <v>892</v>
      </c>
      <c r="B789" s="28" t="s">
        <v>58</v>
      </c>
      <c r="C789" t="s">
        <v>52</v>
      </c>
    </row>
    <row r="790" spans="1:3" x14ac:dyDescent="0.25">
      <c r="A790" s="29" t="s">
        <v>893</v>
      </c>
      <c r="B790" s="28" t="s">
        <v>58</v>
      </c>
      <c r="C790" t="s">
        <v>52</v>
      </c>
    </row>
    <row r="791" spans="1:3" x14ac:dyDescent="0.25">
      <c r="A791" s="29" t="s">
        <v>894</v>
      </c>
      <c r="B791" s="28" t="s">
        <v>58</v>
      </c>
      <c r="C791" t="s">
        <v>52</v>
      </c>
    </row>
    <row r="792" spans="1:3" x14ac:dyDescent="0.25">
      <c r="A792" s="29" t="s">
        <v>895</v>
      </c>
      <c r="B792" s="28" t="s">
        <v>58</v>
      </c>
      <c r="C792" t="s">
        <v>52</v>
      </c>
    </row>
    <row r="793" spans="1:3" x14ac:dyDescent="0.25">
      <c r="A793" s="29" t="s">
        <v>896</v>
      </c>
      <c r="B793" s="28" t="s">
        <v>58</v>
      </c>
      <c r="C793" t="s">
        <v>52</v>
      </c>
    </row>
    <row r="794" spans="1:3" x14ac:dyDescent="0.25">
      <c r="A794" s="29" t="s">
        <v>897</v>
      </c>
      <c r="B794" s="28" t="s">
        <v>58</v>
      </c>
      <c r="C794" t="s">
        <v>52</v>
      </c>
    </row>
    <row r="795" spans="1:3" x14ac:dyDescent="0.25">
      <c r="A795" s="29" t="s">
        <v>898</v>
      </c>
      <c r="B795" s="28" t="s">
        <v>58</v>
      </c>
      <c r="C795" t="s">
        <v>52</v>
      </c>
    </row>
    <row r="796" spans="1:3" x14ac:dyDescent="0.25">
      <c r="A796" s="29" t="s">
        <v>899</v>
      </c>
      <c r="B796" s="28" t="s">
        <v>58</v>
      </c>
      <c r="C796" t="s">
        <v>52</v>
      </c>
    </row>
    <row r="797" spans="1:3" x14ac:dyDescent="0.25">
      <c r="A797" s="29" t="s">
        <v>900</v>
      </c>
      <c r="B797" s="28" t="s">
        <v>58</v>
      </c>
      <c r="C797" t="s">
        <v>52</v>
      </c>
    </row>
    <row r="798" spans="1:3" x14ac:dyDescent="0.25">
      <c r="A798" s="29" t="s">
        <v>901</v>
      </c>
      <c r="B798" s="28" t="s">
        <v>58</v>
      </c>
      <c r="C798" t="s">
        <v>52</v>
      </c>
    </row>
    <row r="799" spans="1:3" x14ac:dyDescent="0.25">
      <c r="A799" s="29" t="s">
        <v>902</v>
      </c>
      <c r="B799" s="28" t="s">
        <v>58</v>
      </c>
      <c r="C799" t="s">
        <v>52</v>
      </c>
    </row>
    <row r="800" spans="1:3" x14ac:dyDescent="0.25">
      <c r="A800" s="29" t="s">
        <v>903</v>
      </c>
      <c r="B800" s="28" t="s">
        <v>58</v>
      </c>
      <c r="C800" t="s">
        <v>52</v>
      </c>
    </row>
    <row r="801" spans="1:3" x14ac:dyDescent="0.25">
      <c r="A801" s="29" t="s">
        <v>904</v>
      </c>
      <c r="B801" s="28" t="s">
        <v>58</v>
      </c>
      <c r="C801" t="s">
        <v>52</v>
      </c>
    </row>
    <row r="802" spans="1:3" x14ac:dyDescent="0.25">
      <c r="A802" s="29" t="s">
        <v>905</v>
      </c>
      <c r="B802" s="28" t="s">
        <v>58</v>
      </c>
      <c r="C802" t="s">
        <v>52</v>
      </c>
    </row>
    <row r="803" spans="1:3" x14ac:dyDescent="0.25">
      <c r="A803" s="29" t="s">
        <v>906</v>
      </c>
      <c r="B803" s="28" t="s">
        <v>58</v>
      </c>
      <c r="C803" t="s">
        <v>52</v>
      </c>
    </row>
    <row r="804" spans="1:3" x14ac:dyDescent="0.25">
      <c r="A804" s="29" t="s">
        <v>907</v>
      </c>
      <c r="B804" s="28" t="s">
        <v>58</v>
      </c>
      <c r="C804" t="s">
        <v>52</v>
      </c>
    </row>
    <row r="805" spans="1:3" x14ac:dyDescent="0.25">
      <c r="A805" s="29" t="s">
        <v>908</v>
      </c>
      <c r="B805" s="28" t="s">
        <v>58</v>
      </c>
      <c r="C805" t="s">
        <v>52</v>
      </c>
    </row>
    <row r="806" spans="1:3" x14ac:dyDescent="0.25">
      <c r="A806" s="29" t="s">
        <v>909</v>
      </c>
      <c r="B806" s="28" t="s">
        <v>58</v>
      </c>
      <c r="C806" t="s">
        <v>52</v>
      </c>
    </row>
    <row r="807" spans="1:3" x14ac:dyDescent="0.25">
      <c r="A807" s="29" t="s">
        <v>910</v>
      </c>
      <c r="B807" s="28" t="s">
        <v>58</v>
      </c>
      <c r="C807" t="s">
        <v>52</v>
      </c>
    </row>
    <row r="808" spans="1:3" x14ac:dyDescent="0.25">
      <c r="A808" s="29" t="s">
        <v>911</v>
      </c>
      <c r="B808" s="28" t="s">
        <v>58</v>
      </c>
      <c r="C808" t="s">
        <v>52</v>
      </c>
    </row>
    <row r="809" spans="1:3" x14ac:dyDescent="0.25">
      <c r="A809" s="29" t="s">
        <v>912</v>
      </c>
      <c r="B809" s="28" t="s">
        <v>58</v>
      </c>
      <c r="C809" t="s">
        <v>52</v>
      </c>
    </row>
    <row r="810" spans="1:3" x14ac:dyDescent="0.25">
      <c r="A810" s="29" t="s">
        <v>913</v>
      </c>
      <c r="B810" s="28" t="s">
        <v>58</v>
      </c>
      <c r="C810" t="s">
        <v>52</v>
      </c>
    </row>
    <row r="811" spans="1:3" x14ac:dyDescent="0.25">
      <c r="A811" s="29" t="s">
        <v>914</v>
      </c>
      <c r="B811" s="28" t="s">
        <v>58</v>
      </c>
      <c r="C811" t="s">
        <v>52</v>
      </c>
    </row>
    <row r="812" spans="1:3" x14ac:dyDescent="0.25">
      <c r="A812" s="29" t="s">
        <v>915</v>
      </c>
      <c r="B812" s="28" t="s">
        <v>58</v>
      </c>
      <c r="C812" t="s">
        <v>52</v>
      </c>
    </row>
    <row r="813" spans="1:3" x14ac:dyDescent="0.25">
      <c r="A813" s="29" t="s">
        <v>916</v>
      </c>
      <c r="B813" s="28" t="s">
        <v>58</v>
      </c>
      <c r="C813" t="s">
        <v>52</v>
      </c>
    </row>
    <row r="814" spans="1:3" x14ac:dyDescent="0.25">
      <c r="A814" s="29" t="s">
        <v>917</v>
      </c>
      <c r="B814" s="28" t="s">
        <v>58</v>
      </c>
      <c r="C814" t="s">
        <v>52</v>
      </c>
    </row>
    <row r="815" spans="1:3" x14ac:dyDescent="0.25">
      <c r="A815" s="29" t="s">
        <v>918</v>
      </c>
      <c r="B815" s="28" t="s">
        <v>58</v>
      </c>
      <c r="C815" t="s">
        <v>52</v>
      </c>
    </row>
    <row r="816" spans="1:3" x14ac:dyDescent="0.25">
      <c r="A816" s="29" t="s">
        <v>919</v>
      </c>
      <c r="B816" s="28" t="s">
        <v>58</v>
      </c>
      <c r="C816" t="s">
        <v>52</v>
      </c>
    </row>
    <row r="817" spans="1:3" x14ac:dyDescent="0.25">
      <c r="A817" s="29" t="s">
        <v>920</v>
      </c>
      <c r="B817" s="28" t="s">
        <v>58</v>
      </c>
      <c r="C817" t="s">
        <v>52</v>
      </c>
    </row>
    <row r="818" spans="1:3" x14ac:dyDescent="0.25">
      <c r="A818" s="29" t="s">
        <v>921</v>
      </c>
      <c r="B818" s="28" t="s">
        <v>57</v>
      </c>
      <c r="C818" t="s">
        <v>52</v>
      </c>
    </row>
    <row r="819" spans="1:3" x14ac:dyDescent="0.25">
      <c r="A819" s="29" t="s">
        <v>922</v>
      </c>
      <c r="B819" s="28" t="s">
        <v>58</v>
      </c>
      <c r="C819" t="s">
        <v>52</v>
      </c>
    </row>
    <row r="820" spans="1:3" x14ac:dyDescent="0.25">
      <c r="A820" s="29" t="s">
        <v>923</v>
      </c>
      <c r="B820" s="28" t="s">
        <v>58</v>
      </c>
      <c r="C820" t="s">
        <v>52</v>
      </c>
    </row>
    <row r="821" spans="1:3" x14ac:dyDescent="0.25">
      <c r="A821" s="29" t="s">
        <v>924</v>
      </c>
      <c r="B821" s="28" t="s">
        <v>58</v>
      </c>
      <c r="C821" t="s">
        <v>52</v>
      </c>
    </row>
    <row r="822" spans="1:3" x14ac:dyDescent="0.25">
      <c r="A822" s="29" t="s">
        <v>925</v>
      </c>
      <c r="B822" s="28" t="s">
        <v>58</v>
      </c>
      <c r="C822" t="s">
        <v>52</v>
      </c>
    </row>
    <row r="823" spans="1:3" x14ac:dyDescent="0.25">
      <c r="A823" s="29" t="s">
        <v>926</v>
      </c>
      <c r="B823" s="28" t="s">
        <v>58</v>
      </c>
      <c r="C823" t="s">
        <v>52</v>
      </c>
    </row>
    <row r="824" spans="1:3" x14ac:dyDescent="0.25">
      <c r="A824" s="29" t="s">
        <v>927</v>
      </c>
      <c r="B824" s="28" t="s">
        <v>58</v>
      </c>
      <c r="C824" t="s">
        <v>52</v>
      </c>
    </row>
    <row r="825" spans="1:3" x14ac:dyDescent="0.25">
      <c r="A825" s="29" t="s">
        <v>928</v>
      </c>
      <c r="B825" s="28" t="s">
        <v>58</v>
      </c>
      <c r="C825" t="s">
        <v>52</v>
      </c>
    </row>
    <row r="826" spans="1:3" x14ac:dyDescent="0.25">
      <c r="A826" s="29" t="s">
        <v>929</v>
      </c>
      <c r="B826" s="28" t="s">
        <v>58</v>
      </c>
      <c r="C826" t="s">
        <v>52</v>
      </c>
    </row>
    <row r="827" spans="1:3" x14ac:dyDescent="0.25">
      <c r="A827" s="29" t="s">
        <v>930</v>
      </c>
      <c r="B827" s="28" t="s">
        <v>58</v>
      </c>
      <c r="C827" t="s">
        <v>52</v>
      </c>
    </row>
    <row r="828" spans="1:3" x14ac:dyDescent="0.25">
      <c r="A828" s="29" t="s">
        <v>931</v>
      </c>
      <c r="B828" s="28" t="s">
        <v>58</v>
      </c>
      <c r="C828" t="s">
        <v>52</v>
      </c>
    </row>
    <row r="829" spans="1:3" x14ac:dyDescent="0.25">
      <c r="A829" s="29" t="s">
        <v>932</v>
      </c>
      <c r="B829" s="28" t="s">
        <v>58</v>
      </c>
      <c r="C829" t="s">
        <v>52</v>
      </c>
    </row>
    <row r="830" spans="1:3" x14ac:dyDescent="0.25">
      <c r="A830" s="29" t="s">
        <v>933</v>
      </c>
      <c r="B830" s="28" t="s">
        <v>58</v>
      </c>
      <c r="C830" t="s">
        <v>52</v>
      </c>
    </row>
    <row r="831" spans="1:3" x14ac:dyDescent="0.25">
      <c r="A831" s="29" t="s">
        <v>934</v>
      </c>
      <c r="B831" s="28" t="s">
        <v>58</v>
      </c>
      <c r="C831" t="s">
        <v>52</v>
      </c>
    </row>
    <row r="832" spans="1:3" x14ac:dyDescent="0.25">
      <c r="A832" s="29" t="s">
        <v>935</v>
      </c>
      <c r="B832" s="28" t="s">
        <v>58</v>
      </c>
      <c r="C832" t="s">
        <v>52</v>
      </c>
    </row>
    <row r="833" spans="1:3" x14ac:dyDescent="0.25">
      <c r="A833" s="29" t="s">
        <v>936</v>
      </c>
      <c r="B833" s="28" t="s">
        <v>58</v>
      </c>
      <c r="C833" t="s">
        <v>52</v>
      </c>
    </row>
    <row r="834" spans="1:3" x14ac:dyDescent="0.25">
      <c r="A834" s="29" t="s">
        <v>937</v>
      </c>
      <c r="B834" s="28" t="s">
        <v>58</v>
      </c>
      <c r="C834" t="s">
        <v>52</v>
      </c>
    </row>
    <row r="835" spans="1:3" x14ac:dyDescent="0.25">
      <c r="A835" s="29" t="s">
        <v>938</v>
      </c>
      <c r="B835" s="28" t="s">
        <v>58</v>
      </c>
      <c r="C835" t="s">
        <v>52</v>
      </c>
    </row>
    <row r="836" spans="1:3" x14ac:dyDescent="0.25">
      <c r="A836" s="29" t="s">
        <v>939</v>
      </c>
      <c r="B836" s="28" t="s">
        <v>58</v>
      </c>
      <c r="C836" t="s">
        <v>49</v>
      </c>
    </row>
    <row r="837" spans="1:3" x14ac:dyDescent="0.25">
      <c r="A837" s="29" t="s">
        <v>940</v>
      </c>
      <c r="B837" s="28" t="s">
        <v>58</v>
      </c>
      <c r="C837" t="s">
        <v>49</v>
      </c>
    </row>
    <row r="838" spans="1:3" x14ac:dyDescent="0.25">
      <c r="A838" s="29" t="s">
        <v>941</v>
      </c>
      <c r="B838" s="28" t="s">
        <v>58</v>
      </c>
      <c r="C838" t="s">
        <v>49</v>
      </c>
    </row>
    <row r="839" spans="1:3" x14ac:dyDescent="0.25">
      <c r="A839" s="29" t="s">
        <v>942</v>
      </c>
      <c r="B839" s="28" t="s">
        <v>58</v>
      </c>
      <c r="C839" t="s">
        <v>49</v>
      </c>
    </row>
    <row r="840" spans="1:3" x14ac:dyDescent="0.25">
      <c r="A840" s="29" t="s">
        <v>943</v>
      </c>
      <c r="B840" s="28" t="s">
        <v>58</v>
      </c>
      <c r="C840" t="s">
        <v>49</v>
      </c>
    </row>
    <row r="841" spans="1:3" x14ac:dyDescent="0.25">
      <c r="A841" s="29" t="s">
        <v>944</v>
      </c>
      <c r="B841" s="28" t="s">
        <v>58</v>
      </c>
      <c r="C841" t="s">
        <v>49</v>
      </c>
    </row>
    <row r="842" spans="1:3" x14ac:dyDescent="0.25">
      <c r="A842" s="29" t="s">
        <v>945</v>
      </c>
      <c r="B842" s="28" t="s">
        <v>58</v>
      </c>
      <c r="C842" t="s">
        <v>49</v>
      </c>
    </row>
    <row r="843" spans="1:3" x14ac:dyDescent="0.25">
      <c r="A843" s="29" t="s">
        <v>946</v>
      </c>
      <c r="B843" s="28" t="s">
        <v>58</v>
      </c>
      <c r="C843" t="s">
        <v>49</v>
      </c>
    </row>
    <row r="844" spans="1:3" x14ac:dyDescent="0.25">
      <c r="A844" s="29" t="s">
        <v>947</v>
      </c>
      <c r="B844" s="28" t="s">
        <v>58</v>
      </c>
      <c r="C844" t="s">
        <v>49</v>
      </c>
    </row>
    <row r="845" spans="1:3" x14ac:dyDescent="0.25">
      <c r="A845" s="29" t="s">
        <v>948</v>
      </c>
      <c r="B845" s="28" t="s">
        <v>58</v>
      </c>
      <c r="C845" t="s">
        <v>49</v>
      </c>
    </row>
    <row r="846" spans="1:3" x14ac:dyDescent="0.25">
      <c r="A846" s="29" t="s">
        <v>949</v>
      </c>
      <c r="B846" s="28" t="s">
        <v>58</v>
      </c>
      <c r="C846" t="s">
        <v>49</v>
      </c>
    </row>
    <row r="847" spans="1:3" x14ac:dyDescent="0.25">
      <c r="A847" s="29" t="s">
        <v>950</v>
      </c>
      <c r="B847" s="28" t="s">
        <v>58</v>
      </c>
      <c r="C847" t="s">
        <v>49</v>
      </c>
    </row>
    <row r="848" spans="1:3" x14ac:dyDescent="0.25">
      <c r="A848" s="29" t="s">
        <v>951</v>
      </c>
      <c r="B848" s="28" t="s">
        <v>58</v>
      </c>
      <c r="C848" t="s">
        <v>49</v>
      </c>
    </row>
    <row r="849" spans="1:3" x14ac:dyDescent="0.25">
      <c r="A849" s="29" t="s">
        <v>952</v>
      </c>
      <c r="B849" s="28" t="s">
        <v>58</v>
      </c>
      <c r="C849" t="s">
        <v>49</v>
      </c>
    </row>
    <row r="850" spans="1:3" x14ac:dyDescent="0.25">
      <c r="A850" s="29" t="s">
        <v>953</v>
      </c>
      <c r="B850" s="28" t="s">
        <v>58</v>
      </c>
      <c r="C850" t="s">
        <v>49</v>
      </c>
    </row>
    <row r="851" spans="1:3" x14ac:dyDescent="0.25">
      <c r="A851" s="29" t="s">
        <v>954</v>
      </c>
      <c r="B851" s="28" t="s">
        <v>58</v>
      </c>
      <c r="C851" t="s">
        <v>49</v>
      </c>
    </row>
    <row r="852" spans="1:3" x14ac:dyDescent="0.25">
      <c r="A852" s="29" t="s">
        <v>955</v>
      </c>
      <c r="B852" s="28" t="s">
        <v>58</v>
      </c>
      <c r="C852" t="s">
        <v>49</v>
      </c>
    </row>
    <row r="853" spans="1:3" x14ac:dyDescent="0.25">
      <c r="A853" s="29" t="s">
        <v>956</v>
      </c>
      <c r="B853" s="28" t="s">
        <v>58</v>
      </c>
      <c r="C853" t="s">
        <v>49</v>
      </c>
    </row>
    <row r="854" spans="1:3" x14ac:dyDescent="0.25">
      <c r="A854" s="29" t="s">
        <v>957</v>
      </c>
      <c r="B854" s="28" t="s">
        <v>58</v>
      </c>
      <c r="C854" t="s">
        <v>49</v>
      </c>
    </row>
    <row r="855" spans="1:3" x14ac:dyDescent="0.25">
      <c r="A855" s="29" t="s">
        <v>958</v>
      </c>
      <c r="B855" s="28" t="s">
        <v>58</v>
      </c>
      <c r="C855" t="s">
        <v>49</v>
      </c>
    </row>
    <row r="856" spans="1:3" x14ac:dyDescent="0.25">
      <c r="A856" s="29" t="s">
        <v>959</v>
      </c>
      <c r="B856" s="28" t="s">
        <v>58</v>
      </c>
      <c r="C856" t="s">
        <v>49</v>
      </c>
    </row>
    <row r="857" spans="1:3" x14ac:dyDescent="0.25">
      <c r="A857" s="29" t="s">
        <v>960</v>
      </c>
      <c r="B857" s="28" t="s">
        <v>58</v>
      </c>
      <c r="C857" t="s">
        <v>49</v>
      </c>
    </row>
    <row r="858" spans="1:3" x14ac:dyDescent="0.25">
      <c r="A858" s="29" t="s">
        <v>961</v>
      </c>
      <c r="B858" s="28" t="s">
        <v>58</v>
      </c>
      <c r="C858" t="s">
        <v>49</v>
      </c>
    </row>
    <row r="859" spans="1:3" x14ac:dyDescent="0.25">
      <c r="A859" s="29" t="s">
        <v>962</v>
      </c>
      <c r="B859" s="28" t="s">
        <v>58</v>
      </c>
      <c r="C859" t="s">
        <v>49</v>
      </c>
    </row>
    <row r="860" spans="1:3" x14ac:dyDescent="0.25">
      <c r="A860" s="29" t="s">
        <v>963</v>
      </c>
      <c r="B860" s="28" t="s">
        <v>58</v>
      </c>
      <c r="C860" t="s">
        <v>49</v>
      </c>
    </row>
    <row r="861" spans="1:3" x14ac:dyDescent="0.25">
      <c r="A861" s="29" t="s">
        <v>964</v>
      </c>
      <c r="B861" s="28" t="s">
        <v>58</v>
      </c>
      <c r="C861" t="s">
        <v>49</v>
      </c>
    </row>
    <row r="862" spans="1:3" x14ac:dyDescent="0.25">
      <c r="A862" s="29" t="s">
        <v>965</v>
      </c>
      <c r="B862" s="28" t="s">
        <v>58</v>
      </c>
      <c r="C862" t="s">
        <v>49</v>
      </c>
    </row>
    <row r="863" spans="1:3" x14ac:dyDescent="0.25">
      <c r="A863" s="29" t="s">
        <v>966</v>
      </c>
      <c r="B863" s="28" t="s">
        <v>58</v>
      </c>
      <c r="C863" t="s">
        <v>49</v>
      </c>
    </row>
    <row r="864" spans="1:3" x14ac:dyDescent="0.25">
      <c r="A864" s="29" t="s">
        <v>967</v>
      </c>
      <c r="B864" s="28" t="s">
        <v>58</v>
      </c>
      <c r="C864" t="s">
        <v>49</v>
      </c>
    </row>
    <row r="865" spans="1:3" x14ac:dyDescent="0.25">
      <c r="A865" s="29" t="s">
        <v>968</v>
      </c>
      <c r="B865" s="28" t="s">
        <v>58</v>
      </c>
      <c r="C865" t="s">
        <v>49</v>
      </c>
    </row>
    <row r="866" spans="1:3" x14ac:dyDescent="0.25">
      <c r="A866" s="29" t="s">
        <v>969</v>
      </c>
      <c r="B866" s="28" t="s">
        <v>59</v>
      </c>
      <c r="C866" t="s">
        <v>51</v>
      </c>
    </row>
    <row r="867" spans="1:3" x14ac:dyDescent="0.25">
      <c r="A867" s="29" t="s">
        <v>971</v>
      </c>
      <c r="B867" s="28" t="s">
        <v>58</v>
      </c>
      <c r="C867" t="s">
        <v>51</v>
      </c>
    </row>
    <row r="868" spans="1:3" x14ac:dyDescent="0.25">
      <c r="A868" s="29" t="s">
        <v>972</v>
      </c>
      <c r="B868" s="28" t="s">
        <v>58</v>
      </c>
      <c r="C868" t="s">
        <v>51</v>
      </c>
    </row>
    <row r="869" spans="1:3" x14ac:dyDescent="0.25">
      <c r="A869" s="29" t="s">
        <v>973</v>
      </c>
      <c r="B869" s="28" t="s">
        <v>58</v>
      </c>
      <c r="C869" t="s">
        <v>51</v>
      </c>
    </row>
    <row r="870" spans="1:3" x14ac:dyDescent="0.25">
      <c r="A870" s="29" t="s">
        <v>974</v>
      </c>
      <c r="B870" s="28" t="s">
        <v>58</v>
      </c>
      <c r="C870" t="s">
        <v>51</v>
      </c>
    </row>
    <row r="871" spans="1:3" x14ac:dyDescent="0.25">
      <c r="A871" s="29" t="s">
        <v>975</v>
      </c>
      <c r="B871" s="28" t="s">
        <v>58</v>
      </c>
      <c r="C871" t="s">
        <v>51</v>
      </c>
    </row>
    <row r="872" spans="1:3" x14ac:dyDescent="0.25">
      <c r="A872" s="29" t="s">
        <v>976</v>
      </c>
      <c r="B872" s="28" t="s">
        <v>58</v>
      </c>
      <c r="C872" t="s">
        <v>51</v>
      </c>
    </row>
    <row r="873" spans="1:3" x14ac:dyDescent="0.25">
      <c r="A873" s="29" t="s">
        <v>977</v>
      </c>
      <c r="B873" s="28" t="s">
        <v>58</v>
      </c>
      <c r="C873" t="s">
        <v>49</v>
      </c>
    </row>
    <row r="874" spans="1:3" x14ac:dyDescent="0.25">
      <c r="A874" s="29" t="s">
        <v>978</v>
      </c>
      <c r="B874" s="28" t="s">
        <v>58</v>
      </c>
      <c r="C874" t="s">
        <v>49</v>
      </c>
    </row>
    <row r="875" spans="1:3" x14ac:dyDescent="0.25">
      <c r="A875" s="29" t="s">
        <v>979</v>
      </c>
      <c r="B875" s="28" t="s">
        <v>58</v>
      </c>
      <c r="C875" t="s">
        <v>49</v>
      </c>
    </row>
    <row r="876" spans="1:3" x14ac:dyDescent="0.25">
      <c r="A876" s="29" t="s">
        <v>980</v>
      </c>
      <c r="B876" s="28" t="s">
        <v>58</v>
      </c>
      <c r="C876" t="s">
        <v>49</v>
      </c>
    </row>
    <row r="877" spans="1:3" x14ac:dyDescent="0.25">
      <c r="A877" s="29" t="s">
        <v>981</v>
      </c>
      <c r="B877" s="28" t="s">
        <v>58</v>
      </c>
      <c r="C877" t="s">
        <v>49</v>
      </c>
    </row>
    <row r="878" spans="1:3" x14ac:dyDescent="0.25">
      <c r="A878" s="29" t="s">
        <v>982</v>
      </c>
      <c r="B878" s="28" t="s">
        <v>58</v>
      </c>
      <c r="C878" t="s">
        <v>49</v>
      </c>
    </row>
    <row r="879" spans="1:3" x14ac:dyDescent="0.25">
      <c r="A879" s="29" t="s">
        <v>983</v>
      </c>
      <c r="B879" s="28" t="s">
        <v>58</v>
      </c>
      <c r="C879" t="s">
        <v>49</v>
      </c>
    </row>
    <row r="880" spans="1:3" x14ac:dyDescent="0.25">
      <c r="A880" s="29" t="s">
        <v>984</v>
      </c>
      <c r="B880" s="28" t="s">
        <v>58</v>
      </c>
      <c r="C880" t="s">
        <v>49</v>
      </c>
    </row>
    <row r="881" spans="1:3" x14ac:dyDescent="0.25">
      <c r="A881" s="29" t="s">
        <v>985</v>
      </c>
      <c r="B881" s="28" t="s">
        <v>58</v>
      </c>
      <c r="C881" t="s">
        <v>49</v>
      </c>
    </row>
    <row r="882" spans="1:3" x14ac:dyDescent="0.25">
      <c r="A882" s="29" t="s">
        <v>986</v>
      </c>
      <c r="B882" s="28" t="s">
        <v>58</v>
      </c>
      <c r="C882" t="s">
        <v>49</v>
      </c>
    </row>
    <row r="883" spans="1:3" x14ac:dyDescent="0.25">
      <c r="A883" s="29" t="s">
        <v>987</v>
      </c>
      <c r="B883" s="28" t="s">
        <v>58</v>
      </c>
      <c r="C883" t="s">
        <v>49</v>
      </c>
    </row>
    <row r="884" spans="1:3" x14ac:dyDescent="0.25">
      <c r="A884" s="29" t="s">
        <v>988</v>
      </c>
      <c r="B884" s="28" t="s">
        <v>58</v>
      </c>
      <c r="C884" t="s">
        <v>49</v>
      </c>
    </row>
    <row r="885" spans="1:3" x14ac:dyDescent="0.25">
      <c r="A885" s="29" t="s">
        <v>989</v>
      </c>
      <c r="B885" s="28" t="s">
        <v>58</v>
      </c>
      <c r="C885" t="s">
        <v>49</v>
      </c>
    </row>
    <row r="886" spans="1:3" x14ac:dyDescent="0.25">
      <c r="A886" s="29" t="s">
        <v>990</v>
      </c>
      <c r="B886" s="28" t="s">
        <v>58</v>
      </c>
      <c r="C886" t="s">
        <v>49</v>
      </c>
    </row>
    <row r="887" spans="1:3" x14ac:dyDescent="0.25">
      <c r="A887" s="29" t="s">
        <v>991</v>
      </c>
      <c r="B887" s="28" t="s">
        <v>58</v>
      </c>
      <c r="C887" t="s">
        <v>49</v>
      </c>
    </row>
    <row r="888" spans="1:3" x14ac:dyDescent="0.25">
      <c r="A888" s="29" t="s">
        <v>992</v>
      </c>
      <c r="B888" s="28" t="s">
        <v>58</v>
      </c>
      <c r="C888" t="s">
        <v>49</v>
      </c>
    </row>
    <row r="889" spans="1:3" x14ac:dyDescent="0.25">
      <c r="A889" s="29" t="s">
        <v>993</v>
      </c>
      <c r="B889" s="28" t="s">
        <v>58</v>
      </c>
      <c r="C889" t="s">
        <v>49</v>
      </c>
    </row>
    <row r="890" spans="1:3" x14ac:dyDescent="0.25">
      <c r="A890" s="29" t="s">
        <v>994</v>
      </c>
      <c r="B890" s="28" t="s">
        <v>58</v>
      </c>
      <c r="C890" t="s">
        <v>49</v>
      </c>
    </row>
    <row r="891" spans="1:3" x14ac:dyDescent="0.25">
      <c r="A891" s="29" t="s">
        <v>995</v>
      </c>
      <c r="B891" s="28" t="s">
        <v>58</v>
      </c>
      <c r="C891" t="s">
        <v>49</v>
      </c>
    </row>
    <row r="892" spans="1:3" x14ac:dyDescent="0.25">
      <c r="A892" s="29" t="s">
        <v>996</v>
      </c>
      <c r="B892" s="28" t="s">
        <v>58</v>
      </c>
      <c r="C892" t="s">
        <v>49</v>
      </c>
    </row>
    <row r="893" spans="1:3" x14ac:dyDescent="0.25">
      <c r="A893" s="29" t="s">
        <v>997</v>
      </c>
      <c r="B893" s="28" t="s">
        <v>58</v>
      </c>
      <c r="C893" t="s">
        <v>49</v>
      </c>
    </row>
    <row r="894" spans="1:3" x14ac:dyDescent="0.25">
      <c r="A894" s="29" t="s">
        <v>998</v>
      </c>
      <c r="B894" s="28" t="s">
        <v>58</v>
      </c>
      <c r="C894" t="s">
        <v>49</v>
      </c>
    </row>
    <row r="895" spans="1:3" x14ac:dyDescent="0.25">
      <c r="A895" s="29" t="s">
        <v>999</v>
      </c>
      <c r="B895" s="28" t="s">
        <v>58</v>
      </c>
      <c r="C895" t="s">
        <v>49</v>
      </c>
    </row>
    <row r="896" spans="1:3" x14ac:dyDescent="0.25">
      <c r="A896" s="29" t="s">
        <v>1000</v>
      </c>
      <c r="B896" s="28" t="s">
        <v>58</v>
      </c>
      <c r="C896" t="s">
        <v>49</v>
      </c>
    </row>
    <row r="897" spans="1:3" x14ac:dyDescent="0.25">
      <c r="A897" s="29" t="s">
        <v>1001</v>
      </c>
      <c r="B897" s="28" t="s">
        <v>58</v>
      </c>
      <c r="C897" t="s">
        <v>49</v>
      </c>
    </row>
    <row r="898" spans="1:3" x14ac:dyDescent="0.25">
      <c r="A898" s="29" t="s">
        <v>1002</v>
      </c>
      <c r="B898" s="28" t="s">
        <v>58</v>
      </c>
      <c r="C898" t="s">
        <v>49</v>
      </c>
    </row>
    <row r="899" spans="1:3" x14ac:dyDescent="0.25">
      <c r="A899" s="29" t="s">
        <v>1003</v>
      </c>
      <c r="B899" s="28" t="s">
        <v>58</v>
      </c>
      <c r="C899" t="s">
        <v>49</v>
      </c>
    </row>
    <row r="900" spans="1:3" x14ac:dyDescent="0.25">
      <c r="A900" s="29" t="s">
        <v>1004</v>
      </c>
      <c r="B900" s="28" t="s">
        <v>58</v>
      </c>
      <c r="C900" t="s">
        <v>49</v>
      </c>
    </row>
    <row r="901" spans="1:3" x14ac:dyDescent="0.25">
      <c r="A901" s="29" t="s">
        <v>1005</v>
      </c>
      <c r="B901" s="28" t="s">
        <v>58</v>
      </c>
      <c r="C901" t="s">
        <v>49</v>
      </c>
    </row>
    <row r="902" spans="1:3" x14ac:dyDescent="0.25">
      <c r="A902" s="29" t="s">
        <v>1006</v>
      </c>
      <c r="B902" s="28" t="s">
        <v>58</v>
      </c>
      <c r="C902" t="s">
        <v>49</v>
      </c>
    </row>
    <row r="903" spans="1:3" x14ac:dyDescent="0.25">
      <c r="A903" s="29" t="s">
        <v>1007</v>
      </c>
      <c r="B903" s="28" t="s">
        <v>58</v>
      </c>
      <c r="C903" t="s">
        <v>49</v>
      </c>
    </row>
    <row r="904" spans="1:3" x14ac:dyDescent="0.25">
      <c r="A904" s="29" t="s">
        <v>1008</v>
      </c>
      <c r="B904" s="28" t="s">
        <v>58</v>
      </c>
      <c r="C904" t="s">
        <v>49</v>
      </c>
    </row>
    <row r="905" spans="1:3" x14ac:dyDescent="0.25">
      <c r="A905" s="29" t="s">
        <v>1009</v>
      </c>
      <c r="B905" s="28" t="s">
        <v>58</v>
      </c>
      <c r="C905" t="s">
        <v>49</v>
      </c>
    </row>
    <row r="906" spans="1:3" x14ac:dyDescent="0.25">
      <c r="A906" s="29" t="s">
        <v>1010</v>
      </c>
      <c r="B906" s="28" t="s">
        <v>58</v>
      </c>
      <c r="C906" t="s">
        <v>49</v>
      </c>
    </row>
    <row r="907" spans="1:3" x14ac:dyDescent="0.25">
      <c r="A907" s="29" t="s">
        <v>1011</v>
      </c>
      <c r="B907" s="28" t="s">
        <v>58</v>
      </c>
      <c r="C907" t="s">
        <v>49</v>
      </c>
    </row>
    <row r="908" spans="1:3" x14ac:dyDescent="0.25">
      <c r="A908" s="29" t="s">
        <v>1012</v>
      </c>
      <c r="B908" s="28" t="s">
        <v>58</v>
      </c>
      <c r="C908" t="s">
        <v>49</v>
      </c>
    </row>
    <row r="909" spans="1:3" x14ac:dyDescent="0.25">
      <c r="A909" s="29" t="s">
        <v>1013</v>
      </c>
      <c r="B909" s="28" t="s">
        <v>58</v>
      </c>
      <c r="C909" t="s">
        <v>49</v>
      </c>
    </row>
    <row r="910" spans="1:3" x14ac:dyDescent="0.25">
      <c r="A910" s="29" t="s">
        <v>1014</v>
      </c>
      <c r="B910" s="28" t="s">
        <v>58</v>
      </c>
      <c r="C910" t="s">
        <v>49</v>
      </c>
    </row>
    <row r="911" spans="1:3" x14ac:dyDescent="0.25">
      <c r="A911" s="29" t="s">
        <v>1015</v>
      </c>
      <c r="B911" s="28" t="s">
        <v>58</v>
      </c>
      <c r="C911" t="s">
        <v>49</v>
      </c>
    </row>
    <row r="912" spans="1:3" x14ac:dyDescent="0.25">
      <c r="A912" s="29" t="s">
        <v>1016</v>
      </c>
      <c r="B912" s="28" t="s">
        <v>58</v>
      </c>
      <c r="C912" t="s">
        <v>49</v>
      </c>
    </row>
    <row r="913" spans="1:3" x14ac:dyDescent="0.25">
      <c r="A913" s="29" t="s">
        <v>1017</v>
      </c>
      <c r="B913" s="28" t="s">
        <v>58</v>
      </c>
      <c r="C913" t="s">
        <v>49</v>
      </c>
    </row>
    <row r="914" spans="1:3" x14ac:dyDescent="0.25">
      <c r="A914" s="29" t="s">
        <v>1018</v>
      </c>
      <c r="B914" s="28" t="s">
        <v>58</v>
      </c>
      <c r="C914" t="s">
        <v>49</v>
      </c>
    </row>
    <row r="915" spans="1:3" x14ac:dyDescent="0.25">
      <c r="A915" s="29" t="s">
        <v>1019</v>
      </c>
      <c r="B915" s="28" t="s">
        <v>58</v>
      </c>
      <c r="C915" t="s">
        <v>49</v>
      </c>
    </row>
    <row r="916" spans="1:3" x14ac:dyDescent="0.25">
      <c r="A916" s="29" t="s">
        <v>1020</v>
      </c>
      <c r="B916" s="28" t="s">
        <v>58</v>
      </c>
      <c r="C916" t="s">
        <v>49</v>
      </c>
    </row>
    <row r="917" spans="1:3" x14ac:dyDescent="0.25">
      <c r="A917" s="29" t="s">
        <v>1021</v>
      </c>
      <c r="B917" s="28" t="s">
        <v>58</v>
      </c>
      <c r="C917" t="s">
        <v>49</v>
      </c>
    </row>
    <row r="918" spans="1:3" x14ac:dyDescent="0.25">
      <c r="A918" s="29" t="s">
        <v>1022</v>
      </c>
      <c r="B918" s="28" t="s">
        <v>58</v>
      </c>
      <c r="C918" t="s">
        <v>49</v>
      </c>
    </row>
    <row r="919" spans="1:3" x14ac:dyDescent="0.25">
      <c r="A919" s="29" t="s">
        <v>1023</v>
      </c>
      <c r="B919" s="28" t="s">
        <v>58</v>
      </c>
      <c r="C919" t="s">
        <v>49</v>
      </c>
    </row>
    <row r="920" spans="1:3" x14ac:dyDescent="0.25">
      <c r="A920" s="29" t="s">
        <v>1024</v>
      </c>
      <c r="B920" s="28" t="s">
        <v>58</v>
      </c>
      <c r="C920" t="s">
        <v>49</v>
      </c>
    </row>
    <row r="921" spans="1:3" x14ac:dyDescent="0.25">
      <c r="A921" s="29" t="s">
        <v>1025</v>
      </c>
      <c r="B921" s="28" t="s">
        <v>58</v>
      </c>
      <c r="C921" t="s">
        <v>49</v>
      </c>
    </row>
    <row r="922" spans="1:3" x14ac:dyDescent="0.25">
      <c r="A922" s="29" t="s">
        <v>1026</v>
      </c>
      <c r="B922" s="28" t="s">
        <v>58</v>
      </c>
      <c r="C922" t="s">
        <v>49</v>
      </c>
    </row>
    <row r="923" spans="1:3" x14ac:dyDescent="0.25">
      <c r="A923" s="29" t="s">
        <v>1027</v>
      </c>
      <c r="B923" s="28" t="s">
        <v>58</v>
      </c>
      <c r="C923" t="s">
        <v>49</v>
      </c>
    </row>
    <row r="924" spans="1:3" x14ac:dyDescent="0.25">
      <c r="A924" s="29" t="s">
        <v>1028</v>
      </c>
      <c r="B924" s="28" t="s">
        <v>58</v>
      </c>
      <c r="C924" t="s">
        <v>49</v>
      </c>
    </row>
    <row r="925" spans="1:3" x14ac:dyDescent="0.25">
      <c r="A925" s="29" t="s">
        <v>1029</v>
      </c>
      <c r="B925" s="28" t="s">
        <v>58</v>
      </c>
      <c r="C925" t="s">
        <v>49</v>
      </c>
    </row>
    <row r="926" spans="1:3" x14ac:dyDescent="0.25">
      <c r="A926" s="29" t="s">
        <v>1030</v>
      </c>
      <c r="B926" s="28" t="s">
        <v>58</v>
      </c>
      <c r="C926" t="s">
        <v>49</v>
      </c>
    </row>
    <row r="927" spans="1:3" x14ac:dyDescent="0.25">
      <c r="A927" s="29" t="s">
        <v>1031</v>
      </c>
      <c r="B927" s="28" t="s">
        <v>58</v>
      </c>
      <c r="C927" t="s">
        <v>49</v>
      </c>
    </row>
    <row r="928" spans="1:3" x14ac:dyDescent="0.25">
      <c r="A928" s="29" t="s">
        <v>1032</v>
      </c>
      <c r="B928" s="28" t="s">
        <v>58</v>
      </c>
      <c r="C928" t="s">
        <v>49</v>
      </c>
    </row>
    <row r="929" spans="1:3" x14ac:dyDescent="0.25">
      <c r="A929" s="29" t="s">
        <v>1033</v>
      </c>
      <c r="B929" s="28" t="s">
        <v>58</v>
      </c>
      <c r="C929" t="s">
        <v>49</v>
      </c>
    </row>
    <row r="930" spans="1:3" x14ac:dyDescent="0.25">
      <c r="A930" s="29" t="s">
        <v>1034</v>
      </c>
      <c r="B930" s="28" t="s">
        <v>58</v>
      </c>
      <c r="C930" t="s">
        <v>49</v>
      </c>
    </row>
    <row r="931" spans="1:3" x14ac:dyDescent="0.25">
      <c r="A931" s="29" t="s">
        <v>1035</v>
      </c>
      <c r="B931" s="28" t="s">
        <v>58</v>
      </c>
      <c r="C931" t="s">
        <v>49</v>
      </c>
    </row>
    <row r="932" spans="1:3" x14ac:dyDescent="0.25">
      <c r="A932" s="29" t="s">
        <v>1036</v>
      </c>
      <c r="B932" s="28" t="s">
        <v>58</v>
      </c>
      <c r="C932" t="s">
        <v>49</v>
      </c>
    </row>
    <row r="933" spans="1:3" x14ac:dyDescent="0.25">
      <c r="A933" s="29" t="s">
        <v>1037</v>
      </c>
      <c r="B933" s="28" t="s">
        <v>58</v>
      </c>
      <c r="C933" t="s">
        <v>49</v>
      </c>
    </row>
    <row r="934" spans="1:3" x14ac:dyDescent="0.25">
      <c r="A934" s="29" t="s">
        <v>1038</v>
      </c>
      <c r="B934" s="28" t="s">
        <v>58</v>
      </c>
      <c r="C934" t="s">
        <v>49</v>
      </c>
    </row>
    <row r="935" spans="1:3" x14ac:dyDescent="0.25">
      <c r="A935" s="29" t="s">
        <v>1039</v>
      </c>
      <c r="B935" s="28" t="s">
        <v>58</v>
      </c>
      <c r="C935" t="s">
        <v>49</v>
      </c>
    </row>
    <row r="936" spans="1:3" x14ac:dyDescent="0.25">
      <c r="A936" s="29" t="s">
        <v>1040</v>
      </c>
      <c r="B936" s="28" t="s">
        <v>58</v>
      </c>
      <c r="C936" t="s">
        <v>49</v>
      </c>
    </row>
    <row r="937" spans="1:3" x14ac:dyDescent="0.25">
      <c r="A937" s="29" t="s">
        <v>1041</v>
      </c>
      <c r="B937" s="28" t="s">
        <v>58</v>
      </c>
      <c r="C937" t="s">
        <v>49</v>
      </c>
    </row>
    <row r="938" spans="1:3" x14ac:dyDescent="0.25">
      <c r="A938" s="29" t="s">
        <v>1042</v>
      </c>
      <c r="B938" s="28" t="s">
        <v>58</v>
      </c>
      <c r="C938" t="s">
        <v>49</v>
      </c>
    </row>
    <row r="939" spans="1:3" x14ac:dyDescent="0.25">
      <c r="A939" s="29" t="s">
        <v>1043</v>
      </c>
      <c r="B939" s="28" t="s">
        <v>58</v>
      </c>
      <c r="C939" t="s">
        <v>49</v>
      </c>
    </row>
    <row r="940" spans="1:3" x14ac:dyDescent="0.25">
      <c r="A940" s="29" t="s">
        <v>1044</v>
      </c>
      <c r="B940" s="28" t="s">
        <v>58</v>
      </c>
      <c r="C940" t="s">
        <v>49</v>
      </c>
    </row>
    <row r="941" spans="1:3" x14ac:dyDescent="0.25">
      <c r="A941" s="29" t="s">
        <v>1045</v>
      </c>
      <c r="B941" s="28" t="s">
        <v>58</v>
      </c>
      <c r="C941" t="s">
        <v>49</v>
      </c>
    </row>
    <row r="942" spans="1:3" x14ac:dyDescent="0.25">
      <c r="A942" s="29" t="s">
        <v>1046</v>
      </c>
      <c r="B942" s="28" t="s">
        <v>58</v>
      </c>
      <c r="C942" t="s">
        <v>49</v>
      </c>
    </row>
    <row r="943" spans="1:3" x14ac:dyDescent="0.25">
      <c r="A943" s="29" t="s">
        <v>1047</v>
      </c>
      <c r="B943" s="28" t="s">
        <v>58</v>
      </c>
      <c r="C943" t="s">
        <v>49</v>
      </c>
    </row>
    <row r="944" spans="1:3" x14ac:dyDescent="0.25">
      <c r="A944" s="29" t="s">
        <v>1048</v>
      </c>
      <c r="B944" s="28" t="s">
        <v>58</v>
      </c>
      <c r="C944" t="s">
        <v>49</v>
      </c>
    </row>
    <row r="945" spans="1:3" x14ac:dyDescent="0.25">
      <c r="A945" s="29" t="s">
        <v>1049</v>
      </c>
      <c r="B945" s="28" t="s">
        <v>58</v>
      </c>
      <c r="C945" t="s">
        <v>49</v>
      </c>
    </row>
    <row r="946" spans="1:3" x14ac:dyDescent="0.25">
      <c r="A946" s="29" t="s">
        <v>1050</v>
      </c>
      <c r="B946" s="28" t="s">
        <v>58</v>
      </c>
      <c r="C946" t="s">
        <v>49</v>
      </c>
    </row>
    <row r="947" spans="1:3" x14ac:dyDescent="0.25">
      <c r="A947" s="29" t="s">
        <v>1051</v>
      </c>
      <c r="B947" s="28" t="s">
        <v>58</v>
      </c>
      <c r="C947" t="s">
        <v>49</v>
      </c>
    </row>
    <row r="948" spans="1:3" x14ac:dyDescent="0.25">
      <c r="A948" s="29" t="s">
        <v>1052</v>
      </c>
      <c r="B948" s="28" t="s">
        <v>58</v>
      </c>
      <c r="C948" t="s">
        <v>49</v>
      </c>
    </row>
    <row r="949" spans="1:3" x14ac:dyDescent="0.25">
      <c r="A949" s="29" t="s">
        <v>1053</v>
      </c>
      <c r="B949" s="28" t="s">
        <v>58</v>
      </c>
      <c r="C949" t="s">
        <v>49</v>
      </c>
    </row>
    <row r="950" spans="1:3" x14ac:dyDescent="0.25">
      <c r="A950" s="29" t="s">
        <v>1054</v>
      </c>
      <c r="B950" s="28" t="s">
        <v>58</v>
      </c>
      <c r="C950" t="s">
        <v>49</v>
      </c>
    </row>
    <row r="951" spans="1:3" x14ac:dyDescent="0.25">
      <c r="A951" s="29" t="s">
        <v>1055</v>
      </c>
      <c r="B951" s="28" t="s">
        <v>58</v>
      </c>
      <c r="C951" t="s">
        <v>49</v>
      </c>
    </row>
    <row r="952" spans="1:3" x14ac:dyDescent="0.25">
      <c r="A952" s="29" t="s">
        <v>1056</v>
      </c>
      <c r="B952" s="28" t="s">
        <v>58</v>
      </c>
      <c r="C952" t="s">
        <v>49</v>
      </c>
    </row>
    <row r="953" spans="1:3" x14ac:dyDescent="0.25">
      <c r="A953" s="29" t="s">
        <v>1057</v>
      </c>
      <c r="B953" s="28" t="s">
        <v>58</v>
      </c>
      <c r="C953" t="s">
        <v>49</v>
      </c>
    </row>
    <row r="954" spans="1:3" x14ac:dyDescent="0.25">
      <c r="A954" s="29" t="s">
        <v>1058</v>
      </c>
      <c r="B954" s="28" t="s">
        <v>58</v>
      </c>
      <c r="C954" t="s">
        <v>49</v>
      </c>
    </row>
    <row r="955" spans="1:3" x14ac:dyDescent="0.25">
      <c r="A955" s="29" t="s">
        <v>1059</v>
      </c>
      <c r="B955" s="28" t="s">
        <v>58</v>
      </c>
      <c r="C955" t="s">
        <v>49</v>
      </c>
    </row>
    <row r="956" spans="1:3" x14ac:dyDescent="0.25">
      <c r="A956" s="29" t="s">
        <v>1060</v>
      </c>
      <c r="B956" s="28" t="s">
        <v>58</v>
      </c>
      <c r="C956" t="s">
        <v>49</v>
      </c>
    </row>
    <row r="957" spans="1:3" x14ac:dyDescent="0.25">
      <c r="A957" s="29" t="s">
        <v>1061</v>
      </c>
      <c r="B957" s="28" t="s">
        <v>58</v>
      </c>
      <c r="C957" t="s">
        <v>49</v>
      </c>
    </row>
    <row r="958" spans="1:3" x14ac:dyDescent="0.25">
      <c r="A958" s="29" t="s">
        <v>1062</v>
      </c>
      <c r="B958" s="28" t="s">
        <v>58</v>
      </c>
      <c r="C958" t="s">
        <v>49</v>
      </c>
    </row>
    <row r="959" spans="1:3" x14ac:dyDescent="0.25">
      <c r="A959" s="29" t="s">
        <v>1063</v>
      </c>
      <c r="B959" s="28" t="s">
        <v>58</v>
      </c>
      <c r="C959" t="s">
        <v>49</v>
      </c>
    </row>
    <row r="960" spans="1:3" x14ac:dyDescent="0.25">
      <c r="A960" s="29" t="s">
        <v>1064</v>
      </c>
      <c r="B960" s="28" t="s">
        <v>58</v>
      </c>
      <c r="C960" t="s">
        <v>49</v>
      </c>
    </row>
    <row r="961" spans="1:3" x14ac:dyDescent="0.25">
      <c r="A961" s="29" t="s">
        <v>1065</v>
      </c>
      <c r="B961" s="28" t="s">
        <v>58</v>
      </c>
      <c r="C961" t="s">
        <v>49</v>
      </c>
    </row>
    <row r="962" spans="1:3" x14ac:dyDescent="0.25">
      <c r="A962" s="29" t="s">
        <v>1066</v>
      </c>
      <c r="B962" s="28" t="s">
        <v>58</v>
      </c>
      <c r="C962" t="s">
        <v>49</v>
      </c>
    </row>
    <row r="963" spans="1:3" x14ac:dyDescent="0.25">
      <c r="A963" s="29" t="s">
        <v>1067</v>
      </c>
      <c r="B963" s="28" t="s">
        <v>58</v>
      </c>
      <c r="C963" t="s">
        <v>49</v>
      </c>
    </row>
    <row r="964" spans="1:3" x14ac:dyDescent="0.25">
      <c r="A964" s="29" t="s">
        <v>1068</v>
      </c>
      <c r="B964" s="28" t="s">
        <v>58</v>
      </c>
      <c r="C964" t="s">
        <v>49</v>
      </c>
    </row>
    <row r="965" spans="1:3" x14ac:dyDescent="0.25">
      <c r="A965" s="29" t="s">
        <v>1069</v>
      </c>
      <c r="B965" s="28" t="s">
        <v>58</v>
      </c>
      <c r="C965" t="s">
        <v>49</v>
      </c>
    </row>
    <row r="966" spans="1:3" x14ac:dyDescent="0.25">
      <c r="A966" s="29" t="s">
        <v>1070</v>
      </c>
      <c r="B966" s="28" t="s">
        <v>58</v>
      </c>
      <c r="C966" t="s">
        <v>49</v>
      </c>
    </row>
    <row r="967" spans="1:3" x14ac:dyDescent="0.25">
      <c r="A967" s="29" t="s">
        <v>1071</v>
      </c>
      <c r="B967" s="28" t="s">
        <v>58</v>
      </c>
      <c r="C967" t="s">
        <v>49</v>
      </c>
    </row>
    <row r="968" spans="1:3" x14ac:dyDescent="0.25">
      <c r="A968" s="29" t="s">
        <v>1072</v>
      </c>
      <c r="B968" s="28" t="s">
        <v>58</v>
      </c>
      <c r="C968" t="s">
        <v>49</v>
      </c>
    </row>
    <row r="969" spans="1:3" x14ac:dyDescent="0.25">
      <c r="A969" s="29" t="s">
        <v>1073</v>
      </c>
      <c r="B969" s="28" t="s">
        <v>58</v>
      </c>
      <c r="C969" t="s">
        <v>49</v>
      </c>
    </row>
    <row r="970" spans="1:3" x14ac:dyDescent="0.25">
      <c r="A970" s="29" t="s">
        <v>1074</v>
      </c>
      <c r="B970" s="28" t="s">
        <v>58</v>
      </c>
      <c r="C970" t="s">
        <v>49</v>
      </c>
    </row>
    <row r="971" spans="1:3" x14ac:dyDescent="0.25">
      <c r="A971" s="29" t="s">
        <v>1075</v>
      </c>
      <c r="B971" s="28" t="s">
        <v>58</v>
      </c>
      <c r="C971" t="s">
        <v>49</v>
      </c>
    </row>
    <row r="972" spans="1:3" x14ac:dyDescent="0.25">
      <c r="A972" s="29" t="s">
        <v>1076</v>
      </c>
      <c r="B972" s="28" t="s">
        <v>58</v>
      </c>
      <c r="C972" t="s">
        <v>49</v>
      </c>
    </row>
    <row r="973" spans="1:3" x14ac:dyDescent="0.25">
      <c r="A973" s="29" t="s">
        <v>1077</v>
      </c>
      <c r="B973" s="28" t="s">
        <v>58</v>
      </c>
      <c r="C973" t="s">
        <v>49</v>
      </c>
    </row>
    <row r="974" spans="1:3" x14ac:dyDescent="0.25">
      <c r="A974" s="29" t="s">
        <v>1078</v>
      </c>
      <c r="B974" s="28" t="s">
        <v>58</v>
      </c>
      <c r="C974" t="s">
        <v>49</v>
      </c>
    </row>
    <row r="975" spans="1:3" x14ac:dyDescent="0.25">
      <c r="A975" s="29" t="s">
        <v>1079</v>
      </c>
      <c r="B975" s="28" t="s">
        <v>58</v>
      </c>
      <c r="C975" t="s">
        <v>49</v>
      </c>
    </row>
    <row r="976" spans="1:3" x14ac:dyDescent="0.25">
      <c r="A976" s="29" t="s">
        <v>1080</v>
      </c>
      <c r="B976" s="28" t="s">
        <v>58</v>
      </c>
      <c r="C976" t="s">
        <v>49</v>
      </c>
    </row>
    <row r="977" spans="1:3" x14ac:dyDescent="0.25">
      <c r="A977" s="29" t="s">
        <v>1081</v>
      </c>
      <c r="B977" s="28" t="s">
        <v>58</v>
      </c>
      <c r="C977" t="s">
        <v>49</v>
      </c>
    </row>
    <row r="978" spans="1:3" x14ac:dyDescent="0.25">
      <c r="A978" s="29" t="s">
        <v>1082</v>
      </c>
      <c r="B978" s="28" t="s">
        <v>58</v>
      </c>
      <c r="C978" t="s">
        <v>49</v>
      </c>
    </row>
    <row r="979" spans="1:3" x14ac:dyDescent="0.25">
      <c r="A979" s="29" t="s">
        <v>1083</v>
      </c>
      <c r="B979" s="28" t="s">
        <v>58</v>
      </c>
      <c r="C979" t="s">
        <v>49</v>
      </c>
    </row>
    <row r="980" spans="1:3" x14ac:dyDescent="0.25">
      <c r="A980" s="29" t="s">
        <v>1084</v>
      </c>
      <c r="B980" s="28" t="s">
        <v>58</v>
      </c>
      <c r="C980" t="s">
        <v>49</v>
      </c>
    </row>
    <row r="981" spans="1:3" x14ac:dyDescent="0.25">
      <c r="A981" s="29" t="s">
        <v>1085</v>
      </c>
      <c r="B981" s="28" t="s">
        <v>58</v>
      </c>
      <c r="C981" t="s">
        <v>49</v>
      </c>
    </row>
    <row r="982" spans="1:3" x14ac:dyDescent="0.25">
      <c r="A982" s="29" t="s">
        <v>1086</v>
      </c>
      <c r="B982" s="28" t="s">
        <v>58</v>
      </c>
      <c r="C982" t="s">
        <v>49</v>
      </c>
    </row>
    <row r="983" spans="1:3" x14ac:dyDescent="0.25">
      <c r="A983" s="29" t="s">
        <v>1087</v>
      </c>
      <c r="B983" s="28" t="s">
        <v>58</v>
      </c>
      <c r="C983" t="s">
        <v>49</v>
      </c>
    </row>
    <row r="984" spans="1:3" x14ac:dyDescent="0.25">
      <c r="A984" s="29" t="s">
        <v>1088</v>
      </c>
      <c r="B984" s="28" t="s">
        <v>58</v>
      </c>
      <c r="C984" t="s">
        <v>49</v>
      </c>
    </row>
    <row r="985" spans="1:3" x14ac:dyDescent="0.25">
      <c r="A985" s="29" t="s">
        <v>1089</v>
      </c>
      <c r="B985" s="28" t="s">
        <v>58</v>
      </c>
      <c r="C985" t="s">
        <v>49</v>
      </c>
    </row>
    <row r="986" spans="1:3" x14ac:dyDescent="0.25">
      <c r="A986" s="29" t="s">
        <v>1090</v>
      </c>
      <c r="B986" s="28" t="s">
        <v>58</v>
      </c>
      <c r="C986" t="s">
        <v>49</v>
      </c>
    </row>
    <row r="987" spans="1:3" x14ac:dyDescent="0.25">
      <c r="A987" s="29" t="s">
        <v>1091</v>
      </c>
      <c r="B987" s="28" t="s">
        <v>58</v>
      </c>
      <c r="C987" t="s">
        <v>49</v>
      </c>
    </row>
    <row r="988" spans="1:3" x14ac:dyDescent="0.25">
      <c r="A988" s="29" t="s">
        <v>1092</v>
      </c>
      <c r="B988" s="28" t="s">
        <v>58</v>
      </c>
      <c r="C988" t="s">
        <v>49</v>
      </c>
    </row>
    <row r="989" spans="1:3" x14ac:dyDescent="0.25">
      <c r="A989" s="29" t="s">
        <v>1093</v>
      </c>
      <c r="B989" s="28" t="s">
        <v>58</v>
      </c>
      <c r="C989" t="s">
        <v>49</v>
      </c>
    </row>
    <row r="990" spans="1:3" x14ac:dyDescent="0.25">
      <c r="A990" s="29" t="s">
        <v>1094</v>
      </c>
      <c r="B990" s="28" t="s">
        <v>58</v>
      </c>
      <c r="C990" t="s">
        <v>49</v>
      </c>
    </row>
    <row r="991" spans="1:3" x14ac:dyDescent="0.25">
      <c r="A991" s="29" t="s">
        <v>1095</v>
      </c>
      <c r="B991" s="28" t="s">
        <v>58</v>
      </c>
      <c r="C991" t="s">
        <v>49</v>
      </c>
    </row>
    <row r="992" spans="1:3" x14ac:dyDescent="0.25">
      <c r="A992" s="29" t="s">
        <v>1096</v>
      </c>
      <c r="B992" s="28" t="s">
        <v>58</v>
      </c>
      <c r="C992" t="s">
        <v>49</v>
      </c>
    </row>
    <row r="993" spans="1:3" x14ac:dyDescent="0.25">
      <c r="A993" s="29" t="s">
        <v>1097</v>
      </c>
      <c r="B993" s="28" t="s">
        <v>58</v>
      </c>
      <c r="C993" t="s">
        <v>49</v>
      </c>
    </row>
    <row r="994" spans="1:3" x14ac:dyDescent="0.25">
      <c r="A994" s="29" t="s">
        <v>1098</v>
      </c>
      <c r="B994" s="28" t="s">
        <v>58</v>
      </c>
      <c r="C994" t="s">
        <v>49</v>
      </c>
    </row>
    <row r="995" spans="1:3" x14ac:dyDescent="0.25">
      <c r="A995" s="29" t="s">
        <v>1099</v>
      </c>
      <c r="B995" s="28" t="s">
        <v>58</v>
      </c>
      <c r="C995" t="s">
        <v>49</v>
      </c>
    </row>
    <row r="996" spans="1:3" x14ac:dyDescent="0.25">
      <c r="A996" s="29" t="s">
        <v>1100</v>
      </c>
      <c r="B996" s="28" t="s">
        <v>58</v>
      </c>
      <c r="C996" t="s">
        <v>49</v>
      </c>
    </row>
    <row r="997" spans="1:3" x14ac:dyDescent="0.25">
      <c r="A997" s="29" t="s">
        <v>1101</v>
      </c>
      <c r="B997" s="28" t="s">
        <v>58</v>
      </c>
      <c r="C997" t="s">
        <v>49</v>
      </c>
    </row>
    <row r="998" spans="1:3" x14ac:dyDescent="0.25">
      <c r="A998" s="29" t="s">
        <v>1102</v>
      </c>
      <c r="B998" s="28" t="s">
        <v>58</v>
      </c>
      <c r="C998" t="s">
        <v>49</v>
      </c>
    </row>
    <row r="999" spans="1:3" x14ac:dyDescent="0.25">
      <c r="A999" s="29" t="s">
        <v>1103</v>
      </c>
      <c r="B999" s="28" t="s">
        <v>58</v>
      </c>
      <c r="C999" t="s">
        <v>49</v>
      </c>
    </row>
    <row r="1000" spans="1:3" x14ac:dyDescent="0.25">
      <c r="A1000" s="29" t="s">
        <v>1104</v>
      </c>
      <c r="B1000" s="28" t="s">
        <v>58</v>
      </c>
      <c r="C1000" t="s">
        <v>49</v>
      </c>
    </row>
    <row r="1001" spans="1:3" x14ac:dyDescent="0.25">
      <c r="A1001" s="29" t="s">
        <v>1105</v>
      </c>
      <c r="B1001" s="28" t="s">
        <v>58</v>
      </c>
      <c r="C1001" t="s">
        <v>49</v>
      </c>
    </row>
    <row r="1002" spans="1:3" x14ac:dyDescent="0.25">
      <c r="A1002" s="29" t="s">
        <v>1106</v>
      </c>
      <c r="B1002" s="28" t="s">
        <v>58</v>
      </c>
      <c r="C1002" t="s">
        <v>49</v>
      </c>
    </row>
    <row r="1003" spans="1:3" x14ac:dyDescent="0.25">
      <c r="A1003" s="29" t="s">
        <v>1107</v>
      </c>
      <c r="B1003" s="28" t="s">
        <v>58</v>
      </c>
      <c r="C1003" t="s">
        <v>49</v>
      </c>
    </row>
    <row r="1004" spans="1:3" x14ac:dyDescent="0.25">
      <c r="A1004" s="29" t="s">
        <v>1108</v>
      </c>
      <c r="B1004" s="28" t="s">
        <v>58</v>
      </c>
      <c r="C1004" t="s">
        <v>49</v>
      </c>
    </row>
    <row r="1005" spans="1:3" x14ac:dyDescent="0.25">
      <c r="A1005" s="29" t="s">
        <v>1109</v>
      </c>
      <c r="B1005" s="28" t="s">
        <v>58</v>
      </c>
      <c r="C1005" t="s">
        <v>49</v>
      </c>
    </row>
    <row r="1006" spans="1:3" x14ac:dyDescent="0.25">
      <c r="A1006" s="29" t="s">
        <v>1110</v>
      </c>
      <c r="B1006" s="28" t="s">
        <v>58</v>
      </c>
      <c r="C1006" t="s">
        <v>49</v>
      </c>
    </row>
    <row r="1007" spans="1:3" x14ac:dyDescent="0.25">
      <c r="A1007" s="29" t="s">
        <v>1111</v>
      </c>
      <c r="B1007" s="28" t="s">
        <v>58</v>
      </c>
      <c r="C1007" t="s">
        <v>49</v>
      </c>
    </row>
    <row r="1008" spans="1:3" x14ac:dyDescent="0.25">
      <c r="A1008" s="29" t="s">
        <v>1112</v>
      </c>
      <c r="B1008" s="28" t="s">
        <v>58</v>
      </c>
      <c r="C1008" t="s">
        <v>49</v>
      </c>
    </row>
    <row r="1009" spans="1:3" x14ac:dyDescent="0.25">
      <c r="A1009" s="29" t="s">
        <v>1113</v>
      </c>
      <c r="B1009" s="28" t="s">
        <v>58</v>
      </c>
      <c r="C1009" t="s">
        <v>49</v>
      </c>
    </row>
    <row r="1010" spans="1:3" x14ac:dyDescent="0.25">
      <c r="A1010" s="29" t="s">
        <v>1114</v>
      </c>
      <c r="B1010" s="28" t="s">
        <v>58</v>
      </c>
      <c r="C1010" t="s">
        <v>49</v>
      </c>
    </row>
    <row r="1011" spans="1:3" x14ac:dyDescent="0.25">
      <c r="A1011" s="29" t="s">
        <v>1115</v>
      </c>
      <c r="B1011" s="28" t="s">
        <v>58</v>
      </c>
      <c r="C1011" t="s">
        <v>49</v>
      </c>
    </row>
    <row r="1012" spans="1:3" x14ac:dyDescent="0.25">
      <c r="A1012" s="29" t="s">
        <v>1116</v>
      </c>
      <c r="B1012" s="28" t="s">
        <v>58</v>
      </c>
      <c r="C1012" t="s">
        <v>49</v>
      </c>
    </row>
    <row r="1013" spans="1:3" x14ac:dyDescent="0.25">
      <c r="A1013" s="29" t="s">
        <v>1117</v>
      </c>
      <c r="B1013" s="28" t="s">
        <v>58</v>
      </c>
      <c r="C1013" t="s">
        <v>49</v>
      </c>
    </row>
    <row r="1014" spans="1:3" x14ac:dyDescent="0.25">
      <c r="A1014" s="29" t="s">
        <v>1118</v>
      </c>
      <c r="B1014" s="28" t="s">
        <v>58</v>
      </c>
      <c r="C1014" t="s">
        <v>49</v>
      </c>
    </row>
    <row r="1015" spans="1:3" x14ac:dyDescent="0.25">
      <c r="A1015" s="29" t="s">
        <v>1119</v>
      </c>
      <c r="B1015" s="28" t="s">
        <v>58</v>
      </c>
      <c r="C1015" t="s">
        <v>49</v>
      </c>
    </row>
    <row r="1016" spans="1:3" x14ac:dyDescent="0.25">
      <c r="A1016" s="29" t="s">
        <v>1120</v>
      </c>
      <c r="B1016" s="28" t="s">
        <v>58</v>
      </c>
      <c r="C1016" t="s">
        <v>49</v>
      </c>
    </row>
    <row r="1017" spans="1:3" x14ac:dyDescent="0.25">
      <c r="A1017" s="29" t="s">
        <v>1121</v>
      </c>
      <c r="B1017" s="28" t="s">
        <v>58</v>
      </c>
      <c r="C1017" t="s">
        <v>49</v>
      </c>
    </row>
    <row r="1018" spans="1:3" x14ac:dyDescent="0.25">
      <c r="A1018" s="29" t="s">
        <v>1122</v>
      </c>
      <c r="B1018" s="28" t="s">
        <v>58</v>
      </c>
      <c r="C1018" t="s">
        <v>49</v>
      </c>
    </row>
    <row r="1019" spans="1:3" x14ac:dyDescent="0.25">
      <c r="A1019" s="29" t="s">
        <v>1123</v>
      </c>
      <c r="B1019" s="28" t="s">
        <v>58</v>
      </c>
      <c r="C1019" t="s">
        <v>49</v>
      </c>
    </row>
    <row r="1020" spans="1:3" x14ac:dyDescent="0.25">
      <c r="A1020" s="29" t="s">
        <v>1124</v>
      </c>
      <c r="B1020" s="28" t="s">
        <v>58</v>
      </c>
      <c r="C1020" t="s">
        <v>49</v>
      </c>
    </row>
    <row r="1021" spans="1:3" x14ac:dyDescent="0.25">
      <c r="A1021" s="29" t="s">
        <v>1125</v>
      </c>
      <c r="B1021" s="28" t="s">
        <v>58</v>
      </c>
      <c r="C1021" t="s">
        <v>49</v>
      </c>
    </row>
    <row r="1022" spans="1:3" x14ac:dyDescent="0.25">
      <c r="A1022" s="29" t="s">
        <v>1126</v>
      </c>
      <c r="B1022" s="28" t="s">
        <v>58</v>
      </c>
      <c r="C1022" t="s">
        <v>49</v>
      </c>
    </row>
    <row r="1023" spans="1:3" x14ac:dyDescent="0.25">
      <c r="A1023" s="29" t="s">
        <v>1127</v>
      </c>
      <c r="B1023" s="28" t="s">
        <v>58</v>
      </c>
      <c r="C1023" t="s">
        <v>49</v>
      </c>
    </row>
    <row r="1024" spans="1:3" x14ac:dyDescent="0.25">
      <c r="A1024" s="29" t="s">
        <v>1128</v>
      </c>
      <c r="B1024" s="28" t="s">
        <v>58</v>
      </c>
      <c r="C1024" t="s">
        <v>49</v>
      </c>
    </row>
    <row r="1025" spans="1:3" x14ac:dyDescent="0.25">
      <c r="A1025" s="29" t="s">
        <v>1129</v>
      </c>
      <c r="B1025" s="28" t="s">
        <v>58</v>
      </c>
      <c r="C1025" t="s">
        <v>49</v>
      </c>
    </row>
    <row r="1026" spans="1:3" x14ac:dyDescent="0.25">
      <c r="A1026" s="29" t="s">
        <v>1130</v>
      </c>
      <c r="B1026" s="28" t="s">
        <v>58</v>
      </c>
      <c r="C1026" t="s">
        <v>49</v>
      </c>
    </row>
    <row r="1027" spans="1:3" x14ac:dyDescent="0.25">
      <c r="A1027" s="29" t="s">
        <v>1131</v>
      </c>
      <c r="B1027" s="28" t="s">
        <v>58</v>
      </c>
      <c r="C1027" t="s">
        <v>50</v>
      </c>
    </row>
    <row r="1028" spans="1:3" x14ac:dyDescent="0.25">
      <c r="A1028" s="29" t="s">
        <v>1132</v>
      </c>
      <c r="B1028" s="28" t="s">
        <v>58</v>
      </c>
      <c r="C1028" t="s">
        <v>50</v>
      </c>
    </row>
    <row r="1029" spans="1:3" x14ac:dyDescent="0.25">
      <c r="A1029" s="29" t="s">
        <v>1133</v>
      </c>
      <c r="B1029" s="28" t="s">
        <v>58</v>
      </c>
      <c r="C1029" t="s">
        <v>50</v>
      </c>
    </row>
    <row r="1030" spans="1:3" x14ac:dyDescent="0.25">
      <c r="A1030" s="29" t="s">
        <v>1134</v>
      </c>
      <c r="B1030" s="28" t="s">
        <v>58</v>
      </c>
      <c r="C1030" t="s">
        <v>50</v>
      </c>
    </row>
    <row r="1031" spans="1:3" x14ac:dyDescent="0.25">
      <c r="A1031" s="29" t="s">
        <v>1135</v>
      </c>
      <c r="B1031" s="28" t="s">
        <v>58</v>
      </c>
      <c r="C1031" t="s">
        <v>50</v>
      </c>
    </row>
    <row r="1032" spans="1:3" x14ac:dyDescent="0.25">
      <c r="A1032" s="29" t="s">
        <v>1136</v>
      </c>
      <c r="B1032" s="28" t="s">
        <v>58</v>
      </c>
      <c r="C1032" t="s">
        <v>50</v>
      </c>
    </row>
    <row r="1033" spans="1:3" x14ac:dyDescent="0.25">
      <c r="A1033" s="29" t="s">
        <v>1137</v>
      </c>
      <c r="B1033" s="28" t="s">
        <v>58</v>
      </c>
      <c r="C1033" t="s">
        <v>50</v>
      </c>
    </row>
    <row r="1034" spans="1:3" x14ac:dyDescent="0.25">
      <c r="A1034" s="29" t="s">
        <v>1138</v>
      </c>
      <c r="B1034" s="28" t="s">
        <v>58</v>
      </c>
      <c r="C1034" t="s">
        <v>50</v>
      </c>
    </row>
    <row r="1035" spans="1:3" x14ac:dyDescent="0.25">
      <c r="A1035" s="29" t="s">
        <v>1139</v>
      </c>
      <c r="B1035" s="28" t="s">
        <v>58</v>
      </c>
      <c r="C1035" t="s">
        <v>50</v>
      </c>
    </row>
    <row r="1036" spans="1:3" x14ac:dyDescent="0.25">
      <c r="A1036" s="29" t="s">
        <v>1140</v>
      </c>
      <c r="B1036" s="28" t="s">
        <v>58</v>
      </c>
      <c r="C1036" t="s">
        <v>49</v>
      </c>
    </row>
    <row r="1037" spans="1:3" x14ac:dyDescent="0.25">
      <c r="A1037" s="29" t="s">
        <v>1141</v>
      </c>
      <c r="B1037" s="28" t="s">
        <v>58</v>
      </c>
      <c r="C1037" t="s">
        <v>49</v>
      </c>
    </row>
    <row r="1038" spans="1:3" x14ac:dyDescent="0.25">
      <c r="A1038" s="29" t="s">
        <v>1142</v>
      </c>
      <c r="B1038" s="28" t="s">
        <v>58</v>
      </c>
      <c r="C1038" t="s">
        <v>49</v>
      </c>
    </row>
    <row r="1039" spans="1:3" x14ac:dyDescent="0.25">
      <c r="A1039" s="29" t="s">
        <v>15</v>
      </c>
      <c r="B1039" s="28" t="s">
        <v>58</v>
      </c>
      <c r="C1039" t="s">
        <v>51</v>
      </c>
    </row>
    <row r="1040" spans="1:3" x14ac:dyDescent="0.25">
      <c r="A1040" s="29" t="s">
        <v>1143</v>
      </c>
      <c r="B1040" s="28" t="s">
        <v>58</v>
      </c>
      <c r="C1040" t="s">
        <v>51</v>
      </c>
    </row>
    <row r="1041" spans="1:3" x14ac:dyDescent="0.25">
      <c r="A1041" s="29" t="s">
        <v>1144</v>
      </c>
      <c r="B1041" s="28" t="s">
        <v>58</v>
      </c>
      <c r="C1041" t="s">
        <v>51</v>
      </c>
    </row>
    <row r="1042" spans="1:3" x14ac:dyDescent="0.25">
      <c r="A1042" s="29" t="s">
        <v>1145</v>
      </c>
      <c r="B1042" s="28" t="s">
        <v>58</v>
      </c>
      <c r="C1042" t="s">
        <v>51</v>
      </c>
    </row>
    <row r="1043" spans="1:3" x14ac:dyDescent="0.25">
      <c r="A1043" s="29" t="s">
        <v>1146</v>
      </c>
      <c r="B1043" s="28" t="s">
        <v>58</v>
      </c>
      <c r="C1043" t="s">
        <v>51</v>
      </c>
    </row>
    <row r="1044" spans="1:3" x14ac:dyDescent="0.25">
      <c r="A1044" s="29" t="s">
        <v>1147</v>
      </c>
      <c r="B1044" s="28" t="s">
        <v>58</v>
      </c>
      <c r="C1044" t="s">
        <v>51</v>
      </c>
    </row>
    <row r="1045" spans="1:3" x14ac:dyDescent="0.25">
      <c r="A1045" s="29" t="s">
        <v>1148</v>
      </c>
      <c r="B1045" s="28" t="s">
        <v>58</v>
      </c>
      <c r="C1045" t="s">
        <v>50</v>
      </c>
    </row>
    <row r="1046" spans="1:3" x14ac:dyDescent="0.25">
      <c r="A1046" s="29" t="s">
        <v>1149</v>
      </c>
      <c r="B1046" s="28" t="s">
        <v>58</v>
      </c>
      <c r="C1046" t="s">
        <v>50</v>
      </c>
    </row>
    <row r="1047" spans="1:3" x14ac:dyDescent="0.25">
      <c r="A1047" s="29" t="s">
        <v>1150</v>
      </c>
      <c r="B1047" s="28" t="s">
        <v>58</v>
      </c>
      <c r="C1047" t="s">
        <v>50</v>
      </c>
    </row>
    <row r="1048" spans="1:3" x14ac:dyDescent="0.25">
      <c r="A1048" s="29" t="s">
        <v>1151</v>
      </c>
      <c r="B1048" s="28" t="s">
        <v>58</v>
      </c>
      <c r="C1048" t="s">
        <v>52</v>
      </c>
    </row>
    <row r="1049" spans="1:3" x14ac:dyDescent="0.25">
      <c r="A1049" s="29" t="s">
        <v>1152</v>
      </c>
      <c r="B1049" s="28" t="s">
        <v>58</v>
      </c>
      <c r="C1049" t="s">
        <v>51</v>
      </c>
    </row>
    <row r="1050" spans="1:3" x14ac:dyDescent="0.25">
      <c r="A1050" s="29" t="s">
        <v>1153</v>
      </c>
      <c r="B1050" s="28" t="s">
        <v>58</v>
      </c>
      <c r="C1050" t="s">
        <v>52</v>
      </c>
    </row>
    <row r="1051" spans="1:3" x14ac:dyDescent="0.25">
      <c r="A1051" s="29" t="s">
        <v>1154</v>
      </c>
      <c r="B1051" s="28" t="s">
        <v>58</v>
      </c>
      <c r="C1051" t="s">
        <v>52</v>
      </c>
    </row>
    <row r="1052" spans="1:3" x14ac:dyDescent="0.25">
      <c r="A1052" s="29" t="s">
        <v>1155</v>
      </c>
      <c r="B1052" s="28" t="s">
        <v>58</v>
      </c>
      <c r="C1052" t="s">
        <v>52</v>
      </c>
    </row>
    <row r="1053" spans="1:3" x14ac:dyDescent="0.25">
      <c r="A1053" s="29" t="s">
        <v>1156</v>
      </c>
      <c r="B1053" s="28" t="s">
        <v>58</v>
      </c>
      <c r="C1053" t="s">
        <v>52</v>
      </c>
    </row>
    <row r="1054" spans="1:3" x14ac:dyDescent="0.25">
      <c r="A1054" s="29" t="s">
        <v>1157</v>
      </c>
      <c r="B1054" s="28" t="s">
        <v>58</v>
      </c>
      <c r="C1054" t="s">
        <v>48</v>
      </c>
    </row>
    <row r="1055" spans="1:3" x14ac:dyDescent="0.25">
      <c r="A1055" s="29" t="s">
        <v>1158</v>
      </c>
      <c r="B1055" s="28" t="s">
        <v>58</v>
      </c>
      <c r="C1055" t="s">
        <v>52</v>
      </c>
    </row>
    <row r="1056" spans="1:3" x14ac:dyDescent="0.25">
      <c r="A1056" s="29" t="s">
        <v>1159</v>
      </c>
      <c r="B1056" s="28" t="s">
        <v>58</v>
      </c>
      <c r="C1056" t="s">
        <v>52</v>
      </c>
    </row>
    <row r="1057" spans="1:3" x14ac:dyDescent="0.25">
      <c r="A1057" s="29" t="s">
        <v>1160</v>
      </c>
      <c r="B1057" s="28" t="s">
        <v>58</v>
      </c>
      <c r="C1057" t="s">
        <v>52</v>
      </c>
    </row>
    <row r="1058" spans="1:3" x14ac:dyDescent="0.25">
      <c r="A1058" s="29" t="s">
        <v>1161</v>
      </c>
      <c r="B1058" s="28" t="s">
        <v>58</v>
      </c>
      <c r="C1058" t="s">
        <v>52</v>
      </c>
    </row>
    <row r="1059" spans="1:3" x14ac:dyDescent="0.25">
      <c r="A1059" s="29" t="s">
        <v>1162</v>
      </c>
      <c r="B1059" s="28" t="s">
        <v>58</v>
      </c>
      <c r="C1059" t="s">
        <v>52</v>
      </c>
    </row>
    <row r="1060" spans="1:3" x14ac:dyDescent="0.25">
      <c r="A1060" s="29" t="s">
        <v>1163</v>
      </c>
      <c r="B1060" s="28" t="s">
        <v>58</v>
      </c>
      <c r="C1060" t="s">
        <v>52</v>
      </c>
    </row>
    <row r="1061" spans="1:3" x14ac:dyDescent="0.25">
      <c r="A1061" s="29" t="s">
        <v>1164</v>
      </c>
      <c r="B1061" s="28" t="s">
        <v>58</v>
      </c>
      <c r="C1061" t="s">
        <v>52</v>
      </c>
    </row>
    <row r="1062" spans="1:3" x14ac:dyDescent="0.25">
      <c r="A1062" s="29" t="s">
        <v>1165</v>
      </c>
      <c r="B1062" s="28" t="s">
        <v>58</v>
      </c>
      <c r="C1062" t="s">
        <v>48</v>
      </c>
    </row>
    <row r="1063" spans="1:3" x14ac:dyDescent="0.25">
      <c r="A1063" s="29" t="s">
        <v>1166</v>
      </c>
      <c r="B1063" s="28" t="s">
        <v>58</v>
      </c>
      <c r="C1063" t="s">
        <v>48</v>
      </c>
    </row>
    <row r="1064" spans="1:3" x14ac:dyDescent="0.25">
      <c r="A1064" s="29" t="s">
        <v>1167</v>
      </c>
      <c r="B1064" s="28" t="s">
        <v>58</v>
      </c>
      <c r="C1064" t="s">
        <v>48</v>
      </c>
    </row>
    <row r="1065" spans="1:3" x14ac:dyDescent="0.25">
      <c r="A1065" s="29" t="s">
        <v>1168</v>
      </c>
      <c r="B1065" s="28" t="s">
        <v>58</v>
      </c>
      <c r="C1065" t="s">
        <v>48</v>
      </c>
    </row>
    <row r="1066" spans="1:3" x14ac:dyDescent="0.25">
      <c r="A1066" s="29" t="s">
        <v>1169</v>
      </c>
      <c r="B1066" s="28" t="s">
        <v>58</v>
      </c>
      <c r="C1066" t="s">
        <v>48</v>
      </c>
    </row>
    <row r="1067" spans="1:3" x14ac:dyDescent="0.25">
      <c r="A1067" s="29" t="s">
        <v>1170</v>
      </c>
      <c r="B1067" s="28" t="s">
        <v>58</v>
      </c>
      <c r="C1067" t="s">
        <v>50</v>
      </c>
    </row>
    <row r="1068" spans="1:3" x14ac:dyDescent="0.25">
      <c r="A1068" s="29" t="s">
        <v>1171</v>
      </c>
      <c r="B1068" s="28" t="s">
        <v>58</v>
      </c>
      <c r="C1068" t="s">
        <v>50</v>
      </c>
    </row>
    <row r="1069" spans="1:3" x14ac:dyDescent="0.25">
      <c r="A1069" s="29" t="s">
        <v>1172</v>
      </c>
      <c r="B1069" s="28" t="s">
        <v>58</v>
      </c>
      <c r="C1069" t="s">
        <v>50</v>
      </c>
    </row>
    <row r="1070" spans="1:3" x14ac:dyDescent="0.25">
      <c r="A1070" s="29" t="s">
        <v>1173</v>
      </c>
      <c r="B1070" s="28" t="s">
        <v>58</v>
      </c>
      <c r="C1070" t="s">
        <v>50</v>
      </c>
    </row>
    <row r="1071" spans="1:3" x14ac:dyDescent="0.25">
      <c r="A1071" s="29" t="s">
        <v>1174</v>
      </c>
      <c r="B1071" s="28" t="s">
        <v>58</v>
      </c>
      <c r="C1071" t="s">
        <v>50</v>
      </c>
    </row>
    <row r="1072" spans="1:3" x14ac:dyDescent="0.25">
      <c r="A1072" s="29" t="s">
        <v>1175</v>
      </c>
      <c r="B1072" s="28" t="s">
        <v>58</v>
      </c>
      <c r="C1072" t="s">
        <v>52</v>
      </c>
    </row>
    <row r="1073" spans="1:3" x14ac:dyDescent="0.25">
      <c r="A1073" s="29" t="s">
        <v>1176</v>
      </c>
      <c r="B1073" s="28" t="s">
        <v>58</v>
      </c>
      <c r="C1073" t="s">
        <v>52</v>
      </c>
    </row>
    <row r="1074" spans="1:3" x14ac:dyDescent="0.25">
      <c r="A1074" s="29" t="s">
        <v>1177</v>
      </c>
      <c r="B1074" s="28" t="s">
        <v>58</v>
      </c>
      <c r="C1074" t="s">
        <v>51</v>
      </c>
    </row>
    <row r="1075" spans="1:3" x14ac:dyDescent="0.25">
      <c r="A1075" s="29" t="s">
        <v>1178</v>
      </c>
      <c r="B1075" s="28" t="s">
        <v>58</v>
      </c>
      <c r="C1075" t="s">
        <v>51</v>
      </c>
    </row>
    <row r="1076" spans="1:3" x14ac:dyDescent="0.25">
      <c r="A1076" s="29" t="s">
        <v>1179</v>
      </c>
      <c r="B1076" s="28" t="s">
        <v>58</v>
      </c>
      <c r="C1076" t="s">
        <v>51</v>
      </c>
    </row>
    <row r="1077" spans="1:3" x14ac:dyDescent="0.25">
      <c r="A1077" s="29" t="s">
        <v>1180</v>
      </c>
      <c r="B1077" s="28" t="s">
        <v>58</v>
      </c>
      <c r="C1077" t="s">
        <v>51</v>
      </c>
    </row>
    <row r="1078" spans="1:3" x14ac:dyDescent="0.25">
      <c r="A1078" s="29" t="s">
        <v>1181</v>
      </c>
      <c r="B1078" s="28" t="s">
        <v>58</v>
      </c>
      <c r="C1078" t="s">
        <v>51</v>
      </c>
    </row>
    <row r="1079" spans="1:3" x14ac:dyDescent="0.25">
      <c r="A1079" s="29" t="s">
        <v>1182</v>
      </c>
      <c r="B1079" s="28" t="s">
        <v>58</v>
      </c>
      <c r="C1079" t="s">
        <v>51</v>
      </c>
    </row>
    <row r="1080" spans="1:3" x14ac:dyDescent="0.25">
      <c r="A1080" s="29" t="s">
        <v>1183</v>
      </c>
      <c r="B1080" s="28" t="s">
        <v>58</v>
      </c>
      <c r="C1080" t="s">
        <v>51</v>
      </c>
    </row>
    <row r="1081" spans="1:3" x14ac:dyDescent="0.25">
      <c r="A1081" s="29" t="s">
        <v>1184</v>
      </c>
      <c r="B1081" s="28" t="s">
        <v>58</v>
      </c>
      <c r="C1081" t="s">
        <v>51</v>
      </c>
    </row>
    <row r="1082" spans="1:3" x14ac:dyDescent="0.25">
      <c r="A1082" s="29" t="s">
        <v>1185</v>
      </c>
      <c r="B1082" s="28" t="s">
        <v>58</v>
      </c>
      <c r="C1082" t="s">
        <v>51</v>
      </c>
    </row>
    <row r="1083" spans="1:3" x14ac:dyDescent="0.25">
      <c r="A1083" s="29" t="s">
        <v>1186</v>
      </c>
      <c r="B1083" s="28" t="s">
        <v>58</v>
      </c>
      <c r="C1083" t="s">
        <v>51</v>
      </c>
    </row>
    <row r="1084" spans="1:3" x14ac:dyDescent="0.25">
      <c r="A1084" s="29" t="s">
        <v>1187</v>
      </c>
      <c r="B1084" s="28" t="s">
        <v>58</v>
      </c>
      <c r="C1084" t="s">
        <v>51</v>
      </c>
    </row>
    <row r="1085" spans="1:3" x14ac:dyDescent="0.25">
      <c r="A1085" s="29" t="s">
        <v>1188</v>
      </c>
      <c r="B1085" s="28" t="s">
        <v>58</v>
      </c>
      <c r="C1085" t="s">
        <v>51</v>
      </c>
    </row>
    <row r="1086" spans="1:3" x14ac:dyDescent="0.25">
      <c r="A1086" s="29" t="s">
        <v>1189</v>
      </c>
      <c r="B1086" s="28" t="s">
        <v>58</v>
      </c>
      <c r="C1086" t="s">
        <v>51</v>
      </c>
    </row>
    <row r="1087" spans="1:3" x14ac:dyDescent="0.25">
      <c r="A1087" s="29" t="s">
        <v>1190</v>
      </c>
      <c r="B1087" s="28" t="s">
        <v>58</v>
      </c>
      <c r="C1087" t="s">
        <v>51</v>
      </c>
    </row>
    <row r="1088" spans="1:3" x14ac:dyDescent="0.25">
      <c r="A1088" s="29" t="s">
        <v>1191</v>
      </c>
      <c r="B1088" s="28" t="s">
        <v>56</v>
      </c>
      <c r="C1088" t="s">
        <v>49</v>
      </c>
    </row>
    <row r="1089" spans="1:3" x14ac:dyDescent="0.25">
      <c r="A1089" s="29" t="s">
        <v>1192</v>
      </c>
      <c r="B1089" s="28" t="s">
        <v>57</v>
      </c>
      <c r="C1089" t="s">
        <v>49</v>
      </c>
    </row>
    <row r="1090" spans="1:3" x14ac:dyDescent="0.25">
      <c r="A1090" s="29" t="s">
        <v>1193</v>
      </c>
      <c r="B1090" s="28" t="s">
        <v>56</v>
      </c>
      <c r="C1090" t="s">
        <v>49</v>
      </c>
    </row>
    <row r="1091" spans="1:3" x14ac:dyDescent="0.25">
      <c r="A1091" s="29" t="s">
        <v>1194</v>
      </c>
      <c r="B1091" s="28" t="s">
        <v>58</v>
      </c>
      <c r="C1091" t="s">
        <v>49</v>
      </c>
    </row>
    <row r="1092" spans="1:3" x14ac:dyDescent="0.25">
      <c r="A1092" s="29" t="s">
        <v>1195</v>
      </c>
      <c r="B1092" s="28" t="s">
        <v>58</v>
      </c>
      <c r="C1092" t="s">
        <v>49</v>
      </c>
    </row>
    <row r="1093" spans="1:3" x14ac:dyDescent="0.25">
      <c r="A1093" s="29" t="s">
        <v>1196</v>
      </c>
      <c r="B1093" s="28" t="s">
        <v>57</v>
      </c>
      <c r="C1093" t="s">
        <v>49</v>
      </c>
    </row>
    <row r="1094" spans="1:3" x14ac:dyDescent="0.25">
      <c r="A1094" s="29" t="s">
        <v>1197</v>
      </c>
      <c r="B1094" s="28" t="s">
        <v>58</v>
      </c>
      <c r="C1094" t="s">
        <v>49</v>
      </c>
    </row>
    <row r="1095" spans="1:3" x14ac:dyDescent="0.25">
      <c r="A1095" s="29" t="s">
        <v>1198</v>
      </c>
      <c r="B1095" s="28" t="s">
        <v>57</v>
      </c>
      <c r="C1095" t="s">
        <v>49</v>
      </c>
    </row>
    <row r="1096" spans="1:3" x14ac:dyDescent="0.25">
      <c r="A1096" s="29" t="s">
        <v>1199</v>
      </c>
      <c r="B1096" s="28" t="s">
        <v>58</v>
      </c>
      <c r="C1096" t="s">
        <v>49</v>
      </c>
    </row>
    <row r="1097" spans="1:3" x14ac:dyDescent="0.25">
      <c r="A1097" s="29" t="s">
        <v>1200</v>
      </c>
      <c r="B1097" s="28" t="s">
        <v>58</v>
      </c>
      <c r="C1097" t="s">
        <v>49</v>
      </c>
    </row>
    <row r="1098" spans="1:3" x14ac:dyDescent="0.25">
      <c r="A1098" s="29" t="s">
        <v>1201</v>
      </c>
      <c r="B1098" s="28" t="s">
        <v>58</v>
      </c>
      <c r="C1098" t="s">
        <v>49</v>
      </c>
    </row>
    <row r="1099" spans="1:3" x14ac:dyDescent="0.25">
      <c r="A1099" s="29" t="s">
        <v>1202</v>
      </c>
      <c r="B1099" s="28" t="s">
        <v>58</v>
      </c>
      <c r="C1099" t="s">
        <v>49</v>
      </c>
    </row>
    <row r="1100" spans="1:3" x14ac:dyDescent="0.25">
      <c r="A1100" s="29" t="s">
        <v>1203</v>
      </c>
      <c r="B1100" s="28" t="s">
        <v>58</v>
      </c>
      <c r="C1100" t="s">
        <v>49</v>
      </c>
    </row>
    <row r="1101" spans="1:3" x14ac:dyDescent="0.25">
      <c r="A1101" s="29" t="s">
        <v>1204</v>
      </c>
      <c r="B1101" s="28" t="s">
        <v>58</v>
      </c>
      <c r="C1101" t="s">
        <v>49</v>
      </c>
    </row>
    <row r="1102" spans="1:3" x14ac:dyDescent="0.25">
      <c r="A1102" s="29" t="s">
        <v>1205</v>
      </c>
      <c r="B1102" s="28" t="s">
        <v>58</v>
      </c>
      <c r="C1102" t="s">
        <v>49</v>
      </c>
    </row>
    <row r="1103" spans="1:3" x14ac:dyDescent="0.25">
      <c r="A1103" s="29" t="s">
        <v>1206</v>
      </c>
      <c r="B1103" s="28" t="s">
        <v>58</v>
      </c>
      <c r="C1103" t="s">
        <v>49</v>
      </c>
    </row>
    <row r="1104" spans="1:3" x14ac:dyDescent="0.25">
      <c r="A1104" s="29" t="s">
        <v>1207</v>
      </c>
      <c r="B1104" s="28" t="s">
        <v>58</v>
      </c>
      <c r="C1104" t="s">
        <v>49</v>
      </c>
    </row>
    <row r="1105" spans="1:3" x14ac:dyDescent="0.25">
      <c r="A1105" s="29" t="s">
        <v>1208</v>
      </c>
      <c r="B1105" s="28" t="s">
        <v>58</v>
      </c>
      <c r="C1105" t="s">
        <v>49</v>
      </c>
    </row>
    <row r="1106" spans="1:3" x14ac:dyDescent="0.25">
      <c r="A1106" s="29" t="s">
        <v>1209</v>
      </c>
      <c r="B1106" s="28" t="s">
        <v>58</v>
      </c>
      <c r="C1106" t="s">
        <v>49</v>
      </c>
    </row>
    <row r="1107" spans="1:3" x14ac:dyDescent="0.25">
      <c r="A1107" s="29" t="s">
        <v>1210</v>
      </c>
      <c r="B1107" s="28" t="s">
        <v>58</v>
      </c>
      <c r="C1107" t="s">
        <v>50</v>
      </c>
    </row>
    <row r="1108" spans="1:3" x14ac:dyDescent="0.25">
      <c r="A1108" s="29" t="s">
        <v>1211</v>
      </c>
      <c r="B1108" s="28" t="s">
        <v>58</v>
      </c>
      <c r="C1108" t="s">
        <v>50</v>
      </c>
    </row>
    <row r="1109" spans="1:3" x14ac:dyDescent="0.25">
      <c r="A1109" s="29" t="s">
        <v>1212</v>
      </c>
      <c r="B1109" s="28" t="s">
        <v>57</v>
      </c>
      <c r="C1109" t="s">
        <v>50</v>
      </c>
    </row>
    <row r="1110" spans="1:3" x14ac:dyDescent="0.25">
      <c r="A1110" s="29" t="s">
        <v>1213</v>
      </c>
      <c r="B1110" s="28" t="s">
        <v>58</v>
      </c>
      <c r="C1110" t="s">
        <v>50</v>
      </c>
    </row>
    <row r="1111" spans="1:3" x14ac:dyDescent="0.25">
      <c r="A1111" s="29" t="s">
        <v>1214</v>
      </c>
      <c r="B1111" s="28" t="s">
        <v>58</v>
      </c>
      <c r="C1111" t="s">
        <v>50</v>
      </c>
    </row>
    <row r="1112" spans="1:3" x14ac:dyDescent="0.25">
      <c r="A1112" s="29" t="s">
        <v>1215</v>
      </c>
      <c r="B1112" s="28" t="s">
        <v>57</v>
      </c>
      <c r="C1112" t="s">
        <v>50</v>
      </c>
    </row>
    <row r="1113" spans="1:3" x14ac:dyDescent="0.25">
      <c r="A1113" s="29" t="s">
        <v>1216</v>
      </c>
      <c r="B1113" s="28" t="s">
        <v>56</v>
      </c>
      <c r="C1113" t="s">
        <v>50</v>
      </c>
    </row>
    <row r="1114" spans="1:3" x14ac:dyDescent="0.25">
      <c r="A1114" s="29" t="s">
        <v>1217</v>
      </c>
      <c r="B1114" s="28" t="s">
        <v>57</v>
      </c>
      <c r="C1114" t="s">
        <v>50</v>
      </c>
    </row>
    <row r="1115" spans="1:3" x14ac:dyDescent="0.25">
      <c r="A1115" s="29" t="s">
        <v>1218</v>
      </c>
      <c r="B1115" s="28" t="s">
        <v>58</v>
      </c>
      <c r="C1115" t="s">
        <v>50</v>
      </c>
    </row>
    <row r="1116" spans="1:3" x14ac:dyDescent="0.25">
      <c r="A1116" s="29" t="s">
        <v>1219</v>
      </c>
      <c r="B1116" s="28" t="s">
        <v>58</v>
      </c>
      <c r="C1116" t="s">
        <v>50</v>
      </c>
    </row>
    <row r="1117" spans="1:3" x14ac:dyDescent="0.25">
      <c r="A1117" s="29" t="s">
        <v>1220</v>
      </c>
      <c r="B1117" s="28" t="s">
        <v>58</v>
      </c>
      <c r="C1117" t="s">
        <v>50</v>
      </c>
    </row>
    <row r="1118" spans="1:3" x14ac:dyDescent="0.25">
      <c r="A1118" s="29" t="s">
        <v>1221</v>
      </c>
      <c r="B1118" s="28" t="s">
        <v>58</v>
      </c>
      <c r="C1118" t="s">
        <v>50</v>
      </c>
    </row>
    <row r="1119" spans="1:3" x14ac:dyDescent="0.25">
      <c r="A1119" s="29" t="s">
        <v>1222</v>
      </c>
      <c r="B1119" s="28" t="s">
        <v>58</v>
      </c>
      <c r="C1119" t="s">
        <v>50</v>
      </c>
    </row>
    <row r="1120" spans="1:3" x14ac:dyDescent="0.25">
      <c r="A1120" s="29" t="s">
        <v>1223</v>
      </c>
      <c r="B1120" s="28" t="s">
        <v>58</v>
      </c>
      <c r="C1120" t="s">
        <v>50</v>
      </c>
    </row>
    <row r="1121" spans="1:3" x14ac:dyDescent="0.25">
      <c r="A1121" s="29" t="s">
        <v>1224</v>
      </c>
      <c r="B1121" s="28" t="s">
        <v>58</v>
      </c>
      <c r="C1121" t="s">
        <v>50</v>
      </c>
    </row>
    <row r="1122" spans="1:3" x14ac:dyDescent="0.25">
      <c r="A1122" s="29" t="s">
        <v>1225</v>
      </c>
      <c r="B1122" s="28" t="s">
        <v>58</v>
      </c>
      <c r="C1122" t="s">
        <v>50</v>
      </c>
    </row>
    <row r="1123" spans="1:3" x14ac:dyDescent="0.25">
      <c r="A1123" s="29" t="s">
        <v>1226</v>
      </c>
      <c r="B1123" s="28" t="s">
        <v>58</v>
      </c>
      <c r="C1123" t="s">
        <v>50</v>
      </c>
    </row>
    <row r="1124" spans="1:3" x14ac:dyDescent="0.25">
      <c r="A1124" s="29" t="s">
        <v>1227</v>
      </c>
      <c r="B1124" s="28" t="s">
        <v>58</v>
      </c>
      <c r="C1124" t="s">
        <v>50</v>
      </c>
    </row>
    <row r="1125" spans="1:3" x14ac:dyDescent="0.25">
      <c r="A1125" s="29" t="s">
        <v>1228</v>
      </c>
      <c r="B1125" s="28" t="s">
        <v>58</v>
      </c>
      <c r="C1125" t="s">
        <v>50</v>
      </c>
    </row>
    <row r="1126" spans="1:3" x14ac:dyDescent="0.25">
      <c r="A1126" s="29" t="s">
        <v>1229</v>
      </c>
      <c r="B1126" s="28" t="s">
        <v>58</v>
      </c>
      <c r="C1126" t="s">
        <v>50</v>
      </c>
    </row>
    <row r="1127" spans="1:3" x14ac:dyDescent="0.25">
      <c r="A1127" s="29" t="s">
        <v>1230</v>
      </c>
      <c r="B1127" s="28" t="s">
        <v>58</v>
      </c>
      <c r="C1127" t="s">
        <v>50</v>
      </c>
    </row>
    <row r="1128" spans="1:3" x14ac:dyDescent="0.25">
      <c r="A1128" s="29" t="s">
        <v>1231</v>
      </c>
      <c r="B1128" s="28" t="s">
        <v>58</v>
      </c>
      <c r="C1128" t="s">
        <v>50</v>
      </c>
    </row>
    <row r="1129" spans="1:3" x14ac:dyDescent="0.25">
      <c r="A1129" s="29" t="s">
        <v>1232</v>
      </c>
      <c r="B1129" s="28" t="s">
        <v>58</v>
      </c>
      <c r="C1129" t="s">
        <v>50</v>
      </c>
    </row>
    <row r="1130" spans="1:3" x14ac:dyDescent="0.25">
      <c r="A1130" s="29" t="s">
        <v>1233</v>
      </c>
      <c r="B1130" s="28" t="s">
        <v>58</v>
      </c>
      <c r="C1130" t="s">
        <v>50</v>
      </c>
    </row>
    <row r="1131" spans="1:3" x14ac:dyDescent="0.25">
      <c r="A1131" s="29" t="s">
        <v>1234</v>
      </c>
      <c r="B1131" s="28" t="s">
        <v>58</v>
      </c>
      <c r="C1131" t="s">
        <v>50</v>
      </c>
    </row>
    <row r="1132" spans="1:3" x14ac:dyDescent="0.25">
      <c r="A1132" s="29" t="s">
        <v>1235</v>
      </c>
      <c r="B1132" s="28" t="s">
        <v>58</v>
      </c>
      <c r="C1132" t="s">
        <v>50</v>
      </c>
    </row>
    <row r="1133" spans="1:3" x14ac:dyDescent="0.25">
      <c r="A1133" s="29" t="s">
        <v>1236</v>
      </c>
      <c r="B1133" s="28" t="s">
        <v>58</v>
      </c>
      <c r="C1133" t="s">
        <v>50</v>
      </c>
    </row>
    <row r="1134" spans="1:3" x14ac:dyDescent="0.25">
      <c r="A1134" s="29" t="s">
        <v>1237</v>
      </c>
      <c r="B1134" s="28" t="s">
        <v>56</v>
      </c>
      <c r="C1134" t="s">
        <v>50</v>
      </c>
    </row>
    <row r="1135" spans="1:3" x14ac:dyDescent="0.25">
      <c r="A1135" s="29" t="s">
        <v>1238</v>
      </c>
      <c r="B1135" s="28" t="s">
        <v>58</v>
      </c>
      <c r="C1135" t="s">
        <v>50</v>
      </c>
    </row>
    <row r="1136" spans="1:3" x14ac:dyDescent="0.25">
      <c r="A1136" s="29" t="s">
        <v>1239</v>
      </c>
      <c r="B1136" s="28" t="s">
        <v>58</v>
      </c>
      <c r="C1136" t="s">
        <v>50</v>
      </c>
    </row>
    <row r="1137" spans="1:3" x14ac:dyDescent="0.25">
      <c r="A1137" s="29" t="s">
        <v>1240</v>
      </c>
      <c r="B1137" s="28" t="s">
        <v>58</v>
      </c>
      <c r="C1137" t="s">
        <v>50</v>
      </c>
    </row>
    <row r="1138" spans="1:3" x14ac:dyDescent="0.25">
      <c r="A1138" s="29" t="s">
        <v>1241</v>
      </c>
      <c r="B1138" s="28" t="s">
        <v>58</v>
      </c>
      <c r="C1138" t="s">
        <v>50</v>
      </c>
    </row>
    <row r="1139" spans="1:3" x14ac:dyDescent="0.25">
      <c r="A1139" s="29" t="s">
        <v>1242</v>
      </c>
      <c r="B1139" s="28" t="s">
        <v>58</v>
      </c>
      <c r="C1139" t="s">
        <v>50</v>
      </c>
    </row>
    <row r="1140" spans="1:3" x14ac:dyDescent="0.25">
      <c r="A1140" s="29" t="s">
        <v>1243</v>
      </c>
      <c r="B1140" s="28" t="s">
        <v>57</v>
      </c>
      <c r="C1140" t="s">
        <v>50</v>
      </c>
    </row>
    <row r="1141" spans="1:3" x14ac:dyDescent="0.25">
      <c r="A1141" s="29" t="s">
        <v>1244</v>
      </c>
      <c r="B1141" s="28" t="s">
        <v>58</v>
      </c>
      <c r="C1141" t="s">
        <v>50</v>
      </c>
    </row>
    <row r="1142" spans="1:3" x14ac:dyDescent="0.25">
      <c r="A1142" s="29" t="s">
        <v>1245</v>
      </c>
      <c r="B1142" s="28" t="s">
        <v>58</v>
      </c>
      <c r="C1142" t="s">
        <v>50</v>
      </c>
    </row>
    <row r="1143" spans="1:3" x14ac:dyDescent="0.25">
      <c r="A1143" s="29" t="s">
        <v>1246</v>
      </c>
      <c r="B1143" s="28" t="s">
        <v>58</v>
      </c>
      <c r="C1143" t="s">
        <v>50</v>
      </c>
    </row>
    <row r="1144" spans="1:3" x14ac:dyDescent="0.25">
      <c r="A1144" s="29" t="s">
        <v>1247</v>
      </c>
      <c r="B1144" s="28" t="s">
        <v>58</v>
      </c>
      <c r="C1144" t="s">
        <v>50</v>
      </c>
    </row>
    <row r="1145" spans="1:3" x14ac:dyDescent="0.25">
      <c r="A1145" s="29" t="s">
        <v>1248</v>
      </c>
      <c r="B1145" s="28" t="s">
        <v>58</v>
      </c>
      <c r="C1145" t="s">
        <v>49</v>
      </c>
    </row>
    <row r="1146" spans="1:3" x14ac:dyDescent="0.25">
      <c r="A1146" s="29" t="s">
        <v>1249</v>
      </c>
      <c r="B1146" s="28" t="s">
        <v>58</v>
      </c>
      <c r="C1146" t="s">
        <v>49</v>
      </c>
    </row>
    <row r="1147" spans="1:3" x14ac:dyDescent="0.25">
      <c r="A1147" s="29" t="s">
        <v>1250</v>
      </c>
      <c r="B1147" s="28" t="s">
        <v>58</v>
      </c>
      <c r="C1147" t="s">
        <v>49</v>
      </c>
    </row>
    <row r="1148" spans="1:3" x14ac:dyDescent="0.25">
      <c r="A1148" s="29" t="s">
        <v>1251</v>
      </c>
      <c r="B1148" s="28" t="s">
        <v>58</v>
      </c>
      <c r="C1148" t="s">
        <v>49</v>
      </c>
    </row>
    <row r="1149" spans="1:3" x14ac:dyDescent="0.25">
      <c r="A1149" s="29" t="s">
        <v>1252</v>
      </c>
      <c r="B1149" s="28" t="s">
        <v>58</v>
      </c>
      <c r="C1149" t="s">
        <v>49</v>
      </c>
    </row>
    <row r="1150" spans="1:3" x14ac:dyDescent="0.25">
      <c r="A1150" s="29" t="s">
        <v>1253</v>
      </c>
      <c r="B1150" s="28" t="s">
        <v>57</v>
      </c>
      <c r="C1150" t="s">
        <v>49</v>
      </c>
    </row>
    <row r="1151" spans="1:3" x14ac:dyDescent="0.25">
      <c r="A1151" s="29" t="s">
        <v>1254</v>
      </c>
      <c r="B1151" s="28" t="s">
        <v>58</v>
      </c>
      <c r="C1151" t="s">
        <v>49</v>
      </c>
    </row>
    <row r="1152" spans="1:3" x14ac:dyDescent="0.25">
      <c r="A1152" s="29" t="s">
        <v>1255</v>
      </c>
      <c r="B1152" s="28" t="s">
        <v>57</v>
      </c>
      <c r="C1152" t="s">
        <v>49</v>
      </c>
    </row>
    <row r="1153" spans="1:3" x14ac:dyDescent="0.25">
      <c r="A1153" s="29" t="s">
        <v>1256</v>
      </c>
      <c r="B1153" s="28" t="s">
        <v>58</v>
      </c>
      <c r="C1153" t="s">
        <v>51</v>
      </c>
    </row>
    <row r="1154" spans="1:3" x14ac:dyDescent="0.25">
      <c r="A1154" s="29" t="s">
        <v>1257</v>
      </c>
      <c r="B1154" s="28" t="s">
        <v>58</v>
      </c>
      <c r="C1154" t="s">
        <v>51</v>
      </c>
    </row>
    <row r="1155" spans="1:3" x14ac:dyDescent="0.25">
      <c r="A1155" s="29" t="s">
        <v>1258</v>
      </c>
      <c r="B1155" s="28" t="s">
        <v>58</v>
      </c>
      <c r="C1155" t="s">
        <v>51</v>
      </c>
    </row>
    <row r="1156" spans="1:3" x14ac:dyDescent="0.25">
      <c r="A1156" s="29" t="s">
        <v>1259</v>
      </c>
      <c r="B1156" s="28" t="s">
        <v>58</v>
      </c>
      <c r="C1156" t="s">
        <v>51</v>
      </c>
    </row>
    <row r="1157" spans="1:3" x14ac:dyDescent="0.25">
      <c r="A1157" s="29" t="s">
        <v>1260</v>
      </c>
      <c r="B1157" s="28" t="s">
        <v>58</v>
      </c>
      <c r="C1157" t="s">
        <v>51</v>
      </c>
    </row>
    <row r="1158" spans="1:3" x14ac:dyDescent="0.25">
      <c r="A1158" s="29" t="s">
        <v>1261</v>
      </c>
      <c r="B1158" s="28" t="s">
        <v>58</v>
      </c>
      <c r="C1158" t="s">
        <v>51</v>
      </c>
    </row>
    <row r="1159" spans="1:3" x14ac:dyDescent="0.25">
      <c r="A1159" s="29" t="s">
        <v>1262</v>
      </c>
      <c r="B1159" s="28" t="s">
        <v>58</v>
      </c>
      <c r="C1159" t="s">
        <v>51</v>
      </c>
    </row>
    <row r="1160" spans="1:3" x14ac:dyDescent="0.25">
      <c r="A1160" s="29" t="s">
        <v>1263</v>
      </c>
      <c r="B1160" s="28" t="s">
        <v>58</v>
      </c>
      <c r="C1160" t="s">
        <v>51</v>
      </c>
    </row>
    <row r="1161" spans="1:3" x14ac:dyDescent="0.25">
      <c r="A1161" s="29" t="s">
        <v>1264</v>
      </c>
      <c r="B1161" s="28" t="s">
        <v>58</v>
      </c>
      <c r="C1161" t="s">
        <v>51</v>
      </c>
    </row>
    <row r="1162" spans="1:3" x14ac:dyDescent="0.25">
      <c r="A1162" s="29" t="s">
        <v>1265</v>
      </c>
      <c r="B1162" s="28" t="s">
        <v>58</v>
      </c>
      <c r="C1162" t="s">
        <v>51</v>
      </c>
    </row>
    <row r="1163" spans="1:3" x14ac:dyDescent="0.25">
      <c r="A1163" s="29" t="s">
        <v>1266</v>
      </c>
      <c r="B1163" s="28" t="s">
        <v>56</v>
      </c>
      <c r="C1163" t="s">
        <v>51</v>
      </c>
    </row>
    <row r="1164" spans="1:3" x14ac:dyDescent="0.25">
      <c r="A1164" s="29" t="s">
        <v>1267</v>
      </c>
      <c r="B1164" s="28" t="s">
        <v>58</v>
      </c>
      <c r="C1164" t="s">
        <v>51</v>
      </c>
    </row>
    <row r="1165" spans="1:3" x14ac:dyDescent="0.25">
      <c r="A1165" s="29" t="s">
        <v>1268</v>
      </c>
      <c r="B1165" s="28" t="s">
        <v>58</v>
      </c>
      <c r="C1165" t="s">
        <v>51</v>
      </c>
    </row>
    <row r="1166" spans="1:3" x14ac:dyDescent="0.25">
      <c r="A1166" s="29" t="s">
        <v>1269</v>
      </c>
      <c r="B1166" s="28" t="s">
        <v>58</v>
      </c>
      <c r="C1166" t="s">
        <v>51</v>
      </c>
    </row>
    <row r="1167" spans="1:3" x14ac:dyDescent="0.25">
      <c r="A1167" s="29" t="s">
        <v>1270</v>
      </c>
      <c r="B1167" s="28" t="s">
        <v>58</v>
      </c>
      <c r="C1167" t="s">
        <v>51</v>
      </c>
    </row>
    <row r="1168" spans="1:3" x14ac:dyDescent="0.25">
      <c r="A1168" s="29" t="s">
        <v>1271</v>
      </c>
      <c r="B1168" s="28" t="s">
        <v>58</v>
      </c>
      <c r="C1168" t="s">
        <v>51</v>
      </c>
    </row>
    <row r="1169" spans="1:3" x14ac:dyDescent="0.25">
      <c r="A1169" s="29" t="s">
        <v>1272</v>
      </c>
      <c r="B1169" s="28" t="s">
        <v>58</v>
      </c>
      <c r="C1169" t="s">
        <v>51</v>
      </c>
    </row>
    <row r="1170" spans="1:3" x14ac:dyDescent="0.25">
      <c r="A1170" s="29" t="s">
        <v>1273</v>
      </c>
      <c r="B1170" s="28" t="s">
        <v>58</v>
      </c>
      <c r="C1170" t="s">
        <v>51</v>
      </c>
    </row>
    <row r="1171" spans="1:3" x14ac:dyDescent="0.25">
      <c r="A1171" s="29" t="s">
        <v>1274</v>
      </c>
      <c r="B1171" s="28" t="s">
        <v>58</v>
      </c>
      <c r="C1171" t="s">
        <v>51</v>
      </c>
    </row>
    <row r="1172" spans="1:3" x14ac:dyDescent="0.25">
      <c r="A1172" s="29" t="s">
        <v>1275</v>
      </c>
      <c r="B1172" s="28" t="s">
        <v>58</v>
      </c>
      <c r="C1172" t="s">
        <v>51</v>
      </c>
    </row>
    <row r="1173" spans="1:3" x14ac:dyDescent="0.25">
      <c r="A1173" s="29" t="s">
        <v>1276</v>
      </c>
      <c r="B1173" s="28" t="s">
        <v>58</v>
      </c>
      <c r="C1173" t="s">
        <v>51</v>
      </c>
    </row>
    <row r="1174" spans="1:3" x14ac:dyDescent="0.25">
      <c r="A1174" s="29" t="s">
        <v>1277</v>
      </c>
      <c r="B1174" s="28" t="s">
        <v>58</v>
      </c>
      <c r="C1174" t="s">
        <v>51</v>
      </c>
    </row>
    <row r="1175" spans="1:3" x14ac:dyDescent="0.25">
      <c r="A1175" s="29" t="s">
        <v>1278</v>
      </c>
      <c r="B1175" s="28" t="s">
        <v>58</v>
      </c>
      <c r="C1175" t="s">
        <v>51</v>
      </c>
    </row>
    <row r="1176" spans="1:3" x14ac:dyDescent="0.25">
      <c r="A1176" s="29" t="s">
        <v>1279</v>
      </c>
      <c r="B1176" s="28" t="s">
        <v>58</v>
      </c>
      <c r="C1176" t="s">
        <v>51</v>
      </c>
    </row>
    <row r="1177" spans="1:3" x14ac:dyDescent="0.25">
      <c r="A1177" s="29" t="s">
        <v>1280</v>
      </c>
      <c r="B1177" s="28" t="s">
        <v>57</v>
      </c>
      <c r="C1177" t="s">
        <v>51</v>
      </c>
    </row>
    <row r="1178" spans="1:3" x14ac:dyDescent="0.25">
      <c r="A1178" s="29" t="s">
        <v>1281</v>
      </c>
      <c r="B1178" s="28" t="s">
        <v>58</v>
      </c>
      <c r="C1178" t="s">
        <v>51</v>
      </c>
    </row>
    <row r="1179" spans="1:3" x14ac:dyDescent="0.25">
      <c r="A1179" s="29" t="s">
        <v>1282</v>
      </c>
      <c r="B1179" s="28" t="s">
        <v>57</v>
      </c>
      <c r="C1179" t="s">
        <v>51</v>
      </c>
    </row>
    <row r="1180" spans="1:3" x14ac:dyDescent="0.25">
      <c r="A1180" s="29" t="s">
        <v>1283</v>
      </c>
      <c r="B1180" s="28" t="s">
        <v>56</v>
      </c>
      <c r="C1180" t="s">
        <v>51</v>
      </c>
    </row>
    <row r="1181" spans="1:3" x14ac:dyDescent="0.25">
      <c r="A1181" s="29" t="s">
        <v>1284</v>
      </c>
      <c r="B1181" s="28" t="s">
        <v>57</v>
      </c>
      <c r="C1181" t="s">
        <v>51</v>
      </c>
    </row>
    <row r="1182" spans="1:3" x14ac:dyDescent="0.25">
      <c r="A1182" s="29" t="s">
        <v>1285</v>
      </c>
      <c r="B1182" s="28" t="s">
        <v>58</v>
      </c>
      <c r="C1182" t="s">
        <v>51</v>
      </c>
    </row>
    <row r="1183" spans="1:3" x14ac:dyDescent="0.25">
      <c r="A1183" s="29" t="s">
        <v>1286</v>
      </c>
      <c r="B1183" s="28" t="s">
        <v>57</v>
      </c>
      <c r="C1183" t="s">
        <v>51</v>
      </c>
    </row>
    <row r="1184" spans="1:3" x14ac:dyDescent="0.25">
      <c r="A1184" s="29" t="s">
        <v>1287</v>
      </c>
      <c r="B1184" s="28" t="s">
        <v>57</v>
      </c>
      <c r="C1184" t="s">
        <v>51</v>
      </c>
    </row>
    <row r="1185" spans="1:3" x14ac:dyDescent="0.25">
      <c r="A1185" s="29" t="s">
        <v>1288</v>
      </c>
      <c r="B1185" s="28" t="s">
        <v>58</v>
      </c>
      <c r="C1185" t="s">
        <v>51</v>
      </c>
    </row>
    <row r="1186" spans="1:3" x14ac:dyDescent="0.25">
      <c r="A1186" s="29" t="s">
        <v>1289</v>
      </c>
      <c r="B1186" s="28" t="s">
        <v>58</v>
      </c>
      <c r="C1186" t="s">
        <v>51</v>
      </c>
    </row>
    <row r="1187" spans="1:3" x14ac:dyDescent="0.25">
      <c r="A1187" s="29" t="s">
        <v>1290</v>
      </c>
      <c r="B1187" s="28" t="s">
        <v>58</v>
      </c>
      <c r="C1187" t="s">
        <v>48</v>
      </c>
    </row>
    <row r="1188" spans="1:3" x14ac:dyDescent="0.25">
      <c r="A1188" s="29" t="s">
        <v>1291</v>
      </c>
      <c r="B1188" s="28" t="s">
        <v>56</v>
      </c>
      <c r="C1188" t="s">
        <v>48</v>
      </c>
    </row>
    <row r="1189" spans="1:3" x14ac:dyDescent="0.25">
      <c r="A1189" s="29" t="s">
        <v>1292</v>
      </c>
      <c r="B1189" s="28" t="s">
        <v>58</v>
      </c>
      <c r="C1189" t="s">
        <v>48</v>
      </c>
    </row>
    <row r="1190" spans="1:3" x14ac:dyDescent="0.25">
      <c r="A1190" s="29" t="s">
        <v>1293</v>
      </c>
      <c r="B1190" s="28" t="s">
        <v>58</v>
      </c>
      <c r="C1190" t="s">
        <v>48</v>
      </c>
    </row>
    <row r="1191" spans="1:3" x14ac:dyDescent="0.25">
      <c r="A1191" s="29" t="s">
        <v>1294</v>
      </c>
      <c r="B1191" s="28" t="s">
        <v>57</v>
      </c>
      <c r="C1191" t="s">
        <v>52</v>
      </c>
    </row>
    <row r="1192" spans="1:3" x14ac:dyDescent="0.25">
      <c r="A1192" s="29" t="s">
        <v>1295</v>
      </c>
      <c r="B1192" s="28" t="s">
        <v>58</v>
      </c>
      <c r="C1192" t="s">
        <v>52</v>
      </c>
    </row>
    <row r="1193" spans="1:3" x14ac:dyDescent="0.25">
      <c r="A1193" s="29" t="s">
        <v>1296</v>
      </c>
      <c r="B1193" s="28" t="s">
        <v>56</v>
      </c>
      <c r="C1193" t="s">
        <v>52</v>
      </c>
    </row>
    <row r="1194" spans="1:3" x14ac:dyDescent="0.25">
      <c r="A1194" s="29" t="s">
        <v>1297</v>
      </c>
      <c r="B1194" s="28" t="s">
        <v>58</v>
      </c>
      <c r="C1194" t="s">
        <v>52</v>
      </c>
    </row>
    <row r="1195" spans="1:3" x14ac:dyDescent="0.25">
      <c r="A1195" s="29" t="s">
        <v>1298</v>
      </c>
      <c r="B1195" s="28" t="s">
        <v>58</v>
      </c>
      <c r="C1195" t="s">
        <v>52</v>
      </c>
    </row>
    <row r="1196" spans="1:3" x14ac:dyDescent="0.25">
      <c r="A1196" s="29" t="s">
        <v>1299</v>
      </c>
      <c r="B1196" s="28" t="s">
        <v>58</v>
      </c>
      <c r="C1196" t="s">
        <v>52</v>
      </c>
    </row>
    <row r="1197" spans="1:3" x14ac:dyDescent="0.25">
      <c r="A1197" s="29" t="s">
        <v>1300</v>
      </c>
      <c r="B1197" s="28" t="s">
        <v>58</v>
      </c>
      <c r="C1197" t="s">
        <v>52</v>
      </c>
    </row>
    <row r="1198" spans="1:3" x14ac:dyDescent="0.25">
      <c r="A1198" s="29" t="s">
        <v>1301</v>
      </c>
      <c r="B1198" s="28" t="s">
        <v>58</v>
      </c>
      <c r="C1198" t="s">
        <v>52</v>
      </c>
    </row>
    <row r="1199" spans="1:3" x14ac:dyDescent="0.25">
      <c r="A1199" s="29" t="s">
        <v>1302</v>
      </c>
      <c r="B1199" s="28" t="s">
        <v>58</v>
      </c>
      <c r="C1199" t="s">
        <v>52</v>
      </c>
    </row>
    <row r="1200" spans="1:3" x14ac:dyDescent="0.25">
      <c r="A1200" s="29" t="s">
        <v>1303</v>
      </c>
      <c r="B1200" s="28" t="s">
        <v>58</v>
      </c>
      <c r="C1200" t="s">
        <v>52</v>
      </c>
    </row>
    <row r="1201" spans="1:3" x14ac:dyDescent="0.25">
      <c r="A1201" s="29" t="s">
        <v>1304</v>
      </c>
      <c r="B1201" s="28" t="s">
        <v>56</v>
      </c>
      <c r="C1201" t="s">
        <v>52</v>
      </c>
    </row>
    <row r="1202" spans="1:3" x14ac:dyDescent="0.25">
      <c r="A1202" s="29" t="s">
        <v>1305</v>
      </c>
      <c r="B1202" s="28" t="s">
        <v>58</v>
      </c>
      <c r="C1202" t="s">
        <v>49</v>
      </c>
    </row>
    <row r="1203" spans="1:3" x14ac:dyDescent="0.25">
      <c r="A1203" s="29" t="s">
        <v>1306</v>
      </c>
      <c r="B1203" s="28" t="s">
        <v>58</v>
      </c>
      <c r="C1203" t="s">
        <v>49</v>
      </c>
    </row>
    <row r="1204" spans="1:3" x14ac:dyDescent="0.25">
      <c r="A1204" s="29" t="s">
        <v>1307</v>
      </c>
      <c r="B1204" s="28" t="s">
        <v>57</v>
      </c>
      <c r="C1204" t="s">
        <v>49</v>
      </c>
    </row>
    <row r="1205" spans="1:3" x14ac:dyDescent="0.25">
      <c r="A1205" s="29" t="s">
        <v>1308</v>
      </c>
      <c r="B1205" s="28" t="s">
        <v>58</v>
      </c>
      <c r="C1205" t="s">
        <v>49</v>
      </c>
    </row>
    <row r="1206" spans="1:3" x14ac:dyDescent="0.25">
      <c r="A1206" s="29" t="s">
        <v>1309</v>
      </c>
      <c r="B1206" s="28" t="s">
        <v>57</v>
      </c>
      <c r="C1206" t="s">
        <v>49</v>
      </c>
    </row>
    <row r="1207" spans="1:3" x14ac:dyDescent="0.25">
      <c r="A1207" s="29" t="s">
        <v>1310</v>
      </c>
      <c r="B1207" s="28" t="s">
        <v>57</v>
      </c>
      <c r="C1207" t="s">
        <v>49</v>
      </c>
    </row>
    <row r="1208" spans="1:3" x14ac:dyDescent="0.25">
      <c r="A1208" s="29" t="s">
        <v>1311</v>
      </c>
      <c r="B1208" s="28" t="s">
        <v>58</v>
      </c>
      <c r="C1208" t="s">
        <v>49</v>
      </c>
    </row>
    <row r="1209" spans="1:3" x14ac:dyDescent="0.25">
      <c r="A1209" s="29" t="s">
        <v>1312</v>
      </c>
      <c r="B1209" s="28" t="s">
        <v>58</v>
      </c>
      <c r="C1209" t="s">
        <v>49</v>
      </c>
    </row>
    <row r="1210" spans="1:3" x14ac:dyDescent="0.25">
      <c r="A1210" s="29" t="s">
        <v>1313</v>
      </c>
      <c r="B1210" s="28" t="s">
        <v>58</v>
      </c>
      <c r="C1210" t="s">
        <v>51</v>
      </c>
    </row>
    <row r="1211" spans="1:3" x14ac:dyDescent="0.25">
      <c r="A1211" s="29" t="s">
        <v>1314</v>
      </c>
      <c r="B1211" s="28" t="s">
        <v>58</v>
      </c>
      <c r="C1211" t="s">
        <v>51</v>
      </c>
    </row>
    <row r="1212" spans="1:3" x14ac:dyDescent="0.25">
      <c r="A1212" s="29" t="s">
        <v>1315</v>
      </c>
      <c r="B1212" s="28" t="s">
        <v>57</v>
      </c>
      <c r="C1212" t="s">
        <v>51</v>
      </c>
    </row>
    <row r="1213" spans="1:3" x14ac:dyDescent="0.25">
      <c r="A1213" s="29" t="s">
        <v>1316</v>
      </c>
      <c r="B1213" s="28" t="s">
        <v>58</v>
      </c>
      <c r="C1213" t="s">
        <v>51</v>
      </c>
    </row>
    <row r="1214" spans="1:3" x14ac:dyDescent="0.25">
      <c r="A1214" s="29" t="s">
        <v>1317</v>
      </c>
      <c r="B1214" s="28" t="s">
        <v>58</v>
      </c>
      <c r="C1214" t="s">
        <v>51</v>
      </c>
    </row>
    <row r="1215" spans="1:3" x14ac:dyDescent="0.25">
      <c r="A1215" s="29" t="s">
        <v>1318</v>
      </c>
      <c r="B1215" s="28" t="s">
        <v>57</v>
      </c>
      <c r="C1215" t="s">
        <v>51</v>
      </c>
    </row>
    <row r="1216" spans="1:3" x14ac:dyDescent="0.25">
      <c r="A1216" s="29" t="s">
        <v>1319</v>
      </c>
      <c r="B1216" s="28" t="s">
        <v>58</v>
      </c>
      <c r="C1216" t="s">
        <v>51</v>
      </c>
    </row>
    <row r="1217" spans="1:3" x14ac:dyDescent="0.25">
      <c r="A1217" s="29" t="s">
        <v>1320</v>
      </c>
      <c r="B1217" s="28" t="s">
        <v>58</v>
      </c>
      <c r="C1217" t="s">
        <v>51</v>
      </c>
    </row>
    <row r="1218" spans="1:3" x14ac:dyDescent="0.25">
      <c r="A1218" s="29" t="s">
        <v>1321</v>
      </c>
      <c r="B1218" s="28" t="s">
        <v>57</v>
      </c>
      <c r="C1218" t="s">
        <v>51</v>
      </c>
    </row>
    <row r="1219" spans="1:3" x14ac:dyDescent="0.25">
      <c r="A1219" s="29" t="s">
        <v>1322</v>
      </c>
      <c r="B1219" s="28" t="s">
        <v>58</v>
      </c>
      <c r="C1219" t="s">
        <v>51</v>
      </c>
    </row>
    <row r="1220" spans="1:3" x14ac:dyDescent="0.25">
      <c r="A1220" s="29" t="s">
        <v>1323</v>
      </c>
      <c r="B1220" s="28" t="s">
        <v>58</v>
      </c>
      <c r="C1220" t="s">
        <v>51</v>
      </c>
    </row>
    <row r="1221" spans="1:3" x14ac:dyDescent="0.25">
      <c r="A1221" s="29" t="s">
        <v>1324</v>
      </c>
      <c r="B1221" s="28" t="s">
        <v>57</v>
      </c>
      <c r="C1221" t="s">
        <v>51</v>
      </c>
    </row>
    <row r="1222" spans="1:3" x14ac:dyDescent="0.25">
      <c r="A1222" s="29" t="s">
        <v>1325</v>
      </c>
      <c r="B1222" s="28" t="s">
        <v>58</v>
      </c>
      <c r="C1222" t="s">
        <v>51</v>
      </c>
    </row>
    <row r="1223" spans="1:3" x14ac:dyDescent="0.25">
      <c r="A1223" s="29" t="s">
        <v>1326</v>
      </c>
      <c r="B1223" s="28" t="s">
        <v>57</v>
      </c>
      <c r="C1223" t="s">
        <v>51</v>
      </c>
    </row>
    <row r="1224" spans="1:3" x14ac:dyDescent="0.25">
      <c r="A1224" s="29" t="s">
        <v>1327</v>
      </c>
      <c r="B1224" s="28" t="s">
        <v>58</v>
      </c>
      <c r="C1224" t="s">
        <v>51</v>
      </c>
    </row>
    <row r="1225" spans="1:3" x14ac:dyDescent="0.25">
      <c r="A1225" s="29" t="s">
        <v>1328</v>
      </c>
      <c r="B1225" s="28" t="s">
        <v>57</v>
      </c>
      <c r="C1225" t="s">
        <v>51</v>
      </c>
    </row>
    <row r="1226" spans="1:3" x14ac:dyDescent="0.25">
      <c r="A1226" s="29" t="s">
        <v>1329</v>
      </c>
      <c r="B1226" s="28" t="s">
        <v>58</v>
      </c>
      <c r="C1226" t="s">
        <v>51</v>
      </c>
    </row>
    <row r="1227" spans="1:3" x14ac:dyDescent="0.25">
      <c r="A1227" s="29" t="s">
        <v>1330</v>
      </c>
      <c r="B1227" s="28" t="s">
        <v>58</v>
      </c>
      <c r="C1227" t="s">
        <v>51</v>
      </c>
    </row>
    <row r="1228" spans="1:3" x14ac:dyDescent="0.25">
      <c r="A1228" s="29" t="s">
        <v>1331</v>
      </c>
      <c r="B1228" s="28" t="s">
        <v>57</v>
      </c>
      <c r="C1228" t="s">
        <v>51</v>
      </c>
    </row>
    <row r="1229" spans="1:3" x14ac:dyDescent="0.25">
      <c r="A1229" s="29" t="s">
        <v>1332</v>
      </c>
      <c r="B1229" s="28" t="s">
        <v>58</v>
      </c>
      <c r="C1229" t="s">
        <v>51</v>
      </c>
    </row>
    <row r="1230" spans="1:3" x14ac:dyDescent="0.25">
      <c r="A1230" s="29" t="s">
        <v>1333</v>
      </c>
      <c r="B1230" s="28" t="s">
        <v>58</v>
      </c>
      <c r="C1230" t="s">
        <v>51</v>
      </c>
    </row>
    <row r="1231" spans="1:3" x14ac:dyDescent="0.25">
      <c r="A1231" s="29" t="s">
        <v>1334</v>
      </c>
      <c r="B1231" s="28" t="s">
        <v>58</v>
      </c>
      <c r="C1231" t="s">
        <v>51</v>
      </c>
    </row>
    <row r="1232" spans="1:3" x14ac:dyDescent="0.25">
      <c r="A1232" s="29" t="s">
        <v>1335</v>
      </c>
      <c r="B1232" s="28" t="s">
        <v>58</v>
      </c>
      <c r="C1232" t="s">
        <v>51</v>
      </c>
    </row>
    <row r="1233" spans="1:3" x14ac:dyDescent="0.25">
      <c r="A1233" s="29" t="s">
        <v>1336</v>
      </c>
      <c r="B1233" s="28" t="s">
        <v>57</v>
      </c>
      <c r="C1233" t="s">
        <v>51</v>
      </c>
    </row>
    <row r="1234" spans="1:3" x14ac:dyDescent="0.25">
      <c r="A1234" s="29" t="s">
        <v>1337</v>
      </c>
      <c r="B1234" s="28" t="s">
        <v>58</v>
      </c>
      <c r="C1234" t="s">
        <v>51</v>
      </c>
    </row>
    <row r="1235" spans="1:3" x14ac:dyDescent="0.25">
      <c r="A1235" s="29" t="s">
        <v>1338</v>
      </c>
      <c r="B1235" s="28" t="s">
        <v>58</v>
      </c>
      <c r="C1235" t="s">
        <v>51</v>
      </c>
    </row>
    <row r="1236" spans="1:3" x14ac:dyDescent="0.25">
      <c r="A1236" s="29" t="s">
        <v>1339</v>
      </c>
      <c r="B1236" s="28" t="s">
        <v>56</v>
      </c>
      <c r="C1236" t="s">
        <v>51</v>
      </c>
    </row>
    <row r="1237" spans="1:3" x14ac:dyDescent="0.25">
      <c r="A1237" s="29" t="s">
        <v>1340</v>
      </c>
      <c r="B1237" s="28" t="s">
        <v>58</v>
      </c>
      <c r="C1237" t="s">
        <v>51</v>
      </c>
    </row>
    <row r="1238" spans="1:3" x14ac:dyDescent="0.25">
      <c r="A1238" s="29" t="s">
        <v>1341</v>
      </c>
      <c r="B1238" s="28" t="s">
        <v>58</v>
      </c>
      <c r="C1238" t="s">
        <v>51</v>
      </c>
    </row>
    <row r="1239" spans="1:3" x14ac:dyDescent="0.25">
      <c r="A1239" s="29" t="s">
        <v>1342</v>
      </c>
      <c r="B1239" s="28" t="s">
        <v>57</v>
      </c>
      <c r="C1239" t="s">
        <v>51</v>
      </c>
    </row>
    <row r="1240" spans="1:3" x14ac:dyDescent="0.25">
      <c r="A1240" s="29" t="s">
        <v>1343</v>
      </c>
      <c r="B1240" s="28" t="s">
        <v>58</v>
      </c>
      <c r="C1240" t="s">
        <v>51</v>
      </c>
    </row>
    <row r="1241" spans="1:3" x14ac:dyDescent="0.25">
      <c r="A1241" s="29" t="s">
        <v>1344</v>
      </c>
      <c r="B1241" s="28" t="s">
        <v>58</v>
      </c>
      <c r="C1241" t="s">
        <v>51</v>
      </c>
    </row>
    <row r="1242" spans="1:3" x14ac:dyDescent="0.25">
      <c r="A1242" s="29" t="s">
        <v>1345</v>
      </c>
      <c r="B1242" s="28" t="s">
        <v>58</v>
      </c>
      <c r="C1242" t="s">
        <v>51</v>
      </c>
    </row>
    <row r="1243" spans="1:3" x14ac:dyDescent="0.25">
      <c r="A1243" s="29" t="s">
        <v>1346</v>
      </c>
      <c r="B1243" s="28" t="s">
        <v>58</v>
      </c>
      <c r="C1243" t="s">
        <v>51</v>
      </c>
    </row>
    <row r="1244" spans="1:3" x14ac:dyDescent="0.25">
      <c r="A1244" s="29" t="s">
        <v>1347</v>
      </c>
      <c r="B1244" s="28" t="s">
        <v>58</v>
      </c>
      <c r="C1244" t="s">
        <v>51</v>
      </c>
    </row>
    <row r="1245" spans="1:3" x14ac:dyDescent="0.25">
      <c r="A1245" s="29" t="s">
        <v>1348</v>
      </c>
      <c r="B1245" s="28" t="s">
        <v>58</v>
      </c>
      <c r="C1245" t="s">
        <v>49</v>
      </c>
    </row>
    <row r="1246" spans="1:3" x14ac:dyDescent="0.25">
      <c r="A1246" s="29" t="s">
        <v>1349</v>
      </c>
      <c r="B1246" s="28" t="s">
        <v>58</v>
      </c>
      <c r="C1246" t="s">
        <v>49</v>
      </c>
    </row>
    <row r="1247" spans="1:3" x14ac:dyDescent="0.25">
      <c r="A1247" s="29" t="s">
        <v>1350</v>
      </c>
      <c r="B1247" s="28" t="s">
        <v>58</v>
      </c>
      <c r="C1247" t="s">
        <v>49</v>
      </c>
    </row>
    <row r="1248" spans="1:3" x14ac:dyDescent="0.25">
      <c r="A1248" s="29" t="s">
        <v>1351</v>
      </c>
      <c r="B1248" s="28" t="s">
        <v>58</v>
      </c>
      <c r="C1248" t="s">
        <v>49</v>
      </c>
    </row>
    <row r="1249" spans="1:3" x14ac:dyDescent="0.25">
      <c r="A1249" s="29" t="s">
        <v>1352</v>
      </c>
      <c r="B1249" s="28" t="s">
        <v>58</v>
      </c>
      <c r="C1249" t="s">
        <v>49</v>
      </c>
    </row>
    <row r="1250" spans="1:3" x14ac:dyDescent="0.25">
      <c r="A1250" s="29" t="s">
        <v>1353</v>
      </c>
      <c r="B1250" s="28" t="s">
        <v>58</v>
      </c>
      <c r="C1250" t="s">
        <v>49</v>
      </c>
    </row>
    <row r="1251" spans="1:3" x14ac:dyDescent="0.25">
      <c r="A1251" s="29" t="s">
        <v>1354</v>
      </c>
      <c r="B1251" s="28" t="s">
        <v>58</v>
      </c>
      <c r="C1251" t="s">
        <v>49</v>
      </c>
    </row>
    <row r="1252" spans="1:3" x14ac:dyDescent="0.25">
      <c r="A1252" s="29" t="s">
        <v>1355</v>
      </c>
      <c r="B1252" s="28" t="s">
        <v>58</v>
      </c>
      <c r="C1252" t="s">
        <v>49</v>
      </c>
    </row>
    <row r="1253" spans="1:3" x14ac:dyDescent="0.25">
      <c r="A1253" s="29" t="s">
        <v>1356</v>
      </c>
      <c r="B1253" s="28" t="s">
        <v>58</v>
      </c>
      <c r="C1253" t="s">
        <v>49</v>
      </c>
    </row>
    <row r="1254" spans="1:3" x14ac:dyDescent="0.25">
      <c r="A1254" s="29" t="s">
        <v>1357</v>
      </c>
      <c r="B1254" s="28" t="s">
        <v>58</v>
      </c>
      <c r="C1254" t="s">
        <v>49</v>
      </c>
    </row>
    <row r="1255" spans="1:3" x14ac:dyDescent="0.25">
      <c r="A1255" s="29" t="s">
        <v>1358</v>
      </c>
      <c r="B1255" s="28" t="s">
        <v>58</v>
      </c>
      <c r="C1255" t="s">
        <v>49</v>
      </c>
    </row>
    <row r="1256" spans="1:3" x14ac:dyDescent="0.25">
      <c r="A1256" s="29" t="s">
        <v>1359</v>
      </c>
      <c r="B1256" s="28" t="s">
        <v>58</v>
      </c>
      <c r="C1256" t="s">
        <v>49</v>
      </c>
    </row>
    <row r="1257" spans="1:3" x14ac:dyDescent="0.25">
      <c r="A1257" s="29" t="s">
        <v>1360</v>
      </c>
      <c r="B1257" s="28" t="s">
        <v>58</v>
      </c>
      <c r="C1257" t="s">
        <v>49</v>
      </c>
    </row>
    <row r="1258" spans="1:3" x14ac:dyDescent="0.25">
      <c r="A1258" s="29" t="s">
        <v>1361</v>
      </c>
      <c r="B1258" s="28" t="s">
        <v>57</v>
      </c>
      <c r="C1258" t="s">
        <v>50</v>
      </c>
    </row>
    <row r="1259" spans="1:3" x14ac:dyDescent="0.25">
      <c r="A1259" s="29" t="s">
        <v>1362</v>
      </c>
      <c r="B1259" s="28" t="s">
        <v>57</v>
      </c>
      <c r="C1259" t="s">
        <v>50</v>
      </c>
    </row>
    <row r="1260" spans="1:3" x14ac:dyDescent="0.25">
      <c r="A1260" s="29" t="s">
        <v>1363</v>
      </c>
      <c r="B1260" s="28" t="s">
        <v>56</v>
      </c>
      <c r="C1260" t="s">
        <v>50</v>
      </c>
    </row>
    <row r="1261" spans="1:3" x14ac:dyDescent="0.25">
      <c r="A1261" s="29" t="s">
        <v>1364</v>
      </c>
      <c r="B1261" s="28" t="s">
        <v>58</v>
      </c>
      <c r="C1261" t="s">
        <v>50</v>
      </c>
    </row>
    <row r="1262" spans="1:3" x14ac:dyDescent="0.25">
      <c r="A1262" s="29" t="s">
        <v>1365</v>
      </c>
      <c r="B1262" s="28" t="s">
        <v>57</v>
      </c>
      <c r="C1262" t="s">
        <v>50</v>
      </c>
    </row>
    <row r="1263" spans="1:3" x14ac:dyDescent="0.25">
      <c r="A1263" s="29" t="s">
        <v>1366</v>
      </c>
      <c r="B1263" s="28" t="s">
        <v>58</v>
      </c>
      <c r="C1263" t="s">
        <v>48</v>
      </c>
    </row>
    <row r="1264" spans="1:3" x14ac:dyDescent="0.25">
      <c r="A1264" s="29" t="s">
        <v>1367</v>
      </c>
      <c r="B1264" s="28" t="s">
        <v>58</v>
      </c>
      <c r="C1264" t="s">
        <v>48</v>
      </c>
    </row>
    <row r="1265" spans="1:3" x14ac:dyDescent="0.25">
      <c r="A1265" s="29" t="s">
        <v>1368</v>
      </c>
      <c r="B1265" s="28" t="s">
        <v>58</v>
      </c>
      <c r="C1265" t="s">
        <v>48</v>
      </c>
    </row>
    <row r="1266" spans="1:3" x14ac:dyDescent="0.25">
      <c r="A1266" s="29" t="s">
        <v>1369</v>
      </c>
      <c r="B1266" s="28" t="s">
        <v>58</v>
      </c>
      <c r="C1266" t="s">
        <v>48</v>
      </c>
    </row>
    <row r="1267" spans="1:3" x14ac:dyDescent="0.25">
      <c r="A1267" s="29" t="s">
        <v>1370</v>
      </c>
      <c r="B1267" s="28" t="s">
        <v>58</v>
      </c>
      <c r="C1267" t="s">
        <v>48</v>
      </c>
    </row>
    <row r="1268" spans="1:3" x14ac:dyDescent="0.25">
      <c r="A1268" s="29" t="s">
        <v>1371</v>
      </c>
      <c r="B1268" s="28" t="s">
        <v>58</v>
      </c>
      <c r="C1268" t="s">
        <v>48</v>
      </c>
    </row>
    <row r="1269" spans="1:3" x14ac:dyDescent="0.25">
      <c r="A1269" s="29" t="s">
        <v>1372</v>
      </c>
      <c r="B1269" s="28" t="s">
        <v>58</v>
      </c>
      <c r="C1269" t="s">
        <v>48</v>
      </c>
    </row>
    <row r="1270" spans="1:3" x14ac:dyDescent="0.25">
      <c r="A1270" s="29" t="s">
        <v>1373</v>
      </c>
      <c r="B1270" s="28" t="s">
        <v>58</v>
      </c>
      <c r="C1270" t="s">
        <v>48</v>
      </c>
    </row>
    <row r="1271" spans="1:3" x14ac:dyDescent="0.25">
      <c r="A1271" s="29" t="s">
        <v>1374</v>
      </c>
      <c r="B1271" s="28" t="s">
        <v>58</v>
      </c>
      <c r="C1271" t="s">
        <v>48</v>
      </c>
    </row>
    <row r="1272" spans="1:3" x14ac:dyDescent="0.25">
      <c r="A1272" s="29" t="s">
        <v>1375</v>
      </c>
      <c r="B1272" s="28" t="s">
        <v>58</v>
      </c>
      <c r="C1272" t="s">
        <v>48</v>
      </c>
    </row>
    <row r="1273" spans="1:3" x14ac:dyDescent="0.25">
      <c r="A1273" s="29" t="s">
        <v>1376</v>
      </c>
      <c r="B1273" s="28" t="s">
        <v>58</v>
      </c>
      <c r="C1273" t="s">
        <v>48</v>
      </c>
    </row>
    <row r="1274" spans="1:3" x14ac:dyDescent="0.25">
      <c r="A1274" s="29" t="s">
        <v>1377</v>
      </c>
      <c r="B1274" s="28" t="s">
        <v>58</v>
      </c>
      <c r="C1274" t="s">
        <v>48</v>
      </c>
    </row>
    <row r="1275" spans="1:3" x14ac:dyDescent="0.25">
      <c r="A1275" s="29" t="s">
        <v>1378</v>
      </c>
      <c r="B1275" s="28" t="s">
        <v>58</v>
      </c>
      <c r="C1275" t="s">
        <v>48</v>
      </c>
    </row>
    <row r="1276" spans="1:3" x14ac:dyDescent="0.25">
      <c r="A1276" s="29" t="s">
        <v>1379</v>
      </c>
      <c r="B1276" s="28" t="s">
        <v>58</v>
      </c>
      <c r="C1276" t="s">
        <v>48</v>
      </c>
    </row>
    <row r="1277" spans="1:3" x14ac:dyDescent="0.25">
      <c r="A1277" s="29" t="s">
        <v>1380</v>
      </c>
      <c r="B1277" s="28" t="s">
        <v>58</v>
      </c>
      <c r="C1277" t="s">
        <v>48</v>
      </c>
    </row>
    <row r="1278" spans="1:3" x14ac:dyDescent="0.25">
      <c r="A1278" s="29" t="s">
        <v>1381</v>
      </c>
      <c r="B1278" s="28" t="s">
        <v>58</v>
      </c>
      <c r="C1278" t="s">
        <v>48</v>
      </c>
    </row>
    <row r="1279" spans="1:3" x14ac:dyDescent="0.25">
      <c r="A1279" s="29" t="s">
        <v>1382</v>
      </c>
      <c r="B1279" s="28" t="s">
        <v>58</v>
      </c>
      <c r="C1279" t="s">
        <v>50</v>
      </c>
    </row>
    <row r="1280" spans="1:3" x14ac:dyDescent="0.25">
      <c r="A1280" s="29" t="s">
        <v>1383</v>
      </c>
      <c r="B1280" s="28" t="s">
        <v>58</v>
      </c>
      <c r="C1280" t="s">
        <v>50</v>
      </c>
    </row>
    <row r="1281" spans="1:3" x14ac:dyDescent="0.25">
      <c r="A1281" s="29" t="s">
        <v>1384</v>
      </c>
      <c r="B1281" s="28" t="s">
        <v>58</v>
      </c>
      <c r="C1281" t="s">
        <v>50</v>
      </c>
    </row>
    <row r="1282" spans="1:3" x14ac:dyDescent="0.25">
      <c r="A1282" s="29" t="s">
        <v>1385</v>
      </c>
      <c r="B1282" s="28" t="s">
        <v>58</v>
      </c>
      <c r="C1282" t="s">
        <v>50</v>
      </c>
    </row>
    <row r="1283" spans="1:3" x14ac:dyDescent="0.25">
      <c r="A1283" s="29" t="s">
        <v>1386</v>
      </c>
      <c r="B1283" s="28" t="s">
        <v>58</v>
      </c>
      <c r="C1283" t="s">
        <v>50</v>
      </c>
    </row>
    <row r="1284" spans="1:3" x14ac:dyDescent="0.25">
      <c r="A1284" s="29" t="s">
        <v>1387</v>
      </c>
      <c r="B1284" s="28" t="s">
        <v>58</v>
      </c>
      <c r="C1284" t="s">
        <v>50</v>
      </c>
    </row>
    <row r="1285" spans="1:3" x14ac:dyDescent="0.25">
      <c r="A1285" s="29" t="s">
        <v>1388</v>
      </c>
      <c r="B1285" s="28" t="s">
        <v>56</v>
      </c>
      <c r="C1285" t="s">
        <v>50</v>
      </c>
    </row>
    <row r="1286" spans="1:3" x14ac:dyDescent="0.25">
      <c r="A1286" s="29" t="s">
        <v>1389</v>
      </c>
      <c r="B1286" s="28" t="s">
        <v>56</v>
      </c>
      <c r="C1286" t="s">
        <v>50</v>
      </c>
    </row>
    <row r="1287" spans="1:3" x14ac:dyDescent="0.25">
      <c r="A1287" s="29" t="s">
        <v>1390</v>
      </c>
      <c r="B1287" s="28" t="s">
        <v>56</v>
      </c>
      <c r="C1287" t="s">
        <v>50</v>
      </c>
    </row>
    <row r="1288" spans="1:3" x14ac:dyDescent="0.25">
      <c r="A1288" s="29" t="s">
        <v>1391</v>
      </c>
      <c r="B1288" s="28" t="s">
        <v>56</v>
      </c>
      <c r="C1288" t="s">
        <v>50</v>
      </c>
    </row>
    <row r="1289" spans="1:3" x14ac:dyDescent="0.25">
      <c r="A1289" s="29" t="s">
        <v>1392</v>
      </c>
      <c r="B1289" s="28" t="s">
        <v>58</v>
      </c>
      <c r="C1289" t="s">
        <v>50</v>
      </c>
    </row>
    <row r="1290" spans="1:3" x14ac:dyDescent="0.25">
      <c r="A1290" s="29" t="s">
        <v>1393</v>
      </c>
      <c r="B1290" s="28" t="s">
        <v>58</v>
      </c>
      <c r="C1290" t="s">
        <v>50</v>
      </c>
    </row>
    <row r="1291" spans="1:3" x14ac:dyDescent="0.25">
      <c r="A1291" s="29" t="s">
        <v>1394</v>
      </c>
      <c r="B1291" s="28" t="s">
        <v>56</v>
      </c>
      <c r="C1291" t="s">
        <v>50</v>
      </c>
    </row>
    <row r="1292" spans="1:3" x14ac:dyDescent="0.25">
      <c r="A1292" s="29" t="s">
        <v>1395</v>
      </c>
      <c r="B1292" s="28" t="s">
        <v>58</v>
      </c>
      <c r="C1292" t="s">
        <v>50</v>
      </c>
    </row>
    <row r="1293" spans="1:3" x14ac:dyDescent="0.25">
      <c r="A1293" s="29" t="s">
        <v>1396</v>
      </c>
      <c r="B1293" s="28" t="s">
        <v>58</v>
      </c>
      <c r="C1293" t="s">
        <v>50</v>
      </c>
    </row>
    <row r="1294" spans="1:3" x14ac:dyDescent="0.25">
      <c r="A1294" s="29" t="s">
        <v>1397</v>
      </c>
      <c r="B1294" s="28" t="s">
        <v>58</v>
      </c>
      <c r="C1294" t="s">
        <v>50</v>
      </c>
    </row>
    <row r="1295" spans="1:3" x14ac:dyDescent="0.25">
      <c r="A1295" s="29" t="s">
        <v>1398</v>
      </c>
      <c r="B1295" s="28" t="s">
        <v>58</v>
      </c>
      <c r="C1295" t="s">
        <v>50</v>
      </c>
    </row>
    <row r="1296" spans="1:3" x14ac:dyDescent="0.25">
      <c r="A1296" s="29" t="s">
        <v>1399</v>
      </c>
      <c r="B1296" s="28" t="s">
        <v>58</v>
      </c>
      <c r="C1296" t="s">
        <v>50</v>
      </c>
    </row>
    <row r="1297" spans="1:3" x14ac:dyDescent="0.25">
      <c r="A1297" s="29" t="s">
        <v>1400</v>
      </c>
      <c r="B1297" s="28" t="s">
        <v>58</v>
      </c>
      <c r="C1297" t="s">
        <v>50</v>
      </c>
    </row>
    <row r="1298" spans="1:3" x14ac:dyDescent="0.25">
      <c r="A1298" s="29" t="s">
        <v>1401</v>
      </c>
      <c r="B1298" s="28" t="s">
        <v>58</v>
      </c>
      <c r="C1298" t="s">
        <v>52</v>
      </c>
    </row>
    <row r="1299" spans="1:3" x14ac:dyDescent="0.25">
      <c r="A1299" s="29" t="s">
        <v>1402</v>
      </c>
      <c r="B1299" s="28" t="s">
        <v>58</v>
      </c>
      <c r="C1299" t="s">
        <v>52</v>
      </c>
    </row>
    <row r="1300" spans="1:3" x14ac:dyDescent="0.25">
      <c r="A1300" s="29" t="s">
        <v>1403</v>
      </c>
      <c r="B1300" s="28" t="s">
        <v>58</v>
      </c>
      <c r="C1300" t="s">
        <v>52</v>
      </c>
    </row>
    <row r="1301" spans="1:3" x14ac:dyDescent="0.25">
      <c r="A1301" s="29" t="s">
        <v>1404</v>
      </c>
      <c r="B1301" s="28" t="s">
        <v>58</v>
      </c>
      <c r="C1301" t="s">
        <v>52</v>
      </c>
    </row>
    <row r="1302" spans="1:3" x14ac:dyDescent="0.25">
      <c r="A1302" s="29" t="s">
        <v>1405</v>
      </c>
      <c r="B1302" s="28" t="s">
        <v>58</v>
      </c>
      <c r="C1302" t="s">
        <v>52</v>
      </c>
    </row>
    <row r="1303" spans="1:3" x14ac:dyDescent="0.25">
      <c r="A1303" s="29" t="s">
        <v>1406</v>
      </c>
      <c r="B1303" s="28" t="s">
        <v>58</v>
      </c>
      <c r="C1303" t="s">
        <v>52</v>
      </c>
    </row>
    <row r="1304" spans="1:3" x14ac:dyDescent="0.25">
      <c r="A1304" s="29" t="s">
        <v>1407</v>
      </c>
      <c r="B1304" s="28" t="s">
        <v>56</v>
      </c>
      <c r="C1304" t="s">
        <v>52</v>
      </c>
    </row>
    <row r="1305" spans="1:3" x14ac:dyDescent="0.25">
      <c r="A1305" s="29" t="s">
        <v>1408</v>
      </c>
      <c r="B1305" s="28" t="s">
        <v>58</v>
      </c>
      <c r="C1305" t="s">
        <v>52</v>
      </c>
    </row>
    <row r="1306" spans="1:3" x14ac:dyDescent="0.25">
      <c r="A1306" s="29" t="s">
        <v>1409</v>
      </c>
      <c r="B1306" s="28" t="s">
        <v>58</v>
      </c>
      <c r="C1306" t="s">
        <v>52</v>
      </c>
    </row>
    <row r="1307" spans="1:3" x14ac:dyDescent="0.25">
      <c r="A1307" s="29" t="s">
        <v>1410</v>
      </c>
      <c r="B1307" s="28" t="s">
        <v>57</v>
      </c>
      <c r="C1307" t="s">
        <v>52</v>
      </c>
    </row>
    <row r="1308" spans="1:3" x14ac:dyDescent="0.25">
      <c r="A1308" s="29" t="s">
        <v>1411</v>
      </c>
      <c r="B1308" s="28" t="s">
        <v>56</v>
      </c>
      <c r="C1308" t="s">
        <v>52</v>
      </c>
    </row>
    <row r="1309" spans="1:3" x14ac:dyDescent="0.25">
      <c r="A1309" s="29" t="s">
        <v>1412</v>
      </c>
      <c r="B1309" s="28" t="s">
        <v>58</v>
      </c>
      <c r="C1309" t="s">
        <v>48</v>
      </c>
    </row>
    <row r="1310" spans="1:3" x14ac:dyDescent="0.25">
      <c r="A1310" s="29" t="s">
        <v>1413</v>
      </c>
      <c r="B1310" s="28" t="s">
        <v>58</v>
      </c>
      <c r="C1310" t="s">
        <v>48</v>
      </c>
    </row>
    <row r="1311" spans="1:3" x14ac:dyDescent="0.25">
      <c r="A1311" s="29" t="s">
        <v>1414</v>
      </c>
      <c r="B1311" s="28" t="s">
        <v>58</v>
      </c>
      <c r="C1311" t="s">
        <v>48</v>
      </c>
    </row>
    <row r="1312" spans="1:3" x14ac:dyDescent="0.25">
      <c r="A1312" s="29" t="s">
        <v>1415</v>
      </c>
      <c r="B1312" s="28" t="s">
        <v>58</v>
      </c>
      <c r="C1312" t="s">
        <v>48</v>
      </c>
    </row>
    <row r="1313" spans="1:3" x14ac:dyDescent="0.25">
      <c r="A1313" s="29" t="s">
        <v>1416</v>
      </c>
      <c r="B1313" s="28" t="s">
        <v>58</v>
      </c>
      <c r="C1313" t="s">
        <v>48</v>
      </c>
    </row>
    <row r="1314" spans="1:3" x14ac:dyDescent="0.25">
      <c r="A1314" s="29" t="s">
        <v>1417</v>
      </c>
      <c r="B1314" s="28" t="s">
        <v>58</v>
      </c>
      <c r="C1314" t="s">
        <v>48</v>
      </c>
    </row>
    <row r="1315" spans="1:3" x14ac:dyDescent="0.25">
      <c r="A1315" s="29" t="s">
        <v>1418</v>
      </c>
      <c r="B1315" s="28" t="s">
        <v>58</v>
      </c>
      <c r="C1315" t="s">
        <v>48</v>
      </c>
    </row>
    <row r="1316" spans="1:3" x14ac:dyDescent="0.25">
      <c r="A1316" s="29" t="s">
        <v>1419</v>
      </c>
      <c r="B1316" s="28" t="s">
        <v>58</v>
      </c>
      <c r="C1316" t="s">
        <v>48</v>
      </c>
    </row>
    <row r="1317" spans="1:3" x14ac:dyDescent="0.25">
      <c r="A1317" s="29" t="s">
        <v>1420</v>
      </c>
      <c r="B1317" s="28" t="s">
        <v>58</v>
      </c>
      <c r="C1317" t="s">
        <v>48</v>
      </c>
    </row>
    <row r="1318" spans="1:3" x14ac:dyDescent="0.25">
      <c r="A1318" s="29" t="s">
        <v>1421</v>
      </c>
      <c r="B1318" s="28" t="s">
        <v>58</v>
      </c>
      <c r="C1318" t="s">
        <v>48</v>
      </c>
    </row>
    <row r="1319" spans="1:3" x14ac:dyDescent="0.25">
      <c r="A1319" s="29" t="s">
        <v>1422</v>
      </c>
      <c r="B1319" s="28" t="s">
        <v>58</v>
      </c>
      <c r="C1319" t="s">
        <v>48</v>
      </c>
    </row>
    <row r="1320" spans="1:3" x14ac:dyDescent="0.25">
      <c r="A1320" s="29" t="s">
        <v>1423</v>
      </c>
      <c r="B1320" s="28" t="s">
        <v>58</v>
      </c>
      <c r="C1320" t="s">
        <v>48</v>
      </c>
    </row>
    <row r="1321" spans="1:3" x14ac:dyDescent="0.25">
      <c r="A1321" s="29" t="s">
        <v>1424</v>
      </c>
      <c r="B1321" s="28" t="s">
        <v>58</v>
      </c>
      <c r="C1321" t="s">
        <v>48</v>
      </c>
    </row>
    <row r="1322" spans="1:3" x14ac:dyDescent="0.25">
      <c r="A1322" s="29" t="s">
        <v>1425</v>
      </c>
      <c r="B1322" s="28" t="s">
        <v>58</v>
      </c>
      <c r="C1322" t="s">
        <v>48</v>
      </c>
    </row>
    <row r="1323" spans="1:3" x14ac:dyDescent="0.25">
      <c r="A1323" s="29" t="s">
        <v>1426</v>
      </c>
      <c r="B1323" s="28" t="s">
        <v>58</v>
      </c>
      <c r="C1323" t="s">
        <v>48</v>
      </c>
    </row>
    <row r="1324" spans="1:3" x14ac:dyDescent="0.25">
      <c r="A1324" s="29" t="s">
        <v>1427</v>
      </c>
      <c r="B1324" s="28" t="s">
        <v>58</v>
      </c>
      <c r="C1324" t="s">
        <v>48</v>
      </c>
    </row>
    <row r="1325" spans="1:3" x14ac:dyDescent="0.25">
      <c r="A1325" s="29" t="s">
        <v>1428</v>
      </c>
      <c r="B1325" s="28" t="s">
        <v>58</v>
      </c>
      <c r="C1325" t="s">
        <v>48</v>
      </c>
    </row>
    <row r="1326" spans="1:3" x14ac:dyDescent="0.25">
      <c r="A1326" s="29" t="s">
        <v>1429</v>
      </c>
      <c r="B1326" s="28" t="s">
        <v>58</v>
      </c>
      <c r="C1326" t="s">
        <v>48</v>
      </c>
    </row>
    <row r="1327" spans="1:3" x14ac:dyDescent="0.25">
      <c r="A1327" s="29" t="s">
        <v>1430</v>
      </c>
      <c r="B1327" s="28" t="s">
        <v>58</v>
      </c>
      <c r="C1327" t="s">
        <v>48</v>
      </c>
    </row>
    <row r="1328" spans="1:3" x14ac:dyDescent="0.25">
      <c r="A1328" s="29" t="s">
        <v>1431</v>
      </c>
      <c r="B1328" s="28" t="s">
        <v>58</v>
      </c>
      <c r="C1328" t="s">
        <v>48</v>
      </c>
    </row>
    <row r="1329" spans="1:3" x14ac:dyDescent="0.25">
      <c r="A1329" s="29" t="s">
        <v>1432</v>
      </c>
      <c r="B1329" s="28" t="s">
        <v>58</v>
      </c>
      <c r="C1329" t="s">
        <v>48</v>
      </c>
    </row>
    <row r="1330" spans="1:3" x14ac:dyDescent="0.25">
      <c r="A1330" s="29" t="s">
        <v>1433</v>
      </c>
      <c r="B1330" s="28" t="s">
        <v>56</v>
      </c>
      <c r="C1330" t="s">
        <v>49</v>
      </c>
    </row>
    <row r="1331" spans="1:3" x14ac:dyDescent="0.25">
      <c r="A1331" s="29" t="s">
        <v>1434</v>
      </c>
      <c r="B1331" s="28" t="s">
        <v>58</v>
      </c>
      <c r="C1331" t="s">
        <v>50</v>
      </c>
    </row>
    <row r="1332" spans="1:3" x14ac:dyDescent="0.25">
      <c r="A1332" s="29" t="s">
        <v>1435</v>
      </c>
      <c r="B1332" s="28" t="s">
        <v>58</v>
      </c>
      <c r="C1332" t="s">
        <v>50</v>
      </c>
    </row>
    <row r="1333" spans="1:3" x14ac:dyDescent="0.25">
      <c r="A1333" s="29" t="s">
        <v>1436</v>
      </c>
      <c r="B1333" s="28" t="s">
        <v>58</v>
      </c>
      <c r="C1333" t="s">
        <v>50</v>
      </c>
    </row>
    <row r="1334" spans="1:3" x14ac:dyDescent="0.25">
      <c r="A1334" s="29" t="s">
        <v>1437</v>
      </c>
      <c r="B1334" s="28" t="s">
        <v>56</v>
      </c>
      <c r="C1334" t="s">
        <v>49</v>
      </c>
    </row>
    <row r="1335" spans="1:3" x14ac:dyDescent="0.25">
      <c r="A1335" s="29" t="s">
        <v>1438</v>
      </c>
      <c r="B1335" s="28" t="s">
        <v>58</v>
      </c>
      <c r="C1335" t="s">
        <v>50</v>
      </c>
    </row>
    <row r="1336" spans="1:3" x14ac:dyDescent="0.25">
      <c r="A1336" s="29" t="s">
        <v>1439</v>
      </c>
      <c r="B1336" s="28" t="s">
        <v>58</v>
      </c>
      <c r="C1336" t="s">
        <v>49</v>
      </c>
    </row>
    <row r="1337" spans="1:3" x14ac:dyDescent="0.25">
      <c r="A1337" s="29" t="s">
        <v>1440</v>
      </c>
      <c r="B1337" s="28" t="s">
        <v>57</v>
      </c>
      <c r="C1337" t="s">
        <v>49</v>
      </c>
    </row>
    <row r="1338" spans="1:3" x14ac:dyDescent="0.25">
      <c r="A1338" s="29" t="s">
        <v>1441</v>
      </c>
      <c r="B1338" s="28" t="s">
        <v>57</v>
      </c>
      <c r="C1338" t="s">
        <v>49</v>
      </c>
    </row>
    <row r="1339" spans="1:3" x14ac:dyDescent="0.25">
      <c r="A1339" s="29" t="s">
        <v>1442</v>
      </c>
      <c r="B1339" s="28" t="s">
        <v>57</v>
      </c>
      <c r="C1339" t="s">
        <v>49</v>
      </c>
    </row>
    <row r="1340" spans="1:3" x14ac:dyDescent="0.25">
      <c r="A1340" s="29" t="s">
        <v>1443</v>
      </c>
      <c r="B1340" s="28" t="s">
        <v>58</v>
      </c>
      <c r="C1340" t="s">
        <v>49</v>
      </c>
    </row>
    <row r="1341" spans="1:3" x14ac:dyDescent="0.25">
      <c r="A1341" s="29" t="s">
        <v>1444</v>
      </c>
      <c r="B1341" s="28" t="s">
        <v>58</v>
      </c>
      <c r="C1341" t="s">
        <v>52</v>
      </c>
    </row>
    <row r="1342" spans="1:3" x14ac:dyDescent="0.25">
      <c r="A1342" s="29" t="s">
        <v>1445</v>
      </c>
      <c r="B1342" s="28" t="s">
        <v>57</v>
      </c>
      <c r="C1342" t="s">
        <v>52</v>
      </c>
    </row>
    <row r="1343" spans="1:3" x14ac:dyDescent="0.25">
      <c r="A1343" s="29" t="s">
        <v>1446</v>
      </c>
      <c r="B1343" s="28" t="s">
        <v>56</v>
      </c>
      <c r="C1343" t="s">
        <v>52</v>
      </c>
    </row>
    <row r="1344" spans="1:3" x14ac:dyDescent="0.25">
      <c r="A1344" s="29" t="s">
        <v>1447</v>
      </c>
      <c r="B1344" s="28" t="s">
        <v>58</v>
      </c>
      <c r="C1344" t="s">
        <v>49</v>
      </c>
    </row>
    <row r="1345" spans="1:3" x14ac:dyDescent="0.25">
      <c r="A1345" s="29" t="s">
        <v>1448</v>
      </c>
      <c r="B1345" s="28" t="s">
        <v>58</v>
      </c>
      <c r="C1345" t="s">
        <v>49</v>
      </c>
    </row>
    <row r="1346" spans="1:3" x14ac:dyDescent="0.25">
      <c r="A1346" s="29" t="s">
        <v>1449</v>
      </c>
      <c r="B1346" s="28" t="s">
        <v>58</v>
      </c>
      <c r="C1346" t="s">
        <v>49</v>
      </c>
    </row>
    <row r="1347" spans="1:3" x14ac:dyDescent="0.25">
      <c r="A1347" s="29" t="s">
        <v>1450</v>
      </c>
      <c r="B1347" s="28" t="s">
        <v>58</v>
      </c>
      <c r="C1347" t="s">
        <v>49</v>
      </c>
    </row>
    <row r="1348" spans="1:3" x14ac:dyDescent="0.25">
      <c r="A1348" s="29" t="s">
        <v>1451</v>
      </c>
      <c r="B1348" s="28" t="s">
        <v>58</v>
      </c>
      <c r="C1348" t="s">
        <v>49</v>
      </c>
    </row>
    <row r="1349" spans="1:3" x14ac:dyDescent="0.25">
      <c r="A1349" s="29" t="s">
        <v>1452</v>
      </c>
      <c r="B1349" s="28" t="s">
        <v>58</v>
      </c>
      <c r="C1349" t="s">
        <v>49</v>
      </c>
    </row>
    <row r="1350" spans="1:3" x14ac:dyDescent="0.25">
      <c r="A1350" s="29" t="s">
        <v>1453</v>
      </c>
      <c r="B1350" s="28" t="s">
        <v>58</v>
      </c>
      <c r="C1350" t="s">
        <v>49</v>
      </c>
    </row>
    <row r="1351" spans="1:3" x14ac:dyDescent="0.25">
      <c r="A1351" s="29" t="s">
        <v>1454</v>
      </c>
      <c r="B1351" s="28" t="s">
        <v>58</v>
      </c>
      <c r="C1351" t="s">
        <v>49</v>
      </c>
    </row>
    <row r="1352" spans="1:3" x14ac:dyDescent="0.25">
      <c r="A1352" s="29" t="s">
        <v>1455</v>
      </c>
      <c r="B1352" s="28" t="s">
        <v>58</v>
      </c>
      <c r="C1352" t="s">
        <v>49</v>
      </c>
    </row>
    <row r="1353" spans="1:3" x14ac:dyDescent="0.25">
      <c r="A1353" s="29" t="s">
        <v>1456</v>
      </c>
      <c r="B1353" s="28" t="s">
        <v>57</v>
      </c>
      <c r="C1353" t="s">
        <v>51</v>
      </c>
    </row>
    <row r="1354" spans="1:3" x14ac:dyDescent="0.25">
      <c r="A1354" s="29" t="s">
        <v>1457</v>
      </c>
      <c r="B1354" s="28" t="s">
        <v>57</v>
      </c>
      <c r="C1354" t="s">
        <v>51</v>
      </c>
    </row>
    <row r="1355" spans="1:3" x14ac:dyDescent="0.25">
      <c r="A1355" s="29" t="s">
        <v>1458</v>
      </c>
      <c r="B1355" s="28" t="s">
        <v>57</v>
      </c>
      <c r="C1355" t="s">
        <v>51</v>
      </c>
    </row>
    <row r="1356" spans="1:3" x14ac:dyDescent="0.25">
      <c r="A1356" s="29" t="s">
        <v>970</v>
      </c>
      <c r="B1356" s="28" t="s">
        <v>57</v>
      </c>
      <c r="C1356" t="s">
        <v>51</v>
      </c>
    </row>
    <row r="1357" spans="1:3" x14ac:dyDescent="0.25">
      <c r="A1357" s="29" t="s">
        <v>1459</v>
      </c>
      <c r="B1357" s="28" t="s">
        <v>58</v>
      </c>
      <c r="C1357" t="s">
        <v>51</v>
      </c>
    </row>
    <row r="1358" spans="1:3" x14ac:dyDescent="0.25">
      <c r="A1358" s="29" t="s">
        <v>1460</v>
      </c>
      <c r="B1358" s="28" t="s">
        <v>57</v>
      </c>
      <c r="C1358" t="s">
        <v>51</v>
      </c>
    </row>
    <row r="1359" spans="1:3" x14ac:dyDescent="0.25">
      <c r="A1359" s="29" t="s">
        <v>1461</v>
      </c>
      <c r="B1359" s="28" t="s">
        <v>58</v>
      </c>
      <c r="C1359" t="s">
        <v>51</v>
      </c>
    </row>
    <row r="1360" spans="1:3" x14ac:dyDescent="0.25">
      <c r="A1360" s="29" t="s">
        <v>1462</v>
      </c>
      <c r="B1360" s="28" t="s">
        <v>57</v>
      </c>
      <c r="C1360" t="s">
        <v>51</v>
      </c>
    </row>
    <row r="1361" spans="1:3" x14ac:dyDescent="0.25">
      <c r="A1361" s="29" t="s">
        <v>1463</v>
      </c>
      <c r="B1361" s="28" t="s">
        <v>58</v>
      </c>
      <c r="C1361" t="s">
        <v>51</v>
      </c>
    </row>
    <row r="1362" spans="1:3" x14ac:dyDescent="0.25">
      <c r="A1362" s="29" t="s">
        <v>1464</v>
      </c>
      <c r="B1362" s="28" t="s">
        <v>57</v>
      </c>
      <c r="C1362" t="s">
        <v>51</v>
      </c>
    </row>
    <row r="1363" spans="1:3" x14ac:dyDescent="0.25">
      <c r="A1363" s="29" t="s">
        <v>1465</v>
      </c>
      <c r="B1363" s="28" t="s">
        <v>58</v>
      </c>
      <c r="C1363" t="s">
        <v>51</v>
      </c>
    </row>
    <row r="1364" spans="1:3" x14ac:dyDescent="0.25">
      <c r="A1364" s="29" t="s">
        <v>1466</v>
      </c>
      <c r="B1364" s="28" t="s">
        <v>58</v>
      </c>
      <c r="C1364" t="s">
        <v>51</v>
      </c>
    </row>
    <row r="1365" spans="1:3" x14ac:dyDescent="0.25">
      <c r="A1365" s="29" t="s">
        <v>1467</v>
      </c>
      <c r="B1365" s="28" t="s">
        <v>57</v>
      </c>
      <c r="C1365" t="s">
        <v>51</v>
      </c>
    </row>
    <row r="1366" spans="1:3" x14ac:dyDescent="0.25">
      <c r="A1366" s="29" t="s">
        <v>1468</v>
      </c>
      <c r="B1366" s="28" t="s">
        <v>58</v>
      </c>
      <c r="C1366" t="s">
        <v>51</v>
      </c>
    </row>
    <row r="1367" spans="1:3" x14ac:dyDescent="0.25">
      <c r="A1367" s="29" t="s">
        <v>1469</v>
      </c>
      <c r="B1367" s="28" t="s">
        <v>58</v>
      </c>
      <c r="C1367" t="s">
        <v>51</v>
      </c>
    </row>
    <row r="1368" spans="1:3" x14ac:dyDescent="0.25">
      <c r="A1368" s="29" t="s">
        <v>1471</v>
      </c>
      <c r="B1368" s="28" t="s">
        <v>58</v>
      </c>
      <c r="C1368" t="s">
        <v>51</v>
      </c>
    </row>
    <row r="1369" spans="1:3" x14ac:dyDescent="0.25">
      <c r="A1369" s="29" t="s">
        <v>1473</v>
      </c>
      <c r="B1369" s="28" t="s">
        <v>58</v>
      </c>
      <c r="C1369" t="s">
        <v>51</v>
      </c>
    </row>
    <row r="1370" spans="1:3" x14ac:dyDescent="0.25">
      <c r="A1370" s="29" t="s">
        <v>1474</v>
      </c>
      <c r="B1370" s="28" t="s">
        <v>57</v>
      </c>
      <c r="C1370" t="s">
        <v>51</v>
      </c>
    </row>
    <row r="1371" spans="1:3" x14ac:dyDescent="0.25">
      <c r="A1371" s="29" t="s">
        <v>1475</v>
      </c>
      <c r="B1371" s="28" t="s">
        <v>58</v>
      </c>
      <c r="C1371" t="s">
        <v>51</v>
      </c>
    </row>
    <row r="1372" spans="1:3" x14ac:dyDescent="0.25">
      <c r="A1372" s="29" t="s">
        <v>1476</v>
      </c>
      <c r="B1372" s="28" t="s">
        <v>58</v>
      </c>
      <c r="C1372" t="s">
        <v>51</v>
      </c>
    </row>
    <row r="1373" spans="1:3" x14ac:dyDescent="0.25">
      <c r="A1373" s="29" t="s">
        <v>1477</v>
      </c>
      <c r="B1373" s="28" t="s">
        <v>58</v>
      </c>
      <c r="C1373" t="s">
        <v>49</v>
      </c>
    </row>
    <row r="1374" spans="1:3" x14ac:dyDescent="0.25">
      <c r="A1374" s="29" t="s">
        <v>1478</v>
      </c>
      <c r="B1374" s="28" t="s">
        <v>57</v>
      </c>
      <c r="C1374" t="s">
        <v>49</v>
      </c>
    </row>
    <row r="1375" spans="1:3" x14ac:dyDescent="0.25">
      <c r="A1375" s="29" t="s">
        <v>1479</v>
      </c>
      <c r="B1375" s="28" t="s">
        <v>58</v>
      </c>
      <c r="C1375" t="s">
        <v>49</v>
      </c>
    </row>
    <row r="1376" spans="1:3" x14ac:dyDescent="0.25">
      <c r="A1376" s="29" t="s">
        <v>1480</v>
      </c>
      <c r="B1376" s="28" t="s">
        <v>58</v>
      </c>
      <c r="C1376" t="s">
        <v>49</v>
      </c>
    </row>
    <row r="1377" spans="1:3" x14ac:dyDescent="0.25">
      <c r="A1377" s="29" t="s">
        <v>1481</v>
      </c>
      <c r="B1377" s="28" t="s">
        <v>57</v>
      </c>
      <c r="C1377" t="s">
        <v>49</v>
      </c>
    </row>
    <row r="1378" spans="1:3" x14ac:dyDescent="0.25">
      <c r="A1378" s="29" t="s">
        <v>1482</v>
      </c>
      <c r="B1378" s="28" t="s">
        <v>58</v>
      </c>
      <c r="C1378" t="s">
        <v>49</v>
      </c>
    </row>
    <row r="1379" spans="1:3" x14ac:dyDescent="0.25">
      <c r="A1379" s="29" t="s">
        <v>1483</v>
      </c>
      <c r="B1379" s="28" t="s">
        <v>57</v>
      </c>
      <c r="C1379" t="s">
        <v>49</v>
      </c>
    </row>
    <row r="1380" spans="1:3" x14ac:dyDescent="0.25">
      <c r="A1380" s="29" t="s">
        <v>1484</v>
      </c>
      <c r="B1380" s="28" t="s">
        <v>58</v>
      </c>
      <c r="C1380" t="s">
        <v>49</v>
      </c>
    </row>
    <row r="1381" spans="1:3" x14ac:dyDescent="0.25">
      <c r="A1381" s="29" t="s">
        <v>1485</v>
      </c>
      <c r="B1381" s="28" t="s">
        <v>58</v>
      </c>
      <c r="C1381" t="s">
        <v>51</v>
      </c>
    </row>
    <row r="1382" spans="1:3" x14ac:dyDescent="0.25">
      <c r="A1382" s="29" t="s">
        <v>1486</v>
      </c>
      <c r="B1382" s="28" t="s">
        <v>57</v>
      </c>
      <c r="C1382" t="s">
        <v>49</v>
      </c>
    </row>
    <row r="1383" spans="1:3" x14ac:dyDescent="0.25">
      <c r="A1383" s="29" t="s">
        <v>1487</v>
      </c>
      <c r="B1383" s="28" t="s">
        <v>57</v>
      </c>
      <c r="C1383" t="s">
        <v>49</v>
      </c>
    </row>
    <row r="1384" spans="1:3" x14ac:dyDescent="0.25">
      <c r="A1384" s="29" t="s">
        <v>1488</v>
      </c>
      <c r="B1384" s="28" t="s">
        <v>56</v>
      </c>
      <c r="C1384" t="s">
        <v>49</v>
      </c>
    </row>
    <row r="1385" spans="1:3" x14ac:dyDescent="0.25">
      <c r="A1385" s="29" t="s">
        <v>1489</v>
      </c>
      <c r="B1385" s="28" t="s">
        <v>58</v>
      </c>
      <c r="C1385" t="s">
        <v>49</v>
      </c>
    </row>
    <row r="1386" spans="1:3" x14ac:dyDescent="0.25">
      <c r="A1386" s="29" t="s">
        <v>1490</v>
      </c>
      <c r="B1386" s="28" t="s">
        <v>58</v>
      </c>
      <c r="C1386" t="s">
        <v>49</v>
      </c>
    </row>
    <row r="1387" spans="1:3" x14ac:dyDescent="0.25">
      <c r="A1387" s="29" t="s">
        <v>1491</v>
      </c>
      <c r="B1387" s="28" t="s">
        <v>57</v>
      </c>
      <c r="C1387" t="s">
        <v>49</v>
      </c>
    </row>
    <row r="1388" spans="1:3" x14ac:dyDescent="0.25">
      <c r="A1388" s="29" t="s">
        <v>1492</v>
      </c>
      <c r="B1388" s="28" t="s">
        <v>58</v>
      </c>
      <c r="C1388" t="s">
        <v>49</v>
      </c>
    </row>
    <row r="1389" spans="1:3" x14ac:dyDescent="0.25">
      <c r="A1389" s="29" t="s">
        <v>1493</v>
      </c>
      <c r="B1389" s="28" t="s">
        <v>58</v>
      </c>
      <c r="C1389" t="s">
        <v>49</v>
      </c>
    </row>
    <row r="1390" spans="1:3" x14ac:dyDescent="0.25">
      <c r="A1390" s="29" t="s">
        <v>1494</v>
      </c>
      <c r="B1390" s="28" t="s">
        <v>58</v>
      </c>
      <c r="C1390" t="s">
        <v>49</v>
      </c>
    </row>
    <row r="1391" spans="1:3" x14ac:dyDescent="0.25">
      <c r="A1391" s="29" t="s">
        <v>1495</v>
      </c>
      <c r="B1391" s="28" t="s">
        <v>58</v>
      </c>
      <c r="C1391" t="s">
        <v>49</v>
      </c>
    </row>
    <row r="1392" spans="1:3" x14ac:dyDescent="0.25">
      <c r="A1392" s="29" t="s">
        <v>1496</v>
      </c>
      <c r="B1392" s="28" t="s">
        <v>58</v>
      </c>
      <c r="C1392" t="s">
        <v>49</v>
      </c>
    </row>
    <row r="1393" spans="1:3" x14ac:dyDescent="0.25">
      <c r="A1393" s="29" t="s">
        <v>1497</v>
      </c>
      <c r="B1393" s="28" t="s">
        <v>58</v>
      </c>
      <c r="C1393" t="s">
        <v>49</v>
      </c>
    </row>
    <row r="1394" spans="1:3" x14ac:dyDescent="0.25">
      <c r="A1394" s="29" t="s">
        <v>1498</v>
      </c>
      <c r="B1394" s="28" t="s">
        <v>58</v>
      </c>
      <c r="C1394" t="s">
        <v>49</v>
      </c>
    </row>
    <row r="1395" spans="1:3" x14ac:dyDescent="0.25">
      <c r="A1395" s="29" t="s">
        <v>1499</v>
      </c>
      <c r="B1395" s="28" t="s">
        <v>58</v>
      </c>
      <c r="C1395" t="s">
        <v>49</v>
      </c>
    </row>
    <row r="1396" spans="1:3" x14ac:dyDescent="0.25">
      <c r="A1396" s="29" t="s">
        <v>1500</v>
      </c>
      <c r="B1396" s="28" t="s">
        <v>58</v>
      </c>
      <c r="C1396" t="s">
        <v>49</v>
      </c>
    </row>
    <row r="1397" spans="1:3" x14ac:dyDescent="0.25">
      <c r="A1397" s="29" t="s">
        <v>1501</v>
      </c>
      <c r="B1397" s="28" t="s">
        <v>57</v>
      </c>
      <c r="C1397" t="s">
        <v>49</v>
      </c>
    </row>
    <row r="1398" spans="1:3" x14ac:dyDescent="0.25">
      <c r="A1398" s="29" t="s">
        <v>1502</v>
      </c>
      <c r="B1398" s="28" t="s">
        <v>57</v>
      </c>
      <c r="C1398" t="s">
        <v>49</v>
      </c>
    </row>
    <row r="1399" spans="1:3" x14ac:dyDescent="0.25">
      <c r="A1399" s="29" t="s">
        <v>1503</v>
      </c>
      <c r="B1399" s="28" t="s">
        <v>58</v>
      </c>
      <c r="C1399" t="s">
        <v>49</v>
      </c>
    </row>
    <row r="1400" spans="1:3" x14ac:dyDescent="0.25">
      <c r="A1400" s="29" t="s">
        <v>1504</v>
      </c>
      <c r="B1400" s="28" t="s">
        <v>58</v>
      </c>
      <c r="C1400" t="s">
        <v>49</v>
      </c>
    </row>
    <row r="1401" spans="1:3" x14ac:dyDescent="0.25">
      <c r="A1401" s="29" t="s">
        <v>1505</v>
      </c>
      <c r="B1401" s="28" t="s">
        <v>58</v>
      </c>
      <c r="C1401" t="s">
        <v>49</v>
      </c>
    </row>
    <row r="1402" spans="1:3" x14ac:dyDescent="0.25">
      <c r="A1402" s="29" t="s">
        <v>1506</v>
      </c>
      <c r="B1402" s="28" t="s">
        <v>58</v>
      </c>
      <c r="C1402" t="s">
        <v>49</v>
      </c>
    </row>
    <row r="1403" spans="1:3" x14ac:dyDescent="0.25">
      <c r="A1403" s="29" t="s">
        <v>1507</v>
      </c>
      <c r="B1403" s="28" t="s">
        <v>56</v>
      </c>
      <c r="C1403" t="s">
        <v>49</v>
      </c>
    </row>
    <row r="1404" spans="1:3" x14ac:dyDescent="0.25">
      <c r="A1404" s="29" t="s">
        <v>1508</v>
      </c>
      <c r="B1404" s="28" t="s">
        <v>58</v>
      </c>
      <c r="C1404" t="s">
        <v>49</v>
      </c>
    </row>
    <row r="1405" spans="1:3" x14ac:dyDescent="0.25">
      <c r="A1405" s="29" t="s">
        <v>1509</v>
      </c>
      <c r="B1405" s="28" t="s">
        <v>57</v>
      </c>
      <c r="C1405" t="s">
        <v>49</v>
      </c>
    </row>
    <row r="1406" spans="1:3" x14ac:dyDescent="0.25">
      <c r="A1406" s="29" t="s">
        <v>1510</v>
      </c>
      <c r="B1406" s="28" t="s">
        <v>58</v>
      </c>
      <c r="C1406" t="s">
        <v>49</v>
      </c>
    </row>
    <row r="1407" spans="1:3" x14ac:dyDescent="0.25">
      <c r="A1407" s="29" t="s">
        <v>1511</v>
      </c>
      <c r="B1407" s="28" t="s">
        <v>58</v>
      </c>
      <c r="C1407" t="s">
        <v>49</v>
      </c>
    </row>
    <row r="1408" spans="1:3" x14ac:dyDescent="0.25">
      <c r="A1408" s="29" t="s">
        <v>1512</v>
      </c>
      <c r="B1408" s="28" t="s">
        <v>57</v>
      </c>
      <c r="C1408" t="s">
        <v>49</v>
      </c>
    </row>
    <row r="1409" spans="1:3" x14ac:dyDescent="0.25">
      <c r="A1409" s="29" t="s">
        <v>1513</v>
      </c>
      <c r="B1409" s="28" t="s">
        <v>58</v>
      </c>
      <c r="C1409" t="s">
        <v>49</v>
      </c>
    </row>
    <row r="1410" spans="1:3" x14ac:dyDescent="0.25">
      <c r="A1410" s="29" t="s">
        <v>1514</v>
      </c>
      <c r="B1410" s="28" t="s">
        <v>58</v>
      </c>
      <c r="C1410" t="s">
        <v>49</v>
      </c>
    </row>
    <row r="1411" spans="1:3" x14ac:dyDescent="0.25">
      <c r="A1411" s="29" t="s">
        <v>1515</v>
      </c>
      <c r="B1411" s="28" t="s">
        <v>57</v>
      </c>
      <c r="C1411" t="s">
        <v>49</v>
      </c>
    </row>
    <row r="1412" spans="1:3" x14ac:dyDescent="0.25">
      <c r="A1412" s="29" t="s">
        <v>1516</v>
      </c>
      <c r="B1412" s="28" t="s">
        <v>57</v>
      </c>
      <c r="C1412" t="s">
        <v>49</v>
      </c>
    </row>
    <row r="1413" spans="1:3" x14ac:dyDescent="0.25">
      <c r="A1413" s="29" t="s">
        <v>1517</v>
      </c>
      <c r="B1413" s="28" t="s">
        <v>58</v>
      </c>
      <c r="C1413" t="s">
        <v>49</v>
      </c>
    </row>
    <row r="1414" spans="1:3" x14ac:dyDescent="0.25">
      <c r="A1414" s="29" t="s">
        <v>1518</v>
      </c>
      <c r="B1414" s="28" t="s">
        <v>58</v>
      </c>
      <c r="C1414" t="s">
        <v>49</v>
      </c>
    </row>
    <row r="1415" spans="1:3" x14ac:dyDescent="0.25">
      <c r="A1415" s="29" t="s">
        <v>1519</v>
      </c>
      <c r="B1415" s="28" t="s">
        <v>58</v>
      </c>
      <c r="C1415" t="s">
        <v>49</v>
      </c>
    </row>
    <row r="1416" spans="1:3" x14ac:dyDescent="0.25">
      <c r="A1416" s="29" t="s">
        <v>1520</v>
      </c>
      <c r="B1416" s="28" t="s">
        <v>58</v>
      </c>
      <c r="C1416" t="s">
        <v>49</v>
      </c>
    </row>
    <row r="1417" spans="1:3" x14ac:dyDescent="0.25">
      <c r="A1417" s="29" t="s">
        <v>1521</v>
      </c>
      <c r="B1417" s="28" t="s">
        <v>58</v>
      </c>
      <c r="C1417" t="s">
        <v>49</v>
      </c>
    </row>
    <row r="1418" spans="1:3" x14ac:dyDescent="0.25">
      <c r="A1418" s="29" t="s">
        <v>1522</v>
      </c>
      <c r="B1418" s="28" t="s">
        <v>58</v>
      </c>
      <c r="C1418" t="s">
        <v>49</v>
      </c>
    </row>
    <row r="1419" spans="1:3" x14ac:dyDescent="0.25">
      <c r="A1419" s="29" t="s">
        <v>1523</v>
      </c>
      <c r="B1419" s="28" t="s">
        <v>56</v>
      </c>
      <c r="C1419" t="s">
        <v>49</v>
      </c>
    </row>
    <row r="1420" spans="1:3" x14ac:dyDescent="0.25">
      <c r="A1420" s="29" t="s">
        <v>1524</v>
      </c>
      <c r="B1420" s="28" t="s">
        <v>58</v>
      </c>
      <c r="C1420" t="s">
        <v>49</v>
      </c>
    </row>
    <row r="1421" spans="1:3" x14ac:dyDescent="0.25">
      <c r="A1421" s="29" t="s">
        <v>1525</v>
      </c>
      <c r="B1421" s="28" t="s">
        <v>58</v>
      </c>
      <c r="C1421" t="s">
        <v>49</v>
      </c>
    </row>
    <row r="1422" spans="1:3" x14ac:dyDescent="0.25">
      <c r="A1422" s="29" t="s">
        <v>1526</v>
      </c>
      <c r="B1422" s="28" t="s">
        <v>58</v>
      </c>
      <c r="C1422" t="s">
        <v>49</v>
      </c>
    </row>
    <row r="1423" spans="1:3" x14ac:dyDescent="0.25">
      <c r="A1423" s="29" t="s">
        <v>1527</v>
      </c>
      <c r="B1423" s="28" t="s">
        <v>58</v>
      </c>
      <c r="C1423" t="s">
        <v>49</v>
      </c>
    </row>
    <row r="1424" spans="1:3" x14ac:dyDescent="0.25">
      <c r="A1424" s="29" t="s">
        <v>1528</v>
      </c>
      <c r="B1424" s="28" t="s">
        <v>58</v>
      </c>
      <c r="C1424" t="s">
        <v>50</v>
      </c>
    </row>
    <row r="1425" spans="1:3" x14ac:dyDescent="0.25">
      <c r="A1425" s="29" t="s">
        <v>1529</v>
      </c>
      <c r="B1425" s="28" t="s">
        <v>56</v>
      </c>
      <c r="C1425" t="s">
        <v>50</v>
      </c>
    </row>
    <row r="1426" spans="1:3" x14ac:dyDescent="0.25">
      <c r="A1426" s="29" t="s">
        <v>1530</v>
      </c>
      <c r="B1426" s="28" t="s">
        <v>58</v>
      </c>
      <c r="C1426" t="s">
        <v>50</v>
      </c>
    </row>
    <row r="1427" spans="1:3" x14ac:dyDescent="0.25">
      <c r="A1427" s="29" t="s">
        <v>1531</v>
      </c>
      <c r="B1427" s="28" t="s">
        <v>57</v>
      </c>
      <c r="C1427" t="s">
        <v>50</v>
      </c>
    </row>
    <row r="1428" spans="1:3" x14ac:dyDescent="0.25">
      <c r="A1428" s="29" t="s">
        <v>1532</v>
      </c>
      <c r="B1428" s="28" t="s">
        <v>58</v>
      </c>
      <c r="C1428" t="s">
        <v>50</v>
      </c>
    </row>
    <row r="1429" spans="1:3" x14ac:dyDescent="0.25">
      <c r="A1429" s="29" t="s">
        <v>1533</v>
      </c>
      <c r="B1429" s="28" t="s">
        <v>58</v>
      </c>
      <c r="C1429" t="s">
        <v>50</v>
      </c>
    </row>
    <row r="1430" spans="1:3" x14ac:dyDescent="0.25">
      <c r="A1430" s="29" t="s">
        <v>1534</v>
      </c>
      <c r="B1430" s="28" t="s">
        <v>57</v>
      </c>
      <c r="C1430" t="s">
        <v>49</v>
      </c>
    </row>
    <row r="1431" spans="1:3" x14ac:dyDescent="0.25">
      <c r="A1431" s="29" t="s">
        <v>1535</v>
      </c>
      <c r="B1431" s="28" t="s">
        <v>57</v>
      </c>
      <c r="C1431" t="s">
        <v>49</v>
      </c>
    </row>
    <row r="1432" spans="1:3" x14ac:dyDescent="0.25">
      <c r="A1432" s="29" t="s">
        <v>1536</v>
      </c>
      <c r="B1432" s="28" t="s">
        <v>57</v>
      </c>
      <c r="C1432" t="s">
        <v>49</v>
      </c>
    </row>
    <row r="1433" spans="1:3" x14ac:dyDescent="0.25">
      <c r="A1433" s="29" t="s">
        <v>1537</v>
      </c>
      <c r="B1433" s="28" t="s">
        <v>58</v>
      </c>
      <c r="C1433" t="s">
        <v>49</v>
      </c>
    </row>
    <row r="1434" spans="1:3" x14ac:dyDescent="0.25">
      <c r="A1434" s="29" t="s">
        <v>1538</v>
      </c>
      <c r="B1434" s="28" t="s">
        <v>56</v>
      </c>
      <c r="C1434" t="s">
        <v>51</v>
      </c>
    </row>
    <row r="1435" spans="1:3" x14ac:dyDescent="0.25">
      <c r="A1435" s="29" t="s">
        <v>14</v>
      </c>
      <c r="B1435" s="28" t="s">
        <v>57</v>
      </c>
      <c r="C1435" t="s">
        <v>51</v>
      </c>
    </row>
    <row r="1436" spans="1:3" x14ac:dyDescent="0.25">
      <c r="A1436" s="29" t="s">
        <v>1539</v>
      </c>
      <c r="B1436" s="28" t="s">
        <v>55</v>
      </c>
      <c r="C1436" t="s">
        <v>51</v>
      </c>
    </row>
    <row r="1437" spans="1:3" x14ac:dyDescent="0.25">
      <c r="A1437" s="29" t="s">
        <v>1540</v>
      </c>
      <c r="B1437" s="28" t="s">
        <v>57</v>
      </c>
      <c r="C1437" t="s">
        <v>51</v>
      </c>
    </row>
    <row r="1438" spans="1:3" x14ac:dyDescent="0.25">
      <c r="A1438" s="29" t="s">
        <v>1541</v>
      </c>
      <c r="B1438" s="28" t="s">
        <v>57</v>
      </c>
      <c r="C1438" t="s">
        <v>51</v>
      </c>
    </row>
    <row r="1439" spans="1:3" x14ac:dyDescent="0.25">
      <c r="A1439" s="29" t="s">
        <v>1542</v>
      </c>
      <c r="B1439" s="28" t="s">
        <v>57</v>
      </c>
      <c r="C1439" t="s">
        <v>51</v>
      </c>
    </row>
    <row r="1440" spans="1:3" x14ac:dyDescent="0.25">
      <c r="A1440" s="29" t="s">
        <v>1543</v>
      </c>
      <c r="B1440" s="28" t="s">
        <v>58</v>
      </c>
      <c r="C1440" t="s">
        <v>51</v>
      </c>
    </row>
    <row r="1441" spans="1:3" x14ac:dyDescent="0.25">
      <c r="A1441" s="29" t="s">
        <v>1544</v>
      </c>
      <c r="B1441" s="28" t="s">
        <v>57</v>
      </c>
      <c r="C1441" t="s">
        <v>51</v>
      </c>
    </row>
    <row r="1442" spans="1:3" x14ac:dyDescent="0.25">
      <c r="A1442" s="29" t="s">
        <v>1545</v>
      </c>
      <c r="B1442" s="28" t="s">
        <v>58</v>
      </c>
      <c r="C1442" t="s">
        <v>51</v>
      </c>
    </row>
    <row r="1443" spans="1:3" x14ac:dyDescent="0.25">
      <c r="A1443" s="29" t="s">
        <v>1546</v>
      </c>
      <c r="B1443" s="28" t="s">
        <v>58</v>
      </c>
      <c r="C1443" t="s">
        <v>51</v>
      </c>
    </row>
    <row r="1444" spans="1:3" x14ac:dyDescent="0.25">
      <c r="A1444" s="29" t="s">
        <v>1547</v>
      </c>
      <c r="B1444" s="28" t="s">
        <v>55</v>
      </c>
      <c r="C1444" t="s">
        <v>50</v>
      </c>
    </row>
    <row r="1445" spans="1:3" x14ac:dyDescent="0.25">
      <c r="A1445" s="29" t="s">
        <v>1548</v>
      </c>
      <c r="B1445" s="28" t="s">
        <v>58</v>
      </c>
      <c r="C1445" t="s">
        <v>50</v>
      </c>
    </row>
    <row r="1446" spans="1:3" x14ac:dyDescent="0.25">
      <c r="A1446" s="29" t="s">
        <v>1549</v>
      </c>
      <c r="B1446" s="28" t="s">
        <v>58</v>
      </c>
      <c r="C1446" t="s">
        <v>50</v>
      </c>
    </row>
    <row r="1447" spans="1:3" x14ac:dyDescent="0.25">
      <c r="A1447" s="29" t="s">
        <v>1550</v>
      </c>
      <c r="B1447" s="28" t="s">
        <v>58</v>
      </c>
      <c r="C1447" t="s">
        <v>50</v>
      </c>
    </row>
    <row r="1448" spans="1:3" x14ac:dyDescent="0.25">
      <c r="A1448" s="29" t="s">
        <v>1551</v>
      </c>
      <c r="B1448" s="28" t="s">
        <v>58</v>
      </c>
      <c r="C1448" t="s">
        <v>50</v>
      </c>
    </row>
    <row r="1449" spans="1:3" x14ac:dyDescent="0.25">
      <c r="A1449" s="29" t="s">
        <v>1552</v>
      </c>
      <c r="B1449" s="28" t="s">
        <v>58</v>
      </c>
      <c r="C1449" t="s">
        <v>50</v>
      </c>
    </row>
    <row r="1450" spans="1:3" x14ac:dyDescent="0.25">
      <c r="A1450" s="29" t="s">
        <v>1553</v>
      </c>
      <c r="B1450" s="28" t="s">
        <v>58</v>
      </c>
      <c r="C1450" t="s">
        <v>50</v>
      </c>
    </row>
    <row r="1451" spans="1:3" x14ac:dyDescent="0.25">
      <c r="A1451" s="29" t="s">
        <v>1554</v>
      </c>
      <c r="B1451" s="28" t="s">
        <v>58</v>
      </c>
      <c r="C1451" t="s">
        <v>50</v>
      </c>
    </row>
    <row r="1452" spans="1:3" x14ac:dyDescent="0.25">
      <c r="A1452" s="29" t="s">
        <v>1555</v>
      </c>
      <c r="B1452" s="28" t="s">
        <v>58</v>
      </c>
      <c r="C1452" t="s">
        <v>50</v>
      </c>
    </row>
    <row r="1453" spans="1:3" x14ac:dyDescent="0.25">
      <c r="A1453" s="29" t="s">
        <v>1556</v>
      </c>
      <c r="B1453" s="28" t="s">
        <v>58</v>
      </c>
      <c r="C1453" t="s">
        <v>50</v>
      </c>
    </row>
    <row r="1454" spans="1:3" x14ac:dyDescent="0.25">
      <c r="A1454" s="29" t="s">
        <v>1557</v>
      </c>
      <c r="B1454" s="28" t="s">
        <v>58</v>
      </c>
      <c r="C1454" t="s">
        <v>50</v>
      </c>
    </row>
    <row r="1455" spans="1:3" x14ac:dyDescent="0.25">
      <c r="A1455" s="29" t="s">
        <v>1558</v>
      </c>
      <c r="B1455" s="28" t="s">
        <v>58</v>
      </c>
      <c r="C1455" t="s">
        <v>50</v>
      </c>
    </row>
    <row r="1456" spans="1:3" x14ac:dyDescent="0.25">
      <c r="A1456" s="29" t="s">
        <v>1559</v>
      </c>
      <c r="B1456" s="28" t="s">
        <v>58</v>
      </c>
      <c r="C1456" t="s">
        <v>50</v>
      </c>
    </row>
    <row r="1457" spans="1:3" x14ac:dyDescent="0.25">
      <c r="A1457" s="29" t="s">
        <v>1560</v>
      </c>
      <c r="B1457" s="28" t="s">
        <v>58</v>
      </c>
      <c r="C1457" t="s">
        <v>50</v>
      </c>
    </row>
    <row r="1458" spans="1:3" x14ac:dyDescent="0.25">
      <c r="A1458" s="29" t="s">
        <v>1561</v>
      </c>
      <c r="B1458" s="28" t="s">
        <v>58</v>
      </c>
      <c r="C1458" t="s">
        <v>50</v>
      </c>
    </row>
    <row r="1459" spans="1:3" x14ac:dyDescent="0.25">
      <c r="A1459" s="29" t="s">
        <v>1562</v>
      </c>
      <c r="B1459" s="28" t="s">
        <v>58</v>
      </c>
      <c r="C1459" t="s">
        <v>50</v>
      </c>
    </row>
    <row r="1460" spans="1:3" x14ac:dyDescent="0.25">
      <c r="A1460" s="29" t="s">
        <v>1563</v>
      </c>
      <c r="B1460" s="28" t="s">
        <v>58</v>
      </c>
      <c r="C1460" t="s">
        <v>50</v>
      </c>
    </row>
    <row r="1461" spans="1:3" x14ac:dyDescent="0.25">
      <c r="A1461" s="29" t="s">
        <v>1564</v>
      </c>
      <c r="B1461" s="28" t="s">
        <v>57</v>
      </c>
      <c r="C1461" t="s">
        <v>51</v>
      </c>
    </row>
    <row r="1462" spans="1:3" x14ac:dyDescent="0.25">
      <c r="A1462" s="29" t="s">
        <v>1565</v>
      </c>
      <c r="B1462" s="28" t="s">
        <v>56</v>
      </c>
      <c r="C1462" t="s">
        <v>48</v>
      </c>
    </row>
    <row r="1463" spans="1:3" x14ac:dyDescent="0.25">
      <c r="A1463" s="29" t="s">
        <v>1566</v>
      </c>
      <c r="B1463" s="28" t="s">
        <v>58</v>
      </c>
      <c r="C1463" t="s">
        <v>48</v>
      </c>
    </row>
    <row r="1464" spans="1:3" x14ac:dyDescent="0.25">
      <c r="A1464" s="29" t="s">
        <v>1567</v>
      </c>
      <c r="B1464" s="28" t="s">
        <v>58</v>
      </c>
      <c r="C1464" t="s">
        <v>48</v>
      </c>
    </row>
    <row r="1465" spans="1:3" x14ac:dyDescent="0.25">
      <c r="A1465" s="29" t="s">
        <v>1568</v>
      </c>
      <c r="B1465" s="28" t="s">
        <v>56</v>
      </c>
      <c r="C1465" t="s">
        <v>48</v>
      </c>
    </row>
    <row r="1466" spans="1:3" x14ac:dyDescent="0.25">
      <c r="A1466" s="29" t="s">
        <v>1569</v>
      </c>
      <c r="B1466" s="28" t="s">
        <v>56</v>
      </c>
      <c r="C1466" t="s">
        <v>52</v>
      </c>
    </row>
    <row r="1467" spans="1:3" x14ac:dyDescent="0.25">
      <c r="A1467" s="29" t="s">
        <v>1570</v>
      </c>
      <c r="B1467" s="28" t="s">
        <v>56</v>
      </c>
      <c r="C1467" t="s">
        <v>50</v>
      </c>
    </row>
    <row r="1468" spans="1:3" x14ac:dyDescent="0.25">
      <c r="A1468" s="29" t="s">
        <v>1571</v>
      </c>
      <c r="B1468" s="28" t="s">
        <v>58</v>
      </c>
      <c r="C1468" t="s">
        <v>49</v>
      </c>
    </row>
    <row r="1469" spans="1:3" x14ac:dyDescent="0.25">
      <c r="A1469" s="29" t="s">
        <v>1572</v>
      </c>
      <c r="B1469" s="28" t="s">
        <v>58</v>
      </c>
      <c r="C1469" t="s">
        <v>51</v>
      </c>
    </row>
    <row r="1470" spans="1:3" x14ac:dyDescent="0.25">
      <c r="A1470" s="29" t="s">
        <v>1573</v>
      </c>
      <c r="B1470" s="28" t="s">
        <v>58</v>
      </c>
      <c r="C1470" t="s">
        <v>51</v>
      </c>
    </row>
    <row r="1471" spans="1:3" x14ac:dyDescent="0.25">
      <c r="A1471" s="29" t="s">
        <v>1574</v>
      </c>
      <c r="B1471" s="28" t="s">
        <v>57</v>
      </c>
      <c r="C1471" t="s">
        <v>51</v>
      </c>
    </row>
    <row r="1472" spans="1:3" x14ac:dyDescent="0.25">
      <c r="A1472" s="29" t="s">
        <v>1575</v>
      </c>
      <c r="B1472" s="28" t="s">
        <v>58</v>
      </c>
      <c r="C1472" t="s">
        <v>52</v>
      </c>
    </row>
    <row r="1473" spans="1:3" x14ac:dyDescent="0.25">
      <c r="A1473" s="29" t="s">
        <v>1576</v>
      </c>
      <c r="B1473" s="28" t="s">
        <v>56</v>
      </c>
      <c r="C1473" t="s">
        <v>52</v>
      </c>
    </row>
    <row r="1474" spans="1:3" x14ac:dyDescent="0.25">
      <c r="A1474" s="29" t="s">
        <v>1577</v>
      </c>
      <c r="B1474" s="28" t="s">
        <v>58</v>
      </c>
      <c r="C1474" t="s">
        <v>52</v>
      </c>
    </row>
    <row r="1475" spans="1:3" x14ac:dyDescent="0.25">
      <c r="A1475" s="29" t="s">
        <v>1578</v>
      </c>
      <c r="B1475" s="28" t="s">
        <v>56</v>
      </c>
      <c r="C1475" t="s">
        <v>49</v>
      </c>
    </row>
    <row r="1476" spans="1:3" x14ac:dyDescent="0.25">
      <c r="A1476" s="29" t="s">
        <v>1579</v>
      </c>
      <c r="B1476" s="28" t="s">
        <v>1580</v>
      </c>
      <c r="C1476" t="s">
        <v>51</v>
      </c>
    </row>
    <row r="1477" spans="1:3" x14ac:dyDescent="0.25">
      <c r="A1477" s="29" t="s">
        <v>1581</v>
      </c>
      <c r="B1477" s="28" t="s">
        <v>56</v>
      </c>
      <c r="C1477" t="s">
        <v>49</v>
      </c>
    </row>
    <row r="1478" spans="1:3" x14ac:dyDescent="0.25">
      <c r="A1478" s="29" t="s">
        <v>1582</v>
      </c>
      <c r="B1478" s="28" t="s">
        <v>56</v>
      </c>
      <c r="C1478" t="s">
        <v>52</v>
      </c>
    </row>
    <row r="1479" spans="1:3" x14ac:dyDescent="0.25">
      <c r="A1479" s="29" t="s">
        <v>1583</v>
      </c>
      <c r="B1479" s="28" t="s">
        <v>58</v>
      </c>
      <c r="C1479" t="s">
        <v>52</v>
      </c>
    </row>
    <row r="1480" spans="1:3" x14ac:dyDescent="0.25">
      <c r="A1480" s="29" t="s">
        <v>1584</v>
      </c>
      <c r="B1480" s="28" t="s">
        <v>58</v>
      </c>
      <c r="C1480" t="s">
        <v>52</v>
      </c>
    </row>
    <row r="1481" spans="1:3" x14ac:dyDescent="0.25">
      <c r="A1481" s="29" t="s">
        <v>1585</v>
      </c>
      <c r="B1481" s="28" t="s">
        <v>56</v>
      </c>
      <c r="C1481" t="s">
        <v>52</v>
      </c>
    </row>
    <row r="1482" spans="1:3" x14ac:dyDescent="0.25">
      <c r="A1482" s="29" t="s">
        <v>1586</v>
      </c>
      <c r="B1482" s="28" t="s">
        <v>58</v>
      </c>
      <c r="C1482" t="s">
        <v>52</v>
      </c>
    </row>
    <row r="1483" spans="1:3" x14ac:dyDescent="0.25">
      <c r="A1483" s="29" t="s">
        <v>1587</v>
      </c>
      <c r="B1483" s="28" t="s">
        <v>58</v>
      </c>
      <c r="C1483" t="s">
        <v>48</v>
      </c>
    </row>
    <row r="1484" spans="1:3" x14ac:dyDescent="0.25">
      <c r="A1484" s="29" t="s">
        <v>1588</v>
      </c>
      <c r="B1484" s="28" t="s">
        <v>58</v>
      </c>
      <c r="C1484" t="s">
        <v>48</v>
      </c>
    </row>
    <row r="1485" spans="1:3" x14ac:dyDescent="0.25">
      <c r="A1485" s="29" t="s">
        <v>1589</v>
      </c>
      <c r="B1485" s="28" t="s">
        <v>56</v>
      </c>
      <c r="C1485" t="s">
        <v>48</v>
      </c>
    </row>
    <row r="1486" spans="1:3" x14ac:dyDescent="0.25">
      <c r="A1486" s="29" t="s">
        <v>1590</v>
      </c>
      <c r="B1486" s="28" t="s">
        <v>58</v>
      </c>
      <c r="C1486" t="s">
        <v>48</v>
      </c>
    </row>
    <row r="1487" spans="1:3" x14ac:dyDescent="0.25">
      <c r="A1487" s="29" t="s">
        <v>1591</v>
      </c>
      <c r="B1487" s="28" t="s">
        <v>58</v>
      </c>
      <c r="C1487" t="s">
        <v>52</v>
      </c>
    </row>
    <row r="1488" spans="1:3" x14ac:dyDescent="0.25">
      <c r="A1488" s="29" t="s">
        <v>1592</v>
      </c>
      <c r="B1488" s="28" t="s">
        <v>58</v>
      </c>
      <c r="C1488" t="s">
        <v>52</v>
      </c>
    </row>
    <row r="1489" spans="1:3" x14ac:dyDescent="0.25">
      <c r="A1489" s="29" t="s">
        <v>1593</v>
      </c>
      <c r="B1489" s="28" t="s">
        <v>55</v>
      </c>
      <c r="C1489" t="s">
        <v>52</v>
      </c>
    </row>
    <row r="1490" spans="1:3" x14ac:dyDescent="0.25">
      <c r="A1490" s="29" t="s">
        <v>1594</v>
      </c>
      <c r="B1490" s="28" t="s">
        <v>58</v>
      </c>
      <c r="C1490" t="s">
        <v>52</v>
      </c>
    </row>
    <row r="1491" spans="1:3" x14ac:dyDescent="0.25">
      <c r="A1491" s="29" t="s">
        <v>1595</v>
      </c>
      <c r="B1491" s="28" t="s">
        <v>56</v>
      </c>
      <c r="C1491" t="s">
        <v>52</v>
      </c>
    </row>
    <row r="1492" spans="1:3" x14ac:dyDescent="0.25">
      <c r="A1492" s="29" t="s">
        <v>1596</v>
      </c>
      <c r="B1492" s="28" t="s">
        <v>56</v>
      </c>
      <c r="C1492" t="s">
        <v>50</v>
      </c>
    </row>
    <row r="1493" spans="1:3" x14ac:dyDescent="0.25">
      <c r="A1493" s="29" t="s">
        <v>1597</v>
      </c>
      <c r="B1493" s="28" t="s">
        <v>58</v>
      </c>
      <c r="C1493" t="s">
        <v>48</v>
      </c>
    </row>
    <row r="1494" spans="1:3" x14ac:dyDescent="0.25">
      <c r="A1494" s="29" t="s">
        <v>1598</v>
      </c>
      <c r="B1494" s="28" t="s">
        <v>57</v>
      </c>
      <c r="C1494" t="s">
        <v>48</v>
      </c>
    </row>
    <row r="1495" spans="1:3" x14ac:dyDescent="0.25">
      <c r="A1495" s="29" t="s">
        <v>1599</v>
      </c>
      <c r="B1495" s="28" t="s">
        <v>56</v>
      </c>
      <c r="C1495" t="s">
        <v>52</v>
      </c>
    </row>
    <row r="1496" spans="1:3" x14ac:dyDescent="0.25">
      <c r="A1496" s="29" t="s">
        <v>1600</v>
      </c>
      <c r="B1496" s="28" t="s">
        <v>58</v>
      </c>
      <c r="C1496" t="s">
        <v>52</v>
      </c>
    </row>
    <row r="1497" spans="1:3" x14ac:dyDescent="0.25">
      <c r="A1497" s="29" t="s">
        <v>1601</v>
      </c>
      <c r="B1497" s="28" t="s">
        <v>57</v>
      </c>
      <c r="C1497" t="s">
        <v>52</v>
      </c>
    </row>
    <row r="1498" spans="1:3" x14ac:dyDescent="0.25">
      <c r="A1498" s="29" t="s">
        <v>1602</v>
      </c>
      <c r="B1498" s="28" t="s">
        <v>58</v>
      </c>
      <c r="C1498" t="s">
        <v>52</v>
      </c>
    </row>
    <row r="1499" spans="1:3" x14ac:dyDescent="0.25">
      <c r="A1499" s="29" t="s">
        <v>1603</v>
      </c>
      <c r="B1499" s="28" t="s">
        <v>56</v>
      </c>
      <c r="C1499" t="s">
        <v>48</v>
      </c>
    </row>
    <row r="1500" spans="1:3" x14ac:dyDescent="0.25">
      <c r="A1500" s="29" t="s">
        <v>1604</v>
      </c>
      <c r="B1500" s="28" t="s">
        <v>58</v>
      </c>
      <c r="C1500" t="s">
        <v>48</v>
      </c>
    </row>
    <row r="1501" spans="1:3" x14ac:dyDescent="0.25">
      <c r="A1501" s="29" t="s">
        <v>1605</v>
      </c>
      <c r="B1501" s="28" t="s">
        <v>1580</v>
      </c>
      <c r="C1501" t="s">
        <v>48</v>
      </c>
    </row>
    <row r="1502" spans="1:3" x14ac:dyDescent="0.25">
      <c r="A1502" s="29" t="s">
        <v>1606</v>
      </c>
      <c r="B1502" s="28" t="s">
        <v>58</v>
      </c>
      <c r="C1502" t="s">
        <v>48</v>
      </c>
    </row>
    <row r="1503" spans="1:3" x14ac:dyDescent="0.25">
      <c r="A1503" s="29" t="s">
        <v>1607</v>
      </c>
      <c r="B1503" s="28" t="s">
        <v>55</v>
      </c>
      <c r="C1503" t="s">
        <v>48</v>
      </c>
    </row>
    <row r="1504" spans="1:3" x14ac:dyDescent="0.25">
      <c r="A1504" s="29" t="s">
        <v>1608</v>
      </c>
      <c r="B1504" s="28" t="s">
        <v>58</v>
      </c>
      <c r="C1504" t="s">
        <v>48</v>
      </c>
    </row>
    <row r="1505" spans="1:3" x14ac:dyDescent="0.25">
      <c r="A1505" s="29" t="s">
        <v>1609</v>
      </c>
      <c r="B1505" s="28" t="s">
        <v>57</v>
      </c>
      <c r="C1505" t="s">
        <v>48</v>
      </c>
    </row>
    <row r="1506" spans="1:3" x14ac:dyDescent="0.25">
      <c r="A1506" s="29" t="s">
        <v>1610</v>
      </c>
      <c r="B1506" s="28" t="s">
        <v>58</v>
      </c>
      <c r="C1506" t="s">
        <v>48</v>
      </c>
    </row>
    <row r="1507" spans="1:3" x14ac:dyDescent="0.25">
      <c r="A1507" s="29" t="s">
        <v>1611</v>
      </c>
      <c r="B1507" s="28" t="s">
        <v>1580</v>
      </c>
      <c r="C1507" t="s">
        <v>50</v>
      </c>
    </row>
    <row r="1508" spans="1:3" x14ac:dyDescent="0.25">
      <c r="A1508" s="29" t="s">
        <v>1612</v>
      </c>
      <c r="B1508" s="28" t="s">
        <v>58</v>
      </c>
      <c r="C1508" t="s">
        <v>50</v>
      </c>
    </row>
    <row r="1509" spans="1:3" x14ac:dyDescent="0.25">
      <c r="A1509" s="29" t="s">
        <v>1613</v>
      </c>
      <c r="B1509" s="28" t="s">
        <v>58</v>
      </c>
      <c r="C1509" t="s">
        <v>50</v>
      </c>
    </row>
    <row r="1510" spans="1:3" x14ac:dyDescent="0.25">
      <c r="A1510" s="29" t="s">
        <v>1614</v>
      </c>
      <c r="B1510" s="28" t="s">
        <v>58</v>
      </c>
      <c r="C1510" t="s">
        <v>50</v>
      </c>
    </row>
    <row r="1511" spans="1:3" x14ac:dyDescent="0.25">
      <c r="A1511" s="29" t="s">
        <v>1615</v>
      </c>
      <c r="B1511" s="28" t="s">
        <v>58</v>
      </c>
      <c r="C1511" t="s">
        <v>50</v>
      </c>
    </row>
    <row r="1512" spans="1:3" x14ac:dyDescent="0.25">
      <c r="A1512" s="29" t="s">
        <v>1616</v>
      </c>
      <c r="B1512" s="28" t="s">
        <v>58</v>
      </c>
      <c r="C1512" t="s">
        <v>50</v>
      </c>
    </row>
    <row r="1513" spans="1:3" x14ac:dyDescent="0.25">
      <c r="A1513" s="29" t="s">
        <v>1617</v>
      </c>
      <c r="B1513" s="28" t="s">
        <v>58</v>
      </c>
      <c r="C1513" t="s">
        <v>50</v>
      </c>
    </row>
    <row r="1514" spans="1:3" x14ac:dyDescent="0.25">
      <c r="A1514" s="29" t="s">
        <v>1618</v>
      </c>
      <c r="B1514" s="28" t="s">
        <v>58</v>
      </c>
      <c r="C1514" t="s">
        <v>50</v>
      </c>
    </row>
    <row r="1515" spans="1:3" x14ac:dyDescent="0.25">
      <c r="A1515" s="29" t="s">
        <v>1619</v>
      </c>
      <c r="B1515" s="28" t="s">
        <v>58</v>
      </c>
      <c r="C1515" t="s">
        <v>50</v>
      </c>
    </row>
    <row r="1516" spans="1:3" x14ac:dyDescent="0.25">
      <c r="A1516" s="29" t="s">
        <v>1620</v>
      </c>
      <c r="B1516" s="28" t="s">
        <v>58</v>
      </c>
      <c r="C1516" t="s">
        <v>50</v>
      </c>
    </row>
    <row r="1517" spans="1:3" x14ac:dyDescent="0.25">
      <c r="A1517" s="29" t="s">
        <v>1621</v>
      </c>
      <c r="B1517" s="28" t="s">
        <v>58</v>
      </c>
      <c r="C1517" t="s">
        <v>50</v>
      </c>
    </row>
    <row r="1518" spans="1:3" x14ac:dyDescent="0.25">
      <c r="A1518" s="29" t="s">
        <v>1622</v>
      </c>
      <c r="B1518" s="28" t="s">
        <v>58</v>
      </c>
      <c r="C1518" t="s">
        <v>50</v>
      </c>
    </row>
    <row r="1519" spans="1:3" x14ac:dyDescent="0.25">
      <c r="A1519" s="29" t="s">
        <v>1623</v>
      </c>
      <c r="B1519" s="28" t="s">
        <v>58</v>
      </c>
      <c r="C1519" t="s">
        <v>50</v>
      </c>
    </row>
    <row r="1520" spans="1:3" x14ac:dyDescent="0.25">
      <c r="A1520" s="29" t="s">
        <v>1624</v>
      </c>
      <c r="B1520" s="28" t="s">
        <v>58</v>
      </c>
      <c r="C1520" t="s">
        <v>50</v>
      </c>
    </row>
    <row r="1521" spans="1:3" x14ac:dyDescent="0.25">
      <c r="A1521" s="29" t="s">
        <v>1625</v>
      </c>
      <c r="B1521" s="28" t="s">
        <v>58</v>
      </c>
      <c r="C1521" t="s">
        <v>49</v>
      </c>
    </row>
    <row r="1522" spans="1:3" x14ac:dyDescent="0.25">
      <c r="A1522" s="29" t="s">
        <v>1626</v>
      </c>
      <c r="B1522" s="28" t="s">
        <v>58</v>
      </c>
      <c r="C1522" t="s">
        <v>50</v>
      </c>
    </row>
    <row r="1523" spans="1:3" x14ac:dyDescent="0.25">
      <c r="A1523" s="29" t="s">
        <v>1627</v>
      </c>
      <c r="B1523" s="28" t="s">
        <v>58</v>
      </c>
      <c r="C1523" t="s">
        <v>50</v>
      </c>
    </row>
    <row r="1524" spans="1:3" x14ac:dyDescent="0.25">
      <c r="A1524" s="29" t="s">
        <v>1628</v>
      </c>
      <c r="B1524" s="28" t="s">
        <v>58</v>
      </c>
      <c r="C1524" t="s">
        <v>50</v>
      </c>
    </row>
    <row r="1525" spans="1:3" x14ac:dyDescent="0.25">
      <c r="A1525" s="29" t="s">
        <v>1629</v>
      </c>
      <c r="B1525" s="28" t="s">
        <v>55</v>
      </c>
      <c r="C1525" t="s">
        <v>50</v>
      </c>
    </row>
    <row r="1526" spans="1:3" x14ac:dyDescent="0.25">
      <c r="A1526" s="29" t="s">
        <v>1630</v>
      </c>
      <c r="B1526" s="28" t="s">
        <v>58</v>
      </c>
      <c r="C1526" t="s">
        <v>50</v>
      </c>
    </row>
    <row r="1527" spans="1:3" x14ac:dyDescent="0.25">
      <c r="A1527" s="29" t="s">
        <v>1631</v>
      </c>
      <c r="B1527" s="28" t="s">
        <v>58</v>
      </c>
      <c r="C1527" t="s">
        <v>50</v>
      </c>
    </row>
    <row r="1528" spans="1:3" x14ac:dyDescent="0.25">
      <c r="A1528" s="29" t="s">
        <v>1632</v>
      </c>
      <c r="B1528" s="28" t="s">
        <v>58</v>
      </c>
      <c r="C1528" t="s">
        <v>50</v>
      </c>
    </row>
    <row r="1529" spans="1:3" x14ac:dyDescent="0.25">
      <c r="A1529" s="29" t="s">
        <v>1633</v>
      </c>
      <c r="B1529" s="28" t="s">
        <v>58</v>
      </c>
      <c r="C1529" t="s">
        <v>50</v>
      </c>
    </row>
    <row r="1530" spans="1:3" x14ac:dyDescent="0.25">
      <c r="A1530" s="29" t="s">
        <v>1634</v>
      </c>
      <c r="B1530" s="28" t="s">
        <v>58</v>
      </c>
      <c r="C1530" t="s">
        <v>50</v>
      </c>
    </row>
    <row r="1531" spans="1:3" x14ac:dyDescent="0.25">
      <c r="A1531" s="29" t="s">
        <v>1635</v>
      </c>
      <c r="B1531" s="28" t="s">
        <v>58</v>
      </c>
      <c r="C1531" t="s">
        <v>50</v>
      </c>
    </row>
    <row r="1532" spans="1:3" x14ac:dyDescent="0.25">
      <c r="A1532" s="29" t="s">
        <v>1636</v>
      </c>
      <c r="B1532" s="28" t="s">
        <v>58</v>
      </c>
      <c r="C1532" t="s">
        <v>50</v>
      </c>
    </row>
    <row r="1533" spans="1:3" x14ac:dyDescent="0.25">
      <c r="A1533" s="29" t="s">
        <v>1637</v>
      </c>
      <c r="B1533" s="28" t="s">
        <v>57</v>
      </c>
      <c r="C1533" t="s">
        <v>52</v>
      </c>
    </row>
    <row r="1534" spans="1:3" x14ac:dyDescent="0.25">
      <c r="A1534" s="29" t="s">
        <v>1638</v>
      </c>
      <c r="B1534" s="28" t="s">
        <v>57</v>
      </c>
      <c r="C1534" t="s">
        <v>52</v>
      </c>
    </row>
    <row r="1535" spans="1:3" x14ac:dyDescent="0.25">
      <c r="A1535" s="29" t="s">
        <v>1639</v>
      </c>
      <c r="B1535" s="28" t="s">
        <v>57</v>
      </c>
      <c r="C1535" t="s">
        <v>52</v>
      </c>
    </row>
    <row r="1536" spans="1:3" x14ac:dyDescent="0.25">
      <c r="A1536" s="29" t="s">
        <v>1640</v>
      </c>
      <c r="B1536" s="28" t="s">
        <v>58</v>
      </c>
      <c r="C1536" t="s">
        <v>52</v>
      </c>
    </row>
    <row r="1537" spans="1:3" x14ac:dyDescent="0.25">
      <c r="A1537" s="29" t="s">
        <v>1641</v>
      </c>
      <c r="B1537" s="28" t="s">
        <v>57</v>
      </c>
      <c r="C1537" t="s">
        <v>52</v>
      </c>
    </row>
    <row r="1538" spans="1:3" x14ac:dyDescent="0.25">
      <c r="A1538" s="29" t="s">
        <v>1642</v>
      </c>
      <c r="B1538" s="28" t="s">
        <v>56</v>
      </c>
      <c r="C1538" t="s">
        <v>52</v>
      </c>
    </row>
    <row r="1539" spans="1:3" x14ac:dyDescent="0.25">
      <c r="A1539" s="29" t="s">
        <v>1643</v>
      </c>
      <c r="B1539" s="28" t="s">
        <v>58</v>
      </c>
      <c r="C1539" t="s">
        <v>52</v>
      </c>
    </row>
    <row r="1540" spans="1:3" x14ac:dyDescent="0.25">
      <c r="A1540" s="29" t="s">
        <v>1644</v>
      </c>
      <c r="B1540" s="28" t="s">
        <v>55</v>
      </c>
      <c r="C1540" t="s">
        <v>52</v>
      </c>
    </row>
    <row r="1541" spans="1:3" x14ac:dyDescent="0.25">
      <c r="A1541" s="29" t="s">
        <v>1645</v>
      </c>
      <c r="B1541" s="28" t="s">
        <v>56</v>
      </c>
      <c r="C1541" t="s">
        <v>50</v>
      </c>
    </row>
    <row r="1542" spans="1:3" x14ac:dyDescent="0.25">
      <c r="A1542" s="29" t="s">
        <v>1646</v>
      </c>
      <c r="B1542" s="28" t="s">
        <v>58</v>
      </c>
      <c r="C1542" t="s">
        <v>50</v>
      </c>
    </row>
    <row r="1543" spans="1:3" x14ac:dyDescent="0.25">
      <c r="A1543" s="29" t="s">
        <v>1647</v>
      </c>
      <c r="B1543" s="28" t="s">
        <v>58</v>
      </c>
      <c r="C1543" t="s">
        <v>50</v>
      </c>
    </row>
    <row r="1544" spans="1:3" x14ac:dyDescent="0.25">
      <c r="A1544" s="29" t="s">
        <v>1648</v>
      </c>
      <c r="B1544" s="28" t="s">
        <v>56</v>
      </c>
      <c r="C1544" t="s">
        <v>51</v>
      </c>
    </row>
    <row r="1545" spans="1:3" x14ac:dyDescent="0.25">
      <c r="A1545" s="29" t="s">
        <v>1649</v>
      </c>
      <c r="B1545" s="28" t="s">
        <v>57</v>
      </c>
      <c r="C1545" t="s">
        <v>51</v>
      </c>
    </row>
    <row r="1546" spans="1:3" x14ac:dyDescent="0.25">
      <c r="A1546" s="29" t="s">
        <v>1650</v>
      </c>
      <c r="B1546" s="28" t="s">
        <v>57</v>
      </c>
      <c r="C1546" t="s">
        <v>51</v>
      </c>
    </row>
    <row r="1547" spans="1:3" x14ac:dyDescent="0.25">
      <c r="A1547" s="29" t="s">
        <v>1651</v>
      </c>
      <c r="B1547" s="28" t="s">
        <v>57</v>
      </c>
      <c r="C1547" t="s">
        <v>51</v>
      </c>
    </row>
    <row r="1548" spans="1:3" x14ac:dyDescent="0.25">
      <c r="A1548" s="29" t="s">
        <v>1652</v>
      </c>
      <c r="B1548" s="28" t="s">
        <v>58</v>
      </c>
      <c r="C1548" t="s">
        <v>51</v>
      </c>
    </row>
    <row r="1549" spans="1:3" x14ac:dyDescent="0.25">
      <c r="A1549" s="29" t="s">
        <v>1653</v>
      </c>
      <c r="B1549" s="28" t="s">
        <v>57</v>
      </c>
      <c r="C1549" t="s">
        <v>51</v>
      </c>
    </row>
    <row r="1550" spans="1:3" x14ac:dyDescent="0.25">
      <c r="A1550" s="29" t="s">
        <v>1654</v>
      </c>
      <c r="B1550" s="28" t="s">
        <v>57</v>
      </c>
      <c r="C1550" t="s">
        <v>51</v>
      </c>
    </row>
    <row r="1551" spans="1:3" x14ac:dyDescent="0.25">
      <c r="A1551" s="29" t="s">
        <v>1655</v>
      </c>
      <c r="B1551" s="28" t="s">
        <v>56</v>
      </c>
      <c r="C1551" t="s">
        <v>50</v>
      </c>
    </row>
    <row r="1552" spans="1:3" x14ac:dyDescent="0.25">
      <c r="A1552" s="29" t="s">
        <v>1656</v>
      </c>
      <c r="B1552" s="28" t="s">
        <v>58</v>
      </c>
      <c r="C1552" t="s">
        <v>50</v>
      </c>
    </row>
    <row r="1553" spans="1:3" x14ac:dyDescent="0.25">
      <c r="A1553" s="29" t="s">
        <v>1657</v>
      </c>
      <c r="B1553" s="28" t="s">
        <v>56</v>
      </c>
      <c r="C1553" t="s">
        <v>51</v>
      </c>
    </row>
    <row r="1554" spans="1:3" x14ac:dyDescent="0.25">
      <c r="A1554" s="29" t="s">
        <v>1658</v>
      </c>
      <c r="B1554" s="28" t="s">
        <v>56</v>
      </c>
      <c r="C1554" t="s">
        <v>51</v>
      </c>
    </row>
    <row r="1555" spans="1:3" x14ac:dyDescent="0.25">
      <c r="A1555" s="29" t="s">
        <v>1659</v>
      </c>
      <c r="B1555" s="28" t="s">
        <v>57</v>
      </c>
      <c r="C1555" t="s">
        <v>51</v>
      </c>
    </row>
    <row r="1556" spans="1:3" x14ac:dyDescent="0.25">
      <c r="A1556" s="29" t="s">
        <v>1660</v>
      </c>
      <c r="B1556" s="28" t="s">
        <v>56</v>
      </c>
      <c r="C1556" t="s">
        <v>51</v>
      </c>
    </row>
    <row r="1557" spans="1:3" x14ac:dyDescent="0.25">
      <c r="A1557" s="29" t="s">
        <v>1661</v>
      </c>
      <c r="B1557" s="28" t="s">
        <v>56</v>
      </c>
      <c r="C1557" t="s">
        <v>50</v>
      </c>
    </row>
    <row r="1558" spans="1:3" x14ac:dyDescent="0.25">
      <c r="A1558" s="29" t="s">
        <v>1662</v>
      </c>
      <c r="B1558" s="28" t="s">
        <v>56</v>
      </c>
      <c r="C1558" t="s">
        <v>51</v>
      </c>
    </row>
    <row r="1559" spans="1:3" x14ac:dyDescent="0.25">
      <c r="A1559" s="29" t="s">
        <v>1663</v>
      </c>
      <c r="B1559" s="28" t="s">
        <v>58</v>
      </c>
      <c r="C1559" t="s">
        <v>49</v>
      </c>
    </row>
    <row r="1560" spans="1:3" x14ac:dyDescent="0.25">
      <c r="A1560" s="29" t="s">
        <v>1664</v>
      </c>
      <c r="B1560" s="28" t="s">
        <v>58</v>
      </c>
      <c r="C1560" t="s">
        <v>49</v>
      </c>
    </row>
    <row r="1561" spans="1:3" x14ac:dyDescent="0.25">
      <c r="A1561" s="29" t="s">
        <v>1665</v>
      </c>
      <c r="B1561" s="28" t="s">
        <v>58</v>
      </c>
      <c r="C1561" t="s">
        <v>48</v>
      </c>
    </row>
    <row r="1562" spans="1:3" x14ac:dyDescent="0.25">
      <c r="A1562" s="29" t="s">
        <v>1666</v>
      </c>
      <c r="B1562" s="28" t="s">
        <v>57</v>
      </c>
      <c r="C1562" t="s">
        <v>50</v>
      </c>
    </row>
    <row r="1563" spans="1:3" x14ac:dyDescent="0.25">
      <c r="A1563" s="29" t="s">
        <v>1667</v>
      </c>
      <c r="B1563" s="28" t="s">
        <v>57</v>
      </c>
      <c r="C1563" t="s">
        <v>50</v>
      </c>
    </row>
    <row r="1564" spans="1:3" x14ac:dyDescent="0.25">
      <c r="A1564" s="29" t="s">
        <v>1668</v>
      </c>
      <c r="B1564" s="28" t="s">
        <v>56</v>
      </c>
      <c r="C1564" t="s">
        <v>48</v>
      </c>
    </row>
    <row r="1565" spans="1:3" x14ac:dyDescent="0.25">
      <c r="A1565" s="29" t="s">
        <v>1669</v>
      </c>
      <c r="B1565" s="28" t="s">
        <v>58</v>
      </c>
      <c r="C1565" t="s">
        <v>48</v>
      </c>
    </row>
    <row r="1566" spans="1:3" x14ac:dyDescent="0.25">
      <c r="A1566" s="29" t="s">
        <v>1670</v>
      </c>
      <c r="B1566" s="28" t="s">
        <v>58</v>
      </c>
      <c r="C1566" t="s">
        <v>50</v>
      </c>
    </row>
    <row r="1567" spans="1:3" x14ac:dyDescent="0.25">
      <c r="A1567" s="29" t="s">
        <v>1671</v>
      </c>
      <c r="B1567" s="28" t="s">
        <v>57</v>
      </c>
      <c r="C1567" t="s">
        <v>50</v>
      </c>
    </row>
    <row r="1568" spans="1:3" x14ac:dyDescent="0.25">
      <c r="A1568" s="29" t="s">
        <v>1672</v>
      </c>
      <c r="B1568" s="28" t="s">
        <v>58</v>
      </c>
      <c r="C1568" t="s">
        <v>50</v>
      </c>
    </row>
    <row r="1569" spans="1:3" x14ac:dyDescent="0.25">
      <c r="A1569" s="29" t="s">
        <v>1673</v>
      </c>
      <c r="B1569" s="28" t="s">
        <v>58</v>
      </c>
      <c r="C1569" t="s">
        <v>50</v>
      </c>
    </row>
    <row r="1570" spans="1:3" x14ac:dyDescent="0.25">
      <c r="A1570" s="29" t="s">
        <v>1674</v>
      </c>
      <c r="B1570" s="28" t="s">
        <v>58</v>
      </c>
      <c r="C1570" t="s">
        <v>50</v>
      </c>
    </row>
    <row r="1571" spans="1:3" x14ac:dyDescent="0.25">
      <c r="A1571" s="29" t="s">
        <v>1675</v>
      </c>
      <c r="B1571" s="28" t="s">
        <v>58</v>
      </c>
      <c r="C1571" t="s">
        <v>50</v>
      </c>
    </row>
    <row r="1572" spans="1:3" x14ac:dyDescent="0.25">
      <c r="A1572" s="29" t="s">
        <v>1676</v>
      </c>
      <c r="B1572" s="28" t="s">
        <v>58</v>
      </c>
      <c r="C1572" t="s">
        <v>50</v>
      </c>
    </row>
    <row r="1573" spans="1:3" x14ac:dyDescent="0.25">
      <c r="A1573" s="29" t="s">
        <v>1677</v>
      </c>
      <c r="B1573" s="28" t="s">
        <v>58</v>
      </c>
      <c r="C1573" t="s">
        <v>50</v>
      </c>
    </row>
    <row r="1574" spans="1:3" x14ac:dyDescent="0.25">
      <c r="A1574" s="29" t="s">
        <v>1678</v>
      </c>
      <c r="B1574" s="28" t="s">
        <v>58</v>
      </c>
      <c r="C1574" t="s">
        <v>51</v>
      </c>
    </row>
    <row r="1575" spans="1:3" x14ac:dyDescent="0.25">
      <c r="A1575" s="29" t="s">
        <v>1679</v>
      </c>
      <c r="B1575" s="28" t="s">
        <v>56</v>
      </c>
      <c r="C1575" t="s">
        <v>49</v>
      </c>
    </row>
    <row r="1576" spans="1:3" x14ac:dyDescent="0.25">
      <c r="A1576" s="29" t="s">
        <v>1680</v>
      </c>
      <c r="B1576" s="28" t="s">
        <v>58</v>
      </c>
      <c r="C1576" t="s">
        <v>51</v>
      </c>
    </row>
    <row r="1577" spans="1:3" x14ac:dyDescent="0.25">
      <c r="A1577" s="29" t="s">
        <v>1681</v>
      </c>
      <c r="B1577" s="28" t="s">
        <v>57</v>
      </c>
      <c r="C1577" t="s">
        <v>50</v>
      </c>
    </row>
    <row r="1578" spans="1:3" x14ac:dyDescent="0.25">
      <c r="A1578" s="29" t="s">
        <v>1682</v>
      </c>
      <c r="B1578" s="28" t="s">
        <v>58</v>
      </c>
      <c r="C1578" t="s">
        <v>50</v>
      </c>
    </row>
    <row r="1579" spans="1:3" x14ac:dyDescent="0.25">
      <c r="A1579" s="29" t="s">
        <v>1683</v>
      </c>
      <c r="B1579" s="28" t="s">
        <v>56</v>
      </c>
      <c r="C1579" t="s">
        <v>48</v>
      </c>
    </row>
    <row r="1580" spans="1:3" x14ac:dyDescent="0.25">
      <c r="A1580" s="29" t="s">
        <v>1684</v>
      </c>
      <c r="B1580" s="28" t="s">
        <v>57</v>
      </c>
      <c r="C1580" t="s">
        <v>50</v>
      </c>
    </row>
    <row r="1581" spans="1:3" x14ac:dyDescent="0.25">
      <c r="A1581" s="29" t="s">
        <v>1685</v>
      </c>
      <c r="B1581" s="28" t="s">
        <v>58</v>
      </c>
      <c r="C1581" t="s">
        <v>50</v>
      </c>
    </row>
    <row r="1582" spans="1:3" x14ac:dyDescent="0.25">
      <c r="A1582" s="29" t="s">
        <v>11</v>
      </c>
      <c r="B1582" s="28" t="s">
        <v>55</v>
      </c>
      <c r="C1582" t="s">
        <v>51</v>
      </c>
    </row>
    <row r="1583" spans="1:3" x14ac:dyDescent="0.25">
      <c r="A1583" s="29" t="s">
        <v>1686</v>
      </c>
      <c r="B1583" s="28" t="s">
        <v>57</v>
      </c>
      <c r="C1583" t="s">
        <v>51</v>
      </c>
    </row>
    <row r="1584" spans="1:3" x14ac:dyDescent="0.25">
      <c r="A1584" s="29" t="s">
        <v>1687</v>
      </c>
      <c r="B1584" s="28" t="s">
        <v>58</v>
      </c>
      <c r="C1584" t="s">
        <v>49</v>
      </c>
    </row>
    <row r="1585" spans="1:3" x14ac:dyDescent="0.25">
      <c r="A1585" s="29" t="s">
        <v>1688</v>
      </c>
      <c r="B1585" s="28" t="s">
        <v>58</v>
      </c>
      <c r="C1585" t="s">
        <v>49</v>
      </c>
    </row>
    <row r="1586" spans="1:3" x14ac:dyDescent="0.25">
      <c r="A1586" s="29" t="s">
        <v>1689</v>
      </c>
      <c r="B1586" s="28" t="s">
        <v>58</v>
      </c>
      <c r="C1586" t="s">
        <v>49</v>
      </c>
    </row>
    <row r="1587" spans="1:3" x14ac:dyDescent="0.25">
      <c r="A1587" s="29" t="s">
        <v>1690</v>
      </c>
      <c r="B1587" s="28" t="s">
        <v>58</v>
      </c>
      <c r="C1587" t="s">
        <v>49</v>
      </c>
    </row>
    <row r="1588" spans="1:3" x14ac:dyDescent="0.25">
      <c r="A1588" s="29" t="s">
        <v>1691</v>
      </c>
      <c r="B1588" s="28" t="s">
        <v>58</v>
      </c>
      <c r="C1588" t="s">
        <v>51</v>
      </c>
    </row>
    <row r="1589" spans="1:3" x14ac:dyDescent="0.25">
      <c r="A1589" s="29" t="s">
        <v>1692</v>
      </c>
      <c r="B1589" s="28" t="s">
        <v>58</v>
      </c>
      <c r="C1589" t="s">
        <v>50</v>
      </c>
    </row>
    <row r="1590" spans="1:3" x14ac:dyDescent="0.25">
      <c r="A1590" s="29" t="s">
        <v>1693</v>
      </c>
      <c r="B1590" s="28" t="s">
        <v>58</v>
      </c>
      <c r="C1590" t="s">
        <v>49</v>
      </c>
    </row>
    <row r="1591" spans="1:3" x14ac:dyDescent="0.25">
      <c r="A1591" s="29" t="s">
        <v>1694</v>
      </c>
      <c r="B1591" s="28" t="s">
        <v>58</v>
      </c>
      <c r="C1591" t="s">
        <v>49</v>
      </c>
    </row>
    <row r="1592" spans="1:3" x14ac:dyDescent="0.25">
      <c r="A1592" s="29" t="s">
        <v>1695</v>
      </c>
      <c r="B1592" s="28" t="s">
        <v>58</v>
      </c>
      <c r="C1592" t="s">
        <v>49</v>
      </c>
    </row>
    <row r="1593" spans="1:3" x14ac:dyDescent="0.25">
      <c r="A1593" s="29" t="s">
        <v>1696</v>
      </c>
      <c r="B1593" s="28" t="s">
        <v>58</v>
      </c>
      <c r="C1593" t="s">
        <v>49</v>
      </c>
    </row>
    <row r="1594" spans="1:3" x14ac:dyDescent="0.25">
      <c r="A1594" s="29" t="s">
        <v>1697</v>
      </c>
      <c r="B1594" s="28" t="s">
        <v>58</v>
      </c>
      <c r="C1594" t="s">
        <v>51</v>
      </c>
    </row>
    <row r="1595" spans="1:3" x14ac:dyDescent="0.25">
      <c r="A1595" s="29" t="s">
        <v>1698</v>
      </c>
      <c r="B1595" s="28" t="s">
        <v>58</v>
      </c>
      <c r="C1595" t="s">
        <v>51</v>
      </c>
    </row>
    <row r="1596" spans="1:3" x14ac:dyDescent="0.25">
      <c r="A1596" s="29" t="s">
        <v>1699</v>
      </c>
      <c r="B1596" s="28" t="s">
        <v>58</v>
      </c>
      <c r="C1596" t="s">
        <v>51</v>
      </c>
    </row>
    <row r="1597" spans="1:3" x14ac:dyDescent="0.25">
      <c r="A1597" s="29" t="s">
        <v>1700</v>
      </c>
      <c r="B1597" s="28" t="s">
        <v>59</v>
      </c>
      <c r="C1597" t="s">
        <v>51</v>
      </c>
    </row>
    <row r="1598" spans="1:3" x14ac:dyDescent="0.25">
      <c r="A1598" s="29" t="s">
        <v>1702</v>
      </c>
      <c r="B1598" s="28" t="s">
        <v>58</v>
      </c>
      <c r="C1598" t="s">
        <v>49</v>
      </c>
    </row>
    <row r="1599" spans="1:3" x14ac:dyDescent="0.25">
      <c r="A1599" s="29" t="s">
        <v>1703</v>
      </c>
      <c r="B1599" s="28" t="s">
        <v>58</v>
      </c>
      <c r="C1599" t="s">
        <v>49</v>
      </c>
    </row>
    <row r="1600" spans="1:3" x14ac:dyDescent="0.25">
      <c r="A1600" s="29" t="s">
        <v>1704</v>
      </c>
      <c r="B1600" s="28" t="s">
        <v>58</v>
      </c>
      <c r="C1600" t="s">
        <v>49</v>
      </c>
    </row>
    <row r="1601" spans="1:3" x14ac:dyDescent="0.25">
      <c r="A1601" s="29" t="s">
        <v>1705</v>
      </c>
      <c r="B1601" s="28" t="s">
        <v>58</v>
      </c>
      <c r="C1601" t="s">
        <v>49</v>
      </c>
    </row>
    <row r="1602" spans="1:3" x14ac:dyDescent="0.25">
      <c r="A1602" s="29" t="s">
        <v>1706</v>
      </c>
      <c r="B1602" s="28" t="s">
        <v>59</v>
      </c>
      <c r="C1602" t="s">
        <v>49</v>
      </c>
    </row>
    <row r="1603" spans="1:3" x14ac:dyDescent="0.25">
      <c r="A1603" s="29" t="s">
        <v>1707</v>
      </c>
      <c r="B1603" s="28" t="s">
        <v>58</v>
      </c>
      <c r="C1603" t="s">
        <v>49</v>
      </c>
    </row>
    <row r="1604" spans="1:3" x14ac:dyDescent="0.25">
      <c r="A1604" s="29" t="s">
        <v>1708</v>
      </c>
      <c r="B1604" s="28" t="s">
        <v>58</v>
      </c>
      <c r="C1604" t="s">
        <v>49</v>
      </c>
    </row>
    <row r="1605" spans="1:3" x14ac:dyDescent="0.25">
      <c r="A1605" s="29" t="s">
        <v>1709</v>
      </c>
      <c r="B1605" s="28" t="s">
        <v>58</v>
      </c>
      <c r="C1605" t="s">
        <v>49</v>
      </c>
    </row>
    <row r="1606" spans="1:3" x14ac:dyDescent="0.25">
      <c r="A1606" s="29" t="s">
        <v>1710</v>
      </c>
      <c r="B1606" s="28" t="s">
        <v>58</v>
      </c>
      <c r="C1606" t="s">
        <v>49</v>
      </c>
    </row>
    <row r="1607" spans="1:3" x14ac:dyDescent="0.25">
      <c r="A1607" s="29" t="s">
        <v>1711</v>
      </c>
      <c r="B1607" s="28" t="s">
        <v>58</v>
      </c>
      <c r="C1607" t="s">
        <v>49</v>
      </c>
    </row>
    <row r="1608" spans="1:3" x14ac:dyDescent="0.25">
      <c r="A1608" s="29" t="s">
        <v>1712</v>
      </c>
      <c r="B1608" s="28" t="s">
        <v>58</v>
      </c>
      <c r="C1608" t="s">
        <v>49</v>
      </c>
    </row>
    <row r="1609" spans="1:3" x14ac:dyDescent="0.25">
      <c r="A1609" s="29" t="s">
        <v>1713</v>
      </c>
      <c r="B1609" s="28" t="s">
        <v>58</v>
      </c>
      <c r="C1609" t="s">
        <v>49</v>
      </c>
    </row>
    <row r="1610" spans="1:3" x14ac:dyDescent="0.25">
      <c r="A1610" s="29" t="s">
        <v>1714</v>
      </c>
      <c r="B1610" s="28" t="s">
        <v>58</v>
      </c>
      <c r="C1610" t="s">
        <v>49</v>
      </c>
    </row>
    <row r="1611" spans="1:3" x14ac:dyDescent="0.25">
      <c r="A1611" s="29" t="s">
        <v>1716</v>
      </c>
      <c r="B1611" s="28" t="s">
        <v>58</v>
      </c>
      <c r="C1611" t="s">
        <v>49</v>
      </c>
    </row>
    <row r="1612" spans="1:3" x14ac:dyDescent="0.25">
      <c r="A1612" s="29" t="s">
        <v>1717</v>
      </c>
      <c r="B1612" s="28" t="s">
        <v>58</v>
      </c>
      <c r="C1612" t="s">
        <v>49</v>
      </c>
    </row>
    <row r="1613" spans="1:3" x14ac:dyDescent="0.25">
      <c r="A1613" s="29" t="s">
        <v>1718</v>
      </c>
      <c r="B1613" s="28" t="s">
        <v>58</v>
      </c>
      <c r="C1613" t="s">
        <v>49</v>
      </c>
    </row>
    <row r="1614" spans="1:3" x14ac:dyDescent="0.25">
      <c r="A1614" s="29" t="s">
        <v>1719</v>
      </c>
      <c r="B1614" s="28" t="s">
        <v>58</v>
      </c>
      <c r="C1614" t="s">
        <v>49</v>
      </c>
    </row>
    <row r="1615" spans="1:3" x14ac:dyDescent="0.25">
      <c r="A1615" s="29" t="s">
        <v>1721</v>
      </c>
      <c r="B1615" s="28" t="s">
        <v>58</v>
      </c>
      <c r="C1615" t="s">
        <v>49</v>
      </c>
    </row>
    <row r="1616" spans="1:3" x14ac:dyDescent="0.25">
      <c r="A1616" s="29" t="s">
        <v>1722</v>
      </c>
      <c r="B1616" s="28" t="s">
        <v>58</v>
      </c>
      <c r="C1616" t="s">
        <v>49</v>
      </c>
    </row>
    <row r="1617" spans="1:3" x14ac:dyDescent="0.25">
      <c r="A1617" s="29" t="s">
        <v>1723</v>
      </c>
      <c r="B1617" s="28" t="s">
        <v>58</v>
      </c>
      <c r="C1617" t="s">
        <v>49</v>
      </c>
    </row>
    <row r="1618" spans="1:3" x14ac:dyDescent="0.25">
      <c r="A1618" s="29" t="s">
        <v>1724</v>
      </c>
      <c r="B1618" s="28" t="s">
        <v>58</v>
      </c>
      <c r="C1618" t="s">
        <v>49</v>
      </c>
    </row>
    <row r="1619" spans="1:3" x14ac:dyDescent="0.25">
      <c r="A1619" s="29" t="s">
        <v>1725</v>
      </c>
      <c r="B1619" s="28" t="s">
        <v>58</v>
      </c>
      <c r="C1619" t="s">
        <v>49</v>
      </c>
    </row>
    <row r="1620" spans="1:3" x14ac:dyDescent="0.25">
      <c r="A1620" s="29" t="s">
        <v>1726</v>
      </c>
      <c r="B1620" s="28" t="s">
        <v>58</v>
      </c>
      <c r="C1620" t="s">
        <v>49</v>
      </c>
    </row>
    <row r="1621" spans="1:3" x14ac:dyDescent="0.25">
      <c r="A1621" s="29" t="s">
        <v>1727</v>
      </c>
      <c r="B1621" s="28" t="s">
        <v>58</v>
      </c>
      <c r="C1621" t="s">
        <v>49</v>
      </c>
    </row>
    <row r="1622" spans="1:3" x14ac:dyDescent="0.25">
      <c r="A1622" s="29" t="s">
        <v>1728</v>
      </c>
      <c r="B1622" s="28" t="s">
        <v>58</v>
      </c>
      <c r="C1622" t="s">
        <v>49</v>
      </c>
    </row>
    <row r="1623" spans="1:3" x14ac:dyDescent="0.25">
      <c r="A1623" s="29" t="s">
        <v>1729</v>
      </c>
      <c r="B1623" s="28" t="s">
        <v>58</v>
      </c>
      <c r="C1623" t="s">
        <v>49</v>
      </c>
    </row>
    <row r="1624" spans="1:3" x14ac:dyDescent="0.25">
      <c r="A1624" s="29" t="s">
        <v>1730</v>
      </c>
      <c r="B1624" s="28" t="s">
        <v>58</v>
      </c>
      <c r="C1624" t="s">
        <v>49</v>
      </c>
    </row>
    <row r="1625" spans="1:3" x14ac:dyDescent="0.25">
      <c r="A1625" s="29" t="s">
        <v>1731</v>
      </c>
      <c r="B1625" s="28" t="s">
        <v>58</v>
      </c>
      <c r="C1625" t="s">
        <v>49</v>
      </c>
    </row>
    <row r="1626" spans="1:3" x14ac:dyDescent="0.25">
      <c r="A1626" s="29" t="s">
        <v>1732</v>
      </c>
      <c r="B1626" s="28" t="s">
        <v>58</v>
      </c>
      <c r="C1626" t="s">
        <v>49</v>
      </c>
    </row>
    <row r="1627" spans="1:3" x14ac:dyDescent="0.25">
      <c r="A1627" s="29" t="s">
        <v>1733</v>
      </c>
      <c r="B1627" s="28" t="s">
        <v>58</v>
      </c>
      <c r="C1627" t="s">
        <v>49</v>
      </c>
    </row>
    <row r="1628" spans="1:3" x14ac:dyDescent="0.25">
      <c r="A1628" s="29" t="s">
        <v>1734</v>
      </c>
      <c r="B1628" s="28" t="s">
        <v>58</v>
      </c>
      <c r="C1628" t="s">
        <v>49</v>
      </c>
    </row>
    <row r="1629" spans="1:3" x14ac:dyDescent="0.25">
      <c r="A1629" s="29" t="s">
        <v>1735</v>
      </c>
      <c r="B1629" s="28" t="s">
        <v>58</v>
      </c>
      <c r="C1629" t="s">
        <v>49</v>
      </c>
    </row>
    <row r="1630" spans="1:3" x14ac:dyDescent="0.25">
      <c r="A1630" s="29" t="s">
        <v>1736</v>
      </c>
      <c r="B1630" s="28" t="s">
        <v>58</v>
      </c>
      <c r="C1630" t="s">
        <v>49</v>
      </c>
    </row>
    <row r="1631" spans="1:3" x14ac:dyDescent="0.25">
      <c r="A1631" s="29" t="s">
        <v>1737</v>
      </c>
      <c r="B1631" s="28" t="s">
        <v>58</v>
      </c>
      <c r="C1631" t="s">
        <v>49</v>
      </c>
    </row>
    <row r="1632" spans="1:3" x14ac:dyDescent="0.25">
      <c r="A1632" s="29" t="s">
        <v>1738</v>
      </c>
      <c r="B1632" s="28" t="s">
        <v>58</v>
      </c>
      <c r="C1632" t="s">
        <v>49</v>
      </c>
    </row>
    <row r="1633" spans="1:3" x14ac:dyDescent="0.25">
      <c r="A1633" s="29" t="s">
        <v>1739</v>
      </c>
      <c r="B1633" s="28" t="s">
        <v>58</v>
      </c>
      <c r="C1633" t="s">
        <v>49</v>
      </c>
    </row>
    <row r="1634" spans="1:3" x14ac:dyDescent="0.25">
      <c r="A1634" s="29" t="s">
        <v>1740</v>
      </c>
      <c r="B1634" s="28" t="s">
        <v>58</v>
      </c>
      <c r="C1634" t="s">
        <v>49</v>
      </c>
    </row>
    <row r="1635" spans="1:3" x14ac:dyDescent="0.25">
      <c r="A1635" s="29" t="s">
        <v>1741</v>
      </c>
      <c r="B1635" s="28" t="s">
        <v>58</v>
      </c>
      <c r="C1635" t="s">
        <v>49</v>
      </c>
    </row>
    <row r="1636" spans="1:3" x14ac:dyDescent="0.25">
      <c r="A1636" s="29" t="s">
        <v>1742</v>
      </c>
      <c r="B1636" s="28" t="s">
        <v>58</v>
      </c>
      <c r="C1636" t="s">
        <v>49</v>
      </c>
    </row>
    <row r="1637" spans="1:3" x14ac:dyDescent="0.25">
      <c r="A1637" s="29" t="s">
        <v>1743</v>
      </c>
      <c r="B1637" s="28" t="s">
        <v>58</v>
      </c>
      <c r="C1637" t="s">
        <v>49</v>
      </c>
    </row>
    <row r="1638" spans="1:3" x14ac:dyDescent="0.25">
      <c r="A1638" s="29" t="s">
        <v>1744</v>
      </c>
      <c r="B1638" s="28" t="s">
        <v>58</v>
      </c>
      <c r="C1638" t="s">
        <v>49</v>
      </c>
    </row>
    <row r="1639" spans="1:3" x14ac:dyDescent="0.25">
      <c r="A1639" s="29" t="s">
        <v>1745</v>
      </c>
      <c r="B1639" s="28" t="s">
        <v>58</v>
      </c>
      <c r="C1639" t="s">
        <v>49</v>
      </c>
    </row>
    <row r="1640" spans="1:3" x14ac:dyDescent="0.25">
      <c r="A1640" s="29" t="s">
        <v>1746</v>
      </c>
      <c r="B1640" s="28" t="s">
        <v>58</v>
      </c>
      <c r="C1640" t="s">
        <v>49</v>
      </c>
    </row>
    <row r="1641" spans="1:3" x14ac:dyDescent="0.25">
      <c r="A1641" s="29" t="s">
        <v>1747</v>
      </c>
      <c r="B1641" s="28" t="s">
        <v>58</v>
      </c>
      <c r="C1641" t="s">
        <v>49</v>
      </c>
    </row>
    <row r="1642" spans="1:3" x14ac:dyDescent="0.25">
      <c r="A1642" s="29" t="s">
        <v>1748</v>
      </c>
      <c r="B1642" s="28" t="s">
        <v>58</v>
      </c>
      <c r="C1642" t="s">
        <v>49</v>
      </c>
    </row>
    <row r="1643" spans="1:3" x14ac:dyDescent="0.25">
      <c r="A1643" s="29" t="s">
        <v>1749</v>
      </c>
      <c r="B1643" s="28" t="s">
        <v>58</v>
      </c>
      <c r="C1643" t="s">
        <v>49</v>
      </c>
    </row>
    <row r="1644" spans="1:3" x14ac:dyDescent="0.25">
      <c r="A1644" s="29" t="s">
        <v>1750</v>
      </c>
      <c r="B1644" s="28" t="s">
        <v>58</v>
      </c>
      <c r="C1644" t="s">
        <v>49</v>
      </c>
    </row>
    <row r="1645" spans="1:3" x14ac:dyDescent="0.25">
      <c r="A1645" s="29" t="s">
        <v>1751</v>
      </c>
      <c r="B1645" s="28" t="s">
        <v>58</v>
      </c>
      <c r="C1645" t="s">
        <v>49</v>
      </c>
    </row>
    <row r="1646" spans="1:3" x14ac:dyDescent="0.25">
      <c r="A1646" s="29" t="s">
        <v>1752</v>
      </c>
      <c r="B1646" s="28" t="s">
        <v>58</v>
      </c>
      <c r="C1646" t="s">
        <v>49</v>
      </c>
    </row>
    <row r="1647" spans="1:3" x14ac:dyDescent="0.25">
      <c r="A1647" s="29" t="s">
        <v>1753</v>
      </c>
      <c r="B1647" s="28" t="s">
        <v>58</v>
      </c>
      <c r="C1647" t="s">
        <v>49</v>
      </c>
    </row>
    <row r="1648" spans="1:3" x14ac:dyDescent="0.25">
      <c r="A1648" s="29" t="s">
        <v>1754</v>
      </c>
      <c r="B1648" s="28" t="s">
        <v>58</v>
      </c>
      <c r="C1648" t="s">
        <v>49</v>
      </c>
    </row>
    <row r="1649" spans="1:3" x14ac:dyDescent="0.25">
      <c r="A1649" s="29" t="s">
        <v>1755</v>
      </c>
      <c r="B1649" s="28" t="s">
        <v>58</v>
      </c>
      <c r="C1649" t="s">
        <v>49</v>
      </c>
    </row>
    <row r="1650" spans="1:3" x14ac:dyDescent="0.25">
      <c r="A1650" s="29" t="s">
        <v>1756</v>
      </c>
      <c r="B1650" s="28" t="s">
        <v>58</v>
      </c>
      <c r="C1650" t="s">
        <v>49</v>
      </c>
    </row>
    <row r="1651" spans="1:3" x14ac:dyDescent="0.25">
      <c r="A1651" s="29" t="s">
        <v>1757</v>
      </c>
      <c r="B1651" s="28" t="s">
        <v>58</v>
      </c>
      <c r="C1651" t="s">
        <v>49</v>
      </c>
    </row>
    <row r="1652" spans="1:3" x14ac:dyDescent="0.25">
      <c r="A1652" s="29" t="s">
        <v>1758</v>
      </c>
      <c r="B1652" s="28" t="s">
        <v>58</v>
      </c>
      <c r="C1652" t="s">
        <v>49</v>
      </c>
    </row>
    <row r="1653" spans="1:3" x14ac:dyDescent="0.25">
      <c r="A1653" s="29" t="s">
        <v>1759</v>
      </c>
      <c r="B1653" s="28" t="s">
        <v>58</v>
      </c>
      <c r="C1653" t="s">
        <v>49</v>
      </c>
    </row>
    <row r="1654" spans="1:3" x14ac:dyDescent="0.25">
      <c r="A1654" s="29" t="s">
        <v>1760</v>
      </c>
      <c r="B1654" s="28" t="s">
        <v>58</v>
      </c>
      <c r="C1654" t="s">
        <v>49</v>
      </c>
    </row>
    <row r="1655" spans="1:3" x14ac:dyDescent="0.25">
      <c r="A1655" s="29" t="s">
        <v>1761</v>
      </c>
      <c r="B1655" s="28" t="s">
        <v>58</v>
      </c>
      <c r="C1655" t="s">
        <v>49</v>
      </c>
    </row>
    <row r="1656" spans="1:3" x14ac:dyDescent="0.25">
      <c r="A1656" s="29" t="s">
        <v>1762</v>
      </c>
      <c r="B1656" s="28" t="s">
        <v>58</v>
      </c>
      <c r="C1656" t="s">
        <v>49</v>
      </c>
    </row>
    <row r="1657" spans="1:3" x14ac:dyDescent="0.25">
      <c r="A1657" s="29" t="s">
        <v>1763</v>
      </c>
      <c r="B1657" s="28" t="s">
        <v>58</v>
      </c>
      <c r="C1657" t="s">
        <v>49</v>
      </c>
    </row>
    <row r="1658" spans="1:3" x14ac:dyDescent="0.25">
      <c r="A1658" s="29" t="s">
        <v>1764</v>
      </c>
      <c r="B1658" s="28" t="s">
        <v>58</v>
      </c>
      <c r="C1658" t="s">
        <v>49</v>
      </c>
    </row>
    <row r="1659" spans="1:3" x14ac:dyDescent="0.25">
      <c r="A1659" s="29" t="s">
        <v>1765</v>
      </c>
      <c r="B1659" s="28" t="s">
        <v>58</v>
      </c>
      <c r="C1659" t="s">
        <v>49</v>
      </c>
    </row>
    <row r="1660" spans="1:3" x14ac:dyDescent="0.25">
      <c r="A1660" s="29" t="s">
        <v>1766</v>
      </c>
      <c r="B1660" s="28" t="s">
        <v>58</v>
      </c>
      <c r="C1660" t="s">
        <v>49</v>
      </c>
    </row>
    <row r="1661" spans="1:3" x14ac:dyDescent="0.25">
      <c r="A1661" s="29" t="s">
        <v>1767</v>
      </c>
      <c r="B1661" s="28" t="s">
        <v>58</v>
      </c>
      <c r="C1661" t="s">
        <v>49</v>
      </c>
    </row>
    <row r="1662" spans="1:3" x14ac:dyDescent="0.25">
      <c r="A1662" s="29" t="s">
        <v>1768</v>
      </c>
      <c r="B1662" s="28" t="s">
        <v>58</v>
      </c>
      <c r="C1662" t="s">
        <v>49</v>
      </c>
    </row>
    <row r="1663" spans="1:3" x14ac:dyDescent="0.25">
      <c r="A1663" s="29" t="s">
        <v>1769</v>
      </c>
      <c r="B1663" s="28" t="s">
        <v>58</v>
      </c>
      <c r="C1663" t="s">
        <v>49</v>
      </c>
    </row>
    <row r="1664" spans="1:3" x14ac:dyDescent="0.25">
      <c r="A1664" s="29" t="s">
        <v>1770</v>
      </c>
      <c r="B1664" s="28" t="s">
        <v>58</v>
      </c>
      <c r="C1664" t="s">
        <v>49</v>
      </c>
    </row>
    <row r="1665" spans="1:3" x14ac:dyDescent="0.25">
      <c r="A1665" s="29" t="s">
        <v>1771</v>
      </c>
      <c r="B1665" s="28" t="s">
        <v>58</v>
      </c>
      <c r="C1665" t="s">
        <v>49</v>
      </c>
    </row>
    <row r="1666" spans="1:3" x14ac:dyDescent="0.25">
      <c r="A1666" s="29" t="s">
        <v>1772</v>
      </c>
      <c r="B1666" s="28" t="s">
        <v>58</v>
      </c>
      <c r="C1666" t="s">
        <v>49</v>
      </c>
    </row>
    <row r="1667" spans="1:3" x14ac:dyDescent="0.25">
      <c r="A1667" s="29" t="s">
        <v>1773</v>
      </c>
      <c r="B1667" s="28" t="s">
        <v>58</v>
      </c>
      <c r="C1667" t="s">
        <v>49</v>
      </c>
    </row>
    <row r="1668" spans="1:3" x14ac:dyDescent="0.25">
      <c r="A1668" s="29" t="s">
        <v>1774</v>
      </c>
      <c r="B1668" s="28" t="s">
        <v>58</v>
      </c>
      <c r="C1668" t="s">
        <v>49</v>
      </c>
    </row>
    <row r="1669" spans="1:3" x14ac:dyDescent="0.25">
      <c r="A1669" s="29" t="s">
        <v>1775</v>
      </c>
      <c r="B1669" s="28" t="s">
        <v>58</v>
      </c>
      <c r="C1669" t="s">
        <v>49</v>
      </c>
    </row>
    <row r="1670" spans="1:3" x14ac:dyDescent="0.25">
      <c r="A1670" s="29" t="s">
        <v>1776</v>
      </c>
      <c r="B1670" s="28" t="s">
        <v>58</v>
      </c>
      <c r="C1670" t="s">
        <v>49</v>
      </c>
    </row>
    <row r="1671" spans="1:3" x14ac:dyDescent="0.25">
      <c r="A1671" s="29" t="s">
        <v>1777</v>
      </c>
      <c r="B1671" s="28" t="s">
        <v>58</v>
      </c>
      <c r="C1671" t="s">
        <v>50</v>
      </c>
    </row>
    <row r="1672" spans="1:3" x14ac:dyDescent="0.25">
      <c r="A1672" s="29" t="s">
        <v>1778</v>
      </c>
      <c r="B1672" s="28" t="s">
        <v>58</v>
      </c>
      <c r="C1672" t="s">
        <v>50</v>
      </c>
    </row>
    <row r="1673" spans="1:3" x14ac:dyDescent="0.25">
      <c r="A1673" s="29" t="s">
        <v>1779</v>
      </c>
      <c r="B1673" s="28" t="s">
        <v>58</v>
      </c>
      <c r="C1673" t="s">
        <v>50</v>
      </c>
    </row>
    <row r="1674" spans="1:3" x14ac:dyDescent="0.25">
      <c r="A1674" s="29" t="s">
        <v>1780</v>
      </c>
      <c r="B1674" s="28" t="s">
        <v>58</v>
      </c>
      <c r="C1674" t="s">
        <v>50</v>
      </c>
    </row>
    <row r="1675" spans="1:3" x14ac:dyDescent="0.25">
      <c r="A1675" s="29" t="s">
        <v>1781</v>
      </c>
      <c r="B1675" s="28" t="s">
        <v>58</v>
      </c>
      <c r="C1675" t="s">
        <v>51</v>
      </c>
    </row>
    <row r="1676" spans="1:3" x14ac:dyDescent="0.25">
      <c r="A1676" s="29" t="s">
        <v>1782</v>
      </c>
      <c r="B1676" s="28" t="s">
        <v>58</v>
      </c>
      <c r="C1676" t="s">
        <v>51</v>
      </c>
    </row>
    <row r="1677" spans="1:3" x14ac:dyDescent="0.25">
      <c r="A1677" s="29" t="s">
        <v>1783</v>
      </c>
      <c r="B1677" s="28" t="s">
        <v>58</v>
      </c>
      <c r="C1677" t="s">
        <v>51</v>
      </c>
    </row>
    <row r="1678" spans="1:3" x14ac:dyDescent="0.25">
      <c r="A1678" s="29" t="s">
        <v>1784</v>
      </c>
      <c r="B1678" s="28" t="s">
        <v>58</v>
      </c>
      <c r="C1678" t="s">
        <v>50</v>
      </c>
    </row>
    <row r="1679" spans="1:3" x14ac:dyDescent="0.25">
      <c r="A1679" s="29" t="s">
        <v>1785</v>
      </c>
      <c r="B1679" s="28" t="s">
        <v>58</v>
      </c>
      <c r="C1679" t="s">
        <v>50</v>
      </c>
    </row>
    <row r="1680" spans="1:3" x14ac:dyDescent="0.25">
      <c r="A1680" s="29" t="s">
        <v>1786</v>
      </c>
      <c r="B1680" s="28" t="s">
        <v>58</v>
      </c>
      <c r="C1680" t="s">
        <v>50</v>
      </c>
    </row>
    <row r="1681" spans="1:3" x14ac:dyDescent="0.25">
      <c r="A1681" s="29" t="s">
        <v>1787</v>
      </c>
      <c r="B1681" s="28" t="s">
        <v>58</v>
      </c>
      <c r="C1681" t="s">
        <v>52</v>
      </c>
    </row>
    <row r="1682" spans="1:3" x14ac:dyDescent="0.25">
      <c r="A1682" s="29" t="s">
        <v>1789</v>
      </c>
      <c r="B1682" s="28" t="s">
        <v>58</v>
      </c>
      <c r="C1682" t="s">
        <v>52</v>
      </c>
    </row>
    <row r="1683" spans="1:3" x14ac:dyDescent="0.25">
      <c r="A1683" s="29" t="s">
        <v>1790</v>
      </c>
      <c r="B1683" s="28" t="s">
        <v>58</v>
      </c>
      <c r="C1683" t="s">
        <v>52</v>
      </c>
    </row>
    <row r="1684" spans="1:3" x14ac:dyDescent="0.25">
      <c r="A1684" s="29" t="s">
        <v>1791</v>
      </c>
      <c r="B1684" s="28" t="s">
        <v>58</v>
      </c>
      <c r="C1684" t="s">
        <v>52</v>
      </c>
    </row>
    <row r="1685" spans="1:3" x14ac:dyDescent="0.25">
      <c r="A1685" s="29" t="s">
        <v>1792</v>
      </c>
      <c r="B1685" s="28" t="s">
        <v>58</v>
      </c>
      <c r="C1685" t="s">
        <v>52</v>
      </c>
    </row>
    <row r="1686" spans="1:3" x14ac:dyDescent="0.25">
      <c r="A1686" s="29" t="s">
        <v>1793</v>
      </c>
      <c r="B1686" s="28" t="s">
        <v>58</v>
      </c>
      <c r="C1686" t="s">
        <v>52</v>
      </c>
    </row>
    <row r="1687" spans="1:3" x14ac:dyDescent="0.25">
      <c r="A1687" s="29" t="s">
        <v>1794</v>
      </c>
      <c r="B1687" s="28" t="s">
        <v>59</v>
      </c>
      <c r="C1687" t="s">
        <v>52</v>
      </c>
    </row>
    <row r="1688" spans="1:3" x14ac:dyDescent="0.25">
      <c r="A1688" s="29" t="s">
        <v>1795</v>
      </c>
      <c r="B1688" s="28" t="s">
        <v>58</v>
      </c>
      <c r="C1688" t="s">
        <v>52</v>
      </c>
    </row>
    <row r="1689" spans="1:3" x14ac:dyDescent="0.25">
      <c r="A1689" s="29" t="s">
        <v>1796</v>
      </c>
      <c r="B1689" s="28" t="s">
        <v>58</v>
      </c>
      <c r="C1689" t="s">
        <v>52</v>
      </c>
    </row>
    <row r="1690" spans="1:3" x14ac:dyDescent="0.25">
      <c r="A1690" s="29" t="s">
        <v>1797</v>
      </c>
      <c r="B1690" s="28" t="s">
        <v>58</v>
      </c>
      <c r="C1690" t="s">
        <v>52</v>
      </c>
    </row>
    <row r="1691" spans="1:3" x14ac:dyDescent="0.25">
      <c r="A1691" s="29" t="s">
        <v>1798</v>
      </c>
      <c r="B1691" s="28" t="s">
        <v>58</v>
      </c>
      <c r="C1691" t="s">
        <v>52</v>
      </c>
    </row>
    <row r="1692" spans="1:3" x14ac:dyDescent="0.25">
      <c r="A1692" s="29" t="s">
        <v>1799</v>
      </c>
      <c r="B1692" s="28" t="s">
        <v>58</v>
      </c>
      <c r="C1692" t="s">
        <v>52</v>
      </c>
    </row>
    <row r="1693" spans="1:3" x14ac:dyDescent="0.25">
      <c r="A1693" s="29" t="s">
        <v>1800</v>
      </c>
      <c r="B1693" s="28" t="s">
        <v>58</v>
      </c>
      <c r="C1693" t="s">
        <v>52</v>
      </c>
    </row>
    <row r="1694" spans="1:3" x14ac:dyDescent="0.25">
      <c r="A1694" s="29" t="s">
        <v>1801</v>
      </c>
      <c r="B1694" s="28" t="s">
        <v>58</v>
      </c>
      <c r="C1694" t="s">
        <v>52</v>
      </c>
    </row>
    <row r="1695" spans="1:3" x14ac:dyDescent="0.25">
      <c r="A1695" s="29" t="s">
        <v>1802</v>
      </c>
      <c r="B1695" s="28" t="s">
        <v>58</v>
      </c>
      <c r="C1695" t="s">
        <v>52</v>
      </c>
    </row>
    <row r="1696" spans="1:3" x14ac:dyDescent="0.25">
      <c r="A1696" s="29" t="s">
        <v>1803</v>
      </c>
      <c r="B1696" s="28" t="s">
        <v>58</v>
      </c>
      <c r="C1696" t="s">
        <v>52</v>
      </c>
    </row>
    <row r="1697" spans="1:3" x14ac:dyDescent="0.25">
      <c r="A1697" s="29" t="s">
        <v>1804</v>
      </c>
      <c r="B1697" s="28" t="s">
        <v>58</v>
      </c>
      <c r="C1697" t="s">
        <v>52</v>
      </c>
    </row>
    <row r="1698" spans="1:3" x14ac:dyDescent="0.25">
      <c r="A1698" s="29" t="s">
        <v>1805</v>
      </c>
      <c r="B1698" s="28" t="s">
        <v>58</v>
      </c>
      <c r="C1698" t="s">
        <v>52</v>
      </c>
    </row>
    <row r="1699" spans="1:3" x14ac:dyDescent="0.25">
      <c r="A1699" s="29" t="s">
        <v>1806</v>
      </c>
      <c r="B1699" s="28" t="s">
        <v>58</v>
      </c>
      <c r="C1699" t="s">
        <v>48</v>
      </c>
    </row>
    <row r="1700" spans="1:3" x14ac:dyDescent="0.25">
      <c r="A1700" s="29" t="s">
        <v>1807</v>
      </c>
      <c r="B1700" s="28" t="s">
        <v>58</v>
      </c>
      <c r="C1700" t="s">
        <v>48</v>
      </c>
    </row>
    <row r="1701" spans="1:3" x14ac:dyDescent="0.25">
      <c r="A1701" s="29" t="s">
        <v>1808</v>
      </c>
      <c r="B1701" s="28" t="s">
        <v>58</v>
      </c>
      <c r="C1701" t="s">
        <v>52</v>
      </c>
    </row>
    <row r="1702" spans="1:3" x14ac:dyDescent="0.25">
      <c r="A1702" s="29" t="s">
        <v>1809</v>
      </c>
      <c r="B1702" s="28" t="s">
        <v>58</v>
      </c>
      <c r="C1702" t="s">
        <v>52</v>
      </c>
    </row>
    <row r="1703" spans="1:3" x14ac:dyDescent="0.25">
      <c r="A1703" s="29" t="s">
        <v>1810</v>
      </c>
      <c r="B1703" s="28" t="s">
        <v>58</v>
      </c>
      <c r="C1703" t="s">
        <v>52</v>
      </c>
    </row>
    <row r="1704" spans="1:3" x14ac:dyDescent="0.25">
      <c r="A1704" s="29" t="s">
        <v>1811</v>
      </c>
      <c r="B1704" s="28" t="s">
        <v>58</v>
      </c>
      <c r="C1704" t="s">
        <v>48</v>
      </c>
    </row>
    <row r="1705" spans="1:3" x14ac:dyDescent="0.25">
      <c r="A1705" s="29" t="s">
        <v>1812</v>
      </c>
      <c r="B1705" s="28" t="s">
        <v>58</v>
      </c>
      <c r="C1705" t="s">
        <v>48</v>
      </c>
    </row>
    <row r="1706" spans="1:3" x14ac:dyDescent="0.25">
      <c r="A1706" s="29" t="s">
        <v>1813</v>
      </c>
      <c r="B1706" s="28" t="s">
        <v>58</v>
      </c>
      <c r="C1706" t="s">
        <v>48</v>
      </c>
    </row>
    <row r="1707" spans="1:3" x14ac:dyDescent="0.25">
      <c r="A1707" s="29" t="s">
        <v>1814</v>
      </c>
      <c r="B1707" s="28" t="s">
        <v>58</v>
      </c>
      <c r="C1707" t="s">
        <v>48</v>
      </c>
    </row>
    <row r="1708" spans="1:3" x14ac:dyDescent="0.25">
      <c r="A1708" s="29" t="s">
        <v>1815</v>
      </c>
      <c r="B1708" s="28" t="s">
        <v>58</v>
      </c>
      <c r="C1708" t="s">
        <v>48</v>
      </c>
    </row>
    <row r="1709" spans="1:3" x14ac:dyDescent="0.25">
      <c r="A1709" s="29" t="s">
        <v>1816</v>
      </c>
      <c r="B1709" s="28" t="s">
        <v>58</v>
      </c>
      <c r="C1709" t="s">
        <v>50</v>
      </c>
    </row>
    <row r="1710" spans="1:3" x14ac:dyDescent="0.25">
      <c r="A1710" s="29" t="s">
        <v>1817</v>
      </c>
      <c r="B1710" s="28" t="s">
        <v>58</v>
      </c>
      <c r="C1710" t="s">
        <v>50</v>
      </c>
    </row>
    <row r="1711" spans="1:3" x14ac:dyDescent="0.25">
      <c r="A1711" s="29" t="s">
        <v>1818</v>
      </c>
      <c r="B1711" s="28" t="s">
        <v>58</v>
      </c>
      <c r="C1711" t="s">
        <v>50</v>
      </c>
    </row>
    <row r="1712" spans="1:3" x14ac:dyDescent="0.25">
      <c r="A1712" s="29" t="s">
        <v>1819</v>
      </c>
      <c r="B1712" s="28" t="s">
        <v>58</v>
      </c>
      <c r="C1712" t="s">
        <v>50</v>
      </c>
    </row>
    <row r="1713" spans="1:3" x14ac:dyDescent="0.25">
      <c r="A1713" s="29" t="s">
        <v>1820</v>
      </c>
      <c r="B1713" s="28" t="s">
        <v>58</v>
      </c>
      <c r="C1713" t="s">
        <v>50</v>
      </c>
    </row>
    <row r="1714" spans="1:3" x14ac:dyDescent="0.25">
      <c r="A1714" s="29" t="s">
        <v>1821</v>
      </c>
      <c r="B1714" s="28" t="s">
        <v>58</v>
      </c>
      <c r="C1714" t="s">
        <v>50</v>
      </c>
    </row>
    <row r="1715" spans="1:3" x14ac:dyDescent="0.25">
      <c r="A1715" s="29" t="s">
        <v>1822</v>
      </c>
      <c r="B1715" s="28" t="s">
        <v>59</v>
      </c>
      <c r="C1715" t="s">
        <v>50</v>
      </c>
    </row>
    <row r="1716" spans="1:3" x14ac:dyDescent="0.25">
      <c r="A1716" s="29" t="s">
        <v>1824</v>
      </c>
      <c r="B1716" s="28" t="s">
        <v>58</v>
      </c>
      <c r="C1716" t="s">
        <v>50</v>
      </c>
    </row>
    <row r="1717" spans="1:3" x14ac:dyDescent="0.25">
      <c r="A1717" s="29" t="s">
        <v>1825</v>
      </c>
      <c r="B1717" s="28" t="s">
        <v>58</v>
      </c>
      <c r="C1717" t="s">
        <v>50</v>
      </c>
    </row>
    <row r="1718" spans="1:3" x14ac:dyDescent="0.25">
      <c r="A1718" s="29" t="s">
        <v>1826</v>
      </c>
      <c r="B1718" s="28" t="s">
        <v>59</v>
      </c>
      <c r="C1718" t="s">
        <v>52</v>
      </c>
    </row>
    <row r="1719" spans="1:3" x14ac:dyDescent="0.25">
      <c r="A1719" s="29" t="s">
        <v>1828</v>
      </c>
      <c r="B1719" s="28" t="s">
        <v>58</v>
      </c>
      <c r="C1719" t="s">
        <v>52</v>
      </c>
    </row>
    <row r="1720" spans="1:3" x14ac:dyDescent="0.25">
      <c r="A1720" s="29" t="s">
        <v>1829</v>
      </c>
      <c r="B1720" s="28" t="s">
        <v>58</v>
      </c>
      <c r="C1720" t="s">
        <v>52</v>
      </c>
    </row>
    <row r="1721" spans="1:3" x14ac:dyDescent="0.25">
      <c r="A1721" s="29" t="s">
        <v>1830</v>
      </c>
      <c r="B1721" s="28" t="s">
        <v>58</v>
      </c>
      <c r="C1721" t="s">
        <v>50</v>
      </c>
    </row>
    <row r="1722" spans="1:3" x14ac:dyDescent="0.25">
      <c r="A1722" s="29" t="s">
        <v>1831</v>
      </c>
      <c r="B1722" s="28" t="s">
        <v>58</v>
      </c>
      <c r="C1722" t="s">
        <v>51</v>
      </c>
    </row>
    <row r="1723" spans="1:3" x14ac:dyDescent="0.25">
      <c r="A1723" s="29" t="s">
        <v>1832</v>
      </c>
      <c r="B1723" s="28" t="s">
        <v>58</v>
      </c>
      <c r="C1723" t="s">
        <v>50</v>
      </c>
    </row>
    <row r="1724" spans="1:3" x14ac:dyDescent="0.25">
      <c r="A1724" s="29" t="s">
        <v>1833</v>
      </c>
      <c r="B1724" s="28" t="s">
        <v>58</v>
      </c>
      <c r="C1724" t="s">
        <v>50</v>
      </c>
    </row>
    <row r="1725" spans="1:3" x14ac:dyDescent="0.25">
      <c r="A1725" s="29" t="s">
        <v>1834</v>
      </c>
      <c r="B1725" s="28" t="s">
        <v>58</v>
      </c>
      <c r="C1725" t="s">
        <v>50</v>
      </c>
    </row>
    <row r="1726" spans="1:3" x14ac:dyDescent="0.25">
      <c r="A1726" s="29" t="s">
        <v>1835</v>
      </c>
      <c r="B1726" s="28" t="s">
        <v>58</v>
      </c>
      <c r="C1726" t="s">
        <v>51</v>
      </c>
    </row>
    <row r="1727" spans="1:3" x14ac:dyDescent="0.25">
      <c r="A1727" s="29" t="s">
        <v>1836</v>
      </c>
      <c r="B1727" s="28" t="s">
        <v>58</v>
      </c>
      <c r="C1727" t="s">
        <v>52</v>
      </c>
    </row>
    <row r="1728" spans="1:3" x14ac:dyDescent="0.25">
      <c r="A1728" s="29" t="s">
        <v>1838</v>
      </c>
      <c r="B1728" s="28" t="s">
        <v>58</v>
      </c>
      <c r="C1728" t="s">
        <v>52</v>
      </c>
    </row>
    <row r="1729" spans="1:3" x14ac:dyDescent="0.25">
      <c r="A1729" s="29" t="s">
        <v>1839</v>
      </c>
      <c r="B1729" s="28" t="s">
        <v>58</v>
      </c>
      <c r="C1729" t="s">
        <v>52</v>
      </c>
    </row>
    <row r="1730" spans="1:3" x14ac:dyDescent="0.25">
      <c r="A1730" s="29" t="s">
        <v>1840</v>
      </c>
      <c r="B1730" s="28" t="s">
        <v>58</v>
      </c>
      <c r="C1730" t="s">
        <v>50</v>
      </c>
    </row>
    <row r="1731" spans="1:3" x14ac:dyDescent="0.25">
      <c r="A1731" s="29" t="s">
        <v>1841</v>
      </c>
      <c r="B1731" s="28" t="s">
        <v>58</v>
      </c>
      <c r="C1731" t="s">
        <v>49</v>
      </c>
    </row>
    <row r="1732" spans="1:3" x14ac:dyDescent="0.25">
      <c r="A1732" s="29" t="s">
        <v>1842</v>
      </c>
      <c r="B1732" s="28" t="s">
        <v>58</v>
      </c>
      <c r="C1732" t="s">
        <v>49</v>
      </c>
    </row>
    <row r="1733" spans="1:3" x14ac:dyDescent="0.25">
      <c r="A1733" s="29" t="s">
        <v>1843</v>
      </c>
      <c r="B1733" s="28" t="s">
        <v>58</v>
      </c>
      <c r="C1733" t="s">
        <v>51</v>
      </c>
    </row>
    <row r="1734" spans="1:3" x14ac:dyDescent="0.25">
      <c r="A1734" s="29" t="s">
        <v>1844</v>
      </c>
      <c r="B1734" s="28" t="s">
        <v>58</v>
      </c>
      <c r="C1734" t="s">
        <v>51</v>
      </c>
    </row>
    <row r="1735" spans="1:3" x14ac:dyDescent="0.25">
      <c r="A1735" s="29" t="s">
        <v>1845</v>
      </c>
      <c r="B1735" s="28" t="s">
        <v>58</v>
      </c>
      <c r="C1735" t="s">
        <v>51</v>
      </c>
    </row>
    <row r="1736" spans="1:3" x14ac:dyDescent="0.25">
      <c r="A1736" s="29" t="s">
        <v>1846</v>
      </c>
      <c r="B1736" s="28" t="s">
        <v>58</v>
      </c>
      <c r="C1736" t="s">
        <v>51</v>
      </c>
    </row>
    <row r="1737" spans="1:3" x14ac:dyDescent="0.25">
      <c r="A1737" s="29" t="s">
        <v>1847</v>
      </c>
      <c r="B1737" s="28" t="s">
        <v>58</v>
      </c>
      <c r="C1737" t="s">
        <v>51</v>
      </c>
    </row>
    <row r="1738" spans="1:3" x14ac:dyDescent="0.25">
      <c r="A1738" s="29" t="s">
        <v>1848</v>
      </c>
      <c r="B1738" s="28" t="s">
        <v>58</v>
      </c>
      <c r="C1738" t="s">
        <v>51</v>
      </c>
    </row>
    <row r="1739" spans="1:3" x14ac:dyDescent="0.25">
      <c r="A1739" s="29" t="s">
        <v>1849</v>
      </c>
      <c r="B1739" s="28" t="s">
        <v>58</v>
      </c>
      <c r="C1739" t="s">
        <v>51</v>
      </c>
    </row>
    <row r="1740" spans="1:3" x14ac:dyDescent="0.25">
      <c r="A1740" s="29" t="s">
        <v>1850</v>
      </c>
      <c r="B1740" s="28" t="s">
        <v>58</v>
      </c>
      <c r="C1740" t="s">
        <v>51</v>
      </c>
    </row>
    <row r="1741" spans="1:3" x14ac:dyDescent="0.25">
      <c r="A1741" s="29" t="s">
        <v>1851</v>
      </c>
      <c r="B1741" s="28" t="s">
        <v>58</v>
      </c>
      <c r="C1741" t="s">
        <v>51</v>
      </c>
    </row>
    <row r="1742" spans="1:3" x14ac:dyDescent="0.25">
      <c r="A1742" s="29" t="s">
        <v>1852</v>
      </c>
      <c r="B1742" s="28" t="s">
        <v>58</v>
      </c>
      <c r="C1742" t="s">
        <v>52</v>
      </c>
    </row>
    <row r="1743" spans="1:3" x14ac:dyDescent="0.25">
      <c r="A1743" s="29" t="s">
        <v>1853</v>
      </c>
      <c r="B1743" s="28" t="s">
        <v>58</v>
      </c>
      <c r="C1743" t="s">
        <v>49</v>
      </c>
    </row>
    <row r="1744" spans="1:3" x14ac:dyDescent="0.25">
      <c r="A1744" s="29" t="s">
        <v>1854</v>
      </c>
      <c r="B1744" s="28" t="s">
        <v>58</v>
      </c>
      <c r="C1744" t="s">
        <v>51</v>
      </c>
    </row>
    <row r="1745" spans="1:3" x14ac:dyDescent="0.25">
      <c r="A1745" s="29" t="s">
        <v>1855</v>
      </c>
      <c r="B1745" s="28" t="s">
        <v>58</v>
      </c>
      <c r="C1745" t="s">
        <v>51</v>
      </c>
    </row>
    <row r="1746" spans="1:3" x14ac:dyDescent="0.25">
      <c r="A1746" s="29" t="s">
        <v>1856</v>
      </c>
      <c r="B1746" s="28" t="s">
        <v>58</v>
      </c>
      <c r="C1746" t="s">
        <v>51</v>
      </c>
    </row>
    <row r="1747" spans="1:3" x14ac:dyDescent="0.25">
      <c r="A1747" s="29" t="s">
        <v>1857</v>
      </c>
      <c r="B1747" s="28" t="s">
        <v>58</v>
      </c>
      <c r="C1747" t="s">
        <v>51</v>
      </c>
    </row>
    <row r="1748" spans="1:3" x14ac:dyDescent="0.25">
      <c r="A1748" s="29" t="s">
        <v>1858</v>
      </c>
      <c r="B1748" s="28" t="s">
        <v>58</v>
      </c>
      <c r="C1748" t="s">
        <v>51</v>
      </c>
    </row>
    <row r="1749" spans="1:3" x14ac:dyDescent="0.25">
      <c r="A1749" s="29" t="s">
        <v>1859</v>
      </c>
      <c r="B1749" s="28" t="s">
        <v>58</v>
      </c>
      <c r="C1749" t="s">
        <v>51</v>
      </c>
    </row>
    <row r="1750" spans="1:3" x14ac:dyDescent="0.25">
      <c r="A1750" s="29" t="s">
        <v>1860</v>
      </c>
      <c r="B1750" s="28" t="s">
        <v>58</v>
      </c>
      <c r="C1750" t="s">
        <v>51</v>
      </c>
    </row>
    <row r="1751" spans="1:3" x14ac:dyDescent="0.25">
      <c r="A1751" s="29" t="s">
        <v>1861</v>
      </c>
      <c r="B1751" s="28" t="s">
        <v>58</v>
      </c>
      <c r="C1751" t="s">
        <v>51</v>
      </c>
    </row>
    <row r="1752" spans="1:3" x14ac:dyDescent="0.25">
      <c r="A1752" s="29" t="s">
        <v>1862</v>
      </c>
      <c r="B1752" s="28" t="s">
        <v>58</v>
      </c>
      <c r="C1752" t="s">
        <v>51</v>
      </c>
    </row>
    <row r="1753" spans="1:3" x14ac:dyDescent="0.25">
      <c r="A1753" s="29" t="s">
        <v>1863</v>
      </c>
      <c r="B1753" s="28" t="s">
        <v>58</v>
      </c>
      <c r="C1753" t="s">
        <v>51</v>
      </c>
    </row>
    <row r="1754" spans="1:3" x14ac:dyDescent="0.25">
      <c r="A1754" s="29" t="s">
        <v>1864</v>
      </c>
      <c r="B1754" s="28" t="s">
        <v>58</v>
      </c>
      <c r="C1754" t="s">
        <v>49</v>
      </c>
    </row>
    <row r="1755" spans="1:3" x14ac:dyDescent="0.25">
      <c r="A1755" s="29" t="s">
        <v>1865</v>
      </c>
      <c r="B1755" s="28" t="s">
        <v>58</v>
      </c>
      <c r="C1755" t="s">
        <v>50</v>
      </c>
    </row>
    <row r="1756" spans="1:3" x14ac:dyDescent="0.25">
      <c r="A1756" s="29" t="s">
        <v>1866</v>
      </c>
      <c r="B1756" s="28" t="s">
        <v>58</v>
      </c>
      <c r="C1756" t="s">
        <v>50</v>
      </c>
    </row>
    <row r="1757" spans="1:3" x14ac:dyDescent="0.25">
      <c r="A1757" s="29" t="s">
        <v>1867</v>
      </c>
      <c r="B1757" s="28" t="s">
        <v>58</v>
      </c>
      <c r="C1757" t="s">
        <v>52</v>
      </c>
    </row>
    <row r="1758" spans="1:3" x14ac:dyDescent="0.25">
      <c r="A1758" s="29" t="s">
        <v>1868</v>
      </c>
      <c r="B1758" s="28" t="s">
        <v>58</v>
      </c>
      <c r="C1758" t="s">
        <v>48</v>
      </c>
    </row>
    <row r="1759" spans="1:3" x14ac:dyDescent="0.25">
      <c r="A1759" s="29" t="s">
        <v>1869</v>
      </c>
      <c r="B1759" s="28" t="s">
        <v>58</v>
      </c>
      <c r="C1759" t="s">
        <v>50</v>
      </c>
    </row>
    <row r="1760" spans="1:3" x14ac:dyDescent="0.25">
      <c r="A1760" s="29" t="s">
        <v>1870</v>
      </c>
      <c r="B1760" s="28" t="s">
        <v>57</v>
      </c>
      <c r="C1760" t="s">
        <v>51</v>
      </c>
    </row>
    <row r="1761" spans="1:3" x14ac:dyDescent="0.25">
      <c r="A1761" s="29" t="s">
        <v>1871</v>
      </c>
      <c r="B1761" s="28" t="s">
        <v>58</v>
      </c>
      <c r="C1761" t="s">
        <v>51</v>
      </c>
    </row>
    <row r="1762" spans="1:3" x14ac:dyDescent="0.25">
      <c r="A1762" s="29" t="s">
        <v>1872</v>
      </c>
      <c r="B1762" s="28" t="s">
        <v>58</v>
      </c>
      <c r="C1762" t="s">
        <v>51</v>
      </c>
    </row>
    <row r="1763" spans="1:3" x14ac:dyDescent="0.25">
      <c r="A1763" s="29" t="s">
        <v>1873</v>
      </c>
      <c r="B1763" s="28" t="s">
        <v>58</v>
      </c>
      <c r="C1763" t="s">
        <v>49</v>
      </c>
    </row>
    <row r="1764" spans="1:3" x14ac:dyDescent="0.25">
      <c r="A1764" s="29" t="s">
        <v>1874</v>
      </c>
      <c r="B1764" s="28" t="s">
        <v>58</v>
      </c>
      <c r="C1764" t="s">
        <v>50</v>
      </c>
    </row>
    <row r="1765" spans="1:3" x14ac:dyDescent="0.25">
      <c r="A1765" s="29" t="s">
        <v>1875</v>
      </c>
      <c r="B1765" s="28" t="s">
        <v>58</v>
      </c>
      <c r="C1765" t="s">
        <v>50</v>
      </c>
    </row>
    <row r="1766" spans="1:3" x14ac:dyDescent="0.25">
      <c r="A1766" s="29" t="s">
        <v>1876</v>
      </c>
      <c r="B1766" s="28" t="s">
        <v>58</v>
      </c>
      <c r="C1766" t="s">
        <v>51</v>
      </c>
    </row>
    <row r="1767" spans="1:3" x14ac:dyDescent="0.25">
      <c r="A1767" s="29" t="s">
        <v>1877</v>
      </c>
      <c r="B1767" s="28" t="s">
        <v>59</v>
      </c>
      <c r="C1767" t="s">
        <v>51</v>
      </c>
    </row>
    <row r="1768" spans="1:3" x14ac:dyDescent="0.25">
      <c r="A1768" s="29" t="s">
        <v>1878</v>
      </c>
      <c r="B1768" s="28" t="s">
        <v>58</v>
      </c>
      <c r="C1768" t="s">
        <v>50</v>
      </c>
    </row>
    <row r="1769" spans="1:3" x14ac:dyDescent="0.25">
      <c r="A1769" s="29" t="s">
        <v>1879</v>
      </c>
      <c r="B1769" s="28" t="s">
        <v>58</v>
      </c>
      <c r="C1769" t="s">
        <v>50</v>
      </c>
    </row>
    <row r="1770" spans="1:3" x14ac:dyDescent="0.25">
      <c r="A1770" s="29" t="s">
        <v>1880</v>
      </c>
      <c r="B1770" s="28" t="s">
        <v>58</v>
      </c>
      <c r="C1770" t="s">
        <v>52</v>
      </c>
    </row>
    <row r="1771" spans="1:3" x14ac:dyDescent="0.25">
      <c r="A1771" s="29" t="s">
        <v>1881</v>
      </c>
      <c r="B1771" s="28" t="s">
        <v>58</v>
      </c>
      <c r="C1771" t="s">
        <v>52</v>
      </c>
    </row>
    <row r="1772" spans="1:3" x14ac:dyDescent="0.25">
      <c r="A1772" s="29" t="s">
        <v>1882</v>
      </c>
      <c r="B1772" s="28" t="s">
        <v>58</v>
      </c>
      <c r="C1772" t="s">
        <v>52</v>
      </c>
    </row>
    <row r="1773" spans="1:3" x14ac:dyDescent="0.25">
      <c r="A1773" s="29" t="s">
        <v>1883</v>
      </c>
      <c r="B1773" s="28" t="s">
        <v>58</v>
      </c>
      <c r="C1773" t="s">
        <v>52</v>
      </c>
    </row>
    <row r="1774" spans="1:3" x14ac:dyDescent="0.25">
      <c r="A1774" s="29" t="s">
        <v>1884</v>
      </c>
      <c r="B1774" s="28" t="s">
        <v>58</v>
      </c>
      <c r="C1774" t="s">
        <v>52</v>
      </c>
    </row>
    <row r="1775" spans="1:3" x14ac:dyDescent="0.25">
      <c r="A1775" s="29" t="s">
        <v>1885</v>
      </c>
      <c r="B1775" s="28" t="s">
        <v>58</v>
      </c>
      <c r="C1775" t="s">
        <v>52</v>
      </c>
    </row>
    <row r="1776" spans="1:3" x14ac:dyDescent="0.25">
      <c r="A1776" s="29" t="s">
        <v>1886</v>
      </c>
      <c r="B1776" s="28" t="s">
        <v>58</v>
      </c>
      <c r="C1776" t="s">
        <v>51</v>
      </c>
    </row>
    <row r="1777" spans="1:3" x14ac:dyDescent="0.25">
      <c r="A1777" s="29" t="s">
        <v>1887</v>
      </c>
      <c r="B1777" s="28" t="s">
        <v>56</v>
      </c>
      <c r="C1777" t="s">
        <v>52</v>
      </c>
    </row>
    <row r="1778" spans="1:3" x14ac:dyDescent="0.25">
      <c r="A1778" s="29" t="s">
        <v>1888</v>
      </c>
      <c r="B1778" s="28" t="s">
        <v>58</v>
      </c>
      <c r="C1778" t="s">
        <v>52</v>
      </c>
    </row>
    <row r="1779" spans="1:3" x14ac:dyDescent="0.25">
      <c r="A1779" s="29" t="s">
        <v>1889</v>
      </c>
      <c r="B1779" s="28" t="s">
        <v>56</v>
      </c>
      <c r="C1779" t="s">
        <v>48</v>
      </c>
    </row>
    <row r="1780" spans="1:3" x14ac:dyDescent="0.25">
      <c r="A1780" s="29" t="s">
        <v>1890</v>
      </c>
      <c r="B1780" s="28" t="s">
        <v>58</v>
      </c>
      <c r="C1780" t="s">
        <v>50</v>
      </c>
    </row>
    <row r="1781" spans="1:3" x14ac:dyDescent="0.25">
      <c r="A1781" s="29" t="s">
        <v>1891</v>
      </c>
      <c r="B1781" s="28" t="s">
        <v>58</v>
      </c>
      <c r="C1781" t="s">
        <v>50</v>
      </c>
    </row>
    <row r="1782" spans="1:3" x14ac:dyDescent="0.25">
      <c r="A1782" s="29" t="s">
        <v>1892</v>
      </c>
      <c r="B1782" s="28" t="s">
        <v>58</v>
      </c>
      <c r="C1782" t="s">
        <v>48</v>
      </c>
    </row>
    <row r="1783" spans="1:3" x14ac:dyDescent="0.25">
      <c r="A1783" s="29" t="s">
        <v>1893</v>
      </c>
      <c r="B1783" s="28" t="s">
        <v>58</v>
      </c>
      <c r="C1783" t="s">
        <v>50</v>
      </c>
    </row>
    <row r="1784" spans="1:3" x14ac:dyDescent="0.25">
      <c r="A1784" s="29" t="s">
        <v>1894</v>
      </c>
      <c r="B1784" s="28" t="s">
        <v>58</v>
      </c>
      <c r="C1784" t="s">
        <v>50</v>
      </c>
    </row>
    <row r="1785" spans="1:3" x14ac:dyDescent="0.25">
      <c r="A1785" s="29" t="s">
        <v>1895</v>
      </c>
      <c r="B1785" s="28" t="s">
        <v>58</v>
      </c>
      <c r="C1785" t="s">
        <v>49</v>
      </c>
    </row>
    <row r="1786" spans="1:3" x14ac:dyDescent="0.25">
      <c r="A1786" s="29" t="s">
        <v>1896</v>
      </c>
      <c r="B1786" s="28" t="s">
        <v>58</v>
      </c>
      <c r="C1786" t="s">
        <v>51</v>
      </c>
    </row>
    <row r="1787" spans="1:3" x14ac:dyDescent="0.25">
      <c r="A1787" s="29" t="s">
        <v>1897</v>
      </c>
      <c r="B1787" s="28" t="s">
        <v>58</v>
      </c>
      <c r="C1787" t="s">
        <v>49</v>
      </c>
    </row>
    <row r="1788" spans="1:3" x14ac:dyDescent="0.25">
      <c r="A1788" s="29" t="s">
        <v>1898</v>
      </c>
      <c r="B1788" s="28" t="s">
        <v>58</v>
      </c>
      <c r="C1788" t="s">
        <v>49</v>
      </c>
    </row>
    <row r="1789" spans="1:3" x14ac:dyDescent="0.25">
      <c r="A1789" s="29" t="s">
        <v>1899</v>
      </c>
      <c r="B1789" s="28" t="s">
        <v>58</v>
      </c>
      <c r="C1789" t="s">
        <v>50</v>
      </c>
    </row>
    <row r="1790" spans="1:3" x14ac:dyDescent="0.25">
      <c r="A1790" s="29" t="s">
        <v>1900</v>
      </c>
      <c r="B1790" s="28" t="s">
        <v>58</v>
      </c>
      <c r="C1790" t="s">
        <v>51</v>
      </c>
    </row>
    <row r="1791" spans="1:3" x14ac:dyDescent="0.25">
      <c r="A1791" s="29" t="s">
        <v>1901</v>
      </c>
      <c r="B1791" s="28" t="s">
        <v>58</v>
      </c>
      <c r="C1791" t="s">
        <v>48</v>
      </c>
    </row>
    <row r="1792" spans="1:3" x14ac:dyDescent="0.25">
      <c r="A1792" s="29" t="s">
        <v>1902</v>
      </c>
      <c r="B1792" s="28" t="s">
        <v>58</v>
      </c>
      <c r="C1792" t="s">
        <v>50</v>
      </c>
    </row>
    <row r="1793" spans="1:3" x14ac:dyDescent="0.25">
      <c r="A1793" s="29" t="s">
        <v>1903</v>
      </c>
      <c r="B1793" s="28" t="s">
        <v>58</v>
      </c>
      <c r="C1793" t="s">
        <v>51</v>
      </c>
    </row>
    <row r="1794" spans="1:3" x14ac:dyDescent="0.25">
      <c r="A1794" s="29" t="s">
        <v>1904</v>
      </c>
      <c r="B1794" s="28" t="s">
        <v>58</v>
      </c>
      <c r="C1794" t="s">
        <v>52</v>
      </c>
    </row>
    <row r="1795" spans="1:3" x14ac:dyDescent="0.25">
      <c r="A1795" s="29" t="s">
        <v>1905</v>
      </c>
      <c r="B1795" s="28" t="s">
        <v>58</v>
      </c>
      <c r="C1795" t="s">
        <v>50</v>
      </c>
    </row>
    <row r="1796" spans="1:3" x14ac:dyDescent="0.25">
      <c r="A1796" s="29" t="s">
        <v>1906</v>
      </c>
      <c r="B1796" s="28" t="s">
        <v>58</v>
      </c>
      <c r="C1796" t="s">
        <v>48</v>
      </c>
    </row>
    <row r="1797" spans="1:3" x14ac:dyDescent="0.25">
      <c r="A1797" s="29" t="s">
        <v>1907</v>
      </c>
      <c r="B1797" s="28" t="s">
        <v>58</v>
      </c>
      <c r="C1797" t="s">
        <v>50</v>
      </c>
    </row>
    <row r="1798" spans="1:3" x14ac:dyDescent="0.25">
      <c r="A1798" s="29" t="s">
        <v>1908</v>
      </c>
      <c r="B1798" s="28" t="s">
        <v>58</v>
      </c>
      <c r="C1798" t="s">
        <v>52</v>
      </c>
    </row>
    <row r="1799" spans="1:3" x14ac:dyDescent="0.25">
      <c r="A1799" s="29" t="s">
        <v>1909</v>
      </c>
      <c r="B1799" s="28" t="s">
        <v>58</v>
      </c>
      <c r="C1799" t="s">
        <v>49</v>
      </c>
    </row>
    <row r="1800" spans="1:3" x14ac:dyDescent="0.25">
      <c r="A1800" s="29" t="s">
        <v>1910</v>
      </c>
      <c r="B1800" s="28" t="s">
        <v>58</v>
      </c>
      <c r="C1800" t="s">
        <v>51</v>
      </c>
    </row>
    <row r="1801" spans="1:3" x14ac:dyDescent="0.25">
      <c r="A1801" s="29" t="s">
        <v>1911</v>
      </c>
      <c r="B1801" s="28" t="s">
        <v>58</v>
      </c>
      <c r="C1801" t="s">
        <v>49</v>
      </c>
    </row>
    <row r="1802" spans="1:3" x14ac:dyDescent="0.25">
      <c r="A1802" s="29" t="s">
        <v>1912</v>
      </c>
      <c r="B1802" s="28" t="s">
        <v>58</v>
      </c>
      <c r="C1802" t="s">
        <v>50</v>
      </c>
    </row>
    <row r="1803" spans="1:3" x14ac:dyDescent="0.25">
      <c r="A1803" s="29" t="s">
        <v>1913</v>
      </c>
      <c r="B1803" s="28" t="s">
        <v>57</v>
      </c>
      <c r="C1803" t="s">
        <v>48</v>
      </c>
    </row>
    <row r="1804" spans="1:3" x14ac:dyDescent="0.25">
      <c r="A1804" s="29" t="s">
        <v>1914</v>
      </c>
      <c r="B1804" s="28" t="s">
        <v>58</v>
      </c>
      <c r="C1804" t="s">
        <v>48</v>
      </c>
    </row>
    <row r="1805" spans="1:3" x14ac:dyDescent="0.25">
      <c r="A1805" s="29" t="s">
        <v>1915</v>
      </c>
      <c r="B1805" s="28" t="s">
        <v>58</v>
      </c>
      <c r="C1805" t="s">
        <v>49</v>
      </c>
    </row>
    <row r="1806" spans="1:3" x14ac:dyDescent="0.25">
      <c r="A1806" s="29" t="s">
        <v>1916</v>
      </c>
      <c r="B1806" s="28" t="s">
        <v>58</v>
      </c>
      <c r="C1806" t="s">
        <v>48</v>
      </c>
    </row>
    <row r="1807" spans="1:3" x14ac:dyDescent="0.25">
      <c r="A1807" s="29" t="s">
        <v>1917</v>
      </c>
      <c r="B1807" s="28" t="s">
        <v>58</v>
      </c>
      <c r="C1807" t="s">
        <v>49</v>
      </c>
    </row>
    <row r="1808" spans="1:3" x14ac:dyDescent="0.25">
      <c r="A1808" s="29" t="s">
        <v>1918</v>
      </c>
      <c r="B1808" s="28" t="s">
        <v>58</v>
      </c>
      <c r="C1808" t="s">
        <v>49</v>
      </c>
    </row>
    <row r="1809" spans="1:3" x14ac:dyDescent="0.25">
      <c r="A1809" s="29" t="s">
        <v>1919</v>
      </c>
      <c r="B1809" s="28" t="s">
        <v>56</v>
      </c>
      <c r="C1809" t="s">
        <v>52</v>
      </c>
    </row>
    <row r="1810" spans="1:3" x14ac:dyDescent="0.25">
      <c r="A1810" s="29" t="s">
        <v>1921</v>
      </c>
      <c r="B1810" s="28" t="s">
        <v>58</v>
      </c>
      <c r="C1810" t="s">
        <v>50</v>
      </c>
    </row>
    <row r="1811" spans="1:3" x14ac:dyDescent="0.25">
      <c r="A1811" s="29" t="s">
        <v>1922</v>
      </c>
      <c r="B1811" s="28" t="s">
        <v>58</v>
      </c>
      <c r="C1811" t="s">
        <v>50</v>
      </c>
    </row>
    <row r="1812" spans="1:3" x14ac:dyDescent="0.25">
      <c r="A1812" s="29" t="s">
        <v>1923</v>
      </c>
      <c r="B1812" s="28" t="s">
        <v>57</v>
      </c>
      <c r="C1812" t="s">
        <v>51</v>
      </c>
    </row>
    <row r="1813" spans="1:3" x14ac:dyDescent="0.25">
      <c r="A1813" s="29" t="s">
        <v>1924</v>
      </c>
      <c r="B1813" s="28" t="s">
        <v>57</v>
      </c>
      <c r="C1813" t="s">
        <v>51</v>
      </c>
    </row>
    <row r="1814" spans="1:3" x14ac:dyDescent="0.25">
      <c r="A1814" s="29" t="s">
        <v>1925</v>
      </c>
      <c r="B1814" s="28" t="s">
        <v>58</v>
      </c>
      <c r="C1814" t="s">
        <v>49</v>
      </c>
    </row>
    <row r="1815" spans="1:3" x14ac:dyDescent="0.25">
      <c r="A1815" s="29" t="s">
        <v>1926</v>
      </c>
      <c r="B1815" s="28" t="s">
        <v>58</v>
      </c>
      <c r="C1815" t="s">
        <v>48</v>
      </c>
    </row>
    <row r="1816" spans="1:3" x14ac:dyDescent="0.25">
      <c r="A1816" s="29" t="s">
        <v>1927</v>
      </c>
      <c r="B1816" s="28" t="s">
        <v>58</v>
      </c>
      <c r="C1816" t="s">
        <v>48</v>
      </c>
    </row>
    <row r="1817" spans="1:3" x14ac:dyDescent="0.25">
      <c r="A1817" s="29" t="s">
        <v>1928</v>
      </c>
      <c r="B1817" s="28" t="s">
        <v>58</v>
      </c>
      <c r="C1817" t="s">
        <v>52</v>
      </c>
    </row>
    <row r="1818" spans="1:3" x14ac:dyDescent="0.25">
      <c r="A1818" s="29" t="s">
        <v>1929</v>
      </c>
      <c r="B1818" s="28" t="s">
        <v>58</v>
      </c>
      <c r="C1818" t="s">
        <v>48</v>
      </c>
    </row>
    <row r="1819" spans="1:3" x14ac:dyDescent="0.25">
      <c r="A1819" s="29" t="s">
        <v>1930</v>
      </c>
      <c r="B1819" s="28" t="s">
        <v>58</v>
      </c>
      <c r="C1819" t="s">
        <v>48</v>
      </c>
    </row>
    <row r="1820" spans="1:3" x14ac:dyDescent="0.25">
      <c r="A1820" s="29" t="s">
        <v>1931</v>
      </c>
      <c r="B1820" s="28" t="s">
        <v>58</v>
      </c>
      <c r="C1820" t="s">
        <v>52</v>
      </c>
    </row>
    <row r="1821" spans="1:3" x14ac:dyDescent="0.25">
      <c r="A1821" s="29" t="s">
        <v>1932</v>
      </c>
      <c r="B1821" s="28" t="s">
        <v>58</v>
      </c>
      <c r="C1821" t="s">
        <v>49</v>
      </c>
    </row>
    <row r="1822" spans="1:3" x14ac:dyDescent="0.25">
      <c r="A1822" s="29" t="s">
        <v>1933</v>
      </c>
      <c r="B1822" s="28" t="s">
        <v>58</v>
      </c>
      <c r="C1822" t="s">
        <v>49</v>
      </c>
    </row>
    <row r="1823" spans="1:3" x14ac:dyDescent="0.25">
      <c r="A1823" s="29" t="s">
        <v>1934</v>
      </c>
      <c r="B1823" s="28" t="s">
        <v>58</v>
      </c>
      <c r="C1823" t="s">
        <v>49</v>
      </c>
    </row>
    <row r="1824" spans="1:3" x14ac:dyDescent="0.25">
      <c r="A1824" s="29" t="s">
        <v>1935</v>
      </c>
      <c r="B1824" s="28" t="s">
        <v>58</v>
      </c>
      <c r="C1824" t="s">
        <v>49</v>
      </c>
    </row>
    <row r="1825" spans="1:3" x14ac:dyDescent="0.25">
      <c r="A1825" s="29" t="s">
        <v>1936</v>
      </c>
      <c r="B1825" s="28" t="s">
        <v>58</v>
      </c>
      <c r="C1825" t="s">
        <v>49</v>
      </c>
    </row>
    <row r="1826" spans="1:3" x14ac:dyDescent="0.25">
      <c r="A1826" s="29" t="s">
        <v>1937</v>
      </c>
      <c r="B1826" s="28" t="s">
        <v>58</v>
      </c>
      <c r="C1826" t="s">
        <v>49</v>
      </c>
    </row>
    <row r="1827" spans="1:3" x14ac:dyDescent="0.25">
      <c r="A1827" s="29" t="s">
        <v>1938</v>
      </c>
      <c r="B1827" s="28" t="s">
        <v>58</v>
      </c>
      <c r="C1827" t="s">
        <v>50</v>
      </c>
    </row>
    <row r="1828" spans="1:3" x14ac:dyDescent="0.25">
      <c r="A1828" s="29" t="s">
        <v>1939</v>
      </c>
      <c r="B1828" s="28" t="s">
        <v>58</v>
      </c>
      <c r="C1828" t="s">
        <v>49</v>
      </c>
    </row>
    <row r="1829" spans="1:3" x14ac:dyDescent="0.25">
      <c r="A1829" s="29" t="s">
        <v>1940</v>
      </c>
      <c r="B1829" s="28" t="s">
        <v>58</v>
      </c>
      <c r="C1829" t="s">
        <v>49</v>
      </c>
    </row>
    <row r="1830" spans="1:3" x14ac:dyDescent="0.25">
      <c r="A1830" s="29" t="s">
        <v>1941</v>
      </c>
      <c r="B1830" s="28" t="s">
        <v>58</v>
      </c>
      <c r="C1830" t="s">
        <v>49</v>
      </c>
    </row>
    <row r="1831" spans="1:3" x14ac:dyDescent="0.25">
      <c r="A1831" s="29" t="s">
        <v>1942</v>
      </c>
      <c r="B1831" s="28" t="s">
        <v>58</v>
      </c>
      <c r="C1831" t="s">
        <v>49</v>
      </c>
    </row>
    <row r="1832" spans="1:3" x14ac:dyDescent="0.25">
      <c r="A1832" s="29" t="s">
        <v>1943</v>
      </c>
      <c r="B1832" s="28" t="s">
        <v>58</v>
      </c>
      <c r="C1832" t="s">
        <v>49</v>
      </c>
    </row>
    <row r="1833" spans="1:3" x14ac:dyDescent="0.25">
      <c r="A1833" s="29" t="s">
        <v>1944</v>
      </c>
      <c r="B1833" s="28" t="s">
        <v>58</v>
      </c>
      <c r="C1833" t="s">
        <v>49</v>
      </c>
    </row>
    <row r="1834" spans="1:3" x14ac:dyDescent="0.25">
      <c r="A1834" s="29" t="s">
        <v>1945</v>
      </c>
      <c r="B1834" s="28" t="s">
        <v>56</v>
      </c>
      <c r="C1834" t="s">
        <v>48</v>
      </c>
    </row>
    <row r="1835" spans="1:3" x14ac:dyDescent="0.25">
      <c r="A1835" s="29" t="s">
        <v>1946</v>
      </c>
      <c r="B1835" s="28" t="s">
        <v>58</v>
      </c>
      <c r="C1835" t="s">
        <v>50</v>
      </c>
    </row>
    <row r="1836" spans="1:3" x14ac:dyDescent="0.25">
      <c r="A1836" s="29" t="s">
        <v>1947</v>
      </c>
      <c r="B1836" s="28" t="s">
        <v>58</v>
      </c>
      <c r="C1836" t="s">
        <v>52</v>
      </c>
    </row>
    <row r="1837" spans="1:3" x14ac:dyDescent="0.25">
      <c r="A1837" s="29" t="s">
        <v>1948</v>
      </c>
      <c r="B1837" s="28" t="s">
        <v>58</v>
      </c>
      <c r="C1837" t="s">
        <v>48</v>
      </c>
    </row>
    <row r="1838" spans="1:3" x14ac:dyDescent="0.25">
      <c r="A1838" s="29" t="s">
        <v>1949</v>
      </c>
      <c r="B1838" s="28" t="s">
        <v>58</v>
      </c>
      <c r="C1838" t="s">
        <v>51</v>
      </c>
    </row>
    <row r="1839" spans="1:3" x14ac:dyDescent="0.25">
      <c r="A1839" s="29" t="s">
        <v>1950</v>
      </c>
      <c r="B1839" s="28" t="s">
        <v>58</v>
      </c>
      <c r="C1839" t="s">
        <v>51</v>
      </c>
    </row>
    <row r="1840" spans="1:3" x14ac:dyDescent="0.25">
      <c r="A1840" s="29" t="s">
        <v>1951</v>
      </c>
      <c r="B1840" s="28" t="s">
        <v>58</v>
      </c>
      <c r="C1840" t="s">
        <v>51</v>
      </c>
    </row>
    <row r="1841" spans="1:3" x14ac:dyDescent="0.25">
      <c r="A1841" s="29" t="s">
        <v>1952</v>
      </c>
      <c r="B1841" s="28" t="s">
        <v>58</v>
      </c>
      <c r="C1841" t="s">
        <v>52</v>
      </c>
    </row>
    <row r="1842" spans="1:3" x14ac:dyDescent="0.25">
      <c r="A1842" s="29" t="s">
        <v>1953</v>
      </c>
      <c r="B1842" s="28" t="s">
        <v>58</v>
      </c>
      <c r="C1842" t="s">
        <v>52</v>
      </c>
    </row>
    <row r="1843" spans="1:3" x14ac:dyDescent="0.25">
      <c r="A1843" s="29" t="s">
        <v>1954</v>
      </c>
      <c r="B1843" s="28" t="s">
        <v>58</v>
      </c>
      <c r="C1843" t="s">
        <v>52</v>
      </c>
    </row>
    <row r="1844" spans="1:3" x14ac:dyDescent="0.25">
      <c r="A1844" s="29" t="s">
        <v>1955</v>
      </c>
      <c r="B1844" s="28" t="s">
        <v>58</v>
      </c>
      <c r="C1844" t="s">
        <v>52</v>
      </c>
    </row>
    <row r="1845" spans="1:3" x14ac:dyDescent="0.25">
      <c r="A1845" s="29" t="s">
        <v>1956</v>
      </c>
      <c r="B1845" s="28" t="s">
        <v>58</v>
      </c>
      <c r="C1845" t="s">
        <v>50</v>
      </c>
    </row>
    <row r="1846" spans="1:3" x14ac:dyDescent="0.25">
      <c r="A1846" s="29" t="s">
        <v>1957</v>
      </c>
      <c r="B1846" s="28" t="s">
        <v>58</v>
      </c>
      <c r="C1846" t="s">
        <v>51</v>
      </c>
    </row>
    <row r="1847" spans="1:3" x14ac:dyDescent="0.25">
      <c r="A1847" s="29" t="s">
        <v>1958</v>
      </c>
      <c r="B1847" s="28" t="s">
        <v>58</v>
      </c>
      <c r="C1847" t="s">
        <v>49</v>
      </c>
    </row>
    <row r="1848" spans="1:3" x14ac:dyDescent="0.25">
      <c r="A1848" s="29" t="s">
        <v>1959</v>
      </c>
      <c r="B1848" s="28" t="s">
        <v>58</v>
      </c>
      <c r="C1848" t="s">
        <v>51</v>
      </c>
    </row>
    <row r="1849" spans="1:3" x14ac:dyDescent="0.25">
      <c r="A1849" s="29" t="s">
        <v>1960</v>
      </c>
      <c r="B1849" s="28" t="s">
        <v>58</v>
      </c>
      <c r="C1849" t="s">
        <v>51</v>
      </c>
    </row>
    <row r="1850" spans="1:3" x14ac:dyDescent="0.25">
      <c r="A1850" s="29" t="s">
        <v>1961</v>
      </c>
      <c r="B1850" s="28" t="s">
        <v>58</v>
      </c>
      <c r="C1850" t="s">
        <v>48</v>
      </c>
    </row>
    <row r="1851" spans="1:3" x14ac:dyDescent="0.25">
      <c r="A1851" s="29" t="s">
        <v>1962</v>
      </c>
      <c r="B1851" s="28" t="s">
        <v>58</v>
      </c>
      <c r="C1851" t="s">
        <v>48</v>
      </c>
    </row>
    <row r="1852" spans="1:3" x14ac:dyDescent="0.25">
      <c r="A1852" s="29" t="s">
        <v>1963</v>
      </c>
      <c r="B1852" s="28" t="s">
        <v>58</v>
      </c>
      <c r="C1852" t="s">
        <v>49</v>
      </c>
    </row>
    <row r="1853" spans="1:3" x14ac:dyDescent="0.25">
      <c r="A1853" s="29" t="s">
        <v>1964</v>
      </c>
      <c r="B1853" s="28" t="s">
        <v>58</v>
      </c>
      <c r="C1853" t="s">
        <v>49</v>
      </c>
    </row>
    <row r="1854" spans="1:3" x14ac:dyDescent="0.25">
      <c r="A1854" s="29" t="s">
        <v>1965</v>
      </c>
      <c r="B1854" s="28" t="s">
        <v>58</v>
      </c>
      <c r="C1854" t="s">
        <v>49</v>
      </c>
    </row>
    <row r="1855" spans="1:3" x14ac:dyDescent="0.25">
      <c r="A1855" s="29" t="s">
        <v>1966</v>
      </c>
      <c r="B1855" s="28" t="s">
        <v>58</v>
      </c>
      <c r="C1855" t="s">
        <v>49</v>
      </c>
    </row>
    <row r="1856" spans="1:3" x14ac:dyDescent="0.25">
      <c r="A1856" s="29" t="s">
        <v>1967</v>
      </c>
      <c r="B1856" s="28" t="s">
        <v>58</v>
      </c>
      <c r="C1856" t="s">
        <v>50</v>
      </c>
    </row>
    <row r="1857" spans="1:3" x14ac:dyDescent="0.25">
      <c r="A1857" s="29" t="s">
        <v>1968</v>
      </c>
      <c r="B1857" s="28" t="s">
        <v>58</v>
      </c>
      <c r="C1857" t="s">
        <v>48</v>
      </c>
    </row>
    <row r="1858" spans="1:3" x14ac:dyDescent="0.25">
      <c r="A1858" s="29" t="s">
        <v>1969</v>
      </c>
      <c r="B1858" s="28" t="s">
        <v>58</v>
      </c>
      <c r="C1858" t="s">
        <v>48</v>
      </c>
    </row>
    <row r="1859" spans="1:3" x14ac:dyDescent="0.25">
      <c r="A1859" s="29" t="s">
        <v>1971</v>
      </c>
      <c r="B1859" s="28" t="s">
        <v>58</v>
      </c>
      <c r="C1859" t="s">
        <v>52</v>
      </c>
    </row>
    <row r="1860" spans="1:3" x14ac:dyDescent="0.25">
      <c r="A1860" s="29" t="s">
        <v>1972</v>
      </c>
      <c r="B1860" s="28" t="s">
        <v>58</v>
      </c>
      <c r="C1860" t="s">
        <v>50</v>
      </c>
    </row>
    <row r="1861" spans="1:3" x14ac:dyDescent="0.25">
      <c r="A1861" s="29" t="s">
        <v>1973</v>
      </c>
      <c r="B1861" s="28" t="s">
        <v>58</v>
      </c>
      <c r="C1861" t="s">
        <v>50</v>
      </c>
    </row>
    <row r="1862" spans="1:3" x14ac:dyDescent="0.25">
      <c r="A1862" s="29" t="s">
        <v>1974</v>
      </c>
      <c r="B1862" s="28" t="s">
        <v>58</v>
      </c>
      <c r="C1862" t="s">
        <v>49</v>
      </c>
    </row>
    <row r="1863" spans="1:3" x14ac:dyDescent="0.25">
      <c r="A1863" s="29" t="s">
        <v>1975</v>
      </c>
      <c r="B1863" s="28" t="s">
        <v>58</v>
      </c>
      <c r="C1863" t="s">
        <v>49</v>
      </c>
    </row>
    <row r="1864" spans="1:3" x14ac:dyDescent="0.25">
      <c r="A1864" s="29" t="s">
        <v>1976</v>
      </c>
      <c r="B1864" s="28" t="s">
        <v>58</v>
      </c>
      <c r="C1864" t="s">
        <v>49</v>
      </c>
    </row>
    <row r="1865" spans="1:3" x14ac:dyDescent="0.25">
      <c r="A1865" s="29" t="s">
        <v>1977</v>
      </c>
      <c r="B1865" s="28" t="s">
        <v>58</v>
      </c>
      <c r="C1865" t="s">
        <v>49</v>
      </c>
    </row>
    <row r="1866" spans="1:3" x14ac:dyDescent="0.25">
      <c r="A1866" s="29" t="s">
        <v>1978</v>
      </c>
      <c r="B1866" s="28" t="s">
        <v>58</v>
      </c>
      <c r="C1866" t="s">
        <v>50</v>
      </c>
    </row>
    <row r="1867" spans="1:3" x14ac:dyDescent="0.25">
      <c r="A1867" s="29" t="s">
        <v>401</v>
      </c>
      <c r="B1867" s="28" t="s">
        <v>58</v>
      </c>
      <c r="C1867" t="s">
        <v>49</v>
      </c>
    </row>
    <row r="1868" spans="1:3" x14ac:dyDescent="0.25">
      <c r="A1868" s="29" t="s">
        <v>1720</v>
      </c>
      <c r="B1868" s="28" t="s">
        <v>58</v>
      </c>
      <c r="C1868" t="s">
        <v>49</v>
      </c>
    </row>
    <row r="1869" spans="1:3" x14ac:dyDescent="0.25">
      <c r="A1869" s="29" t="s">
        <v>1920</v>
      </c>
      <c r="B1869" s="28" t="s">
        <v>56</v>
      </c>
      <c r="C1869" t="s">
        <v>52</v>
      </c>
    </row>
    <row r="1870" spans="1:3" x14ac:dyDescent="0.25">
      <c r="A1870" s="29" t="s">
        <v>1470</v>
      </c>
      <c r="B1870" s="28" t="s">
        <v>58</v>
      </c>
      <c r="C1870" t="s">
        <v>51</v>
      </c>
    </row>
    <row r="1871" spans="1:3" x14ac:dyDescent="0.25">
      <c r="A1871" s="29" t="s">
        <v>1472</v>
      </c>
      <c r="B1871" s="28" t="s">
        <v>58</v>
      </c>
      <c r="C1871" t="s">
        <v>51</v>
      </c>
    </row>
    <row r="1872" spans="1:3" x14ac:dyDescent="0.25">
      <c r="A1872" s="29" t="s">
        <v>1715</v>
      </c>
      <c r="B1872" s="28" t="s">
        <v>58</v>
      </c>
      <c r="C1872" t="s">
        <v>49</v>
      </c>
    </row>
    <row r="1873" spans="1:3" x14ac:dyDescent="0.25">
      <c r="A1873" s="29" t="s">
        <v>1979</v>
      </c>
      <c r="B1873" s="28" t="s">
        <v>58</v>
      </c>
      <c r="C1873" t="s">
        <v>51</v>
      </c>
    </row>
    <row r="1874" spans="1:3" x14ac:dyDescent="0.25">
      <c r="A1874" s="29" t="s">
        <v>1980</v>
      </c>
      <c r="B1874" s="28" t="s">
        <v>58</v>
      </c>
      <c r="C1874" t="s">
        <v>51</v>
      </c>
    </row>
    <row r="1875" spans="1:3" x14ac:dyDescent="0.25">
      <c r="A1875" s="29" t="s">
        <v>1981</v>
      </c>
      <c r="B1875" s="28" t="s">
        <v>58</v>
      </c>
      <c r="C1875" t="s">
        <v>50</v>
      </c>
    </row>
    <row r="1876" spans="1:3" x14ac:dyDescent="0.25">
      <c r="A1876" s="29" t="s">
        <v>1982</v>
      </c>
      <c r="B1876" s="28" t="s">
        <v>58</v>
      </c>
      <c r="C1876" t="s">
        <v>50</v>
      </c>
    </row>
    <row r="1877" spans="1:3" x14ac:dyDescent="0.25">
      <c r="A1877" s="29" t="s">
        <v>1983</v>
      </c>
      <c r="B1877" s="28" t="s">
        <v>58</v>
      </c>
      <c r="C1877" t="s">
        <v>51</v>
      </c>
    </row>
    <row r="1878" spans="1:3" x14ac:dyDescent="0.25">
      <c r="A1878" s="29" t="s">
        <v>1984</v>
      </c>
      <c r="B1878" s="28" t="s">
        <v>58</v>
      </c>
      <c r="C1878" t="s">
        <v>51</v>
      </c>
    </row>
    <row r="1879" spans="1:3" x14ac:dyDescent="0.25">
      <c r="A1879" s="29" t="s">
        <v>867</v>
      </c>
      <c r="B1879" s="28" t="s">
        <v>55</v>
      </c>
      <c r="C1879" t="s">
        <v>50</v>
      </c>
    </row>
    <row r="1880" spans="1:3" x14ac:dyDescent="0.25">
      <c r="A1880" s="29" t="s">
        <v>1985</v>
      </c>
      <c r="B1880" s="28" t="s">
        <v>57</v>
      </c>
      <c r="C1880" t="s">
        <v>52</v>
      </c>
    </row>
    <row r="1881" spans="1:3" x14ac:dyDescent="0.25">
      <c r="A1881" s="29" t="s">
        <v>1986</v>
      </c>
      <c r="B1881" s="28" t="s">
        <v>56</v>
      </c>
      <c r="C1881" t="s">
        <v>48</v>
      </c>
    </row>
    <row r="1882" spans="1:3" x14ac:dyDescent="0.25">
      <c r="A1882" s="29" t="s">
        <v>1987</v>
      </c>
      <c r="B1882" s="28" t="s">
        <v>58</v>
      </c>
      <c r="C1882" t="s">
        <v>51</v>
      </c>
    </row>
    <row r="1883" spans="1:3" x14ac:dyDescent="0.25">
      <c r="A1883" s="29" t="s">
        <v>1988</v>
      </c>
      <c r="B1883" s="28" t="s">
        <v>58</v>
      </c>
      <c r="C1883" t="s">
        <v>51</v>
      </c>
    </row>
    <row r="1884" spans="1:3" x14ac:dyDescent="0.25">
      <c r="A1884" s="29" t="s">
        <v>1989</v>
      </c>
      <c r="B1884" s="28" t="s">
        <v>58</v>
      </c>
      <c r="C1884" t="s">
        <v>48</v>
      </c>
    </row>
    <row r="1885" spans="1:3" x14ac:dyDescent="0.25">
      <c r="A1885" s="29" t="s">
        <v>1990</v>
      </c>
      <c r="B1885" s="28" t="s">
        <v>58</v>
      </c>
      <c r="C1885" t="s">
        <v>48</v>
      </c>
    </row>
    <row r="1886" spans="1:3" x14ac:dyDescent="0.25">
      <c r="A1886" s="29" t="s">
        <v>1991</v>
      </c>
      <c r="B1886" s="28" t="s">
        <v>58</v>
      </c>
      <c r="C1886" t="s">
        <v>49</v>
      </c>
    </row>
    <row r="1887" spans="1:3" x14ac:dyDescent="0.25">
      <c r="A1887" s="29" t="s">
        <v>1992</v>
      </c>
      <c r="B1887" s="28" t="s">
        <v>56</v>
      </c>
      <c r="C1887" t="s">
        <v>49</v>
      </c>
    </row>
    <row r="1888" spans="1:3" x14ac:dyDescent="0.25">
      <c r="A1888" s="29" t="s">
        <v>1993</v>
      </c>
      <c r="B1888" s="28" t="s">
        <v>56</v>
      </c>
      <c r="C1888" t="s">
        <v>49</v>
      </c>
    </row>
    <row r="1889" spans="1:3" x14ac:dyDescent="0.25">
      <c r="A1889" s="29" t="s">
        <v>1994</v>
      </c>
      <c r="B1889" s="28" t="s">
        <v>56</v>
      </c>
      <c r="C1889" t="s">
        <v>51</v>
      </c>
    </row>
    <row r="1890" spans="1:3" x14ac:dyDescent="0.25">
      <c r="A1890" s="29" t="s">
        <v>1995</v>
      </c>
      <c r="B1890" s="28" t="s">
        <v>1996</v>
      </c>
      <c r="C1890" t="s">
        <v>2105</v>
      </c>
    </row>
    <row r="1891" spans="1:3" x14ac:dyDescent="0.25">
      <c r="A1891" s="29" t="s">
        <v>1997</v>
      </c>
      <c r="B1891" s="28" t="s">
        <v>58</v>
      </c>
      <c r="C1891" t="s">
        <v>51</v>
      </c>
    </row>
    <row r="1892" spans="1:3" x14ac:dyDescent="0.25">
      <c r="A1892" s="29" t="s">
        <v>1998</v>
      </c>
      <c r="B1892" s="28" t="s">
        <v>58</v>
      </c>
      <c r="C1892" t="s">
        <v>51</v>
      </c>
    </row>
    <row r="1893" spans="1:3" x14ac:dyDescent="0.25">
      <c r="A1893" s="29" t="s">
        <v>1999</v>
      </c>
      <c r="B1893" s="28" t="s">
        <v>58</v>
      </c>
      <c r="C1893" t="s">
        <v>51</v>
      </c>
    </row>
    <row r="1894" spans="1:3" x14ac:dyDescent="0.25">
      <c r="A1894" s="29" t="s">
        <v>2000</v>
      </c>
      <c r="B1894" s="28" t="s">
        <v>57</v>
      </c>
      <c r="C1894" t="s">
        <v>51</v>
      </c>
    </row>
    <row r="1895" spans="1:3" x14ac:dyDescent="0.25">
      <c r="A1895" s="29" t="s">
        <v>2001</v>
      </c>
      <c r="B1895" s="28" t="s">
        <v>56</v>
      </c>
      <c r="C1895" t="s">
        <v>51</v>
      </c>
    </row>
    <row r="1896" spans="1:3" x14ac:dyDescent="0.25">
      <c r="A1896" s="29" t="s">
        <v>2002</v>
      </c>
      <c r="B1896" s="28" t="s">
        <v>59</v>
      </c>
      <c r="C1896" t="s">
        <v>50</v>
      </c>
    </row>
    <row r="1897" spans="1:3" x14ac:dyDescent="0.25">
      <c r="A1897" s="29" t="s">
        <v>1837</v>
      </c>
      <c r="B1897" s="28" t="s">
        <v>59</v>
      </c>
      <c r="C1897" t="s">
        <v>52</v>
      </c>
    </row>
    <row r="1898" spans="1:3" x14ac:dyDescent="0.25">
      <c r="A1898" s="29" t="s">
        <v>2003</v>
      </c>
      <c r="B1898" s="28" t="s">
        <v>59</v>
      </c>
      <c r="C1898" t="s">
        <v>51</v>
      </c>
    </row>
    <row r="1899" spans="1:3" x14ac:dyDescent="0.25">
      <c r="A1899" s="29" t="s">
        <v>2004</v>
      </c>
      <c r="B1899" s="28" t="s">
        <v>59</v>
      </c>
      <c r="C1899" t="s">
        <v>49</v>
      </c>
    </row>
    <row r="1900" spans="1:3" x14ac:dyDescent="0.25">
      <c r="A1900" s="29" t="s">
        <v>2005</v>
      </c>
      <c r="B1900" s="28" t="s">
        <v>59</v>
      </c>
      <c r="C1900" t="s">
        <v>50</v>
      </c>
    </row>
    <row r="1901" spans="1:3" x14ac:dyDescent="0.25">
      <c r="A1901" s="29" t="s">
        <v>2006</v>
      </c>
      <c r="B1901" s="28" t="s">
        <v>59</v>
      </c>
      <c r="C1901" t="s">
        <v>50</v>
      </c>
    </row>
    <row r="1902" spans="1:3" x14ac:dyDescent="0.25">
      <c r="A1902" s="29" t="s">
        <v>2007</v>
      </c>
      <c r="B1902" s="28" t="s">
        <v>59</v>
      </c>
      <c r="C1902" t="s">
        <v>49</v>
      </c>
    </row>
    <row r="1903" spans="1:3" x14ac:dyDescent="0.25">
      <c r="A1903" s="29" t="s">
        <v>2008</v>
      </c>
      <c r="B1903" s="28" t="s">
        <v>59</v>
      </c>
      <c r="C1903" t="s">
        <v>48</v>
      </c>
    </row>
    <row r="1904" spans="1:3" x14ac:dyDescent="0.25">
      <c r="A1904" s="29" t="s">
        <v>2009</v>
      </c>
      <c r="B1904" s="28" t="s">
        <v>59</v>
      </c>
      <c r="C1904" t="s">
        <v>52</v>
      </c>
    </row>
    <row r="1905" spans="1:3" x14ac:dyDescent="0.25">
      <c r="A1905" s="29" t="s">
        <v>2010</v>
      </c>
      <c r="B1905" s="28" t="s">
        <v>59</v>
      </c>
      <c r="C1905" t="s">
        <v>49</v>
      </c>
    </row>
    <row r="1906" spans="1:3" x14ac:dyDescent="0.25">
      <c r="A1906" s="29" t="s">
        <v>2011</v>
      </c>
      <c r="B1906" s="28" t="s">
        <v>59</v>
      </c>
      <c r="C1906" t="s">
        <v>48</v>
      </c>
    </row>
    <row r="1907" spans="1:3" x14ac:dyDescent="0.25">
      <c r="A1907" s="29" t="s">
        <v>1701</v>
      </c>
      <c r="B1907" s="28" t="s">
        <v>59</v>
      </c>
      <c r="C1907" t="s">
        <v>51</v>
      </c>
    </row>
    <row r="1908" spans="1:3" x14ac:dyDescent="0.25">
      <c r="A1908" s="29" t="s">
        <v>156</v>
      </c>
      <c r="B1908" s="28" t="s">
        <v>59</v>
      </c>
      <c r="C1908" t="s">
        <v>52</v>
      </c>
    </row>
    <row r="1909" spans="1:3" x14ac:dyDescent="0.25">
      <c r="A1909" s="29" t="s">
        <v>2012</v>
      </c>
      <c r="B1909" s="28" t="s">
        <v>59</v>
      </c>
      <c r="C1909" t="s">
        <v>50</v>
      </c>
    </row>
    <row r="1910" spans="1:3" x14ac:dyDescent="0.25">
      <c r="A1910" s="29" t="s">
        <v>2013</v>
      </c>
      <c r="B1910" s="28" t="s">
        <v>59</v>
      </c>
      <c r="C1910" t="s">
        <v>50</v>
      </c>
    </row>
    <row r="1911" spans="1:3" x14ac:dyDescent="0.25">
      <c r="A1911" s="29" t="s">
        <v>2014</v>
      </c>
      <c r="B1911" s="28" t="s">
        <v>59</v>
      </c>
      <c r="C1911" t="s">
        <v>51</v>
      </c>
    </row>
    <row r="1912" spans="1:3" x14ac:dyDescent="0.25">
      <c r="A1912" s="29" t="s">
        <v>2015</v>
      </c>
      <c r="B1912" s="28" t="s">
        <v>59</v>
      </c>
      <c r="C1912" t="s">
        <v>49</v>
      </c>
    </row>
    <row r="1913" spans="1:3" x14ac:dyDescent="0.25">
      <c r="A1913" s="29" t="s">
        <v>2016</v>
      </c>
      <c r="B1913" s="28" t="s">
        <v>59</v>
      </c>
      <c r="C1913" t="s">
        <v>48</v>
      </c>
    </row>
    <row r="1914" spans="1:3" x14ac:dyDescent="0.25">
      <c r="A1914" s="29" t="s">
        <v>2017</v>
      </c>
      <c r="B1914" s="28" t="s">
        <v>59</v>
      </c>
      <c r="C1914" t="s">
        <v>52</v>
      </c>
    </row>
    <row r="1915" spans="1:3" x14ac:dyDescent="0.25">
      <c r="A1915" s="29" t="s">
        <v>1827</v>
      </c>
      <c r="B1915" s="28" t="s">
        <v>59</v>
      </c>
      <c r="C1915" t="s">
        <v>52</v>
      </c>
    </row>
    <row r="1916" spans="1:3" x14ac:dyDescent="0.25">
      <c r="A1916" s="29" t="s">
        <v>2018</v>
      </c>
      <c r="B1916" s="28" t="s">
        <v>59</v>
      </c>
      <c r="C1916" t="s">
        <v>49</v>
      </c>
    </row>
    <row r="1917" spans="1:3" x14ac:dyDescent="0.25">
      <c r="A1917" s="29" t="s">
        <v>2019</v>
      </c>
      <c r="B1917" s="28" t="s">
        <v>59</v>
      </c>
      <c r="C1917" t="s">
        <v>49</v>
      </c>
    </row>
    <row r="1918" spans="1:3" x14ac:dyDescent="0.25">
      <c r="A1918" s="29" t="s">
        <v>2020</v>
      </c>
      <c r="B1918" s="28" t="s">
        <v>59</v>
      </c>
      <c r="C1918" t="s">
        <v>51</v>
      </c>
    </row>
    <row r="1919" spans="1:3" x14ac:dyDescent="0.25">
      <c r="A1919" s="29" t="s">
        <v>2021</v>
      </c>
      <c r="B1919" s="28" t="s">
        <v>59</v>
      </c>
      <c r="C1919" t="s">
        <v>51</v>
      </c>
    </row>
    <row r="1920" spans="1:3" x14ac:dyDescent="0.25">
      <c r="A1920" s="29" t="s">
        <v>2022</v>
      </c>
      <c r="B1920" s="28" t="s">
        <v>59</v>
      </c>
      <c r="C1920" t="s">
        <v>51</v>
      </c>
    </row>
    <row r="1921" spans="1:3" x14ac:dyDescent="0.25">
      <c r="A1921" s="29" t="s">
        <v>2023</v>
      </c>
      <c r="B1921" s="28" t="s">
        <v>59</v>
      </c>
      <c r="C1921" t="s">
        <v>52</v>
      </c>
    </row>
    <row r="1922" spans="1:3" x14ac:dyDescent="0.25">
      <c r="A1922" s="29" t="s">
        <v>2024</v>
      </c>
      <c r="B1922" s="28" t="s">
        <v>59</v>
      </c>
      <c r="C1922" t="s">
        <v>48</v>
      </c>
    </row>
    <row r="1923" spans="1:3" x14ac:dyDescent="0.25">
      <c r="A1923" s="29" t="s">
        <v>16</v>
      </c>
      <c r="B1923" s="28" t="s">
        <v>59</v>
      </c>
      <c r="C1923" t="s">
        <v>51</v>
      </c>
    </row>
    <row r="1924" spans="1:3" x14ac:dyDescent="0.25">
      <c r="A1924" s="29" t="s">
        <v>93</v>
      </c>
      <c r="B1924" s="28" t="s">
        <v>59</v>
      </c>
      <c r="C1924" t="s">
        <v>50</v>
      </c>
    </row>
    <row r="1925" spans="1:3" x14ac:dyDescent="0.25">
      <c r="A1925" s="29" t="s">
        <v>198</v>
      </c>
      <c r="B1925" s="28" t="s">
        <v>59</v>
      </c>
      <c r="C1925" t="s">
        <v>49</v>
      </c>
    </row>
    <row r="1926" spans="1:3" x14ac:dyDescent="0.25">
      <c r="A1926" s="29" t="s">
        <v>2025</v>
      </c>
      <c r="B1926" s="28" t="s">
        <v>59</v>
      </c>
      <c r="C1926" t="s">
        <v>52</v>
      </c>
    </row>
    <row r="1927" spans="1:3" x14ac:dyDescent="0.25">
      <c r="A1927" s="29" t="s">
        <v>2026</v>
      </c>
      <c r="B1927" s="28" t="s">
        <v>59</v>
      </c>
      <c r="C1927" t="s">
        <v>52</v>
      </c>
    </row>
    <row r="1928" spans="1:3" x14ac:dyDescent="0.25">
      <c r="A1928" s="29" t="s">
        <v>2027</v>
      </c>
      <c r="B1928" s="28" t="s">
        <v>59</v>
      </c>
      <c r="C1928" t="s">
        <v>49</v>
      </c>
    </row>
    <row r="1929" spans="1:3" x14ac:dyDescent="0.25">
      <c r="A1929" s="29" t="s">
        <v>2028</v>
      </c>
      <c r="B1929" s="28" t="s">
        <v>59</v>
      </c>
      <c r="C1929" t="s">
        <v>50</v>
      </c>
    </row>
    <row r="1930" spans="1:3" x14ac:dyDescent="0.25">
      <c r="A1930" s="29" t="s">
        <v>137</v>
      </c>
      <c r="B1930" s="28" t="s">
        <v>59</v>
      </c>
      <c r="C1930" t="s">
        <v>49</v>
      </c>
    </row>
    <row r="1931" spans="1:3" x14ac:dyDescent="0.25">
      <c r="A1931" s="29" t="s">
        <v>2029</v>
      </c>
      <c r="B1931" s="28" t="s">
        <v>59</v>
      </c>
      <c r="C1931" t="s">
        <v>50</v>
      </c>
    </row>
    <row r="1932" spans="1:3" x14ac:dyDescent="0.25">
      <c r="A1932" s="29" t="s">
        <v>2030</v>
      </c>
      <c r="B1932" s="28" t="s">
        <v>59</v>
      </c>
      <c r="C1932" t="s">
        <v>51</v>
      </c>
    </row>
    <row r="1933" spans="1:3" x14ac:dyDescent="0.25">
      <c r="A1933" s="29" t="s">
        <v>2031</v>
      </c>
      <c r="B1933" s="28" t="s">
        <v>59</v>
      </c>
      <c r="C1933" t="s">
        <v>49</v>
      </c>
    </row>
    <row r="1934" spans="1:3" x14ac:dyDescent="0.25">
      <c r="A1934" s="29" t="s">
        <v>2032</v>
      </c>
      <c r="B1934" s="28" t="s">
        <v>59</v>
      </c>
      <c r="C1934" t="s">
        <v>50</v>
      </c>
    </row>
    <row r="1935" spans="1:3" x14ac:dyDescent="0.25">
      <c r="A1935" s="29" t="s">
        <v>142</v>
      </c>
      <c r="B1935" s="28" t="s">
        <v>59</v>
      </c>
      <c r="C1935" t="s">
        <v>52</v>
      </c>
    </row>
    <row r="1936" spans="1:3" x14ac:dyDescent="0.25">
      <c r="A1936" s="29" t="s">
        <v>2033</v>
      </c>
      <c r="B1936" s="28" t="s">
        <v>59</v>
      </c>
      <c r="C1936" t="s">
        <v>50</v>
      </c>
    </row>
    <row r="1937" spans="1:3" x14ac:dyDescent="0.25">
      <c r="A1937" s="29" t="s">
        <v>1788</v>
      </c>
      <c r="B1937" s="28" t="s">
        <v>59</v>
      </c>
      <c r="C1937" t="s">
        <v>52</v>
      </c>
    </row>
    <row r="1938" spans="1:3" x14ac:dyDescent="0.25">
      <c r="A1938" s="29" t="s">
        <v>2034</v>
      </c>
      <c r="B1938" s="28" t="s">
        <v>59</v>
      </c>
      <c r="C1938" t="s">
        <v>48</v>
      </c>
    </row>
    <row r="1939" spans="1:3" x14ac:dyDescent="0.25">
      <c r="A1939" s="29" t="s">
        <v>2035</v>
      </c>
      <c r="B1939" s="28" t="s">
        <v>59</v>
      </c>
      <c r="C1939" t="s">
        <v>51</v>
      </c>
    </row>
    <row r="1940" spans="1:3" x14ac:dyDescent="0.25">
      <c r="A1940" s="29" t="s">
        <v>2036</v>
      </c>
      <c r="B1940" s="28" t="s">
        <v>59</v>
      </c>
      <c r="C1940" t="s">
        <v>52</v>
      </c>
    </row>
    <row r="1941" spans="1:3" x14ac:dyDescent="0.25">
      <c r="A1941" s="29" t="s">
        <v>2037</v>
      </c>
      <c r="B1941" s="28" t="s">
        <v>59</v>
      </c>
      <c r="C1941" t="s">
        <v>48</v>
      </c>
    </row>
    <row r="1942" spans="1:3" x14ac:dyDescent="0.25">
      <c r="A1942" s="29" t="s">
        <v>2038</v>
      </c>
      <c r="B1942" s="28" t="s">
        <v>59</v>
      </c>
      <c r="C1942" t="s">
        <v>48</v>
      </c>
    </row>
    <row r="1943" spans="1:3" x14ac:dyDescent="0.25">
      <c r="A1943" s="29" t="s">
        <v>122</v>
      </c>
      <c r="B1943" s="28" t="s">
        <v>59</v>
      </c>
      <c r="C1943" t="s">
        <v>49</v>
      </c>
    </row>
    <row r="1944" spans="1:3" x14ac:dyDescent="0.25">
      <c r="A1944" s="29" t="s">
        <v>2039</v>
      </c>
      <c r="B1944" s="28" t="s">
        <v>59</v>
      </c>
      <c r="C1944" t="s">
        <v>52</v>
      </c>
    </row>
    <row r="1945" spans="1:3" x14ac:dyDescent="0.25">
      <c r="A1945" s="29" t="s">
        <v>2040</v>
      </c>
      <c r="B1945" s="28" t="s">
        <v>59</v>
      </c>
      <c r="C1945" t="s">
        <v>51</v>
      </c>
    </row>
    <row r="1946" spans="1:3" x14ac:dyDescent="0.25">
      <c r="A1946" s="29" t="s">
        <v>2041</v>
      </c>
      <c r="B1946" s="28" t="s">
        <v>59</v>
      </c>
      <c r="C1946" t="s">
        <v>50</v>
      </c>
    </row>
    <row r="1947" spans="1:3" x14ac:dyDescent="0.25">
      <c r="A1947" s="29" t="s">
        <v>2042</v>
      </c>
      <c r="B1947" s="28" t="s">
        <v>59</v>
      </c>
      <c r="C1947" t="s">
        <v>50</v>
      </c>
    </row>
    <row r="1948" spans="1:3" x14ac:dyDescent="0.25">
      <c r="A1948" s="29" t="s">
        <v>2043</v>
      </c>
      <c r="B1948" s="28" t="s">
        <v>59</v>
      </c>
      <c r="C1948" t="s">
        <v>49</v>
      </c>
    </row>
    <row r="1949" spans="1:3" x14ac:dyDescent="0.25">
      <c r="A1949" s="29" t="s">
        <v>130</v>
      </c>
      <c r="B1949" s="28" t="s">
        <v>59</v>
      </c>
      <c r="C1949" t="s">
        <v>49</v>
      </c>
    </row>
    <row r="1950" spans="1:3" x14ac:dyDescent="0.25">
      <c r="A1950" s="29" t="s">
        <v>128</v>
      </c>
      <c r="B1950" s="28" t="s">
        <v>59</v>
      </c>
      <c r="C1950" t="s">
        <v>49</v>
      </c>
    </row>
    <row r="1951" spans="1:3" x14ac:dyDescent="0.25">
      <c r="A1951" s="29" t="s">
        <v>2044</v>
      </c>
      <c r="B1951" s="28" t="s">
        <v>59</v>
      </c>
      <c r="C1951" t="s">
        <v>52</v>
      </c>
    </row>
    <row r="1952" spans="1:3" x14ac:dyDescent="0.25">
      <c r="A1952" s="29" t="s">
        <v>758</v>
      </c>
      <c r="B1952" s="28" t="s">
        <v>59</v>
      </c>
      <c r="C1952" t="s">
        <v>52</v>
      </c>
    </row>
    <row r="1953" spans="1:3" x14ac:dyDescent="0.25">
      <c r="A1953" s="29" t="s">
        <v>2045</v>
      </c>
      <c r="B1953" s="28" t="s">
        <v>59</v>
      </c>
      <c r="C1953" t="s">
        <v>48</v>
      </c>
    </row>
    <row r="1954" spans="1:3" x14ac:dyDescent="0.25">
      <c r="A1954" s="29" t="s">
        <v>196</v>
      </c>
      <c r="B1954" s="28" t="s">
        <v>59</v>
      </c>
      <c r="C1954" t="s">
        <v>49</v>
      </c>
    </row>
    <row r="1955" spans="1:3" x14ac:dyDescent="0.25">
      <c r="A1955" s="29" t="s">
        <v>485</v>
      </c>
      <c r="B1955" s="28" t="s">
        <v>59</v>
      </c>
      <c r="C1955" t="s">
        <v>52</v>
      </c>
    </row>
    <row r="1956" spans="1:3" x14ac:dyDescent="0.25">
      <c r="A1956" s="29" t="s">
        <v>2046</v>
      </c>
      <c r="B1956" s="28" t="s">
        <v>59</v>
      </c>
      <c r="C1956" t="s">
        <v>51</v>
      </c>
    </row>
    <row r="1957" spans="1:3" x14ac:dyDescent="0.25">
      <c r="A1957" s="29" t="s">
        <v>1970</v>
      </c>
      <c r="B1957" s="28" t="s">
        <v>59</v>
      </c>
      <c r="C1957" t="s">
        <v>48</v>
      </c>
    </row>
    <row r="1958" spans="1:3" x14ac:dyDescent="0.25">
      <c r="A1958" s="29" t="s">
        <v>2047</v>
      </c>
      <c r="B1958" s="28" t="s">
        <v>59</v>
      </c>
      <c r="C1958" t="s">
        <v>50</v>
      </c>
    </row>
    <row r="1959" spans="1:3" x14ac:dyDescent="0.25">
      <c r="A1959" s="29" t="s">
        <v>2048</v>
      </c>
      <c r="B1959" s="28" t="s">
        <v>59</v>
      </c>
      <c r="C1959" t="s">
        <v>49</v>
      </c>
    </row>
    <row r="1960" spans="1:3" x14ac:dyDescent="0.25">
      <c r="A1960" s="29" t="s">
        <v>96</v>
      </c>
      <c r="B1960" s="28" t="s">
        <v>59</v>
      </c>
      <c r="C1960" t="s">
        <v>49</v>
      </c>
    </row>
    <row r="1961" spans="1:3" x14ac:dyDescent="0.25">
      <c r="A1961" s="29" t="s">
        <v>2049</v>
      </c>
      <c r="B1961" s="28" t="s">
        <v>59</v>
      </c>
      <c r="C1961" t="s">
        <v>48</v>
      </c>
    </row>
    <row r="1962" spans="1:3" x14ac:dyDescent="0.25">
      <c r="A1962" s="29" t="s">
        <v>2050</v>
      </c>
      <c r="B1962" s="28" t="s">
        <v>59</v>
      </c>
      <c r="C1962" t="s">
        <v>51</v>
      </c>
    </row>
    <row r="1963" spans="1:3" x14ac:dyDescent="0.25">
      <c r="A1963" s="29" t="s">
        <v>2051</v>
      </c>
      <c r="B1963" s="28" t="s">
        <v>59</v>
      </c>
      <c r="C1963" t="s">
        <v>48</v>
      </c>
    </row>
    <row r="1964" spans="1:3" x14ac:dyDescent="0.25">
      <c r="A1964" s="29" t="s">
        <v>2052</v>
      </c>
      <c r="B1964" s="28" t="s">
        <v>59</v>
      </c>
      <c r="C1964" t="s">
        <v>51</v>
      </c>
    </row>
    <row r="1965" spans="1:3" x14ac:dyDescent="0.25">
      <c r="A1965" s="29" t="s">
        <v>1823</v>
      </c>
      <c r="B1965" s="28" t="s">
        <v>59</v>
      </c>
      <c r="C1965" t="s">
        <v>50</v>
      </c>
    </row>
    <row r="1966" spans="1:3" x14ac:dyDescent="0.25">
      <c r="A1966" s="29" t="s">
        <v>2053</v>
      </c>
      <c r="B1966" s="28" t="s">
        <v>59</v>
      </c>
      <c r="C1966" t="s">
        <v>48</v>
      </c>
    </row>
    <row r="1967" spans="1:3" x14ac:dyDescent="0.25">
      <c r="A1967" s="29" t="s">
        <v>2054</v>
      </c>
      <c r="B1967" s="28" t="s">
        <v>59</v>
      </c>
      <c r="C1967" t="s">
        <v>2105</v>
      </c>
    </row>
    <row r="1968" spans="1:3" x14ac:dyDescent="0.25">
      <c r="A1968" s="29" t="s">
        <v>2055</v>
      </c>
      <c r="B1968" s="28" t="s">
        <v>1996</v>
      </c>
      <c r="C1968" t="s">
        <v>2105</v>
      </c>
    </row>
    <row r="1969" spans="1:3" x14ac:dyDescent="0.25">
      <c r="A1969" s="29" t="s">
        <v>2056</v>
      </c>
      <c r="B1969" s="28" t="s">
        <v>1996</v>
      </c>
      <c r="C1969" t="s">
        <v>2105</v>
      </c>
    </row>
    <row r="1970" spans="1:3" x14ac:dyDescent="0.25">
      <c r="A1970" s="29" t="s">
        <v>2057</v>
      </c>
      <c r="B1970" s="28" t="s">
        <v>1996</v>
      </c>
      <c r="C1970" t="s">
        <v>2105</v>
      </c>
    </row>
    <row r="1971" spans="1:3" x14ac:dyDescent="0.25">
      <c r="A1971" s="29" t="s">
        <v>2058</v>
      </c>
      <c r="B1971" s="28" t="s">
        <v>1996</v>
      </c>
      <c r="C1971" t="s">
        <v>2105</v>
      </c>
    </row>
    <row r="1972" spans="1:3" x14ac:dyDescent="0.25">
      <c r="A1972" s="29" t="s">
        <v>2059</v>
      </c>
      <c r="B1972" s="28" t="s">
        <v>1996</v>
      </c>
      <c r="C1972" t="s">
        <v>2105</v>
      </c>
    </row>
    <row r="1973" spans="1:3" x14ac:dyDescent="0.25">
      <c r="A1973" s="29" t="s">
        <v>2060</v>
      </c>
      <c r="B1973" s="28" t="s">
        <v>1996</v>
      </c>
      <c r="C1973" t="s">
        <v>2105</v>
      </c>
    </row>
    <row r="1974" spans="1:3" x14ac:dyDescent="0.25">
      <c r="A1974" s="29" t="s">
        <v>2061</v>
      </c>
      <c r="B1974" s="28" t="s">
        <v>1996</v>
      </c>
      <c r="C1974" t="s">
        <v>2105</v>
      </c>
    </row>
    <row r="1975" spans="1:3" x14ac:dyDescent="0.25">
      <c r="A1975" s="29" t="s">
        <v>2062</v>
      </c>
      <c r="B1975" s="28" t="s">
        <v>1996</v>
      </c>
      <c r="C1975" t="s">
        <v>2105</v>
      </c>
    </row>
    <row r="1976" spans="1:3" x14ac:dyDescent="0.25">
      <c r="A1976" s="29" t="s">
        <v>2063</v>
      </c>
      <c r="B1976" s="28" t="s">
        <v>1996</v>
      </c>
      <c r="C1976" t="s">
        <v>2105</v>
      </c>
    </row>
    <row r="1977" spans="1:3" x14ac:dyDescent="0.25">
      <c r="A1977" s="29" t="s">
        <v>2064</v>
      </c>
      <c r="B1977" s="28" t="s">
        <v>1996</v>
      </c>
      <c r="C1977" t="s">
        <v>2105</v>
      </c>
    </row>
    <row r="1978" spans="1:3" x14ac:dyDescent="0.25">
      <c r="A1978" s="29" t="s">
        <v>2065</v>
      </c>
      <c r="B1978" s="28" t="s">
        <v>1996</v>
      </c>
      <c r="C1978" t="s">
        <v>2105</v>
      </c>
    </row>
    <row r="1979" spans="1:3" x14ac:dyDescent="0.25">
      <c r="A1979" s="29" t="s">
        <v>2066</v>
      </c>
      <c r="B1979" s="28" t="s">
        <v>1996</v>
      </c>
      <c r="C1979" t="s">
        <v>2105</v>
      </c>
    </row>
    <row r="1980" spans="1:3" x14ac:dyDescent="0.25">
      <c r="A1980" s="29" t="s">
        <v>2067</v>
      </c>
      <c r="B1980" s="28" t="s">
        <v>1996</v>
      </c>
      <c r="C1980" t="s">
        <v>2105</v>
      </c>
    </row>
    <row r="1981" spans="1:3" x14ac:dyDescent="0.25">
      <c r="A1981" s="29" t="s">
        <v>2068</v>
      </c>
      <c r="B1981" s="28" t="s">
        <v>1996</v>
      </c>
      <c r="C1981" t="s">
        <v>2105</v>
      </c>
    </row>
    <row r="1982" spans="1:3" x14ac:dyDescent="0.25">
      <c r="A1982" s="29" t="s">
        <v>2069</v>
      </c>
      <c r="B1982" s="28" t="s">
        <v>1996</v>
      </c>
      <c r="C1982" t="s">
        <v>2105</v>
      </c>
    </row>
    <row r="1983" spans="1:3" x14ac:dyDescent="0.25">
      <c r="A1983" s="29" t="s">
        <v>2070</v>
      </c>
      <c r="B1983" s="28" t="s">
        <v>1996</v>
      </c>
      <c r="C1983" t="s">
        <v>2105</v>
      </c>
    </row>
    <row r="1984" spans="1:3" x14ac:dyDescent="0.25">
      <c r="A1984" s="29" t="s">
        <v>2071</v>
      </c>
      <c r="B1984" s="28" t="s">
        <v>1996</v>
      </c>
      <c r="C1984" t="s">
        <v>2105</v>
      </c>
    </row>
    <row r="1985" spans="1:3" x14ac:dyDescent="0.25">
      <c r="A1985" s="29" t="s">
        <v>2072</v>
      </c>
      <c r="B1985" s="28" t="s">
        <v>1996</v>
      </c>
      <c r="C1985" t="s">
        <v>2105</v>
      </c>
    </row>
    <row r="1986" spans="1:3" x14ac:dyDescent="0.25">
      <c r="A1986" s="29" t="s">
        <v>2073</v>
      </c>
      <c r="B1986" s="28" t="s">
        <v>59</v>
      </c>
      <c r="C1986" t="s">
        <v>51</v>
      </c>
    </row>
    <row r="1987" spans="1:3" x14ac:dyDescent="0.25">
      <c r="A1987" s="32" t="s">
        <v>2074</v>
      </c>
      <c r="B1987" s="28" t="s">
        <v>58</v>
      </c>
      <c r="C1987" t="s">
        <v>51</v>
      </c>
    </row>
    <row r="1988" spans="1:3" x14ac:dyDescent="0.25">
      <c r="A1988" s="32" t="s">
        <v>2075</v>
      </c>
      <c r="B1988" s="28" t="s">
        <v>58</v>
      </c>
      <c r="C1988" t="s">
        <v>51</v>
      </c>
    </row>
    <row r="1989" spans="1:3" x14ac:dyDescent="0.25">
      <c r="A1989" s="32" t="s">
        <v>2076</v>
      </c>
      <c r="B1989" s="28" t="s">
        <v>58</v>
      </c>
      <c r="C1989" t="s">
        <v>51</v>
      </c>
    </row>
    <row r="1990" spans="1:3" x14ac:dyDescent="0.25">
      <c r="A1990" s="32" t="s">
        <v>2077</v>
      </c>
      <c r="B1990" s="28" t="s">
        <v>58</v>
      </c>
      <c r="C1990" t="s">
        <v>51</v>
      </c>
    </row>
    <row r="1991" spans="1:3" x14ac:dyDescent="0.25">
      <c r="A1991" s="32" t="s">
        <v>2078</v>
      </c>
      <c r="B1991" s="28" t="s">
        <v>58</v>
      </c>
      <c r="C1991" t="s">
        <v>51</v>
      </c>
    </row>
    <row r="1992" spans="1:3" x14ac:dyDescent="0.25">
      <c r="A1992" s="32" t="s">
        <v>2079</v>
      </c>
      <c r="B1992" s="28" t="s">
        <v>58</v>
      </c>
      <c r="C1992" t="s">
        <v>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3:J37"/>
  <sheetViews>
    <sheetView zoomScale="80" zoomScaleNormal="80" workbookViewId="0">
      <selection activeCell="E34" sqref="E34"/>
    </sheetView>
  </sheetViews>
  <sheetFormatPr defaultRowHeight="15" x14ac:dyDescent="0.25"/>
  <cols>
    <col min="1" max="1" width="32.42578125" bestFit="1" customWidth="1"/>
    <col min="2" max="8" width="25.7109375" customWidth="1"/>
    <col min="9" max="9" width="22.7109375" customWidth="1"/>
    <col min="10" max="10" width="19.140625" customWidth="1"/>
  </cols>
  <sheetData>
    <row r="3" spans="1:10" x14ac:dyDescent="0.25">
      <c r="A3" s="5" t="s">
        <v>20</v>
      </c>
      <c r="B3" s="104" t="s">
        <v>21</v>
      </c>
      <c r="C3" s="105"/>
      <c r="D3" s="105"/>
      <c r="E3" s="106"/>
      <c r="F3" s="3"/>
      <c r="G3" s="3"/>
      <c r="H3" s="3"/>
    </row>
    <row r="4" spans="1:10" ht="45" x14ac:dyDescent="0.25">
      <c r="A4" s="6"/>
      <c r="B4" s="107" t="s">
        <v>22</v>
      </c>
      <c r="C4" s="108"/>
      <c r="D4" s="108"/>
      <c r="E4" s="109"/>
      <c r="F4" s="4" t="s">
        <v>23</v>
      </c>
      <c r="G4" s="100" t="s">
        <v>24</v>
      </c>
      <c r="H4" s="100"/>
    </row>
    <row r="5" spans="1:10" ht="30" x14ac:dyDescent="0.25">
      <c r="A5" s="12" t="s">
        <v>25</v>
      </c>
      <c r="B5" s="12" t="s">
        <v>26</v>
      </c>
      <c r="C5" s="12" t="s">
        <v>27</v>
      </c>
      <c r="D5" s="12" t="s">
        <v>28</v>
      </c>
      <c r="E5" s="12" t="s">
        <v>2099</v>
      </c>
      <c r="F5" s="12" t="s">
        <v>29</v>
      </c>
      <c r="G5" s="12" t="s">
        <v>30</v>
      </c>
      <c r="H5" s="12" t="s">
        <v>31</v>
      </c>
    </row>
    <row r="6" spans="1:10" x14ac:dyDescent="0.25">
      <c r="A6" s="7" t="s">
        <v>32</v>
      </c>
      <c r="B6" s="7" t="s">
        <v>33</v>
      </c>
      <c r="C6" s="7">
        <v>8013</v>
      </c>
      <c r="D6" s="7" t="s">
        <v>34</v>
      </c>
      <c r="E6" s="8" t="s">
        <v>35</v>
      </c>
      <c r="F6" s="11">
        <v>317.46449999999999</v>
      </c>
      <c r="G6" s="9"/>
      <c r="H6" s="9"/>
    </row>
    <row r="7" spans="1:10" x14ac:dyDescent="0.25">
      <c r="A7" s="95" t="s">
        <v>18</v>
      </c>
      <c r="B7" s="95" t="s">
        <v>36</v>
      </c>
      <c r="C7" s="95">
        <v>8013</v>
      </c>
      <c r="D7" s="95" t="s">
        <v>18</v>
      </c>
      <c r="E7" s="17" t="s">
        <v>5</v>
      </c>
      <c r="F7" s="21">
        <v>1.7823</v>
      </c>
      <c r="G7" s="19"/>
      <c r="H7" s="19"/>
      <c r="I7" s="33" t="s">
        <v>2085</v>
      </c>
    </row>
    <row r="8" spans="1:10" x14ac:dyDescent="0.25">
      <c r="A8" s="97"/>
      <c r="B8" s="97"/>
      <c r="C8" s="97"/>
      <c r="D8" s="97"/>
      <c r="E8" s="17" t="s">
        <v>37</v>
      </c>
      <c r="F8" s="18">
        <v>1</v>
      </c>
      <c r="G8" s="19"/>
      <c r="H8" s="19"/>
      <c r="I8" s="33" t="s">
        <v>2085</v>
      </c>
    </row>
    <row r="9" spans="1:10" ht="30" x14ac:dyDescent="0.25">
      <c r="A9" s="90" t="s">
        <v>19</v>
      </c>
      <c r="B9" s="90" t="s">
        <v>38</v>
      </c>
      <c r="C9" s="90">
        <v>8013</v>
      </c>
      <c r="D9" s="90" t="s">
        <v>19</v>
      </c>
      <c r="E9" s="8" t="s">
        <v>6</v>
      </c>
      <c r="F9" s="13">
        <v>1</v>
      </c>
      <c r="G9" s="14"/>
      <c r="H9" s="14"/>
      <c r="I9" s="33" t="s">
        <v>2084</v>
      </c>
    </row>
    <row r="10" spans="1:10" ht="30" x14ac:dyDescent="0.25">
      <c r="A10" s="91"/>
      <c r="B10" s="91"/>
      <c r="C10" s="91"/>
      <c r="D10" s="91"/>
      <c r="E10" s="8" t="s">
        <v>39</v>
      </c>
      <c r="F10" s="15">
        <v>0.61019999999999996</v>
      </c>
      <c r="G10" s="14"/>
      <c r="H10" s="14"/>
      <c r="I10" s="33" t="s">
        <v>2084</v>
      </c>
    </row>
    <row r="11" spans="1:10" x14ac:dyDescent="0.25">
      <c r="A11" s="95" t="s">
        <v>40</v>
      </c>
      <c r="B11" s="95" t="s">
        <v>41</v>
      </c>
      <c r="C11" s="95">
        <v>8013</v>
      </c>
      <c r="D11" s="95" t="s">
        <v>40</v>
      </c>
      <c r="E11" s="17" t="s">
        <v>8</v>
      </c>
      <c r="F11" s="18">
        <v>1.4140999999999999</v>
      </c>
      <c r="G11" s="19"/>
      <c r="H11" s="19"/>
      <c r="I11" s="33" t="s">
        <v>2086</v>
      </c>
    </row>
    <row r="12" spans="1:10" ht="30" x14ac:dyDescent="0.25">
      <c r="A12" s="97"/>
      <c r="B12" s="97"/>
      <c r="C12" s="97"/>
      <c r="D12" s="97"/>
      <c r="E12" s="17" t="s">
        <v>42</v>
      </c>
      <c r="F12" s="18">
        <v>1</v>
      </c>
      <c r="G12" s="19"/>
      <c r="H12" s="19"/>
      <c r="I12" s="33" t="s">
        <v>2086</v>
      </c>
    </row>
    <row r="13" spans="1:10" x14ac:dyDescent="0.25">
      <c r="A13" s="90" t="s">
        <v>43</v>
      </c>
      <c r="B13" s="90" t="s">
        <v>44</v>
      </c>
      <c r="C13" s="90">
        <v>8013</v>
      </c>
      <c r="D13" s="90" t="s">
        <v>43</v>
      </c>
      <c r="E13" s="8" t="s">
        <v>7</v>
      </c>
      <c r="F13" s="13">
        <v>1.4155</v>
      </c>
      <c r="G13" s="14"/>
      <c r="H13" s="14"/>
      <c r="I13" s="33" t="s">
        <v>2087</v>
      </c>
    </row>
    <row r="14" spans="1:10" ht="30" x14ac:dyDescent="0.25">
      <c r="A14" s="91"/>
      <c r="B14" s="91"/>
      <c r="C14" s="91"/>
      <c r="D14" s="91"/>
      <c r="E14" s="8" t="s">
        <v>45</v>
      </c>
      <c r="F14" s="13">
        <v>1</v>
      </c>
      <c r="G14" s="14"/>
      <c r="H14" s="14"/>
      <c r="I14" s="33" t="s">
        <v>2087</v>
      </c>
    </row>
    <row r="15" spans="1:10" ht="30" x14ac:dyDescent="0.25">
      <c r="A15" s="95" t="s">
        <v>46</v>
      </c>
      <c r="B15" s="95" t="s">
        <v>47</v>
      </c>
      <c r="C15" s="95">
        <v>8013</v>
      </c>
      <c r="D15" s="95" t="s">
        <v>46</v>
      </c>
      <c r="E15" s="17" t="s">
        <v>48</v>
      </c>
      <c r="F15" s="18">
        <v>0.87880000000000003</v>
      </c>
      <c r="G15" s="19"/>
      <c r="H15" s="19"/>
      <c r="I15" s="33" t="s">
        <v>2088</v>
      </c>
      <c r="J15" s="35" t="s">
        <v>2100</v>
      </c>
    </row>
    <row r="16" spans="1:10" ht="30" x14ac:dyDescent="0.25">
      <c r="A16" s="96"/>
      <c r="B16" s="96"/>
      <c r="C16" s="96"/>
      <c r="D16" s="96"/>
      <c r="E16" s="17" t="s">
        <v>49</v>
      </c>
      <c r="F16" s="18">
        <v>1</v>
      </c>
      <c r="G16" s="19"/>
      <c r="H16" s="19"/>
      <c r="I16" s="33" t="s">
        <v>2088</v>
      </c>
    </row>
    <row r="17" spans="1:10" ht="30" x14ac:dyDescent="0.25">
      <c r="A17" s="96"/>
      <c r="B17" s="96"/>
      <c r="C17" s="96"/>
      <c r="D17" s="96"/>
      <c r="E17" s="17" t="s">
        <v>50</v>
      </c>
      <c r="F17" s="18">
        <v>0.8296</v>
      </c>
      <c r="G17" s="19"/>
      <c r="H17" s="19"/>
      <c r="I17" s="33" t="s">
        <v>2088</v>
      </c>
    </row>
    <row r="18" spans="1:10" ht="30" x14ac:dyDescent="0.25">
      <c r="A18" s="96"/>
      <c r="B18" s="96"/>
      <c r="C18" s="96"/>
      <c r="D18" s="96"/>
      <c r="E18" s="17" t="s">
        <v>51</v>
      </c>
      <c r="F18" s="18">
        <v>0.97309999999999997</v>
      </c>
      <c r="G18" s="19"/>
      <c r="H18" s="19"/>
      <c r="I18" s="33" t="s">
        <v>2088</v>
      </c>
    </row>
    <row r="19" spans="1:10" ht="30" x14ac:dyDescent="0.25">
      <c r="A19" s="97"/>
      <c r="B19" s="97"/>
      <c r="C19" s="97"/>
      <c r="D19" s="97"/>
      <c r="E19" s="17" t="s">
        <v>52</v>
      </c>
      <c r="F19" s="18">
        <v>0.78520000000000001</v>
      </c>
      <c r="G19" s="19"/>
      <c r="H19" s="19"/>
      <c r="I19" s="33" t="s">
        <v>2088</v>
      </c>
    </row>
    <row r="20" spans="1:10" x14ac:dyDescent="0.25">
      <c r="A20" s="101" t="s">
        <v>54</v>
      </c>
      <c r="B20" s="90" t="s">
        <v>53</v>
      </c>
      <c r="C20" s="90">
        <v>8013</v>
      </c>
      <c r="D20" s="101" t="s">
        <v>54</v>
      </c>
      <c r="E20" s="8" t="s">
        <v>55</v>
      </c>
      <c r="F20" s="13">
        <v>1</v>
      </c>
      <c r="G20" s="14"/>
      <c r="H20" s="14"/>
      <c r="I20" s="33" t="s">
        <v>2112</v>
      </c>
      <c r="J20" s="35" t="s">
        <v>2100</v>
      </c>
    </row>
    <row r="21" spans="1:10" x14ac:dyDescent="0.25">
      <c r="A21" s="102"/>
      <c r="B21" s="110"/>
      <c r="C21" s="110"/>
      <c r="D21" s="102"/>
      <c r="E21" s="8" t="s">
        <v>56</v>
      </c>
      <c r="F21" s="13">
        <v>0.80169999999999997</v>
      </c>
      <c r="G21" s="14"/>
      <c r="H21" s="14"/>
      <c r="I21" s="33" t="s">
        <v>2112</v>
      </c>
    </row>
    <row r="22" spans="1:10" x14ac:dyDescent="0.25">
      <c r="A22" s="102"/>
      <c r="B22" s="110"/>
      <c r="C22" s="110"/>
      <c r="D22" s="102"/>
      <c r="E22" s="8" t="s">
        <v>57</v>
      </c>
      <c r="F22" s="13">
        <v>0.75439999999999996</v>
      </c>
      <c r="G22" s="14"/>
      <c r="H22" s="14"/>
      <c r="I22" s="33" t="s">
        <v>2112</v>
      </c>
    </row>
    <row r="23" spans="1:10" x14ac:dyDescent="0.25">
      <c r="A23" s="102"/>
      <c r="B23" s="110"/>
      <c r="C23" s="110"/>
      <c r="D23" s="102"/>
      <c r="E23" s="8" t="s">
        <v>58</v>
      </c>
      <c r="F23" s="13">
        <v>0.74199999999999999</v>
      </c>
      <c r="G23" s="14"/>
      <c r="H23" s="14"/>
      <c r="I23" s="33" t="s">
        <v>2112</v>
      </c>
    </row>
    <row r="24" spans="1:10" x14ac:dyDescent="0.25">
      <c r="A24" s="103"/>
      <c r="B24" s="91"/>
      <c r="C24" s="91"/>
      <c r="D24" s="103"/>
      <c r="E24" s="8" t="s">
        <v>59</v>
      </c>
      <c r="F24" s="13">
        <v>0.61429999999999996</v>
      </c>
      <c r="G24" s="14"/>
      <c r="H24" s="14"/>
      <c r="I24" s="33" t="s">
        <v>2112</v>
      </c>
    </row>
    <row r="25" spans="1:10" x14ac:dyDescent="0.25">
      <c r="A25" s="92" t="s">
        <v>60</v>
      </c>
      <c r="B25" s="95" t="s">
        <v>61</v>
      </c>
      <c r="C25" s="95">
        <v>8013</v>
      </c>
      <c r="D25" s="92" t="s">
        <v>3</v>
      </c>
      <c r="E25" s="17" t="s">
        <v>62</v>
      </c>
      <c r="F25" s="18">
        <v>1</v>
      </c>
      <c r="G25" s="19"/>
      <c r="H25" s="19"/>
      <c r="I25" s="33" t="s">
        <v>2089</v>
      </c>
    </row>
    <row r="26" spans="1:10" x14ac:dyDescent="0.25">
      <c r="A26" s="93"/>
      <c r="B26" s="96"/>
      <c r="C26" s="96"/>
      <c r="D26" s="93"/>
      <c r="E26" s="17" t="s">
        <v>2101</v>
      </c>
      <c r="F26" s="18">
        <v>0.76970000000000005</v>
      </c>
      <c r="G26" s="19"/>
      <c r="H26" s="19"/>
      <c r="I26" s="33" t="s">
        <v>2089</v>
      </c>
      <c r="J26" s="37"/>
    </row>
    <row r="27" spans="1:10" x14ac:dyDescent="0.25">
      <c r="A27" s="94"/>
      <c r="B27" s="97"/>
      <c r="C27" s="97"/>
      <c r="D27" s="94"/>
      <c r="E27" s="17" t="s">
        <v>2102</v>
      </c>
      <c r="F27" s="18">
        <v>0.39750000000000002</v>
      </c>
      <c r="G27" s="19"/>
      <c r="H27" s="19"/>
      <c r="I27" s="33" t="s">
        <v>2089</v>
      </c>
      <c r="J27" s="37"/>
    </row>
    <row r="28" spans="1:10" x14ac:dyDescent="0.25">
      <c r="A28" s="90" t="s">
        <v>63</v>
      </c>
      <c r="B28" s="90" t="s">
        <v>64</v>
      </c>
      <c r="C28" s="90">
        <v>8013</v>
      </c>
      <c r="D28" s="90" t="s">
        <v>63</v>
      </c>
      <c r="E28" s="8" t="s">
        <v>65</v>
      </c>
      <c r="F28" s="13">
        <v>0.69540000000000002</v>
      </c>
      <c r="G28" s="14"/>
      <c r="H28" s="14"/>
      <c r="I28" s="33" t="s">
        <v>2090</v>
      </c>
    </row>
    <row r="29" spans="1:10" x14ac:dyDescent="0.25">
      <c r="A29" s="91"/>
      <c r="B29" s="91"/>
      <c r="C29" s="91"/>
      <c r="D29" s="91"/>
      <c r="E29" s="8" t="s">
        <v>66</v>
      </c>
      <c r="F29" s="13">
        <v>1</v>
      </c>
      <c r="G29" s="14"/>
      <c r="H29" s="14"/>
      <c r="I29" s="33" t="s">
        <v>2090</v>
      </c>
    </row>
    <row r="30" spans="1:10" ht="97.5" customHeight="1" x14ac:dyDescent="0.25">
      <c r="A30" s="17" t="s">
        <v>2103</v>
      </c>
      <c r="B30" s="22" t="s">
        <v>67</v>
      </c>
      <c r="C30" s="22">
        <v>8013</v>
      </c>
      <c r="D30" s="22" t="s">
        <v>68</v>
      </c>
      <c r="E30" s="17" t="s">
        <v>69</v>
      </c>
      <c r="F30" s="20" t="s">
        <v>70</v>
      </c>
      <c r="G30" s="20">
        <v>1.3273999999999999</v>
      </c>
      <c r="H30" s="20">
        <v>0.20480000000000001</v>
      </c>
      <c r="I30" s="33" t="s">
        <v>2091</v>
      </c>
    </row>
    <row r="31" spans="1:10" ht="105" x14ac:dyDescent="0.25">
      <c r="A31" s="8" t="s">
        <v>84</v>
      </c>
      <c r="B31" s="16" t="s">
        <v>71</v>
      </c>
      <c r="C31" s="16">
        <v>8013</v>
      </c>
      <c r="D31" s="8" t="s">
        <v>86</v>
      </c>
      <c r="E31" s="8" t="s">
        <v>69</v>
      </c>
      <c r="F31" s="10" t="s">
        <v>72</v>
      </c>
      <c r="G31" s="10">
        <v>1.3012999999999999</v>
      </c>
      <c r="H31" s="10">
        <v>0.50480000000000003</v>
      </c>
      <c r="I31" s="33" t="s">
        <v>2093</v>
      </c>
    </row>
    <row r="32" spans="1:10" ht="285" x14ac:dyDescent="0.25">
      <c r="A32" s="17" t="s">
        <v>85</v>
      </c>
      <c r="B32" s="22" t="s">
        <v>73</v>
      </c>
      <c r="C32" s="22">
        <v>8013</v>
      </c>
      <c r="D32" s="17" t="s">
        <v>87</v>
      </c>
      <c r="E32" s="17" t="s">
        <v>69</v>
      </c>
      <c r="F32" s="20" t="s">
        <v>74</v>
      </c>
      <c r="G32" s="20">
        <v>1.2524</v>
      </c>
      <c r="H32" s="20">
        <v>0.38719999999999999</v>
      </c>
      <c r="I32" s="33" t="s">
        <v>2095</v>
      </c>
    </row>
    <row r="33" spans="1:9" ht="45" x14ac:dyDescent="0.25">
      <c r="A33" s="101" t="s">
        <v>2106</v>
      </c>
      <c r="B33" s="90" t="s">
        <v>76</v>
      </c>
      <c r="C33" s="90">
        <v>8013</v>
      </c>
      <c r="D33" s="101" t="s">
        <v>2106</v>
      </c>
      <c r="E33" s="8" t="s">
        <v>77</v>
      </c>
      <c r="F33" s="15">
        <v>0.78069999999999995</v>
      </c>
      <c r="G33" s="14"/>
      <c r="H33" s="14"/>
      <c r="I33" s="33" t="s">
        <v>2097</v>
      </c>
    </row>
    <row r="34" spans="1:9" ht="45" x14ac:dyDescent="0.25">
      <c r="A34" s="102"/>
      <c r="B34" s="110"/>
      <c r="C34" s="110"/>
      <c r="D34" s="102"/>
      <c r="E34" s="8" t="s">
        <v>78</v>
      </c>
      <c r="F34" s="23">
        <v>1</v>
      </c>
      <c r="G34" s="14"/>
      <c r="H34" s="14"/>
      <c r="I34" s="33" t="s">
        <v>2097</v>
      </c>
    </row>
    <row r="35" spans="1:9" ht="45" x14ac:dyDescent="0.25">
      <c r="A35" s="103"/>
      <c r="B35" s="91"/>
      <c r="C35" s="91"/>
      <c r="D35" s="103"/>
      <c r="E35" s="8" t="s">
        <v>79</v>
      </c>
      <c r="F35" s="15">
        <v>1.2102999999999999</v>
      </c>
      <c r="G35" s="14"/>
      <c r="H35" s="14"/>
      <c r="I35" s="33" t="s">
        <v>2097</v>
      </c>
    </row>
    <row r="36" spans="1:9" x14ac:dyDescent="0.25">
      <c r="A36" s="98" t="s">
        <v>80</v>
      </c>
      <c r="B36" s="88" t="s">
        <v>81</v>
      </c>
      <c r="C36" s="88">
        <v>8013</v>
      </c>
      <c r="D36" s="24"/>
      <c r="E36" s="20" t="s">
        <v>82</v>
      </c>
      <c r="F36" s="18">
        <v>0.91</v>
      </c>
      <c r="G36" s="18"/>
      <c r="H36" s="18"/>
      <c r="I36" s="33" t="s">
        <v>2098</v>
      </c>
    </row>
    <row r="37" spans="1:9" x14ac:dyDescent="0.25">
      <c r="A37" s="99"/>
      <c r="B37" s="89"/>
      <c r="C37" s="89"/>
      <c r="D37" s="25"/>
      <c r="E37" s="20" t="s">
        <v>83</v>
      </c>
      <c r="F37" s="18">
        <v>1</v>
      </c>
      <c r="G37" s="18"/>
      <c r="H37" s="18"/>
      <c r="I37" s="33" t="s">
        <v>2098</v>
      </c>
    </row>
  </sheetData>
  <mergeCells count="42">
    <mergeCell ref="D15:D19"/>
    <mergeCell ref="D33:D35"/>
    <mergeCell ref="C33:C35"/>
    <mergeCell ref="A33:A35"/>
    <mergeCell ref="B15:B19"/>
    <mergeCell ref="B33:B35"/>
    <mergeCell ref="D25:D27"/>
    <mergeCell ref="D28:D29"/>
    <mergeCell ref="A15:A19"/>
    <mergeCell ref="C15:C19"/>
    <mergeCell ref="A11:A12"/>
    <mergeCell ref="A13:A14"/>
    <mergeCell ref="A20:A24"/>
    <mergeCell ref="B3:E3"/>
    <mergeCell ref="B4:E4"/>
    <mergeCell ref="C11:C12"/>
    <mergeCell ref="C13:C14"/>
    <mergeCell ref="C20:C24"/>
    <mergeCell ref="B11:B12"/>
    <mergeCell ref="B13:B14"/>
    <mergeCell ref="B20:B24"/>
    <mergeCell ref="D7:D8"/>
    <mergeCell ref="D9:D10"/>
    <mergeCell ref="D11:D12"/>
    <mergeCell ref="D13:D14"/>
    <mergeCell ref="D20:D24"/>
    <mergeCell ref="G4:H4"/>
    <mergeCell ref="A7:A8"/>
    <mergeCell ref="A9:A10"/>
    <mergeCell ref="B7:B8"/>
    <mergeCell ref="B9:B10"/>
    <mergeCell ref="C7:C8"/>
    <mergeCell ref="C9:C10"/>
    <mergeCell ref="C36:C37"/>
    <mergeCell ref="A28:A29"/>
    <mergeCell ref="A25:A27"/>
    <mergeCell ref="C28:C29"/>
    <mergeCell ref="C25:C27"/>
    <mergeCell ref="A36:A37"/>
    <mergeCell ref="B36:B37"/>
    <mergeCell ref="B28:B29"/>
    <mergeCell ref="B25:B2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расчет</vt:lpstr>
      <vt:lpstr>СТОПЛИСТ</vt:lpstr>
      <vt:lpstr>ПЕРЕСЧЕТ НЕ ТРЕБУЕТСЯ</vt:lpstr>
      <vt:lpstr>ГОТОВ</vt:lpstr>
      <vt:lpstr>Средние расстояния</vt:lpstr>
      <vt:lpstr>Формула модели</vt:lpstr>
      <vt:lpstr>справочник ври</vt:lpstr>
      <vt:lpstr>ВПР статус и численность</vt:lpstr>
      <vt:lpstr>Описание (градации)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Кандель Екатерина Александровна</dc:creator>
  <cp:lastModifiedBy>Шмелев Константин Валерьевич</cp:lastModifiedBy>
  <dcterms:created xsi:type="dcterms:W3CDTF">2020-08-05T04:36:20Z</dcterms:created>
  <dcterms:modified xsi:type="dcterms:W3CDTF">2021-06-16T05:31:13Z</dcterms:modified>
</cp:coreProperties>
</file>