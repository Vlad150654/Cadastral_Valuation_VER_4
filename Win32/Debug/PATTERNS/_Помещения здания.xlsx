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Tokyo\DataBase_Calc_Code_NP\PATTERNS\"/>
    </mc:Choice>
  </mc:AlternateContent>
  <bookViews>
    <workbookView xWindow="0" yWindow="0" windowWidth="17310" windowHeight="5775"/>
  </bookViews>
  <sheets>
    <sheet name="Помещения здания" sheetId="1" r:id="rId1"/>
  </sheets>
  <externalReferences>
    <externalReference r:id="rId2"/>
  </externalReferenc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P5" i="1" l="1"/>
  <c r="BW5" i="1" s="1"/>
  <c r="BQ5" i="1"/>
  <c r="BV5" i="1" s="1"/>
  <c r="BR5" i="1"/>
  <c r="BS5" i="1"/>
  <c r="CB5" i="1" s="1"/>
  <c r="BT5" i="1"/>
  <c r="BU5" i="1"/>
  <c r="BX5" i="1"/>
  <c r="CF5" i="1" s="1"/>
  <c r="BY5" i="1"/>
  <c r="CP5" i="1" s="1"/>
  <c r="BZ5" i="1"/>
  <c r="CC5" i="1"/>
  <c r="CG5" i="1"/>
  <c r="CH5" i="1"/>
  <c r="CK5" i="1"/>
  <c r="CL5" i="1"/>
  <c r="CQ5" i="1"/>
  <c r="CJ5" i="1" l="1"/>
  <c r="CO5" i="1"/>
  <c r="CD5" i="1"/>
  <c r="CM5" i="1"/>
  <c r="CT5" i="1" s="1"/>
  <c r="CU5" i="1" s="1"/>
  <c r="CE5" i="1"/>
  <c r="CN5" i="1"/>
  <c r="CI5" i="1" l="1"/>
  <c r="CV5" i="1"/>
  <c r="CW5" i="1" s="1"/>
</calcChain>
</file>

<file path=xl/sharedStrings.xml><?xml version="1.0" encoding="utf-8"?>
<sst xmlns="http://schemas.openxmlformats.org/spreadsheetml/2006/main" count="283" uniqueCount="164">
  <si>
    <t>Идентификатор</t>
  </si>
  <si>
    <t>Кадастровый номер</t>
  </si>
  <si>
    <t>Вид объекта недвижимости</t>
  </si>
  <si>
    <t>КН здания или сооружения, в котором расположено помещение 2</t>
  </si>
  <si>
    <t>Назначение здания, если помещение расположено в здании</t>
  </si>
  <si>
    <t>Назначение и вид помещения Назначение помещения (жилое, нежилое)</t>
  </si>
  <si>
    <t>Назначение и вид помещения Вид жилого помещения (квартира, комната)</t>
  </si>
  <si>
    <t>Площадь в квадратных метрах</t>
  </si>
  <si>
    <t>Улица Наименование</t>
  </si>
  <si>
    <t>Дом Значение</t>
  </si>
  <si>
    <t>Тип этажа(подземный/надземный)</t>
  </si>
  <si>
    <t>Номер этажа(для сравнения)</t>
  </si>
  <si>
    <t>Удельный показатель кадастровой стоимости(руб/м2)  Расчетный</t>
  </si>
  <si>
    <t>Кадастровая стоимость  Расчетная</t>
  </si>
  <si>
    <t>Кадастровая стоимость описание вых</t>
  </si>
  <si>
    <t>Группа объекта по метод указаниям</t>
  </si>
  <si>
    <t>Населённый пункт</t>
  </si>
  <si>
    <t>Площадь(расчет)</t>
  </si>
  <si>
    <t>Группа для XML</t>
  </si>
  <si>
    <t>Год постройки/реконструкции(расчет)</t>
  </si>
  <si>
    <t>Материал стен для расчета</t>
  </si>
  <si>
    <t>Степень благоустройства</t>
  </si>
  <si>
    <t>Класс дома</t>
  </si>
  <si>
    <t>Местоположение объекта</t>
  </si>
  <si>
    <t>Этажность</t>
  </si>
  <si>
    <t>Признак малогаборитности</t>
  </si>
  <si>
    <t>Этаж расположения</t>
  </si>
  <si>
    <t>Поправка на уторгование</t>
  </si>
  <si>
    <t>Численность НП</t>
  </si>
  <si>
    <t>Тип  помещения</t>
  </si>
  <si>
    <t>Номер заявления</t>
  </si>
  <si>
    <t>Тип заявления</t>
  </si>
  <si>
    <t>Статус заявления</t>
  </si>
  <si>
    <t>Статус расчета КС</t>
  </si>
  <si>
    <t>Особый контроль</t>
  </si>
  <si>
    <t>Наличие/Отсутствие здания-родителя</t>
  </si>
  <si>
    <t>Флаг основного параметра</t>
  </si>
  <si>
    <t>Дата оценки</t>
  </si>
  <si>
    <t>Перечень выгрузки КС</t>
  </si>
  <si>
    <t>Дата пакета</t>
  </si>
  <si>
    <t>Модель старая</t>
  </si>
  <si>
    <t>Флаг родителя</t>
  </si>
  <si>
    <t>Электроснабжение</t>
  </si>
  <si>
    <t>Водоснабжение</t>
  </si>
  <si>
    <t>Водоотведение</t>
  </si>
  <si>
    <t>Отопление</t>
  </si>
  <si>
    <t>Год строительства</t>
  </si>
  <si>
    <t>Группа объекта для расчета</t>
  </si>
  <si>
    <t>Ценовая зона(Екатеринбург)</t>
  </si>
  <si>
    <t>Аварийность</t>
  </si>
  <si>
    <t>Материал стен в расчет</t>
  </si>
  <si>
    <t>Благоустройство</t>
  </si>
  <si>
    <t>Дата комиссии</t>
  </si>
  <si>
    <t>Решение комиссии</t>
  </si>
  <si>
    <t>Флаг Площадь в расчет</t>
  </si>
  <si>
    <t>Флаг Год строительства</t>
  </si>
  <si>
    <t>Флаг Этажность в расчет</t>
  </si>
  <si>
    <t>Флаг Материал стен в расчет</t>
  </si>
  <si>
    <t>Источник кадастровой стоимости</t>
  </si>
  <si>
    <t>ID</t>
  </si>
  <si>
    <t>CadastralNumber</t>
  </si>
  <si>
    <t>ObjectType</t>
  </si>
  <si>
    <t>ParentOKSCadNum</t>
  </si>
  <si>
    <t>ParentOKSAssignationBuilding</t>
  </si>
  <si>
    <t>AssignationCode</t>
  </si>
  <si>
    <t>AssignationType</t>
  </si>
  <si>
    <t>Area</t>
  </si>
  <si>
    <t>StreetName</t>
  </si>
  <si>
    <t>Level1Value</t>
  </si>
  <si>
    <t>locTypeFloorKv</t>
  </si>
  <si>
    <t>locNumberFloor</t>
  </si>
  <si>
    <t>Specific_CadastralCost</t>
  </si>
  <si>
    <t>CadastralCost</t>
  </si>
  <si>
    <t>CadastralCostDesc</t>
  </si>
  <si>
    <t>LocCalc_GroupCode</t>
  </si>
  <si>
    <t>LocalityCode</t>
  </si>
  <si>
    <t>loc_Factor_110</t>
  </si>
  <si>
    <t>ID_Group</t>
  </si>
  <si>
    <t>loc_Factor_122</t>
  </si>
  <si>
    <t>loc_Factor_201</t>
  </si>
  <si>
    <t>loc_Factor_202</t>
  </si>
  <si>
    <t>loc_Factor_203</t>
  </si>
  <si>
    <t>loc_Factor_204</t>
  </si>
  <si>
    <t>loc_Factor_205</t>
  </si>
  <si>
    <t>loc_Factor_206</t>
  </si>
  <si>
    <t>loc_Factor_207</t>
  </si>
  <si>
    <t>loc_Factor_208</t>
  </si>
  <si>
    <t>loc_Factor_209</t>
  </si>
  <si>
    <t>locTypeFlat</t>
  </si>
  <si>
    <t>Statement</t>
  </si>
  <si>
    <t>Type_Statement</t>
  </si>
  <si>
    <t>Status_Statement</t>
  </si>
  <si>
    <t>Status_KC</t>
  </si>
  <si>
    <t>ControlSP</t>
  </si>
  <si>
    <t>Orphan</t>
  </si>
  <si>
    <t>FlagParamFlats</t>
  </si>
  <si>
    <t>Date_KC</t>
  </si>
  <si>
    <t>Upload_Scroll</t>
  </si>
  <si>
    <t>inputpacket_date</t>
  </si>
  <si>
    <t>ID_Group2</t>
  </si>
  <si>
    <t>FlagParent</t>
  </si>
  <si>
    <t>PresencePower</t>
  </si>
  <si>
    <t>PresenceWaterSupply</t>
  </si>
  <si>
    <t>PresenceWaterDisposal</t>
  </si>
  <si>
    <t>PresenceHeating</t>
  </si>
  <si>
    <t>YearBuilt</t>
  </si>
  <si>
    <t>LocFloors</t>
  </si>
  <si>
    <t>CostZone</t>
  </si>
  <si>
    <t>Dilapidated</t>
  </si>
  <si>
    <t>locMaterial</t>
  </si>
  <si>
    <t>Blago</t>
  </si>
  <si>
    <t>Date_comm</t>
  </si>
  <si>
    <t>Sol_comm</t>
  </si>
  <si>
    <t>FlagParam</t>
  </si>
  <si>
    <t>FlagYearBuilt</t>
  </si>
  <si>
    <t>FlagLocFloors</t>
  </si>
  <si>
    <t>FlaglocMaterial</t>
  </si>
  <si>
    <t>SourceCadastralCost</t>
  </si>
  <si>
    <t>66:45:0200226:2520</t>
  </si>
  <si>
    <t>Помещение</t>
  </si>
  <si>
    <t>66:45:0200226:205</t>
  </si>
  <si>
    <t>Многоквартирный дом</t>
  </si>
  <si>
    <t>Жилое помещение</t>
  </si>
  <si>
    <t>Квартира</t>
  </si>
  <si>
    <t>Октябрьская</t>
  </si>
  <si>
    <t>34</t>
  </si>
  <si>
    <t>Средний</t>
  </si>
  <si>
    <t>3</t>
  </si>
  <si>
    <t>Ф8_16ст_Р_11.02.20</t>
  </si>
  <si>
    <t>0101</t>
  </si>
  <si>
    <t>52:001:1:1:2</t>
  </si>
  <si>
    <t>Шлакоблочные</t>
  </si>
  <si>
    <t>Благоустроенная</t>
  </si>
  <si>
    <t>УАЗ</t>
  </si>
  <si>
    <t>Малоэтажный</t>
  </si>
  <si>
    <t>Комната</t>
  </si>
  <si>
    <t>Крайний</t>
  </si>
  <si>
    <t>городской</t>
  </si>
  <si>
    <t>НЕ ГОТОВ</t>
  </si>
  <si>
    <t>не готов</t>
  </si>
  <si>
    <t>26.01.2021</t>
  </si>
  <si>
    <t>Наличие</t>
  </si>
  <si>
    <t>ВЫГРУЖЕНА</t>
  </si>
  <si>
    <t>01.01.2019</t>
  </si>
  <si>
    <t>ГОТОВ</t>
  </si>
  <si>
    <t>Ф27_16ст_Р_09.02.21</t>
  </si>
  <si>
    <t>Flats</t>
  </si>
  <si>
    <t>Buildings</t>
  </si>
  <si>
    <t>КН</t>
  </si>
  <si>
    <t>Год</t>
  </si>
  <si>
    <t>Площадь</t>
  </si>
  <si>
    <t>Район</t>
  </si>
  <si>
    <t>Тип стен</t>
  </si>
  <si>
    <t>Тип дома</t>
  </si>
  <si>
    <t>КС</t>
  </si>
  <si>
    <t>Тип помещения (комната квартира)</t>
  </si>
  <si>
    <t>Поправка на торг</t>
  </si>
  <si>
    <t>Константа</t>
  </si>
  <si>
    <t>УПКС, руб/м2</t>
  </si>
  <si>
    <t>КС, руб.</t>
  </si>
  <si>
    <t>Описание КС</t>
  </si>
  <si>
    <t>справочник</t>
  </si>
  <si>
    <t>select Flats.ID Flats#ID,Flats.CadastralNumber Flats#CadastralNumber,Flats.DateCreated Flats#DateCreated,Flats.CadastralBlock Flats#CadastralBlock,Flats.ObjectType Flats#ObjectType,Flats.CadastralNumberFlat Flats#CadastralNumberFlat,Flats.CadastralNumberOKS Flats#CadastralNumberOKS,Flats.ParentOKSCadNum Flats#ParentOKSCadNum,Flats.ParentOKSObjectType Flats#ParentOKSObjectType,Flats.ParentOKSAssignationBuilding Flats#ParentOKSAssignationBuilding,Flats.ParentOKSAssignationName Flats#ParentOKSAssignationName,Flats.ExploitationCharYearBuilt Flats#ExploitationCharYearBuilt,Flats.ExploitationCharYearUsed Flats#ExploitationCharYearUsed,Flats.Floors Flats#Floors,Flats.UndergroundFloors Flats#UndergroundFloors,Flats.AssignationCode Flats#AssignationCode,Flats.AssignationType Flats#AssignationType,Flats.Area Flats#Area,Flats.PositionNumberOnPlan Flats#PositionNumberOnPlan,Flats.PositionDescription Flats#PositionDescription,Flats.AddressOrLocation Flats#AddressOrLocation,Flats.OKATO Flats#OKATO,Flats.KLADR Flats#KLADR,Flats.PostalCode Flats#PostalCode,Flats.Region Flats#Region,Flats.DistrictName Flats#DistrictName,Flats.DistrictType Flats#DistrictType,Flats.CityName Flats#CityName,Flats.CityType Flats#CityType,Flats.UrbanDistrictName Flats#UrbanDistrictName,Flats.UrbanDistrictType Flats#UrbanDistrictType,Flats.SovietVillageName Flats#SovietVillageName,Flats.SovietVillageType Flats#SovietVillageType,Flats.LocalityName Flats#LocalityName,Flats.LocalityType Flats#LocalityType,Flats.StreetName Flats#StreetName,Flats.StreetType Flats#StreetType,Flats.Level1Type Flats#Level1Type,Flats.Level1Value Flats#Level1Value,Flats.Level2Type Flats#Level2Type,Flats.Level2Value Flats#Level2Value,Flats.Level3Type Flats#Level3Type,Flats.Level3Value Flats#Level3Value,Flats.ApartmentType Flats#ApartmentType,Flats.ApartmentValue Flats#ApartmentValue,Flats.LocationOther Flats#LocationOther,Flats.LocationNote Flats#LocationNote,Flats.CostValue Flats#CostValue,Flats.CostUnit Flats#CostUnit,Flats.CostDateValuation Flats#CostDateValuation,Flats.CostDateEntering Flats#CostDateEntering,Flats.CostDateApproval Flats#CostDateApproval,Flats.CostDocNumber Flats#CostDocNumber,Flats.CostDocDate Flats#CostDocDate,Flats.CostApplicationDate Flats#CostApplicationDate,Flats.CostRevisalStatementDate Flats#CostRevisalStatementDate,Flats.CostDocName Flats#CostDocName,Flats.Name Flats#Name,Flats.AssignationSpecialType Flats#AssignationSpecialType,Flats.AssignationTotalAssets Flats#AssignationTotalAssets,Flats.AssignationAuxiliaryFlat Flats#AssignationAuxiliaryFlat,Flats.FIAS Flats#FIAS,Flats.OKTMO Flats#OKTMO,Flats.LocationRF Flats#LocationRF,Flats.PlanningElementName Flats#PlanningElementName,Flats.PlanningElementType Flats#PlanningElementType,Flats.CostApplicationLastDate Flats#CostApplicationLastDate,Flats.UnitedKN Flats#UnitedKN,Flats.FacilityKN Flats#FacilityKN,Flats.FacilityKNPurpose Flats#FacilityKNPurpose,Flats.EGROKNRegNum Flats#EGROKNRegNum,Flats.EGROKNObjCultural Flats#EGROKNObjCultural,Flats.EGROKNNameCultural Flats#EGROKNNameCultural,Flats.AssignmentEGROKNRegNum Flats#AssignmentEGROKNRegNum,Flats.AssignmentEGROKNObjCultural Flats#AssignmentEGROKNObjCultural,Flats.AssignmentEGROKNNameCultural Flats#AssignmentEGROKNNameCultural,Flats.CulturalHeritageRequirements Flats#CulturalHeritageRequirements,Flats.CodeDocumentEGROKN Flats#CodeDocumentEGROKN,Flats.DocumentNameEGROKN Flats#DocumentNameEGROKN,Flats.DocumentSeriesEGROKN Flats#DocumentSeriesEGROKN,Flats.DocumentNumberEGROKN Flats#DocumentNumberEGROKN,Flats.DocumentDateEGROKN Flats#DocumentDateEGROKN,Flats.DocumentIssueOrganEGROKN Flats#DocumentIssueOrganEGROKN,Flats.DocumentDescEGROKN Flats#DocumentDescEGROKN,Flats.OPERATORNAME Flats#OPERATORNAME,Flats.MODIFYDATE Flats#MODIFYDATE,Flats.CREATEOPERATORNAME Flats#CREATEOPERATORNAME,Flats.CREATEDATE Flats#CREATEDATE,Flats.Source_ID Flats#Source_ID,Flats.Constructions_ID Flats#Constructions_ID,Flats.locTypeFloorKv Flats#locTypeFloorKv,Flats.locNumberFloor Flats#locNumberFloor,Flats.locFloorPrim Flats#locFloorPrim,Flats.Specific_CadastralCost Flats#Specific_CadastralCost,Flats.CadastralCost Flats#CadastralCost,Flats.CadastralCostDesc Flats#CadastralCostDesc,Flats.LocCalc_GroupCode Flats#LocCalc_GroupCode,Flats.SourcelocCalc_Group Flats#SourcelocCalc_Group,Flats.locTypeUse Flats#locTypeUse,Flats.SourcelocTypeUse Flats#SourcelocTypeUse,Flats.LocalityCode Flats#LocalityCode,Flats.MO_Name Flats#MO_Name,Flats.loc_Factor_102 Flats#loc_Factor_102,Flats.loc_Factor_108 Flats#loc_Factor_108,Flats.loc_Factor_109 Flats#loc_Factor_109,Flats.loc_Factor_110 Flats#loc_Factor_110,Flats.ID_Group Flats#ID_Group,Flats.loc_Factor_122 Flats#loc_Factor_122,Flats.loc_Factor_159 Flats#loc_Factor_159,Flats.locTypeUse2 Flats#locTypeUse2,Flats.loc_VICode Flats#loc_VICode,Flats.loc_GroupName Flats#loc_GroupName,Flats.loc_VRICode Flats#loc_VRICode,Flats.loc_Factor_201 Flats#loc_Factor_201,Flats.Source_loc_Factor_201 Flats#Source_loc_Factor_201,Flats.loc_Factor_202 Flats#loc_Factor_202,Flats.Source_loc_Factor_202 Flats#Source_loc_Factor_202,Flats.Source_loc_Factor_122 Flats#Source_loc_Factor_122,Flats.loc_Factor_203 Flats#loc_Factor_203,Flats.Source_loc_Factor_203 Flats#Source_loc_Factor_203,Flats.Source_loc_Factor_102 Flats#Source_loc_Factor_102,Flats.Source_loc_Factor_110 Flats#Source_loc_Factor_110,Flats.loc_Factor_204 Flats#loc_Factor_204,Flats.Source_loc_Factor_204 Flats#Source_loc_Factor_204,Flats.Source_loc_Factor_108 Flats#Source_loc_Factor_108,Flats.Source_loc_Factor_109 Flats#Source_loc_Factor_109,Flats.loc_Factor_205 Flats#loc_Factor_205,Flats.Source_loc_Factor_205 Flats#Source_loc_Factor_205,Flats.loc_Factor_206 Flats#loc_Factor_206,Flats.Source_loc_Factor_206 Flats#Source_loc_Factor_206,Flats.loc_Factor_207 Flats#loc_Factor_207,Flats.Source_loc_Factor_207 Flats#Source_loc_Factor_207,Flats.loc_Factor_208 Flats#loc_Factor_208,Flats.Source_loc_Factor_208 Flats#Source_loc_Factor_208,Flats.loc_Factor_209 Flats#loc_Factor_209,Flats.Source_loc_Factor_209 Flats#Source_loc_Factor_209,Flats.loc_Factor_210 Flats#loc_Factor_210,Flats.Source_loc_Factor_210 Flats#Source_loc_Factor_210,Flats.Source_loc_Factor_159 Flats#Source_loc_Factor_159,Flats.locTypeFlat Flats#locTypeFlat,Flats.SourcelocTypeFlat Flats#SourcelocTypeFlat,Flats.loc_Factor_211 Flats#loc_Factor_211,Flats.loc_Factor_212 Flats#loc_Factor_212,Flats.inputpacket_id Flats#inputpacket_id,Flats.FlatLevelsFis Flats#FlatLevelsFis,Flats.FlaglocTypeFlat Flats#FlaglocTypeFlat,Flats.FlagLocCalc_GroupCode Flats#FlagLocCalc_GroupCode,Flats.FlagId_Group Flats#FlagId_Group,Flats.FlagYearBuilt Flats#FlagYearBuilt,Flats.FlagLocalityCode Flats#FlagLocalityCode,Flats.FlagLocFloors Flats#FlagLocFloors,Flats.FlagFlatLavel Flats#FlagFlatLavel,Flats.FlagCadastralCost Flats#FlagCadastralCost,Flats.SourceCadastralCost Flats#SourceCadastralCost,Flats.Status_KC Flats#Status_KC,Flats.Source_EGRN Flats#Source_EGRN,Flats.Determin_DateKCS Flats#Determin_DateKCS,Flats.Count_Floor Flats#Count_Floor,Flats.SourcelocTypeFloor Flats#SourcelocTypeFloor,Flats.ControlSP Flats#ControlSP,Flats.Orphan Flats#Orphan,Flats.FlagParamFlats Flats#FlagParamFlats,Flats.SourceLocalityCode Flats#SourceLocalityCode,Flats.Date_KC Flats#Date_KC,Flats.Upload_Scroll Flats#Upload_Scroll,Flats.Statement Flats#Statement,Flats.Type_Statement Flats#Type_Statement,Flats.Status_Statement Flats#Status_Statement,Flats.ID_Group2 Flats#ID_Group2,Flats.Date_comm Flats#Date_comm,Flats.Sol_comm Flats#Sol_comm,Flats.FlagParent Flats#FlagParent,Flats.Court Flats#Court,Flats.Date_Court Flats#Date_Court,Flats.Sol_Court Flats#Sol_Court,Flats.inputpacket_date Flats#inputpacket_date,Buildings1#ID Buildings#ID,Buildings1#CadastralNumber Buildings#CadastralNumber,Buildings1#DateCreated Buildings#DateCreated,Buildings1#CadastralBlock Buildings#CadastralBlock,Buildings1#Name Buildings#Name,Buildings1#ObjectType Buildings#ObjectType,Buildings1#AssignationBuilding Buildings#AssignationBuilding,Buildings1#ExploitationCharYearBuilt Buildings#ExploitationCharYearBuilt,Buildings1#ExploitationCharYearUsed Buildings#ExploitationCharYearUsed,Buildings1#Floors Buildings#Floors,Buildings1#FloorsUnderground Buildings#FloorsUnderground,Buildings1#Area Buildings#Area,Buildings1#AddressOrLocation Buildings#AddressOrLocation,Buildings1#OKATO Buildings#OKATO,Buildings1#KLADR Buildings#KLADR,Buildings1#PostalCode Buildings#PostalCode,Buildings1#Region Buildings#Region,Buildings1#DistrictName Buildings#DistrictName,Buildings1#DistrictType Buildings#DistrictType,Buildings1#CityName Buildings#CityName,Buildings1#CityType Buildings#CityType,Buildings1#UrbanDistrictName Buildings#UrbanDistrictName,Buildings1#UrbanDistrictType Buildings#UrbanDistrictType,Buildings1#SovietVillageName Buildings#SovietVillageName,Buildings1#SovietVillageType Buildings#SovietVillageType,Buildings1#LocalityName Buildings#LocalityName,Buildings1#LocalityType Buildings#LocalityType,Buildings1#StreetName Buildings#StreetName,Buildings1#StreetType Buildings#StreetType,Buildings1#Level1Type Buildings#Level1Type,Buildings1#Level1Value Buildings#Level1Value,Buildings1#Level2Type Buildings#Level2Type,Buildings1#Level2Value Buildings#Level2Value,Buildings1#Level3Type Buildings#Level3Type,Buildings1#Level3Value Buildings#Level3Value,Buildings1#ApartmentType Buildings#ApartmentType,Buildings1#ApartmentValue Buildings#ApartmentValue,Buildings1#LocationOther Buildings#LocationOther,Buildings1#LocationNote Buildings#LocationNote,Buildings1#CostValue Buildings#CostValue,Buildings1#CostUnit Buildings#CostUnit,Buildings1#CostDateValuation Buildings#CostDateValuation,Buildings1#CostDateEntering Buildings#CostDateEntering,Buildings1#CostDateApproval Buildings#CostDateApproval,Buildings1#CostDocNumber Buildings#CostDocNumber,Buildings1#CostDocDate Buildings#CostDocDate,Buildings1#CostApplicationDate Buildings#CostApplicationDate,Buildings1#lCostRevisalStatementDate Buildings#lCostRevisalStatementDate,Buildings1#CostDocName Buildings#CostDocName,Buildings1#FIAS Buildings#FIAS,Buildings1#OKTMO Buildings#OKTMO,Buildings1#LocationRF Buildings#LocationRF,Buildings1#PlanningElementName Buildings#PlanningElementName,Buildings1#PlanningElementType Buildings#PlanningElementType,Buildings1#CostApplicationLastDate Buildings#CostApplicationLastDate,Buildings1#UnitedKN Buildings#UnitedKN,Buildings1#FacilityKN Buildings#FacilityKN,Buildings1#FacilityKNPurpose Buildings#FacilityKNPurpose,Buildings1#EGROKNRegNum Buildings#EGROKNRegNum,Buildings1#EGROKNObjCultural Buildings#EGROKNObjCultural,Buildings1#EGROKNNameCultural Buildings#EGROKNNameCultural,Buildings1#AssignmentEGROKNRegNum Buildings#AssignmentEGROKNRegNum,Buildings1#AssignmentEGROKNObjCultural Buildings#AssignmentEGROKNObjCultural,Buildings1#AssignmentEGROKNNameCultural Buildings#AssignmentEGROKNNameCultural,Buildings1#CulturalHeritageRequirements Buildings#CulturalHeritageRequirements,Buildings1#CodeDocumentEGROKN Buildings#CodeDocumentEGROKN,Buildings1#DocumentNameEGROKN Buildings#DocumentNameEGROKN,Buildings1#DocumentSeriesEGROKN Buildings#DocumentSeriesEGROKN,Buildings1#DocumentNumberEGROKN Buildings#DocumentNumberEGROKN,Buildings1#DocumentDateEGROKN Buildings#DocumentDateEGROKN,Buildings1#DocumentIssueOrganEGROKN Buildings#DocumentIssueOrganEGROKN,Buildings1#DocumentDescEGROKN Buildings#DocumentDescEGROKN,Buildings1#OPERATORNAME Buildings#OPERATORNAME,Buildings1#MODIFYDATE Buildings#MODIFYDATE,Buildings1#CREATEOPERATORNAME Buildings#CREATEOPERATORNAME,Buildings1#CREATEDATE Buildings#CREATEDATE,Buildings1#Source_ID Buildings#Source_ID,Buildings1#PresencePower Buildings#PresencePower,Buildings1#SourcePresencePower Buildings#SourcePresencePower,Buildings1#PresenceWaterSupply Buildings#PresenceWaterSupply,Buildings1#SourcePresenceWaterSupply Buildings#SourcePresenceWaterSupply,Buildings1#PresenceWaterDisposal Buildings#PresenceWaterDisposal,Buildings1#SourcePresenceWaterDisposal Buildings#SourcePresenceWaterDisposal,Buildings1#PresenceGas Buildings#PresenceGas,Buildings1#SourcePresenceGas Buildings#SourcePresenceGas,Buildings1#PresenceHeating Buildings#PresenceHeating,Buildings1#SourcePresenceHeating Buildings#SourcePresenceHeating,Buildings1#LocalityCode Buildings#LocalityCode,Buildings1#SourceLocalityCode Buildings#SourceLocalityCode,Buildings1#YearBuilt Buildings#YearBuilt,Buildings1#SourceYearBuilt Buildings#SourceYearBuilt,Buildings1#LocFloors Buildings#LocFloors,Buildings1#SourcelocFloors Buildings#SourcelocFloors,Buildings1#LocCalc_GroupCode Buildings#LocCalc_GroupCode,Buildings1#SourcelocCalc_Group Buildings#SourcelocCalc_Group,Buildings1#locTypeUse Buildings#locTypeUse,Buildings1#SourcelocTypeUse Buildings#SourcelocTypeUse,Buildings1#CoordinateMatchingName Buildings#CoordinateMatchingName,Buildings1#CoordinateMatchingCode Buildings#CoordinateMatchingCode,Buildings1#CostZone Buildings#CostZone,Buildings1#HousingArea Buildings#HousingArea,Buildings1#Coordinate_x Buildings#Coordinate_x,Buildings1#Coordinate_y Buildings#Coordinate_y,Buildings1#Number_of_spaces Buildings#Number_of_spaces,Buildings1#Number_of_nonresidential_premises Buildings#Number_of_nonresidential_premises,Buildings1#Number_of_premises Buildings#Number_of_premises,Buildings1#Number_of_apartments Buildings#Number_of_apartments,Buildings1#Number_of_rooms Buildings#Number_of_rooms,Buildings1#Dilapidated Buildings#Dilapidated,Buildings1#SourceDilapidated Buildings#SourceDilapidated,Buildings1#locReconstructionYear Buildings#locReconstructionYear,Buildings1#SourcelocReconstructionYear Buildings#SourcelocReconstructionYear,Buildings1#Specific_CadastralCost Buildings#Specific_CadastralCost,Buildings1#CadastralCost Buildings#CadastralCost,Buildings1#CadastralCostDesc Buildings#CadastralCostDesc,Buildings1#MO_Name Buildings#MO_Name,Buildings1#locVolume Buildings#locVolume,Buildings1#SourcelocVolume Buildings#SourcelocVolume,Buildings1#LocArea Buildings#LocArea,Buildings1#SourceLocArea Buildings#SourceLocArea,Buildings1#locPhysicalWear Buildings#locPhysicalWear,Buildings1#SourcelocPhysicalWear Buildings#SourcelocPhysicalWear,Buildings1#locMaterial Buildings#locMaterial,Buildings1#SourcelocMaterial Buildings#SourcelocMaterial,Buildings1#ID_Group Buildings#ID_Group,Buildings1#loc_Factor_117 Buildings#loc_Factor_117,Buildings1#loc_Factor_118 Buildings#loc_Factor_118,Buildings1#loc_Factor_119 Buildings#loc_Factor_119,Buildings1#loc_Factor_120 Buildings#loc_Factor_120,Buildings1#loc_Factor_158 Buildings#loc_Factor_158,Buildings1#locTypeUse2 Buildings#locTypeUse2,Buildings1#loc_VICode Buildings#loc_VICode,Buildings1#loc_GroupName Buildings#loc_GroupName,Buildings1#loc_VRICode Buildings#loc_VRICode,Buildings1#Source_loc_Factor_117 Buildings#Source_loc_Factor_117,Buildings1#Source_loc_Factor_118 Buildings#Source_loc_Factor_118,Buildings1#Source_loc_Factor_119 Buildings#Source_loc_Factor_119,Buildings1#Source_loc_Factor_120 Buildings#Source_loc_Factor_120,Buildings1#source_loc_Factor_158 Buildings#source_loc_Factor_158,Buildings1#loc_Factor_180 Buildings#loc_Factor_180,Buildings1#inputpacket_id Buildings#inputpacket_id,Buildings1#Source_loc_VICode Buildings#Source_loc_VICode,Buildings1#FlagCadastralCost Buildings#FlagCadastralCost,Buildings1#FlagParam Buildings#FlagParam,Buildings1#Source_EGRN Buildings#Source_EGRN,Buildings1#Determin_DateKCS Buildings#Determin_DateKCS,Buildings1#SourceDetermin_DateKC Buildings#SourceDetermin_DateKC,Buildings1#Determin_DateKC Buildings#Determin_DateKC,Buildings1#FlagLocalityCode Buildings#FlagLocalityCode,Buildings1#FlagYearBuilt Buildings#FlagYearBuilt,Buildings1#FlagLocFloors Buildings#FlagLocFloors,Buildings1#FlaglocMaterial Buildings#FlaglocMaterial,Buildings1#FlagLocCalc_GroupCode Buildings#FlagLocCalc_GroupCode,Buildings1#SourceCadastralCost Buildings#SourceCadastralCost,Buildings1#Status_KC Buildings#Status_KC,Buildings1#locYear Buildings#locYear,Buildings1#SourcelocYear Buildings#SourcelocYear,Buildings1#BuildingConstructMaterialFiz Buildings#BuildingConstructMaterialFiz,Buildings1#ParentUchKNFiz Buildings#ParentUchKNFiz,Buildings1#FlagLocZU Buildings#FlagLocZU,Buildings1#ControlSP Buildings#ControlSP,Buildings1#Calc_base Buildings#Calc_base,Buildings1#SourceCalc_base Buildings#SourceCalc_base,Buildings1#Upload_Scroll Buildings#Upload_Scroll,Buildings1#Date_KC Buildings#Date_KC,Buildings1#LC_distance_pos Buildings#LC_distance_pos,Buildings1#LC_distance_neg Buildings#LC_distance_neg,Buildings1#Blago Buildings#Blago,Buildings1#OldYearBuilt Buildings#OldYearBuilt,Buildings1#OldLocfloors Buildings#OldLocfloors,Buildings1#OldlocMaterial Buildings#OldlocMaterial,Buildings1#OldArea Buildings#OldArea,Buildings1#Statement Buildings#Statement,Buildings1#Type_Statement Buildings#Type_Statement,Buildings1#Status_Statement Buildings#Status_Statement,Buildings1#OldLocalityCode Buildings#OldLocalityCode,Buildings1#Date_comm Buildings#Date_comm,Buildings1#Sol_comm Buildings#Sol_comm,Buildings1#FlagName Buildings#FlagName,Buildings1#FlagNazn Buildings#FlagNazn,Buildings1#Vid Buildings#Vid,Buildings1#Kontrol Buildings#Kontrol,Buildings1#Court Buildings#Court,Buildings1#Date_Court Buildings#Date_Court,Buildings1#Sol_Court Buildings#Sol_Court,Buildings1#BuildingConstructMaterialCode Buildings#BuildingConstructMaterialCode,Buildings1#inputpacket_date Buildings#inputpacket_date from (select ID, Flats.ID Flats#ID, CadastralNumber, Flats.CadastralNumber Flats#CadastralNumber, DateCreated, Flats.DateCreated Flats#DateCreated, CadastralBlock, Flats.CadastralBlock Flats#CadastralBlock, ObjectType, Flats.ObjectType Flats#ObjectType, CadastralNumberFlat, Flats.CadastralNumberFlat Flats#CadastralNumberFlat, CadastralNumberOKS, Flats.CadastralNumberOKS Flats#CadastralNumberOKS, ParentOKSCadNum, Flats.ParentOKSCadNum Flats#ParentOKSCadNum, ParentOKSObjectType, Flats.ParentOKSObjectType Flats#ParentOKSObjectType, ParentOKSAssignationBuilding, Flats.ParentOKSAssignationBuilding Flats#ParentOKSAssignationBuilding, ParentOKSAssignationName, Flats.ParentOKSAssignationName Flats#ParentOKSAssignationName, ExploitationCharYearBuilt, Flats.ExploitationCharYearBuilt Flats#ExploitationCharYearBuilt, ExploitationCharYearUsed, Flats.ExploitationCharYearUsed Flats#ExploitationCharYearUsed, Floors, Flats.Floors Flats#Floors, UndergroundFloors, Flats.UndergroundFloors Flats#UndergroundFloors, AssignationCode, Flats.AssignationCode Flats#AssignationCode, AssignationType, Flats.AssignationType Flats#AssignationType, Area, Flats.Area Flats#Area, PositionNumberOnPlan, Flats.PositionNumberOnPlan Flats#PositionNumberOnPlan, PositionDescription, Flats.PositionDescription Flats#PositionDescription, AddressOrLocation, Flats.AddressOrLocation Flats#AddressOrLocation, OKATO, Flats.OKATO Flats#OKATO, KLADR, Flats.KLADR Flats#KLADR, PostalCode, Flats.PostalCode Flats#PostalCode, Region, Flats.Region Flats#Region, DistrictName, Flats.DistrictName Flats#DistrictName, DistrictType, Flats.DistrictType Flats#DistrictType, CityName, Flats.CityName Flats#CityName, CityType, Flats.CityType Flats#CityType, UrbanDistrictName, Flats.UrbanDistrictName Flats#UrbanDistrictName, UrbanDistrictType, Flats.UrbanDistrictType Flats#UrbanDistrictType, SovietVillageName, Flats.SovietVillageName Flats#SovietVillageName, SovietVillageType, Flats.SovietVillageType Flats#SovietVillageType, LocalityName, Flats.LocalityName Flats#LocalityName, LocalityType, Flats.LocalityType Flats#LocalityType, StreetName, Flats.StreetName Flats#StreetName, StreetType, Flats.StreetType Flats#StreetType, Level1Type, Flats.Level1Type Flats#Level1Type, Level1Value, Flats.Level1Value Flats#Level1Value, Level2Type, Flats.Level2Type Flats#Level2Type, Level2Value, Flats.Level2Value Flats#Level2Value, Level3Type, Flats.Level3Type Flats#Level3Type, Level3Value, Flats.Level3Value Flats#Level3Value, ApartmentType, Flats.ApartmentType Flats#ApartmentType, ApartmentValue, Flats.ApartmentValue Flats#ApartmentValue, LocationOther, Flats.LocationOther Flats#LocationOther, LocationNote, Flats.LocationNote Flats#LocationNote, CostValue, Flats.CostValue Flats#CostValue, CostUnit, Flats.CostUnit Flats#CostUnit, CostDateValuation, Flats.CostDateValuation Flats#CostDateValuation, CostDateEntering, Flats.CostDateEntering Flats#CostDateEntering, CostDateApproval, Flats.CostDateApproval Flats#CostDateApproval, CostDocNumber, Flats.CostDocNumber Flats#CostDocNumber, CostDocDate, Flats.CostDocDate Flats#CostDocDate, CostApplicationDate, Flats.CostApplicationDate Flats#CostApplicationDate, CostRevisalStatementDate, Flats.CostRevisalStatementDate Flats#CostRevisalStatementDate, CostDocName, Flats.CostDocName Flats#CostDocName, Name, Flats.Name Flats#Name, AssignationSpecialType, Flats.AssignationSpecialType Flats#AssignationSpecialType, AssignationTotalAssets, Flats.AssignationTotalAssets Flats#AssignationTotalAssets, AssignationAuxiliaryFlat, Flats.AssignationAuxiliaryFlat Flats#AssignationAuxiliaryFlat, FIAS, Flats.FIAS Flats#FIAS, OKTMO, Flats.OKTMO Flats#OKTMO, LocationRF, Flats.LocationRF Flats#LocationRF, PlanningElementName, Flats.PlanningElementName Flats#PlanningElementName, PlanningElementType, Flats.PlanningElementType Flats#PlanningElementType, CostApplicationLastDate, Flats.CostApplicationLastDate Flats#CostApplicationLastDate, UnitedKN, Flats.UnitedKN Flats#UnitedKN, FacilityKN, Flats.FacilityKN Flats#FacilityKN, FacilityKNPurpose, Flats.FacilityKNPurpose Flats#FacilityKNPurpose, EGROKNRegNum, Flats.EGROKNRegNum Flats#EGROKNRegNum, EGROKNObjCultural, Flats.EGROKNObjCultural Flats#EGROKNObjCultural, EGROKNNameCultural, Flats.EGROKNNameCultural Flats#EGROKNNameCultural, AssignmentEGROKNRegNum, Flats.AssignmentEGROKNRegNum Flats#AssignmentEGROKNRegNum, AssignmentEGROKNObjCultural, Flats.AssignmentEGROKNObjCultural Flats#AssignmentEGROKNObjCultural, AssignmentEGROKNNameCultural, Flats.AssignmentEGROKNNameCultural Flats#AssignmentEGROKNNameCultural, CulturalHeritageRequirements, Flats.CulturalHeritageRequirements Flats#CulturalHeritageRequirements, CodeDocumentEGROKN, Flats.CodeDocumentEGROKN Flats#CodeDocumentEGROKN, DocumentNameEGROKN, Flats.DocumentNameEGROKN Flats#DocumentNameEGROKN, DocumentSeriesEGROKN, Flats.DocumentSeriesEGROKN Flats#DocumentSeriesEGROKN, DocumentNumberEGROKN, Flats.DocumentNumberEGROKN Flats#DocumentNumberEGROKN, DocumentDateEGROKN, Flats.DocumentDateEGROKN Flats#DocumentDateEGROKN, DocumentIssueOrganEGROKN, Flats.DocumentIssueOrganEGROKN Flats#DocumentIssueOrganEGROKN, DocumentDescEGROKN, Flats.DocumentDescEGROKN Flats#DocumentDescEGROKN, OPERATORNAME, Flats.OPERATORNAME Flats#OPERATORNAME, MODIFYDATE, Flats.MODIFYDATE Flats#MODIFYDATE, CREATEOPERATORNAME, Flats.CREATEOPERATORNAME Flats#CREATEOPERATORNAME, CREATEDATE, Flats.CREATEDATE Flats#CREATEDATE, Source_ID, Flats.Source_ID Flats#Source_ID, buildings_ID, Flats.buildings_ID Flats#buildings_ID, Constructions_ID, Flats.Constructions_ID Flats#Constructions_ID, locTypeFloorKv, Flats.locTypeFloorKv Flats#locTypeFloorKv, locNumberFloor, Flats.locNumberFloor Flats#locNumberFloor, locFloorPrim, Flats.locFloorPrim Flats#locFloorPrim, Specific_CadastralCost, Flats.Specific_CadastralCost Flats#Specific_CadastralCost, CadastralCost, Flats.CadastralCost Flats#CadastralCost, CadastralCostDesc, Flats.CadastralCostDesc Flats#CadastralCostDesc, LocCalc_GroupCode, Flats.LocCalc_GroupCode Flats#LocCalc_GroupCode, SourcelocCalc_Group, Flats.SourcelocCalc_Group Flats#SourcelocCalc_Group, locTypeUse, Flats.locTypeUse Flats#locTypeUse, SourcelocTypeUse, Flats.SourcelocTypeUse Flats#SourcelocTypeUse, LocalityCode, Flats.LocalityCode Flats#LocalityCode, MO_Name, Flats.MO_Name Flats#MO_Name, loc_Factor_102, Flats.loc_Factor_102 Flats#loc_Factor_102, loc_Factor_108, Flats.loc_Factor_108 Flats#loc_Factor_108, loc_Factor_109, Flats.loc_Factor_109 Flats#loc_Factor_109, loc_Factor_110, Flats.loc_Factor_110 Flats#loc_Factor_110, ID_Group, Flats.ID_Group Flats#ID_Group, loc_Factor_122, Flats.loc_Factor_122 Flats#loc_Factor_122, loc_Factor_159, Flats.loc_Factor_159 Flats#loc_Factor_159, locTypeUse2, Flats.locTypeUse2 Flats#locTypeUse2, loc_VICode, Flats.loc_VICode Flats#loc_VICode, loc_GroupName, Flats.loc_GroupName Flats#loc_GroupName, loc_VRICode, Flats.loc_VRICode Flats#loc_VRICode, loc_Factor_201, Flats.loc_Factor_201 Flats#loc_Factor_201, Source_loc_Factor_201, Flats.Source_loc_Factor_201 Flats#Source_loc_Factor_201, loc_Factor_202, Flats.loc_Factor_202 Flats#loc_Factor_202, Source_loc_Factor_202, Flats.Source_loc_Factor_202 Flats#Source_loc_Factor_202, Source_loc_Factor_122, Flats.Source_loc_Factor_122 Flats#Source_loc_Factor_122, loc_Factor_203, Flats.loc_Factor_203 Flats#loc_Factor_203, Source_loc_Factor_203, Flats.Source_loc_Factor_203 Flats#Source_loc_Factor_203, Source_loc_Factor_102, Flats.Source_loc_Factor_102 Flats#Source_loc_Factor_102, Source_loc_Factor_110, Flats.Source_loc_Factor_110 Flats#Source_loc_Factor_110, loc_Factor_204, Flats.loc_Factor_204 Flats#loc_Factor_204, Source_loc_Factor_204, Flats.Source_loc_Factor_204 Flats#Source_loc_Factor_204, Source_loc_Factor_108, Flats.Source_loc_Factor_108 Flats#Source_loc_Factor_108, Source_loc_Factor_109, Flats.Source_loc_Factor_109 Flats#Source_loc_Factor_109, loc_Factor_205, Flats.loc_Factor_205 Flats#loc_Factor_205, Source_loc_Factor_205, Flats.Source_loc_Factor_205 Flats#Source_loc_Factor_205, loc_Factor_206, Flats.loc_Factor_206 Flats#loc_Factor_206, Source_loc_Factor_206, Flats.Source_loc_Factor_206 Flats#Source_loc_Factor_206, loc_Factor_207, Flats.loc_Factor_207 Flats#loc_Factor_207, Source_loc_Factor_207, Flats.Source_loc_Factor_207 Flats#Source_loc_Factor_207, loc_Factor_208, Flats.loc_Factor_208 Flats#loc_Factor_208, Source_loc_Factor_208, Flats.Source_loc_Factor_208 Flats#Source_loc_Factor_208, loc_Factor_209, Flats.loc_Factor_209 Flats#loc_Factor_209, Source_loc_Factor_209, Flats.Source_loc_Factor_209 Flats#Source_loc_Factor_209, loc_Factor_210, Flats.loc_Factor_210 Flats#loc_Factor_210, Source_loc_Factor_210, Flats.Source_loc_Factor_210 Flats#Source_loc_Factor_210, Source_loc_Factor_159, Flats.Source_loc_Factor_159 Flats#Source_loc_Factor_159, locTypeFlat, Flats.locTypeFlat Flats#locTypeFlat, SourcelocTypeFlat, Flats.SourcelocTypeFlat Flats#SourcelocTypeFlat, loc_Factor_211, Flats.loc_Factor_211 Flats#loc_Factor_211, loc_Factor_212, Flats.loc_Factor_212 Flats#loc_Factor_212, inputpacket_id, Flats.inputpacket_id Flats#inputpacket_id, FlatLevelsFis, Flats.FlatLevelsFis Flats#FlatLevelsFis, FlaglocTypeFlat, Flats.FlaglocTypeFlat Flats#FlaglocTypeFlat, FlagLocCalc_GroupCode, Flats.FlagLocCalc_GroupCode Flats#FlagLocCalc_GroupCode, FlagId_Group, Flats.FlagId_Group Flats#FlagId_Group, FlagYearBuilt, Flats.FlagYearBuilt Flats#FlagYearBuilt, FlagLocalityCode, Flats.FlagLocalityCode Flats#FlagLocalityCode, FlagLocFloors, Flats.FlagLocFloors Flats#FlagLocFloors, FlagFlatLavel, Flats.FlagFlatLavel Flats#FlagFlatLavel, FlagCadastralCost, Flats.FlagCadastralCost Flats#FlagCadastralCost, SourceCadastralCost, Flats.SourceCadastralCost Flats#SourceCadastralCost, Status_KC, Flats.Status_KC Flats#Status_KC, Source_EGRN, Flats.Source_EGRN Flats#Source_EGRN, Determin_DateKCS, Flats.Determin_DateKCS Flats#Determin_DateKCS, Count_Floor, Flats.Count_Floor Flats#Count_Floor, SourcelocTypeFloor, Flats.SourcelocTypeFloor Flats#SourcelocTypeFloor, ControlSP, Flats.ControlSP Flats#ControlSP, Orphan, Flats.Orphan Flats#Orphan, FlagParamFlats, Flats.FlagParamFlats Flats#FlagParamFlats, SourceLocalityCode, Flats.SourceLocalityCode Flats#SourceLocalityCode, Date_KC, Flats.Date_KC Flats#Date_KC, Upload_Scroll, Flats.Upload_Scroll Flats#Upload_Scroll, Statement, Flats.Statement Flats#Statement, Type_Statement, Flats.Type_Statement Flats#Type_Statement, Status_Statement, Flats.Status_Statement Flats#Status_Statement, ID_Group2, Flats.ID_Group2 Flats#ID_Group2, Date_comm, Flats.Date_comm Flats#Date_comm, Sol_comm, Flats.Sol_comm Flats#Sol_comm, FlagParent, Flats.FlagParent Flats#FlagParent, Court, Flats.Court Flats#Court, Date_Court, Flats.Date_Court Flats#Date_Court, Sol_Court, Flats.Sol_Court Flats#Sol_Court, inputpacket_date, Flats.inputpacket_date Flats#inputpacket_date from (Select Flats.ID ID, Flats.CadastralNumber CadastralNumber, Flats.DateCreated DateCreated, Flats.CadastralBlock CadastralBlock, Flats.ObjectType ObjectType, Flats.CadastralNumberFlat CadastralNumberFlat, Flats.CadastralNumberOKS CadastralNumberOKS, Flats.ParentOKSCadNum ParentOKSCadNum, Flats.ParentOKSObjectType ParentOKSObjectType, Flats.ParentOKSAssignationBuilding ParentOKSAssignationBuilding, Flats.ParentOKSAssignationName ParentOKSAssignationName, Flats.ExploitationCharYearBuilt ExploitationCharYearBuilt, Flats.ExploitationCharYearUsed ExploitationCharYearUsed, Flats.Floors Floors, Flats.UndergroundFloors UndergroundFloors, Flats.AssignationCode AssignationCode, Flats.AssignationType AssignationType, Flats.Area Area, Flats.PositionNumberOnPlan PositionNumberOnPlan, Flats.PositionDescription PositionDescription, Flats.AddressOrLocation AddressOrLocation, Flats.OKATO OKATO, Flats.KLADR KLADR, Flats.PostalCode PostalCode, Flats.Region Region, Flats.DistrictName DistrictName, Flats.DistrictType DistrictType, Flats.CityName CityName, Flats.CityType CityType, Flats.UrbanDistrictName UrbanDistrictName, Flats.UrbanDistrictType UrbanDistrictType, Flats.SovietVillageName SovietVillageName, Flats.SovietVillageType SovietVillageType, Flats.LocalityName LocalityName, Flats.LocalityType LocalityType, Flats.StreetName StreetName, Flats.StreetType StreetType, Flats.Level1Type Level1Type, Flats.Level1Value Level1Value, Flats.Level2Type Level2Type, Flats.Level2Value Level2Value, Flats.Level3Type Level3Type, Flats.Level3Value Level3Value, Flats.ApartmentType ApartmentType, Flats.ApartmentValue ApartmentValue, Flats.LocationOther LocationOther, Flats.LocationNote LocationNote, Flats.CostValue CostValue, Flats.CostUnit CostUnit, Flats.CostDateValuation CostDateValuation, Flats.CostDateEntering CostDateEntering, Flats.CostDateApproval CostDateApproval, Flats.CostDocNumber CostDocNumber, Flats.CostDocDate CostDocDate, Flats.CostApplicationDate CostApplicationDate, Flats.CostRevisalStatementDate CostRevisalStatementDate, Flats.CostDocName CostDocName, Flats.Name Name, Flats.AssignationSpecialType AssignationSpecialType, Flats.AssignationTotalAssets AssignationTotalAssets, Flats.AssignationAuxiliaryFlat AssignationAuxiliaryFlat, Flats.FIAS FIAS, Flats.OKTMO OKTMO, Flats.LocationRF LocationRF, Flats.PlanningElementName PlanningElementName, Flats.PlanningElementType PlanningElementType, Flats.CostApplicationLastDate CostApplicationLastDate, Flats.UnitedKN UnitedKN, Flats.FacilityKN FacilityKN, Flats.FacilityKNPurpose FacilityKNPurpose, Flats.EGROKNRegNum EGROKNRegNum, Flats.EGROKNObjCultural EGROKNObjCultural, Flats.EGROKNNameCultural EGROKNNameCultural, Flats.AssignmentEGROKNRegNum AssignmentEGROKNRegNum, Flats.AssignmentEGROKNObjCultural AssignmentEGROKNObjCultural, Flats.AssignmentEGROKNNameCultural AssignmentEGROKNNameCultural, Flats.CulturalHeritageRequirements CulturalHeritageRequirements, Flats.CodeDocumentEGROKN CodeDocumentEGROKN, Flats.DocumentNameEGROKN DocumentNameEGROKN, Flats.DocumentSeriesEGROKN DocumentSeriesEGROKN, Flats.DocumentNumberEGROKN DocumentNumberEGROKN, Flats.DocumentDateEGROKN DocumentDateEGROKN, Flats.DocumentIssueOrganEGROKN DocumentIssueOrganEGROKN, Flats.DocumentDescEGROKN DocumentDescEGROKN, Flats.OPERATORNAME OPERATORNAME, Flats.MODIFYDATE MODIFYDATE, Flats.CREATEOPERATORNAME CREATEOPERATORNAME, Flats.CREATEDATE CREATEDATE, Flats.Source_ID Source_ID, Flats.buildings_ID buildings_ID, Flats.Constructions_ID Constructions_ID, Flats.locTypeFloorKv locTypeFloorKv, Flats.locNumberFloor locNumberFloor, Flats.locFloorPrim locFloorPrim, Flats.Specific_CadastralCost Specific_CadastralCost, Flats.CadastralCost CadastralCost, Flats.CadastralCostDesc CadastralCostDesc, Flats.LocCalc_GroupCode LocCalc_GroupCode, Flats.SourcelocCalc_Group SourcelocCalc_Group, Flats.locTypeUse locTypeUse, Flats.SourcelocTypeUse SourcelocTypeUse, Flats.LocalityCode LocalityCode, Flats.MO_Name MO_Name, Flats.loc_Factor_102 loc_Factor_102, Flats.loc_Factor_108 loc_Factor_108, Flats.loc_Factor_109 loc_Factor_109, Flats.loc_Factor_110 loc_Factor_110, Flats.ID_Group ID_Group, Flats.loc_Factor_122 loc_Factor_122, Flats.loc_Factor_159 loc_Factor_159, Flats.locTypeUse2 locTypeUse2, Flats.loc_VICode loc_VICode, Flats.loc_GroupName loc_GroupName, Flats.loc_VRICode loc_VRICode, Flats.loc_Factor_201 loc_Factor_201, Flats.Source_loc_Factor_201 Source_loc_Factor_201, Flats.loc_Factor_202 loc_Factor_202, Flats.Source_loc_Factor_202 Source_loc_Factor_202, Flats.Source_loc_Factor_122 Source_loc_Factor_122, Flats.loc_Factor_203 loc_Factor_203, Flats.Source_loc_Factor_203 Source_loc_Factor_203, Flats.Source_loc_Factor_102 Source_loc_Factor_102, Flats.</t>
  </si>
  <si>
    <t>Source_loc_Factor_110 Source_loc_Factor_110, Flats.loc_Factor_204 loc_Factor_204, Flats.Source_loc_Factor_204 Source_loc_Factor_204, Flats.Source_loc_Factor_108 Source_loc_Factor_108, Flats.Source_loc_Factor_109 Source_loc_Factor_109, Flats.loc_Factor_205 loc_Factor_205, Flats.Source_loc_Factor_205 Source_loc_Factor_205, Flats.loc_Factor_206 loc_Factor_206, Flats.Source_loc_Factor_206 Source_loc_Factor_206, Flats.loc_Factor_207 loc_Factor_207, Flats.Source_loc_Factor_207 Source_loc_Factor_207, Flats.loc_Factor_208 loc_Factor_208, Flats.Source_loc_Factor_208 Source_loc_Factor_208, Flats.loc_Factor_209 loc_Factor_209, Flats.Source_loc_Factor_209 Source_loc_Factor_209, Flats.loc_Factor_210 loc_Factor_210, Flats.Source_loc_Factor_210 Source_loc_Factor_210, Flats.Source_loc_Factor_159 Source_loc_Factor_159, Flats.locTypeFlat locTypeFlat, Flats.SourcelocTypeFlat SourcelocTypeFlat, Flats.loc_Factor_211 loc_Factor_211, Flats.loc_Factor_212 loc_Factor_212, Flats.inputpacket_id inputpacket_id, Flats.FlatLevelsFis FlatLevelsFis, Flats.FlaglocTypeFlat FlaglocTypeFlat, Flats.FlagLocCalc_GroupCode FlagLocCalc_GroupCode, Flats.FlagId_Group FlagId_Group, Flats.FlagYearBuilt FlagYearBuilt, Flats.FlagLocalityCode FlagLocalityCode, Flats.FlagLocFloors FlagLocFloors, Flats.FlagFlatLavel FlagFlatLavel, Flats.FlagCadastralCost FlagCadastralCost, Flats.SourceCadastralCost SourceCadastralCost, Flats.Status_KC Status_KC, Flats.Source_EGRN Source_EGRN, Flats.Determin_DateKCS Determin_DateKCS, Flats.Count_Floor Count_Floor, Flats.SourcelocTypeFloor SourcelocTypeFloor, Flats.ControlSP ControlSP, Flats.Orphan Orphan, Flats.FlagParamFlats FlagParamFlats, Flats.SourceLocalityCode SourceLocalityCode, Flats.Date_KC Date_KC, Flats.Upload_Scroll Upload_Scroll, Flats.Statement Statement, Flats.Type_Statement Type_Statement, Flats.Status_Statement Status_Statement, Flats.ID_Group2 ID_Group2, Flats.Date_comm Date_comm, Flats.Sol_comm Sol_comm, Flats.FlagParent FlagParent, Flats.Court Court, Flats.Date_Court Date_Court, Flats.Sol_Court Sol_Court,  (((select DatePacket from inputpacket where id=Flats.inputpacket_id))) inputpacket_date from Flats) Flats) Flats left join (select Buildings#ID Buildings1#ID, Buildings#CadastralNumber Buildings1#CadastralNumber, Buildings#DateCreated Buildings1#DateCreated, Buildings#CadastralBlock Buildings1#CadastralBlock, Buildings#Name Buildings1#Name, Buildings#ObjectType Buildings1#ObjectType, Buildings#AssignationBuilding Buildings1#AssignationBuilding, Buildings#ExploitationCharYearBuilt Buildings1#ExploitationCharYearBuilt, Buildings#ExploitationCharYearUsed Buildings1#ExploitationCharYearUsed, Buildings#Floors Buildings1#Floors, Buildings#FloorsUnderground Buildings1#FloorsUnderground, Buildings#Area Buildings1#Area, Buildings#AddressOrLocation Buildings1#AddressOrLocation, Buildings#OKATO Buildings1#OKATO, Buildings#KLADR Buildings1#KLADR, Buildings#PostalCode Buildings1#PostalCode, Buildings#Region Buildings1#Region, Buildings#DistrictName Buildings1#DistrictName, Buildings#DistrictType Buildings1#DistrictType, Buildings#CityName Buildings1#CityName, Buildings#CityType Buildings1#CityType, Buildings#UrbanDistrictName Buildings1#UrbanDistrictName, Buildings#UrbanDistrictType Buildings1#UrbanDistrictType, Buildings#SovietVillageName Buildings1#SovietVillageName, Buildings#SovietVillageType Buildings1#SovietVillageType, Buildings#LocalityName Buildings1#LocalityName, Buildings#LocalityType Buildings1#LocalityType, Buildings#StreetName Buildings1#StreetName, Buildings#StreetType Buildings1#StreetType, Buildings#Level1Type Buildings1#Level1Type, Buildings#Level1Value Buildings1#Level1Value, Buildings#Level2Type Buildings1#Level2Type, Buildings#Level2Value Buildings1#Level2Value, Buildings#Level3Type Buildings1#Level3Type, Buildings#Level3Value Buildings1#Level3Value, Buildings#ApartmentType Buildings1#ApartmentType, Buildings#ApartmentValue Buildings1#ApartmentValue, Buildings#LocationOther Buildings1#LocationOther, Buildings#LocationNote Buildings1#LocationNote, Buildings#CostValue Buildings1#CostValue, Buildings#CostUnit Buildings1#CostUnit, Buildings#CostDateValuation Buildings1#CostDateValuation, Buildings#CostDateEntering Buildings1#CostDateEntering, Buildings#CostDateApproval Buildings1#CostDateApproval, Buildings#CostDocNumber Buildings1#CostDocNumber, Buildings#CostDocDate Buildings1#CostDocDate, Buildings#CostApplicationDate Buildings1#CostApplicationDate, Buildings#lCostRevisalStatementDate Buildings1#lCostRevisalStatementDate, Buildings#CostDocName Buildings1#CostDocName, Buildings#FIAS Buildings1#FIAS, Buildings#OKTMO Buildings1#OKTMO, Buildings#LocationRF Buildings1#LocationRF, Buildings#PlanningElementName Buildings1#PlanningElementName, Buildings#PlanningElementType Buildings1#PlanningElementType, Buildings#CostApplicationLastDate Buildings1#CostApplicationLastDate, Buildings#UnitedKN Buildings1#UnitedKN, Buildings#FacilityKN Buildings1#FacilityKN, Buildings#FacilityKNPurpose Buildings1#FacilityKNPurpose, Buildings#EGROKNRegNum Buildings1#EGROKNRegNum, Buildings#EGROKNObjCultural Buildings1#EGROKNObjCultural, Buildings#EGROKNNameCultural Buildings1#EGROKNNameCultural, Buildings#AssignmentEGROKNRegNum Buildings1#AssignmentEGROKNRegNum, Buildings#AssignmentEGROKNObjCultural Buildings1#AssignmentEGROKNObjCultural, Buildings#AssignmentEGROKNNameCultural Buildings1#AssignmentEGROKNNameCultural, Buildings#CulturalHeritageRequirements Buildings1#CulturalHeritageRequirements, Buildings#CodeDocumentEGROKN Buildings1#CodeDocumentEGROKN, Buildings#DocumentNameEGROKN Buildings1#DocumentNameEGROKN, Buildings#DocumentSeriesEGROKN Buildings1#DocumentSeriesEGROKN, Buildings#DocumentNumberEGROKN Buildings1#DocumentNumberEGROKN, Buildings#DocumentDateEGROKN Buildings1#DocumentDateEGROKN, Buildings#DocumentIssueOrganEGROKN Buildings1#DocumentIssueOrganEGROKN, Buildings#DocumentDescEGROKN Buildings1#DocumentDescEGROKN, Buildings#OPERATORNAME Buildings1#OPERATORNAME, Buildings#MODIFYDATE Buildings1#MODIFYDATE, Buildings#CREATEOPERATORNAME Buildings1#CREATEOPERATORNAME, Buildings#CREATEDATE Buildings1#CREATEDATE, Buildings#Source_ID Buildings1#Source_ID, Buildings#PresencePower Buildings1#PresencePower, Buildings#SourcePresencePower Buildings1#SourcePresencePower, Buildings#PresenceWaterSupply Buildings1#PresenceWaterSupply, Buildings#SourcePresenceWaterSupply Buildings1#SourcePresenceWaterSupply, Buildings#PresenceWaterDisposal Buildings1#PresenceWaterDisposal, Buildings#SourcePresenceWaterDisposal Buildings1#SourcePresenceWaterDisposal, Buildings#PresenceGas Buildings1#PresenceGas, Buildings#SourcePresenceGas Buildings1#SourcePresenceGas, Buildings#PresenceHeating Buildings1#PresenceHeating, Buildings#SourcePresenceHeating Buildings1#SourcePresenceHeating, Buildings#LocalityCode Buildings1#LocalityCode, Buildings#SourceLocalityCode Buildings1#SourceLocalityCode, Buildings#YearBuilt Buildings1#YearBuilt, Buildings#SourceYearBuilt Buildings1#SourceYearBuilt, Buildings#LocFloors Buildings1#LocFloors, Buildings#SourcelocFloors Buildings1#SourcelocFloors, Buildings#LocCalc_GroupCode Buildings1#LocCalc_GroupCode, Buildings#SourcelocCalc_Group Buildings1#SourcelocCalc_Group, Buildings#locTypeUse Buildings1#locTypeUse, Buildings#SourcelocTypeUse Buildings1#SourcelocTypeUse, Buildings#CoordinateMatchingName Buildings1#CoordinateMatchingName, Buildings#CoordinateMatchingCode Buildings1#CoordinateMatchingCode, Buildings#CostZone Buildings1#CostZone, Buildings#HousingArea Buildings1#HousingArea, Buildings#Coordinate_x Buildings1#Coordinate_x, Buildings#Coordinate_y Buildings1#Coordinate_y, Buildings#Number_of_spaces Buildings1#Number_of_spaces, Buildings#Number_of_nonresidential_premises Buildings1#Number_of_nonresidential_premises, Buildings#Number_of_premises Buildings1#Number_of_premises, Buildings#Number_of_apartments Buildings1#Number_of_apartments, Buildings#Number_of_rooms Buildings1#Number_of_rooms, Buildings#Dilapidated Buildings1#Dilapidated, Buildings#SourceDilapidated Buildings1#SourceDilapidated, Buildings#locReconstructionYear Buildings1#locReconstructionYear, Buildings#SourcelocReconstructionYear Buildings1#SourcelocReconstructionYear, Buildings#Specific_CadastralCost Buildings1#Specific_CadastralCost, Buildings#CadastralCost Buildings1#CadastralCost, Buildings#CadastralCostDesc Buildings1#CadastralCostDesc, Buildings#MO_Name Buildings1#MO_Name, Buildings#locVolume Buildings1#locVolume, Buildings#SourcelocVolume Buildings1#SourcelocVolume, Buildings#LocArea Buildings1#LocArea, Buildings#SourceLocArea Buildings1#SourceLocArea, Buildings#locPhysicalWear Buildings1#locPhysicalWear, Buildings#SourcelocPhysicalWear Buildings1#SourcelocPhysicalWear, Buildings#locMaterial Buildings1#locMaterial, Buildings#SourcelocMaterial Buildings1#SourcelocMaterial, Buildings#ID_Group Buildings1#ID_Group, Buildings#loc_Factor_117 Buildings1#loc_Factor_117, Buildings#loc_Factor_118 Buildings1#loc_Factor_118, Buildings#loc_Factor_119 Buildings1#loc_Factor_119, Buildings#loc_Factor_120 Buildings1#loc_Factor_120, Buildings#loc_Factor_158 Buildings1#loc_Factor_158, Buildings#locTypeUse2 Buildings1#locTypeUse2, Buildings#loc_VICode Buildings1#loc_VICode, Buildings#loc_GroupName Buildings1#loc_GroupName, Buildings#loc_VRICode Buildings1#loc_VRICode, Buildings#Source_loc_Factor_117 Buildings1#Source_loc_Factor_117, Buildings#Source_loc_Factor_118 Buildings1#Source_loc_Factor_118, Buildings#Source_loc_Factor_119 Buildings1#Source_loc_Factor_119, Buildings#Source_loc_Factor_120 Buildings1#Source_loc_Factor_120, Buildings#source_loc_Factor_158 Buildings1#source_loc_Factor_158, Buildings#loc_Factor_180 Buildings1#loc_Factor_180, Buildings#inputpacket_id Buildings1#inputpacket_id, Buildings#Source_loc_VICode Buildings1#Source_loc_VICode, Buildings#FlagCadastralCost Buildings1#FlagCadastralCost, Buildings#FlagParam Buildings1#FlagParam, Buildings#Source_EGRN Buildings1#Source_EGRN, Buildings#Determin_DateKCS Buildings1#Determin_DateKCS, Buildings#SourceDetermin_DateKC Buildings1#SourceDetermin_DateKC, Buildings#Determin_DateKC Buildings1#Determin_DateKC, Buildings#FlagLocalityCode Buildings1#FlagLocalityCode, Buildings#FlagYearBuilt Buildings1#FlagYearBuilt, Buildings#FlagLocFloors Buildings1#FlagLocFloors, Buildings#FlaglocMaterial Buildings1#FlaglocMaterial, Buildings#FlagLocCalc_GroupCode Buildings1#FlagLocCalc_GroupCode, Buildings#SourceCadastralCost Buildings1#SourceCadastralCost, Buildings#Status_KC Buildings1#Status_KC, Buildings#locYear Buildings1#locYear, Buildings#SourcelocYear Buildings1#SourcelocYear, Buildings#BuildingConstructMaterialFiz Buildings1#BuildingConstructMaterialFiz, Buildings#ParentUchKNFiz Buildings1#ParentUchKNFiz, Buildings#FlagLocZU Buildings1#FlagLocZU, Buildings#ControlSP Buildings1#ControlSP, Buildings#Calc_base Buildings1#Calc_base, Buildings#SourceCalc_base Buildings1#SourceCalc_base, Buildings#Upload_Scroll Buildings1#Upload_Scroll, Buildings#Date_KC Buildings1#Date_KC, Buildings#LC_distance_pos Buildings1#LC_distance_pos, Buildings#LC_distance_neg Buildings1#LC_distance_neg, Buildings#Blago Buildings1#Blago, Buildings#OldYearBuilt Buildings1#OldYearBuilt, Buildings#OldLocfloors Buildings1#OldLocfloors, Buildings#OldlocMaterial Buildings1#OldlocMaterial, Buildings#OldArea Buildings1#OldArea, Buildings#Statement Buildings1#Statement, Buildings#Type_Statement Buildings1#Type_Statement, Buildings#Status_Statement Buildings1#Status_Statement, Buildings#OldLocalityCode Buildings1#OldLocalityCode, Buildings#Date_comm Buildings1#Date_comm, Buildings#Sol_comm Buildings1#Sol_comm, Buildings#FlagName Buildings1#FlagName, Buildings#FlagNazn Buildings1#FlagNazn, Buildings#Vid Buildings1#Vid, Buildings#Kontrol Buildings1#Kontrol, Buildings#Court Buildings1#Court, Buildings#Date_Court Buildings1#Date_Court, Buildings#Sol_Court Buildings1#Sol_Court, Buildings#BuildingConstructMaterialCode Buildings1#BuildingConstructMaterialCode, Buildings#inputpacket_date Buildings1#inputpacket_date from ( select Buildings.ID Buildings#ID, Buildings.CadastralNumber Buildings#CadastralNumber, Buildings.DateCreated Buildings#DateCreated, Buildings.CadastralBlock Buildings#CadastralBlock, Buildings.Name Buildings#Name, Buildings.ObjectType Buildings#ObjectType, Buildings.AssignationBuilding Buildings#AssignationBuilding, Buildings.ExploitationCharYearBuilt Buildings#ExploitationCharYearBuilt, Buildings.ExploitationCharYearUsed Buildings#ExploitationCharYearUsed, Buildings.Floors Buildings#Floors, Buildings.FloorsUnderground Buildings#FloorsUnderground, Buildings.Area Buildings#Area, Buildings.AddressOrLocation Buildings#AddressOrLocation, Buildings.OKATO Buildings#OKATO, Buildings.KLADR Buildings#KLADR, Buildings.PostalCode Buildings#PostalCode, Buildings.Region Buildings#Region, Buildings.DistrictName Buildings#DistrictName, Buildings.DistrictType Buildings#DistrictType, Buildings.CityName Buildings#CityName, Buildings.CityType Buildings#CityType, Buildings.UrbanDistrictName Buildings#UrbanDistrictName, Buildings.UrbanDistrictType Buildings#UrbanDistrictType, Buildings.SovietVillageName Buildings#SovietVillageName, Buildings.SovietVillageType Buildings#SovietVillageType, Buildings.LocalityName Buildings#LocalityName, Buildings.LocalityType Buildings#LocalityType, Buildings.StreetName Buildings#StreetName, Buildings.StreetType Buildings#StreetType, Buildings.Level1Type Buildings#Level1Type, Buildings.Level1Value Buildings#Level1Value, Buildings.Level2Type Buildings#Level2Type, Buildings.Level2Value Buildings#Level2Value, Buildings.Level3Type Buildings#Level3Type, Buildings.Level3Value Buildings#Level3Value, Buildings.ApartmentType Buildings#ApartmentType, Buildings.ApartmentValue Buildings#ApartmentValue, Buildings.LocationOther Buildings#LocationOther, Buildings.LocationNote Buildings#LocationNote, Buildings.CostValue Buildings#CostValue, Buildings.CostUnit Buildings#CostUnit, Buildings.CostDateValuation Buildings#CostDateValuation, Buildings.CostDateEntering Buildings#CostDateEntering, Buildings.CostDateApproval Buildings#CostDateApproval, Buildings.CostDocNumber Buildings#CostDocNumber, Buildings.CostDocDate Buildings#CostDocDate, Buildings.CostApplicationDate Buildings#CostApplicationDate, Buildings.lCostRevisalStatementDate Buildings#lCostRevisalStatementDate, Buildings.CostDocName Buildings#CostDocName, Buildings.FIAS Buildings#FIAS, Buildings.OKTMO Buildings#OKTMO, Buildings.LocationRF Buildings#LocationRF, Buildings.PlanningElementName Buildings#PlanningElementName, Buildings.PlanningElementType Buildings#PlanningElementType, Buildings.CostApplicationLastDate Buildings#CostApplicationLastDate, Buildings.UnitedKN Buildings#UnitedKN, Buildings.FacilityKN Buildings#FacilityKN, Buildings.FacilityKNPurpose Buildings#FacilityKNPurpose, Buildings.EGROKNRegNum Buildings#EGROKNRegNum, Buildings.EGROKNObjCultural Buildings#EGROKNObjCultural, Buildings.EGROKNNameCultural Buildings#EGROKNNameCultural, Buildings.AssignmentEGROKNRegNum Buildings#AssignmentEGROKNRegNum, Buildings.AssignmentEGROKNObjCultural Buildings#AssignmentEGROKNObjCultural, Buildings.AssignmentEGROKNNameCultural Buildings#AssignmentEGROKNNameCultural, Buildings.CulturalHeritageRequirements Buildings#CulturalHeritageRequirements, Buildings.CodeDocumentEGROKN Buildings#CodeDocumentEGROKN, Buildings.DocumentNameEGROKN Buildings#DocumentNameEGROKN, Buildings.DocumentSeriesEGROKN Buildings#DocumentSeriesEGROKN, Buildings.DocumentNumberEGROKN Buildings#DocumentNumberEGROKN, Buildings.DocumentDateEGROKN Buildings#DocumentDateEGROKN, Buildings.DocumentIssueOrganEGROKN Buildings#DocumentIssueOrganEGROKN, Buildings.DocumentDescEGROKN Buildings#DocumentDescEGROKN, Buildings.OPERATORNAME Buildings#OPERATORNAME, Buildings.MODIFYDATE Buildings#MODIFYDATE, Buildings.CREATEOPERATORNAME Buildings#CREATEOPERATORNAME, Buildings.CREATEDATE Buildings#CREATEDATE, Buildings.Source_ID Buildings#Source_ID, Buildings.PresencePower Buildings#PresencePower, Buildings.SourcePresencePower Buildings#SourcePresencePower, Buildings.PresenceWaterSupply Buildings#PresenceWaterSupply, Buildings.SourcePresenceWaterSupply Buildings#SourcePresenceWaterSupply, Buildings.PresenceWaterDisposal Buildings#PresenceWaterDisposal, Buildings.SourcePresenceWaterDisposal Buildings#SourcePresenceWaterDisposal, Buildings.PresenceGas Buildings#PresenceGas, Buildings.SourcePresenceGas Buildings#SourcePresenceGas, Buildings.PresenceHeating Buildings#PresenceHeating, Buildings.SourcePresenceHeating Buildings#SourcePresenceHeating, Buildings.LocalityCode Buildings#LocalityCode, Buildings.SourceLocalityCode Buildings#SourceLocalityCode, Buildings.YearBuilt Buildings#YearBuilt, Buildings.SourceYearBuilt Buildings#SourceYearBuilt, Buildings.LocFloors Buildings#LocFloors, Buildings.SourcelocFloors Buildings#SourcelocFloors, Buildings.LocCalc_GroupCode Buildings#LocCalc_GroupCode, Buildings.SourcelocCalc_Group Buildings#SourcelocCalc_Group, Buildings.locTypeUse Buildings#locTypeUse, Buildings.SourcelocTypeUse Buildings#SourcelocTypeUse, Buildings.CoordinateMatchingName Buildings#CoordinateMatchingName, Buildings.CoordinateMatchingCode Buildings#CoordinateMatchingCode, Buildings.CostZone Buildings#CostZone, Buildings.HousingArea Buildings#HousingArea, Buildings.Coordinate_x Buildings#Coordinate_x, Buildings.Coordinate_y Buildings#Coordinate_y, Buildings.Number_of_spaces Buildings#Number_of_spaces, Buildings.Number_of_nonresidential_premises Buildings#Number_of_nonresidential_premises, Buildings.Number_of_premises Buildings#Number_of_premises, Buildings.Number_of_apartments Buildings#Number_of_apartments, Buildings.Number_of_rooms Buildings#Number_of_rooms, Buildings.Dilapidated Buildings#Dilapidated, Buildings.SourceDilapidated Buildings#SourceDilapidated, Buildings.locReconstructionYear Buildings#locReconstructionYear, Buildings.SourcelocReconstructionYear Buildings#SourcelocReconstructionYear, Buildings.Specific_CadastralCost Buildings#Specific_CadastralCost, Buildings.CadastralCost Buildings#CadastralCost, Buildings.CadastralCostDesc Buildings#CadastralCostDesc, Buildings.MO_Name Buildings#MO_Name, Buildings.locVolume Buildings#locVolume, Buildings.SourcelocVolume Buildings#SourcelocVolume, Buildings.LocArea Buildings#LocArea, Buildings.SourceLocArea Buildings#SourceLocArea, Buildings.locPhysicalWear Buildings#locPhysicalWear, Buildings.SourcelocPhysicalWear Buildings#SourcelocPhysicalWear, Buildings.locMaterial Buildings#locMaterial, Buildings.SourcelocMaterial Buildings#SourcelocMaterial, Buildings.ID_Group Buildings#ID_Group, Buildings.loc_Factor_117 Buildings#loc_Factor_117, Buildings.loc_Factor_118 Buildings#loc_Factor_118, Buildings.loc_Factor_119 Buildings#loc_Factor_119, Buildings.loc_Factor_120 Buildings#loc_Factor_120, Buildings.loc_Factor_158 Buildings#loc_Factor_158, Buildings.locTypeUse2 Buildings#locTypeUse2, Buildings.loc_VICode Buildings#loc_VICode, Buildings.loc_GroupName Buildings#loc_GroupName, Buildings.loc_VRICode Buildings#loc_VRICode, Buildings.Source_loc_Factor_117 Buildings#Source_loc_Factor_117, Buildings.Source_loc_Factor_118 Buildings#Source_loc_Factor_118, Buildings.Source_loc_Factor_119 Buildings#Source_loc_Factor_119, Buildings.Source_loc_Factor_120 Buildings#Source_loc_Factor_120, Buildings.source_loc_Factor_158 Buildings#source_loc_Factor_158, Buildings.loc_Factor_180 Buildings#loc_Factor_180, Buildings.inputpacket_id Buildings#inputpacket_id, Buildings.Source_loc_VICode Buildings#Source_loc_VICode, Buildings.FlagCadastralCost Buildings#FlagCadastralCost, Buildings.FlagParam Buildings#FlagParam, Buildings.Source_EGRN Buildings#Source_EGRN, Buildings.Determin_DateKCS Buildings#Determin_DateKCS, Buildings.SourceDetermin_DateKC Buildings#SourceDetermin_DateKC, Buildings.Determin_DateKC Buildings#Determin_DateKC, Buildings.FlagLocalityCode Buildings#FlagLocalityCode, Buildings.FlagYearBuilt Buildings#FlagYearBuilt, Buildings.FlagLocFloors Buildings#FlagLocFloors, Buildings.FlaglocMaterial Buildings#FlaglocMaterial, Buildings.FlagLocCalc_GroupCode Buildings#FlagLocCalc_GroupCode, Buildings.SourceCadastralCost Buildings#SourceCadastralCost, Buildings.Status_KC Buildings#Status_KC, Buildings.locYear Buildings#locYear, Buildings.SourcelocYear Buildings#SourcelocYear, Buildings.BuildingConstructMaterialFiz Buildings#BuildingConstructMaterialFiz, Buildings.ParentUchKNFiz Buildings#ParentUchKNFiz, Buildings.FlagLocZU Buildings#FlagLocZU, Buildings.ControlSP Buildings#ControlSP, Buildings.Calc_base Buildings#Calc_base, Buildings.SourceCalc_base Buildings#SourceCalc_base, Buildings.Upload_Scroll Buildings#Upload_Scroll, Buildings.Date_KC Buildings#Date_KC, Buildings.LC_distance_pos Buildings#LC_distance_pos, Buildings.LC_distance_neg Buildings#LC_distance_neg, Buildings.Blago Buildings#Blago, Buildings.OldYearBuilt Buildings#OldYearBuilt, Buildings.OldLocfloors Buildings#OldLocfloors, Buildings.OldlocMaterial Buildings#OldlocMaterial, Buildings.OldArea Buildings#OldArea, Buildings.Statement Buildings#Statement, Buildings.Type_Statement Buildings#Type_Statement, Buildings.Status_Statement Buildings#Status_Statement, Buildings.OldLocalityCode Buildings#OldLocalityCode, Buildings.Date_comm Buildings#Date_comm, Buildings.Sol_comm Buildings#Sol_comm, Buildings.FlagName Buildings#FlagName, Buildings.FlagNazn Buildings#FlagNazn, Buildings.Vid Buildings#Vid, Buildings.Kontrol Buildings#Kontrol, Buildings.Court Buildings#Court, Buildings.Date_Court Buildings#Date_Court, Buildings.Sol_Court Buildings#Sol_Court,  ((cast(STUFF((SELECT (', ' + CAST(BuildingConstructMaterial.Wall AS NVarChar(40))) FROM BuildingConstructMaterial WHERE   (BuildingConstructMaterial.Building_ID = Buildings.ID and BuildingConstructMaterial.Source_ID=Buildings.Source_ID) FOR XML PATH ('')), 1, 2, '') as varchar(200)))) Buildings#BuildingConstructMaterialCode,  (((select DatePacket from inputpacket where id=Buildings.inputpacket_id) )) Buildings#inputpacket_date from Buildings) Buildings) Buildings1 on Flats.buildings_ID=Buildings1.Buildings1#ID where Flats.Status_KC='НЕ ГОТОВ' AND Flats.id_group=1004 AND Flats.Orphan=0 AND Buildings1.Buildings1#Status_KC &lt;&gt; 'НЕ ГОТОВ'</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</si>
</sst>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 _₽_-;\-* #,##0.00\ _₽_-;_-* &quot;-&quot;??\ _₽_-;_-@_-"/>
  </numFmts>
  <fonts count="7" x14ac:knownFonts="1">
    <font>
      <sz val="11"/>
      <color theme="1"/>
      <name val="Calibri"/>
      <family val="2"/>
      <charset val="204"/>
      <scheme val="minor"/>
    </font>
    <font>
      <sz val="10"/>
      <color theme="1"/>
      <name val="Calibri"/>
      <family val="2"/>
      <charset val="204"/>
      <scheme val="minor"/>
    </font>
    <font>
      <i/>
      <sz val="10"/>
      <color theme="1"/>
      <name val="Calibri"/>
      <family val="2"/>
      <charset val="204"/>
      <scheme val="minor"/>
    </font>
    <font>
      <sz val="11"/>
      <color theme="1"/>
      <name val="Calibri"/>
      <family val="2"/>
      <charset val="204"/>
      <scheme val="minor"/>
    </font>
    <font>
      <sz val="11"/>
      <color theme="1"/>
      <name val="Calibri"/>
      <family val="2"/>
      <charset val="204"/>
    </font>
    <font>
      <sz val="11"/>
      <color theme="1"/>
      <name val="Times New Roman"/>
      <family val="2"/>
      <charset val="204"/>
    </font>
    <font>
      <i/>
      <sz val="11"/>
      <color theme="1"/>
      <name val="Calibri"/>
      <family val="2"/>
      <charset val="204"/>
      <scheme val="minor"/>
    </font>
  </fonts>
  <fills count="5">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11">
    <xf numFmtId="0" fontId="0" fillId="0" borderId="0"/>
    <xf numFmtId="0" fontId="4" fillId="0" borderId="0"/>
    <xf numFmtId="0" fontId="3"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43" fontId="3" fillId="0" borderId="0" applyFont="0" applyFill="0" applyBorder="0" applyAlignment="0" applyProtection="0"/>
  </cellStyleXfs>
  <cellXfs count="9">
    <xf numFmtId="0" fontId="0" fillId="0" borderId="0" xfId="0"/>
    <xf numFmtId="0" fontId="1" fillId="0" borderId="0" xfId="0" applyFont="1" applyAlignment="1">
      <alignment vertical="top" wrapText="1"/>
    </xf>
    <xf numFmtId="0" fontId="2" fillId="0" borderId="0" xfId="0" applyFont="1" applyAlignment="1">
      <alignment horizontal="left" vertical="center" wrapText="1"/>
    </xf>
    <xf numFmtId="0" fontId="1" fillId="0" borderId="0" xfId="0" applyFont="1" applyAlignment="1">
      <alignment horizontal="center" vertical="top" wrapText="1"/>
    </xf>
    <xf numFmtId="0" fontId="6" fillId="0" borderId="0" xfId="0" applyFont="1" applyAlignment="1">
      <alignment horizontal="center" vertical="top" wrapText="1"/>
    </xf>
    <xf numFmtId="0" fontId="6" fillId="2" borderId="0" xfId="0" applyFont="1" applyFill="1" applyAlignment="1">
      <alignment horizontal="center" vertical="top" wrapText="1"/>
    </xf>
    <xf numFmtId="0" fontId="6" fillId="3" borderId="0" xfId="0" applyFont="1" applyFill="1" applyAlignment="1">
      <alignment horizontal="center" vertical="top" wrapText="1"/>
    </xf>
    <xf numFmtId="43" fontId="1" fillId="0" borderId="0" xfId="10" applyFont="1" applyAlignment="1">
      <alignment vertical="top" wrapText="1"/>
    </xf>
    <xf numFmtId="0" fontId="1" fillId="4" borderId="0" xfId="0" applyFont="1" applyFill="1" applyAlignment="1">
      <alignment vertical="top" wrapText="1"/>
    </xf>
  </cellXfs>
  <cellStyles count="11">
    <cellStyle name="Обычный" xfId="0" builtinId="0"/>
    <cellStyle name="Обычный 2" xfId="2"/>
    <cellStyle name="Обычный 39" xfId="6"/>
    <cellStyle name="Обычный 41" xfId="8"/>
    <cellStyle name="Обычный 47" xfId="7"/>
    <cellStyle name="Обычный 48" xfId="9"/>
    <cellStyle name="Обычный 5" xfId="3"/>
    <cellStyle name="Обычный 6" xfId="4"/>
    <cellStyle name="Обычный 7" xfId="1"/>
    <cellStyle name="Обычный 9" xfId="5"/>
    <cellStyle name="Финансовый" xfId="10"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kyo/DataBase_Calc_Code_NP/&#1064;&#1084;&#1077;&#1083;&#1077;&#1074;/27.1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04"/>
      <sheetName val="Справочник Мат.стен"/>
      <sheetName val="Поправки"/>
      <sheetName val="Районы"/>
      <sheetName val="НЕ ПЕРЕСЧЕТ"/>
      <sheetName val="ПЕРЕСЧЕТ"/>
      <sheetName val="Стоп-лист"/>
    </sheetNames>
    <sheetDataSet>
      <sheetData sheetId="0"/>
      <sheetData sheetId="1">
        <row r="1">
          <cell r="A1" t="str">
            <v>Код поля</v>
          </cell>
          <cell r="B1" t="str">
            <v>Основной материал</v>
          </cell>
          <cell r="C1" t="str">
            <v>Екатеринбург</v>
          </cell>
          <cell r="D1" t="str">
            <v>Первоуральск</v>
          </cell>
          <cell r="E1" t="str">
            <v>Каменск-Уральский</v>
          </cell>
        </row>
        <row r="2">
          <cell r="A2">
            <v>61001000000</v>
          </cell>
          <cell r="B2" t="str">
            <v>Стены</v>
          </cell>
        </row>
        <row r="3">
          <cell r="A3">
            <v>61001001000</v>
          </cell>
          <cell r="B3" t="str">
            <v>Каменные</v>
          </cell>
          <cell r="C3" t="str">
            <v>Кирпичные</v>
          </cell>
          <cell r="D3" t="str">
            <v>Кирпичные</v>
          </cell>
          <cell r="E3" t="str">
            <v>Кирпичные</v>
          </cell>
        </row>
        <row r="4">
          <cell r="A4">
            <v>61001001001</v>
          </cell>
          <cell r="B4" t="str">
            <v>Кирпичные</v>
          </cell>
          <cell r="C4" t="str">
            <v>Кирпичные</v>
          </cell>
          <cell r="D4" t="str">
            <v>Кирпичные</v>
          </cell>
          <cell r="E4" t="str">
            <v>Кирпичные</v>
          </cell>
        </row>
        <row r="5">
          <cell r="A5">
            <v>61001001002</v>
          </cell>
          <cell r="B5" t="str">
            <v>Кирпичные облегченные</v>
          </cell>
          <cell r="C5" t="str">
            <v>Бетонные блоки</v>
          </cell>
        </row>
        <row r="6">
          <cell r="A6">
            <v>61001001003</v>
          </cell>
          <cell r="B6" t="str">
            <v>Из природного камня</v>
          </cell>
          <cell r="C6" t="str">
            <v>Кирпичные</v>
          </cell>
          <cell r="D6" t="str">
            <v>Кирпичные</v>
          </cell>
        </row>
        <row r="7">
          <cell r="A7">
            <v>61001002000</v>
          </cell>
          <cell r="B7" t="str">
            <v>Деревянные</v>
          </cell>
          <cell r="C7" t="str">
            <v>Деревянные</v>
          </cell>
          <cell r="D7" t="str">
            <v>Деревянные</v>
          </cell>
          <cell r="E7" t="str">
            <v>Деревянные</v>
          </cell>
        </row>
        <row r="8">
          <cell r="A8">
            <v>61001002001</v>
          </cell>
          <cell r="B8" t="str">
            <v>Рубленые</v>
          </cell>
          <cell r="C8" t="str">
            <v>Деревянные</v>
          </cell>
          <cell r="D8" t="str">
            <v>Деревянные</v>
          </cell>
          <cell r="E8" t="str">
            <v>Деревянные</v>
          </cell>
        </row>
        <row r="9">
          <cell r="A9">
            <v>61001002002</v>
          </cell>
          <cell r="B9" t="str">
            <v>Каркасно-засыпные</v>
          </cell>
          <cell r="C9" t="str">
            <v>Деревянные</v>
          </cell>
          <cell r="D9" t="str">
            <v>Деревянные</v>
          </cell>
          <cell r="E9" t="str">
            <v>Деревянные</v>
          </cell>
        </row>
        <row r="10">
          <cell r="A10">
            <v>61001002003</v>
          </cell>
          <cell r="B10" t="str">
            <v>Каркасно-обшивные</v>
          </cell>
          <cell r="C10" t="str">
            <v>Деревянные</v>
          </cell>
          <cell r="D10" t="str">
            <v>Деревянные</v>
          </cell>
          <cell r="E10" t="str">
            <v>Деревянные</v>
          </cell>
        </row>
        <row r="11">
          <cell r="A11">
            <v>61001002004</v>
          </cell>
          <cell r="B11" t="str">
            <v>Сборно-щитовые</v>
          </cell>
          <cell r="C11" t="str">
            <v>Деревянные</v>
          </cell>
          <cell r="D11" t="str">
            <v>Деревянные</v>
          </cell>
          <cell r="E11" t="str">
            <v>Деревянные</v>
          </cell>
        </row>
        <row r="12">
          <cell r="A12">
            <v>61001002005</v>
          </cell>
          <cell r="B12" t="str">
            <v>Дощатые</v>
          </cell>
          <cell r="C12" t="str">
            <v>Деревянные</v>
          </cell>
          <cell r="D12" t="str">
            <v>Деревянные</v>
          </cell>
          <cell r="E12" t="str">
            <v>Деревянные</v>
          </cell>
        </row>
        <row r="13">
          <cell r="A13">
            <v>61001002006</v>
          </cell>
          <cell r="B13" t="str">
            <v>Деревянный каркас без обшивки</v>
          </cell>
          <cell r="C13" t="str">
            <v>Деревянные</v>
          </cell>
          <cell r="D13" t="str">
            <v>Деревянные</v>
          </cell>
          <cell r="E13" t="str">
            <v>Деревянные</v>
          </cell>
        </row>
        <row r="14">
          <cell r="A14">
            <v>61001003000</v>
          </cell>
          <cell r="B14" t="str">
            <v>Смешанные</v>
          </cell>
          <cell r="C14" t="str">
            <v>Бетонные блоки</v>
          </cell>
          <cell r="D14" t="str">
            <v>Панельные</v>
          </cell>
          <cell r="E14" t="str">
            <v>Кирпичные</v>
          </cell>
        </row>
        <row r="15">
          <cell r="A15">
            <v>61001003001</v>
          </cell>
          <cell r="B15" t="str">
            <v>Каменные и деревянные</v>
          </cell>
          <cell r="C15" t="str">
            <v>Бетонные блоки</v>
          </cell>
          <cell r="D15" t="str">
            <v> Не встречались</v>
          </cell>
          <cell r="E15" t="str">
            <v>Кирпичные</v>
          </cell>
        </row>
        <row r="16">
          <cell r="A16">
            <v>61001003002</v>
          </cell>
          <cell r="B16" t="str">
            <v>Каменные и бетонные</v>
          </cell>
          <cell r="C16" t="str">
            <v>Кирпичные</v>
          </cell>
          <cell r="D16" t="str">
            <v>Кирпичные</v>
          </cell>
          <cell r="E16" t="str">
            <v>Кирпичные</v>
          </cell>
        </row>
        <row r="17">
          <cell r="A17">
            <v>61001004000</v>
          </cell>
          <cell r="B17" t="str">
            <v>Легкие из местных материалов</v>
          </cell>
          <cell r="C17" t="str">
            <v>Шлакоблочные</v>
          </cell>
          <cell r="D17" t="str">
            <v>Не встречались</v>
          </cell>
          <cell r="E17" t="str">
            <v> Не встречались</v>
          </cell>
        </row>
        <row r="18">
          <cell r="A18">
            <v>61001005000</v>
          </cell>
          <cell r="B18" t="str">
            <v>Из прочих материалов</v>
          </cell>
          <cell r="C18" t="str">
            <v>Бетонные блоки</v>
          </cell>
          <cell r="D18" t="str">
            <v>Шлакоблочные</v>
          </cell>
          <cell r="E18" t="str">
            <v>Шлакоблочные</v>
          </cell>
        </row>
        <row r="19">
          <cell r="A19">
            <v>61001006000</v>
          </cell>
          <cell r="B19" t="str">
            <v>Бетонные</v>
          </cell>
          <cell r="C19" t="str">
            <v>Бетонные блоки</v>
          </cell>
          <cell r="D19" t="str">
            <v>Панельные</v>
          </cell>
          <cell r="E19" t="str">
            <v>Панельные</v>
          </cell>
        </row>
        <row r="20">
          <cell r="A20">
            <v>61001006001</v>
          </cell>
          <cell r="B20" t="str">
            <v>Монолитные</v>
          </cell>
          <cell r="C20" t="str">
            <v>Монолитные</v>
          </cell>
          <cell r="D20" t="str">
            <v>Монолитные</v>
          </cell>
          <cell r="E20" t="str">
            <v>Монолитные</v>
          </cell>
        </row>
        <row r="21">
          <cell r="A21">
            <v>61001006002</v>
          </cell>
          <cell r="B21" t="str">
            <v>Из мелких бетонных блоков</v>
          </cell>
          <cell r="C21" t="str">
            <v>Бетонные блоки</v>
          </cell>
          <cell r="D21" t="str">
            <v>Блочные</v>
          </cell>
          <cell r="E21" t="str">
            <v>Блочные</v>
          </cell>
        </row>
        <row r="22">
          <cell r="A22">
            <v>61001006003</v>
          </cell>
          <cell r="B22" t="str">
            <v>Из легкобетонных панелей</v>
          </cell>
          <cell r="C22" t="str">
            <v>Бетонные блоки</v>
          </cell>
          <cell r="D22" t="str">
            <v>Панельные</v>
          </cell>
          <cell r="E22" t="str">
            <v>Панельные</v>
          </cell>
        </row>
        <row r="23">
          <cell r="A23">
            <v>61001007000</v>
          </cell>
          <cell r="B23" t="str">
            <v>Железобетонные</v>
          </cell>
          <cell r="C23" t="str">
            <v>Панельные</v>
          </cell>
          <cell r="D23" t="str">
            <v>Панельные</v>
          </cell>
          <cell r="E23" t="str">
            <v>Панельные</v>
          </cell>
        </row>
        <row r="24">
          <cell r="A24">
            <v>61001007001</v>
          </cell>
          <cell r="B24" t="str">
            <v>Крупнопанельные</v>
          </cell>
          <cell r="C24" t="str">
            <v>Панельные</v>
          </cell>
          <cell r="D24" t="str">
            <v>Панельные</v>
          </cell>
          <cell r="E24" t="str">
            <v>Панельные</v>
          </cell>
        </row>
        <row r="25">
          <cell r="A25">
            <v>61001007002</v>
          </cell>
          <cell r="B25" t="str">
            <v>Каркасно-панельные</v>
          </cell>
          <cell r="C25" t="str">
            <v>Панельные</v>
          </cell>
          <cell r="D25" t="str">
            <v>Панельные</v>
          </cell>
          <cell r="E25" t="str">
            <v>Панельные</v>
          </cell>
        </row>
        <row r="26">
          <cell r="A26">
            <v>61001007003</v>
          </cell>
          <cell r="B26" t="str">
            <v>Монолитные</v>
          </cell>
          <cell r="C26" t="str">
            <v>Монолитные</v>
          </cell>
          <cell r="D26" t="str">
            <v xml:space="preserve">Монолитные </v>
          </cell>
          <cell r="E26" t="str">
            <v>Монолитные</v>
          </cell>
        </row>
        <row r="27">
          <cell r="A27">
            <v>61001007004</v>
          </cell>
          <cell r="B27" t="str">
            <v>Крупноблочные</v>
          </cell>
          <cell r="C27" t="str">
            <v>Бетонные блоки</v>
          </cell>
          <cell r="D27" t="str">
            <v>Блочные</v>
          </cell>
          <cell r="E27" t="str">
            <v>Блочные</v>
          </cell>
        </row>
        <row r="28">
          <cell r="A28">
            <v>61001007005</v>
          </cell>
          <cell r="B28" t="str">
            <v>Из унифицированных железобетонных элементов</v>
          </cell>
          <cell r="C28" t="str">
            <v>Бетонные блоки</v>
          </cell>
          <cell r="D28" t="str">
            <v> Не встречались</v>
          </cell>
          <cell r="E28" t="str">
            <v> Не встречались</v>
          </cell>
        </row>
        <row r="29">
          <cell r="A29">
            <v>61001007006</v>
          </cell>
          <cell r="B29" t="str">
            <v>Из железобетонных сегментов</v>
          </cell>
          <cell r="C29" t="str">
            <v>Бетонные блоки</v>
          </cell>
          <cell r="D29" t="str">
            <v>Панельные</v>
          </cell>
          <cell r="E29" t="str">
            <v>Панельные</v>
          </cell>
        </row>
        <row r="30">
          <cell r="A30">
            <v>61001008000</v>
          </cell>
          <cell r="B30" t="str">
            <v>Шлакобетонные</v>
          </cell>
          <cell r="C30" t="str">
            <v>Шлакоблочные</v>
          </cell>
          <cell r="D30" t="str">
            <v>Шлакоблочные</v>
          </cell>
          <cell r="E30" t="str">
            <v>Шлакоблочные</v>
          </cell>
        </row>
        <row r="31">
          <cell r="A31">
            <v>61001009000</v>
          </cell>
          <cell r="B31" t="str">
            <v>Металлические</v>
          </cell>
          <cell r="C31" t="str">
            <v>Шлакоблочные</v>
          </cell>
          <cell r="D31" t="str">
            <v> Не встречались</v>
          </cell>
          <cell r="E31" t="str">
            <v> Не встречались</v>
          </cell>
        </row>
        <row r="32">
          <cell r="A32">
            <v>61001999000</v>
          </cell>
          <cell r="B32" t="str">
            <v>Иное</v>
          </cell>
          <cell r="C32" t="str">
            <v>Бетонные блоки</v>
          </cell>
          <cell r="D32" t="str">
            <v> Не встречались</v>
          </cell>
          <cell r="E32" t="str">
            <v> Не встречались</v>
          </cell>
        </row>
      </sheetData>
      <sheetData sheetId="2">
        <row r="2">
          <cell r="Q2">
            <v>1.1019000000000001</v>
          </cell>
        </row>
        <row r="3">
          <cell r="Q3">
            <v>0.92379999999999995</v>
          </cell>
        </row>
        <row r="4">
          <cell r="P4">
            <v>548372.65220354905</v>
          </cell>
        </row>
        <row r="5">
          <cell r="I5">
            <v>1.2718114368</v>
          </cell>
        </row>
        <row r="7">
          <cell r="I7">
            <v>0.21970560848000001</v>
          </cell>
        </row>
        <row r="8">
          <cell r="P8">
            <v>9.6786403707665585</v>
          </cell>
        </row>
        <row r="16">
          <cell r="B16" t="str">
            <v>Наименование ЖР</v>
          </cell>
          <cell r="C16" t="str">
            <v>Значение градации</v>
          </cell>
          <cell r="D16" t="str">
            <v>Поправка</v>
          </cell>
        </row>
        <row r="17">
          <cell r="B17" t="str">
            <v>Октябрьский</v>
          </cell>
          <cell r="C17">
            <v>0.19517419078000001</v>
          </cell>
          <cell r="D17">
            <v>1.2155</v>
          </cell>
          <cell r="F17" t="str">
            <v>Монолитные</v>
          </cell>
          <cell r="G17">
            <v>2.513070911E-2</v>
          </cell>
          <cell r="H17">
            <v>1.0254000000000001</v>
          </cell>
        </row>
        <row r="18">
          <cell r="B18" t="str">
            <v>Трубников</v>
          </cell>
          <cell r="C18">
            <v>0.17382194040999999</v>
          </cell>
          <cell r="D18">
            <v>1.1898</v>
          </cell>
          <cell r="F18" t="str">
            <v>Панельные</v>
          </cell>
          <cell r="G18">
            <v>1.7582802750000001E-2</v>
          </cell>
          <cell r="H18">
            <v>1.0177</v>
          </cell>
          <cell r="N18" t="str">
            <v>многоэтажный</v>
          </cell>
          <cell r="O18">
            <v>0</v>
          </cell>
          <cell r="P18">
            <v>1.1000000000000001</v>
          </cell>
        </row>
        <row r="19">
          <cell r="B19" t="str">
            <v>Южный</v>
          </cell>
          <cell r="C19">
            <v>0.15060523964</v>
          </cell>
          <cell r="D19">
            <v>1.1625000000000001</v>
          </cell>
          <cell r="F19" t="str">
            <v>Кирпичные</v>
          </cell>
          <cell r="G19">
            <v>0</v>
          </cell>
          <cell r="H19">
            <v>1</v>
          </cell>
          <cell r="J19" t="str">
            <v>Средний</v>
          </cell>
          <cell r="K19">
            <v>0</v>
          </cell>
          <cell r="L19">
            <v>1</v>
          </cell>
          <cell r="N19" t="str">
            <v>Среднеэтажный</v>
          </cell>
          <cell r="O19">
            <v>-9.5343095690000004E-2</v>
          </cell>
          <cell r="P19">
            <v>1</v>
          </cell>
        </row>
        <row r="20">
          <cell r="B20" t="str">
            <v>УАЗ-II</v>
          </cell>
          <cell r="C20">
            <v>0.10558011569</v>
          </cell>
          <cell r="D20">
            <v>1.1113999999999999</v>
          </cell>
          <cell r="F20" t="str">
            <v>Шлакоблочные</v>
          </cell>
          <cell r="G20">
            <v>-0.12033370984</v>
          </cell>
          <cell r="H20">
            <v>0.88660000000000005</v>
          </cell>
          <cell r="J20" t="str">
            <v>Крайний</v>
          </cell>
          <cell r="K20">
            <v>-1.153346406E-2</v>
          </cell>
          <cell r="L20">
            <v>0.98850000000000005</v>
          </cell>
          <cell r="N20" t="str">
            <v>Малоэтажный</v>
          </cell>
          <cell r="O20">
            <v>-0.18388966192</v>
          </cell>
          <cell r="P20">
            <v>0.9153</v>
          </cell>
        </row>
        <row r="21">
          <cell r="B21" t="str">
            <v>УАЗ-III - 49 кв.</v>
          </cell>
          <cell r="C21">
            <v>0.10018523484</v>
          </cell>
          <cell r="D21">
            <v>1.1053999999999999</v>
          </cell>
          <cell r="F21" t="str">
            <v>Блочные</v>
          </cell>
          <cell r="H21">
            <v>0.97019999999999995</v>
          </cell>
        </row>
        <row r="22">
          <cell r="B22" t="str">
            <v>Ленин-Олимп</v>
          </cell>
          <cell r="C22">
            <v>0</v>
          </cell>
          <cell r="D22">
            <v>1</v>
          </cell>
          <cell r="F22" t="str">
            <v>Деревянные</v>
          </cell>
          <cell r="H22">
            <v>0.72270000000000001</v>
          </cell>
        </row>
        <row r="23">
          <cell r="B23" t="str">
            <v>УАЗ</v>
          </cell>
          <cell r="C23">
            <v>-9.6901515100000002E-2</v>
          </cell>
          <cell r="D23">
            <v>0.90759999999999996</v>
          </cell>
        </row>
        <row r="24">
          <cell r="B24" t="str">
            <v>Северный</v>
          </cell>
          <cell r="C24">
            <v>-9.8570236749999998E-2</v>
          </cell>
          <cell r="D24">
            <v>0.90610000000000002</v>
          </cell>
        </row>
        <row r="25">
          <cell r="B25" t="str">
            <v>Ст.Каменск-Хозспособ</v>
          </cell>
          <cell r="C25">
            <v>-0.10881054358</v>
          </cell>
          <cell r="D25">
            <v>0.89690000000000003</v>
          </cell>
        </row>
        <row r="26">
          <cell r="B26" t="str">
            <v>Чкаловский</v>
          </cell>
          <cell r="C26">
            <v>-0.10908555991</v>
          </cell>
          <cell r="D26">
            <v>0.89670000000000005</v>
          </cell>
        </row>
        <row r="27">
          <cell r="G27" t="str">
            <v>Квартира</v>
          </cell>
          <cell r="H27">
            <v>1</v>
          </cell>
          <cell r="J27" t="str">
            <v>Благоустроенная</v>
          </cell>
          <cell r="K27">
            <v>1</v>
          </cell>
        </row>
        <row r="28">
          <cell r="G28" t="str">
            <v>Комната</v>
          </cell>
          <cell r="H28">
            <v>0.8538</v>
          </cell>
          <cell r="J28" t="str">
            <v>Частично благоустроенная</v>
          </cell>
          <cell r="K28">
            <v>0.82020000000000004</v>
          </cell>
        </row>
      </sheetData>
      <sheetData sheetId="3"/>
      <sheetData sheetId="4"/>
      <sheetData sheetId="5"/>
      <sheetData sheetId="6"/>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7"/>
  <sheetViews>
    <sheetView tabSelected="1" workbookViewId="0">
      <selection sqref="A1:BO1048576"/>
    </sheetView>
  </sheetViews>
  <sheetFormatPr defaultRowHeight="12.75" x14ac:dyDescent="0.25"/>
  <cols>
    <col min="1" max="67" width="9.140625" style="1" customWidth="1"/>
    <col min="68" max="68" width="31.7109375" style="1" customWidth="1"/>
    <col min="69" max="69" width="19" style="1" customWidth="1"/>
    <col min="70" max="16384" width="9.140625" style="1"/>
  </cols>
  <sheetData>
    <row r="1" spans="1:102" ht="32.25" customHeight="1" x14ac:dyDescent="0.25">
      <c r="A1" s="2" t="s">
        <v>0</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1</v>
      </c>
      <c r="AS1" s="2" t="s">
        <v>42</v>
      </c>
      <c r="AT1" s="2" t="s">
        <v>43</v>
      </c>
      <c r="AU1" s="2" t="s">
        <v>44</v>
      </c>
      <c r="AV1" s="2" t="s">
        <v>45</v>
      </c>
      <c r="AW1" s="2" t="s">
        <v>16</v>
      </c>
      <c r="AX1" s="2" t="s">
        <v>46</v>
      </c>
      <c r="AY1" s="2" t="s">
        <v>24</v>
      </c>
      <c r="AZ1" s="2" t="s">
        <v>47</v>
      </c>
      <c r="BA1" s="2" t="s">
        <v>48</v>
      </c>
      <c r="BB1" s="2" t="s">
        <v>49</v>
      </c>
      <c r="BC1" s="2" t="s">
        <v>50</v>
      </c>
      <c r="BD1" s="2" t="s">
        <v>33</v>
      </c>
      <c r="BE1" s="2" t="s">
        <v>34</v>
      </c>
      <c r="BF1" s="2" t="s">
        <v>38</v>
      </c>
      <c r="BG1" s="2" t="s">
        <v>39</v>
      </c>
      <c r="BH1" s="2" t="s">
        <v>51</v>
      </c>
      <c r="BI1" s="2" t="s">
        <v>52</v>
      </c>
      <c r="BJ1" s="2" t="s">
        <v>53</v>
      </c>
      <c r="BK1" s="2" t="s">
        <v>54</v>
      </c>
      <c r="BL1" s="2" t="s">
        <v>37</v>
      </c>
      <c r="BM1" s="2" t="s">
        <v>55</v>
      </c>
      <c r="BN1" s="2" t="s">
        <v>56</v>
      </c>
      <c r="BO1" s="2" t="s">
        <v>57</v>
      </c>
      <c r="BP1" s="2" t="s">
        <v>58</v>
      </c>
      <c r="BQ1" s="4" t="s">
        <v>50</v>
      </c>
      <c r="BR1" s="5" t="s">
        <v>148</v>
      </c>
      <c r="BS1" s="5" t="s">
        <v>149</v>
      </c>
      <c r="BT1" s="5" t="s">
        <v>150</v>
      </c>
      <c r="BU1" s="5" t="s">
        <v>151</v>
      </c>
      <c r="BV1" s="5" t="s">
        <v>152</v>
      </c>
      <c r="BW1" s="5" t="s">
        <v>26</v>
      </c>
      <c r="BX1" s="5" t="s">
        <v>153</v>
      </c>
      <c r="BY1" s="5" t="s">
        <v>21</v>
      </c>
      <c r="BZ1" s="5" t="s">
        <v>25</v>
      </c>
      <c r="CA1" s="5" t="s">
        <v>27</v>
      </c>
      <c r="CB1" s="6" t="s">
        <v>149</v>
      </c>
      <c r="CC1" s="6" t="s">
        <v>151</v>
      </c>
      <c r="CD1" s="6" t="s">
        <v>152</v>
      </c>
      <c r="CE1" s="6" t="s">
        <v>26</v>
      </c>
      <c r="CF1" s="6" t="s">
        <v>153</v>
      </c>
      <c r="CG1" s="6" t="s">
        <v>21</v>
      </c>
      <c r="CH1" s="6" t="s">
        <v>150</v>
      </c>
      <c r="CI1" s="6" t="s">
        <v>154</v>
      </c>
      <c r="CJ1" s="5" t="s">
        <v>149</v>
      </c>
      <c r="CK1" s="5" t="s">
        <v>150</v>
      </c>
      <c r="CL1" s="5" t="s">
        <v>151</v>
      </c>
      <c r="CM1" s="5" t="s">
        <v>152</v>
      </c>
      <c r="CN1" s="5" t="s">
        <v>26</v>
      </c>
      <c r="CO1" s="5" t="s">
        <v>153</v>
      </c>
      <c r="CP1" s="5" t="s">
        <v>21</v>
      </c>
      <c r="CQ1" s="5" t="s">
        <v>155</v>
      </c>
      <c r="CR1" s="5" t="s">
        <v>156</v>
      </c>
      <c r="CS1" s="5" t="s">
        <v>157</v>
      </c>
      <c r="CT1" s="5" t="s">
        <v>158</v>
      </c>
      <c r="CU1" s="5" t="s">
        <v>159</v>
      </c>
      <c r="CV1" s="4"/>
      <c r="CW1" s="4"/>
      <c r="CX1" s="5" t="s">
        <v>160</v>
      </c>
    </row>
    <row r="2" spans="1:102" ht="23.25" customHeight="1" x14ac:dyDescent="0.25">
      <c r="A2" s="2" t="s">
        <v>59</v>
      </c>
      <c r="B2" s="2" t="s">
        <v>59</v>
      </c>
      <c r="C2" s="2" t="s">
        <v>60</v>
      </c>
      <c r="D2" s="2" t="s">
        <v>61</v>
      </c>
      <c r="E2" s="2" t="s">
        <v>62</v>
      </c>
      <c r="F2" s="2" t="s">
        <v>63</v>
      </c>
      <c r="G2" s="2" t="s">
        <v>64</v>
      </c>
      <c r="H2" s="2" t="s">
        <v>65</v>
      </c>
      <c r="I2" s="2" t="s">
        <v>66</v>
      </c>
      <c r="J2" s="2" t="s">
        <v>67</v>
      </c>
      <c r="K2" s="2" t="s">
        <v>68</v>
      </c>
      <c r="L2" s="2" t="s">
        <v>69</v>
      </c>
      <c r="M2" s="2" t="s">
        <v>70</v>
      </c>
      <c r="N2" s="2" t="s">
        <v>71</v>
      </c>
      <c r="O2" s="2" t="s">
        <v>72</v>
      </c>
      <c r="P2" s="2" t="s">
        <v>73</v>
      </c>
      <c r="Q2" s="2" t="s">
        <v>74</v>
      </c>
      <c r="R2" s="2" t="s">
        <v>75</v>
      </c>
      <c r="S2" s="2" t="s">
        <v>76</v>
      </c>
      <c r="T2" s="2" t="s">
        <v>77</v>
      </c>
      <c r="U2" s="2" t="s">
        <v>78</v>
      </c>
      <c r="V2" s="2" t="s">
        <v>79</v>
      </c>
      <c r="W2" s="2" t="s">
        <v>80</v>
      </c>
      <c r="X2" s="2" t="s">
        <v>81</v>
      </c>
      <c r="Y2" s="2" t="s">
        <v>82</v>
      </c>
      <c r="Z2" s="2" t="s">
        <v>83</v>
      </c>
      <c r="AA2" s="2" t="s">
        <v>84</v>
      </c>
      <c r="AB2" s="2" t="s">
        <v>85</v>
      </c>
      <c r="AC2" s="2" t="s">
        <v>86</v>
      </c>
      <c r="AD2" s="2" t="s">
        <v>87</v>
      </c>
      <c r="AE2" s="2" t="s">
        <v>88</v>
      </c>
      <c r="AF2" s="2" t="s">
        <v>89</v>
      </c>
      <c r="AG2" s="2" t="s">
        <v>90</v>
      </c>
      <c r="AH2" s="2" t="s">
        <v>91</v>
      </c>
      <c r="AI2" s="2" t="s">
        <v>92</v>
      </c>
      <c r="AJ2" s="2" t="s">
        <v>93</v>
      </c>
      <c r="AK2" s="2" t="s">
        <v>94</v>
      </c>
      <c r="AL2" s="2" t="s">
        <v>95</v>
      </c>
      <c r="AM2" s="2" t="s">
        <v>96</v>
      </c>
      <c r="AN2" s="2" t="s">
        <v>97</v>
      </c>
      <c r="AO2" s="2" t="s">
        <v>98</v>
      </c>
      <c r="AP2" s="2" t="s">
        <v>99</v>
      </c>
      <c r="AQ2" s="2" t="s">
        <v>100</v>
      </c>
      <c r="AR2" s="2" t="s">
        <v>60</v>
      </c>
      <c r="AS2" s="2" t="s">
        <v>101</v>
      </c>
      <c r="AT2" s="2" t="s">
        <v>102</v>
      </c>
      <c r="AU2" s="2" t="s">
        <v>103</v>
      </c>
      <c r="AV2" s="2" t="s">
        <v>104</v>
      </c>
      <c r="AW2" s="2" t="s">
        <v>75</v>
      </c>
      <c r="AX2" s="2" t="s">
        <v>105</v>
      </c>
      <c r="AY2" s="2" t="s">
        <v>106</v>
      </c>
      <c r="AZ2" s="2" t="s">
        <v>74</v>
      </c>
      <c r="BA2" s="2" t="s">
        <v>107</v>
      </c>
      <c r="BB2" s="2" t="s">
        <v>108</v>
      </c>
      <c r="BC2" s="2" t="s">
        <v>109</v>
      </c>
      <c r="BD2" s="2" t="s">
        <v>92</v>
      </c>
      <c r="BE2" s="2" t="s">
        <v>93</v>
      </c>
      <c r="BF2" s="2" t="s">
        <v>97</v>
      </c>
      <c r="BG2" s="2" t="s">
        <v>98</v>
      </c>
      <c r="BH2" s="2" t="s">
        <v>110</v>
      </c>
      <c r="BI2" s="2" t="s">
        <v>111</v>
      </c>
      <c r="BJ2" s="2" t="s">
        <v>112</v>
      </c>
      <c r="BK2" s="2" t="s">
        <v>113</v>
      </c>
      <c r="BL2" s="2" t="s">
        <v>96</v>
      </c>
      <c r="BM2" s="2" t="s">
        <v>114</v>
      </c>
      <c r="BN2" s="2" t="s">
        <v>115</v>
      </c>
      <c r="BO2" s="2" t="s">
        <v>116</v>
      </c>
      <c r="BP2" s="2" t="s">
        <v>117</v>
      </c>
    </row>
    <row r="3" spans="1:102" x14ac:dyDescent="0.25">
      <c r="A3" s="1" t="s">
        <v>147</v>
      </c>
      <c r="B3" s="1" t="s">
        <v>146</v>
      </c>
      <c r="C3" s="1" t="s">
        <v>146</v>
      </c>
      <c r="D3" s="1" t="s">
        <v>146</v>
      </c>
      <c r="E3" s="1" t="s">
        <v>146</v>
      </c>
      <c r="F3" s="1" t="s">
        <v>146</v>
      </c>
      <c r="G3" s="1" t="s">
        <v>146</v>
      </c>
      <c r="H3" s="1" t="s">
        <v>146</v>
      </c>
      <c r="I3" s="1" t="s">
        <v>146</v>
      </c>
      <c r="J3" s="1" t="s">
        <v>146</v>
      </c>
      <c r="K3" s="1" t="s">
        <v>146</v>
      </c>
      <c r="L3" s="1" t="s">
        <v>146</v>
      </c>
      <c r="M3" s="1" t="s">
        <v>146</v>
      </c>
      <c r="N3" s="1" t="s">
        <v>146</v>
      </c>
      <c r="O3" s="1" t="s">
        <v>146</v>
      </c>
      <c r="P3" s="1" t="s">
        <v>146</v>
      </c>
      <c r="Q3" s="1" t="s">
        <v>146</v>
      </c>
      <c r="R3" s="1" t="s">
        <v>146</v>
      </c>
      <c r="S3" s="1" t="s">
        <v>146</v>
      </c>
      <c r="T3" s="1" t="s">
        <v>146</v>
      </c>
      <c r="U3" s="1" t="s">
        <v>146</v>
      </c>
      <c r="V3" s="1" t="s">
        <v>146</v>
      </c>
      <c r="W3" s="1" t="s">
        <v>146</v>
      </c>
      <c r="X3" s="1" t="s">
        <v>146</v>
      </c>
      <c r="Y3" s="1" t="s">
        <v>146</v>
      </c>
      <c r="Z3" s="1" t="s">
        <v>146</v>
      </c>
      <c r="AA3" s="1" t="s">
        <v>146</v>
      </c>
      <c r="AB3" s="1" t="s">
        <v>146</v>
      </c>
      <c r="AC3" s="1" t="s">
        <v>146</v>
      </c>
      <c r="AD3" s="1" t="s">
        <v>146</v>
      </c>
      <c r="AE3" s="1" t="s">
        <v>146</v>
      </c>
      <c r="AF3" s="1" t="s">
        <v>146</v>
      </c>
      <c r="AG3" s="1" t="s">
        <v>146</v>
      </c>
      <c r="AH3" s="1" t="s">
        <v>146</v>
      </c>
      <c r="AI3" s="1" t="s">
        <v>146</v>
      </c>
      <c r="AJ3" s="1" t="s">
        <v>146</v>
      </c>
      <c r="AK3" s="1" t="s">
        <v>146</v>
      </c>
      <c r="AL3" s="1" t="s">
        <v>146</v>
      </c>
      <c r="AM3" s="1" t="s">
        <v>146</v>
      </c>
      <c r="AN3" s="1" t="s">
        <v>146</v>
      </c>
      <c r="AO3" s="1" t="s">
        <v>146</v>
      </c>
      <c r="AP3" s="1" t="s">
        <v>146</v>
      </c>
      <c r="AQ3" s="1" t="s">
        <v>146</v>
      </c>
      <c r="AR3" s="1" t="s">
        <v>147</v>
      </c>
      <c r="AS3" s="1" t="s">
        <v>147</v>
      </c>
      <c r="AT3" s="1" t="s">
        <v>147</v>
      </c>
      <c r="AU3" s="1" t="s">
        <v>147</v>
      </c>
      <c r="AV3" s="1" t="s">
        <v>147</v>
      </c>
      <c r="AW3" s="1" t="s">
        <v>147</v>
      </c>
      <c r="AX3" s="1" t="s">
        <v>147</v>
      </c>
      <c r="AY3" s="1" t="s">
        <v>147</v>
      </c>
      <c r="AZ3" s="1" t="s">
        <v>147</v>
      </c>
      <c r="BA3" s="1" t="s">
        <v>147</v>
      </c>
      <c r="BB3" s="1" t="s">
        <v>147</v>
      </c>
      <c r="BC3" s="1" t="s">
        <v>147</v>
      </c>
      <c r="BD3" s="1" t="s">
        <v>147</v>
      </c>
      <c r="BE3" s="1" t="s">
        <v>147</v>
      </c>
      <c r="BF3" s="1" t="s">
        <v>147</v>
      </c>
      <c r="BG3" s="1" t="s">
        <v>147</v>
      </c>
      <c r="BH3" s="1" t="s">
        <v>147</v>
      </c>
      <c r="BI3" s="1" t="s">
        <v>147</v>
      </c>
      <c r="BJ3" s="1" t="s">
        <v>147</v>
      </c>
      <c r="BK3" s="1" t="s">
        <v>147</v>
      </c>
      <c r="BL3" s="1" t="s">
        <v>147</v>
      </c>
      <c r="BM3" s="1" t="s">
        <v>147</v>
      </c>
      <c r="BN3" s="1" t="s">
        <v>147</v>
      </c>
      <c r="BO3" s="1" t="s">
        <v>147</v>
      </c>
    </row>
    <row r="4" spans="1:102" x14ac:dyDescent="0.25">
      <c r="A4" s="8"/>
      <c r="B4" s="8"/>
      <c r="C4" s="8"/>
      <c r="D4" s="8" t="s">
        <v>161</v>
      </c>
      <c r="E4" s="8"/>
      <c r="F4" s="8" t="s">
        <v>161</v>
      </c>
      <c r="G4" s="8" t="s">
        <v>161</v>
      </c>
      <c r="H4" s="8" t="s">
        <v>161</v>
      </c>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row>
    <row r="5" spans="1:102" ht="30" customHeight="1" x14ac:dyDescent="0.25">
      <c r="A5" s="1">
        <v>404069</v>
      </c>
      <c r="B5" s="1">
        <v>447553</v>
      </c>
      <c r="C5" s="1" t="s">
        <v>118</v>
      </c>
      <c r="D5" s="1" t="s">
        <v>119</v>
      </c>
      <c r="E5" s="1" t="s">
        <v>120</v>
      </c>
      <c r="F5" s="1" t="s">
        <v>121</v>
      </c>
      <c r="G5" s="1" t="s">
        <v>122</v>
      </c>
      <c r="H5" s="1" t="s">
        <v>123</v>
      </c>
      <c r="I5" s="1">
        <v>83.7</v>
      </c>
      <c r="J5" s="1" t="s">
        <v>124</v>
      </c>
      <c r="K5" s="1" t="s">
        <v>125</v>
      </c>
      <c r="L5" s="1" t="s">
        <v>126</v>
      </c>
      <c r="M5" s="1" t="s">
        <v>127</v>
      </c>
      <c r="N5" s="1">
        <v>17048.580000000002</v>
      </c>
      <c r="O5" s="1">
        <v>930852.47</v>
      </c>
      <c r="P5" s="1" t="s">
        <v>128</v>
      </c>
      <c r="Q5" s="1" t="s">
        <v>129</v>
      </c>
      <c r="R5" s="1" t="s">
        <v>130</v>
      </c>
      <c r="S5" s="1">
        <v>54.6</v>
      </c>
      <c r="T5" s="1">
        <v>1004</v>
      </c>
      <c r="U5" s="1">
        <v>1943</v>
      </c>
      <c r="V5" s="1" t="s">
        <v>131</v>
      </c>
      <c r="W5" s="1" t="s">
        <v>132</v>
      </c>
      <c r="Y5" s="1" t="s">
        <v>133</v>
      </c>
      <c r="Z5" s="1" t="s">
        <v>134</v>
      </c>
      <c r="AA5" s="1" t="s">
        <v>135</v>
      </c>
      <c r="AB5" s="1" t="s">
        <v>136</v>
      </c>
      <c r="AC5" s="1" t="s">
        <v>137</v>
      </c>
      <c r="AE5" s="1" t="s">
        <v>123</v>
      </c>
      <c r="AI5" s="1" t="s">
        <v>138</v>
      </c>
      <c r="AK5" s="1">
        <v>0</v>
      </c>
      <c r="AL5" s="1" t="s">
        <v>139</v>
      </c>
      <c r="AO5" s="1" t="s">
        <v>140</v>
      </c>
      <c r="AR5" s="1" t="s">
        <v>120</v>
      </c>
      <c r="AS5" s="1" t="s">
        <v>141</v>
      </c>
      <c r="AT5" s="1" t="s">
        <v>141</v>
      </c>
      <c r="AU5" s="1" t="s">
        <v>141</v>
      </c>
      <c r="AV5" s="1" t="s">
        <v>141</v>
      </c>
      <c r="AW5" s="1" t="s">
        <v>130</v>
      </c>
      <c r="AX5" s="1">
        <v>1943</v>
      </c>
      <c r="AY5" s="1">
        <v>3</v>
      </c>
      <c r="AZ5" s="1" t="s">
        <v>129</v>
      </c>
      <c r="BA5" s="1" t="s">
        <v>133</v>
      </c>
      <c r="BC5" s="1">
        <v>61001008000</v>
      </c>
      <c r="BD5" s="1" t="s">
        <v>142</v>
      </c>
      <c r="BG5" s="1" t="s">
        <v>143</v>
      </c>
      <c r="BH5" s="1" t="s">
        <v>132</v>
      </c>
      <c r="BK5" s="1" t="s">
        <v>144</v>
      </c>
      <c r="BL5" s="1" t="s">
        <v>143</v>
      </c>
      <c r="BM5" s="1" t="s">
        <v>144</v>
      </c>
      <c r="BN5" s="1" t="s">
        <v>144</v>
      </c>
      <c r="BO5" s="1" t="s">
        <v>144</v>
      </c>
      <c r="BP5" s="1">
        <f t="shared" ref="BP5" si="0">VALUE(M5)</f>
        <v>3</v>
      </c>
      <c r="BQ5" s="1">
        <f t="shared" ref="BQ5" si="1">VALUE(BC5)</f>
        <v>61001008000</v>
      </c>
      <c r="BR5" s="1" t="str">
        <f t="shared" ref="BR5" si="2">C5</f>
        <v>66:45:0200226:2520</v>
      </c>
      <c r="BS5" s="1">
        <f t="shared" ref="BS5" si="3">AX5</f>
        <v>1943</v>
      </c>
      <c r="BT5" s="1">
        <f t="shared" ref="BT5" si="4">I5</f>
        <v>83.7</v>
      </c>
      <c r="BU5" s="1" t="str">
        <f t="shared" ref="BU5" si="5">IF(BA5="","Ленин-Олимп",BA5)</f>
        <v>УАЗ</v>
      </c>
      <c r="BV5" s="1" t="str">
        <f>VLOOKUP(BQ5,'[1]Справочник Мат.стен'!$A:$E,5,FALSE)</f>
        <v>Шлакоблочные</v>
      </c>
      <c r="BW5" s="1" t="str">
        <f t="shared" ref="BW5" si="6">IF(OR(BP5=1,BP5=AY5),"Крайний","Средний")</f>
        <v>Крайний</v>
      </c>
      <c r="BX5" s="1" t="str">
        <f t="shared" ref="BX5" si="7">IF(AY5&lt;=3,"Малоэтажный",IF(AND(AY5&gt;3,AY5&lt;=8),"Среднеэтажный","Многоэтажный"))</f>
        <v>Малоэтажный</v>
      </c>
      <c r="BY5" s="1" t="str">
        <f t="shared" ref="BY5" si="8">IF(BH5="","Благоустроенная",BH5)</f>
        <v>Благоустроенная</v>
      </c>
      <c r="BZ5" s="1" t="str">
        <f t="shared" ref="BZ5" si="9">IF(H5="комната","Комната","Квартира")</f>
        <v>Квартира</v>
      </c>
      <c r="CA5" s="1" t="s">
        <v>137</v>
      </c>
      <c r="CB5" s="1" t="b">
        <f t="shared" ref="CB5" si="10">IF(U5="","Пустой",U5=BS5)</f>
        <v>1</v>
      </c>
      <c r="CC5" s="1" t="b">
        <f t="shared" ref="CC5" si="11">IF(Y5="","Пустой",Y5=BU5)</f>
        <v>1</v>
      </c>
      <c r="CD5" s="1" t="b">
        <f t="shared" ref="CD5" si="12">IF(V5="","Пустой",BV5=V5)</f>
        <v>1</v>
      </c>
      <c r="CE5" s="1" t="b">
        <f t="shared" ref="CE5" si="13">IF(AB5="","Пустой",BW5=AB5)</f>
        <v>1</v>
      </c>
      <c r="CF5" s="1" t="b">
        <f t="shared" ref="CF5" si="14">IF(Z5="","Пустой",BX5=Z5)</f>
        <v>1</v>
      </c>
      <c r="CG5" s="1" t="b">
        <f t="shared" ref="CG5" si="15">IF(W5="","Пустой",BY5=W5)</f>
        <v>1</v>
      </c>
      <c r="CH5" s="1">
        <f t="shared" ref="CH5" si="16">IF(S5="","Пустой",I5-S5)</f>
        <v>29.1</v>
      </c>
      <c r="CI5" s="1">
        <f t="shared" ref="CI5" si="17">IF(O5="","Пустой",ABS(O5-CU5))</f>
        <v>663398.16999999993</v>
      </c>
      <c r="CJ5" s="1">
        <f>ROUND(((EXP(EXP(3.35465762+-2003.21065848/BS5))^[1]Поправки!$I$7)/[1]Поправки!$P$8),4)</f>
        <v>0.97430000000000005</v>
      </c>
      <c r="CK5" s="1">
        <f>IF(ROUND(((EXP(10.72418644*BT5^-0.00840508)^[1]Поправки!$I$5)/[1]Поправки!$P$4),4)&gt;[1]Поправки!$Q$2,[1]Поправки!$Q$2,IF(ROUND(((EXP(10.72418644*BT5^-0.00840508)^[1]Поправки!$I$5)/[1]Поправки!$P$4),4)&lt;[1]Поправки!$Q$3,[1]Поправки!$Q$3,ROUND(((EXP(10.72418644*BT5^-0.00840508)^[1]Поправки!$I$5)/[1]Поправки!$P$4),4)))</f>
        <v>0.92889999999999995</v>
      </c>
      <c r="CL5" s="1">
        <f>VLOOKUP(BU5,[1]Поправки!$B$16:$D$26,3,FALSE)</f>
        <v>0.90759999999999996</v>
      </c>
      <c r="CM5" s="1">
        <f>VLOOKUP(BV5,[1]Поправки!$F$17:$H$22,3,FALSE)</f>
        <v>0.88660000000000005</v>
      </c>
      <c r="CN5" s="1">
        <f>VLOOKUP(BW5,[1]Поправки!$J$19:$L$20,3,FALSE)</f>
        <v>0.98850000000000005</v>
      </c>
      <c r="CO5" s="1">
        <f>VLOOKUP(BX5,[1]Поправки!$N$18:$P$20,3,FALSE)</f>
        <v>0.9153</v>
      </c>
      <c r="CP5" s="1">
        <f>VLOOKUP(BY5,[1]Поправки!$J$27:$K$28,2,FALSE)</f>
        <v>1</v>
      </c>
      <c r="CQ5" s="1">
        <f>VLOOKUP(BZ5,[1]Поправки!$G$27:$H$28,2,FALSE)</f>
        <v>1</v>
      </c>
      <c r="CR5" s="1">
        <v>0.94389999999999996</v>
      </c>
      <c r="CS5" s="1">
        <v>30625.360000000001</v>
      </c>
      <c r="CT5" s="1">
        <f t="shared" ref="CT5" si="18">ROUND(PRODUCT(CJ5*CK5*CL5*CM5*CN5*CO5*CQ5*CR5*CS5*CP5),2)</f>
        <v>19047.2</v>
      </c>
      <c r="CU5" s="1">
        <f t="shared" ref="CU5" si="19">ROUND((CT5*BT5),2)</f>
        <v>1594250.64</v>
      </c>
      <c r="CV5" s="1" t="str">
        <f t="shared" ref="CV5" si="20">IF(ABS(CU5-O5)&lt;10,"ГОТОВ","ГОТОВ ИЗМЕНЕН")</f>
        <v>ГОТОВ ИЗМЕНЕН</v>
      </c>
      <c r="CW5" s="1" t="str">
        <f t="shared" ref="CW5" si="21">IF(CV5="ГОТОВ","ПЕРЕСЧЕТ НЕ ТРЕБУЕТСЯ","ГОТОВ")</f>
        <v>ГОТОВ</v>
      </c>
      <c r="CX5" s="1" t="s">
        <v>145</v>
      </c>
    </row>
    <row r="6" spans="1:102" ht="30" customHeight="1" x14ac:dyDescent="0.25">
      <c r="A6" s="7" t="s">
        <v>162</v>
      </c>
      <c r="C6" s="3"/>
    </row>
    <row r="7" spans="1:102" ht="82.5" customHeight="1" x14ac:dyDescent="0.25">
      <c r="A7" s="7" t="s">
        <v>163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Помещения здания</vt:lpstr>
    </vt:vector>
  </TitlesOfParts>
  <Company>ГБУ СО ЦГКО</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Шмелев Константин Валерьевич</dc:creator>
  <cp:lastModifiedBy>Троицких Владимир Вениаминович</cp:lastModifiedBy>
  <dcterms:created xsi:type="dcterms:W3CDTF">2021-02-19T09:11:46Z</dcterms:created>
  <dcterms:modified xsi:type="dcterms:W3CDTF">2021-05-18T05:47:35Z</dcterms:modified>
</cp:coreProperties>
</file>